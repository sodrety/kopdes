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d42cac66f58306/01. Koprasi Dharma Jaya/2026/"/>
    </mc:Choice>
  </mc:AlternateContent>
  <xr:revisionPtr revIDLastSave="438" documentId="8_{A1627703-C2C2-FB47-8B03-ABFA6A5E2480}" xr6:coauthVersionLast="47" xr6:coauthVersionMax="47" xr10:uidLastSave="{19D2EF01-3E0A-EA42-9DCF-2205B24F85B2}"/>
  <bookViews>
    <workbookView xWindow="0" yWindow="660" windowWidth="29400" windowHeight="16900" xr2:uid="{BE654904-DF44-BD45-B2D8-2E018F49A91E}"/>
  </bookViews>
  <sheets>
    <sheet name="Master Anggota" sheetId="2" r:id="rId1"/>
    <sheet name="Pivo Simpanan" sheetId="64" r:id="rId2"/>
    <sheet name="Detail Simpanan" sheetId="59" r:id="rId3"/>
    <sheet name="Pivo Pinjaman" sheetId="61" r:id="rId4"/>
    <sheet name="Detail Pinjaman" sheetId="60" r:id="rId5"/>
    <sheet name="Data Base Pinjaman" sheetId="62" r:id="rId6"/>
    <sheet name="Sheet1" sheetId="71" r:id="rId7"/>
    <sheet name="Sheet2" sheetId="72" r:id="rId8"/>
  </sheets>
  <externalReferences>
    <externalReference r:id="rId9"/>
    <externalReference r:id="rId10"/>
  </externalReferences>
  <definedNames>
    <definedName name="_xlnm._FilterDatabase" localSheetId="5" hidden="1">'Data Base Pinjaman'!$B$2:$L$181</definedName>
    <definedName name="_xlnm._FilterDatabase" localSheetId="4" hidden="1">'Detail Pinjaman'!$A$3:$K$1178</definedName>
    <definedName name="_xlnm._FilterDatabase" localSheetId="2" hidden="1">'Detail Simpanan'!$B$1:$O$1741</definedName>
    <definedName name="_xlnm._FilterDatabase" localSheetId="0" hidden="1">'Master Anggota'!$B$2:$S$279</definedName>
    <definedName name="_xlnm._FilterDatabase" localSheetId="6" hidden="1">Sheet1!$A$1:$J$1</definedName>
  </definedNames>
  <calcPr calcId="191028"/>
  <pivotCaches>
    <pivotCache cacheId="15" r:id="rId11"/>
    <pivotCache cacheId="16" r:id="rId12"/>
    <pivotCache cacheId="17" r:id="rId13"/>
    <pivotCache cacheId="18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8" i="60" l="1"/>
  <c r="C1177" i="60"/>
  <c r="G1741" i="59"/>
  <c r="D1741" i="59"/>
  <c r="G1740" i="59"/>
  <c r="D1740" i="59"/>
  <c r="G1739" i="59"/>
  <c r="D1739" i="59"/>
  <c r="G1738" i="59"/>
  <c r="D1738" i="59"/>
  <c r="G1737" i="59"/>
  <c r="D1737" i="59"/>
  <c r="G1736" i="59"/>
  <c r="D1736" i="59"/>
  <c r="C1176" i="60"/>
  <c r="C1175" i="60"/>
  <c r="C1174" i="60"/>
  <c r="C1173" i="60"/>
  <c r="G1735" i="59"/>
  <c r="D1735" i="59"/>
  <c r="G1734" i="59"/>
  <c r="D1734" i="59"/>
  <c r="G1733" i="59"/>
  <c r="D1733" i="59"/>
  <c r="G1732" i="59"/>
  <c r="D1732" i="59"/>
  <c r="G1731" i="59"/>
  <c r="D1731" i="59"/>
  <c r="G1730" i="59"/>
  <c r="D1730" i="59"/>
  <c r="G1729" i="59"/>
  <c r="D1729" i="59"/>
  <c r="G1728" i="59"/>
  <c r="D1728" i="59"/>
  <c r="G1727" i="59"/>
  <c r="D1727" i="59"/>
  <c r="G1726" i="59"/>
  <c r="D1726" i="59"/>
  <c r="G1725" i="59"/>
  <c r="D1725" i="59"/>
  <c r="G1724" i="59"/>
  <c r="D1724" i="59"/>
  <c r="G1723" i="59"/>
  <c r="D1723" i="59"/>
  <c r="G1722" i="59"/>
  <c r="D1722" i="59"/>
  <c r="G1721" i="59"/>
  <c r="D1721" i="59"/>
  <c r="G1720" i="59"/>
  <c r="D1720" i="59"/>
  <c r="G1719" i="59"/>
  <c r="D1719" i="59"/>
  <c r="G1718" i="59"/>
  <c r="D1718" i="59"/>
  <c r="G1717" i="59"/>
  <c r="D1717" i="59"/>
  <c r="G1716" i="59"/>
  <c r="D1716" i="59"/>
  <c r="G1715" i="59"/>
  <c r="D1715" i="59"/>
  <c r="G1714" i="59"/>
  <c r="D1714" i="59"/>
  <c r="G1713" i="59"/>
  <c r="D1713" i="59"/>
  <c r="G1712" i="59"/>
  <c r="D1712" i="59"/>
  <c r="G1711" i="59"/>
  <c r="D1711" i="59"/>
  <c r="G1710" i="59"/>
  <c r="D1710" i="59"/>
  <c r="G1709" i="59"/>
  <c r="D1709" i="59"/>
  <c r="G1708" i="59"/>
  <c r="D1708" i="59"/>
  <c r="G1707" i="59"/>
  <c r="D1707" i="59"/>
  <c r="G1706" i="59"/>
  <c r="D1706" i="59"/>
  <c r="G1705" i="59"/>
  <c r="D1705" i="59"/>
  <c r="G1704" i="59"/>
  <c r="D1704" i="59"/>
  <c r="G1703" i="59"/>
  <c r="D1703" i="59"/>
  <c r="G1702" i="59"/>
  <c r="D1702" i="59"/>
  <c r="G1701" i="59"/>
  <c r="D1701" i="59"/>
  <c r="G1700" i="59"/>
  <c r="D1700" i="59"/>
  <c r="G1699" i="59"/>
  <c r="D1699" i="59"/>
  <c r="G1698" i="59"/>
  <c r="D1698" i="59"/>
  <c r="G1697" i="59"/>
  <c r="D1697" i="59"/>
  <c r="G1696" i="59"/>
  <c r="D1696" i="59"/>
  <c r="G1695" i="59"/>
  <c r="D1695" i="59"/>
  <c r="G1694" i="59"/>
  <c r="D1694" i="59"/>
  <c r="G1693" i="59"/>
  <c r="D1693" i="59"/>
  <c r="G1692" i="59"/>
  <c r="D1692" i="59"/>
  <c r="G1691" i="59"/>
  <c r="D1691" i="59"/>
  <c r="G1690" i="59"/>
  <c r="D1690" i="59"/>
  <c r="G1689" i="59"/>
  <c r="D1689" i="59"/>
  <c r="G1688" i="59"/>
  <c r="D1688" i="59"/>
  <c r="G1687" i="59"/>
  <c r="D1687" i="59"/>
  <c r="G1686" i="59"/>
  <c r="D1686" i="59"/>
  <c r="G1685" i="59"/>
  <c r="D1685" i="59"/>
  <c r="G1684" i="59"/>
  <c r="D1684" i="59"/>
  <c r="G1683" i="59"/>
  <c r="D1683" i="59"/>
  <c r="G1682" i="59"/>
  <c r="D1682" i="59"/>
  <c r="G1681" i="59"/>
  <c r="D1681" i="59"/>
  <c r="G1680" i="59"/>
  <c r="D1680" i="59"/>
  <c r="G1679" i="59"/>
  <c r="D1679" i="59"/>
  <c r="G1678" i="59"/>
  <c r="D1678" i="59"/>
  <c r="G1677" i="59"/>
  <c r="D1677" i="59"/>
  <c r="G1676" i="59"/>
  <c r="D1676" i="59"/>
  <c r="G1675" i="59"/>
  <c r="D1675" i="59"/>
  <c r="G1674" i="59"/>
  <c r="D1674" i="59"/>
  <c r="G1673" i="59"/>
  <c r="D1673" i="59"/>
  <c r="G1672" i="59"/>
  <c r="D1672" i="59"/>
  <c r="G1671" i="59"/>
  <c r="D1671" i="59"/>
  <c r="G1670" i="59"/>
  <c r="D1670" i="59"/>
  <c r="G1669" i="59"/>
  <c r="D1669" i="59"/>
  <c r="G1668" i="59"/>
  <c r="D1668" i="59"/>
  <c r="G1667" i="59"/>
  <c r="D1667" i="59"/>
  <c r="G1666" i="59"/>
  <c r="D1666" i="59"/>
  <c r="G1665" i="59"/>
  <c r="D1665" i="59"/>
  <c r="G1664" i="59"/>
  <c r="D1664" i="59"/>
  <c r="G1663" i="59"/>
  <c r="D1663" i="59"/>
  <c r="G1662" i="59"/>
  <c r="D1662" i="59"/>
  <c r="G1661" i="59"/>
  <c r="D1661" i="59"/>
  <c r="G1660" i="59"/>
  <c r="D1660" i="59"/>
  <c r="G1659" i="59"/>
  <c r="D1659" i="59"/>
  <c r="G1658" i="59"/>
  <c r="D1658" i="59"/>
  <c r="G1657" i="59"/>
  <c r="D1657" i="59"/>
  <c r="G1656" i="59"/>
  <c r="D1656" i="59"/>
  <c r="G1655" i="59"/>
  <c r="D1655" i="59"/>
  <c r="G1654" i="59"/>
  <c r="D1654" i="59"/>
  <c r="G1653" i="59"/>
  <c r="D1653" i="59"/>
  <c r="G1652" i="59"/>
  <c r="D1652" i="59"/>
  <c r="G1651" i="59"/>
  <c r="D1651" i="59"/>
  <c r="G1650" i="59"/>
  <c r="D1650" i="59"/>
  <c r="G1649" i="59"/>
  <c r="D1649" i="59"/>
  <c r="G1648" i="59"/>
  <c r="D1648" i="59"/>
  <c r="G1647" i="59"/>
  <c r="D1647" i="59"/>
  <c r="G1646" i="59"/>
  <c r="D1646" i="59"/>
  <c r="G1645" i="59"/>
  <c r="D1645" i="59"/>
  <c r="G1644" i="59"/>
  <c r="D1644" i="59"/>
  <c r="G1643" i="59"/>
  <c r="D1643" i="59"/>
  <c r="G1642" i="59"/>
  <c r="D1642" i="59"/>
  <c r="G1641" i="59"/>
  <c r="D1641" i="59"/>
  <c r="G1640" i="59"/>
  <c r="D1640" i="59"/>
  <c r="G1639" i="59"/>
  <c r="D1639" i="59"/>
  <c r="G1638" i="59"/>
  <c r="D1638" i="59"/>
  <c r="G1637" i="59"/>
  <c r="D1637" i="59"/>
  <c r="G1636" i="59"/>
  <c r="D1636" i="59"/>
  <c r="G1635" i="59"/>
  <c r="D1635" i="59"/>
  <c r="G1634" i="59"/>
  <c r="D1634" i="59"/>
  <c r="G1633" i="59"/>
  <c r="D1633" i="59"/>
  <c r="G1632" i="59"/>
  <c r="D1632" i="59"/>
  <c r="G1631" i="59"/>
  <c r="D1631" i="59"/>
  <c r="G1630" i="59"/>
  <c r="D1630" i="59"/>
  <c r="G1629" i="59"/>
  <c r="D1629" i="59"/>
  <c r="G1628" i="59"/>
  <c r="D1628" i="59"/>
  <c r="G1627" i="59"/>
  <c r="D1627" i="59"/>
  <c r="G1626" i="59"/>
  <c r="D1626" i="59"/>
  <c r="G1625" i="59"/>
  <c r="D1625" i="59"/>
  <c r="G1624" i="59"/>
  <c r="D1624" i="59"/>
  <c r="G1623" i="59"/>
  <c r="D1623" i="59"/>
  <c r="G1622" i="59"/>
  <c r="D1622" i="59"/>
  <c r="G1621" i="59"/>
  <c r="D1621" i="59"/>
  <c r="G1620" i="59"/>
  <c r="D1620" i="59"/>
  <c r="G1619" i="59"/>
  <c r="D1619" i="59"/>
  <c r="G1618" i="59"/>
  <c r="D1618" i="59"/>
  <c r="G1617" i="59"/>
  <c r="D1617" i="59"/>
  <c r="G1616" i="59"/>
  <c r="D1616" i="59"/>
  <c r="G1615" i="59"/>
  <c r="D1615" i="59"/>
  <c r="G1614" i="59"/>
  <c r="D1614" i="59"/>
  <c r="G1613" i="59"/>
  <c r="D1613" i="59"/>
  <c r="G1612" i="59"/>
  <c r="D1612" i="59"/>
  <c r="G1611" i="59"/>
  <c r="D1611" i="59"/>
  <c r="G1610" i="59"/>
  <c r="D1610" i="59"/>
  <c r="G1609" i="59"/>
  <c r="D1609" i="59"/>
  <c r="G1608" i="59"/>
  <c r="D1608" i="59"/>
  <c r="G1607" i="59"/>
  <c r="D1607" i="59"/>
  <c r="G1606" i="59"/>
  <c r="D1606" i="59"/>
  <c r="G1605" i="59"/>
  <c r="D1605" i="59"/>
  <c r="G1604" i="59"/>
  <c r="D1604" i="59"/>
  <c r="G1603" i="59"/>
  <c r="D1603" i="59"/>
  <c r="G1602" i="59"/>
  <c r="D1602" i="59"/>
  <c r="G1601" i="59"/>
  <c r="D1601" i="59"/>
  <c r="G1600" i="59"/>
  <c r="D1600" i="59"/>
  <c r="G1599" i="59"/>
  <c r="D1599" i="59"/>
  <c r="G1598" i="59"/>
  <c r="D1598" i="59"/>
  <c r="G1597" i="59"/>
  <c r="D1597" i="59"/>
  <c r="G1596" i="59"/>
  <c r="D1596" i="59"/>
  <c r="G1595" i="59"/>
  <c r="D1595" i="59"/>
  <c r="G1594" i="59"/>
  <c r="D1594" i="59"/>
  <c r="G1593" i="59"/>
  <c r="D1593" i="59"/>
  <c r="G1592" i="59"/>
  <c r="D1592" i="59"/>
  <c r="G1591" i="59"/>
  <c r="D1591" i="59"/>
  <c r="G1590" i="59"/>
  <c r="D1590" i="59"/>
  <c r="G1589" i="59"/>
  <c r="D1589" i="59"/>
  <c r="G1588" i="59"/>
  <c r="D1588" i="59"/>
  <c r="G1587" i="59"/>
  <c r="D1587" i="59"/>
  <c r="G1586" i="59"/>
  <c r="D1586" i="59"/>
  <c r="G1585" i="59"/>
  <c r="D1585" i="59"/>
  <c r="G1584" i="59"/>
  <c r="D1584" i="59"/>
  <c r="G1583" i="59"/>
  <c r="D1583" i="59"/>
  <c r="G1582" i="59"/>
  <c r="D1582" i="59"/>
  <c r="G1581" i="59"/>
  <c r="D1581" i="59"/>
  <c r="G1580" i="59"/>
  <c r="D1580" i="59"/>
  <c r="G1579" i="59"/>
  <c r="D1579" i="59"/>
  <c r="G1578" i="59"/>
  <c r="D1578" i="59"/>
  <c r="G1577" i="59"/>
  <c r="D1577" i="59"/>
  <c r="G1576" i="59"/>
  <c r="D1576" i="59"/>
  <c r="G1575" i="59"/>
  <c r="D1575" i="59"/>
  <c r="G1574" i="59"/>
  <c r="D1574" i="59"/>
  <c r="G1573" i="59"/>
  <c r="D1573" i="59"/>
  <c r="G1572" i="59"/>
  <c r="D1572" i="59"/>
  <c r="G1571" i="59"/>
  <c r="D1571" i="59"/>
  <c r="G1570" i="59"/>
  <c r="D1570" i="59"/>
  <c r="G1569" i="59"/>
  <c r="D1569" i="59"/>
  <c r="G1568" i="59"/>
  <c r="D1568" i="59"/>
  <c r="G1567" i="59"/>
  <c r="D1567" i="59"/>
  <c r="G1566" i="59"/>
  <c r="D1566" i="59"/>
  <c r="G1565" i="59"/>
  <c r="D1565" i="59"/>
  <c r="G1564" i="59"/>
  <c r="D1564" i="59"/>
  <c r="C1172" i="60"/>
  <c r="C1171" i="60"/>
  <c r="C1170" i="60"/>
  <c r="C1169" i="60"/>
  <c r="C1168" i="60"/>
  <c r="C1167" i="60"/>
  <c r="C1166" i="60"/>
  <c r="C1165" i="60"/>
  <c r="C1164" i="60"/>
  <c r="C1163" i="60"/>
  <c r="C1162" i="60"/>
  <c r="C1161" i="60"/>
  <c r="G1563" i="59"/>
  <c r="D1563" i="59"/>
  <c r="G1562" i="59"/>
  <c r="D1562" i="59"/>
  <c r="C1160" i="60"/>
  <c r="C1159" i="60"/>
  <c r="C1158" i="60"/>
  <c r="G1561" i="59"/>
  <c r="D1561" i="59"/>
  <c r="C1157" i="60"/>
  <c r="C1156" i="60"/>
  <c r="C1155" i="60"/>
  <c r="C1154" i="60"/>
  <c r="G1560" i="59"/>
  <c r="D1560" i="59"/>
  <c r="G1559" i="59"/>
  <c r="D1559" i="59"/>
  <c r="G1558" i="59"/>
  <c r="D1558" i="59"/>
  <c r="C1153" i="60"/>
  <c r="C1152" i="60"/>
  <c r="C1151" i="60"/>
  <c r="G1557" i="59"/>
  <c r="D1557" i="59"/>
  <c r="G1556" i="59"/>
  <c r="D1556" i="59"/>
  <c r="G1555" i="59"/>
  <c r="D1555" i="59"/>
  <c r="G1554" i="59"/>
  <c r="D1554" i="59"/>
  <c r="D182" i="62"/>
  <c r="C1150" i="60"/>
  <c r="C1149" i="60"/>
  <c r="C1148" i="60"/>
  <c r="C1147" i="60"/>
  <c r="C1146" i="60"/>
  <c r="C1145" i="60"/>
  <c r="C1144" i="60"/>
  <c r="C1143" i="60"/>
  <c r="C1142" i="60"/>
  <c r="C1141" i="60"/>
  <c r="C1140" i="60"/>
  <c r="C1139" i="60"/>
  <c r="C1138" i="60"/>
  <c r="C1137" i="60"/>
  <c r="C1136" i="60"/>
  <c r="C1135" i="60"/>
  <c r="C1134" i="60"/>
  <c r="C1133" i="60"/>
  <c r="C1132" i="60"/>
  <c r="C1131" i="60"/>
  <c r="C1130" i="60"/>
  <c r="C1129" i="60"/>
  <c r="C1128" i="60"/>
  <c r="C1127" i="60"/>
  <c r="C1126" i="60"/>
  <c r="C1125" i="60"/>
  <c r="C1124" i="60"/>
  <c r="C1123" i="60"/>
  <c r="C1122" i="60"/>
  <c r="C1121" i="60"/>
  <c r="C1120" i="60"/>
  <c r="C1119" i="60"/>
  <c r="C1118" i="60"/>
  <c r="C1117" i="60"/>
  <c r="C1116" i="60"/>
  <c r="C1115" i="60"/>
  <c r="C1114" i="60"/>
  <c r="C1113" i="60"/>
  <c r="C1112" i="60"/>
  <c r="C1111" i="60"/>
  <c r="C1110" i="60"/>
  <c r="C1109" i="60"/>
  <c r="C1108" i="60"/>
  <c r="C1107" i="60"/>
  <c r="C1106" i="60"/>
  <c r="C1105" i="60"/>
  <c r="C1104" i="60"/>
  <c r="C1103" i="60"/>
  <c r="C1102" i="60"/>
  <c r="C1101" i="60"/>
  <c r="C1100" i="60"/>
  <c r="C1099" i="60"/>
  <c r="C1098" i="60"/>
  <c r="C1097" i="60"/>
  <c r="C1096" i="60"/>
  <c r="C1095" i="60"/>
  <c r="C1094" i="60"/>
  <c r="C1093" i="60"/>
  <c r="C1092" i="60"/>
  <c r="C1091" i="60"/>
  <c r="C1090" i="60"/>
  <c r="C1089" i="60"/>
  <c r="C1088" i="60"/>
  <c r="C1087" i="60"/>
  <c r="C1086" i="60"/>
  <c r="C1085" i="60"/>
  <c r="C1084" i="60"/>
  <c r="C1083" i="60"/>
  <c r="C1082" i="60"/>
  <c r="C1081" i="60"/>
  <c r="C1080" i="60"/>
  <c r="C1079" i="60"/>
  <c r="C1078" i="60"/>
  <c r="C1077" i="60"/>
  <c r="C1076" i="60"/>
  <c r="C1075" i="60"/>
  <c r="C1074" i="60"/>
  <c r="C1073" i="60"/>
  <c r="C1072" i="60"/>
  <c r="C1071" i="60"/>
  <c r="C1070" i="60"/>
  <c r="C1069" i="60"/>
  <c r="C1068" i="60"/>
  <c r="C1067" i="60"/>
  <c r="C1066" i="60"/>
  <c r="C1065" i="60"/>
  <c r="C1064" i="60"/>
  <c r="C1063" i="60"/>
  <c r="C1062" i="60"/>
  <c r="C1061" i="60"/>
  <c r="C1060" i="60"/>
  <c r="C1059" i="60"/>
  <c r="C1058" i="60"/>
  <c r="C1057" i="60"/>
  <c r="C1056" i="60"/>
  <c r="C1055" i="60"/>
  <c r="C1054" i="60"/>
  <c r="C1053" i="60"/>
  <c r="C1052" i="60"/>
  <c r="C1051" i="60"/>
  <c r="C1050" i="60"/>
  <c r="C1049" i="60"/>
  <c r="C1048" i="60"/>
  <c r="C1047" i="60"/>
  <c r="C1046" i="60"/>
  <c r="K883" i="60"/>
  <c r="D181" i="62"/>
  <c r="D180" i="62"/>
  <c r="D179" i="62"/>
  <c r="D178" i="62"/>
  <c r="D177" i="62"/>
  <c r="K881" i="60"/>
  <c r="L176" i="62"/>
  <c r="K176" i="62"/>
  <c r="L175" i="62"/>
  <c r="K175" i="62"/>
  <c r="L174" i="62"/>
  <c r="K174" i="62"/>
  <c r="L173" i="62"/>
  <c r="K173" i="62"/>
  <c r="D176" i="62"/>
  <c r="D175" i="62"/>
  <c r="D174" i="62"/>
  <c r="D173" i="62"/>
  <c r="E91" i="60"/>
  <c r="D172" i="62"/>
  <c r="G1553" i="59"/>
  <c r="D1553" i="59"/>
  <c r="G1552" i="59"/>
  <c r="D1552" i="59"/>
  <c r="G1551" i="59"/>
  <c r="D1551" i="59"/>
  <c r="G1550" i="59"/>
  <c r="D1550" i="59"/>
  <c r="C1045" i="60"/>
  <c r="C1044" i="60"/>
  <c r="C1043" i="60"/>
  <c r="G1549" i="59"/>
  <c r="D1549" i="59"/>
  <c r="L1041" i="60"/>
  <c r="C1042" i="60"/>
  <c r="C1041" i="60"/>
  <c r="C1040" i="60"/>
  <c r="C1039" i="60"/>
  <c r="C1038" i="60"/>
  <c r="C1037" i="60"/>
  <c r="C1035" i="60"/>
  <c r="C1036" i="60"/>
  <c r="C1033" i="60"/>
  <c r="C1032" i="60"/>
  <c r="C1034" i="60"/>
  <c r="C1031" i="60"/>
  <c r="J16" i="64"/>
  <c r="G1548" i="59"/>
  <c r="D1548" i="59"/>
  <c r="C1030" i="60"/>
  <c r="C1029" i="60"/>
  <c r="C1028" i="60"/>
  <c r="C1027" i="60"/>
  <c r="C1026" i="60"/>
  <c r="C1025" i="60"/>
  <c r="G1547" i="59"/>
  <c r="D1547" i="59"/>
  <c r="C1024" i="60"/>
  <c r="C1023" i="60"/>
  <c r="C1022" i="60"/>
  <c r="G1546" i="59"/>
  <c r="D1546" i="59"/>
  <c r="G1545" i="59"/>
  <c r="D1545" i="59"/>
  <c r="G1544" i="59"/>
  <c r="D1544" i="59"/>
  <c r="G1543" i="59"/>
  <c r="D1543" i="59"/>
  <c r="G1542" i="59"/>
  <c r="D1542" i="59"/>
  <c r="G1541" i="59"/>
  <c r="D1541" i="59"/>
  <c r="G1540" i="59"/>
  <c r="D1540" i="59"/>
  <c r="G1539" i="59"/>
  <c r="D1539" i="59"/>
  <c r="G1538" i="59"/>
  <c r="D1538" i="59"/>
  <c r="G1537" i="59"/>
  <c r="D1537" i="59"/>
  <c r="G1536" i="59"/>
  <c r="D1536" i="59"/>
  <c r="C1021" i="60"/>
  <c r="C1020" i="60"/>
  <c r="C1012" i="60"/>
  <c r="C1011" i="60"/>
  <c r="C1010" i="60"/>
  <c r="C1009" i="60"/>
  <c r="C1008" i="60"/>
  <c r="C1007" i="60"/>
  <c r="C1006" i="60"/>
  <c r="C1005" i="60"/>
  <c r="C1004" i="60"/>
  <c r="C1003" i="60"/>
  <c r="C1002" i="60"/>
  <c r="C1001" i="60"/>
  <c r="C1000" i="60"/>
  <c r="C999" i="60"/>
  <c r="C998" i="60"/>
  <c r="C997" i="60"/>
  <c r="C996" i="60"/>
  <c r="C995" i="60"/>
  <c r="C994" i="60"/>
  <c r="C993" i="60"/>
  <c r="C992" i="60"/>
  <c r="C991" i="60"/>
  <c r="C990" i="60"/>
  <c r="C989" i="60"/>
  <c r="C988" i="60"/>
  <c r="C987" i="60"/>
  <c r="C986" i="60"/>
  <c r="C985" i="60"/>
  <c r="C984" i="60"/>
  <c r="C983" i="60"/>
  <c r="C982" i="60"/>
  <c r="C981" i="60"/>
  <c r="C980" i="60"/>
  <c r="C979" i="60"/>
  <c r="C978" i="60"/>
  <c r="C977" i="60"/>
  <c r="C976" i="60"/>
  <c r="C975" i="60"/>
  <c r="C974" i="60"/>
  <c r="C973" i="60"/>
  <c r="C972" i="60"/>
  <c r="C971" i="60"/>
  <c r="C970" i="60"/>
  <c r="C969" i="60"/>
  <c r="C968" i="60"/>
  <c r="C967" i="60"/>
  <c r="C966" i="60"/>
  <c r="C965" i="60"/>
  <c r="C964" i="60"/>
  <c r="C963" i="60"/>
  <c r="C962" i="60"/>
  <c r="C961" i="60"/>
  <c r="C960" i="60"/>
  <c r="C959" i="60"/>
  <c r="C958" i="60"/>
  <c r="C957" i="60"/>
  <c r="C956" i="60"/>
  <c r="C955" i="60"/>
  <c r="C954" i="60"/>
  <c r="C953" i="60"/>
  <c r="C952" i="60"/>
  <c r="C951" i="60"/>
  <c r="C950" i="60"/>
  <c r="C949" i="60"/>
  <c r="C948" i="60"/>
  <c r="C947" i="60"/>
  <c r="C946" i="60"/>
  <c r="C945" i="60"/>
  <c r="C944" i="60"/>
  <c r="C943" i="60"/>
  <c r="C942" i="60"/>
  <c r="C941" i="60"/>
  <c r="C940" i="60"/>
  <c r="C939" i="60"/>
  <c r="C938" i="60"/>
  <c r="C937" i="60"/>
  <c r="C936" i="60"/>
  <c r="C935" i="60"/>
  <c r="C934" i="60"/>
  <c r="C933" i="60"/>
  <c r="C932" i="60"/>
  <c r="C931" i="60"/>
  <c r="C930" i="60"/>
  <c r="C929" i="60"/>
  <c r="C928" i="60"/>
  <c r="C927" i="60"/>
  <c r="C926" i="60"/>
  <c r="C925" i="60"/>
  <c r="C924" i="60"/>
  <c r="C923" i="60"/>
  <c r="C922" i="60"/>
  <c r="C921" i="60"/>
  <c r="C920" i="60"/>
  <c r="C919" i="60"/>
  <c r="C918" i="60"/>
  <c r="G394" i="59"/>
  <c r="D394" i="59"/>
  <c r="C1015" i="60"/>
  <c r="C1014" i="60"/>
  <c r="G1535" i="59"/>
  <c r="D1535" i="59"/>
  <c r="G1534" i="59"/>
  <c r="D1534" i="59"/>
  <c r="G1533" i="59"/>
  <c r="D1533" i="59"/>
  <c r="G1532" i="59"/>
  <c r="D1532" i="59"/>
  <c r="G1531" i="59"/>
  <c r="D1531" i="59"/>
  <c r="G1530" i="59"/>
  <c r="D1530" i="59"/>
  <c r="G1529" i="59"/>
  <c r="D1529" i="59"/>
  <c r="G1528" i="59"/>
  <c r="D1528" i="59"/>
  <c r="G1527" i="59"/>
  <c r="D1527" i="59"/>
  <c r="G1526" i="59"/>
  <c r="D1526" i="59"/>
  <c r="G1525" i="59"/>
  <c r="D1525" i="59"/>
  <c r="G1524" i="59"/>
  <c r="D1524" i="59"/>
  <c r="G1523" i="59"/>
  <c r="D1523" i="59"/>
  <c r="G1522" i="59"/>
  <c r="D1522" i="59"/>
  <c r="G1521" i="59"/>
  <c r="D1521" i="59"/>
  <c r="G1520" i="59"/>
  <c r="D1520" i="59"/>
  <c r="G1519" i="59"/>
  <c r="D1519" i="59"/>
  <c r="G1518" i="59"/>
  <c r="D1518" i="59"/>
  <c r="G1517" i="59"/>
  <c r="D1517" i="59"/>
  <c r="G1516" i="59"/>
  <c r="D1516" i="59"/>
  <c r="G1515" i="59"/>
  <c r="D1515" i="59"/>
  <c r="G1514" i="59"/>
  <c r="D1514" i="59"/>
  <c r="G1513" i="59"/>
  <c r="D1513" i="59"/>
  <c r="G1512" i="59"/>
  <c r="D1512" i="59"/>
  <c r="G1511" i="59"/>
  <c r="D1511" i="59"/>
  <c r="G1510" i="59"/>
  <c r="D1510" i="59"/>
  <c r="G1509" i="59"/>
  <c r="D1509" i="59"/>
  <c r="G1508" i="59"/>
  <c r="D1508" i="59"/>
  <c r="G1507" i="59"/>
  <c r="D1507" i="59"/>
  <c r="G1506" i="59"/>
  <c r="D1506" i="59"/>
  <c r="G1505" i="59"/>
  <c r="D1505" i="59"/>
  <c r="G1504" i="59"/>
  <c r="D1504" i="59"/>
  <c r="G1503" i="59"/>
  <c r="D1503" i="59"/>
  <c r="G1502" i="59"/>
  <c r="D1502" i="59"/>
  <c r="G1501" i="59"/>
  <c r="D1501" i="59"/>
  <c r="G1500" i="59"/>
  <c r="D1500" i="59"/>
  <c r="G1499" i="59"/>
  <c r="D1499" i="59"/>
  <c r="G1498" i="59"/>
  <c r="D1498" i="59"/>
  <c r="G1497" i="59"/>
  <c r="D1497" i="59"/>
  <c r="G1496" i="59"/>
  <c r="D1496" i="59"/>
  <c r="G1495" i="59"/>
  <c r="D1495" i="59"/>
  <c r="G1494" i="59"/>
  <c r="D1494" i="59"/>
  <c r="G1493" i="59"/>
  <c r="D1493" i="59"/>
  <c r="G1492" i="59"/>
  <c r="D1492" i="59"/>
  <c r="G1491" i="59"/>
  <c r="D1491" i="59"/>
  <c r="G1490" i="59"/>
  <c r="D1490" i="59"/>
  <c r="G1489" i="59"/>
  <c r="D1489" i="59"/>
  <c r="G1488" i="59"/>
  <c r="D1488" i="59"/>
  <c r="G1487" i="59"/>
  <c r="D1487" i="59"/>
  <c r="G1486" i="59"/>
  <c r="D1486" i="59"/>
  <c r="G1485" i="59"/>
  <c r="D1485" i="59"/>
  <c r="G1484" i="59"/>
  <c r="D1484" i="59"/>
  <c r="G1483" i="59"/>
  <c r="D1483" i="59"/>
  <c r="G1482" i="59"/>
  <c r="D1482" i="59"/>
  <c r="G1481" i="59"/>
  <c r="D1481" i="59"/>
  <c r="G1480" i="59"/>
  <c r="D1480" i="59"/>
  <c r="G1479" i="59"/>
  <c r="D1479" i="59"/>
  <c r="G1478" i="59"/>
  <c r="D1478" i="59"/>
  <c r="G1477" i="59"/>
  <c r="D1477" i="59"/>
  <c r="G1476" i="59"/>
  <c r="D1476" i="59"/>
  <c r="G1475" i="59"/>
  <c r="D1475" i="59"/>
  <c r="G1474" i="59"/>
  <c r="D1474" i="59"/>
  <c r="G1473" i="59"/>
  <c r="D1473" i="59"/>
  <c r="G1472" i="59"/>
  <c r="D1472" i="59"/>
  <c r="G1471" i="59"/>
  <c r="D1471" i="59"/>
  <c r="G1470" i="59"/>
  <c r="D1470" i="59"/>
  <c r="G1469" i="59"/>
  <c r="D1469" i="59"/>
  <c r="G1468" i="59"/>
  <c r="D1468" i="59"/>
  <c r="G1467" i="59"/>
  <c r="D1467" i="59"/>
  <c r="G1466" i="59"/>
  <c r="D1466" i="59"/>
  <c r="G1465" i="59"/>
  <c r="D1465" i="59"/>
  <c r="G1464" i="59"/>
  <c r="D1464" i="59"/>
  <c r="G1463" i="59"/>
  <c r="D1463" i="59"/>
  <c r="G1462" i="59"/>
  <c r="D1462" i="59"/>
  <c r="G1461" i="59"/>
  <c r="D1461" i="59"/>
  <c r="G1460" i="59"/>
  <c r="D1460" i="59"/>
  <c r="G1459" i="59"/>
  <c r="D1459" i="59"/>
  <c r="G1458" i="59"/>
  <c r="D1458" i="59"/>
  <c r="G1457" i="59"/>
  <c r="D1457" i="59"/>
  <c r="G1456" i="59"/>
  <c r="D1456" i="59"/>
  <c r="G1455" i="59"/>
  <c r="D1455" i="59"/>
  <c r="G1454" i="59"/>
  <c r="D1454" i="59"/>
  <c r="G1453" i="59"/>
  <c r="D1453" i="59"/>
  <c r="G1452" i="59"/>
  <c r="D1452" i="59"/>
  <c r="G1451" i="59"/>
  <c r="D1451" i="59"/>
  <c r="G1450" i="59"/>
  <c r="D1450" i="59"/>
  <c r="G1449" i="59"/>
  <c r="D1449" i="59"/>
  <c r="G1448" i="59"/>
  <c r="D1448" i="59"/>
  <c r="G1447" i="59"/>
  <c r="D1447" i="59"/>
  <c r="G1446" i="59"/>
  <c r="D1446" i="59"/>
  <c r="G1445" i="59"/>
  <c r="D1445" i="59"/>
  <c r="G1444" i="59"/>
  <c r="D1444" i="59"/>
  <c r="G1443" i="59"/>
  <c r="D1443" i="59"/>
  <c r="G1442" i="59"/>
  <c r="D1442" i="59"/>
  <c r="G1441" i="59"/>
  <c r="D1441" i="59"/>
  <c r="G1440" i="59"/>
  <c r="D1440" i="59"/>
  <c r="G1439" i="59"/>
  <c r="D1439" i="59"/>
  <c r="G1438" i="59"/>
  <c r="D1438" i="59"/>
  <c r="G1437" i="59"/>
  <c r="D1437" i="59"/>
  <c r="G1436" i="59"/>
  <c r="D1436" i="59"/>
  <c r="G1435" i="59"/>
  <c r="D1435" i="59"/>
  <c r="G1434" i="59"/>
  <c r="D1434" i="59"/>
  <c r="G1433" i="59"/>
  <c r="D1433" i="59"/>
  <c r="G1432" i="59"/>
  <c r="D1432" i="59"/>
  <c r="G1431" i="59"/>
  <c r="D1431" i="59"/>
  <c r="G1430" i="59"/>
  <c r="D1430" i="59"/>
  <c r="G1429" i="59"/>
  <c r="D1429" i="59"/>
  <c r="G1428" i="59"/>
  <c r="D1428" i="59"/>
  <c r="G1427" i="59"/>
  <c r="D1427" i="59"/>
  <c r="G1426" i="59"/>
  <c r="D1426" i="59"/>
  <c r="G1425" i="59"/>
  <c r="D1425" i="59"/>
  <c r="G1424" i="59"/>
  <c r="D1424" i="59"/>
  <c r="G1423" i="59"/>
  <c r="D1423" i="59"/>
  <c r="G1422" i="59"/>
  <c r="D1422" i="59"/>
  <c r="G1421" i="59"/>
  <c r="D1421" i="59"/>
  <c r="G1420" i="59"/>
  <c r="D1420" i="59"/>
  <c r="G1419" i="59"/>
  <c r="D1419" i="59"/>
  <c r="G1418" i="59"/>
  <c r="D1418" i="59"/>
  <c r="G1417" i="59"/>
  <c r="D1417" i="59"/>
  <c r="G1416" i="59"/>
  <c r="D1416" i="59"/>
  <c r="G1415" i="59"/>
  <c r="D1415" i="59"/>
  <c r="G1414" i="59"/>
  <c r="D1414" i="59"/>
  <c r="G1413" i="59"/>
  <c r="D1413" i="59"/>
  <c r="G1412" i="59"/>
  <c r="D1412" i="59"/>
  <c r="G1411" i="59"/>
  <c r="D1411" i="59"/>
  <c r="G1410" i="59"/>
  <c r="D1410" i="59"/>
  <c r="G1409" i="59"/>
  <c r="D1409" i="59"/>
  <c r="G1408" i="59"/>
  <c r="D1408" i="59"/>
  <c r="G1407" i="59"/>
  <c r="D1407" i="59"/>
  <c r="G1406" i="59"/>
  <c r="D1406" i="59"/>
  <c r="G1405" i="59"/>
  <c r="D1405" i="59"/>
  <c r="G1404" i="59"/>
  <c r="D1404" i="59"/>
  <c r="G1403" i="59"/>
  <c r="D1403" i="59"/>
  <c r="G1402" i="59"/>
  <c r="D1402" i="59"/>
  <c r="G1401" i="59"/>
  <c r="D1401" i="59"/>
  <c r="G1400" i="59"/>
  <c r="D1400" i="59"/>
  <c r="G1399" i="59"/>
  <c r="D1399" i="59"/>
  <c r="G1398" i="59"/>
  <c r="D1398" i="59"/>
  <c r="G1397" i="59"/>
  <c r="D1397" i="59"/>
  <c r="G1396" i="59"/>
  <c r="D1396" i="59"/>
  <c r="G1395" i="59"/>
  <c r="D1395" i="59"/>
  <c r="G1394" i="59"/>
  <c r="D1394" i="59"/>
  <c r="G1393" i="59"/>
  <c r="D1393" i="59"/>
  <c r="G1392" i="59"/>
  <c r="D1392" i="59"/>
  <c r="G1391" i="59"/>
  <c r="D1391" i="59"/>
  <c r="G1390" i="59"/>
  <c r="D1390" i="59"/>
  <c r="G1389" i="59"/>
  <c r="D1389" i="59"/>
  <c r="G1388" i="59"/>
  <c r="D1388" i="59"/>
  <c r="G1387" i="59"/>
  <c r="D1387" i="59"/>
  <c r="G1386" i="59"/>
  <c r="D1386" i="59"/>
  <c r="G1385" i="59"/>
  <c r="D1385" i="59"/>
  <c r="G1384" i="59"/>
  <c r="D1384" i="59"/>
  <c r="G1383" i="59"/>
  <c r="D1383" i="59"/>
  <c r="G1382" i="59"/>
  <c r="D1382" i="59"/>
  <c r="G1381" i="59"/>
  <c r="D1381" i="59"/>
  <c r="G1380" i="59"/>
  <c r="D1380" i="59"/>
  <c r="G1379" i="59"/>
  <c r="D1379" i="59"/>
  <c r="G1378" i="59"/>
  <c r="D1378" i="59"/>
  <c r="G1377" i="59"/>
  <c r="D1377" i="59"/>
  <c r="G1376" i="59"/>
  <c r="D1376" i="59"/>
  <c r="G1375" i="59"/>
  <c r="D1375" i="59"/>
  <c r="G1374" i="59"/>
  <c r="D1374" i="59"/>
  <c r="G1373" i="59"/>
  <c r="D1373" i="59"/>
  <c r="G1372" i="59"/>
  <c r="D1372" i="59"/>
  <c r="G1371" i="59"/>
  <c r="D1371" i="59"/>
  <c r="G1370" i="59"/>
  <c r="D1370" i="59"/>
  <c r="G1369" i="59"/>
  <c r="D1369" i="59"/>
  <c r="G1368" i="59"/>
  <c r="D1368" i="59"/>
  <c r="G1367" i="59"/>
  <c r="D1367" i="59"/>
  <c r="G1366" i="59"/>
  <c r="D1366" i="59"/>
  <c r="G1365" i="59"/>
  <c r="D1365" i="59"/>
  <c r="G1364" i="59"/>
  <c r="D1364" i="59"/>
  <c r="G1363" i="59"/>
  <c r="D1363" i="59"/>
  <c r="G1362" i="59"/>
  <c r="D1362" i="59"/>
  <c r="C1019" i="60"/>
  <c r="C1018" i="60"/>
  <c r="G1361" i="59"/>
  <c r="D1361" i="59"/>
  <c r="C1017" i="60"/>
  <c r="C1016" i="60"/>
  <c r="C1013" i="60"/>
  <c r="G1360" i="59"/>
  <c r="D1360" i="59"/>
  <c r="G1359" i="59"/>
  <c r="D1359" i="59"/>
  <c r="G1358" i="59"/>
  <c r="D1358" i="59"/>
  <c r="M889" i="60"/>
  <c r="M897" i="60"/>
  <c r="M886" i="60"/>
  <c r="M894" i="60"/>
  <c r="M899" i="60"/>
  <c r="H144" i="71"/>
  <c r="H135" i="71"/>
  <c r="H121" i="71"/>
  <c r="G215" i="71"/>
  <c r="H215" i="71"/>
  <c r="G214" i="71"/>
  <c r="H214" i="71"/>
  <c r="G213" i="71"/>
  <c r="H213" i="71"/>
  <c r="G212" i="71"/>
  <c r="H212" i="71"/>
  <c r="G211" i="71"/>
  <c r="H211" i="71"/>
  <c r="G210" i="71"/>
  <c r="H210" i="71"/>
  <c r="G209" i="71"/>
  <c r="H209" i="71"/>
  <c r="G208" i="71"/>
  <c r="H208" i="71"/>
  <c r="G207" i="71"/>
  <c r="H207" i="71"/>
  <c r="G206" i="71"/>
  <c r="H206" i="71"/>
  <c r="G205" i="71"/>
  <c r="H205" i="71"/>
  <c r="G204" i="71"/>
  <c r="H204" i="71"/>
  <c r="G203" i="71"/>
  <c r="H203" i="71"/>
  <c r="G202" i="71"/>
  <c r="H202" i="71"/>
  <c r="G201" i="71"/>
  <c r="H201" i="71"/>
  <c r="G200" i="71"/>
  <c r="H200" i="71"/>
  <c r="G199" i="71"/>
  <c r="H199" i="71"/>
  <c r="G198" i="71"/>
  <c r="H198" i="71"/>
  <c r="G197" i="71"/>
  <c r="H197" i="71"/>
  <c r="G196" i="71"/>
  <c r="H196" i="71"/>
  <c r="G195" i="71"/>
  <c r="H195" i="71"/>
  <c r="G194" i="71"/>
  <c r="H194" i="71"/>
  <c r="G193" i="71"/>
  <c r="H193" i="71"/>
  <c r="G192" i="71"/>
  <c r="H192" i="71"/>
  <c r="G191" i="71"/>
  <c r="H191" i="71"/>
  <c r="G190" i="71"/>
  <c r="H190" i="71"/>
  <c r="G189" i="71"/>
  <c r="H189" i="71"/>
  <c r="G188" i="71"/>
  <c r="H188" i="71"/>
  <c r="G187" i="71"/>
  <c r="H187" i="71"/>
  <c r="G186" i="71"/>
  <c r="H186" i="71"/>
  <c r="G185" i="71"/>
  <c r="H185" i="71"/>
  <c r="G184" i="71"/>
  <c r="H184" i="71"/>
  <c r="G183" i="71"/>
  <c r="H183" i="71"/>
  <c r="G182" i="71"/>
  <c r="H182" i="71"/>
  <c r="G181" i="71"/>
  <c r="H181" i="71"/>
  <c r="G180" i="71"/>
  <c r="H180" i="71"/>
  <c r="G179" i="71"/>
  <c r="H179" i="71"/>
  <c r="G178" i="71"/>
  <c r="H178" i="71"/>
  <c r="G177" i="71"/>
  <c r="H177" i="71"/>
  <c r="G176" i="71"/>
  <c r="H176" i="71"/>
  <c r="G175" i="71"/>
  <c r="H175" i="71"/>
  <c r="G174" i="71"/>
  <c r="H174" i="71"/>
  <c r="G173" i="71"/>
  <c r="H173" i="71"/>
  <c r="G172" i="71"/>
  <c r="H172" i="71"/>
  <c r="G171" i="71"/>
  <c r="H171" i="71"/>
  <c r="G170" i="71"/>
  <c r="H170" i="71"/>
  <c r="G169" i="71"/>
  <c r="H169" i="71"/>
  <c r="G168" i="71"/>
  <c r="H168" i="71"/>
  <c r="G167" i="71"/>
  <c r="H167" i="71"/>
  <c r="G166" i="71"/>
  <c r="H166" i="71"/>
  <c r="G165" i="71"/>
  <c r="H165" i="71"/>
  <c r="G164" i="71"/>
  <c r="H164" i="71"/>
  <c r="G163" i="71"/>
  <c r="H163" i="71"/>
  <c r="G162" i="71"/>
  <c r="H162" i="71"/>
  <c r="G161" i="71"/>
  <c r="H161" i="71"/>
  <c r="G160" i="71"/>
  <c r="H160" i="71"/>
  <c r="G159" i="71"/>
  <c r="H159" i="71"/>
  <c r="G158" i="71"/>
  <c r="H158" i="71"/>
  <c r="G157" i="71"/>
  <c r="H157" i="71"/>
  <c r="G156" i="71"/>
  <c r="H156" i="71"/>
  <c r="G155" i="71"/>
  <c r="H155" i="71"/>
  <c r="G154" i="71"/>
  <c r="H154" i="71"/>
  <c r="G153" i="71"/>
  <c r="H153" i="71"/>
  <c r="G152" i="71"/>
  <c r="H152" i="71"/>
  <c r="G151" i="71"/>
  <c r="H151" i="71"/>
  <c r="G150" i="71"/>
  <c r="H150" i="71"/>
  <c r="G149" i="71"/>
  <c r="H149" i="71"/>
  <c r="G148" i="71"/>
  <c r="H148" i="71"/>
  <c r="G147" i="71"/>
  <c r="H147" i="71"/>
  <c r="G146" i="71"/>
  <c r="H146" i="71"/>
  <c r="G145" i="71"/>
  <c r="H145" i="71"/>
  <c r="G143" i="71"/>
  <c r="H143" i="71"/>
  <c r="G142" i="71"/>
  <c r="H142" i="71"/>
  <c r="G141" i="71"/>
  <c r="H141" i="71"/>
  <c r="G140" i="71"/>
  <c r="H140" i="71"/>
  <c r="G139" i="71"/>
  <c r="H139" i="71"/>
  <c r="G138" i="71"/>
  <c r="H138" i="71"/>
  <c r="G137" i="71"/>
  <c r="H137" i="71"/>
  <c r="G136" i="71"/>
  <c r="H136" i="71"/>
  <c r="G134" i="71"/>
  <c r="H134" i="71"/>
  <c r="G133" i="71"/>
  <c r="H133" i="71"/>
  <c r="G132" i="71"/>
  <c r="H132" i="71"/>
  <c r="G131" i="71"/>
  <c r="H131" i="71"/>
  <c r="G130" i="71"/>
  <c r="H130" i="71"/>
  <c r="G129" i="71"/>
  <c r="H129" i="71"/>
  <c r="G128" i="71"/>
  <c r="H128" i="71"/>
  <c r="G127" i="71"/>
  <c r="H127" i="71"/>
  <c r="G126" i="71"/>
  <c r="H126" i="71"/>
  <c r="G125" i="71"/>
  <c r="H125" i="71"/>
  <c r="G124" i="71"/>
  <c r="H124" i="71"/>
  <c r="G123" i="71"/>
  <c r="H123" i="71"/>
  <c r="G122" i="71"/>
  <c r="H122" i="71"/>
  <c r="G120" i="71"/>
  <c r="H120" i="71"/>
  <c r="G119" i="71"/>
  <c r="H119" i="71"/>
  <c r="G118" i="71"/>
  <c r="H118" i="71"/>
  <c r="G117" i="71"/>
  <c r="H117" i="71"/>
  <c r="G116" i="71"/>
  <c r="H116" i="71"/>
  <c r="G115" i="71"/>
  <c r="H115" i="71"/>
  <c r="G114" i="71"/>
  <c r="H114" i="71"/>
  <c r="G113" i="71"/>
  <c r="H113" i="71"/>
  <c r="F169" i="62"/>
  <c r="F166" i="62"/>
  <c r="F168" i="62"/>
  <c r="F167" i="62"/>
  <c r="F165" i="62"/>
  <c r="L172" i="62"/>
  <c r="K172" i="62"/>
  <c r="L171" i="62"/>
  <c r="K171" i="62"/>
  <c r="L170" i="62"/>
  <c r="K170" i="62"/>
  <c r="L169" i="62"/>
  <c r="K169" i="62"/>
  <c r="L168" i="62"/>
  <c r="K168" i="62"/>
  <c r="L167" i="62"/>
  <c r="K167" i="62"/>
  <c r="L166" i="62"/>
  <c r="K166" i="62"/>
  <c r="L165" i="62"/>
  <c r="K165" i="62"/>
  <c r="L164" i="62"/>
  <c r="K164" i="62"/>
  <c r="L163" i="62"/>
  <c r="K163" i="62"/>
  <c r="L162" i="62"/>
  <c r="K162" i="62"/>
  <c r="L161" i="62"/>
  <c r="K161" i="62"/>
  <c r="L160" i="62"/>
  <c r="K160" i="62"/>
  <c r="L159" i="62"/>
  <c r="K159" i="62"/>
  <c r="L158" i="62"/>
  <c r="K158" i="62"/>
  <c r="C917" i="60"/>
  <c r="C916" i="60"/>
  <c r="G1357" i="59"/>
  <c r="D1357" i="59"/>
  <c r="C915" i="60"/>
  <c r="C914" i="60"/>
  <c r="C913" i="60"/>
  <c r="G1356" i="59"/>
  <c r="D1356" i="59"/>
  <c r="C912" i="60"/>
  <c r="C911" i="60"/>
  <c r="G1355" i="59"/>
  <c r="D1355" i="59"/>
  <c r="C910" i="60"/>
  <c r="G1354" i="59"/>
  <c r="D1354" i="59"/>
  <c r="G1353" i="59"/>
  <c r="D1353" i="59"/>
  <c r="G1352" i="59"/>
  <c r="D1352" i="59"/>
  <c r="C909" i="60"/>
  <c r="C908" i="60"/>
  <c r="G1351" i="59"/>
  <c r="D1351" i="59"/>
  <c r="G1350" i="59"/>
  <c r="D1350" i="59"/>
  <c r="G1349" i="59"/>
  <c r="D1349" i="59"/>
  <c r="G1348" i="59"/>
  <c r="D1348" i="59"/>
  <c r="C907" i="60"/>
  <c r="G1347" i="59"/>
  <c r="D1347" i="59"/>
  <c r="G1346" i="59"/>
  <c r="D1346" i="59"/>
  <c r="C906" i="60"/>
  <c r="M905" i="60"/>
  <c r="C905" i="60"/>
  <c r="M884" i="60"/>
  <c r="M877" i="60"/>
  <c r="C904" i="60"/>
  <c r="C903" i="60"/>
  <c r="C902" i="60"/>
  <c r="G1345" i="59"/>
  <c r="D1345" i="59"/>
  <c r="G1344" i="59"/>
  <c r="D1344" i="59"/>
  <c r="C901" i="60"/>
  <c r="C900" i="60"/>
  <c r="C899" i="60"/>
  <c r="G1343" i="59"/>
  <c r="D1343" i="59"/>
  <c r="G1342" i="59"/>
  <c r="D1342" i="59"/>
  <c r="E133" i="60"/>
  <c r="C898" i="60"/>
  <c r="C897" i="60"/>
  <c r="G1341" i="59"/>
  <c r="D1341" i="59"/>
  <c r="C896" i="60"/>
  <c r="C895" i="60"/>
  <c r="C894" i="60"/>
  <c r="C893" i="60"/>
  <c r="C892" i="60"/>
  <c r="C891" i="60"/>
  <c r="C890" i="60"/>
  <c r="C889" i="60"/>
  <c r="C888" i="60"/>
  <c r="C887" i="60"/>
  <c r="C886" i="60"/>
  <c r="M872" i="60"/>
  <c r="G1340" i="59"/>
  <c r="D1340" i="59"/>
  <c r="C885" i="60"/>
  <c r="C884" i="60"/>
  <c r="M882" i="60"/>
  <c r="M880" i="60"/>
  <c r="C883" i="60"/>
  <c r="C882" i="60"/>
  <c r="C881" i="60"/>
  <c r="C880" i="60"/>
  <c r="G1339" i="59"/>
  <c r="D1339" i="59"/>
  <c r="C879" i="60"/>
  <c r="C878" i="60"/>
  <c r="C877" i="60"/>
  <c r="C876" i="60"/>
  <c r="G1338" i="59"/>
  <c r="D1338" i="59"/>
  <c r="C875" i="60"/>
  <c r="C874" i="60"/>
  <c r="C873" i="60"/>
  <c r="C872" i="60"/>
  <c r="G1337" i="59"/>
  <c r="D1337" i="59"/>
  <c r="C871" i="60"/>
  <c r="C870" i="60"/>
  <c r="C869" i="60"/>
  <c r="C868" i="60"/>
  <c r="C867" i="60"/>
  <c r="C866" i="60"/>
  <c r="C865" i="60"/>
  <c r="C864" i="60"/>
  <c r="C863" i="60"/>
  <c r="C862" i="60"/>
  <c r="C861" i="60"/>
  <c r="C860" i="60"/>
  <c r="C859" i="60"/>
  <c r="C858" i="60"/>
  <c r="C857" i="60"/>
  <c r="C856" i="60"/>
  <c r="C855" i="60"/>
  <c r="C854" i="60"/>
  <c r="C853" i="60"/>
  <c r="C852" i="60"/>
  <c r="C851" i="60"/>
  <c r="C850" i="60"/>
  <c r="C849" i="60"/>
  <c r="C848" i="60"/>
  <c r="C847" i="60"/>
  <c r="C846" i="60"/>
  <c r="C845" i="60"/>
  <c r="C844" i="60"/>
  <c r="C843" i="60"/>
  <c r="C842" i="60"/>
  <c r="C841" i="60"/>
  <c r="C840" i="60"/>
  <c r="C839" i="60"/>
  <c r="C838" i="60"/>
  <c r="C837" i="60"/>
  <c r="C836" i="60"/>
  <c r="C835" i="60"/>
  <c r="C834" i="60"/>
  <c r="C833" i="60"/>
  <c r="C832" i="60"/>
  <c r="C831" i="60"/>
  <c r="C830" i="60"/>
  <c r="C829" i="60"/>
  <c r="C828" i="60"/>
  <c r="C827" i="60"/>
  <c r="C826" i="60"/>
  <c r="C825" i="60"/>
  <c r="C824" i="60"/>
  <c r="C823" i="60"/>
  <c r="C822" i="60"/>
  <c r="C821" i="60"/>
  <c r="C820" i="60"/>
  <c r="C819" i="60"/>
  <c r="C818" i="60"/>
  <c r="C817" i="60"/>
  <c r="C816" i="60"/>
  <c r="C815" i="60"/>
  <c r="C814" i="60"/>
  <c r="C813" i="60"/>
  <c r="C812" i="60"/>
  <c r="C811" i="60"/>
  <c r="C810" i="60"/>
  <c r="C809" i="60"/>
  <c r="C808" i="60"/>
  <c r="C807" i="60"/>
  <c r="C806" i="60"/>
  <c r="C805" i="60"/>
  <c r="C804" i="60"/>
  <c r="C803" i="60"/>
  <c r="C802" i="60"/>
  <c r="C801" i="60"/>
  <c r="C800" i="60"/>
  <c r="C799" i="60"/>
  <c r="C798" i="60"/>
  <c r="C797" i="60"/>
  <c r="C796" i="60"/>
  <c r="C795" i="60"/>
  <c r="C794" i="60"/>
  <c r="C793" i="60"/>
  <c r="C792" i="60"/>
  <c r="C791" i="60"/>
  <c r="C790" i="60"/>
  <c r="C789" i="60"/>
  <c r="G1336" i="59"/>
  <c r="D1336" i="59"/>
  <c r="G1335" i="59"/>
  <c r="D1335" i="59"/>
  <c r="G1334" i="59"/>
  <c r="D1334" i="59"/>
  <c r="G1333" i="59"/>
  <c r="D1333" i="59"/>
  <c r="G1332" i="59"/>
  <c r="D1332" i="59"/>
  <c r="G1331" i="59"/>
  <c r="D1331" i="59"/>
  <c r="G1330" i="59"/>
  <c r="D1330" i="59"/>
  <c r="G1329" i="59"/>
  <c r="D1329" i="59"/>
  <c r="G1328" i="59"/>
  <c r="D1328" i="59"/>
  <c r="G1327" i="59"/>
  <c r="D1327" i="59"/>
  <c r="G1326" i="59"/>
  <c r="D1326" i="59"/>
  <c r="G1325" i="59"/>
  <c r="D1325" i="59"/>
  <c r="G1324" i="59"/>
  <c r="D1324" i="59"/>
  <c r="G1323" i="59"/>
  <c r="D1323" i="59"/>
  <c r="G1322" i="59"/>
  <c r="D1322" i="59"/>
  <c r="G1321" i="59"/>
  <c r="D1321" i="59"/>
  <c r="G1320" i="59"/>
  <c r="D1320" i="59"/>
  <c r="G1319" i="59"/>
  <c r="D1319" i="59"/>
  <c r="G1318" i="59"/>
  <c r="D1318" i="59"/>
  <c r="G1317" i="59"/>
  <c r="D1317" i="59"/>
  <c r="G1316" i="59"/>
  <c r="D1316" i="59"/>
  <c r="G1315" i="59"/>
  <c r="D1315" i="59"/>
  <c r="G1314" i="59"/>
  <c r="D1314" i="59"/>
  <c r="G1313" i="59"/>
  <c r="D1313" i="59"/>
  <c r="G1312" i="59"/>
  <c r="D1312" i="59"/>
  <c r="G1311" i="59"/>
  <c r="D1311" i="59"/>
  <c r="G1310" i="59"/>
  <c r="D1310" i="59"/>
  <c r="G1309" i="59"/>
  <c r="D1309" i="59"/>
  <c r="G1308" i="59"/>
  <c r="D1308" i="59"/>
  <c r="G1307" i="59"/>
  <c r="D1307" i="59"/>
  <c r="G1306" i="59"/>
  <c r="D1306" i="59"/>
  <c r="G1305" i="59"/>
  <c r="D1305" i="59"/>
  <c r="G1304" i="59"/>
  <c r="D1304" i="59"/>
  <c r="G1303" i="59"/>
  <c r="D1303" i="59"/>
  <c r="G1302" i="59"/>
  <c r="D1302" i="59"/>
  <c r="G1301" i="59"/>
  <c r="D1301" i="59"/>
  <c r="G1300" i="59"/>
  <c r="D1300" i="59"/>
  <c r="G1299" i="59"/>
  <c r="D1299" i="59"/>
  <c r="G1298" i="59"/>
  <c r="D1298" i="59"/>
  <c r="G1297" i="59"/>
  <c r="D1297" i="59"/>
  <c r="G1296" i="59"/>
  <c r="D1296" i="59"/>
  <c r="G1295" i="59"/>
  <c r="D1295" i="59"/>
  <c r="G1294" i="59"/>
  <c r="D1294" i="59"/>
  <c r="G1293" i="59"/>
  <c r="D1293" i="59"/>
  <c r="G1292" i="59"/>
  <c r="D1292" i="59"/>
  <c r="G1291" i="59"/>
  <c r="D1291" i="59"/>
  <c r="G1290" i="59"/>
  <c r="D1290" i="59"/>
  <c r="G1289" i="59"/>
  <c r="D1289" i="59"/>
  <c r="G1288" i="59"/>
  <c r="D1288" i="59"/>
  <c r="G1287" i="59"/>
  <c r="D1287" i="59"/>
  <c r="G1286" i="59"/>
  <c r="D1286" i="59"/>
  <c r="G1285" i="59"/>
  <c r="D1285" i="59"/>
  <c r="G1284" i="59"/>
  <c r="D1284" i="59"/>
  <c r="G1283" i="59"/>
  <c r="D1283" i="59"/>
  <c r="G1282" i="59"/>
  <c r="D1282" i="59"/>
  <c r="G1281" i="59"/>
  <c r="D1281" i="59"/>
  <c r="G1280" i="59"/>
  <c r="D1280" i="59"/>
  <c r="G1279" i="59"/>
  <c r="D1279" i="59"/>
  <c r="G1278" i="59"/>
  <c r="D1278" i="59"/>
  <c r="G1277" i="59"/>
  <c r="D1277" i="59"/>
  <c r="G1276" i="59"/>
  <c r="D1276" i="59"/>
  <c r="G1275" i="59"/>
  <c r="D1275" i="59"/>
  <c r="G1274" i="59"/>
  <c r="D1274" i="59"/>
  <c r="G1273" i="59"/>
  <c r="D1273" i="59"/>
  <c r="G1272" i="59"/>
  <c r="D1272" i="59"/>
  <c r="G1271" i="59"/>
  <c r="D1271" i="59"/>
  <c r="G1270" i="59"/>
  <c r="D1270" i="59"/>
  <c r="G1269" i="59"/>
  <c r="D1269" i="59"/>
  <c r="G1268" i="59"/>
  <c r="D1268" i="59"/>
  <c r="G1267" i="59"/>
  <c r="D1267" i="59"/>
  <c r="G1266" i="59"/>
  <c r="D1266" i="59"/>
  <c r="G1265" i="59"/>
  <c r="D1265" i="59"/>
  <c r="G1264" i="59"/>
  <c r="D1264" i="59"/>
  <c r="G1263" i="59"/>
  <c r="D1263" i="59"/>
  <c r="G1262" i="59"/>
  <c r="D1262" i="59"/>
  <c r="G1261" i="59"/>
  <c r="D1261" i="59"/>
  <c r="G1260" i="59"/>
  <c r="D1260" i="59"/>
  <c r="G1259" i="59"/>
  <c r="D1259" i="59"/>
  <c r="G1258" i="59"/>
  <c r="D1258" i="59"/>
  <c r="G1257" i="59"/>
  <c r="D1257" i="59"/>
  <c r="G1256" i="59"/>
  <c r="D1256" i="59"/>
  <c r="G1255" i="59"/>
  <c r="D1255" i="59"/>
  <c r="G1254" i="59"/>
  <c r="D1254" i="59"/>
  <c r="G1253" i="59"/>
  <c r="D1253" i="59"/>
  <c r="G1252" i="59"/>
  <c r="D1252" i="59"/>
  <c r="G1251" i="59"/>
  <c r="D1251" i="59"/>
  <c r="G1250" i="59"/>
  <c r="D1250" i="59"/>
  <c r="G1249" i="59"/>
  <c r="D1249" i="59"/>
  <c r="G1248" i="59"/>
  <c r="D1248" i="59"/>
  <c r="G1247" i="59"/>
  <c r="D1247" i="59"/>
  <c r="G1246" i="59"/>
  <c r="D1246" i="59"/>
  <c r="G1245" i="59"/>
  <c r="D1245" i="59"/>
  <c r="G1244" i="59"/>
  <c r="D1244" i="59"/>
  <c r="G1243" i="59"/>
  <c r="D1243" i="59"/>
  <c r="G1242" i="59"/>
  <c r="D1242" i="59"/>
  <c r="G1241" i="59"/>
  <c r="D1241" i="59"/>
  <c r="G1240" i="59"/>
  <c r="D1240" i="59"/>
  <c r="G1239" i="59"/>
  <c r="D1239" i="59"/>
  <c r="G1238" i="59"/>
  <c r="D1238" i="59"/>
  <c r="G1237" i="59"/>
  <c r="D1237" i="59"/>
  <c r="G1236" i="59"/>
  <c r="D1236" i="59"/>
  <c r="G1235" i="59"/>
  <c r="D1235" i="59"/>
  <c r="G1234" i="59"/>
  <c r="D1234" i="59"/>
  <c r="G1233" i="59"/>
  <c r="D1233" i="59"/>
  <c r="G1232" i="59"/>
  <c r="D1232" i="59"/>
  <c r="G1231" i="59"/>
  <c r="D1231" i="59"/>
  <c r="G1230" i="59"/>
  <c r="D1230" i="59"/>
  <c r="G1229" i="59"/>
  <c r="D1229" i="59"/>
  <c r="G1228" i="59"/>
  <c r="D1228" i="59"/>
  <c r="G1227" i="59"/>
  <c r="D1227" i="59"/>
  <c r="G1226" i="59"/>
  <c r="D1226" i="59"/>
  <c r="G1225" i="59"/>
  <c r="D1225" i="59"/>
  <c r="G1224" i="59"/>
  <c r="D1224" i="59"/>
  <c r="G1223" i="59"/>
  <c r="D1223" i="59"/>
  <c r="G1222" i="59"/>
  <c r="D1222" i="59"/>
  <c r="G1221" i="59"/>
  <c r="D1221" i="59"/>
  <c r="G1220" i="59"/>
  <c r="D1220" i="59"/>
  <c r="G1219" i="59"/>
  <c r="D1219" i="59"/>
  <c r="G1218" i="59"/>
  <c r="D1218" i="59"/>
  <c r="G1217" i="59"/>
  <c r="D1217" i="59"/>
  <c r="G1216" i="59"/>
  <c r="D1216" i="59"/>
  <c r="G1215" i="59"/>
  <c r="D1215" i="59"/>
  <c r="G1214" i="59"/>
  <c r="D1214" i="59"/>
  <c r="G1213" i="59"/>
  <c r="D1213" i="59"/>
  <c r="G1212" i="59"/>
  <c r="D1212" i="59"/>
  <c r="G1211" i="59"/>
  <c r="D1211" i="59"/>
  <c r="G1210" i="59"/>
  <c r="D1210" i="59"/>
  <c r="G1209" i="59"/>
  <c r="D1209" i="59"/>
  <c r="G1208" i="59"/>
  <c r="D1208" i="59"/>
  <c r="G1207" i="59"/>
  <c r="D1207" i="59"/>
  <c r="G1206" i="59"/>
  <c r="D1206" i="59"/>
  <c r="G1205" i="59"/>
  <c r="D1205" i="59"/>
  <c r="G1204" i="59"/>
  <c r="D1204" i="59"/>
  <c r="G1203" i="59"/>
  <c r="D1203" i="59"/>
  <c r="G1202" i="59"/>
  <c r="D1202" i="59"/>
  <c r="G1201" i="59"/>
  <c r="D1201" i="59"/>
  <c r="G1200" i="59"/>
  <c r="D1200" i="59"/>
  <c r="G1199" i="59"/>
  <c r="D1199" i="59"/>
  <c r="G1198" i="59"/>
  <c r="D1198" i="59"/>
  <c r="G1197" i="59"/>
  <c r="D1197" i="59"/>
  <c r="G1196" i="59"/>
  <c r="D1196" i="59"/>
  <c r="G1195" i="59"/>
  <c r="D1195" i="59"/>
  <c r="G1194" i="59"/>
  <c r="D1194" i="59"/>
  <c r="G1193" i="59"/>
  <c r="D1193" i="59"/>
  <c r="G1192" i="59"/>
  <c r="D1192" i="59"/>
  <c r="G1191" i="59"/>
  <c r="D1191" i="59"/>
  <c r="G1190" i="59"/>
  <c r="D1190" i="59"/>
  <c r="G1189" i="59"/>
  <c r="D1189" i="59"/>
  <c r="G1188" i="59"/>
  <c r="D1188" i="59"/>
  <c r="G1187" i="59"/>
  <c r="D1187" i="59"/>
  <c r="G1186" i="59"/>
  <c r="D1186" i="59"/>
  <c r="G1185" i="59"/>
  <c r="D1185" i="59"/>
  <c r="G1184" i="59"/>
  <c r="D1184" i="59"/>
  <c r="G1183" i="59"/>
  <c r="D1183" i="59"/>
  <c r="G1182" i="59"/>
  <c r="D1182" i="59"/>
  <c r="G1181" i="59"/>
  <c r="D1181" i="59"/>
  <c r="G1180" i="59"/>
  <c r="D1180" i="59"/>
  <c r="G1179" i="59"/>
  <c r="D1179" i="59"/>
  <c r="G1178" i="59"/>
  <c r="D1178" i="59"/>
  <c r="G1177" i="59"/>
  <c r="D1177" i="59"/>
  <c r="G1176" i="59"/>
  <c r="D1176" i="59"/>
  <c r="G1175" i="59"/>
  <c r="D1175" i="59"/>
  <c r="G1174" i="59"/>
  <c r="D1174" i="59"/>
  <c r="G1173" i="59"/>
  <c r="D1173" i="59"/>
  <c r="G1172" i="59"/>
  <c r="D1172" i="59"/>
  <c r="G1171" i="59"/>
  <c r="D1171" i="59"/>
  <c r="G1170" i="59"/>
  <c r="D1170" i="59"/>
  <c r="G1169" i="59"/>
  <c r="D1169" i="59"/>
  <c r="G1168" i="59"/>
  <c r="D1168" i="59"/>
  <c r="G1167" i="59"/>
  <c r="D1167" i="59"/>
  <c r="G1166" i="59"/>
  <c r="D1166" i="59"/>
  <c r="G1165" i="59"/>
  <c r="D1165" i="59"/>
  <c r="C780" i="60"/>
  <c r="C788" i="60"/>
  <c r="M787" i="60"/>
  <c r="C787" i="60"/>
  <c r="C786" i="60"/>
  <c r="M784" i="60"/>
  <c r="C785" i="60"/>
  <c r="C784" i="60"/>
  <c r="C783" i="60"/>
  <c r="M777" i="60"/>
  <c r="M781" i="60"/>
  <c r="C782" i="60"/>
  <c r="C781" i="60"/>
  <c r="M775" i="60"/>
  <c r="G1164" i="59"/>
  <c r="D1164" i="59"/>
  <c r="G1163" i="59"/>
  <c r="D1163" i="59"/>
  <c r="G1162" i="59"/>
  <c r="D1162" i="59"/>
  <c r="G1161" i="59"/>
  <c r="D1161" i="59"/>
  <c r="C779" i="60"/>
  <c r="E661" i="60"/>
  <c r="E53" i="60"/>
  <c r="G1160" i="59"/>
  <c r="D1160" i="59"/>
  <c r="G1159" i="59"/>
  <c r="D1159" i="59"/>
  <c r="D157" i="62"/>
  <c r="D156" i="62"/>
  <c r="D155" i="62"/>
  <c r="C758" i="60"/>
  <c r="C778" i="60"/>
  <c r="C777" i="60"/>
  <c r="C776" i="60"/>
  <c r="C775" i="60"/>
  <c r="L157" i="62"/>
  <c r="L156" i="62"/>
  <c r="L155" i="62"/>
  <c r="L154" i="62"/>
  <c r="L153" i="62"/>
  <c r="L152" i="62"/>
  <c r="L151" i="62"/>
  <c r="L150" i="62"/>
  <c r="L149" i="62"/>
  <c r="L148" i="62"/>
  <c r="L147" i="62"/>
  <c r="L146" i="62"/>
  <c r="L145" i="62"/>
  <c r="L144" i="62"/>
  <c r="L143" i="62"/>
  <c r="L142" i="62"/>
  <c r="L141" i="62"/>
  <c r="L140" i="62"/>
  <c r="L139" i="62"/>
  <c r="L138" i="62"/>
  <c r="L137" i="62"/>
  <c r="K157" i="62"/>
  <c r="K156" i="62"/>
  <c r="K155" i="62"/>
  <c r="K154" i="62"/>
  <c r="K153" i="62"/>
  <c r="K152" i="62"/>
  <c r="K151" i="62"/>
  <c r="K150" i="62"/>
  <c r="K149" i="62"/>
  <c r="K148" i="62"/>
  <c r="K147" i="62"/>
  <c r="K146" i="62"/>
  <c r="K145" i="62"/>
  <c r="K144" i="62"/>
  <c r="K143" i="62"/>
  <c r="K142" i="62"/>
  <c r="K141" i="62"/>
  <c r="K140" i="62"/>
  <c r="K139" i="62"/>
  <c r="K137" i="62"/>
  <c r="K138" i="62"/>
  <c r="D136" i="62"/>
  <c r="D135" i="62"/>
  <c r="D134" i="62"/>
  <c r="M727" i="60"/>
  <c r="M729" i="60"/>
  <c r="M732" i="60"/>
  <c r="M734" i="60"/>
  <c r="M736" i="60"/>
  <c r="M738" i="60"/>
  <c r="M741" i="60"/>
  <c r="M744" i="60"/>
  <c r="M746" i="60"/>
  <c r="M748" i="60"/>
  <c r="M751" i="60"/>
  <c r="M753" i="60"/>
  <c r="M755" i="60"/>
  <c r="M759" i="60"/>
  <c r="M761" i="60"/>
  <c r="M763" i="60"/>
  <c r="M766" i="60"/>
  <c r="M769" i="60"/>
  <c r="M771" i="60"/>
  <c r="M773" i="60"/>
  <c r="C774" i="60"/>
  <c r="C773" i="60"/>
  <c r="C772" i="60"/>
  <c r="C771" i="60"/>
  <c r="C770" i="60"/>
  <c r="C769" i="60"/>
  <c r="C768" i="60"/>
  <c r="C142" i="60"/>
  <c r="C767" i="60"/>
  <c r="C766" i="60"/>
  <c r="C765" i="60"/>
  <c r="C764" i="60"/>
  <c r="C763" i="60"/>
  <c r="C762" i="60"/>
  <c r="C761" i="60"/>
  <c r="G1158" i="59"/>
  <c r="D1158" i="59"/>
  <c r="G1157" i="59"/>
  <c r="D1157" i="59"/>
  <c r="C760" i="60"/>
  <c r="C759" i="60"/>
  <c r="C757" i="60"/>
  <c r="C756" i="60"/>
  <c r="C755" i="60"/>
  <c r="C754" i="60"/>
  <c r="C753" i="60"/>
  <c r="C752" i="60"/>
  <c r="C751" i="60"/>
  <c r="C750" i="60"/>
  <c r="C749" i="60"/>
  <c r="C748" i="60"/>
  <c r="G1156" i="59"/>
  <c r="D1156" i="59"/>
  <c r="G1155" i="59"/>
  <c r="D1155" i="59"/>
  <c r="G1154" i="59"/>
  <c r="D1154" i="59"/>
  <c r="E120" i="60"/>
  <c r="C747" i="60"/>
  <c r="C746" i="60"/>
  <c r="C745" i="60"/>
  <c r="C744" i="60"/>
  <c r="C742" i="60"/>
  <c r="C741" i="60"/>
  <c r="C740" i="60"/>
  <c r="C739" i="60"/>
  <c r="C738" i="60"/>
  <c r="C737" i="60"/>
  <c r="C736" i="60"/>
  <c r="C735" i="60"/>
  <c r="C734" i="60"/>
  <c r="C733" i="60"/>
  <c r="C732" i="60"/>
  <c r="C731" i="60"/>
  <c r="C631" i="60"/>
  <c r="C730" i="60"/>
  <c r="C729" i="60"/>
  <c r="C728" i="60"/>
  <c r="C727" i="60"/>
  <c r="C726" i="60"/>
  <c r="E24" i="60"/>
  <c r="G1153" i="59"/>
  <c r="D1153" i="59"/>
  <c r="G1152" i="59"/>
  <c r="D1152" i="59"/>
  <c r="G1151" i="59"/>
  <c r="D1151" i="59"/>
  <c r="C725" i="60"/>
  <c r="G1150" i="59"/>
  <c r="D1150" i="59"/>
  <c r="G1149" i="59"/>
  <c r="D1149" i="59"/>
  <c r="G1148" i="59"/>
  <c r="D1148" i="59"/>
  <c r="G1147" i="59"/>
  <c r="D1147" i="59"/>
  <c r="G1146" i="59"/>
  <c r="D1146" i="59"/>
  <c r="G1145" i="59"/>
  <c r="D1145" i="59"/>
  <c r="G1144" i="59"/>
  <c r="D1144" i="59"/>
  <c r="G1143" i="59"/>
  <c r="D1143" i="59"/>
  <c r="G1142" i="59"/>
  <c r="D1142" i="59"/>
  <c r="C724" i="60"/>
  <c r="G1141" i="59"/>
  <c r="D1141" i="59"/>
  <c r="G1140" i="59"/>
  <c r="D1140" i="59"/>
  <c r="G1139" i="59"/>
  <c r="D1139" i="59"/>
  <c r="C723" i="60"/>
  <c r="G1138" i="59"/>
  <c r="D1138" i="59"/>
  <c r="C722" i="60"/>
  <c r="C721" i="60"/>
  <c r="C720" i="60"/>
  <c r="C719" i="60"/>
  <c r="C718" i="60"/>
  <c r="C717" i="60"/>
  <c r="C716" i="60"/>
  <c r="C715" i="60"/>
  <c r="C714" i="60"/>
  <c r="C713" i="60"/>
  <c r="C712" i="60"/>
  <c r="C711" i="60"/>
  <c r="C710" i="60"/>
  <c r="C709" i="60"/>
  <c r="C708" i="60"/>
  <c r="C707" i="60"/>
  <c r="C706" i="60"/>
  <c r="C705" i="60"/>
  <c r="C704" i="60"/>
  <c r="C703" i="60"/>
  <c r="C702" i="60"/>
  <c r="C701" i="60"/>
  <c r="C700" i="60"/>
  <c r="C699" i="60"/>
  <c r="C698" i="60"/>
  <c r="C697" i="60"/>
  <c r="C696" i="60"/>
  <c r="C695" i="60"/>
  <c r="C694" i="60"/>
  <c r="C693" i="60"/>
  <c r="C692" i="60"/>
  <c r="C691" i="60"/>
  <c r="C690" i="60"/>
  <c r="C689" i="60"/>
  <c r="C688" i="60"/>
  <c r="C687" i="60"/>
  <c r="C686" i="60"/>
  <c r="C685" i="60"/>
  <c r="C684" i="60"/>
  <c r="C683" i="60"/>
  <c r="C682" i="60"/>
  <c r="C681" i="60"/>
  <c r="C680" i="60"/>
  <c r="C679" i="60"/>
  <c r="C678" i="60"/>
  <c r="C677" i="60"/>
  <c r="C676" i="60"/>
  <c r="C675" i="60"/>
  <c r="C674" i="60"/>
  <c r="C673" i="60"/>
  <c r="C672" i="60"/>
  <c r="C671" i="60"/>
  <c r="C670" i="60"/>
  <c r="C669" i="60"/>
  <c r="C668" i="60"/>
  <c r="C667" i="60"/>
  <c r="C666" i="60"/>
  <c r="C665" i="60"/>
  <c r="C664" i="60"/>
  <c r="C663" i="60"/>
  <c r="C662" i="60"/>
  <c r="C661" i="60"/>
  <c r="C660" i="60"/>
  <c r="C659" i="60"/>
  <c r="C658" i="60"/>
  <c r="C657" i="60"/>
  <c r="C656" i="60"/>
  <c r="C655" i="60"/>
  <c r="C654" i="60"/>
  <c r="C653" i="60"/>
  <c r="C652" i="60"/>
  <c r="C651" i="60"/>
  <c r="C650" i="60"/>
  <c r="C649" i="60"/>
  <c r="C648" i="60"/>
  <c r="C647" i="60"/>
  <c r="C646" i="60"/>
  <c r="C645" i="60"/>
  <c r="C644" i="60"/>
  <c r="C643" i="60"/>
  <c r="C642" i="60"/>
  <c r="C641" i="60"/>
  <c r="C640" i="60"/>
  <c r="C639" i="60"/>
  <c r="C638" i="60"/>
  <c r="C637" i="60"/>
  <c r="C636" i="60"/>
  <c r="C635" i="60"/>
  <c r="C634" i="60"/>
  <c r="C633" i="60"/>
  <c r="C632" i="60"/>
  <c r="C630" i="60"/>
  <c r="C629" i="60"/>
  <c r="C628" i="60"/>
  <c r="C627" i="60"/>
  <c r="G1137" i="59"/>
  <c r="D1137" i="59"/>
  <c r="G1136" i="59"/>
  <c r="D1136" i="59"/>
  <c r="G1135" i="59"/>
  <c r="D1135" i="59"/>
  <c r="G1134" i="59"/>
  <c r="D1134" i="59"/>
  <c r="G1133" i="59"/>
  <c r="D1133" i="59"/>
  <c r="G1132" i="59"/>
  <c r="D1132" i="59"/>
  <c r="G1131" i="59"/>
  <c r="D1131" i="59"/>
  <c r="G1130" i="59"/>
  <c r="D1130" i="59"/>
  <c r="G1129" i="59"/>
  <c r="D1129" i="59"/>
  <c r="G1128" i="59"/>
  <c r="D1128" i="59"/>
  <c r="G1127" i="59"/>
  <c r="D1127" i="59"/>
  <c r="G1126" i="59"/>
  <c r="D1126" i="59"/>
  <c r="G1125" i="59"/>
  <c r="D1125" i="59"/>
  <c r="G1124" i="59"/>
  <c r="D1124" i="59"/>
  <c r="G1123" i="59"/>
  <c r="D1123" i="59"/>
  <c r="G1122" i="59"/>
  <c r="D1122" i="59"/>
  <c r="G1121" i="59"/>
  <c r="D1121" i="59"/>
  <c r="G1120" i="59"/>
  <c r="D1120" i="59"/>
  <c r="G1119" i="59"/>
  <c r="D1119" i="59"/>
  <c r="G1118" i="59"/>
  <c r="D1118" i="59"/>
  <c r="G1117" i="59"/>
  <c r="D1117" i="59"/>
  <c r="G1116" i="59"/>
  <c r="D1116" i="59"/>
  <c r="G1115" i="59"/>
  <c r="D1115" i="59"/>
  <c r="G1114" i="59"/>
  <c r="D1114" i="59"/>
  <c r="G1113" i="59"/>
  <c r="D1113" i="59"/>
  <c r="G1112" i="59"/>
  <c r="D1112" i="59"/>
  <c r="G1111" i="59"/>
  <c r="D1111" i="59"/>
  <c r="G1110" i="59"/>
  <c r="D1110" i="59"/>
  <c r="G1109" i="59"/>
  <c r="D1109" i="59"/>
  <c r="G1108" i="59"/>
  <c r="D1108" i="59"/>
  <c r="G1107" i="59"/>
  <c r="D1107" i="59"/>
  <c r="G1106" i="59"/>
  <c r="D1106" i="59"/>
  <c r="G1105" i="59"/>
  <c r="D1105" i="59"/>
  <c r="G1104" i="59"/>
  <c r="D1104" i="59"/>
  <c r="G1103" i="59"/>
  <c r="D1103" i="59"/>
  <c r="G1102" i="59"/>
  <c r="D1102" i="59"/>
  <c r="G1101" i="59"/>
  <c r="D1101" i="59"/>
  <c r="G1100" i="59"/>
  <c r="D1100" i="59"/>
  <c r="G1099" i="59"/>
  <c r="D1099" i="59"/>
  <c r="G1098" i="59"/>
  <c r="D1098" i="59"/>
  <c r="G1097" i="59"/>
  <c r="D1097" i="59"/>
  <c r="G1096" i="59"/>
  <c r="D1096" i="59"/>
  <c r="G1095" i="59"/>
  <c r="D1095" i="59"/>
  <c r="G1094" i="59"/>
  <c r="D1094" i="59"/>
  <c r="G1093" i="59"/>
  <c r="D1093" i="59"/>
  <c r="G1092" i="59"/>
  <c r="D1092" i="59"/>
  <c r="G1091" i="59"/>
  <c r="D1091" i="59"/>
  <c r="G1090" i="59"/>
  <c r="D1090" i="59"/>
  <c r="G1089" i="59"/>
  <c r="D1089" i="59"/>
  <c r="G1088" i="59"/>
  <c r="D1088" i="59"/>
  <c r="G1087" i="59"/>
  <c r="D1087" i="59"/>
  <c r="G1086" i="59"/>
  <c r="D1086" i="59"/>
  <c r="G1085" i="59"/>
  <c r="D1085" i="59"/>
  <c r="G1084" i="59"/>
  <c r="D1084" i="59"/>
  <c r="G1083" i="59"/>
  <c r="D1083" i="59"/>
  <c r="G1082" i="59"/>
  <c r="D1082" i="59"/>
  <c r="G1081" i="59"/>
  <c r="D1081" i="59"/>
  <c r="G1080" i="59"/>
  <c r="D1080" i="59"/>
  <c r="G1079" i="59"/>
  <c r="D1079" i="59"/>
  <c r="G1078" i="59"/>
  <c r="D1078" i="59"/>
  <c r="G1077" i="59"/>
  <c r="D1077" i="59"/>
  <c r="G1076" i="59"/>
  <c r="D1076" i="59"/>
  <c r="G1075" i="59"/>
  <c r="D1075" i="59"/>
  <c r="G1074" i="59"/>
  <c r="D1074" i="59"/>
  <c r="G1073" i="59"/>
  <c r="D1073" i="59"/>
  <c r="G1072" i="59"/>
  <c r="D1072" i="59"/>
  <c r="G1071" i="59"/>
  <c r="D1071" i="59"/>
  <c r="G1070" i="59"/>
  <c r="D1070" i="59"/>
  <c r="G1069" i="59"/>
  <c r="D1069" i="59"/>
  <c r="G1068" i="59"/>
  <c r="D1068" i="59"/>
  <c r="G1067" i="59"/>
  <c r="D1067" i="59"/>
  <c r="G1066" i="59"/>
  <c r="D1066" i="59"/>
  <c r="G1065" i="59"/>
  <c r="D1065" i="59"/>
  <c r="G1064" i="59"/>
  <c r="D1064" i="59"/>
  <c r="G1063" i="59"/>
  <c r="D1063" i="59"/>
  <c r="G1062" i="59"/>
  <c r="D1062" i="59"/>
  <c r="G1061" i="59"/>
  <c r="D1061" i="59"/>
  <c r="G1060" i="59"/>
  <c r="D1060" i="59"/>
  <c r="G1059" i="59"/>
  <c r="D1059" i="59"/>
  <c r="G1058" i="59"/>
  <c r="D1058" i="59"/>
  <c r="G1057" i="59"/>
  <c r="D1057" i="59"/>
  <c r="G1056" i="59"/>
  <c r="D1056" i="59"/>
  <c r="G1055" i="59"/>
  <c r="D1055" i="59"/>
  <c r="G1054" i="59"/>
  <c r="D1054" i="59"/>
  <c r="G1053" i="59"/>
  <c r="D1053" i="59"/>
  <c r="G1052" i="59"/>
  <c r="D1052" i="59"/>
  <c r="G1051" i="59"/>
  <c r="D1051" i="59"/>
  <c r="G1050" i="59"/>
  <c r="D1050" i="59"/>
  <c r="G1049" i="59"/>
  <c r="D1049" i="59"/>
  <c r="G1048" i="59"/>
  <c r="D1048" i="59"/>
  <c r="G1047" i="59"/>
  <c r="D1047" i="59"/>
  <c r="G1046" i="59"/>
  <c r="D1046" i="59"/>
  <c r="G1045" i="59"/>
  <c r="D1045" i="59"/>
  <c r="G1044" i="59"/>
  <c r="D1044" i="59"/>
  <c r="G1043" i="59"/>
  <c r="D1043" i="59"/>
  <c r="G1042" i="59"/>
  <c r="D1042" i="59"/>
  <c r="G1041" i="59"/>
  <c r="D1041" i="59"/>
  <c r="G1040" i="59"/>
  <c r="D1040" i="59"/>
  <c r="G1039" i="59"/>
  <c r="D1039" i="59"/>
  <c r="G1038" i="59"/>
  <c r="D1038" i="59"/>
  <c r="G1037" i="59"/>
  <c r="D1037" i="59"/>
  <c r="G1036" i="59"/>
  <c r="D1036" i="59"/>
  <c r="G1035" i="59"/>
  <c r="D1035" i="59"/>
  <c r="G1034" i="59"/>
  <c r="D1034" i="59"/>
  <c r="G1033" i="59"/>
  <c r="D1033" i="59"/>
  <c r="G1032" i="59"/>
  <c r="D1032" i="59"/>
  <c r="G1031" i="59"/>
  <c r="D1031" i="59"/>
  <c r="G1030" i="59"/>
  <c r="D1030" i="59"/>
  <c r="G1029" i="59"/>
  <c r="D1029" i="59"/>
  <c r="G1028" i="59"/>
  <c r="D1028" i="59"/>
  <c r="G1027" i="59"/>
  <c r="D1027" i="59"/>
  <c r="G1026" i="59"/>
  <c r="D1026" i="59"/>
  <c r="G1025" i="59"/>
  <c r="D1025" i="59"/>
  <c r="G1024" i="59"/>
  <c r="D1024" i="59"/>
  <c r="G1023" i="59"/>
  <c r="D1023" i="59"/>
  <c r="G1022" i="59"/>
  <c r="D1022" i="59"/>
  <c r="G1021" i="59"/>
  <c r="D1021" i="59"/>
  <c r="G1020" i="59"/>
  <c r="D1020" i="59"/>
  <c r="G1019" i="59"/>
  <c r="D1019" i="59"/>
  <c r="G1018" i="59"/>
  <c r="D1018" i="59"/>
  <c r="G1017" i="59"/>
  <c r="D1017" i="59"/>
  <c r="G1016" i="59"/>
  <c r="D1016" i="59"/>
  <c r="G1015" i="59"/>
  <c r="D1015" i="59"/>
  <c r="G1014" i="59"/>
  <c r="D1014" i="59"/>
  <c r="G1013" i="59"/>
  <c r="D1013" i="59"/>
  <c r="G1012" i="59"/>
  <c r="D1012" i="59"/>
  <c r="G1011" i="59"/>
  <c r="D1011" i="59"/>
  <c r="G1010" i="59"/>
  <c r="D1010" i="59"/>
  <c r="G1009" i="59"/>
  <c r="D1009" i="59"/>
  <c r="G1008" i="59"/>
  <c r="D1008" i="59"/>
  <c r="G1007" i="59"/>
  <c r="D1007" i="59"/>
  <c r="G1006" i="59"/>
  <c r="D1006" i="59"/>
  <c r="G1005" i="59"/>
  <c r="D1005" i="59"/>
  <c r="G1004" i="59"/>
  <c r="D1004" i="59"/>
  <c r="G1003" i="59"/>
  <c r="D1003" i="59"/>
  <c r="G1002" i="59"/>
  <c r="D1002" i="59"/>
  <c r="G1001" i="59"/>
  <c r="D1001" i="59"/>
  <c r="G1000" i="59"/>
  <c r="D1000" i="59"/>
  <c r="G999" i="59"/>
  <c r="D999" i="59"/>
  <c r="G998" i="59"/>
  <c r="D998" i="59"/>
  <c r="G997" i="59"/>
  <c r="D997" i="59"/>
  <c r="G996" i="59"/>
  <c r="D996" i="59"/>
  <c r="G995" i="59"/>
  <c r="D995" i="59"/>
  <c r="G994" i="59"/>
  <c r="D994" i="59"/>
  <c r="G993" i="59"/>
  <c r="D993" i="59"/>
  <c r="G992" i="59"/>
  <c r="D992" i="59"/>
  <c r="G991" i="59"/>
  <c r="D991" i="59"/>
  <c r="G990" i="59"/>
  <c r="D990" i="59"/>
  <c r="G989" i="59"/>
  <c r="D989" i="59"/>
  <c r="G988" i="59"/>
  <c r="D988" i="59"/>
  <c r="G987" i="59"/>
  <c r="D987" i="59"/>
  <c r="G986" i="59"/>
  <c r="D986" i="59"/>
  <c r="G985" i="59"/>
  <c r="D985" i="59"/>
  <c r="G984" i="59"/>
  <c r="D984" i="59"/>
  <c r="G983" i="59"/>
  <c r="D983" i="59"/>
  <c r="G982" i="59"/>
  <c r="D982" i="59"/>
  <c r="G981" i="59"/>
  <c r="D981" i="59"/>
  <c r="G980" i="59"/>
  <c r="D980" i="59"/>
  <c r="G979" i="59"/>
  <c r="D979" i="59"/>
  <c r="G978" i="59"/>
  <c r="D978" i="59"/>
  <c r="G977" i="59"/>
  <c r="D977" i="59"/>
  <c r="G976" i="59"/>
  <c r="D976" i="59"/>
  <c r="G975" i="59"/>
  <c r="D975" i="59"/>
  <c r="G974" i="59"/>
  <c r="D974" i="59"/>
  <c r="G973" i="59"/>
  <c r="D973" i="59"/>
  <c r="G972" i="59"/>
  <c r="D972" i="59"/>
  <c r="G971" i="59"/>
  <c r="D971" i="59"/>
  <c r="G970" i="59"/>
  <c r="D970" i="59"/>
  <c r="G969" i="59"/>
  <c r="D969" i="59"/>
  <c r="G968" i="59"/>
  <c r="D968" i="59"/>
  <c r="G967" i="59"/>
  <c r="D967" i="59"/>
  <c r="C743" i="60"/>
  <c r="C626" i="60"/>
  <c r="K956" i="59"/>
  <c r="G966" i="59"/>
  <c r="D966" i="59"/>
  <c r="G965" i="59"/>
  <c r="D965" i="59"/>
  <c r="C625" i="60"/>
  <c r="E625" i="60"/>
  <c r="D133" i="62"/>
  <c r="D132" i="62"/>
  <c r="C624" i="60"/>
  <c r="D130" i="62"/>
  <c r="C623" i="60"/>
  <c r="G964" i="59"/>
  <c r="D964" i="59"/>
  <c r="G963" i="59"/>
  <c r="D963" i="59"/>
  <c r="G962" i="59"/>
  <c r="D962" i="59"/>
  <c r="C622" i="60"/>
  <c r="G961" i="59"/>
  <c r="D961" i="59"/>
  <c r="C621" i="60"/>
  <c r="C620" i="60"/>
  <c r="C619" i="60"/>
  <c r="C618" i="60"/>
  <c r="C617" i="60"/>
  <c r="C616" i="60"/>
  <c r="G960" i="59"/>
  <c r="D960" i="59"/>
  <c r="G959" i="59"/>
  <c r="D959" i="59"/>
  <c r="C615" i="60"/>
  <c r="G958" i="59"/>
  <c r="D958" i="59"/>
  <c r="G957" i="59"/>
  <c r="D957" i="59"/>
  <c r="G956" i="59"/>
  <c r="D956" i="59"/>
  <c r="G955" i="59"/>
  <c r="D955" i="59"/>
  <c r="C614" i="60"/>
  <c r="C613" i="60"/>
  <c r="G954" i="59"/>
  <c r="D954" i="59"/>
  <c r="C612" i="60"/>
  <c r="E13" i="60"/>
  <c r="C611" i="60"/>
  <c r="C610" i="60"/>
  <c r="C609" i="60"/>
  <c r="C608" i="60"/>
  <c r="C607" i="60"/>
  <c r="C606" i="60"/>
  <c r="C605" i="60"/>
  <c r="C604" i="60"/>
  <c r="C603" i="60"/>
  <c r="C602" i="60"/>
  <c r="C601" i="60"/>
  <c r="C600" i="60"/>
  <c r="C599" i="60"/>
  <c r="C598" i="60"/>
  <c r="C597" i="60"/>
  <c r="C596" i="60"/>
  <c r="C595" i="60"/>
  <c r="C594" i="60"/>
  <c r="C593" i="60"/>
  <c r="C592" i="60"/>
  <c r="C591" i="60"/>
  <c r="C590" i="60"/>
  <c r="C589" i="60"/>
  <c r="C588" i="60"/>
  <c r="C587" i="60"/>
  <c r="C586" i="60"/>
  <c r="C585" i="60"/>
  <c r="C584" i="60"/>
  <c r="C583" i="60"/>
  <c r="C582" i="60"/>
  <c r="C581" i="60"/>
  <c r="C580" i="60"/>
  <c r="C579" i="60"/>
  <c r="C578" i="60"/>
  <c r="C577" i="60"/>
  <c r="C576" i="60"/>
  <c r="C575" i="60"/>
  <c r="C574" i="60"/>
  <c r="C573" i="60"/>
  <c r="C572" i="60"/>
  <c r="C571" i="60"/>
  <c r="C570" i="60"/>
  <c r="C569" i="60"/>
  <c r="C568" i="60"/>
  <c r="C567" i="60"/>
  <c r="C566" i="60"/>
  <c r="C565" i="60"/>
  <c r="C564" i="60"/>
  <c r="C563" i="60"/>
  <c r="C562" i="60"/>
  <c r="C561" i="60"/>
  <c r="C560" i="60"/>
  <c r="C559" i="60"/>
  <c r="C558" i="60"/>
  <c r="C557" i="60"/>
  <c r="C556" i="60"/>
  <c r="C555" i="60"/>
  <c r="C554" i="60"/>
  <c r="C553" i="60"/>
  <c r="C552" i="60"/>
  <c r="C551" i="60"/>
  <c r="C550" i="60"/>
  <c r="C549" i="60"/>
  <c r="C548" i="60"/>
  <c r="C547" i="60"/>
  <c r="C546" i="60"/>
  <c r="C545" i="60"/>
  <c r="C544" i="60"/>
  <c r="C543" i="60"/>
  <c r="C542" i="60"/>
  <c r="C541" i="60"/>
  <c r="C540" i="60"/>
  <c r="C539" i="60"/>
  <c r="C538" i="60"/>
  <c r="C537" i="60"/>
  <c r="C536" i="60"/>
  <c r="C535" i="60"/>
  <c r="C534" i="60"/>
  <c r="C533" i="60"/>
  <c r="C532" i="60"/>
  <c r="C531" i="60"/>
  <c r="C530" i="60"/>
  <c r="C529" i="60"/>
  <c r="C528" i="60"/>
  <c r="C527" i="60"/>
  <c r="C526" i="60"/>
  <c r="C525" i="60"/>
  <c r="C524" i="60"/>
  <c r="C523" i="60"/>
  <c r="C522" i="60"/>
  <c r="G953" i="59"/>
  <c r="D953" i="59"/>
  <c r="G952" i="59"/>
  <c r="D952" i="59"/>
  <c r="G951" i="59"/>
  <c r="D951" i="59"/>
  <c r="G950" i="59"/>
  <c r="D950" i="59"/>
  <c r="G949" i="59"/>
  <c r="D949" i="59"/>
  <c r="G948" i="59"/>
  <c r="D948" i="59"/>
  <c r="G947" i="59"/>
  <c r="D947" i="59"/>
  <c r="G946" i="59"/>
  <c r="D946" i="59"/>
  <c r="G945" i="59"/>
  <c r="D945" i="59"/>
  <c r="G944" i="59"/>
  <c r="D944" i="59"/>
  <c r="G943" i="59"/>
  <c r="D943" i="59"/>
  <c r="G942" i="59"/>
  <c r="D942" i="59"/>
  <c r="G941" i="59"/>
  <c r="D941" i="59"/>
  <c r="G940" i="59"/>
  <c r="D940" i="59"/>
  <c r="G939" i="59"/>
  <c r="D939" i="59"/>
  <c r="G938" i="59"/>
  <c r="D938" i="59"/>
  <c r="G937" i="59"/>
  <c r="D937" i="59"/>
  <c r="G936" i="59"/>
  <c r="D936" i="59"/>
  <c r="G935" i="59"/>
  <c r="D935" i="59"/>
  <c r="G934" i="59"/>
  <c r="D934" i="59"/>
  <c r="G933" i="59"/>
  <c r="D933" i="59"/>
  <c r="G932" i="59"/>
  <c r="D932" i="59"/>
  <c r="G931" i="59"/>
  <c r="D931" i="59"/>
  <c r="G930" i="59"/>
  <c r="D930" i="59"/>
  <c r="G929" i="59"/>
  <c r="D929" i="59"/>
  <c r="G928" i="59"/>
  <c r="D928" i="59"/>
  <c r="G927" i="59"/>
  <c r="D927" i="59"/>
  <c r="G926" i="59"/>
  <c r="D926" i="59"/>
  <c r="G925" i="59"/>
  <c r="D925" i="59"/>
  <c r="G924" i="59"/>
  <c r="D924" i="59"/>
  <c r="G923" i="59"/>
  <c r="D923" i="59"/>
  <c r="G922" i="59"/>
  <c r="D922" i="59"/>
  <c r="G921" i="59"/>
  <c r="D921" i="59"/>
  <c r="G920" i="59"/>
  <c r="D920" i="59"/>
  <c r="G919" i="59"/>
  <c r="D919" i="59"/>
  <c r="G918" i="59"/>
  <c r="D918" i="59"/>
  <c r="G917" i="59"/>
  <c r="D917" i="59"/>
  <c r="G916" i="59"/>
  <c r="D916" i="59"/>
  <c r="G915" i="59"/>
  <c r="D915" i="59"/>
  <c r="G914" i="59"/>
  <c r="D914" i="59"/>
  <c r="G913" i="59"/>
  <c r="D913" i="59"/>
  <c r="G912" i="59"/>
  <c r="D912" i="59"/>
  <c r="G911" i="59"/>
  <c r="D911" i="59"/>
  <c r="G910" i="59"/>
  <c r="D910" i="59"/>
  <c r="G909" i="59"/>
  <c r="D909" i="59"/>
  <c r="G908" i="59"/>
  <c r="D908" i="59"/>
  <c r="G907" i="59"/>
  <c r="D907" i="59"/>
  <c r="G906" i="59"/>
  <c r="D906" i="59"/>
  <c r="G905" i="59"/>
  <c r="D905" i="59"/>
  <c r="G904" i="59"/>
  <c r="D904" i="59"/>
  <c r="G903" i="59"/>
  <c r="D903" i="59"/>
  <c r="G902" i="59"/>
  <c r="D902" i="59"/>
  <c r="G901" i="59"/>
  <c r="D901" i="59"/>
  <c r="G900" i="59"/>
  <c r="D900" i="59"/>
  <c r="G899" i="59"/>
  <c r="D899" i="59"/>
  <c r="G898" i="59"/>
  <c r="D898" i="59"/>
  <c r="G897" i="59"/>
  <c r="D897" i="59"/>
  <c r="G896" i="59"/>
  <c r="D896" i="59"/>
  <c r="G895" i="59"/>
  <c r="D895" i="59"/>
  <c r="G894" i="59"/>
  <c r="D894" i="59"/>
  <c r="G893" i="59"/>
  <c r="D893" i="59"/>
  <c r="G892" i="59"/>
  <c r="D892" i="59"/>
  <c r="G891" i="59"/>
  <c r="D891" i="59"/>
  <c r="G890" i="59"/>
  <c r="D890" i="59"/>
  <c r="G889" i="59"/>
  <c r="D889" i="59"/>
  <c r="G888" i="59"/>
  <c r="D888" i="59"/>
  <c r="G887" i="59"/>
  <c r="D887" i="59"/>
  <c r="G886" i="59"/>
  <c r="D886" i="59"/>
  <c r="G885" i="59"/>
  <c r="D885" i="59"/>
  <c r="G884" i="59"/>
  <c r="D884" i="59"/>
  <c r="G883" i="59"/>
  <c r="D883" i="59"/>
  <c r="G882" i="59"/>
  <c r="D882" i="59"/>
  <c r="G881" i="59"/>
  <c r="D881" i="59"/>
  <c r="G880" i="59"/>
  <c r="D880" i="59"/>
  <c r="G879" i="59"/>
  <c r="D879" i="59"/>
  <c r="G878" i="59"/>
  <c r="D878" i="59"/>
  <c r="G877" i="59"/>
  <c r="D877" i="59"/>
  <c r="G876" i="59"/>
  <c r="D876" i="59"/>
  <c r="G875" i="59"/>
  <c r="D875" i="59"/>
  <c r="G874" i="59"/>
  <c r="D874" i="59"/>
  <c r="G873" i="59"/>
  <c r="D873" i="59"/>
  <c r="G872" i="59"/>
  <c r="D872" i="59"/>
  <c r="G871" i="59"/>
  <c r="D871" i="59"/>
  <c r="G870" i="59"/>
  <c r="D870" i="59"/>
  <c r="G869" i="59"/>
  <c r="D869" i="59"/>
  <c r="G868" i="59"/>
  <c r="D868" i="59"/>
  <c r="G867" i="59"/>
  <c r="D867" i="59"/>
  <c r="G866" i="59"/>
  <c r="D866" i="59"/>
  <c r="G865" i="59"/>
  <c r="D865" i="59"/>
  <c r="G864" i="59"/>
  <c r="D864" i="59"/>
  <c r="G863" i="59"/>
  <c r="D863" i="59"/>
  <c r="G862" i="59"/>
  <c r="D862" i="59"/>
  <c r="G861" i="59"/>
  <c r="D861" i="59"/>
  <c r="G860" i="59"/>
  <c r="D860" i="59"/>
  <c r="G859" i="59"/>
  <c r="D859" i="59"/>
  <c r="G858" i="59"/>
  <c r="D858" i="59"/>
  <c r="G857" i="59"/>
  <c r="D857" i="59"/>
  <c r="G856" i="59"/>
  <c r="D856" i="59"/>
  <c r="G855" i="59"/>
  <c r="D855" i="59"/>
  <c r="G854" i="59"/>
  <c r="D854" i="59"/>
  <c r="G853" i="59"/>
  <c r="D853" i="59"/>
  <c r="G852" i="59"/>
  <c r="D852" i="59"/>
  <c r="G851" i="59"/>
  <c r="D851" i="59"/>
  <c r="G850" i="59"/>
  <c r="D850" i="59"/>
  <c r="G849" i="59"/>
  <c r="D849" i="59"/>
  <c r="G848" i="59"/>
  <c r="D848" i="59"/>
  <c r="G847" i="59"/>
  <c r="D847" i="59"/>
  <c r="G846" i="59"/>
  <c r="D846" i="59"/>
  <c r="G845" i="59"/>
  <c r="D845" i="59"/>
  <c r="G844" i="59"/>
  <c r="D844" i="59"/>
  <c r="G843" i="59"/>
  <c r="D843" i="59"/>
  <c r="G842" i="59"/>
  <c r="D842" i="59"/>
  <c r="G841" i="59"/>
  <c r="D841" i="59"/>
  <c r="G840" i="59"/>
  <c r="D840" i="59"/>
  <c r="G839" i="59"/>
  <c r="D839" i="59"/>
  <c r="G838" i="59"/>
  <c r="D838" i="59"/>
  <c r="G837" i="59"/>
  <c r="D837" i="59"/>
  <c r="G836" i="59"/>
  <c r="D836" i="59"/>
  <c r="G835" i="59"/>
  <c r="D835" i="59"/>
  <c r="G834" i="59"/>
  <c r="D834" i="59"/>
  <c r="G833" i="59"/>
  <c r="D833" i="59"/>
  <c r="G832" i="59"/>
  <c r="D832" i="59"/>
  <c r="G831" i="59"/>
  <c r="D831" i="59"/>
  <c r="G830" i="59"/>
  <c r="D830" i="59"/>
  <c r="G829" i="59"/>
  <c r="D829" i="59"/>
  <c r="G828" i="59"/>
  <c r="D828" i="59"/>
  <c r="G827" i="59"/>
  <c r="D827" i="59"/>
  <c r="G826" i="59"/>
  <c r="D826" i="59"/>
  <c r="G825" i="59"/>
  <c r="D825" i="59"/>
  <c r="G824" i="59"/>
  <c r="D824" i="59"/>
  <c r="G823" i="59"/>
  <c r="D823" i="59"/>
  <c r="G822" i="59"/>
  <c r="D822" i="59"/>
  <c r="G821" i="59"/>
  <c r="D821" i="59"/>
  <c r="G820" i="59"/>
  <c r="D820" i="59"/>
  <c r="G819" i="59"/>
  <c r="D819" i="59"/>
  <c r="G818" i="59"/>
  <c r="D818" i="59"/>
  <c r="G817" i="59"/>
  <c r="D817" i="59"/>
  <c r="G816" i="59"/>
  <c r="D816" i="59"/>
  <c r="G815" i="59"/>
  <c r="D815" i="59"/>
  <c r="G814" i="59"/>
  <c r="D814" i="59"/>
  <c r="G813" i="59"/>
  <c r="D813" i="59"/>
  <c r="G812" i="59"/>
  <c r="D812" i="59"/>
  <c r="G811" i="59"/>
  <c r="D811" i="59"/>
  <c r="G810" i="59"/>
  <c r="D810" i="59"/>
  <c r="G809" i="59"/>
  <c r="D809" i="59"/>
  <c r="G808" i="59"/>
  <c r="D808" i="59"/>
  <c r="G807" i="59"/>
  <c r="D807" i="59"/>
  <c r="G806" i="59"/>
  <c r="D806" i="59"/>
  <c r="G805" i="59"/>
  <c r="D805" i="59"/>
  <c r="G804" i="59"/>
  <c r="D804" i="59"/>
  <c r="G803" i="59"/>
  <c r="D803" i="59"/>
  <c r="G802" i="59"/>
  <c r="D802" i="59"/>
  <c r="G801" i="59"/>
  <c r="D801" i="59"/>
  <c r="G800" i="59"/>
  <c r="D800" i="59"/>
  <c r="G799" i="59"/>
  <c r="D799" i="59"/>
  <c r="G798" i="59"/>
  <c r="D798" i="59"/>
  <c r="G797" i="59"/>
  <c r="D797" i="59"/>
  <c r="G796" i="59"/>
  <c r="D796" i="59"/>
  <c r="G795" i="59"/>
  <c r="D795" i="59"/>
  <c r="G794" i="59"/>
  <c r="D794" i="59"/>
  <c r="G793" i="59"/>
  <c r="D793" i="59"/>
  <c r="G792" i="59"/>
  <c r="D792" i="59"/>
  <c r="G791" i="59"/>
  <c r="D791" i="59"/>
  <c r="G790" i="59"/>
  <c r="D790" i="59"/>
  <c r="G789" i="59"/>
  <c r="D789" i="59"/>
  <c r="G788" i="59"/>
  <c r="D788" i="59"/>
  <c r="G787" i="59"/>
  <c r="D787" i="59"/>
  <c r="G786" i="59"/>
  <c r="D786" i="59"/>
  <c r="D129" i="62"/>
  <c r="C521" i="60"/>
  <c r="C520" i="60"/>
  <c r="D128" i="62"/>
  <c r="C519" i="60"/>
  <c r="C518" i="60"/>
  <c r="C517" i="60"/>
  <c r="D127" i="62"/>
  <c r="D126" i="62"/>
  <c r="C516" i="60"/>
  <c r="C515" i="60"/>
  <c r="D125" i="62"/>
  <c r="D124" i="62"/>
  <c r="D123" i="62"/>
  <c r="C514" i="60"/>
  <c r="C513" i="60"/>
  <c r="G785" i="59"/>
  <c r="D785" i="59"/>
  <c r="C512" i="60"/>
  <c r="D122" i="62"/>
  <c r="C511" i="60"/>
  <c r="G784" i="59"/>
  <c r="D784" i="59"/>
  <c r="D121" i="62"/>
  <c r="D120" i="62"/>
  <c r="C510" i="60"/>
  <c r="C509" i="60"/>
  <c r="C508" i="60"/>
  <c r="C507" i="60"/>
  <c r="D119" i="62"/>
  <c r="D34" i="62"/>
  <c r="G783" i="59"/>
  <c r="D783" i="59"/>
  <c r="C506" i="60"/>
  <c r="D118" i="62"/>
  <c r="C505" i="60"/>
  <c r="C504" i="60"/>
  <c r="D117" i="62"/>
  <c r="C503" i="60"/>
  <c r="G782" i="59"/>
  <c r="D782" i="59"/>
  <c r="G781" i="59"/>
  <c r="D781" i="59"/>
  <c r="C502" i="60"/>
  <c r="C501" i="60"/>
  <c r="G780" i="59"/>
  <c r="D780" i="59"/>
  <c r="C500" i="60"/>
  <c r="C499" i="60"/>
  <c r="C498" i="60"/>
  <c r="G779" i="59"/>
  <c r="D779" i="59"/>
  <c r="C497" i="60"/>
  <c r="C496" i="60"/>
  <c r="C495" i="60"/>
  <c r="G778" i="59"/>
  <c r="D778" i="59"/>
  <c r="C494" i="60"/>
  <c r="G777" i="59"/>
  <c r="D777" i="59"/>
  <c r="G776" i="59"/>
  <c r="D776" i="59"/>
  <c r="G775" i="59"/>
  <c r="D775" i="59"/>
  <c r="G774" i="59"/>
  <c r="D774" i="59"/>
  <c r="G773" i="59"/>
  <c r="D773" i="59"/>
  <c r="G769" i="59"/>
  <c r="D769" i="59"/>
  <c r="G772" i="59"/>
  <c r="D772" i="59"/>
  <c r="G771" i="59"/>
  <c r="D771" i="59"/>
  <c r="G770" i="59"/>
  <c r="D770" i="59"/>
  <c r="G768" i="59"/>
  <c r="D768" i="59"/>
  <c r="G767" i="59"/>
  <c r="D767" i="59"/>
  <c r="G766" i="59"/>
  <c r="D766" i="59"/>
  <c r="G765" i="59"/>
  <c r="D765" i="59"/>
  <c r="G764" i="59"/>
  <c r="D764" i="59"/>
  <c r="G763" i="59"/>
  <c r="D763" i="59"/>
  <c r="G762" i="59"/>
  <c r="D762" i="59"/>
  <c r="G761" i="59"/>
  <c r="D761" i="59"/>
  <c r="G760" i="59"/>
  <c r="D760" i="59"/>
  <c r="C493" i="60"/>
  <c r="C492" i="60"/>
  <c r="C491" i="60"/>
  <c r="C490" i="60"/>
  <c r="C489" i="60"/>
  <c r="C488" i="60"/>
  <c r="G759" i="59"/>
  <c r="D759" i="59"/>
  <c r="G758" i="59"/>
  <c r="D758" i="59"/>
  <c r="G757" i="59"/>
  <c r="D757" i="59"/>
  <c r="G756" i="59"/>
  <c r="D756" i="59"/>
  <c r="G755" i="59"/>
  <c r="D755" i="59"/>
  <c r="G754" i="59"/>
  <c r="D754" i="59"/>
  <c r="G753" i="59"/>
  <c r="D753" i="59"/>
  <c r="G752" i="59"/>
  <c r="D752" i="59"/>
  <c r="G751" i="59"/>
  <c r="D751" i="59"/>
  <c r="G750" i="59"/>
  <c r="D750" i="59"/>
  <c r="G749" i="59"/>
  <c r="D749" i="59"/>
  <c r="G748" i="59"/>
  <c r="D748" i="59"/>
  <c r="G747" i="59"/>
  <c r="D747" i="59"/>
  <c r="G746" i="59"/>
  <c r="D746" i="59"/>
  <c r="G745" i="59"/>
  <c r="D745" i="59"/>
  <c r="G744" i="59"/>
  <c r="D744" i="59"/>
  <c r="G743" i="59"/>
  <c r="D743" i="59"/>
  <c r="G742" i="59"/>
  <c r="D742" i="59"/>
  <c r="G741" i="59"/>
  <c r="D741" i="59"/>
  <c r="G740" i="59"/>
  <c r="D740" i="59"/>
  <c r="G739" i="59"/>
  <c r="D739" i="59"/>
  <c r="G738" i="59"/>
  <c r="D738" i="59"/>
  <c r="G737" i="59"/>
  <c r="D737" i="59"/>
  <c r="G736" i="59"/>
  <c r="D736" i="59"/>
  <c r="G735" i="59"/>
  <c r="D735" i="59"/>
  <c r="G734" i="59"/>
  <c r="D734" i="59"/>
  <c r="G733" i="59"/>
  <c r="D733" i="59"/>
  <c r="G732" i="59"/>
  <c r="D732" i="59"/>
  <c r="G731" i="59"/>
  <c r="D731" i="59"/>
  <c r="G730" i="59"/>
  <c r="D730" i="59"/>
  <c r="G729" i="59"/>
  <c r="D729" i="59"/>
  <c r="G728" i="59"/>
  <c r="D728" i="59"/>
  <c r="G727" i="59"/>
  <c r="D727" i="59"/>
  <c r="G726" i="59"/>
  <c r="D726" i="59"/>
  <c r="G725" i="59"/>
  <c r="D725" i="59"/>
  <c r="G724" i="59"/>
  <c r="D724" i="59"/>
  <c r="G723" i="59"/>
  <c r="D723" i="59"/>
  <c r="G722" i="59"/>
  <c r="D722" i="59"/>
  <c r="G721" i="59"/>
  <c r="D721" i="59"/>
  <c r="G720" i="59"/>
  <c r="D720" i="59"/>
  <c r="G719" i="59"/>
  <c r="D719" i="59"/>
  <c r="G718" i="59"/>
  <c r="D718" i="59"/>
  <c r="G717" i="59"/>
  <c r="D717" i="59"/>
  <c r="G716" i="59"/>
  <c r="D716" i="59"/>
  <c r="G715" i="59"/>
  <c r="D715" i="59"/>
  <c r="G714" i="59"/>
  <c r="D714" i="59"/>
  <c r="G713" i="59"/>
  <c r="D713" i="59"/>
  <c r="G712" i="59"/>
  <c r="D712" i="59"/>
  <c r="G711" i="59"/>
  <c r="D711" i="59"/>
  <c r="G710" i="59"/>
  <c r="D710" i="59"/>
  <c r="G709" i="59"/>
  <c r="D709" i="59"/>
  <c r="G708" i="59"/>
  <c r="D708" i="59"/>
  <c r="G707" i="59"/>
  <c r="D707" i="59"/>
  <c r="G706" i="59"/>
  <c r="D706" i="59"/>
  <c r="G705" i="59"/>
  <c r="D705" i="59"/>
  <c r="G704" i="59"/>
  <c r="D704" i="59"/>
  <c r="G703" i="59"/>
  <c r="D703" i="59"/>
  <c r="G702" i="59"/>
  <c r="D702" i="59"/>
  <c r="G701" i="59"/>
  <c r="D701" i="59"/>
  <c r="G700" i="59"/>
  <c r="D700" i="59"/>
  <c r="G699" i="59"/>
  <c r="D699" i="59"/>
  <c r="G698" i="59"/>
  <c r="D698" i="59"/>
  <c r="G697" i="59"/>
  <c r="D697" i="59"/>
  <c r="G696" i="59"/>
  <c r="D696" i="59"/>
  <c r="G695" i="59"/>
  <c r="D695" i="59"/>
  <c r="G694" i="59"/>
  <c r="D694" i="59"/>
  <c r="G693" i="59"/>
  <c r="D693" i="59"/>
  <c r="G692" i="59"/>
  <c r="D692" i="59"/>
  <c r="G691" i="59"/>
  <c r="D691" i="59"/>
  <c r="G690" i="59"/>
  <c r="D690" i="59"/>
  <c r="G689" i="59"/>
  <c r="D689" i="59"/>
  <c r="G688" i="59"/>
  <c r="D688" i="59"/>
  <c r="G687" i="59"/>
  <c r="D687" i="59"/>
  <c r="G686" i="59"/>
  <c r="D686" i="59"/>
  <c r="G685" i="59"/>
  <c r="D685" i="59"/>
  <c r="G684" i="59"/>
  <c r="D684" i="59"/>
  <c r="G683" i="59"/>
  <c r="D683" i="59"/>
  <c r="G682" i="59"/>
  <c r="D682" i="59"/>
  <c r="G681" i="59"/>
  <c r="D681" i="59"/>
  <c r="G680" i="59"/>
  <c r="D680" i="59"/>
  <c r="G679" i="59"/>
  <c r="D679" i="59"/>
  <c r="G678" i="59"/>
  <c r="D678" i="59"/>
  <c r="G677" i="59"/>
  <c r="D677" i="59"/>
  <c r="G676" i="59"/>
  <c r="D676" i="59"/>
  <c r="G675" i="59"/>
  <c r="D675" i="59"/>
  <c r="G674" i="59"/>
  <c r="D674" i="59"/>
  <c r="G673" i="59"/>
  <c r="D673" i="59"/>
  <c r="G672" i="59"/>
  <c r="D672" i="59"/>
  <c r="G671" i="59"/>
  <c r="D671" i="59"/>
  <c r="G670" i="59"/>
  <c r="D670" i="59"/>
  <c r="G669" i="59"/>
  <c r="D669" i="59"/>
  <c r="G668" i="59"/>
  <c r="D668" i="59"/>
  <c r="G667" i="59"/>
  <c r="D667" i="59"/>
  <c r="G666" i="59"/>
  <c r="D666" i="59"/>
  <c r="G665" i="59"/>
  <c r="D665" i="59"/>
  <c r="G664" i="59"/>
  <c r="D664" i="59"/>
  <c r="G663" i="59"/>
  <c r="D663" i="59"/>
  <c r="G662" i="59"/>
  <c r="D662" i="59"/>
  <c r="G661" i="59"/>
  <c r="D661" i="59"/>
  <c r="G660" i="59"/>
  <c r="D660" i="59"/>
  <c r="G659" i="59"/>
  <c r="D659" i="59"/>
  <c r="G658" i="59"/>
  <c r="D658" i="59"/>
  <c r="G657" i="59"/>
  <c r="D657" i="59"/>
  <c r="G656" i="59"/>
  <c r="D656" i="59"/>
  <c r="G655" i="59"/>
  <c r="D655" i="59"/>
  <c r="G654" i="59"/>
  <c r="D654" i="59"/>
  <c r="G653" i="59"/>
  <c r="D653" i="59"/>
  <c r="G652" i="59"/>
  <c r="D652" i="59"/>
  <c r="G651" i="59"/>
  <c r="D651" i="59"/>
  <c r="G650" i="59"/>
  <c r="D650" i="59"/>
  <c r="G649" i="59"/>
  <c r="D649" i="59"/>
  <c r="G648" i="59"/>
  <c r="D648" i="59"/>
  <c r="G647" i="59"/>
  <c r="D647" i="59"/>
  <c r="G646" i="59"/>
  <c r="D646" i="59"/>
  <c r="G645" i="59"/>
  <c r="D645" i="59"/>
  <c r="G644" i="59"/>
  <c r="D644" i="59"/>
  <c r="G643" i="59"/>
  <c r="D643" i="59"/>
  <c r="G642" i="59"/>
  <c r="D642" i="59"/>
  <c r="G641" i="59"/>
  <c r="D641" i="59"/>
  <c r="G640" i="59"/>
  <c r="D640" i="59"/>
  <c r="G639" i="59"/>
  <c r="D639" i="59"/>
  <c r="G638" i="59"/>
  <c r="D638" i="59"/>
  <c r="G637" i="59"/>
  <c r="D637" i="59"/>
  <c r="G636" i="59"/>
  <c r="D636" i="59"/>
  <c r="G635" i="59"/>
  <c r="D635" i="59"/>
  <c r="G634" i="59"/>
  <c r="D634" i="59"/>
  <c r="G633" i="59"/>
  <c r="D633" i="59"/>
  <c r="G632" i="59"/>
  <c r="D632" i="59"/>
  <c r="G631" i="59"/>
  <c r="D631" i="59"/>
  <c r="G630" i="59"/>
  <c r="D630" i="59"/>
  <c r="G629" i="59"/>
  <c r="D629" i="59"/>
  <c r="G628" i="59"/>
  <c r="D628" i="59"/>
  <c r="G627" i="59"/>
  <c r="D627" i="59"/>
  <c r="G626" i="59"/>
  <c r="D626" i="59"/>
  <c r="G625" i="59"/>
  <c r="D625" i="59"/>
  <c r="G624" i="59"/>
  <c r="D624" i="59"/>
  <c r="G623" i="59"/>
  <c r="D623" i="59"/>
  <c r="G622" i="59"/>
  <c r="D622" i="59"/>
  <c r="G621" i="59"/>
  <c r="D621" i="59"/>
  <c r="G620" i="59"/>
  <c r="D620" i="59"/>
  <c r="G619" i="59"/>
  <c r="D619" i="59"/>
  <c r="G618" i="59"/>
  <c r="D618" i="59"/>
  <c r="G617" i="59"/>
  <c r="D617" i="59"/>
  <c r="G616" i="59"/>
  <c r="D616" i="59"/>
  <c r="G615" i="59"/>
  <c r="D615" i="59"/>
  <c r="G614" i="59"/>
  <c r="D614" i="59"/>
  <c r="G613" i="59"/>
  <c r="D613" i="59"/>
  <c r="G612" i="59"/>
  <c r="D612" i="59"/>
  <c r="G611" i="59"/>
  <c r="D611" i="59"/>
  <c r="G610" i="59"/>
  <c r="D610" i="59"/>
  <c r="G609" i="59"/>
  <c r="D609" i="59"/>
  <c r="G608" i="59"/>
  <c r="D608" i="59"/>
  <c r="G607" i="59"/>
  <c r="D607" i="59"/>
  <c r="G606" i="59"/>
  <c r="D606" i="59"/>
  <c r="G605" i="59"/>
  <c r="D605" i="59"/>
  <c r="G604" i="59"/>
  <c r="D604" i="59"/>
  <c r="G603" i="59"/>
  <c r="D603" i="59"/>
  <c r="G602" i="59"/>
  <c r="D602" i="59"/>
  <c r="G601" i="59"/>
  <c r="D601" i="59"/>
  <c r="G600" i="59"/>
  <c r="D600" i="59"/>
  <c r="G599" i="59"/>
  <c r="D599" i="59"/>
  <c r="G598" i="59"/>
  <c r="D598" i="59"/>
  <c r="G597" i="59"/>
  <c r="D597" i="59"/>
  <c r="G596" i="59"/>
  <c r="D596" i="59"/>
  <c r="G595" i="59"/>
  <c r="D595" i="59"/>
  <c r="G594" i="59"/>
  <c r="D594" i="59"/>
  <c r="G593" i="59"/>
  <c r="D593" i="59"/>
  <c r="G592" i="59"/>
  <c r="D592" i="59"/>
  <c r="G591" i="59"/>
  <c r="D591" i="59"/>
  <c r="G590" i="59"/>
  <c r="D590" i="59"/>
  <c r="G589" i="59"/>
  <c r="D589" i="59"/>
  <c r="C487" i="60"/>
  <c r="C486" i="60"/>
  <c r="C485" i="60"/>
  <c r="C484" i="60"/>
  <c r="C483" i="60"/>
  <c r="C482" i="60"/>
  <c r="C481" i="60"/>
  <c r="C480" i="60"/>
  <c r="C479" i="60"/>
  <c r="C478" i="60"/>
  <c r="C477" i="60"/>
  <c r="C476" i="60"/>
  <c r="C475" i="60"/>
  <c r="C474" i="60"/>
  <c r="C473" i="60"/>
  <c r="C472" i="60"/>
  <c r="C471" i="60"/>
  <c r="C470" i="60"/>
  <c r="C469" i="60"/>
  <c r="C468" i="60"/>
  <c r="C467" i="60"/>
  <c r="C466" i="60"/>
  <c r="C465" i="60"/>
  <c r="C464" i="60"/>
  <c r="C463" i="60"/>
  <c r="C462" i="60"/>
  <c r="C461" i="60"/>
  <c r="C460" i="60"/>
  <c r="C459" i="60"/>
  <c r="C458" i="60"/>
  <c r="C457" i="60"/>
  <c r="C456" i="60"/>
  <c r="C455" i="60"/>
  <c r="C454" i="60"/>
  <c r="C453" i="60"/>
  <c r="C452" i="60"/>
  <c r="C451" i="60"/>
  <c r="C450" i="60"/>
  <c r="C449" i="60"/>
  <c r="C448" i="60"/>
  <c r="C447" i="60"/>
  <c r="C446" i="60"/>
  <c r="C445" i="60"/>
  <c r="C444" i="60"/>
  <c r="C443" i="60"/>
  <c r="C442" i="60"/>
  <c r="C441" i="60"/>
  <c r="C440" i="60"/>
  <c r="C439" i="60"/>
  <c r="C438" i="60"/>
  <c r="C437" i="60"/>
  <c r="C436" i="60"/>
  <c r="C435" i="60"/>
  <c r="C434" i="60"/>
  <c r="C433" i="60"/>
  <c r="C432" i="60"/>
  <c r="C431" i="60"/>
  <c r="C430" i="60"/>
  <c r="C429" i="60"/>
  <c r="C428" i="60"/>
  <c r="C427" i="60"/>
  <c r="C426" i="60"/>
  <c r="C425" i="60"/>
  <c r="C424" i="60"/>
  <c r="C423" i="60"/>
  <c r="C422" i="60"/>
  <c r="C421" i="60"/>
  <c r="C420" i="60"/>
  <c r="C419" i="60"/>
  <c r="C418" i="60"/>
  <c r="C417" i="60"/>
  <c r="C416" i="60"/>
  <c r="C415" i="60"/>
  <c r="C414" i="60"/>
  <c r="C413" i="60"/>
  <c r="C412" i="60"/>
  <c r="C411" i="60"/>
  <c r="C410" i="60"/>
  <c r="C409" i="60"/>
  <c r="C408" i="60"/>
  <c r="C407" i="60"/>
  <c r="C406" i="60"/>
  <c r="C405" i="60"/>
  <c r="C404" i="60"/>
  <c r="C403" i="60"/>
  <c r="C402" i="60"/>
  <c r="C401" i="60"/>
  <c r="C400" i="60"/>
  <c r="C399" i="60"/>
  <c r="C398" i="60"/>
  <c r="C397" i="60"/>
  <c r="C396" i="60"/>
  <c r="C395" i="60"/>
  <c r="C394" i="60"/>
  <c r="C393" i="60"/>
  <c r="C392" i="60"/>
  <c r="C391" i="60"/>
  <c r="G588" i="59"/>
  <c r="D588" i="59"/>
  <c r="G587" i="59"/>
  <c r="D587" i="59"/>
  <c r="G582" i="59"/>
  <c r="D582" i="59"/>
  <c r="G586" i="59"/>
  <c r="D586" i="59"/>
  <c r="D116" i="62"/>
  <c r="D115" i="62"/>
  <c r="D114" i="62"/>
  <c r="C390" i="60"/>
  <c r="G585" i="59"/>
  <c r="D585" i="59"/>
  <c r="G584" i="59"/>
  <c r="D584" i="59"/>
  <c r="C389" i="60"/>
  <c r="G583" i="59"/>
  <c r="D583" i="59"/>
  <c r="C388" i="60"/>
  <c r="C387" i="60"/>
  <c r="C386" i="60"/>
  <c r="C385" i="60"/>
  <c r="G581" i="59"/>
  <c r="D581" i="59"/>
  <c r="C384" i="60"/>
  <c r="G580" i="59"/>
  <c r="D580" i="59"/>
  <c r="G579" i="59"/>
  <c r="D579" i="59"/>
  <c r="G578" i="59"/>
  <c r="D578" i="59"/>
  <c r="G577" i="59"/>
  <c r="D577" i="59"/>
  <c r="G576" i="59"/>
  <c r="D576" i="59"/>
  <c r="G575" i="59"/>
  <c r="D575" i="59"/>
  <c r="G574" i="59"/>
  <c r="D574" i="59"/>
  <c r="G573" i="59"/>
  <c r="D573" i="59"/>
  <c r="G572" i="59"/>
  <c r="D572" i="59"/>
  <c r="G571" i="59"/>
  <c r="D571" i="59"/>
  <c r="G570" i="59"/>
  <c r="D570" i="59"/>
  <c r="G569" i="59"/>
  <c r="D569" i="59"/>
  <c r="G568" i="59"/>
  <c r="D568" i="59"/>
  <c r="G567" i="59"/>
  <c r="D567" i="59"/>
  <c r="G566" i="59"/>
  <c r="D566" i="59"/>
  <c r="G565" i="59"/>
  <c r="D565" i="59"/>
  <c r="G564" i="59"/>
  <c r="D564" i="59"/>
  <c r="G563" i="59"/>
  <c r="D563" i="59"/>
  <c r="G562" i="59"/>
  <c r="D562" i="59"/>
  <c r="G561" i="59"/>
  <c r="D561" i="59"/>
  <c r="G560" i="59"/>
  <c r="D560" i="59"/>
  <c r="G559" i="59"/>
  <c r="D559" i="59"/>
  <c r="G558" i="59"/>
  <c r="D558" i="59"/>
  <c r="G557" i="59"/>
  <c r="D557" i="59"/>
  <c r="G556" i="59"/>
  <c r="D556" i="59"/>
  <c r="G555" i="59"/>
  <c r="D555" i="59"/>
  <c r="G554" i="59"/>
  <c r="D554" i="59"/>
  <c r="G553" i="59"/>
  <c r="D553" i="59"/>
  <c r="G552" i="59"/>
  <c r="D552" i="59"/>
  <c r="G551" i="59"/>
  <c r="D551" i="59"/>
  <c r="G550" i="59"/>
  <c r="D550" i="59"/>
  <c r="G549" i="59"/>
  <c r="D549" i="59"/>
  <c r="G548" i="59"/>
  <c r="D548" i="59"/>
  <c r="G547" i="59"/>
  <c r="D547" i="59"/>
  <c r="G546" i="59"/>
  <c r="D546" i="59"/>
  <c r="G545" i="59"/>
  <c r="D545" i="59"/>
  <c r="G544" i="59"/>
  <c r="D544" i="59"/>
  <c r="G543" i="59"/>
  <c r="D543" i="59"/>
  <c r="G542" i="59"/>
  <c r="D542" i="59"/>
  <c r="G541" i="59"/>
  <c r="D541" i="59"/>
  <c r="G540" i="59"/>
  <c r="D540" i="59"/>
  <c r="G539" i="59"/>
  <c r="D539" i="59"/>
  <c r="G538" i="59"/>
  <c r="D538" i="59"/>
  <c r="G537" i="59"/>
  <c r="D537" i="59"/>
  <c r="G536" i="59"/>
  <c r="D536" i="59"/>
  <c r="G535" i="59"/>
  <c r="D535" i="59"/>
  <c r="G534" i="59"/>
  <c r="D534" i="59"/>
  <c r="G533" i="59"/>
  <c r="D533" i="59"/>
  <c r="G532" i="59"/>
  <c r="D532" i="59"/>
  <c r="G531" i="59"/>
  <c r="D531" i="59"/>
  <c r="G530" i="59"/>
  <c r="D530" i="59"/>
  <c r="G529" i="59"/>
  <c r="D529" i="59"/>
  <c r="G528" i="59"/>
  <c r="D528" i="59"/>
  <c r="G527" i="59"/>
  <c r="D527" i="59"/>
  <c r="G526" i="59"/>
  <c r="D526" i="59"/>
  <c r="G525" i="59"/>
  <c r="D525" i="59"/>
  <c r="G524" i="59"/>
  <c r="D524" i="59"/>
  <c r="G523" i="59"/>
  <c r="D523" i="59"/>
  <c r="G522" i="59"/>
  <c r="D522" i="59"/>
  <c r="G521" i="59"/>
  <c r="D521" i="59"/>
  <c r="G520" i="59"/>
  <c r="D520" i="59"/>
  <c r="G519" i="59"/>
  <c r="D519" i="59"/>
  <c r="G518" i="59"/>
  <c r="D518" i="59"/>
  <c r="G517" i="59"/>
  <c r="D517" i="59"/>
  <c r="G516" i="59"/>
  <c r="D516" i="59"/>
  <c r="G515" i="59"/>
  <c r="D515" i="59"/>
  <c r="G514" i="59"/>
  <c r="D514" i="59"/>
  <c r="G513" i="59"/>
  <c r="D513" i="59"/>
  <c r="G512" i="59"/>
  <c r="D512" i="59"/>
  <c r="G511" i="59"/>
  <c r="D511" i="59"/>
  <c r="G510" i="59"/>
  <c r="D510" i="59"/>
  <c r="G509" i="59"/>
  <c r="D509" i="59"/>
  <c r="G508" i="59"/>
  <c r="D508" i="59"/>
  <c r="G507" i="59"/>
  <c r="D507" i="59"/>
  <c r="G506" i="59"/>
  <c r="D506" i="59"/>
  <c r="G505" i="59"/>
  <c r="D505" i="59"/>
  <c r="G504" i="59"/>
  <c r="D504" i="59"/>
  <c r="G503" i="59"/>
  <c r="D503" i="59"/>
  <c r="G502" i="59"/>
  <c r="D502" i="59"/>
  <c r="G501" i="59"/>
  <c r="D501" i="59"/>
  <c r="G500" i="59"/>
  <c r="D500" i="59"/>
  <c r="G499" i="59"/>
  <c r="D499" i="59"/>
  <c r="G498" i="59"/>
  <c r="D498" i="59"/>
  <c r="G497" i="59"/>
  <c r="D497" i="59"/>
  <c r="G496" i="59"/>
  <c r="D496" i="59"/>
  <c r="G495" i="59"/>
  <c r="D495" i="59"/>
  <c r="G494" i="59"/>
  <c r="D494" i="59"/>
  <c r="G493" i="59"/>
  <c r="D493" i="59"/>
  <c r="G492" i="59"/>
  <c r="D492" i="59"/>
  <c r="G491" i="59"/>
  <c r="D491" i="59"/>
  <c r="G490" i="59"/>
  <c r="D490" i="59"/>
  <c r="G489" i="59"/>
  <c r="D489" i="59"/>
  <c r="G488" i="59"/>
  <c r="D488" i="59"/>
  <c r="G487" i="59"/>
  <c r="D487" i="59"/>
  <c r="G486" i="59"/>
  <c r="D486" i="59"/>
  <c r="G485" i="59"/>
  <c r="D485" i="59"/>
  <c r="G484" i="59"/>
  <c r="D484" i="59"/>
  <c r="G483" i="59"/>
  <c r="D483" i="59"/>
  <c r="G482" i="59"/>
  <c r="D482" i="59"/>
  <c r="G481" i="59"/>
  <c r="D481" i="59"/>
  <c r="G480" i="59"/>
  <c r="D480" i="59"/>
  <c r="G479" i="59"/>
  <c r="D479" i="59"/>
  <c r="G478" i="59"/>
  <c r="D478" i="59"/>
  <c r="G477" i="59"/>
  <c r="D477" i="59"/>
  <c r="G476" i="59"/>
  <c r="D476" i="59"/>
  <c r="G475" i="59"/>
  <c r="D475" i="59"/>
  <c r="G474" i="59"/>
  <c r="D474" i="59"/>
  <c r="G473" i="59"/>
  <c r="D473" i="59"/>
  <c r="G472" i="59"/>
  <c r="D472" i="59"/>
  <c r="G471" i="59"/>
  <c r="D471" i="59"/>
  <c r="G470" i="59"/>
  <c r="D470" i="59"/>
  <c r="G469" i="59"/>
  <c r="D469" i="59"/>
  <c r="G468" i="59"/>
  <c r="D468" i="59"/>
  <c r="G467" i="59"/>
  <c r="D467" i="59"/>
  <c r="G466" i="59"/>
  <c r="D466" i="59"/>
  <c r="G465" i="59"/>
  <c r="D465" i="59"/>
  <c r="G464" i="59"/>
  <c r="D464" i="59"/>
  <c r="G463" i="59"/>
  <c r="D463" i="59"/>
  <c r="G462" i="59"/>
  <c r="D462" i="59"/>
  <c r="G461" i="59"/>
  <c r="D461" i="59"/>
  <c r="G460" i="59"/>
  <c r="D460" i="59"/>
  <c r="G459" i="59"/>
  <c r="D459" i="59"/>
  <c r="G458" i="59"/>
  <c r="D458" i="59"/>
  <c r="G457" i="59"/>
  <c r="D457" i="59"/>
  <c r="G456" i="59"/>
  <c r="D456" i="59"/>
  <c r="G455" i="59"/>
  <c r="D455" i="59"/>
  <c r="G454" i="59"/>
  <c r="D454" i="59"/>
  <c r="G453" i="59"/>
  <c r="D453" i="59"/>
  <c r="G452" i="59"/>
  <c r="D452" i="59"/>
  <c r="G451" i="59"/>
  <c r="D451" i="59"/>
  <c r="G450" i="59"/>
  <c r="D450" i="59"/>
  <c r="G449" i="59"/>
  <c r="D449" i="59"/>
  <c r="G448" i="59"/>
  <c r="D448" i="59"/>
  <c r="G447" i="59"/>
  <c r="D447" i="59"/>
  <c r="G446" i="59"/>
  <c r="D446" i="59"/>
  <c r="G445" i="59"/>
  <c r="D445" i="59"/>
  <c r="G444" i="59"/>
  <c r="D444" i="59"/>
  <c r="G443" i="59"/>
  <c r="D443" i="59"/>
  <c r="G442" i="59"/>
  <c r="D442" i="59"/>
  <c r="G441" i="59"/>
  <c r="D441" i="59"/>
  <c r="G440" i="59"/>
  <c r="D440" i="59"/>
  <c r="G439" i="59"/>
  <c r="D439" i="59"/>
  <c r="G438" i="59"/>
  <c r="D438" i="59"/>
  <c r="G437" i="59"/>
  <c r="D437" i="59"/>
  <c r="G436" i="59"/>
  <c r="D436" i="59"/>
  <c r="G435" i="59"/>
  <c r="D435" i="59"/>
  <c r="G434" i="59"/>
  <c r="D434" i="59"/>
  <c r="G433" i="59"/>
  <c r="D433" i="59"/>
  <c r="G432" i="59"/>
  <c r="D432" i="59"/>
  <c r="G431" i="59"/>
  <c r="D431" i="59"/>
  <c r="G430" i="59"/>
  <c r="D430" i="59"/>
  <c r="G429" i="59"/>
  <c r="D429" i="59"/>
  <c r="G428" i="59"/>
  <c r="D428" i="59"/>
  <c r="G427" i="59"/>
  <c r="D427" i="59"/>
  <c r="G426" i="59"/>
  <c r="D426" i="59"/>
  <c r="G425" i="59"/>
  <c r="D425" i="59"/>
  <c r="G424" i="59"/>
  <c r="D424" i="59"/>
  <c r="G423" i="59"/>
  <c r="D423" i="59"/>
  <c r="G422" i="59"/>
  <c r="D422" i="59"/>
  <c r="G421" i="59"/>
  <c r="D421" i="59"/>
  <c r="G420" i="59"/>
  <c r="D420" i="59"/>
  <c r="G419" i="59"/>
  <c r="D419" i="59"/>
  <c r="G418" i="59"/>
  <c r="D418" i="59"/>
  <c r="G417" i="59"/>
  <c r="D417" i="59"/>
  <c r="G416" i="59"/>
  <c r="D416" i="59"/>
  <c r="G415" i="59"/>
  <c r="D415" i="59"/>
  <c r="G414" i="59"/>
  <c r="D414" i="59"/>
  <c r="G413" i="59"/>
  <c r="D413" i="59"/>
  <c r="G412" i="59"/>
  <c r="D412" i="59"/>
  <c r="G411" i="59"/>
  <c r="D411" i="59"/>
  <c r="G410" i="59"/>
  <c r="D410" i="59"/>
  <c r="G409" i="59"/>
  <c r="D409" i="59"/>
  <c r="D408" i="59"/>
  <c r="G408" i="59"/>
  <c r="C383" i="60"/>
  <c r="C382" i="60"/>
  <c r="C381" i="60"/>
  <c r="C380" i="60"/>
  <c r="C379" i="60"/>
  <c r="C378" i="60"/>
  <c r="C377" i="60"/>
  <c r="C376" i="60"/>
  <c r="C375" i="60"/>
  <c r="C374" i="60"/>
  <c r="C373" i="60"/>
  <c r="C372" i="60"/>
  <c r="C371" i="60"/>
  <c r="C370" i="60"/>
  <c r="C369" i="60"/>
  <c r="C368" i="60"/>
  <c r="C367" i="60"/>
  <c r="C366" i="60"/>
  <c r="C365" i="60"/>
  <c r="C364" i="60"/>
  <c r="C363" i="60"/>
  <c r="C362" i="60"/>
  <c r="C361" i="60"/>
  <c r="C360" i="60"/>
  <c r="C359" i="60"/>
  <c r="C358" i="60"/>
  <c r="C357" i="60"/>
  <c r="C356" i="60"/>
  <c r="C355" i="60"/>
  <c r="C354" i="60"/>
  <c r="C353" i="60"/>
  <c r="C352" i="60"/>
  <c r="C351" i="60"/>
  <c r="C350" i="60"/>
  <c r="C349" i="60"/>
  <c r="C348" i="60"/>
  <c r="C347" i="60"/>
  <c r="C346" i="60"/>
  <c r="C345" i="60"/>
  <c r="C344" i="60"/>
  <c r="C343" i="60"/>
  <c r="C342" i="60"/>
  <c r="C341" i="60"/>
  <c r="C340" i="60"/>
  <c r="C339" i="60"/>
  <c r="C338" i="60"/>
  <c r="C337" i="60"/>
  <c r="C336" i="60"/>
  <c r="C335" i="60"/>
  <c r="C334" i="60"/>
  <c r="C333" i="60"/>
  <c r="C332" i="60"/>
  <c r="C331" i="60"/>
  <c r="C330" i="60"/>
  <c r="C329" i="60"/>
  <c r="C328" i="60"/>
  <c r="C327" i="60"/>
  <c r="C326" i="60"/>
  <c r="C325" i="60"/>
  <c r="C324" i="60"/>
  <c r="C323" i="60"/>
  <c r="C322" i="60"/>
  <c r="C321" i="60"/>
  <c r="C320" i="60"/>
  <c r="C319" i="60"/>
  <c r="C318" i="60"/>
  <c r="C317" i="60"/>
  <c r="C316" i="60"/>
  <c r="C315" i="60"/>
  <c r="C314" i="60"/>
  <c r="C313" i="60"/>
  <c r="C312" i="60"/>
  <c r="C311" i="60"/>
  <c r="C310" i="60"/>
  <c r="C309" i="60"/>
  <c r="C308" i="60"/>
  <c r="C307" i="60"/>
  <c r="C306" i="60"/>
  <c r="C305" i="60"/>
  <c r="C304" i="60"/>
  <c r="C303" i="60"/>
  <c r="C302" i="60"/>
  <c r="C301" i="60"/>
  <c r="C300" i="60"/>
  <c r="C299" i="60"/>
  <c r="C298" i="60"/>
  <c r="C297" i="60"/>
  <c r="C296" i="60"/>
  <c r="C295" i="60"/>
  <c r="C294" i="60"/>
  <c r="D113" i="62"/>
  <c r="D112" i="62"/>
  <c r="D111" i="62"/>
  <c r="D110" i="62"/>
  <c r="D109" i="62"/>
  <c r="D108" i="62"/>
  <c r="D107" i="62"/>
  <c r="D106" i="62"/>
  <c r="D105" i="62"/>
  <c r="D104" i="62"/>
  <c r="D103" i="62"/>
  <c r="D102" i="62"/>
  <c r="D101" i="62"/>
  <c r="D100" i="62"/>
  <c r="D99" i="62"/>
  <c r="D98" i="62"/>
  <c r="D97" i="62"/>
  <c r="D96" i="62"/>
  <c r="D95" i="62"/>
  <c r="D94" i="62"/>
  <c r="D93" i="62"/>
  <c r="D92" i="62"/>
  <c r="D91" i="62"/>
  <c r="D90" i="62"/>
  <c r="D89" i="62"/>
  <c r="D88" i="62"/>
  <c r="D87" i="62"/>
  <c r="D86" i="62"/>
  <c r="D85" i="62"/>
  <c r="D84" i="62"/>
  <c r="D83" i="62"/>
  <c r="D82" i="62"/>
  <c r="D81" i="62"/>
  <c r="D80" i="62"/>
  <c r="D79" i="62"/>
  <c r="D78" i="62"/>
  <c r="D77" i="62"/>
  <c r="D76" i="62"/>
  <c r="D75" i="62"/>
  <c r="D74" i="62"/>
  <c r="D73" i="62"/>
  <c r="D72" i="62"/>
  <c r="D71" i="62"/>
  <c r="D70" i="62"/>
  <c r="D69" i="62"/>
  <c r="D68" i="62"/>
  <c r="D67" i="62"/>
  <c r="D66" i="62"/>
  <c r="D65" i="62"/>
  <c r="D64" i="62"/>
  <c r="D63" i="62"/>
  <c r="D62" i="62"/>
  <c r="D61" i="62"/>
  <c r="D60" i="62"/>
  <c r="D59" i="62"/>
  <c r="D58" i="62"/>
  <c r="D57" i="62"/>
  <c r="D56" i="62"/>
  <c r="D55" i="62"/>
  <c r="D54" i="62"/>
  <c r="D53" i="62"/>
  <c r="D52" i="62"/>
  <c r="D51" i="62"/>
  <c r="D50" i="62"/>
  <c r="D49" i="62"/>
  <c r="D48" i="62"/>
  <c r="D47" i="62"/>
  <c r="D46" i="62"/>
  <c r="D45" i="62"/>
  <c r="D44" i="62"/>
  <c r="D43" i="62"/>
  <c r="D42" i="62"/>
  <c r="D41" i="62"/>
  <c r="D40" i="62"/>
  <c r="D39" i="62"/>
  <c r="D38" i="62"/>
  <c r="D37" i="62"/>
  <c r="D36" i="62"/>
  <c r="D35" i="62"/>
  <c r="D33" i="62"/>
  <c r="D32" i="62"/>
  <c r="D31" i="62"/>
  <c r="D30" i="62"/>
  <c r="D29" i="62"/>
  <c r="D28" i="62"/>
  <c r="D27" i="62"/>
  <c r="D26" i="62"/>
  <c r="D25" i="62"/>
  <c r="D24" i="62"/>
  <c r="D23" i="62"/>
  <c r="D22" i="62"/>
  <c r="D21" i="62"/>
  <c r="D20" i="62"/>
  <c r="D19" i="62"/>
  <c r="D18" i="62"/>
  <c r="D17" i="62"/>
  <c r="D16" i="62"/>
  <c r="D15" i="62"/>
  <c r="D14" i="62"/>
  <c r="D13" i="62"/>
  <c r="D12" i="62"/>
  <c r="D11" i="62"/>
  <c r="D10" i="62"/>
  <c r="D8" i="62"/>
  <c r="D7" i="62"/>
  <c r="D6" i="62"/>
  <c r="D5" i="62"/>
  <c r="D4" i="62"/>
  <c r="D3" i="62"/>
  <c r="C293" i="60"/>
  <c r="C292" i="60"/>
  <c r="C291" i="60"/>
  <c r="C290" i="60"/>
  <c r="C289" i="60"/>
  <c r="C288" i="60"/>
  <c r="C287" i="60"/>
  <c r="C286" i="60"/>
  <c r="C285" i="60"/>
  <c r="C284" i="60"/>
  <c r="C283" i="60"/>
  <c r="C282" i="60"/>
  <c r="C281" i="60"/>
  <c r="C280" i="60"/>
  <c r="C191" i="60"/>
  <c r="C190" i="60"/>
  <c r="C175" i="60"/>
  <c r="C174" i="60"/>
  <c r="D9" i="62"/>
  <c r="C279" i="60"/>
  <c r="C278" i="60"/>
  <c r="E59" i="60"/>
  <c r="C277" i="60"/>
  <c r="C276" i="60"/>
  <c r="C222" i="60"/>
  <c r="C221" i="60"/>
  <c r="C166" i="60"/>
  <c r="C165" i="60"/>
  <c r="C275" i="60"/>
  <c r="C274" i="60"/>
  <c r="C162" i="60"/>
  <c r="C161" i="60"/>
  <c r="C141" i="60"/>
  <c r="G407" i="59"/>
  <c r="D407" i="59"/>
  <c r="G406" i="59"/>
  <c r="D406" i="59"/>
  <c r="G405" i="59"/>
  <c r="D405" i="59"/>
  <c r="G404" i="59"/>
  <c r="D404" i="59"/>
  <c r="G403" i="59"/>
  <c r="D403" i="59"/>
  <c r="G402" i="59"/>
  <c r="D402" i="59"/>
  <c r="G401" i="59"/>
  <c r="D401" i="59"/>
  <c r="G400" i="59"/>
  <c r="D400" i="59"/>
  <c r="G399" i="59"/>
  <c r="D399" i="59"/>
  <c r="G398" i="59"/>
  <c r="D398" i="59"/>
  <c r="G397" i="59"/>
  <c r="D397" i="59"/>
  <c r="G396" i="59"/>
  <c r="D396" i="59"/>
  <c r="G395" i="59"/>
  <c r="D395" i="59"/>
  <c r="G393" i="59"/>
  <c r="D393" i="59"/>
  <c r="C273" i="60"/>
  <c r="C272" i="60"/>
  <c r="G392" i="59"/>
  <c r="D392" i="59"/>
  <c r="G391" i="59"/>
  <c r="D391" i="59"/>
  <c r="G390" i="59"/>
  <c r="D390" i="59"/>
  <c r="G389" i="59"/>
  <c r="D389" i="59"/>
  <c r="G388" i="59"/>
  <c r="D388" i="59"/>
  <c r="G387" i="59"/>
  <c r="D387" i="59"/>
  <c r="G386" i="59"/>
  <c r="D386" i="59"/>
  <c r="G385" i="59"/>
  <c r="D385" i="59"/>
  <c r="G384" i="59"/>
  <c r="D384" i="59"/>
  <c r="G383" i="59"/>
  <c r="D383" i="59"/>
  <c r="G382" i="59"/>
  <c r="D382" i="59"/>
  <c r="G381" i="59"/>
  <c r="D381" i="59"/>
  <c r="G380" i="59"/>
  <c r="D380" i="59"/>
  <c r="G379" i="59"/>
  <c r="D379" i="59"/>
  <c r="G378" i="59"/>
  <c r="D378" i="59"/>
  <c r="G377" i="59"/>
  <c r="D377" i="59"/>
  <c r="G376" i="59"/>
  <c r="D376" i="59"/>
  <c r="G375" i="59"/>
  <c r="D375" i="59"/>
  <c r="G374" i="59"/>
  <c r="D374" i="59"/>
  <c r="G373" i="59"/>
  <c r="D373" i="59"/>
  <c r="G372" i="59"/>
  <c r="D372" i="59"/>
  <c r="G371" i="59"/>
  <c r="D371" i="59"/>
  <c r="G370" i="59"/>
  <c r="D370" i="59"/>
  <c r="G369" i="59"/>
  <c r="D369" i="59"/>
  <c r="G368" i="59"/>
  <c r="D368" i="59"/>
  <c r="G367" i="59"/>
  <c r="D367" i="59"/>
  <c r="G366" i="59"/>
  <c r="D366" i="59"/>
  <c r="G365" i="59"/>
  <c r="D365" i="59"/>
  <c r="G364" i="59"/>
  <c r="D364" i="59"/>
  <c r="G363" i="59"/>
  <c r="D363" i="59"/>
  <c r="G362" i="59"/>
  <c r="D362" i="59"/>
  <c r="G361" i="59"/>
  <c r="D361" i="59"/>
  <c r="G360" i="59"/>
  <c r="D360" i="59"/>
  <c r="G359" i="59"/>
  <c r="D359" i="59"/>
  <c r="G358" i="59"/>
  <c r="D358" i="59"/>
  <c r="G357" i="59"/>
  <c r="D357" i="59"/>
  <c r="G356" i="59"/>
  <c r="D356" i="59"/>
  <c r="G355" i="59"/>
  <c r="D355" i="59"/>
  <c r="G354" i="59"/>
  <c r="D354" i="59"/>
  <c r="G353" i="59"/>
  <c r="D353" i="59"/>
  <c r="G352" i="59"/>
  <c r="D352" i="59"/>
  <c r="G351" i="59"/>
  <c r="D351" i="59"/>
  <c r="G350" i="59"/>
  <c r="D350" i="59"/>
  <c r="G349" i="59"/>
  <c r="D349" i="59"/>
  <c r="G348" i="59"/>
  <c r="D348" i="59"/>
  <c r="G347" i="59"/>
  <c r="D347" i="59"/>
  <c r="G346" i="59"/>
  <c r="D346" i="59"/>
  <c r="G345" i="59"/>
  <c r="D345" i="59"/>
  <c r="G344" i="59"/>
  <c r="D344" i="59"/>
  <c r="G343" i="59"/>
  <c r="D343" i="59"/>
  <c r="G342" i="59"/>
  <c r="D342" i="59"/>
  <c r="G341" i="59"/>
  <c r="D341" i="59"/>
  <c r="G340" i="59"/>
  <c r="D340" i="59"/>
  <c r="G339" i="59"/>
  <c r="D339" i="59"/>
  <c r="G338" i="59"/>
  <c r="D338" i="59"/>
  <c r="G337" i="59"/>
  <c r="D337" i="59"/>
  <c r="G336" i="59"/>
  <c r="D336" i="59"/>
  <c r="G335" i="59"/>
  <c r="D335" i="59"/>
  <c r="G334" i="59"/>
  <c r="D334" i="59"/>
  <c r="G333" i="59"/>
  <c r="D333" i="59"/>
  <c r="G332" i="59"/>
  <c r="D332" i="59"/>
  <c r="G331" i="59"/>
  <c r="D331" i="59"/>
  <c r="G330" i="59"/>
  <c r="D330" i="59"/>
  <c r="G329" i="59"/>
  <c r="D329" i="59"/>
  <c r="G328" i="59"/>
  <c r="D328" i="59"/>
  <c r="G327" i="59"/>
  <c r="D327" i="59"/>
  <c r="G326" i="59"/>
  <c r="D326" i="59"/>
  <c r="G325" i="59"/>
  <c r="D325" i="59"/>
  <c r="G324" i="59"/>
  <c r="D324" i="59"/>
  <c r="G323" i="59"/>
  <c r="D323" i="59"/>
  <c r="G322" i="59"/>
  <c r="D322" i="59"/>
  <c r="G321" i="59"/>
  <c r="D321" i="59"/>
  <c r="G320" i="59"/>
  <c r="D320" i="59"/>
  <c r="G319" i="59"/>
  <c r="D319" i="59"/>
  <c r="G318" i="59"/>
  <c r="D318" i="59"/>
  <c r="G317" i="59"/>
  <c r="D317" i="59"/>
  <c r="G316" i="59"/>
  <c r="D316" i="59"/>
  <c r="G315" i="59"/>
  <c r="D315" i="59"/>
  <c r="G314" i="59"/>
  <c r="D314" i="59"/>
  <c r="G313" i="59"/>
  <c r="D313" i="59"/>
  <c r="G312" i="59"/>
  <c r="D312" i="59"/>
  <c r="G311" i="59"/>
  <c r="D311" i="59"/>
  <c r="G310" i="59"/>
  <c r="D310" i="59"/>
  <c r="G309" i="59"/>
  <c r="D309" i="59"/>
  <c r="G308" i="59"/>
  <c r="D308" i="59"/>
  <c r="G307" i="59"/>
  <c r="D307" i="59"/>
  <c r="G306" i="59"/>
  <c r="D306" i="59"/>
  <c r="G305" i="59"/>
  <c r="D305" i="59"/>
  <c r="G304" i="59"/>
  <c r="D304" i="59"/>
  <c r="G303" i="59"/>
  <c r="D303" i="59"/>
  <c r="G302" i="59"/>
  <c r="D302" i="59"/>
  <c r="G301" i="59"/>
  <c r="D301" i="59"/>
  <c r="G300" i="59"/>
  <c r="D300" i="59"/>
  <c r="G299" i="59"/>
  <c r="D299" i="59"/>
  <c r="G298" i="59"/>
  <c r="D298" i="59"/>
  <c r="G297" i="59"/>
  <c r="D297" i="59"/>
  <c r="G296" i="59"/>
  <c r="D296" i="59"/>
  <c r="G295" i="59"/>
  <c r="D295" i="59"/>
  <c r="G294" i="59"/>
  <c r="D294" i="59"/>
  <c r="G293" i="59"/>
  <c r="D293" i="59"/>
  <c r="G292" i="59"/>
  <c r="D292" i="59"/>
  <c r="G291" i="59"/>
  <c r="D291" i="59"/>
  <c r="G290" i="59"/>
  <c r="D290" i="59"/>
  <c r="G289" i="59"/>
  <c r="D289" i="59"/>
  <c r="G288" i="59"/>
  <c r="D288" i="59"/>
  <c r="G287" i="59"/>
  <c r="D287" i="59"/>
  <c r="G286" i="59"/>
  <c r="D286" i="59"/>
  <c r="G285" i="59"/>
  <c r="D285" i="59"/>
  <c r="G284" i="59"/>
  <c r="D284" i="59"/>
  <c r="G283" i="59"/>
  <c r="D283" i="59"/>
  <c r="G282" i="59"/>
  <c r="D282" i="59"/>
  <c r="G281" i="59"/>
  <c r="D281" i="59"/>
  <c r="G280" i="59"/>
  <c r="D280" i="59"/>
  <c r="G279" i="59"/>
  <c r="D279" i="59"/>
  <c r="G278" i="59"/>
  <c r="D278" i="59"/>
  <c r="G277" i="59"/>
  <c r="D277" i="59"/>
  <c r="G276" i="59"/>
  <c r="D276" i="59"/>
  <c r="G275" i="59"/>
  <c r="D275" i="59"/>
  <c r="G274" i="59"/>
  <c r="D274" i="59"/>
  <c r="G273" i="59"/>
  <c r="D273" i="59"/>
  <c r="G272" i="59"/>
  <c r="D272" i="59"/>
  <c r="G271" i="59"/>
  <c r="D271" i="59"/>
  <c r="G270" i="59"/>
  <c r="D270" i="59"/>
  <c r="G269" i="59"/>
  <c r="D269" i="59"/>
  <c r="G268" i="59"/>
  <c r="D268" i="59"/>
  <c r="G267" i="59"/>
  <c r="D267" i="59"/>
  <c r="G266" i="59"/>
  <c r="D266" i="59"/>
  <c r="G265" i="59"/>
  <c r="D265" i="59"/>
  <c r="G264" i="59"/>
  <c r="D264" i="59"/>
  <c r="G263" i="59"/>
  <c r="D263" i="59"/>
  <c r="G262" i="59"/>
  <c r="D262" i="59"/>
  <c r="G261" i="59"/>
  <c r="D261" i="59"/>
  <c r="G260" i="59"/>
  <c r="D260" i="59"/>
  <c r="G259" i="59"/>
  <c r="D259" i="59"/>
  <c r="G258" i="59"/>
  <c r="D258" i="59"/>
  <c r="G257" i="59"/>
  <c r="D257" i="59"/>
  <c r="G256" i="59"/>
  <c r="D256" i="59"/>
  <c r="G255" i="59"/>
  <c r="D255" i="59"/>
  <c r="G254" i="59"/>
  <c r="D254" i="59"/>
  <c r="G253" i="59"/>
  <c r="D253" i="59"/>
  <c r="G252" i="59"/>
  <c r="D252" i="59"/>
  <c r="G251" i="59"/>
  <c r="D251" i="59"/>
  <c r="G250" i="59"/>
  <c r="D250" i="59"/>
  <c r="G249" i="59"/>
  <c r="D249" i="59"/>
  <c r="G248" i="59"/>
  <c r="D248" i="59"/>
  <c r="G247" i="59"/>
  <c r="D247" i="59"/>
  <c r="G246" i="59"/>
  <c r="D246" i="59"/>
  <c r="G245" i="59"/>
  <c r="D245" i="59"/>
  <c r="G244" i="59"/>
  <c r="D244" i="59"/>
  <c r="G243" i="59"/>
  <c r="D243" i="59"/>
  <c r="G242" i="59"/>
  <c r="D242" i="59"/>
  <c r="G241" i="59"/>
  <c r="D241" i="59"/>
  <c r="G240" i="59"/>
  <c r="D240" i="59"/>
  <c r="G239" i="59"/>
  <c r="D239" i="59"/>
  <c r="G238" i="59"/>
  <c r="D238" i="59"/>
  <c r="G237" i="59"/>
  <c r="D237" i="59"/>
  <c r="G236" i="59"/>
  <c r="D236" i="59"/>
  <c r="G235" i="59"/>
  <c r="D235" i="59"/>
  <c r="G234" i="59"/>
  <c r="D234" i="59"/>
  <c r="G233" i="59"/>
  <c r="D233" i="59"/>
  <c r="G232" i="59"/>
  <c r="D232" i="59"/>
  <c r="G231" i="59"/>
  <c r="D231" i="59"/>
  <c r="G230" i="59"/>
  <c r="D230" i="59"/>
  <c r="G229" i="59"/>
  <c r="D229" i="59"/>
  <c r="G228" i="59"/>
  <c r="D228" i="59"/>
  <c r="G227" i="59"/>
  <c r="D227" i="59"/>
  <c r="G226" i="59"/>
  <c r="D226" i="59"/>
  <c r="G225" i="59"/>
  <c r="D225" i="59"/>
  <c r="G224" i="59"/>
  <c r="D224" i="59"/>
  <c r="G223" i="59"/>
  <c r="D223" i="59"/>
  <c r="G222" i="59"/>
  <c r="D222" i="59"/>
  <c r="G221" i="59"/>
  <c r="D221" i="59"/>
  <c r="G220" i="59"/>
  <c r="D220" i="59"/>
  <c r="G219" i="59"/>
  <c r="D219" i="59"/>
  <c r="G218" i="59"/>
  <c r="D218" i="59"/>
  <c r="G217" i="59"/>
  <c r="D217" i="59"/>
  <c r="G216" i="59"/>
  <c r="D216" i="59"/>
  <c r="G215" i="59"/>
  <c r="D215" i="59"/>
  <c r="G214" i="59"/>
  <c r="D214" i="59"/>
  <c r="G213" i="59"/>
  <c r="D213" i="59"/>
  <c r="G212" i="59"/>
  <c r="D212" i="59"/>
  <c r="G211" i="59"/>
  <c r="D211" i="59"/>
  <c r="G210" i="59"/>
  <c r="D210" i="59"/>
  <c r="G209" i="59"/>
  <c r="D209" i="59"/>
  <c r="G208" i="59"/>
  <c r="D208" i="59"/>
  <c r="G207" i="59"/>
  <c r="D207" i="59"/>
  <c r="G206" i="59"/>
  <c r="D206" i="59"/>
  <c r="G205" i="59"/>
  <c r="D205" i="59"/>
  <c r="G204" i="59"/>
  <c r="D204" i="59"/>
  <c r="C271" i="60"/>
  <c r="C270" i="60"/>
  <c r="C269" i="60"/>
  <c r="C268" i="60"/>
  <c r="C267" i="60"/>
  <c r="C266" i="60"/>
  <c r="C265" i="60"/>
  <c r="C264" i="60"/>
  <c r="C263" i="60"/>
  <c r="C262" i="60"/>
  <c r="C261" i="60"/>
  <c r="C260" i="60"/>
  <c r="C259" i="60"/>
  <c r="C258" i="60"/>
  <c r="C257" i="60"/>
  <c r="C256" i="60"/>
  <c r="C255" i="60"/>
  <c r="C254" i="60"/>
  <c r="C253" i="60"/>
  <c r="C252" i="60"/>
  <c r="C251" i="60"/>
  <c r="C250" i="60"/>
  <c r="C249" i="60"/>
  <c r="C248" i="60"/>
  <c r="C247" i="60"/>
  <c r="C246" i="60"/>
  <c r="C245" i="60"/>
  <c r="C244" i="60"/>
  <c r="C243" i="60"/>
  <c r="C242" i="60"/>
  <c r="C241" i="60"/>
  <c r="C240" i="60"/>
  <c r="C239" i="60"/>
  <c r="C238" i="60"/>
  <c r="C237" i="60"/>
  <c r="C236" i="60"/>
  <c r="C235" i="60"/>
  <c r="C234" i="60"/>
  <c r="C233" i="60"/>
  <c r="C232" i="60"/>
  <c r="C231" i="60"/>
  <c r="C230" i="60"/>
  <c r="C229" i="60"/>
  <c r="C228" i="60"/>
  <c r="C227" i="60"/>
  <c r="C226" i="60"/>
  <c r="C225" i="60"/>
  <c r="C224" i="60"/>
  <c r="C223" i="60"/>
  <c r="C220" i="60"/>
  <c r="C219" i="60"/>
  <c r="C218" i="60"/>
  <c r="C217" i="60"/>
  <c r="C216" i="60"/>
  <c r="C215" i="60"/>
  <c r="C214" i="60"/>
  <c r="C213" i="60"/>
  <c r="C212" i="60"/>
  <c r="C211" i="60"/>
  <c r="C210" i="60"/>
  <c r="C209" i="60"/>
  <c r="C208" i="60"/>
  <c r="C207" i="60"/>
  <c r="C206" i="60"/>
  <c r="C205" i="60"/>
  <c r="C204" i="60"/>
  <c r="C203" i="60"/>
  <c r="C202" i="60"/>
  <c r="C201" i="60"/>
  <c r="C200" i="60"/>
  <c r="C199" i="60"/>
  <c r="C198" i="60"/>
  <c r="C197" i="60"/>
  <c r="C196" i="60"/>
  <c r="C195" i="60"/>
  <c r="C194" i="60"/>
  <c r="C193" i="60"/>
  <c r="C192" i="60"/>
  <c r="C189" i="60"/>
  <c r="C188" i="60"/>
  <c r="C187" i="60"/>
  <c r="C186" i="60"/>
  <c r="C185" i="60"/>
  <c r="C184" i="60"/>
  <c r="C183" i="60"/>
  <c r="C182" i="60"/>
  <c r="C181" i="60"/>
  <c r="C180" i="60"/>
  <c r="C179" i="60"/>
  <c r="C178" i="60"/>
  <c r="C177" i="60"/>
  <c r="C176" i="60"/>
  <c r="C173" i="60"/>
  <c r="C172" i="60"/>
  <c r="C171" i="60"/>
  <c r="C170" i="60"/>
  <c r="C169" i="60"/>
  <c r="C168" i="60"/>
  <c r="C167" i="60"/>
  <c r="C164" i="60"/>
  <c r="C163" i="60"/>
  <c r="C160" i="60"/>
  <c r="C159" i="60"/>
  <c r="C158" i="60"/>
  <c r="C157" i="60"/>
  <c r="C156" i="60"/>
  <c r="C155" i="60"/>
  <c r="C154" i="60"/>
  <c r="C153" i="60"/>
  <c r="C152" i="60"/>
  <c r="C151" i="60"/>
  <c r="C150" i="60"/>
  <c r="C149" i="60"/>
  <c r="C148" i="60"/>
  <c r="C147" i="60"/>
  <c r="C146" i="60"/>
  <c r="C145" i="60"/>
  <c r="C144" i="60"/>
  <c r="C143" i="60"/>
  <c r="C140" i="60"/>
  <c r="C139" i="60"/>
  <c r="C138" i="60"/>
  <c r="C137" i="60"/>
  <c r="C136" i="60"/>
  <c r="C135" i="60"/>
  <c r="C134" i="60"/>
  <c r="C133" i="60"/>
  <c r="C132" i="60"/>
  <c r="C131" i="60"/>
  <c r="C130" i="60"/>
  <c r="C129" i="60"/>
  <c r="C128" i="60"/>
  <c r="C127" i="60"/>
  <c r="C126" i="60"/>
  <c r="C125" i="60"/>
  <c r="C124" i="60"/>
  <c r="C123" i="60"/>
  <c r="C122" i="60"/>
  <c r="C121" i="60"/>
  <c r="C120" i="60"/>
  <c r="C119" i="60"/>
  <c r="C118" i="60"/>
  <c r="C117" i="60"/>
  <c r="C116" i="60"/>
  <c r="C115" i="60"/>
  <c r="C114" i="60"/>
  <c r="C113" i="60"/>
  <c r="C112" i="60"/>
  <c r="C111" i="60"/>
  <c r="C110" i="60"/>
  <c r="C109" i="60"/>
  <c r="C108" i="60"/>
  <c r="C107" i="60"/>
  <c r="C106" i="60"/>
  <c r="C105" i="60"/>
  <c r="C104" i="60"/>
  <c r="C103" i="60"/>
  <c r="C102" i="60"/>
  <c r="C101" i="60"/>
  <c r="C100" i="60"/>
  <c r="C99" i="60"/>
  <c r="C98" i="60"/>
  <c r="C97" i="60"/>
  <c r="C96" i="60"/>
  <c r="C95" i="60"/>
  <c r="C94" i="60"/>
  <c r="C93" i="60"/>
  <c r="C92" i="60"/>
  <c r="C91" i="60"/>
  <c r="C90" i="60"/>
  <c r="C89" i="60"/>
  <c r="C88" i="60"/>
  <c r="C87" i="60"/>
  <c r="C86" i="60"/>
  <c r="C85" i="60"/>
  <c r="C84" i="60"/>
  <c r="C83" i="60"/>
  <c r="C82" i="60"/>
  <c r="C81" i="60"/>
  <c r="C80" i="60"/>
  <c r="C79" i="60"/>
  <c r="C78" i="60"/>
  <c r="C77" i="60"/>
  <c r="C76" i="60"/>
  <c r="C75" i="60"/>
  <c r="C74" i="60"/>
  <c r="C73" i="60"/>
  <c r="C72" i="60"/>
  <c r="C71" i="60"/>
  <c r="C70" i="60"/>
  <c r="C69" i="60"/>
  <c r="C68" i="60"/>
  <c r="C67" i="60"/>
  <c r="C66" i="60"/>
  <c r="C65" i="60"/>
  <c r="C64" i="60"/>
  <c r="C63" i="60"/>
  <c r="C62" i="60"/>
  <c r="C61" i="60"/>
  <c r="C60" i="60"/>
  <c r="C59" i="60"/>
  <c r="C58" i="60"/>
  <c r="C57" i="60"/>
  <c r="C56" i="60"/>
  <c r="C55" i="60"/>
  <c r="C54" i="60"/>
  <c r="C53" i="60"/>
  <c r="C52" i="60"/>
  <c r="C51" i="60"/>
  <c r="C50" i="60"/>
  <c r="C49" i="60"/>
  <c r="C48" i="60"/>
  <c r="C47" i="60"/>
  <c r="C46" i="60"/>
  <c r="C45" i="60"/>
  <c r="C44" i="60"/>
  <c r="C43" i="60"/>
  <c r="C42" i="60"/>
  <c r="C41" i="60"/>
  <c r="C40" i="60"/>
  <c r="C39" i="60"/>
  <c r="C38" i="60"/>
  <c r="C37" i="60"/>
  <c r="C36" i="60"/>
  <c r="C35" i="60"/>
  <c r="C34" i="60"/>
  <c r="C33" i="60"/>
  <c r="C32" i="60"/>
  <c r="C31" i="60"/>
  <c r="C30" i="60"/>
  <c r="C29" i="60"/>
  <c r="C28" i="60"/>
  <c r="C27" i="60"/>
  <c r="C26" i="60"/>
  <c r="C25" i="60"/>
  <c r="C24" i="60"/>
  <c r="C23" i="60"/>
  <c r="C22" i="60"/>
  <c r="C21" i="60"/>
  <c r="C20" i="60"/>
  <c r="C19" i="60"/>
  <c r="C18" i="60"/>
  <c r="C17" i="60"/>
  <c r="C16" i="60"/>
  <c r="C15" i="60"/>
  <c r="C14" i="60"/>
  <c r="C13" i="60"/>
  <c r="C12" i="60"/>
  <c r="C11" i="60"/>
  <c r="C10" i="60"/>
  <c r="C9" i="60"/>
  <c r="C8" i="60"/>
  <c r="C7" i="60"/>
  <c r="C6" i="60"/>
  <c r="C5" i="60"/>
  <c r="C4" i="60"/>
  <c r="G203" i="59"/>
  <c r="D203" i="59"/>
  <c r="G202" i="59"/>
  <c r="D202" i="59"/>
  <c r="G201" i="59"/>
  <c r="D201" i="59"/>
  <c r="G200" i="59"/>
  <c r="D200" i="59"/>
  <c r="G199" i="59"/>
  <c r="D199" i="59"/>
  <c r="G198" i="59"/>
  <c r="D198" i="59"/>
  <c r="G197" i="59"/>
  <c r="D197" i="59"/>
  <c r="G196" i="59"/>
  <c r="D196" i="59"/>
  <c r="G195" i="59"/>
  <c r="D195" i="59"/>
  <c r="G194" i="59"/>
  <c r="D194" i="59"/>
  <c r="G193" i="59"/>
  <c r="D193" i="59"/>
  <c r="G192" i="59"/>
  <c r="D192" i="59"/>
  <c r="G191" i="59"/>
  <c r="D191" i="59"/>
  <c r="G190" i="59"/>
  <c r="D190" i="59"/>
  <c r="G189" i="59"/>
  <c r="D189" i="59"/>
  <c r="G188" i="59"/>
  <c r="D188" i="59"/>
  <c r="G187" i="59"/>
  <c r="D187" i="59"/>
  <c r="G186" i="59"/>
  <c r="D186" i="59"/>
  <c r="G185" i="59"/>
  <c r="D185" i="59"/>
  <c r="G184" i="59"/>
  <c r="D184" i="59"/>
  <c r="G183" i="59"/>
  <c r="D183" i="59"/>
  <c r="G182" i="59"/>
  <c r="D182" i="59"/>
  <c r="G181" i="59"/>
  <c r="D181" i="59"/>
  <c r="G180" i="59"/>
  <c r="D180" i="59"/>
  <c r="G179" i="59"/>
  <c r="D179" i="59"/>
  <c r="G178" i="59"/>
  <c r="D178" i="59"/>
  <c r="G177" i="59"/>
  <c r="D177" i="59"/>
  <c r="G176" i="59"/>
  <c r="D176" i="59"/>
  <c r="G175" i="59"/>
  <c r="D175" i="59"/>
  <c r="G174" i="59"/>
  <c r="D174" i="59"/>
  <c r="G173" i="59"/>
  <c r="D173" i="59"/>
  <c r="G172" i="59"/>
  <c r="D172" i="59"/>
  <c r="G171" i="59"/>
  <c r="D171" i="59"/>
  <c r="G170" i="59"/>
  <c r="D170" i="59"/>
  <c r="G169" i="59"/>
  <c r="D169" i="59"/>
  <c r="G168" i="59"/>
  <c r="D168" i="59"/>
  <c r="G167" i="59"/>
  <c r="D167" i="59"/>
  <c r="G166" i="59"/>
  <c r="D166" i="59"/>
  <c r="G165" i="59"/>
  <c r="D165" i="59"/>
  <c r="G164" i="59"/>
  <c r="D164" i="59"/>
  <c r="G163" i="59"/>
  <c r="D163" i="59"/>
  <c r="G162" i="59"/>
  <c r="D162" i="59"/>
  <c r="G161" i="59"/>
  <c r="D161" i="59"/>
  <c r="G160" i="59"/>
  <c r="D160" i="59"/>
  <c r="G159" i="59"/>
  <c r="D159" i="59"/>
  <c r="G158" i="59"/>
  <c r="D158" i="59"/>
  <c r="G157" i="59"/>
  <c r="D157" i="59"/>
  <c r="G156" i="59"/>
  <c r="D156" i="59"/>
  <c r="G155" i="59"/>
  <c r="D155" i="59"/>
  <c r="G154" i="59"/>
  <c r="D154" i="59"/>
  <c r="G153" i="59"/>
  <c r="D153" i="59"/>
  <c r="G152" i="59"/>
  <c r="D152" i="59"/>
  <c r="G151" i="59"/>
  <c r="D151" i="59"/>
  <c r="G150" i="59"/>
  <c r="D150" i="59"/>
  <c r="G149" i="59"/>
  <c r="D149" i="59"/>
  <c r="G148" i="59"/>
  <c r="D148" i="59"/>
  <c r="G147" i="59"/>
  <c r="D147" i="59"/>
  <c r="G146" i="59"/>
  <c r="D146" i="59"/>
  <c r="G145" i="59"/>
  <c r="D145" i="59"/>
  <c r="G144" i="59"/>
  <c r="D144" i="59"/>
  <c r="G143" i="59"/>
  <c r="D143" i="59"/>
  <c r="G142" i="59"/>
  <c r="D142" i="59"/>
  <c r="G141" i="59"/>
  <c r="D141" i="59"/>
  <c r="G140" i="59"/>
  <c r="D140" i="59"/>
  <c r="G139" i="59"/>
  <c r="D139" i="59"/>
  <c r="G138" i="59"/>
  <c r="D138" i="59"/>
  <c r="G137" i="59"/>
  <c r="D137" i="59"/>
  <c r="G136" i="59"/>
  <c r="D136" i="59"/>
  <c r="G135" i="59"/>
  <c r="D135" i="59"/>
  <c r="G134" i="59"/>
  <c r="D134" i="59"/>
  <c r="G133" i="59"/>
  <c r="D133" i="59"/>
  <c r="G132" i="59"/>
  <c r="D132" i="59"/>
  <c r="G131" i="59"/>
  <c r="D131" i="59"/>
  <c r="G130" i="59"/>
  <c r="D130" i="59"/>
  <c r="G129" i="59"/>
  <c r="D129" i="59"/>
  <c r="G128" i="59"/>
  <c r="D128" i="59"/>
  <c r="G127" i="59"/>
  <c r="D127" i="59"/>
  <c r="G126" i="59"/>
  <c r="D126" i="59"/>
  <c r="G125" i="59"/>
  <c r="D125" i="59"/>
  <c r="G124" i="59"/>
  <c r="D124" i="59"/>
  <c r="G123" i="59"/>
  <c r="D123" i="59"/>
  <c r="G122" i="59"/>
  <c r="D122" i="59"/>
  <c r="G121" i="59"/>
  <c r="D121" i="59"/>
  <c r="G120" i="59"/>
  <c r="D120" i="59"/>
  <c r="G119" i="59"/>
  <c r="D119" i="59"/>
  <c r="G118" i="59"/>
  <c r="D118" i="59"/>
  <c r="G117" i="59"/>
  <c r="D117" i="59"/>
  <c r="G116" i="59"/>
  <c r="D116" i="59"/>
  <c r="G115" i="59"/>
  <c r="D115" i="59"/>
  <c r="G114" i="59"/>
  <c r="D114" i="59"/>
  <c r="G113" i="59"/>
  <c r="D113" i="59"/>
  <c r="G112" i="59"/>
  <c r="D112" i="59"/>
  <c r="G111" i="59"/>
  <c r="D111" i="59"/>
  <c r="G110" i="59"/>
  <c r="D110" i="59"/>
  <c r="G109" i="59"/>
  <c r="D109" i="59"/>
  <c r="G108" i="59"/>
  <c r="D108" i="59"/>
  <c r="G107" i="59"/>
  <c r="D107" i="59"/>
  <c r="G106" i="59"/>
  <c r="D106" i="59"/>
  <c r="G105" i="59"/>
  <c r="D105" i="59"/>
  <c r="G104" i="59"/>
  <c r="D104" i="59"/>
  <c r="G103" i="59"/>
  <c r="D103" i="59"/>
  <c r="G102" i="59"/>
  <c r="D102" i="59"/>
  <c r="G101" i="59"/>
  <c r="D101" i="59"/>
  <c r="G100" i="59"/>
  <c r="D100" i="59"/>
  <c r="G99" i="59"/>
  <c r="D99" i="59"/>
  <c r="G98" i="59"/>
  <c r="D98" i="59"/>
  <c r="G97" i="59"/>
  <c r="D97" i="59"/>
  <c r="G96" i="59"/>
  <c r="D96" i="59"/>
  <c r="G95" i="59"/>
  <c r="D95" i="59"/>
  <c r="G94" i="59"/>
  <c r="D94" i="59"/>
  <c r="G93" i="59"/>
  <c r="D93" i="59"/>
  <c r="G92" i="59"/>
  <c r="D92" i="59"/>
  <c r="G91" i="59"/>
  <c r="D91" i="59"/>
  <c r="G90" i="59"/>
  <c r="D90" i="59"/>
  <c r="G89" i="59"/>
  <c r="D89" i="59"/>
  <c r="G88" i="59"/>
  <c r="D88" i="59"/>
  <c r="G87" i="59"/>
  <c r="D87" i="59"/>
  <c r="G86" i="59"/>
  <c r="D86" i="59"/>
  <c r="G85" i="59"/>
  <c r="D85" i="59"/>
  <c r="G84" i="59"/>
  <c r="D84" i="59"/>
  <c r="G83" i="59"/>
  <c r="D83" i="59"/>
  <c r="G82" i="59"/>
  <c r="D82" i="59"/>
  <c r="G81" i="59"/>
  <c r="D81" i="59"/>
  <c r="G80" i="59"/>
  <c r="D80" i="59"/>
  <c r="G79" i="59"/>
  <c r="D79" i="59"/>
  <c r="G78" i="59"/>
  <c r="D78" i="59"/>
  <c r="G77" i="59"/>
  <c r="D77" i="59"/>
  <c r="G76" i="59"/>
  <c r="D76" i="59"/>
  <c r="G75" i="59"/>
  <c r="D75" i="59"/>
  <c r="G74" i="59"/>
  <c r="D74" i="59"/>
  <c r="G73" i="59"/>
  <c r="D73" i="59"/>
  <c r="G72" i="59"/>
  <c r="D72" i="59"/>
  <c r="G71" i="59"/>
  <c r="D71" i="59"/>
  <c r="G70" i="59"/>
  <c r="D70" i="59"/>
  <c r="G69" i="59"/>
  <c r="D69" i="59"/>
  <c r="G68" i="59"/>
  <c r="D68" i="59"/>
  <c r="G67" i="59"/>
  <c r="D67" i="59"/>
  <c r="G66" i="59"/>
  <c r="D66" i="59"/>
  <c r="G65" i="59"/>
  <c r="D65" i="59"/>
  <c r="G64" i="59"/>
  <c r="D64" i="59"/>
  <c r="G63" i="59"/>
  <c r="D63" i="59"/>
  <c r="G62" i="59"/>
  <c r="D62" i="59"/>
  <c r="G61" i="59"/>
  <c r="D61" i="59"/>
  <c r="G60" i="59"/>
  <c r="D60" i="59"/>
  <c r="G59" i="59"/>
  <c r="D59" i="59"/>
  <c r="G58" i="59"/>
  <c r="D58" i="59"/>
  <c r="G57" i="59"/>
  <c r="D57" i="59"/>
  <c r="G56" i="59"/>
  <c r="D56" i="59"/>
  <c r="G55" i="59"/>
  <c r="D55" i="59"/>
  <c r="G54" i="59"/>
  <c r="D54" i="59"/>
  <c r="G53" i="59"/>
  <c r="D53" i="59"/>
  <c r="G52" i="59"/>
  <c r="D52" i="59"/>
  <c r="G51" i="59"/>
  <c r="D51" i="59"/>
  <c r="G50" i="59"/>
  <c r="D50" i="59"/>
  <c r="G49" i="59"/>
  <c r="D49" i="59"/>
  <c r="G48" i="59"/>
  <c r="D48" i="59"/>
  <c r="G47" i="59"/>
  <c r="D47" i="59"/>
  <c r="G46" i="59"/>
  <c r="D46" i="59"/>
  <c r="G45" i="59"/>
  <c r="D45" i="59"/>
  <c r="G44" i="59"/>
  <c r="D44" i="59"/>
  <c r="G43" i="59"/>
  <c r="D43" i="59"/>
  <c r="G42" i="59"/>
  <c r="D42" i="59"/>
  <c r="G41" i="59"/>
  <c r="D41" i="59"/>
  <c r="G40" i="59"/>
  <c r="D40" i="59"/>
  <c r="G39" i="59"/>
  <c r="D39" i="59"/>
  <c r="G38" i="59"/>
  <c r="D38" i="59"/>
  <c r="G37" i="59"/>
  <c r="D37" i="59"/>
  <c r="G36" i="59"/>
  <c r="D36" i="59"/>
  <c r="G35" i="59"/>
  <c r="D35" i="59"/>
  <c r="G34" i="59"/>
  <c r="D34" i="59"/>
  <c r="G33" i="59"/>
  <c r="D33" i="59"/>
  <c r="G32" i="59"/>
  <c r="D32" i="59"/>
  <c r="G31" i="59"/>
  <c r="D31" i="59"/>
  <c r="G30" i="59"/>
  <c r="D30" i="59"/>
  <c r="G29" i="59"/>
  <c r="D29" i="59"/>
  <c r="G28" i="59"/>
  <c r="D28" i="59"/>
  <c r="G27" i="59"/>
  <c r="D27" i="59"/>
  <c r="G26" i="59"/>
  <c r="D26" i="59"/>
  <c r="G25" i="59"/>
  <c r="D25" i="59"/>
  <c r="G24" i="59"/>
  <c r="D24" i="59"/>
  <c r="G23" i="59"/>
  <c r="D23" i="59"/>
  <c r="G22" i="59"/>
  <c r="D22" i="59"/>
  <c r="G21" i="59"/>
  <c r="D21" i="59"/>
  <c r="G20" i="59"/>
  <c r="D20" i="59"/>
  <c r="G19" i="59"/>
  <c r="D19" i="59"/>
  <c r="G18" i="59"/>
  <c r="D18" i="59"/>
  <c r="G17" i="59"/>
  <c r="D17" i="59"/>
  <c r="G16" i="59"/>
  <c r="D16" i="59"/>
  <c r="G15" i="59"/>
  <c r="D15" i="59"/>
  <c r="G14" i="59"/>
  <c r="D14" i="59"/>
  <c r="G13" i="59"/>
  <c r="D13" i="59"/>
  <c r="G12" i="59"/>
  <c r="D12" i="59"/>
  <c r="G11" i="59"/>
  <c r="D11" i="59"/>
  <c r="G10" i="59"/>
  <c r="D10" i="59"/>
  <c r="G9" i="59"/>
  <c r="D9" i="59"/>
  <c r="G8" i="59"/>
  <c r="D8" i="59"/>
  <c r="G7" i="59"/>
  <c r="D7" i="59"/>
  <c r="G6" i="59"/>
  <c r="D6" i="59"/>
  <c r="G5" i="59"/>
  <c r="D5" i="59"/>
  <c r="G4" i="59"/>
  <c r="D4" i="59"/>
  <c r="G3" i="59"/>
  <c r="G2" i="59"/>
  <c r="D3" i="59"/>
  <c r="D2" i="59"/>
  <c r="J21" i="2"/>
  <c r="J247" i="2"/>
  <c r="J246" i="2"/>
  <c r="J251" i="2"/>
  <c r="J245" i="2"/>
  <c r="J258" i="2"/>
  <c r="J243" i="2"/>
  <c r="J242" i="2"/>
  <c r="J241" i="2"/>
  <c r="J15" i="2"/>
  <c r="J239" i="2"/>
  <c r="J238" i="2"/>
  <c r="J237" i="2"/>
  <c r="J236" i="2"/>
  <c r="J235" i="2"/>
  <c r="J234" i="2"/>
  <c r="J6" i="2"/>
  <c r="J254" i="2"/>
  <c r="J181" i="2"/>
  <c r="J180" i="2"/>
  <c r="J179" i="2"/>
  <c r="J231" i="2"/>
  <c r="J230" i="2"/>
  <c r="J229" i="2"/>
  <c r="J228" i="2"/>
  <c r="J227" i="2"/>
  <c r="J226" i="2"/>
  <c r="J225" i="2"/>
  <c r="J224" i="2"/>
  <c r="J257" i="2"/>
  <c r="J222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Q207" i="2"/>
  <c r="L207" i="2"/>
  <c r="J207" i="2"/>
  <c r="J206" i="2"/>
  <c r="Q205" i="2"/>
  <c r="M205" i="2"/>
  <c r="L205" i="2"/>
  <c r="J205" i="2"/>
  <c r="Q111" i="2"/>
  <c r="M111" i="2"/>
  <c r="L111" i="2"/>
  <c r="J111" i="2"/>
  <c r="J188" i="2"/>
  <c r="J187" i="2"/>
  <c r="J186" i="2"/>
  <c r="J185" i="2"/>
  <c r="J184" i="2"/>
  <c r="J183" i="2"/>
  <c r="Q254" i="2"/>
  <c r="L254" i="2"/>
  <c r="J178" i="2"/>
  <c r="J177" i="2"/>
  <c r="J176" i="2"/>
  <c r="J175" i="2"/>
  <c r="J174" i="2"/>
  <c r="J173" i="2"/>
  <c r="J172" i="2"/>
  <c r="J171" i="2"/>
  <c r="J170" i="2"/>
  <c r="J169" i="2"/>
  <c r="J168" i="2"/>
  <c r="J147" i="2"/>
  <c r="J166" i="2"/>
  <c r="J4" i="2"/>
  <c r="J164" i="2"/>
  <c r="J163" i="2"/>
  <c r="Q162" i="2"/>
  <c r="J162" i="2"/>
  <c r="L161" i="2"/>
  <c r="J161" i="2"/>
  <c r="Q96" i="2"/>
  <c r="M96" i="2"/>
  <c r="L96" i="2"/>
  <c r="J96" i="2"/>
  <c r="J159" i="2"/>
  <c r="Q143" i="2"/>
  <c r="J143" i="2"/>
  <c r="Q157" i="2"/>
  <c r="L157" i="2"/>
  <c r="J157" i="2"/>
  <c r="Q156" i="2"/>
  <c r="L156" i="2"/>
  <c r="J156" i="2"/>
  <c r="Q140" i="2"/>
  <c r="L140" i="2"/>
  <c r="J140" i="2"/>
  <c r="Q154" i="2"/>
  <c r="L154" i="2"/>
  <c r="J154" i="2"/>
  <c r="Q153" i="2"/>
  <c r="L153" i="2"/>
  <c r="J153" i="2"/>
  <c r="Q152" i="2"/>
  <c r="L152" i="2"/>
  <c r="J152" i="2"/>
  <c r="Q93" i="2"/>
  <c r="L93" i="2"/>
  <c r="J93" i="2"/>
  <c r="Q139" i="2"/>
  <c r="M139" i="2"/>
  <c r="L139" i="2"/>
  <c r="J139" i="2"/>
  <c r="J146" i="2"/>
  <c r="J145" i="2"/>
  <c r="J144" i="2"/>
  <c r="Q91" i="2"/>
  <c r="L91" i="2"/>
  <c r="J91" i="2"/>
  <c r="Q80" i="2"/>
  <c r="L80" i="2"/>
  <c r="J80" i="2"/>
  <c r="Q101" i="2"/>
  <c r="M101" i="2"/>
  <c r="L101" i="2"/>
  <c r="J101" i="2"/>
  <c r="J100" i="2"/>
  <c r="J99" i="2"/>
  <c r="J98" i="2"/>
  <c r="J97" i="2"/>
  <c r="J68" i="2"/>
  <c r="J95" i="2"/>
  <c r="Q94" i="2"/>
  <c r="M94" i="2"/>
  <c r="L94" i="2"/>
  <c r="J94" i="2"/>
  <c r="Q197" i="2"/>
  <c r="M197" i="2"/>
  <c r="J197" i="2"/>
  <c r="J92" i="2"/>
  <c r="J66" i="2"/>
  <c r="J90" i="2"/>
  <c r="Q89" i="2"/>
  <c r="L89" i="2"/>
  <c r="J89" i="2"/>
  <c r="Q88" i="2"/>
  <c r="L88" i="2"/>
  <c r="J88" i="2"/>
  <c r="J87" i="2"/>
  <c r="Q86" i="2"/>
  <c r="L86" i="2"/>
  <c r="J86" i="2"/>
  <c r="Q85" i="2"/>
  <c r="L85" i="2"/>
  <c r="J85" i="2"/>
  <c r="Q84" i="2"/>
  <c r="J84" i="2"/>
  <c r="Q83" i="2"/>
  <c r="J83" i="2"/>
  <c r="Q82" i="2"/>
  <c r="L82" i="2"/>
  <c r="J82" i="2"/>
  <c r="Q81" i="2"/>
  <c r="M81" i="2"/>
  <c r="L81" i="2"/>
  <c r="J81" i="2"/>
  <c r="Q9" i="2"/>
  <c r="J9" i="2"/>
  <c r="Q8" i="2"/>
  <c r="J8" i="2"/>
  <c r="Q77" i="2"/>
  <c r="M77" i="2"/>
  <c r="L77" i="2"/>
  <c r="J77" i="2"/>
  <c r="Q76" i="2"/>
  <c r="M76" i="2"/>
  <c r="L76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117" i="2"/>
  <c r="Q36" i="2"/>
  <c r="J36" i="2"/>
  <c r="J35" i="2"/>
  <c r="J34" i="2"/>
  <c r="J33" i="2"/>
  <c r="J32" i="2"/>
  <c r="J116" i="2"/>
  <c r="J115" i="2"/>
  <c r="J29" i="2"/>
  <c r="J28" i="2"/>
  <c r="J27" i="2"/>
  <c r="J150" i="2"/>
  <c r="J25" i="2"/>
  <c r="J149" i="2"/>
  <c r="J23" i="2"/>
  <c r="J22" i="2"/>
  <c r="J63" i="2"/>
  <c r="J20" i="2"/>
  <c r="J19" i="2"/>
  <c r="J18" i="2"/>
  <c r="J17" i="2"/>
  <c r="J16" i="2"/>
  <c r="J112" i="2"/>
  <c r="J14" i="2"/>
  <c r="J13" i="2"/>
  <c r="J12" i="2"/>
  <c r="J11" i="2"/>
  <c r="J60" i="2"/>
  <c r="J59" i="2"/>
  <c r="Q57" i="2"/>
  <c r="M57" i="2"/>
  <c r="L57" i="2"/>
  <c r="J57" i="2"/>
  <c r="J233" i="2"/>
  <c r="J223" i="2"/>
  <c r="J5" i="2"/>
  <c r="M37" i="2"/>
  <c r="L37" i="2"/>
  <c r="J37" i="2"/>
  <c r="J3" i="2"/>
  <c r="D47" i="2"/>
  <c r="D201" i="2"/>
  <c r="D133" i="2"/>
  <c r="D27" i="2"/>
  <c r="D171" i="2"/>
  <c r="D232" i="2"/>
  <c r="D29" i="2"/>
  <c r="D89" i="2"/>
  <c r="D122" i="2"/>
  <c r="D226" i="2"/>
  <c r="D199" i="2"/>
  <c r="D19" i="2"/>
  <c r="D25" i="2"/>
  <c r="D54" i="2"/>
  <c r="D113" i="2"/>
  <c r="D168" i="2"/>
  <c r="D209" i="2"/>
  <c r="D72" i="2"/>
  <c r="D123" i="2"/>
  <c r="D164" i="2"/>
  <c r="D90" i="2"/>
  <c r="D102" i="2"/>
  <c r="D198" i="2"/>
  <c r="D211" i="2"/>
  <c r="D176" i="2"/>
  <c r="D38" i="2"/>
  <c r="D88" i="2"/>
  <c r="D247" i="2"/>
  <c r="D156" i="2"/>
  <c r="D73" i="2"/>
  <c r="D3" i="2"/>
  <c r="D34" i="2"/>
  <c r="D74" i="2"/>
  <c r="D119" i="2"/>
  <c r="D41" i="2"/>
  <c r="D107" i="2"/>
  <c r="D83" i="2"/>
  <c r="D146" i="2"/>
  <c r="D206" i="2"/>
  <c r="D101" i="2"/>
  <c r="D144" i="2"/>
  <c r="D163" i="2"/>
  <c r="D100" i="2"/>
  <c r="D40" i="2"/>
  <c r="D77" i="2"/>
  <c r="D169" i="2"/>
  <c r="D127" i="2"/>
  <c r="D61" i="2"/>
  <c r="D142" i="2"/>
  <c r="D17" i="2"/>
  <c r="D124" i="2"/>
  <c r="D48" i="2"/>
  <c r="D97" i="2"/>
  <c r="D35" i="2"/>
  <c r="D131" i="2"/>
  <c r="D99" i="2"/>
  <c r="D56" i="2"/>
  <c r="D85" i="2"/>
  <c r="D108" i="2"/>
  <c r="D136" i="2"/>
  <c r="D189" i="2"/>
  <c r="D20" i="2"/>
  <c r="D44" i="2"/>
  <c r="D128" i="2"/>
  <c r="D5" i="2"/>
  <c r="D42" i="2"/>
  <c r="D98" i="2"/>
  <c r="D129" i="2"/>
  <c r="D210" i="2"/>
  <c r="D193" i="2"/>
  <c r="D95" i="2"/>
  <c r="D219" i="2"/>
  <c r="D94" i="2"/>
  <c r="D126" i="2"/>
  <c r="D186" i="2"/>
  <c r="D13" i="2"/>
  <c r="D86" i="2"/>
  <c r="D132" i="2"/>
  <c r="D221" i="2"/>
  <c r="D58" i="2"/>
  <c r="D109" i="2"/>
  <c r="D145" i="2"/>
  <c r="D84" i="2"/>
  <c r="D55" i="2"/>
  <c r="D105" i="2"/>
  <c r="D46" i="2"/>
  <c r="D87" i="2"/>
  <c r="D130" i="2"/>
  <c r="D208" i="2"/>
  <c r="D70" i="2"/>
  <c r="D196" i="2"/>
  <c r="D18" i="2"/>
  <c r="D50" i="2"/>
  <c r="D28" i="2"/>
  <c r="D220" i="2"/>
  <c r="D184" i="2"/>
  <c r="D39" i="2"/>
  <c r="D207" i="2"/>
  <c r="D103" i="2"/>
  <c r="D32" i="2"/>
  <c r="D191" i="2"/>
  <c r="D174" i="2"/>
  <c r="D64" i="2"/>
  <c r="D36" i="2"/>
  <c r="D82" i="2"/>
  <c r="D51" i="2"/>
  <c r="D16" i="2"/>
  <c r="D118" i="2"/>
  <c r="D53" i="2"/>
  <c r="D11" i="2"/>
  <c r="D106" i="2"/>
  <c r="D75" i="2"/>
  <c r="D216" i="2"/>
  <c r="D141" i="2"/>
  <c r="D33" i="2"/>
  <c r="D224" i="2"/>
  <c r="D181" i="2"/>
  <c r="D92" i="2"/>
  <c r="D161" i="2"/>
  <c r="D110" i="2"/>
  <c r="D49" i="2"/>
  <c r="D154" i="2"/>
  <c r="D173" i="2"/>
  <c r="D93" i="2"/>
  <c r="D151" i="2"/>
  <c r="D121" i="2"/>
  <c r="D177" i="2"/>
  <c r="D223" i="2"/>
  <c r="D65" i="2"/>
  <c r="D228" i="2"/>
  <c r="D147" i="2"/>
  <c r="D9" i="2"/>
  <c r="D134" i="2"/>
  <c r="D178" i="2"/>
  <c r="D12" i="2"/>
  <c r="D78" i="2"/>
  <c r="D60" i="2"/>
  <c r="D245" i="2"/>
  <c r="D59" i="2"/>
  <c r="D43" i="2"/>
  <c r="D4" i="2"/>
  <c r="D23" i="2"/>
  <c r="D137" i="2"/>
  <c r="D104" i="2"/>
  <c r="D260" i="2"/>
  <c r="D235" i="2"/>
  <c r="D212" i="2"/>
  <c r="D183" i="2"/>
  <c r="D187" i="2"/>
  <c r="D160" i="2"/>
  <c r="D138" i="2"/>
  <c r="D96" i="2"/>
  <c r="D62" i="2"/>
  <c r="D230" i="2"/>
  <c r="D200" i="2"/>
  <c r="D180" i="2"/>
  <c r="D150" i="2"/>
  <c r="D80" i="2"/>
  <c r="D57" i="2"/>
  <c r="D21" i="2"/>
  <c r="D251" i="2"/>
  <c r="D240" i="2"/>
  <c r="D69" i="2"/>
  <c r="D111" i="2"/>
  <c r="D237" i="2"/>
  <c r="D117" i="2"/>
  <c r="D185" i="2"/>
  <c r="D68" i="2"/>
  <c r="D217" i="2"/>
  <c r="D81" i="2"/>
  <c r="D258" i="2"/>
  <c r="D214" i="2"/>
  <c r="D175" i="2"/>
  <c r="D140" i="2"/>
  <c r="D170" i="2"/>
  <c r="D116" i="2"/>
  <c r="D248" i="2"/>
  <c r="D203" i="2"/>
  <c r="D165" i="2"/>
  <c r="D91" i="2"/>
  <c r="D246" i="2"/>
  <c r="D204" i="2"/>
  <c r="D135" i="2"/>
  <c r="D15" i="2"/>
  <c r="D236" i="2"/>
  <c r="D52" i="2"/>
  <c r="D10" i="2"/>
  <c r="D7" i="2"/>
  <c r="D120" i="2"/>
  <c r="D257" i="2"/>
  <c r="D192" i="2"/>
  <c r="D172" i="2"/>
  <c r="D125" i="2"/>
  <c r="D268" i="2"/>
  <c r="D195" i="2"/>
  <c r="D114" i="2"/>
  <c r="D244" i="2"/>
  <c r="D6" i="2"/>
  <c r="D218" i="2"/>
  <c r="D63" i="2"/>
  <c r="D166" i="2"/>
  <c r="D243" i="2"/>
  <c r="D188" i="2"/>
  <c r="D182" i="2"/>
  <c r="D71" i="2"/>
  <c r="D234" i="2"/>
  <c r="D139" i="2"/>
  <c r="D8" i="2"/>
  <c r="D205" i="2"/>
  <c r="D167" i="2"/>
  <c r="D143" i="2"/>
  <c r="D155" i="2"/>
  <c r="D197" i="2"/>
  <c r="D242" i="2"/>
  <c r="D252" i="2"/>
  <c r="D14" i="2"/>
  <c r="D239" i="2"/>
  <c r="D159" i="2"/>
  <c r="D115" i="2"/>
  <c r="D152" i="2"/>
  <c r="D22" i="2"/>
  <c r="D225" i="2"/>
  <c r="D179" i="2"/>
  <c r="D148" i="2"/>
  <c r="D66" i="2"/>
  <c r="D227" i="2"/>
  <c r="D190" i="2"/>
  <c r="D45" i="2"/>
  <c r="D250" i="2"/>
  <c r="D213" i="2"/>
  <c r="D255" i="2"/>
  <c r="D194" i="2"/>
  <c r="D26" i="2"/>
  <c r="D157" i="2"/>
  <c r="D30" i="2"/>
  <c r="D229" i="2"/>
  <c r="D153" i="2"/>
  <c r="D79" i="2"/>
  <c r="D238" i="2"/>
  <c r="D158" i="2"/>
  <c r="D24" i="2"/>
  <c r="D233" i="2"/>
  <c r="D241" i="2"/>
  <c r="D202" i="2"/>
  <c r="D31" i="2"/>
  <c r="D149" i="2"/>
  <c r="D112" i="2"/>
  <c r="D231" i="2"/>
  <c r="D254" i="2"/>
  <c r="D215" i="2"/>
  <c r="D76" i="2"/>
  <c r="D37" i="2"/>
  <c r="D222" i="2"/>
  <c r="D67" i="2"/>
  <c r="D16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tc={EB6D04E8-0681-F34A-9FB5-9B39BC802642}</author>
    <author>tc={9B1DD3A8-2E35-824E-BD04-E4BD359191AF}</author>
    <author>tc={AB8B8522-9AEC-D947-B80E-BC50D9FD7FA6}</author>
    <author>tc={6F11F2CE-4E7D-7643-89FF-5A0FC2EAAB0A}</author>
  </authors>
  <commentList>
    <comment ref="E53" authorId="0" shapeId="0" xr:uid="{EB6D04E8-0681-F34A-9FB5-9B39BC8026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Ada koreksi dari data indra tahun 2024
200.001
</t>
      </text>
    </comment>
    <comment ref="E91" authorId="1" shapeId="0" xr:uid="{9B1DD3A8-2E35-824E-BD04-E4BD359191AF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koreksi saldo utang</t>
      </text>
    </comment>
    <comment ref="E133" authorId="2" shapeId="0" xr:uid="{AB8B8522-9AEC-D947-B80E-BC50D9FD7FA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 Lita sudah lunas</t>
      </text>
    </comment>
    <comment ref="E559" authorId="3" shapeId="0" xr:uid="{6F11F2CE-4E7D-7643-89FF-5A0FC2EAAB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kepotong cicilan lama
</t>
      </text>
    </comment>
  </commentList>
</comments>
</file>

<file path=xl/sharedStrings.xml><?xml version="1.0" encoding="utf-8"?>
<sst xmlns="http://schemas.openxmlformats.org/spreadsheetml/2006/main" count="10994" uniqueCount="761">
  <si>
    <t>NO</t>
  </si>
  <si>
    <t>N A M A</t>
  </si>
  <si>
    <t>Status</t>
  </si>
  <si>
    <t>Tanggal Bergabung</t>
  </si>
  <si>
    <t>Area</t>
  </si>
  <si>
    <t>NPP</t>
  </si>
  <si>
    <t xml:space="preserve">STATUS </t>
  </si>
  <si>
    <t>TEMPAT KERJA</t>
  </si>
  <si>
    <t>Abdul Cahyo Nugroho</t>
  </si>
  <si>
    <t>Aktif</t>
  </si>
  <si>
    <t>Cakung</t>
  </si>
  <si>
    <t>Tetap</t>
  </si>
  <si>
    <t>SPI</t>
  </si>
  <si>
    <t>WAJIB</t>
  </si>
  <si>
    <t>MANA SUKA</t>
  </si>
  <si>
    <t>PKPRI</t>
  </si>
  <si>
    <t>POKOK</t>
  </si>
  <si>
    <t>KHUSUS</t>
  </si>
  <si>
    <t>Keterangan</t>
  </si>
  <si>
    <t>Abdul Ghofir</t>
  </si>
  <si>
    <t>00355</t>
  </si>
  <si>
    <t>Divisi Produksi</t>
  </si>
  <si>
    <t>00553</t>
  </si>
  <si>
    <t>00549</t>
  </si>
  <si>
    <t>00. Awal</t>
  </si>
  <si>
    <t>00315</t>
  </si>
  <si>
    <t>Bidang Umum</t>
  </si>
  <si>
    <t>Amrun qq Nurhuda</t>
  </si>
  <si>
    <t>Agus Setiawan</t>
  </si>
  <si>
    <t>00394</t>
  </si>
  <si>
    <t>Bidang Keuangan</t>
  </si>
  <si>
    <t>Agustina  Sunarti</t>
  </si>
  <si>
    <t>00213</t>
  </si>
  <si>
    <t>Divisi Pemasaran</t>
  </si>
  <si>
    <t>Agustina  Sunarti qq Naimin</t>
  </si>
  <si>
    <t>Andrian Fadly</t>
  </si>
  <si>
    <t>00546</t>
  </si>
  <si>
    <t>Andung Juanda</t>
  </si>
  <si>
    <t>00511</t>
  </si>
  <si>
    <t>Anwari</t>
  </si>
  <si>
    <t>00340</t>
  </si>
  <si>
    <t>Ardiansyah</t>
  </si>
  <si>
    <t>00345</t>
  </si>
  <si>
    <t>Berly Sucitra</t>
  </si>
  <si>
    <t>00366</t>
  </si>
  <si>
    <t>RPH Pulogadung</t>
  </si>
  <si>
    <t>Budi Laksono</t>
  </si>
  <si>
    <t>00519</t>
  </si>
  <si>
    <t>Dadi Muhamad Mulyadi</t>
  </si>
  <si>
    <t>Pulogadung</t>
  </si>
  <si>
    <t>00325</t>
  </si>
  <si>
    <t>Dara Maulida</t>
  </si>
  <si>
    <t>00543</t>
  </si>
  <si>
    <t>Dedy Kurniawan</t>
  </si>
  <si>
    <t>00540</t>
  </si>
  <si>
    <t>Dewi Kartini</t>
  </si>
  <si>
    <t>00539</t>
  </si>
  <si>
    <t>Berman Sihaan, SE</t>
  </si>
  <si>
    <t>00357</t>
  </si>
  <si>
    <t>Didi Tarmudi</t>
  </si>
  <si>
    <t>00380</t>
  </si>
  <si>
    <t>RPH Cakung</t>
  </si>
  <si>
    <t>Diki Firmansyah</t>
  </si>
  <si>
    <t>Drs. Indra Gunawan</t>
  </si>
  <si>
    <t>00478</t>
  </si>
  <si>
    <t>Eka Yanuar Santosa</t>
  </si>
  <si>
    <t>00490</t>
  </si>
  <si>
    <t>Fahrudin Ahmad</t>
  </si>
  <si>
    <t>00304</t>
  </si>
  <si>
    <t>Ferika Pujiyanti</t>
  </si>
  <si>
    <t>00496</t>
  </si>
  <si>
    <t>Gunawan</t>
  </si>
  <si>
    <t>00517</t>
  </si>
  <si>
    <t>Bidang Litbang</t>
  </si>
  <si>
    <t>00552</t>
  </si>
  <si>
    <t>Drh. Jonet Rusmargono</t>
  </si>
  <si>
    <t>00308</t>
  </si>
  <si>
    <t>Hamzah</t>
  </si>
  <si>
    <t>00348</t>
  </si>
  <si>
    <t>Hendra</t>
  </si>
  <si>
    <t>00541</t>
  </si>
  <si>
    <t>Heni Triandini</t>
  </si>
  <si>
    <t>00537</t>
  </si>
  <si>
    <t>Heru Purboyo</t>
  </si>
  <si>
    <t>00322</t>
  </si>
  <si>
    <t>Heru Sri Margono</t>
  </si>
  <si>
    <t>00547</t>
  </si>
  <si>
    <t>Indra Suwanda</t>
  </si>
  <si>
    <t>Ir. Achmad  Fajar</t>
  </si>
  <si>
    <t>00225</t>
  </si>
  <si>
    <t>Ir. Djoko Maryono</t>
  </si>
  <si>
    <t>00363</t>
  </si>
  <si>
    <t>Ir. Okto Hendri Fahlefi</t>
  </si>
  <si>
    <t>00396</t>
  </si>
  <si>
    <t>Ismail</t>
  </si>
  <si>
    <t>00387</t>
  </si>
  <si>
    <t>Iwan Setiawan</t>
  </si>
  <si>
    <t>00508</t>
  </si>
  <si>
    <t>00351</t>
  </si>
  <si>
    <t xml:space="preserve">Jaka Darsono, SE. </t>
  </si>
  <si>
    <t>00360</t>
  </si>
  <si>
    <t>00281</t>
  </si>
  <si>
    <t>00368</t>
  </si>
  <si>
    <t>Minan Khusnaeni</t>
  </si>
  <si>
    <t>00401</t>
  </si>
  <si>
    <t>Mohammad Rizki</t>
  </si>
  <si>
    <t>00551</t>
  </si>
  <si>
    <t>Muhammad Dzil Ikram Jani</t>
  </si>
  <si>
    <t>00521</t>
  </si>
  <si>
    <t>Muhammad Irham</t>
  </si>
  <si>
    <t>Muhammad Khoirullah</t>
  </si>
  <si>
    <t>Narto Prayitno</t>
  </si>
  <si>
    <t>00350</t>
  </si>
  <si>
    <t>Rahmat Zaeni</t>
  </si>
  <si>
    <t>00317</t>
  </si>
  <si>
    <t>Riana Merry Natalia</t>
  </si>
  <si>
    <t>00497</t>
  </si>
  <si>
    <t>Riana Merry Natalia QQ Lasman</t>
  </si>
  <si>
    <t>Rico Septa Saputra</t>
  </si>
  <si>
    <t>00544</t>
  </si>
  <si>
    <t>Rokim</t>
  </si>
  <si>
    <t>00257</t>
  </si>
  <si>
    <t>Rosmiati</t>
  </si>
  <si>
    <t>00485</t>
  </si>
  <si>
    <t>Rusdi</t>
  </si>
  <si>
    <t>00399</t>
  </si>
  <si>
    <t>Divisi Penggemukan</t>
  </si>
  <si>
    <t>Sadikin</t>
  </si>
  <si>
    <t>00349</t>
  </si>
  <si>
    <t>Sudadi</t>
  </si>
  <si>
    <t>00343</t>
  </si>
  <si>
    <t>Sapari Jumawan</t>
  </si>
  <si>
    <t>00392</t>
  </si>
  <si>
    <t>Sri Purwaningsih</t>
  </si>
  <si>
    <t>00276</t>
  </si>
  <si>
    <t>Sugiarto</t>
  </si>
  <si>
    <t>00293</t>
  </si>
  <si>
    <t>Sugino</t>
  </si>
  <si>
    <t>00272</t>
  </si>
  <si>
    <t>Suryana</t>
  </si>
  <si>
    <t>00356</t>
  </si>
  <si>
    <t>Sutiwan</t>
  </si>
  <si>
    <t>00259</t>
  </si>
  <si>
    <t>M. Dahlan, S. Sos.</t>
  </si>
  <si>
    <t>00224</t>
  </si>
  <si>
    <t>Syahrial</t>
  </si>
  <si>
    <t>00273</t>
  </si>
  <si>
    <t>Toni</t>
  </si>
  <si>
    <t>00527</t>
  </si>
  <si>
    <t>Tri Joko Witanto</t>
  </si>
  <si>
    <t>00261</t>
  </si>
  <si>
    <t>Umayah</t>
  </si>
  <si>
    <t>00362</t>
  </si>
  <si>
    <t>Wawan Satriawan</t>
  </si>
  <si>
    <t>00548</t>
  </si>
  <si>
    <t>Wiyan Eko Supriyanto</t>
  </si>
  <si>
    <t>00499</t>
  </si>
  <si>
    <t>Sri Wahyuningsih</t>
  </si>
  <si>
    <t>Dilayani</t>
  </si>
  <si>
    <t>Indra Jaya Nugraha Putra</t>
  </si>
  <si>
    <t>Dehur</t>
  </si>
  <si>
    <t>01166</t>
  </si>
  <si>
    <t>Sana</t>
  </si>
  <si>
    <t>Purna Bakti 2024</t>
  </si>
  <si>
    <t>01154</t>
  </si>
  <si>
    <t>Nasrul</t>
  </si>
  <si>
    <t>01156</t>
  </si>
  <si>
    <t>Nurul Komar</t>
  </si>
  <si>
    <t>00221</t>
  </si>
  <si>
    <t>Yonatan Banobe</t>
  </si>
  <si>
    <t>01157</t>
  </si>
  <si>
    <t>Tri Indriyani</t>
  </si>
  <si>
    <t>Widodo</t>
  </si>
  <si>
    <t>Septi Priawandra</t>
  </si>
  <si>
    <t>Faisal Amri</t>
  </si>
  <si>
    <t>Ferry Firmanto</t>
  </si>
  <si>
    <t>Marhasan</t>
  </si>
  <si>
    <t>Rudiansyah</t>
  </si>
  <si>
    <t>Arsim</t>
  </si>
  <si>
    <t>Mellyna Atika Rahayu</t>
  </si>
  <si>
    <t>Lita Ayu Rosida</t>
  </si>
  <si>
    <t>01211</t>
  </si>
  <si>
    <t>Fellix Stephen Willa</t>
  </si>
  <si>
    <t>Ahmad Zaid Mahfudi</t>
  </si>
  <si>
    <t>Rumambi BSC</t>
  </si>
  <si>
    <t>00284</t>
  </si>
  <si>
    <t>Arno Nugroho</t>
  </si>
  <si>
    <t>Afan Wahyu Syafii</t>
  </si>
  <si>
    <t>Mumuh Mulyawan</t>
  </si>
  <si>
    <t>Agung Pambudi</t>
  </si>
  <si>
    <t>Kapuk</t>
  </si>
  <si>
    <t>00535</t>
  </si>
  <si>
    <t>00533</t>
  </si>
  <si>
    <t>RPH Kapuk</t>
  </si>
  <si>
    <t>Bayu Adithya Permana</t>
  </si>
  <si>
    <t>00498</t>
  </si>
  <si>
    <t>Damin</t>
  </si>
  <si>
    <t>00233</t>
  </si>
  <si>
    <t>Eddy Sukaryan</t>
  </si>
  <si>
    <t>00327</t>
  </si>
  <si>
    <t>Eko Junaidi</t>
  </si>
  <si>
    <t>00520</t>
  </si>
  <si>
    <t>Gede Arnawa</t>
  </si>
  <si>
    <t>00512</t>
  </si>
  <si>
    <t>Herman</t>
  </si>
  <si>
    <t>00534</t>
  </si>
  <si>
    <t>I Gede Mustika</t>
  </si>
  <si>
    <t>00525</t>
  </si>
  <si>
    <t>I Made Mustada</t>
  </si>
  <si>
    <t>00328</t>
  </si>
  <si>
    <t>I Nyoman Sarabudi</t>
  </si>
  <si>
    <t>00287</t>
  </si>
  <si>
    <t>Sugiarno Wibowo</t>
  </si>
  <si>
    <t>00285</t>
  </si>
  <si>
    <t>Idris Rusmianto</t>
  </si>
  <si>
    <t>00529</t>
  </si>
  <si>
    <t>Imam Asep Wahyudin</t>
  </si>
  <si>
    <t>00391</t>
  </si>
  <si>
    <t>Karnadi</t>
  </si>
  <si>
    <t>00487</t>
  </si>
  <si>
    <t>Kasdi</t>
  </si>
  <si>
    <t>00395</t>
  </si>
  <si>
    <t>00354</t>
  </si>
  <si>
    <t>Ketut Wijaya</t>
  </si>
  <si>
    <t>00514</t>
  </si>
  <si>
    <t>Komang Astrawan</t>
  </si>
  <si>
    <t>00531</t>
  </si>
  <si>
    <t>Kurnaedi</t>
  </si>
  <si>
    <t>00280</t>
  </si>
  <si>
    <t>Marsono</t>
  </si>
  <si>
    <t>00522</t>
  </si>
  <si>
    <t>Novita</t>
  </si>
  <si>
    <t>00542</t>
  </si>
  <si>
    <t>Nurpendi</t>
  </si>
  <si>
    <t>00516</t>
  </si>
  <si>
    <t>Nyoman Artawan</t>
  </si>
  <si>
    <t>00523</t>
  </si>
  <si>
    <t>Tarmudi</t>
  </si>
  <si>
    <t>00200</t>
  </si>
  <si>
    <t>Parsono</t>
  </si>
  <si>
    <t>00513</t>
  </si>
  <si>
    <t>Ramli</t>
  </si>
  <si>
    <t>00526</t>
  </si>
  <si>
    <t>Ridwan</t>
  </si>
  <si>
    <t>00530</t>
  </si>
  <si>
    <t>Rizki Munardi</t>
  </si>
  <si>
    <t>00532</t>
  </si>
  <si>
    <t>00376</t>
  </si>
  <si>
    <t>Sigit Hartanto</t>
  </si>
  <si>
    <t>00302</t>
  </si>
  <si>
    <t>Slamet</t>
  </si>
  <si>
    <t>00337</t>
  </si>
  <si>
    <t>Sobri</t>
  </si>
  <si>
    <t>00524</t>
  </si>
  <si>
    <t>Sri Hartoyo</t>
  </si>
  <si>
    <t>00288</t>
  </si>
  <si>
    <t>Subekti</t>
  </si>
  <si>
    <t>00481</t>
  </si>
  <si>
    <t>Sugiyatwoko</t>
  </si>
  <si>
    <t>00390</t>
  </si>
  <si>
    <t>Made Sena</t>
  </si>
  <si>
    <t>01505</t>
  </si>
  <si>
    <t>Sulaeman</t>
  </si>
  <si>
    <t>00301</t>
  </si>
  <si>
    <t>Tiksori</t>
  </si>
  <si>
    <t>01528</t>
  </si>
  <si>
    <t>Sutopo</t>
  </si>
  <si>
    <t>00277</t>
  </si>
  <si>
    <t>Sutrisno</t>
  </si>
  <si>
    <t>00528</t>
  </si>
  <si>
    <t>Suwarno</t>
  </si>
  <si>
    <t>00509</t>
  </si>
  <si>
    <t>Hari Yanto</t>
  </si>
  <si>
    <t>01509</t>
  </si>
  <si>
    <t>Suwitno</t>
  </si>
  <si>
    <t>00515</t>
  </si>
  <si>
    <t>Taufiqurrahman</t>
  </si>
  <si>
    <t>Tiolenta Martiana</t>
  </si>
  <si>
    <t>Siswanto</t>
  </si>
  <si>
    <t>Sartono</t>
  </si>
  <si>
    <t>01315</t>
  </si>
  <si>
    <t>Yusup</t>
  </si>
  <si>
    <t>01531</t>
  </si>
  <si>
    <t>Siswoyo</t>
  </si>
  <si>
    <t>01507</t>
  </si>
  <si>
    <t>Sofyan Setiawan</t>
  </si>
  <si>
    <t>01515</t>
  </si>
  <si>
    <t>Marwanto</t>
  </si>
  <si>
    <t>01510</t>
  </si>
  <si>
    <t>Kadek Sudarsana</t>
  </si>
  <si>
    <t>01511</t>
  </si>
  <si>
    <t>Dian Suanto</t>
  </si>
  <si>
    <t>Beny Permana</t>
  </si>
  <si>
    <t>01501</t>
  </si>
  <si>
    <t>Darsim</t>
  </si>
  <si>
    <t>Jaimin</t>
  </si>
  <si>
    <t>Raihan Rabbani</t>
  </si>
  <si>
    <t>01523</t>
  </si>
  <si>
    <t>Sumarsi</t>
  </si>
  <si>
    <t>01527</t>
  </si>
  <si>
    <t>Gede Suparta</t>
  </si>
  <si>
    <t>Jais Hartono</t>
  </si>
  <si>
    <t>01535</t>
  </si>
  <si>
    <t>Rikiansyah</t>
  </si>
  <si>
    <t>Jafar Dwiyanto</t>
  </si>
  <si>
    <t>Yato</t>
  </si>
  <si>
    <t>Khairun Nisa</t>
  </si>
  <si>
    <t>Didi Rahmat</t>
  </si>
  <si>
    <t>Rio Candra</t>
  </si>
  <si>
    <t>Suci Nurkhasanah</t>
  </si>
  <si>
    <t>Sumihar H. Tambunan</t>
  </si>
  <si>
    <t>Sudari</t>
  </si>
  <si>
    <t>Muhammad Topan</t>
  </si>
  <si>
    <t xml:space="preserve">Citra Meiliana Rahmaliyanti </t>
  </si>
  <si>
    <t>Akbar Fadhil</t>
  </si>
  <si>
    <t>Property</t>
  </si>
  <si>
    <t>Ngadiono</t>
  </si>
  <si>
    <t>Muhammad Agustiyadi</t>
  </si>
  <si>
    <t>Ade Kurnia</t>
  </si>
  <si>
    <t>Amir Suroto</t>
  </si>
  <si>
    <t>01302</t>
  </si>
  <si>
    <t>Deri Hendriawan</t>
  </si>
  <si>
    <t>01532</t>
  </si>
  <si>
    <t>Iskandar Sulestiyanto</t>
  </si>
  <si>
    <t>Tri Iswahyudi</t>
  </si>
  <si>
    <t>Allan Louby Van Houten</t>
  </si>
  <si>
    <t>Widi Kurnianto</t>
  </si>
  <si>
    <t>Ahmat Saifudin</t>
  </si>
  <si>
    <t>Ahmad Jamaludin</t>
  </si>
  <si>
    <t>00369</t>
  </si>
  <si>
    <t>Ahmad Rusli</t>
  </si>
  <si>
    <t>00309</t>
  </si>
  <si>
    <t>00371</t>
  </si>
  <si>
    <t>Kusno</t>
  </si>
  <si>
    <t>00333</t>
  </si>
  <si>
    <t>Nowo Susiyanto</t>
  </si>
  <si>
    <t>00311</t>
  </si>
  <si>
    <t>Paiman</t>
  </si>
  <si>
    <t>00307</t>
  </si>
  <si>
    <t>Rison Saeful Sobur</t>
  </si>
  <si>
    <t>00323</t>
  </si>
  <si>
    <t>Rohaedi</t>
  </si>
  <si>
    <t>00339</t>
  </si>
  <si>
    <t>Andri Hariyanto</t>
  </si>
  <si>
    <t>01519</t>
  </si>
  <si>
    <t>Satino</t>
  </si>
  <si>
    <t>Serang</t>
  </si>
  <si>
    <t>00372</t>
  </si>
  <si>
    <t>Turut</t>
  </si>
  <si>
    <t>00334</t>
  </si>
  <si>
    <t>Widiarjo</t>
  </si>
  <si>
    <t>00269</t>
  </si>
  <si>
    <t>Winardoyo</t>
  </si>
  <si>
    <t>00370</t>
  </si>
  <si>
    <t>Wiwik Agustina</t>
  </si>
  <si>
    <t>00296</t>
  </si>
  <si>
    <t>Isak</t>
  </si>
  <si>
    <t>01151</t>
  </si>
  <si>
    <t>Suratman</t>
  </si>
  <si>
    <t>01530</t>
  </si>
  <si>
    <t>Mulyadi</t>
  </si>
  <si>
    <t>01152</t>
  </si>
  <si>
    <t>Keren</t>
  </si>
  <si>
    <t>Andri Kurniawan</t>
  </si>
  <si>
    <t>Herda</t>
  </si>
  <si>
    <t>Andri Kurniawan qq Rizka Merdiawati</t>
  </si>
  <si>
    <t>Rwandha Sutedira</t>
  </si>
  <si>
    <t>Mohamad Firdaus</t>
  </si>
  <si>
    <t>Muhammad Ade Faizal</t>
  </si>
  <si>
    <t>Taufik Hidayat</t>
  </si>
  <si>
    <t>Clarissa Dini</t>
  </si>
  <si>
    <t>Rudy Nugroho</t>
  </si>
  <si>
    <t>Rian Alandy</t>
  </si>
  <si>
    <t>00518</t>
  </si>
  <si>
    <t>00554</t>
  </si>
  <si>
    <t>00557</t>
  </si>
  <si>
    <t>00580</t>
  </si>
  <si>
    <t>00560</t>
  </si>
  <si>
    <t>00584</t>
  </si>
  <si>
    <t>00583</t>
  </si>
  <si>
    <t>00556</t>
  </si>
  <si>
    <t>00563</t>
  </si>
  <si>
    <t>00568</t>
  </si>
  <si>
    <t>00569</t>
  </si>
  <si>
    <t>00581</t>
  </si>
  <si>
    <t>00566</t>
  </si>
  <si>
    <t>Hellda Anggara Prasetia</t>
  </si>
  <si>
    <t>00565</t>
  </si>
  <si>
    <t>00567</t>
  </si>
  <si>
    <t>Tirto Bayu Saputro</t>
  </si>
  <si>
    <t>00593</t>
  </si>
  <si>
    <t>00588</t>
  </si>
  <si>
    <t>00582</t>
  </si>
  <si>
    <t>00596</t>
  </si>
  <si>
    <t>00558</t>
  </si>
  <si>
    <t>00564</t>
  </si>
  <si>
    <t>00574</t>
  </si>
  <si>
    <t>01561</t>
  </si>
  <si>
    <t>00585</t>
  </si>
  <si>
    <t>00611</t>
  </si>
  <si>
    <t>Anton Efendi</t>
  </si>
  <si>
    <t>00614</t>
  </si>
  <si>
    <t>01541</t>
  </si>
  <si>
    <t>00589</t>
  </si>
  <si>
    <t>00591</t>
  </si>
  <si>
    <t>01604</t>
  </si>
  <si>
    <t>00602</t>
  </si>
  <si>
    <t>01543</t>
  </si>
  <si>
    <t>01602</t>
  </si>
  <si>
    <t>00621</t>
  </si>
  <si>
    <t>01594</t>
  </si>
  <si>
    <t>00587</t>
  </si>
  <si>
    <t>01544</t>
  </si>
  <si>
    <t>01573</t>
  </si>
  <si>
    <t>01651</t>
  </si>
  <si>
    <t>01601</t>
  </si>
  <si>
    <t>Distribusi</t>
  </si>
  <si>
    <t>00626</t>
  </si>
  <si>
    <t>00607</t>
  </si>
  <si>
    <t>00608</t>
  </si>
  <si>
    <t>01665</t>
  </si>
  <si>
    <t>Putu Dharma Santika</t>
  </si>
  <si>
    <t>01560</t>
  </si>
  <si>
    <t>00570</t>
  </si>
  <si>
    <t>00545</t>
  </si>
  <si>
    <t>Mutiyah Nur Aftilani</t>
  </si>
  <si>
    <t>00629</t>
  </si>
  <si>
    <t>01679</t>
  </si>
  <si>
    <t>DHL</t>
  </si>
  <si>
    <t>01703</t>
  </si>
  <si>
    <t>Divisi Penjualan</t>
  </si>
  <si>
    <t>01654</t>
  </si>
  <si>
    <t>00610</t>
  </si>
  <si>
    <t>01641</t>
  </si>
  <si>
    <t>01608</t>
  </si>
  <si>
    <t>Ria Banita Krisdayanti</t>
  </si>
  <si>
    <t>Toro Riyadi</t>
  </si>
  <si>
    <t>K3</t>
  </si>
  <si>
    <t>Ady Sucipto</t>
  </si>
  <si>
    <t>Erfan Faulana</t>
  </si>
  <si>
    <t>Kebersihan</t>
  </si>
  <si>
    <t>Indri Widyawati</t>
  </si>
  <si>
    <t>Syarif Hidayatulloh</t>
  </si>
  <si>
    <t>Meat Shop</t>
  </si>
  <si>
    <t>Neri Handayani</t>
  </si>
  <si>
    <t>Bahtiar Rifai</t>
  </si>
  <si>
    <t>Agus Tomi</t>
  </si>
  <si>
    <t>RPH KAPUK</t>
  </si>
  <si>
    <t>Willi Prayetno</t>
  </si>
  <si>
    <t>Aan Supriyatin</t>
  </si>
  <si>
    <t>Faqih Zakaria</t>
  </si>
  <si>
    <t>Andi Yanto</t>
  </si>
  <si>
    <t>Bayu Ayudya Permana</t>
  </si>
  <si>
    <t>00623</t>
  </si>
  <si>
    <t>01708</t>
  </si>
  <si>
    <t>00616</t>
  </si>
  <si>
    <t>01730</t>
  </si>
  <si>
    <t>01727</t>
  </si>
  <si>
    <t>00613</t>
  </si>
  <si>
    <t>01711</t>
  </si>
  <si>
    <t>00628</t>
  </si>
  <si>
    <t>01740</t>
  </si>
  <si>
    <t>01737</t>
  </si>
  <si>
    <t>01739</t>
  </si>
  <si>
    <t>01738</t>
  </si>
  <si>
    <t>01735</t>
  </si>
  <si>
    <t>00578</t>
  </si>
  <si>
    <t>Arief Indrawan</t>
  </si>
  <si>
    <t>00577</t>
  </si>
  <si>
    <t>Arsip</t>
  </si>
  <si>
    <t>PHL</t>
  </si>
  <si>
    <t>00576</t>
  </si>
  <si>
    <t>01743</t>
  </si>
  <si>
    <t xml:space="preserve"> Cakung </t>
  </si>
  <si>
    <t>SIMPANAN WAJIB</t>
  </si>
  <si>
    <t>SIMPANAN MANASUKA</t>
  </si>
  <si>
    <t>Grand Total</t>
  </si>
  <si>
    <t>Khusus</t>
  </si>
  <si>
    <t>Sum of Khusus</t>
  </si>
  <si>
    <t>00579</t>
  </si>
  <si>
    <t>Jumadi</t>
  </si>
  <si>
    <t>Jamsari</t>
  </si>
  <si>
    <t>Hesby Aga Ardila Nugroho</t>
  </si>
  <si>
    <t>Margono - 00368</t>
  </si>
  <si>
    <t>Alfian Noor</t>
  </si>
  <si>
    <t>Amrun Maruf Effendi</t>
  </si>
  <si>
    <t>Margono - 00281</t>
  </si>
  <si>
    <t>Margono QQ Rista - 00281</t>
  </si>
  <si>
    <t>Plan Pensiun 25 Juli 2025</t>
  </si>
  <si>
    <t>Bulan</t>
  </si>
  <si>
    <t>Dimas Fajar Wijaya</t>
  </si>
  <si>
    <t>Asta</t>
  </si>
  <si>
    <t>Rina Oktaviani</t>
  </si>
  <si>
    <t>Dendi Adiansyah</t>
  </si>
  <si>
    <t>Rusito</t>
  </si>
  <si>
    <t>Romansyah</t>
  </si>
  <si>
    <t>Ery Martadinata</t>
  </si>
  <si>
    <t>Hermansyah</t>
  </si>
  <si>
    <t>Andi Prayitno</t>
  </si>
  <si>
    <t>Ibrahim</t>
  </si>
  <si>
    <t>A. Rafik</t>
  </si>
  <si>
    <t>Qomara Duha</t>
  </si>
  <si>
    <t>Iman Solaeman</t>
  </si>
  <si>
    <t>01778</t>
  </si>
  <si>
    <t>Divisi SDM &amp; Umum</t>
  </si>
  <si>
    <t>01777</t>
  </si>
  <si>
    <t>x</t>
  </si>
  <si>
    <t>01719</t>
  </si>
  <si>
    <t>01721</t>
  </si>
  <si>
    <t>01775</t>
  </si>
  <si>
    <t>01776</t>
  </si>
  <si>
    <t>01754</t>
  </si>
  <si>
    <t>01774</t>
  </si>
  <si>
    <t>01720</t>
  </si>
  <si>
    <t>01728</t>
  </si>
  <si>
    <t>01731</t>
  </si>
  <si>
    <t>01736</t>
  </si>
  <si>
    <t>01706</t>
  </si>
  <si>
    <t>Divisi Penugasan</t>
  </si>
  <si>
    <t>Repki Ariyanto</t>
  </si>
  <si>
    <t>Sunardi - 00354</t>
  </si>
  <si>
    <t>Sunardi - 00376</t>
  </si>
  <si>
    <t>Ari Wibowo - 00533</t>
  </si>
  <si>
    <t>Ari Wibowo - 00579</t>
  </si>
  <si>
    <t>Ahmad Fauzi - 01743</t>
  </si>
  <si>
    <t>Ahmad Fauzi - 00549</t>
  </si>
  <si>
    <t>ROBERT LAKBURLAWAI</t>
  </si>
  <si>
    <t>ALVIN AVRIALDY</t>
  </si>
  <si>
    <t>Nasabah</t>
  </si>
  <si>
    <t>Tatang</t>
  </si>
  <si>
    <t>Fajar Bintara</t>
  </si>
  <si>
    <t>Yadi Supriyadi (Diver)</t>
  </si>
  <si>
    <t>Rujito</t>
  </si>
  <si>
    <t>Fitriya Hariyani</t>
  </si>
  <si>
    <t>Erina Fitriani</t>
  </si>
  <si>
    <t>Kadelis / Udin / Wati</t>
  </si>
  <si>
    <t>Sumardi (Driver)</t>
  </si>
  <si>
    <t>Victor David Sambuaga</t>
  </si>
  <si>
    <t>Nasabah Kapuk</t>
  </si>
  <si>
    <t>Washadi</t>
  </si>
  <si>
    <t>01800</t>
  </si>
  <si>
    <t>00633</t>
  </si>
  <si>
    <t>00571</t>
  </si>
  <si>
    <t>Ny. Tuti/Dahyuri</t>
  </si>
  <si>
    <t>Tan Kian Liem/I Komang S. J</t>
  </si>
  <si>
    <t>Roni Sambuaga</t>
  </si>
  <si>
    <t>Achmad Ikang Zulkarnain</t>
  </si>
  <si>
    <t>Bagus Iqbal Juardi</t>
  </si>
  <si>
    <t>Rafli Baihaqqi Rianto</t>
  </si>
  <si>
    <t>Suryadi</t>
  </si>
  <si>
    <t>Puniko</t>
  </si>
  <si>
    <t>Ahmad Gopur</t>
  </si>
  <si>
    <t>Agus Tomi - Nasabah</t>
  </si>
  <si>
    <t>Ari Wibowo (Pemotongan)</t>
  </si>
  <si>
    <t>Ari Wibowo (Limbah)</t>
  </si>
  <si>
    <t>SHU</t>
  </si>
  <si>
    <t>Purna Bakti 2025</t>
  </si>
  <si>
    <t>00637</t>
  </si>
  <si>
    <t>Koka</t>
  </si>
  <si>
    <t>01603</t>
  </si>
  <si>
    <t>Zalu Febri Lesmana</t>
  </si>
  <si>
    <t>Anisa Juniyanti</t>
  </si>
  <si>
    <t>Andika</t>
  </si>
  <si>
    <t>Dede Slamet Supriyanto</t>
  </si>
  <si>
    <t>KJP</t>
  </si>
  <si>
    <t>Adam Bakhtiar</t>
  </si>
  <si>
    <t>Agung</t>
  </si>
  <si>
    <t>Aep Saefudin</t>
  </si>
  <si>
    <t>Eko Fitriyanto</t>
  </si>
  <si>
    <t>Irham Eko Setiyono</t>
  </si>
  <si>
    <t>Darsono</t>
  </si>
  <si>
    <t>M. Kurniawan</t>
  </si>
  <si>
    <t>Ahmad Arif</t>
  </si>
  <si>
    <t>00639</t>
  </si>
  <si>
    <t>01764</t>
  </si>
  <si>
    <t>Kategori</t>
  </si>
  <si>
    <t>Setoran Simpanan</t>
  </si>
  <si>
    <t>Pensiun 11 Nov 2025</t>
  </si>
  <si>
    <t>Pensiun 20 Nov 2025</t>
  </si>
  <si>
    <t>12. Des 2025</t>
  </si>
  <si>
    <t>Sum of SHU</t>
  </si>
  <si>
    <t>Purna Bakti 2021</t>
  </si>
  <si>
    <t>Purna Bakti 2022</t>
  </si>
  <si>
    <t>Purna Bakti 2023</t>
  </si>
  <si>
    <t>00. Saldo Akhir 2025</t>
  </si>
  <si>
    <t>Saldo Awal</t>
  </si>
  <si>
    <t>ari Wibowo - 00579</t>
  </si>
  <si>
    <t>I Gede mustika</t>
  </si>
  <si>
    <t>Nama</t>
  </si>
  <si>
    <t>Npp</t>
  </si>
  <si>
    <t>Tanggal</t>
  </si>
  <si>
    <t>Nilai</t>
  </si>
  <si>
    <t>Metod</t>
  </si>
  <si>
    <t>D</t>
  </si>
  <si>
    <t>K</t>
  </si>
  <si>
    <t>Mulai</t>
  </si>
  <si>
    <t>Terakhir</t>
  </si>
  <si>
    <t>Cicilan</t>
  </si>
  <si>
    <t>3. Cicilan</t>
  </si>
  <si>
    <t>0. Sisa Pinjaman 2025</t>
  </si>
  <si>
    <t>Pengembalian potongan</t>
  </si>
  <si>
    <t>Sum of Nilai</t>
  </si>
  <si>
    <t>No</t>
  </si>
  <si>
    <t>Pokok</t>
  </si>
  <si>
    <t>Admin</t>
  </si>
  <si>
    <t>Mulai dipotong</t>
  </si>
  <si>
    <t>Terakhir dipotong</t>
  </si>
  <si>
    <t>01. Jan 2026</t>
  </si>
  <si>
    <t>PHL Distribusi</t>
  </si>
  <si>
    <t>PHL KJP</t>
  </si>
  <si>
    <t>PHL Produksi</t>
  </si>
  <si>
    <t>Pengambilan Manasuka</t>
  </si>
  <si>
    <t>02. Feb 2026</t>
  </si>
  <si>
    <t>Pensiun / Keluar Dari Koperasi</t>
  </si>
  <si>
    <t>Purna Bakti 2026</t>
  </si>
  <si>
    <t>Ditolak Pengajuan Pengambilan Manasukanya</t>
  </si>
  <si>
    <t>2. Jasa Admin</t>
  </si>
  <si>
    <t>1. Pokok Pinjaman</t>
  </si>
  <si>
    <t>approve</t>
  </si>
  <si>
    <t>lama Cicilan</t>
  </si>
  <si>
    <t>Dipotong langsung mulai Feb 2025 sebanyak 20x</t>
  </si>
  <si>
    <t>Pelunasan karena topup</t>
  </si>
  <si>
    <t>Dipotong mulai Maret 2026 sebanyak 24x</t>
  </si>
  <si>
    <t>pelunasan langsung karena topup</t>
  </si>
  <si>
    <t>Pelunasan langsung karena topup</t>
  </si>
  <si>
    <t>Pelunasan Langsung Karena Top Up</t>
  </si>
  <si>
    <t>Dipotong mulai Feb 2026 sebanyak 10x</t>
  </si>
  <si>
    <t>Pengembalian kelebihan potong</t>
  </si>
  <si>
    <t>Sudah bukan Anggota koperasi lagi, hak dan kewajiban sudah diserahkan</t>
  </si>
  <si>
    <t>Dipotong Saat Pensiun</t>
  </si>
  <si>
    <t>Pensiun</t>
  </si>
  <si>
    <t>Dipotong mulai Feb 2026 sebanyak 6x</t>
  </si>
  <si>
    <t>Dipotong mulai Feb 2026 sebanyak 5x</t>
  </si>
  <si>
    <t>Dipotong mulai Maret 2026 sebanyak 6x</t>
  </si>
  <si>
    <t>Dipotong mulai Maret 2026 sebanyak 12x</t>
  </si>
  <si>
    <t>Dipotong mulai Maret 2026 sebanyak 2x</t>
  </si>
  <si>
    <t>Dipotong mulai Maret 2026 sebanyak 15x</t>
  </si>
  <si>
    <t>Saat Pensiun</t>
  </si>
  <si>
    <t>Saat pensiun</t>
  </si>
  <si>
    <t>Penangguhan dipotong jasa saja 775000</t>
  </si>
  <si>
    <t>18+1</t>
  </si>
  <si>
    <t>Lunas</t>
  </si>
  <si>
    <t>Pelunasan Langsung Karena topup</t>
  </si>
  <si>
    <t>Dipotong mulai Maret 2026 sebanyak 10x</t>
  </si>
  <si>
    <t>03. Mar 2026</t>
  </si>
  <si>
    <t>Pelunasan langsung</t>
  </si>
  <si>
    <t>Sum of SIMPANAN WAJIB</t>
  </si>
  <si>
    <t>Sum of SIMPANAN MANASUKA</t>
  </si>
  <si>
    <t>Pengembalian karena melakukan penangguhan</t>
  </si>
  <si>
    <t>Pengajuan</t>
  </si>
  <si>
    <t>Simpanan + Manasuka</t>
  </si>
  <si>
    <t>Total</t>
  </si>
  <si>
    <t xml:space="preserve">Dipotong 25 Mei sebanyak 4x </t>
  </si>
  <si>
    <t xml:space="preserve">Dipotong 25 Mei sebanyak 1x </t>
  </si>
  <si>
    <t xml:space="preserve">Dipotong 25 Mei sebanyak 10x </t>
  </si>
  <si>
    <t xml:space="preserve">Dipotong 25 Mei sebanyak 8x </t>
  </si>
  <si>
    <t xml:space="preserve">Dipotong 25 Mei sebanyak 24x </t>
  </si>
  <si>
    <t xml:space="preserve">Dipotong 25 Mei sebanyak 18x </t>
  </si>
  <si>
    <t>Sum of Cicilan</t>
  </si>
  <si>
    <t>04. Apr 2026</t>
  </si>
  <si>
    <t>Penangguhan cicilan hanya dipotong jasa sebesar 955.000</t>
  </si>
  <si>
    <t>Penangguhan cicilan hanya dipotong jasa sebesar 505.000</t>
  </si>
  <si>
    <t>Penangguhan cicilan hanya dipotong jasa sebesar 400.000</t>
  </si>
  <si>
    <t>05. Mei 2026</t>
  </si>
  <si>
    <t>Koreksi</t>
  </si>
  <si>
    <t>purna bakti</t>
  </si>
  <si>
    <t>Dipotong mulai juni 2026 sebanyak 1x</t>
  </si>
  <si>
    <t>Dipotong mulai jan 2026 sebanyak 10x</t>
  </si>
  <si>
    <t>Dipotong mulai juni 2026 sebanyak 24x</t>
  </si>
  <si>
    <t>cicilan ke 6</t>
  </si>
  <si>
    <t>Dipotong mulai juni 2026 sebanyak 4x</t>
  </si>
  <si>
    <t>Row Labels</t>
  </si>
  <si>
    <t xml:space="preserve">Dipotong 25 Mei sebanyak 12x </t>
  </si>
  <si>
    <t>Revisi</t>
  </si>
  <si>
    <t>Ditolak Pengajuannya</t>
  </si>
  <si>
    <t>Update NPP</t>
  </si>
  <si>
    <t>Elvin Noversya</t>
  </si>
  <si>
    <t>Donald Freddy Simanjuntak</t>
  </si>
  <si>
    <t>Pengajuan Pinjaman 10 bln</t>
  </si>
  <si>
    <t>Pengajuan Pinjaman 6 bln</t>
  </si>
  <si>
    <t>06. Jun 2026</t>
  </si>
  <si>
    <t xml:space="preserve">Dipotong sebanyak 24x </t>
  </si>
  <si>
    <t>Pinjaman dipotong saat pensiun</t>
  </si>
  <si>
    <t>Dipotong sebanyak 24x</t>
  </si>
  <si>
    <t>lunas</t>
  </si>
  <si>
    <t>Dipotong sebanyak 10x</t>
  </si>
  <si>
    <t xml:space="preserve">Dipotong sebanyak 10x </t>
  </si>
  <si>
    <t>Koreksi tahun lalu</t>
  </si>
  <si>
    <t>Dipotong sebanyak 13x</t>
  </si>
  <si>
    <t xml:space="preserve">Dipotong sebanyak 7x </t>
  </si>
  <si>
    <t>Dipotong sebanayak 12x</t>
  </si>
  <si>
    <t>Pelunasan Langsung (Dari Catetan Lita)</t>
  </si>
  <si>
    <t>Pengembalian potongan datetan lita 720.000 pengajuan 220.000</t>
  </si>
  <si>
    <t>Dipotong sebanyak 12x</t>
  </si>
  <si>
    <t xml:space="preserve">Dipotong sebanyak 12x </t>
  </si>
  <si>
    <t>Dipotong sebanyak 20x</t>
  </si>
  <si>
    <t>Dipotong sebanyak 6x</t>
  </si>
  <si>
    <t>Dipotong sebanyak 8x</t>
  </si>
  <si>
    <t>K1756</t>
  </si>
  <si>
    <t>MS Mampang</t>
  </si>
  <si>
    <t>SDM UMUM</t>
  </si>
  <si>
    <t>00643</t>
  </si>
  <si>
    <t>K924</t>
  </si>
  <si>
    <t>Sales</t>
  </si>
  <si>
    <t>Aris Aptin Permana</t>
  </si>
  <si>
    <t>Nabila Nandra Putri</t>
  </si>
  <si>
    <t>Riska Fahraeni</t>
  </si>
  <si>
    <t>Maria Sara Intan Permata Sari</t>
  </si>
  <si>
    <t>00575</t>
  </si>
  <si>
    <t>00601</t>
  </si>
  <si>
    <t>00609</t>
  </si>
  <si>
    <t>00634</t>
  </si>
  <si>
    <t>PKT</t>
  </si>
  <si>
    <t>Ahmad Fauzi - 01756</t>
  </si>
  <si>
    <t>Deni</t>
  </si>
  <si>
    <t>Supir Koperasi KJP</t>
  </si>
  <si>
    <t>Driver</t>
  </si>
  <si>
    <t>07. Jul 2026</t>
  </si>
  <si>
    <t>Pengajuan 24 bln</t>
  </si>
  <si>
    <t>pelunasan karena topup</t>
  </si>
  <si>
    <t xml:space="preserve">Dipotong sebanyak 3x </t>
  </si>
  <si>
    <t>pengembalian kelebihan cicilan</t>
  </si>
  <si>
    <t>Cicilan ke 8</t>
  </si>
  <si>
    <t>Piotong admin saja karena pengangguhan</t>
  </si>
  <si>
    <t>Kelebihan potong</t>
  </si>
  <si>
    <t>Pengajuan pengembalian cicilan</t>
  </si>
  <si>
    <t>Dipotong mulai Agustus sebanyak 24x</t>
  </si>
  <si>
    <t>Dipotong mulai Agustus sebanyak 10x</t>
  </si>
  <si>
    <t>Dipotong mulai Agustus sebanyak 12x</t>
  </si>
  <si>
    <t>Dipotong mulai September sebanyak 12x</t>
  </si>
  <si>
    <t>Dipotong mulai September sebanyak 8x</t>
  </si>
  <si>
    <t>Koreksi Saldo Awal</t>
  </si>
  <si>
    <t>08. Agu 2026</t>
  </si>
  <si>
    <t>Pengajuan 12x</t>
  </si>
  <si>
    <t>Pengembalian cicilan</t>
  </si>
  <si>
    <t>Dipotong 3x</t>
  </si>
  <si>
    <t>Pengajuan 4x</t>
  </si>
  <si>
    <t xml:space="preserve">Dipotong 6x </t>
  </si>
  <si>
    <t>Dipotong saat Pensiun</t>
  </si>
  <si>
    <t>Dipotong mulai Sep 2026 sebanyak 24x</t>
  </si>
  <si>
    <t>Dipotong 24x</t>
  </si>
  <si>
    <t>Dipotong sebanyak 15x</t>
  </si>
  <si>
    <t>Dipotong sebnayak 10x</t>
  </si>
  <si>
    <t>(All)</t>
  </si>
  <si>
    <t>(Multiple Items)</t>
  </si>
  <si>
    <t>pengajuan pengambilan manasuka</t>
  </si>
  <si>
    <t>cicilan ke 7</t>
  </si>
  <si>
    <t>Pengajuan 12 bulan</t>
  </si>
  <si>
    <t>K1744</t>
  </si>
  <si>
    <t>Haryadi</t>
  </si>
  <si>
    <t>Baru</t>
  </si>
  <si>
    <t>Dicicil sebanyak 15x</t>
  </si>
  <si>
    <t>Pengembalian Cicilan</t>
  </si>
  <si>
    <t>dicicil sebanyak 10x</t>
  </si>
  <si>
    <t>dipotong sebanyak 24x</t>
  </si>
  <si>
    <t>dipotong sebanyak 18x</t>
  </si>
  <si>
    <t>Pengajuan 24bln</t>
  </si>
  <si>
    <t>09. Sep 2026</t>
  </si>
  <si>
    <t>Keluar Dari Koperasi</t>
  </si>
  <si>
    <t>Pengajuan 3bln</t>
  </si>
  <si>
    <t>Bayu Adithya Permana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</si>
</sst>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/mm/yyyy;@"/>
    <numFmt numFmtId="167" formatCode="dd\ mmm\ yyyy"/>
    <numFmt numFmtId="168" formatCode="yyyy\ mmm\ dd"/>
    <numFmt numFmtId="169" formatCode="yyyy\ mmm"/>
  </numFmts>
  <fonts count="13" x14ac:knownFonts="1">
    <font>
      <sz val="12"/>
      <color theme="1"/>
      <name val="Aptos Narrow"/>
      <family val="2"/>
      <scheme val="minor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name val="Arial"/>
      <family val="2"/>
    </font>
    <font>
      <sz val="13"/>
      <color rgb="FF000000"/>
      <name val="Calibri"/>
      <family val="2"/>
    </font>
    <font>
      <sz val="12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0" fontId="5" fillId="0" borderId="0">
      <alignment vertical="center"/>
    </xf>
    <xf numFmtId="41" fontId="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0" fontId="5" fillId="0" borderId="0"/>
    <xf numFmtId="0" fontId="7" fillId="0" borderId="0"/>
    <xf numFmtId="164" fontId="5" fillId="0" borderId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165" fontId="3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/>
    <xf numFmtId="0" fontId="2" fillId="0" borderId="5" xfId="0" applyFont="1" applyBorder="1"/>
    <xf numFmtId="165" fontId="3" fillId="0" borderId="0" xfId="0" applyNumberFormat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165" fontId="2" fillId="0" borderId="6" xfId="0" applyNumberFormat="1" applyFont="1" applyBorder="1"/>
    <xf numFmtId="0" fontId="2" fillId="0" borderId="2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0" fillId="0" borderId="0" xfId="0" quotePrefix="1"/>
    <xf numFmtId="165" fontId="3" fillId="0" borderId="7" xfId="1" applyNumberFormat="1" applyFont="1" applyBorder="1" applyAlignment="1">
      <alignment vertic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165" fontId="2" fillId="0" borderId="9" xfId="0" applyNumberFormat="1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5" xfId="0" applyFont="1" applyBorder="1" applyAlignment="1">
      <alignment horizontal="center"/>
    </xf>
    <xf numFmtId="0" fontId="2" fillId="0" borderId="2" xfId="0" quotePrefix="1" applyFont="1" applyBorder="1" applyAlignment="1">
      <alignment horizontal="center" vertical="center"/>
    </xf>
    <xf numFmtId="165" fontId="3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165" fontId="2" fillId="3" borderId="2" xfId="0" applyNumberFormat="1" applyFont="1" applyFill="1" applyBorder="1"/>
    <xf numFmtId="165" fontId="3" fillId="3" borderId="7" xfId="1" applyNumberFormat="1" applyFont="1" applyFill="1" applyBorder="1" applyAlignment="1">
      <alignment vertical="center"/>
    </xf>
    <xf numFmtId="0" fontId="2" fillId="3" borderId="2" xfId="0" applyFont="1" applyFill="1" applyBorder="1"/>
    <xf numFmtId="166" fontId="0" fillId="0" borderId="2" xfId="0" applyNumberFormat="1" applyBorder="1" applyAlignment="1">
      <alignment horizontal="center"/>
    </xf>
    <xf numFmtId="165" fontId="3" fillId="0" borderId="3" xfId="0" applyNumberFormat="1" applyFont="1" applyBorder="1" applyAlignment="1">
      <alignment horizontal="center" vertical="center"/>
    </xf>
    <xf numFmtId="0" fontId="2" fillId="4" borderId="2" xfId="0" applyFont="1" applyFill="1" applyBorder="1"/>
    <xf numFmtId="165" fontId="3" fillId="4" borderId="2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165" fontId="2" fillId="4" borderId="2" xfId="0" applyNumberFormat="1" applyFont="1" applyFill="1" applyBorder="1"/>
    <xf numFmtId="165" fontId="3" fillId="4" borderId="7" xfId="1" applyNumberFormat="1" applyFont="1" applyFill="1" applyBorder="1" applyAlignment="1">
      <alignment vertical="center"/>
    </xf>
    <xf numFmtId="0" fontId="2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165" fontId="2" fillId="4" borderId="6" xfId="0" applyNumberFormat="1" applyFont="1" applyFill="1" applyBorder="1"/>
    <xf numFmtId="165" fontId="3" fillId="0" borderId="10" xfId="0" applyNumberFormat="1" applyFont="1" applyBorder="1" applyAlignment="1">
      <alignment vertical="center"/>
    </xf>
    <xf numFmtId="166" fontId="0" fillId="0" borderId="10" xfId="0" applyNumberForma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165" fontId="2" fillId="5" borderId="10" xfId="0" applyNumberFormat="1" applyFont="1" applyFill="1" applyBorder="1"/>
    <xf numFmtId="165" fontId="2" fillId="0" borderId="10" xfId="0" applyNumberFormat="1" applyFont="1" applyBorder="1"/>
    <xf numFmtId="165" fontId="2" fillId="5" borderId="2" xfId="0" applyNumberFormat="1" applyFont="1" applyFill="1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65" fontId="2" fillId="0" borderId="11" xfId="0" applyNumberFormat="1" applyFont="1" applyBorder="1"/>
    <xf numFmtId="165" fontId="3" fillId="0" borderId="7" xfId="1" applyNumberFormat="1" applyFont="1" applyFill="1" applyBorder="1" applyAlignment="1">
      <alignment vertical="center"/>
    </xf>
    <xf numFmtId="165" fontId="3" fillId="0" borderId="2" xfId="0" quotePrefix="1" applyNumberFormat="1" applyFont="1" applyBorder="1" applyAlignment="1">
      <alignment vertical="center"/>
    </xf>
    <xf numFmtId="165" fontId="6" fillId="0" borderId="2" xfId="0" applyNumberFormat="1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5" fontId="3" fillId="4" borderId="0" xfId="0" applyNumberFormat="1" applyFont="1" applyFill="1" applyAlignment="1">
      <alignment vertical="center"/>
    </xf>
    <xf numFmtId="41" fontId="1" fillId="2" borderId="4" xfId="3" applyFont="1" applyFill="1" applyBorder="1" applyAlignment="1">
      <alignment horizontal="center" vertical="center" wrapText="1"/>
    </xf>
    <xf numFmtId="41" fontId="0" fillId="0" borderId="0" xfId="3" applyFont="1"/>
    <xf numFmtId="0" fontId="0" fillId="0" borderId="0" xfId="0" pivotButton="1"/>
    <xf numFmtId="165" fontId="2" fillId="0" borderId="12" xfId="0" applyNumberFormat="1" applyFont="1" applyBorder="1"/>
    <xf numFmtId="165" fontId="2" fillId="0" borderId="8" xfId="0" applyNumberFormat="1" applyFont="1" applyBorder="1"/>
    <xf numFmtId="41" fontId="0" fillId="0" borderId="0" xfId="0" applyNumberFormat="1"/>
    <xf numFmtId="0" fontId="2" fillId="0" borderId="2" xfId="2" applyFont="1" applyBorder="1" applyAlignment="1"/>
    <xf numFmtId="0" fontId="0" fillId="3" borderId="0" xfId="0" applyFill="1"/>
    <xf numFmtId="0" fontId="2" fillId="3" borderId="2" xfId="0" applyFont="1" applyFill="1" applyBorder="1" applyAlignment="1">
      <alignment horizontal="center"/>
    </xf>
    <xf numFmtId="0" fontId="0" fillId="3" borderId="0" xfId="0" quotePrefix="1" applyFill="1"/>
    <xf numFmtId="0" fontId="2" fillId="0" borderId="3" xfId="0" applyFont="1" applyBorder="1"/>
    <xf numFmtId="165" fontId="3" fillId="0" borderId="3" xfId="0" applyNumberFormat="1" applyFont="1" applyBorder="1" applyAlignment="1">
      <alignment vertical="center"/>
    </xf>
    <xf numFmtId="0" fontId="2" fillId="0" borderId="3" xfId="0" quotePrefix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0" borderId="3" xfId="0" applyNumberFormat="1" applyFont="1" applyBorder="1"/>
    <xf numFmtId="0" fontId="2" fillId="0" borderId="3" xfId="0" applyFont="1" applyBorder="1" applyAlignment="1">
      <alignment horizontal="center" vertical="center"/>
    </xf>
    <xf numFmtId="167" fontId="0" fillId="0" borderId="0" xfId="0" applyNumberFormat="1"/>
    <xf numFmtId="0" fontId="0" fillId="6" borderId="2" xfId="0" applyFill="1" applyBorder="1" applyAlignment="1">
      <alignment horizontal="left" vertical="center"/>
    </xf>
    <xf numFmtId="14" fontId="0" fillId="0" borderId="0" xfId="0" applyNumberFormat="1"/>
    <xf numFmtId="0" fontId="0" fillId="7" borderId="0" xfId="0" applyFill="1"/>
    <xf numFmtId="41" fontId="0" fillId="7" borderId="0" xfId="3" applyFont="1" applyFill="1"/>
    <xf numFmtId="167" fontId="0" fillId="7" borderId="0" xfId="0" applyNumberFormat="1" applyFill="1"/>
    <xf numFmtId="0" fontId="0" fillId="0" borderId="14" xfId="0" applyBorder="1" applyAlignment="1">
      <alignment horizontal="center" vertical="center"/>
    </xf>
    <xf numFmtId="20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5" xfId="0" applyBorder="1"/>
    <xf numFmtId="0" fontId="2" fillId="0" borderId="15" xfId="0" applyFont="1" applyBorder="1" applyAlignment="1">
      <alignment horizontal="center" vertical="center"/>
    </xf>
    <xf numFmtId="41" fontId="0" fillId="0" borderId="0" xfId="3" applyFont="1" applyFill="1"/>
    <xf numFmtId="0" fontId="9" fillId="0" borderId="16" xfId="6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41" fontId="1" fillId="2" borderId="17" xfId="3" applyFont="1" applyFill="1" applyBorder="1" applyAlignment="1">
      <alignment horizontal="center" vertical="center" wrapText="1"/>
    </xf>
    <xf numFmtId="0" fontId="0" fillId="0" borderId="7" xfId="0" applyBorder="1"/>
    <xf numFmtId="0" fontId="2" fillId="0" borderId="5" xfId="0" quotePrefix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5" xfId="0" applyBorder="1" applyAlignment="1">
      <alignment vertical="center"/>
    </xf>
    <xf numFmtId="0" fontId="8" fillId="0" borderId="5" xfId="0" applyFont="1" applyBorder="1"/>
    <xf numFmtId="0" fontId="2" fillId="0" borderId="13" xfId="0" applyFont="1" applyBorder="1"/>
    <xf numFmtId="0" fontId="0" fillId="0" borderId="8" xfId="0" applyBorder="1"/>
    <xf numFmtId="0" fontId="0" fillId="0" borderId="0" xfId="0" applyAlignment="1">
      <alignment vertical="center"/>
    </xf>
    <xf numFmtId="14" fontId="3" fillId="0" borderId="0" xfId="0" applyNumberFormat="1" applyFont="1" applyAlignment="1">
      <alignment vertical="center"/>
    </xf>
    <xf numFmtId="0" fontId="0" fillId="0" borderId="5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6" xfId="0" applyBorder="1"/>
    <xf numFmtId="165" fontId="2" fillId="0" borderId="0" xfId="0" applyNumberFormat="1" applyFont="1"/>
    <xf numFmtId="0" fontId="0" fillId="0" borderId="9" xfId="0" applyBorder="1"/>
    <xf numFmtId="165" fontId="2" fillId="4" borderId="0" xfId="0" applyNumberFormat="1" applyFont="1" applyFill="1"/>
    <xf numFmtId="165" fontId="2" fillId="5" borderId="0" xfId="0" applyNumberFormat="1" applyFont="1" applyFill="1"/>
    <xf numFmtId="165" fontId="3" fillId="0" borderId="0" xfId="1" applyNumberFormat="1" applyFont="1" applyBorder="1" applyAlignment="1">
      <alignment vertical="center"/>
    </xf>
    <xf numFmtId="165" fontId="2" fillId="0" borderId="7" xfId="0" applyNumberFormat="1" applyFont="1" applyBorder="1"/>
    <xf numFmtId="0" fontId="10" fillId="0" borderId="0" xfId="0" applyFont="1"/>
    <xf numFmtId="168" fontId="0" fillId="0" borderId="0" xfId="0" applyNumberFormat="1"/>
    <xf numFmtId="41" fontId="0" fillId="3" borderId="0" xfId="3" applyFont="1" applyFill="1"/>
    <xf numFmtId="41" fontId="0" fillId="0" borderId="0" xfId="3" applyFont="1" applyBorder="1"/>
    <xf numFmtId="169" fontId="0" fillId="0" borderId="0" xfId="0" applyNumberFormat="1"/>
    <xf numFmtId="41" fontId="11" fillId="0" borderId="0" xfId="0" applyNumberFormat="1" applyFont="1"/>
    <xf numFmtId="0" fontId="0" fillId="8" borderId="0" xfId="0" applyFill="1"/>
    <xf numFmtId="41" fontId="0" fillId="8" borderId="0" xfId="3" applyFont="1" applyFill="1"/>
    <xf numFmtId="169" fontId="0" fillId="8" borderId="0" xfId="0" applyNumberFormat="1" applyFill="1"/>
    <xf numFmtId="169" fontId="0" fillId="3" borderId="0" xfId="0" applyNumberFormat="1" applyFill="1"/>
    <xf numFmtId="165" fontId="12" fillId="0" borderId="0" xfId="1" applyNumberFormat="1" applyFont="1" applyBorder="1" applyAlignment="1">
      <alignment wrapText="1"/>
    </xf>
    <xf numFmtId="165" fontId="3" fillId="0" borderId="0" xfId="1" applyNumberFormat="1" applyFont="1" applyFill="1" applyBorder="1" applyAlignment="1">
      <alignment vertical="center"/>
    </xf>
    <xf numFmtId="168" fontId="0" fillId="3" borderId="0" xfId="0" applyNumberFormat="1" applyFill="1"/>
    <xf numFmtId="0" fontId="0" fillId="0" borderId="0" xfId="0" applyAlignment="1">
      <alignment wrapText="1"/>
    </xf>
    <xf numFmtId="41" fontId="0" fillId="0" borderId="0" xfId="0" applyNumberFormat="1" applyAlignment="1">
      <alignment wrapText="1"/>
    </xf>
    <xf numFmtId="41" fontId="0" fillId="0" borderId="0" xfId="3" applyFont="1" applyAlignment="1">
      <alignment wrapText="1"/>
    </xf>
    <xf numFmtId="0" fontId="0" fillId="0" borderId="0" xfId="0" applyAlignment="1">
      <alignment horizontal="left"/>
    </xf>
    <xf numFmtId="0" fontId="0" fillId="9" borderId="0" xfId="0" applyFill="1"/>
    <xf numFmtId="41" fontId="0" fillId="9" borderId="0" xfId="3" applyFont="1" applyFill="1"/>
    <xf numFmtId="0" fontId="11" fillId="0" borderId="0" xfId="0" applyFont="1"/>
    <xf numFmtId="0" fontId="0" fillId="10" borderId="0" xfId="0" applyFill="1"/>
  </cellXfs>
  <cellStyles count="9">
    <cellStyle name="Comma" xfId="1" builtinId="3"/>
    <cellStyle name="Comma [0]" xfId="3" builtinId="6"/>
    <cellStyle name="Comma [0] 2" xfId="5" xr:uid="{E480F717-92BD-EE45-95D1-12D07CBFBA1F}"/>
    <cellStyle name="Comma 2" xfId="8" xr:uid="{DB579527-756A-F149-81F6-236F68D3EA83}"/>
    <cellStyle name="Normal" xfId="0" builtinId="0"/>
    <cellStyle name="Normal 10" xfId="6" xr:uid="{A4614914-F14F-3045-A9C9-4437C38AE9EB}"/>
    <cellStyle name="Normal 2" xfId="7" xr:uid="{5F8521D9-A3BA-004F-AC64-BEA7C1EE4C7A}"/>
    <cellStyle name="Normal 4" xfId="4" xr:uid="{C719E789-7FA1-2C42-B111-738D01B2D2DA}"/>
    <cellStyle name="Normal 9" xfId="2" xr:uid="{4C84E764-E9DD-3349-87D9-98816B693716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vertical="center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ABE3FF"/>
      <color rgb="FF9AFF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cahyo/Library/CloudStorage/OneDrive-Personal/01.%20Koprasi%20Dharma%20Jaya/2026/Ikrom/Dari%20Ikrom/05.%20Rekap%20Koperasi%20Mei%202026.xlsx" TargetMode="External"/><Relationship Id="rId2" Type="http://schemas.openxmlformats.org/officeDocument/2006/relationships/externalLinkPath" Target="https://d.docs.live.net/7ad42cac66f58306/01.%20Koprasi%20Dharma%20Jaya/2026/Ikrom/Dari%20Ikrom/05.%20Rekap%20Koperasi%20Mei%202026.xlsx" TargetMode="External"/><Relationship Id="rId1" Type="http://schemas.openxmlformats.org/officeDocument/2006/relationships/externalLinkPath" Target="/Users/cahyo/Library/CloudStorage/OneDrive-Personal/01.%20Koprasi%20Dharma%20Jaya/2026/Ikrom/Dari%20Ikrom/05.%20Rekap%20Koperasi%20Mei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ad42cac66f58306/01.%20Koprasi%20Dharma%20Jaya/2026/Ikrom/Dari%20Ikrom/07.%20Rekap%20Pengjuan%20Koperasi%202026%20Juli%202026.xlsx" TargetMode="External"/><Relationship Id="rId1" Type="http://schemas.openxmlformats.org/officeDocument/2006/relationships/externalLinkPath" Target="Ikrom/Dari%20Ikrom/07.%20Rekap%20Pengjuan%20Koperasi%202026%20Jul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"/>
      <sheetName val="Mei"/>
    </sheetNames>
    <sheetDataSet>
      <sheetData sheetId="0"/>
      <sheetData sheetId="1">
        <row r="6">
          <cell r="E6" t="str">
            <v>Margono - 00281</v>
          </cell>
          <cell r="F6" t="str">
            <v>00281</v>
          </cell>
        </row>
        <row r="7">
          <cell r="E7" t="str">
            <v>Sugiarto</v>
          </cell>
          <cell r="F7" t="str">
            <v>00293</v>
          </cell>
        </row>
        <row r="8">
          <cell r="E8" t="str">
            <v>Sigit Hartanto</v>
          </cell>
          <cell r="F8" t="str">
            <v>00302</v>
          </cell>
        </row>
        <row r="9">
          <cell r="E9" t="str">
            <v>Nowo Susiyanto</v>
          </cell>
          <cell r="F9" t="str">
            <v>00311</v>
          </cell>
        </row>
        <row r="10">
          <cell r="E10" t="str">
            <v>Rahmat Zaeni</v>
          </cell>
          <cell r="F10" t="str">
            <v>00317</v>
          </cell>
        </row>
        <row r="11">
          <cell r="E11" t="str">
            <v>Heru Purboyo</v>
          </cell>
          <cell r="F11" t="str">
            <v>00322</v>
          </cell>
        </row>
        <row r="12">
          <cell r="E12" t="str">
            <v>Dadi Muhamad Mulyadi</v>
          </cell>
          <cell r="F12" t="str">
            <v>00325</v>
          </cell>
        </row>
        <row r="13">
          <cell r="E13" t="str">
            <v>Eddy Sukaryan</v>
          </cell>
          <cell r="F13" t="str">
            <v>00327</v>
          </cell>
        </row>
        <row r="14">
          <cell r="E14" t="str">
            <v>I Made Mustada</v>
          </cell>
          <cell r="F14" t="str">
            <v>00328</v>
          </cell>
        </row>
        <row r="15">
          <cell r="E15" t="str">
            <v>Turut</v>
          </cell>
          <cell r="F15" t="str">
            <v>00334</v>
          </cell>
        </row>
        <row r="16">
          <cell r="E16" t="str">
            <v>Slamet</v>
          </cell>
          <cell r="F16" t="str">
            <v>00337</v>
          </cell>
        </row>
        <row r="17">
          <cell r="E17" t="str">
            <v>Rohaedi</v>
          </cell>
          <cell r="F17" t="str">
            <v>00339</v>
          </cell>
        </row>
        <row r="18">
          <cell r="E18" t="str">
            <v>Anwari</v>
          </cell>
          <cell r="F18" t="str">
            <v>00340</v>
          </cell>
        </row>
        <row r="19">
          <cell r="E19" t="str">
            <v>Sudadi</v>
          </cell>
          <cell r="F19" t="str">
            <v>00343</v>
          </cell>
        </row>
        <row r="20">
          <cell r="E20" t="str">
            <v>Jumadi</v>
          </cell>
          <cell r="F20" t="str">
            <v>00351</v>
          </cell>
        </row>
        <row r="21">
          <cell r="E21" t="str">
            <v>Umayah</v>
          </cell>
          <cell r="F21" t="str">
            <v>00362</v>
          </cell>
        </row>
        <row r="22">
          <cell r="E22" t="str">
            <v>Ir. Djoko Maryono</v>
          </cell>
          <cell r="F22" t="str">
            <v>00363</v>
          </cell>
        </row>
        <row r="23">
          <cell r="E23" t="str">
            <v>Margono - 00368</v>
          </cell>
          <cell r="F23" t="str">
            <v>00368</v>
          </cell>
        </row>
        <row r="24">
          <cell r="E24" t="str">
            <v>Ahmad Jamaludin</v>
          </cell>
          <cell r="F24" t="str">
            <v>00369</v>
          </cell>
        </row>
        <row r="25">
          <cell r="E25" t="str">
            <v>Winardoyo</v>
          </cell>
          <cell r="F25" t="str">
            <v>00370</v>
          </cell>
        </row>
        <row r="26">
          <cell r="E26" t="str">
            <v>Jamsari</v>
          </cell>
          <cell r="F26" t="str">
            <v>00371</v>
          </cell>
        </row>
        <row r="27">
          <cell r="E27" t="str">
            <v>Satino</v>
          </cell>
          <cell r="F27" t="str">
            <v>00372</v>
          </cell>
        </row>
        <row r="28">
          <cell r="E28" t="str">
            <v>Sunardi - 00376</v>
          </cell>
          <cell r="F28" t="str">
            <v>00376</v>
          </cell>
        </row>
        <row r="29">
          <cell r="E29" t="str">
            <v>Ismail</v>
          </cell>
          <cell r="F29" t="str">
            <v>00387</v>
          </cell>
        </row>
        <row r="30">
          <cell r="E30" t="str">
            <v>Sugiyatwoko</v>
          </cell>
          <cell r="F30" t="str">
            <v>00390</v>
          </cell>
        </row>
        <row r="31">
          <cell r="E31" t="str">
            <v>Ir. Okto Hendri Fahlefi</v>
          </cell>
          <cell r="F31" t="str">
            <v>00396</v>
          </cell>
        </row>
        <row r="32">
          <cell r="E32" t="str">
            <v>Minan Khusnaeni</v>
          </cell>
          <cell r="F32" t="str">
            <v>00401</v>
          </cell>
        </row>
        <row r="33">
          <cell r="E33" t="str">
            <v>Rosmiati</v>
          </cell>
          <cell r="F33" t="str">
            <v>00485</v>
          </cell>
        </row>
        <row r="34">
          <cell r="E34" t="str">
            <v>Eka Yanuar Santosa</v>
          </cell>
          <cell r="F34" t="str">
            <v>00490</v>
          </cell>
        </row>
        <row r="35">
          <cell r="E35" t="str">
            <v>Ferika Pujiyanti</v>
          </cell>
          <cell r="F35" t="str">
            <v>00496</v>
          </cell>
        </row>
        <row r="36">
          <cell r="E36" t="str">
            <v>Riana Merry Natalia</v>
          </cell>
          <cell r="F36" t="str">
            <v>00497</v>
          </cell>
        </row>
        <row r="37">
          <cell r="E37" t="str">
            <v>Riana Merry Natalia QQ Lasman</v>
          </cell>
          <cell r="F37"/>
        </row>
        <row r="38">
          <cell r="E38" t="str">
            <v>Bayu Adithya Permana</v>
          </cell>
          <cell r="F38" t="str">
            <v>00498</v>
          </cell>
        </row>
        <row r="39">
          <cell r="E39" t="str">
            <v>Wiyan Eko Supriyanto</v>
          </cell>
          <cell r="F39" t="str">
            <v>00499</v>
          </cell>
        </row>
        <row r="40">
          <cell r="E40" t="str">
            <v>Iwan Setiawan</v>
          </cell>
          <cell r="F40" t="str">
            <v>00508</v>
          </cell>
        </row>
        <row r="41">
          <cell r="E41" t="str">
            <v>Suwarno</v>
          </cell>
          <cell r="F41" t="str">
            <v>00509</v>
          </cell>
        </row>
        <row r="42">
          <cell r="E42" t="str">
            <v>Andung Juanda</v>
          </cell>
          <cell r="F42" t="str">
            <v>00511</v>
          </cell>
        </row>
        <row r="43">
          <cell r="E43" t="str">
            <v>Gede Arnawa</v>
          </cell>
          <cell r="F43" t="str">
            <v>00512</v>
          </cell>
        </row>
        <row r="44">
          <cell r="E44" t="str">
            <v>Parsono</v>
          </cell>
          <cell r="F44" t="str">
            <v>00513</v>
          </cell>
        </row>
        <row r="45">
          <cell r="E45" t="str">
            <v>Ketut Wijaya</v>
          </cell>
          <cell r="F45" t="str">
            <v>00514</v>
          </cell>
        </row>
        <row r="46">
          <cell r="E46" t="str">
            <v>Suwitno</v>
          </cell>
          <cell r="F46" t="str">
            <v>00515</v>
          </cell>
        </row>
        <row r="47">
          <cell r="E47" t="str">
            <v>Nurpendi</v>
          </cell>
          <cell r="F47" t="str">
            <v>00516</v>
          </cell>
        </row>
        <row r="48">
          <cell r="E48" t="str">
            <v>Gunawan</v>
          </cell>
          <cell r="F48" t="str">
            <v>00517</v>
          </cell>
        </row>
        <row r="49">
          <cell r="E49" t="str">
            <v>Diki Firmansyah</v>
          </cell>
          <cell r="F49" t="str">
            <v>00518</v>
          </cell>
        </row>
        <row r="50">
          <cell r="E50" t="str">
            <v>Budi Laksono</v>
          </cell>
          <cell r="F50" t="str">
            <v>00519</v>
          </cell>
        </row>
        <row r="51">
          <cell r="E51" t="str">
            <v>Eko Junaidi</v>
          </cell>
          <cell r="F51" t="str">
            <v>00520</v>
          </cell>
        </row>
        <row r="52">
          <cell r="E52" t="str">
            <v>Muhammad Dzil Ikram Jani</v>
          </cell>
          <cell r="F52" t="str">
            <v>00521</v>
          </cell>
        </row>
        <row r="53">
          <cell r="E53" t="str">
            <v>Nyoman Artawan</v>
          </cell>
          <cell r="F53" t="str">
            <v>00523</v>
          </cell>
        </row>
        <row r="54">
          <cell r="E54" t="str">
            <v>Sobri</v>
          </cell>
          <cell r="F54" t="str">
            <v>00524</v>
          </cell>
        </row>
        <row r="55">
          <cell r="E55" t="str">
            <v>I Gede Mustika</v>
          </cell>
          <cell r="F55" t="str">
            <v>00525</v>
          </cell>
        </row>
        <row r="56">
          <cell r="E56" t="str">
            <v>Ramli</v>
          </cell>
          <cell r="F56" t="str">
            <v>00526</v>
          </cell>
        </row>
        <row r="57">
          <cell r="E57" t="str">
            <v>Toni</v>
          </cell>
          <cell r="F57" t="str">
            <v>00527</v>
          </cell>
        </row>
        <row r="58">
          <cell r="E58" t="str">
            <v>Sutrisno</v>
          </cell>
          <cell r="F58" t="str">
            <v>00528</v>
          </cell>
        </row>
        <row r="59">
          <cell r="E59" t="str">
            <v>Idris Rusmianto</v>
          </cell>
          <cell r="F59" t="str">
            <v>00529</v>
          </cell>
        </row>
        <row r="60">
          <cell r="E60" t="str">
            <v>Ridwan</v>
          </cell>
          <cell r="F60" t="str">
            <v>00530</v>
          </cell>
        </row>
        <row r="61">
          <cell r="E61" t="str">
            <v>Komang Astrawan</v>
          </cell>
          <cell r="F61" t="str">
            <v>00531</v>
          </cell>
        </row>
        <row r="62">
          <cell r="E62" t="str">
            <v>Rizki Munardi</v>
          </cell>
          <cell r="F62" t="str">
            <v>00532</v>
          </cell>
        </row>
        <row r="63">
          <cell r="E63" t="str">
            <v>Ari Wibowo - 00533</v>
          </cell>
          <cell r="F63" t="str">
            <v>00533</v>
          </cell>
        </row>
        <row r="64">
          <cell r="E64" t="str">
            <v>Herman</v>
          </cell>
          <cell r="F64" t="str">
            <v>00534</v>
          </cell>
        </row>
        <row r="65">
          <cell r="E65" t="str">
            <v>Agung Pambudi</v>
          </cell>
          <cell r="F65" t="str">
            <v>00535</v>
          </cell>
        </row>
        <row r="66">
          <cell r="E66" t="str">
            <v>Heni Triandini</v>
          </cell>
          <cell r="F66" t="str">
            <v>00537</v>
          </cell>
        </row>
        <row r="67">
          <cell r="E67" t="str">
            <v>Dewi Kartini</v>
          </cell>
          <cell r="F67" t="str">
            <v>00539</v>
          </cell>
        </row>
        <row r="68">
          <cell r="E68" t="str">
            <v>Dedy Kurniawan</v>
          </cell>
          <cell r="F68" t="str">
            <v>00540</v>
          </cell>
        </row>
        <row r="69">
          <cell r="E69" t="str">
            <v>Hendra</v>
          </cell>
          <cell r="F69" t="str">
            <v>00541</v>
          </cell>
        </row>
        <row r="70">
          <cell r="E70" t="str">
            <v>Novita</v>
          </cell>
          <cell r="F70" t="str">
            <v>00542</v>
          </cell>
        </row>
        <row r="71">
          <cell r="E71" t="str">
            <v>Dara Maulida</v>
          </cell>
          <cell r="F71" t="str">
            <v>00543</v>
          </cell>
        </row>
        <row r="72">
          <cell r="E72" t="str">
            <v>Rico Septa Saputra</v>
          </cell>
          <cell r="F72" t="str">
            <v>00544</v>
          </cell>
        </row>
        <row r="73">
          <cell r="E73" t="str">
            <v>Rwandha Sutedira</v>
          </cell>
          <cell r="F73" t="str">
            <v>00545</v>
          </cell>
        </row>
        <row r="74">
          <cell r="E74" t="str">
            <v>Andrian Fadly</v>
          </cell>
          <cell r="F74" t="str">
            <v>00546</v>
          </cell>
        </row>
        <row r="75">
          <cell r="E75" t="str">
            <v>Heru Sri Margono</v>
          </cell>
          <cell r="F75" t="str">
            <v>00547</v>
          </cell>
        </row>
        <row r="76">
          <cell r="E76" t="str">
            <v>Wawan Satriawan</v>
          </cell>
          <cell r="F76" t="str">
            <v>00548</v>
          </cell>
        </row>
        <row r="77">
          <cell r="E77" t="str">
            <v>Ahmad Fauzi - 00549</v>
          </cell>
          <cell r="F77" t="str">
            <v>00549</v>
          </cell>
        </row>
        <row r="78">
          <cell r="E78" t="str">
            <v>Mohammad Rizki</v>
          </cell>
          <cell r="F78" t="str">
            <v>00551</v>
          </cell>
        </row>
        <row r="79">
          <cell r="E79" t="str">
            <v>Alfian Noor</v>
          </cell>
          <cell r="F79" t="str">
            <v>00552</v>
          </cell>
        </row>
        <row r="80">
          <cell r="E80" t="str">
            <v>Abdul Cahyo Nugroho</v>
          </cell>
          <cell r="F80" t="str">
            <v>00553</v>
          </cell>
        </row>
        <row r="81">
          <cell r="E81" t="str">
            <v>Indra Suwanda</v>
          </cell>
          <cell r="F81" t="str">
            <v>00554</v>
          </cell>
        </row>
        <row r="82">
          <cell r="E82" t="str">
            <v>Faisal Amri</v>
          </cell>
          <cell r="F82" t="str">
            <v>00556</v>
          </cell>
        </row>
        <row r="83">
          <cell r="E83" t="str">
            <v>Muhammad Irham</v>
          </cell>
          <cell r="F83" t="str">
            <v>00557</v>
          </cell>
        </row>
        <row r="84">
          <cell r="E84" t="str">
            <v>Taufiqurrahman</v>
          </cell>
          <cell r="F84" t="str">
            <v>00558</v>
          </cell>
        </row>
        <row r="85">
          <cell r="E85" t="str">
            <v>Tri Indriyani</v>
          </cell>
          <cell r="F85" t="str">
            <v>00560</v>
          </cell>
        </row>
        <row r="86">
          <cell r="E86" t="str">
            <v>Ferry Firmanto</v>
          </cell>
          <cell r="F86" t="str">
            <v>00563</v>
          </cell>
        </row>
        <row r="87">
          <cell r="E87" t="str">
            <v>Tiolenta Martiana</v>
          </cell>
          <cell r="F87" t="str">
            <v>00564</v>
          </cell>
        </row>
        <row r="88">
          <cell r="E88" t="str">
            <v>Fellix Stephen Willa</v>
          </cell>
          <cell r="F88" t="str">
            <v>00565</v>
          </cell>
        </row>
        <row r="89">
          <cell r="E89" t="str">
            <v>Arsim</v>
          </cell>
          <cell r="F89" t="str">
            <v>00566</v>
          </cell>
        </row>
        <row r="90">
          <cell r="E90" t="str">
            <v>Ahmad Zaid Mahfudi</v>
          </cell>
          <cell r="F90" t="str">
            <v>00567</v>
          </cell>
        </row>
        <row r="91">
          <cell r="E91" t="str">
            <v>Marhasan</v>
          </cell>
          <cell r="F91" t="str">
            <v>00568</v>
          </cell>
        </row>
        <row r="92">
          <cell r="E92" t="str">
            <v>Rudiansyah</v>
          </cell>
          <cell r="F92" t="str">
            <v>00569</v>
          </cell>
        </row>
        <row r="93">
          <cell r="E93" t="str">
            <v>Keren</v>
          </cell>
          <cell r="F93" t="str">
            <v>00570</v>
          </cell>
        </row>
        <row r="94">
          <cell r="E94" t="str">
            <v>Dian Suanto</v>
          </cell>
          <cell r="F94" t="str">
            <v>00574</v>
          </cell>
        </row>
        <row r="95">
          <cell r="E95" t="str">
            <v>Andri Kurniawan</v>
          </cell>
          <cell r="F95" t="str">
            <v>00576</v>
          </cell>
        </row>
        <row r="96">
          <cell r="E96" t="str">
            <v>Andri Kurniawan qq Rizka Merdiawati</v>
          </cell>
          <cell r="F96"/>
        </row>
        <row r="97">
          <cell r="E97" t="str">
            <v>Arief Indrawan</v>
          </cell>
          <cell r="F97" t="str">
            <v>00577</v>
          </cell>
        </row>
        <row r="98">
          <cell r="E98" t="str">
            <v>Herda</v>
          </cell>
          <cell r="F98" t="str">
            <v>00578</v>
          </cell>
        </row>
        <row r="99">
          <cell r="E99" t="str">
            <v>Ari Wibowo - 00579</v>
          </cell>
          <cell r="F99" t="str">
            <v>00579</v>
          </cell>
        </row>
        <row r="100">
          <cell r="E100" t="str">
            <v>Muhammad Khoirullah</v>
          </cell>
          <cell r="F100" t="str">
            <v>00580</v>
          </cell>
        </row>
        <row r="101">
          <cell r="E101" t="str">
            <v>Lita Ayu Rosida</v>
          </cell>
          <cell r="F101" t="str">
            <v>00581</v>
          </cell>
        </row>
        <row r="102">
          <cell r="E102" t="str">
            <v>Afan Wahyu Syafii</v>
          </cell>
          <cell r="F102" t="str">
            <v>00582</v>
          </cell>
        </row>
        <row r="103">
          <cell r="E103" t="str">
            <v>Septi Priawandra</v>
          </cell>
          <cell r="F103" t="str">
            <v>00583</v>
          </cell>
        </row>
        <row r="104">
          <cell r="E104" t="str">
            <v>Widodo</v>
          </cell>
          <cell r="F104" t="str">
            <v>00584</v>
          </cell>
        </row>
        <row r="105">
          <cell r="E105" t="str">
            <v>Gede Suparta</v>
          </cell>
          <cell r="F105" t="str">
            <v>00585</v>
          </cell>
        </row>
        <row r="106">
          <cell r="E106" t="str">
            <v>Akbar Fadhil</v>
          </cell>
          <cell r="F106" t="str">
            <v>00587</v>
          </cell>
        </row>
        <row r="107">
          <cell r="E107" t="str">
            <v>Arno Nugroho</v>
          </cell>
          <cell r="F107" t="str">
            <v>00588</v>
          </cell>
        </row>
        <row r="108">
          <cell r="E108" t="str">
            <v>Khairun Nisa</v>
          </cell>
          <cell r="F108" t="str">
            <v>00589</v>
          </cell>
        </row>
        <row r="109">
          <cell r="E109" t="str">
            <v>Didi Rahmat</v>
          </cell>
          <cell r="F109" t="str">
            <v>00591</v>
          </cell>
        </row>
        <row r="110">
          <cell r="E110" t="str">
            <v>Tirto Bayu Saputro</v>
          </cell>
          <cell r="F110" t="str">
            <v>00593</v>
          </cell>
        </row>
        <row r="111">
          <cell r="E111" t="str">
            <v>Mumuh Mulyawan</v>
          </cell>
          <cell r="F111" t="str">
            <v>00596</v>
          </cell>
        </row>
        <row r="112">
          <cell r="E112" t="str">
            <v>Suci Nurkhasanah</v>
          </cell>
          <cell r="F112" t="str">
            <v>00602</v>
          </cell>
        </row>
        <row r="113">
          <cell r="E113" t="str">
            <v>Widi Kurnianto</v>
          </cell>
          <cell r="F113" t="str">
            <v>00608</v>
          </cell>
        </row>
        <row r="114">
          <cell r="E114" t="str">
            <v>Clarissa Dini</v>
          </cell>
          <cell r="F114" t="str">
            <v>00610</v>
          </cell>
        </row>
        <row r="115">
          <cell r="E115" t="str">
            <v>Repki Ariyanto</v>
          </cell>
          <cell r="F115" t="str">
            <v>00611</v>
          </cell>
        </row>
        <row r="116">
          <cell r="E116" t="str">
            <v>Syarif Hidayatulloh</v>
          </cell>
          <cell r="F116" t="str">
            <v>00613</v>
          </cell>
        </row>
        <row r="117">
          <cell r="E117" t="str">
            <v>Anton Efendi</v>
          </cell>
          <cell r="F117" t="str">
            <v>00614</v>
          </cell>
        </row>
        <row r="118">
          <cell r="E118" t="str">
            <v>Ady Sucipto</v>
          </cell>
          <cell r="F118" t="str">
            <v>00616</v>
          </cell>
        </row>
        <row r="119">
          <cell r="E119" t="str">
            <v>Muhammad Topan</v>
          </cell>
          <cell r="F119" t="str">
            <v>00621</v>
          </cell>
        </row>
        <row r="120">
          <cell r="E120" t="str">
            <v>Bayu Ayudya Permana</v>
          </cell>
          <cell r="F120" t="str">
            <v>00623</v>
          </cell>
        </row>
        <row r="121">
          <cell r="E121" t="str">
            <v>Tri Iswahyudi</v>
          </cell>
          <cell r="F121" t="str">
            <v>00626</v>
          </cell>
        </row>
        <row r="122">
          <cell r="E122" t="str">
            <v>Bahtiar Rifai</v>
          </cell>
          <cell r="F122" t="str">
            <v>00628</v>
          </cell>
        </row>
        <row r="123">
          <cell r="E123" t="str">
            <v>Mutiyah Nur Aftilani</v>
          </cell>
          <cell r="F123" t="str">
            <v>00629</v>
          </cell>
        </row>
        <row r="124">
          <cell r="E124" t="str">
            <v>Sri Wahyuningsih</v>
          </cell>
          <cell r="F124" t="str">
            <v>00633</v>
          </cell>
        </row>
        <row r="125">
          <cell r="E125" t="str">
            <v>Ria Banita Krisdayanti</v>
          </cell>
          <cell r="F125" t="str">
            <v>00637</v>
          </cell>
        </row>
        <row r="126">
          <cell r="E126" t="str">
            <v>Toro Riyadi</v>
          </cell>
          <cell r="F126" t="str">
            <v>00638</v>
          </cell>
        </row>
        <row r="127">
          <cell r="E127" t="str">
            <v>Dehur</v>
          </cell>
          <cell r="F127" t="str">
            <v>00642</v>
          </cell>
        </row>
        <row r="128">
          <cell r="E128" t="str">
            <v>Elvin Noversya</v>
          </cell>
          <cell r="F128" t="str">
            <v>00643</v>
          </cell>
        </row>
        <row r="129">
          <cell r="E129" t="str">
            <v>Amir Suroto</v>
          </cell>
          <cell r="F129" t="str">
            <v>K539</v>
          </cell>
        </row>
        <row r="130">
          <cell r="E130" t="str">
            <v>Kadek Sudarsana</v>
          </cell>
          <cell r="F130" t="str">
            <v>K598</v>
          </cell>
        </row>
        <row r="131">
          <cell r="E131" t="str">
            <v>Yonatan Banobe</v>
          </cell>
          <cell r="F131" t="str">
            <v>K637</v>
          </cell>
        </row>
        <row r="132">
          <cell r="E132" t="str">
            <v>Sartono</v>
          </cell>
          <cell r="F132" t="str">
            <v>K879</v>
          </cell>
        </row>
        <row r="133">
          <cell r="E133" t="str">
            <v>Suratman</v>
          </cell>
          <cell r="F133" t="str">
            <v>K884</v>
          </cell>
        </row>
        <row r="134">
          <cell r="E134" t="str">
            <v>Donald Freddy Simanjuntak</v>
          </cell>
          <cell r="F134" t="str">
            <v>K924</v>
          </cell>
        </row>
        <row r="135">
          <cell r="E135" t="str">
            <v>Jafar Dwiyanto</v>
          </cell>
          <cell r="F135" t="str">
            <v>K936</v>
          </cell>
        </row>
        <row r="136">
          <cell r="E136" t="str">
            <v>Sumihar H. Tambunan</v>
          </cell>
          <cell r="F136" t="str">
            <v>K944</v>
          </cell>
        </row>
        <row r="137">
          <cell r="E137" t="str">
            <v>Ngadiono</v>
          </cell>
          <cell r="F137" t="str">
            <v>K945</v>
          </cell>
        </row>
        <row r="138">
          <cell r="E138" t="str">
            <v>Putu Dharma Santika</v>
          </cell>
          <cell r="F138" t="str">
            <v>K1562</v>
          </cell>
        </row>
        <row r="139">
          <cell r="E139" t="str">
            <v>Hesby Aga Ardila Nugroho</v>
          </cell>
          <cell r="F139" t="str">
            <v>K1563</v>
          </cell>
        </row>
        <row r="140">
          <cell r="E140" t="str">
            <v>Muhammad Agustiyadi</v>
          </cell>
          <cell r="F140" t="str">
            <v>K1581</v>
          </cell>
        </row>
        <row r="141">
          <cell r="E141" t="str">
            <v xml:space="preserve">Citra Meiliana Rahmaliyanti </v>
          </cell>
          <cell r="F141" t="str">
            <v>K1602</v>
          </cell>
        </row>
        <row r="142">
          <cell r="E142" t="str">
            <v>Iskandar Sulestiyanto</v>
          </cell>
          <cell r="F142" t="str">
            <v>K1609</v>
          </cell>
        </row>
        <row r="143">
          <cell r="E143" t="str">
            <v>Sudari</v>
          </cell>
          <cell r="F143" t="str">
            <v>K1610</v>
          </cell>
        </row>
        <row r="144">
          <cell r="E144" t="str">
            <v>Zalu Febri Lesmana</v>
          </cell>
          <cell r="F144" t="str">
            <v>K1611</v>
          </cell>
        </row>
        <row r="145">
          <cell r="E145" t="str">
            <v>Rio Candra</v>
          </cell>
          <cell r="F145" t="str">
            <v>K1612</v>
          </cell>
        </row>
        <row r="146">
          <cell r="E146" t="str">
            <v>Ade Kurnia</v>
          </cell>
          <cell r="F146" t="str">
            <v>K1663</v>
          </cell>
        </row>
        <row r="147">
          <cell r="E147" t="str">
            <v>Taufik Hidayat</v>
          </cell>
          <cell r="F147" t="str">
            <v>K1666</v>
          </cell>
        </row>
        <row r="148">
          <cell r="E148" t="str">
            <v>Ahmat Saifudin</v>
          </cell>
          <cell r="F148" t="str">
            <v>K1677</v>
          </cell>
        </row>
        <row r="149">
          <cell r="E149" t="str">
            <v>Mohamad Firdaus</v>
          </cell>
          <cell r="F149" t="str">
            <v>K1691</v>
          </cell>
        </row>
        <row r="150">
          <cell r="E150" t="str">
            <v>Muhammad Ade Faizal</v>
          </cell>
          <cell r="F150" t="str">
            <v>K1715</v>
          </cell>
        </row>
        <row r="151">
          <cell r="E151" t="str">
            <v>Dimas Fajar Wijaya</v>
          </cell>
          <cell r="F151" t="str">
            <v>K1718</v>
          </cell>
        </row>
        <row r="152">
          <cell r="E152" t="str">
            <v>Neri Handayani</v>
          </cell>
          <cell r="F152" t="str">
            <v>K1725</v>
          </cell>
        </row>
        <row r="153">
          <cell r="E153" t="str">
            <v>Hermansyah</v>
          </cell>
          <cell r="F153" t="str">
            <v>K1733</v>
          </cell>
        </row>
        <row r="154">
          <cell r="E154" t="str">
            <v>Asta</v>
          </cell>
          <cell r="F154" t="str">
            <v>K1734</v>
          </cell>
        </row>
        <row r="155">
          <cell r="E155" t="str">
            <v>Andi Prayitno</v>
          </cell>
          <cell r="F155" t="str">
            <v>K1735</v>
          </cell>
        </row>
        <row r="156">
          <cell r="E156" t="str">
            <v>Rina Oktaviani</v>
          </cell>
          <cell r="F156" t="str">
            <v>K1742</v>
          </cell>
        </row>
        <row r="157">
          <cell r="E157" t="str">
            <v>Erfan Faulana</v>
          </cell>
          <cell r="F157" t="str">
            <v>K1744</v>
          </cell>
        </row>
        <row r="158">
          <cell r="E158" t="str">
            <v>Dendi Adiansyah</v>
          </cell>
          <cell r="F158" t="str">
            <v>K1745</v>
          </cell>
        </row>
        <row r="159">
          <cell r="E159" t="str">
            <v>Andi Yanto</v>
          </cell>
          <cell r="F159" t="str">
            <v>K1749</v>
          </cell>
        </row>
        <row r="160">
          <cell r="E160" t="str">
            <v>Willi Prayetno</v>
          </cell>
          <cell r="F160" t="str">
            <v>K1751</v>
          </cell>
        </row>
        <row r="161">
          <cell r="E161" t="str">
            <v>Faqih Zakaria</v>
          </cell>
          <cell r="F161" t="str">
            <v>K1752</v>
          </cell>
        </row>
        <row r="162">
          <cell r="E162" t="str">
            <v>Aan Supriyatin</v>
          </cell>
          <cell r="F162" t="str">
            <v>K1753</v>
          </cell>
        </row>
        <row r="163">
          <cell r="E163" t="str">
            <v>Agus Tomi</v>
          </cell>
          <cell r="F163" t="str">
            <v>K1754</v>
          </cell>
        </row>
        <row r="164">
          <cell r="E164" t="str">
            <v>Ahmad Fauzi - 01743</v>
          </cell>
          <cell r="F164" t="str">
            <v>K1757</v>
          </cell>
        </row>
        <row r="165">
          <cell r="E165" t="str">
            <v>Romansyah</v>
          </cell>
          <cell r="F165" t="str">
            <v>K1778</v>
          </cell>
        </row>
        <row r="166">
          <cell r="E166" t="str">
            <v>Ibrahim</v>
          </cell>
          <cell r="F166" t="str">
            <v>K1789</v>
          </cell>
        </row>
        <row r="167">
          <cell r="E167" t="str">
            <v>A. Rafik</v>
          </cell>
          <cell r="F167" t="str">
            <v>K1790</v>
          </cell>
        </row>
        <row r="168">
          <cell r="E168" t="str">
            <v>Washadi</v>
          </cell>
          <cell r="F168" t="str">
            <v>K1813</v>
          </cell>
        </row>
        <row r="169">
          <cell r="E169" t="str">
            <v>ROBERT LAKBURLAWAI</v>
          </cell>
          <cell r="F169"/>
        </row>
        <row r="170">
          <cell r="E170" t="str">
            <v>ALVIN AVRIALDY</v>
          </cell>
          <cell r="F170"/>
        </row>
        <row r="171">
          <cell r="E171" t="str">
            <v>Marwanto</v>
          </cell>
          <cell r="F171"/>
        </row>
        <row r="172">
          <cell r="E172" t="str">
            <v>Jaimin</v>
          </cell>
          <cell r="F172"/>
        </row>
        <row r="173">
          <cell r="E173" t="str">
            <v>Siswanto</v>
          </cell>
          <cell r="F173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"/>
      <sheetName val="Master"/>
    </sheetNames>
    <sheetDataSet>
      <sheetData sheetId="0">
        <row r="5">
          <cell r="E5" t="str">
            <v>Margono - 00281</v>
          </cell>
          <cell r="F5">
            <v>100000</v>
          </cell>
          <cell r="G5">
            <v>400000</v>
          </cell>
          <cell r="H5">
            <v>0</v>
          </cell>
          <cell r="I5">
            <v>500000</v>
          </cell>
          <cell r="J5">
            <v>0</v>
          </cell>
        </row>
        <row r="6">
          <cell r="E6" t="str">
            <v>Sugiarto</v>
          </cell>
          <cell r="F6">
            <v>100000</v>
          </cell>
          <cell r="G6">
            <v>100000</v>
          </cell>
          <cell r="H6">
            <v>0</v>
          </cell>
          <cell r="I6">
            <v>200000</v>
          </cell>
          <cell r="J6">
            <v>3808333</v>
          </cell>
        </row>
        <row r="7">
          <cell r="E7" t="str">
            <v>Sigit Hartanto</v>
          </cell>
          <cell r="F7">
            <v>100000</v>
          </cell>
          <cell r="G7">
            <v>10000</v>
          </cell>
          <cell r="H7">
            <v>0</v>
          </cell>
          <cell r="I7">
            <v>110000</v>
          </cell>
          <cell r="J7">
            <v>3841667</v>
          </cell>
        </row>
        <row r="8">
          <cell r="E8" t="str">
            <v>Nowo Susiyanto</v>
          </cell>
          <cell r="F8">
            <v>150000</v>
          </cell>
          <cell r="G8">
            <v>25000</v>
          </cell>
          <cell r="H8">
            <v>0</v>
          </cell>
          <cell r="I8">
            <v>175000</v>
          </cell>
          <cell r="J8">
            <v>3958333</v>
          </cell>
        </row>
        <row r="9">
          <cell r="E9" t="str">
            <v>Rahmat Zaeni</v>
          </cell>
          <cell r="F9">
            <v>100000</v>
          </cell>
          <cell r="G9">
            <v>15000</v>
          </cell>
          <cell r="H9">
            <v>0</v>
          </cell>
          <cell r="I9">
            <v>115000</v>
          </cell>
          <cell r="J9">
            <v>2900000</v>
          </cell>
        </row>
        <row r="10">
          <cell r="E10" t="str">
            <v>Heru Purboyo</v>
          </cell>
          <cell r="F10">
            <v>100000</v>
          </cell>
          <cell r="G10">
            <v>100000</v>
          </cell>
          <cell r="H10">
            <v>0</v>
          </cell>
          <cell r="I10">
            <v>200000</v>
          </cell>
          <cell r="J10">
            <v>0</v>
          </cell>
        </row>
        <row r="11">
          <cell r="E11" t="str">
            <v>Dadi Muhamad Mulyadi</v>
          </cell>
          <cell r="F11">
            <v>100000</v>
          </cell>
          <cell r="G11">
            <v>75000</v>
          </cell>
          <cell r="H11">
            <v>0</v>
          </cell>
          <cell r="I11">
            <v>175000</v>
          </cell>
          <cell r="J11">
            <v>0</v>
          </cell>
        </row>
        <row r="12">
          <cell r="E12" t="str">
            <v>Eddy Sukaryan</v>
          </cell>
          <cell r="F12">
            <v>100000</v>
          </cell>
          <cell r="G12">
            <v>200000</v>
          </cell>
          <cell r="H12">
            <v>0</v>
          </cell>
          <cell r="I12">
            <v>300000</v>
          </cell>
          <cell r="J12">
            <v>6424608</v>
          </cell>
        </row>
        <row r="13">
          <cell r="E13" t="str">
            <v>I Made Mustada</v>
          </cell>
          <cell r="F13">
            <v>100000</v>
          </cell>
          <cell r="G13">
            <v>250000</v>
          </cell>
          <cell r="H13">
            <v>0</v>
          </cell>
          <cell r="I13">
            <v>350000</v>
          </cell>
          <cell r="J13">
            <v>0</v>
          </cell>
        </row>
        <row r="14">
          <cell r="E14" t="str">
            <v>Turut</v>
          </cell>
          <cell r="F14">
            <v>100000</v>
          </cell>
          <cell r="G14">
            <v>10000</v>
          </cell>
          <cell r="H14">
            <v>0</v>
          </cell>
          <cell r="I14">
            <v>110000</v>
          </cell>
          <cell r="J14">
            <v>0</v>
          </cell>
        </row>
        <row r="15">
          <cell r="E15" t="str">
            <v>Slamet</v>
          </cell>
          <cell r="F15">
            <v>100000</v>
          </cell>
          <cell r="G15">
            <v>50000</v>
          </cell>
          <cell r="H15">
            <v>0</v>
          </cell>
          <cell r="I15">
            <v>150000</v>
          </cell>
          <cell r="J15">
            <v>0</v>
          </cell>
        </row>
        <row r="16">
          <cell r="E16" t="str">
            <v>Rohaedi</v>
          </cell>
          <cell r="F16">
            <v>100000</v>
          </cell>
          <cell r="G16">
            <v>50000</v>
          </cell>
          <cell r="H16">
            <v>0</v>
          </cell>
          <cell r="I16">
            <v>150000</v>
          </cell>
          <cell r="J16">
            <v>2325000</v>
          </cell>
        </row>
        <row r="17">
          <cell r="E17" t="str">
            <v>Anwari</v>
          </cell>
          <cell r="F17">
            <v>100000</v>
          </cell>
          <cell r="G17">
            <v>1775000</v>
          </cell>
          <cell r="H17">
            <v>0</v>
          </cell>
          <cell r="I17">
            <v>1875000</v>
          </cell>
          <cell r="J17">
            <v>0</v>
          </cell>
        </row>
        <row r="18">
          <cell r="E18" t="str">
            <v>Sudadi</v>
          </cell>
          <cell r="F18">
            <v>100000</v>
          </cell>
          <cell r="G18">
            <v>150000</v>
          </cell>
          <cell r="H18">
            <v>0</v>
          </cell>
          <cell r="I18">
            <v>250000</v>
          </cell>
          <cell r="J18">
            <v>3105000</v>
          </cell>
        </row>
        <row r="19">
          <cell r="E19" t="str">
            <v>Jumadi</v>
          </cell>
          <cell r="F19">
            <v>100000</v>
          </cell>
          <cell r="G19">
            <v>100000</v>
          </cell>
          <cell r="H19">
            <v>0</v>
          </cell>
          <cell r="I19">
            <v>200000</v>
          </cell>
          <cell r="J19">
            <v>2325000</v>
          </cell>
        </row>
        <row r="20">
          <cell r="E20" t="str">
            <v>Umayah</v>
          </cell>
          <cell r="F20">
            <v>100000</v>
          </cell>
          <cell r="G20">
            <v>250000</v>
          </cell>
          <cell r="H20">
            <v>0</v>
          </cell>
          <cell r="I20">
            <v>350000</v>
          </cell>
          <cell r="J20">
            <v>3316667</v>
          </cell>
        </row>
        <row r="21">
          <cell r="E21" t="str">
            <v>Ir. Djoko Maryono</v>
          </cell>
          <cell r="F21">
            <v>150000</v>
          </cell>
          <cell r="G21">
            <v>10000</v>
          </cell>
          <cell r="H21">
            <v>0</v>
          </cell>
          <cell r="I21">
            <v>160000</v>
          </cell>
          <cell r="J21">
            <v>0</v>
          </cell>
        </row>
        <row r="22">
          <cell r="E22" t="str">
            <v>Margono - 00368</v>
          </cell>
          <cell r="F22">
            <v>100000</v>
          </cell>
          <cell r="G22">
            <v>100000</v>
          </cell>
          <cell r="H22">
            <v>0</v>
          </cell>
          <cell r="I22">
            <v>200000</v>
          </cell>
          <cell r="J22">
            <v>3275000</v>
          </cell>
        </row>
        <row r="23">
          <cell r="E23" t="str">
            <v>Ahmad Jamaludin</v>
          </cell>
          <cell r="F23">
            <v>150000</v>
          </cell>
          <cell r="G23">
            <v>50000</v>
          </cell>
          <cell r="H23">
            <v>0</v>
          </cell>
          <cell r="I23">
            <v>200000</v>
          </cell>
          <cell r="J23">
            <v>1812500</v>
          </cell>
        </row>
        <row r="24">
          <cell r="E24" t="str">
            <v>Winardoyo</v>
          </cell>
          <cell r="F24">
            <v>100000</v>
          </cell>
          <cell r="G24">
            <v>10000</v>
          </cell>
          <cell r="H24">
            <v>0</v>
          </cell>
          <cell r="I24">
            <v>110000</v>
          </cell>
          <cell r="J24">
            <v>0</v>
          </cell>
        </row>
        <row r="25">
          <cell r="E25" t="str">
            <v>Jamsari</v>
          </cell>
          <cell r="F25">
            <v>100000</v>
          </cell>
          <cell r="G25">
            <v>50000</v>
          </cell>
          <cell r="H25">
            <v>0</v>
          </cell>
          <cell r="I25">
            <v>150000</v>
          </cell>
          <cell r="J25">
            <v>3955000</v>
          </cell>
        </row>
        <row r="26">
          <cell r="E26" t="str">
            <v>Satino</v>
          </cell>
          <cell r="F26">
            <v>100000</v>
          </cell>
          <cell r="G26">
            <v>12500</v>
          </cell>
          <cell r="H26">
            <v>0</v>
          </cell>
          <cell r="I26">
            <v>112500</v>
          </cell>
          <cell r="J26">
            <v>0</v>
          </cell>
        </row>
        <row r="27">
          <cell r="E27" t="str">
            <v>Sunardi - 00376</v>
          </cell>
          <cell r="F27">
            <v>100000</v>
          </cell>
          <cell r="G27">
            <v>110000</v>
          </cell>
          <cell r="H27">
            <v>0</v>
          </cell>
          <cell r="I27">
            <v>210000</v>
          </cell>
          <cell r="J27">
            <v>3558333</v>
          </cell>
        </row>
        <row r="28">
          <cell r="E28" t="str">
            <v>Ismail</v>
          </cell>
          <cell r="F28">
            <v>100000</v>
          </cell>
          <cell r="G28">
            <v>10000</v>
          </cell>
          <cell r="H28">
            <v>0</v>
          </cell>
          <cell r="I28">
            <v>110000</v>
          </cell>
          <cell r="J28">
            <v>1741112</v>
          </cell>
        </row>
        <row r="29">
          <cell r="E29" t="str">
            <v>Sugiyatwoko</v>
          </cell>
          <cell r="F29">
            <v>100000</v>
          </cell>
          <cell r="G29">
            <v>10000</v>
          </cell>
          <cell r="H29">
            <v>0</v>
          </cell>
          <cell r="I29">
            <v>110000</v>
          </cell>
          <cell r="J29">
            <v>1866667</v>
          </cell>
        </row>
        <row r="30">
          <cell r="E30" t="str">
            <v>Ir. Okto Hendri Fahlefi</v>
          </cell>
          <cell r="F30">
            <v>150000</v>
          </cell>
          <cell r="G30">
            <v>200000</v>
          </cell>
          <cell r="H30">
            <v>0</v>
          </cell>
          <cell r="I30">
            <v>350000</v>
          </cell>
          <cell r="J30">
            <v>4475000</v>
          </cell>
        </row>
        <row r="31">
          <cell r="E31" t="str">
            <v>Minan Khusnaeni</v>
          </cell>
          <cell r="F31">
            <v>150000</v>
          </cell>
          <cell r="G31">
            <v>1000000</v>
          </cell>
          <cell r="H31">
            <v>0</v>
          </cell>
          <cell r="I31">
            <v>1150000</v>
          </cell>
          <cell r="J31">
            <v>0</v>
          </cell>
        </row>
        <row r="32">
          <cell r="E32" t="str">
            <v>Rosmiati</v>
          </cell>
          <cell r="F32">
            <v>100000</v>
          </cell>
          <cell r="G32">
            <v>500000</v>
          </cell>
          <cell r="H32">
            <v>0</v>
          </cell>
          <cell r="I32">
            <v>600000</v>
          </cell>
          <cell r="J32">
            <v>0</v>
          </cell>
        </row>
        <row r="33">
          <cell r="E33" t="str">
            <v>Eka Yanuar Santosa</v>
          </cell>
          <cell r="F33">
            <v>150000</v>
          </cell>
          <cell r="G33">
            <v>200000</v>
          </cell>
          <cell r="H33">
            <v>0</v>
          </cell>
          <cell r="I33">
            <v>350000</v>
          </cell>
          <cell r="J33">
            <v>2325000</v>
          </cell>
        </row>
        <row r="34">
          <cell r="E34" t="str">
            <v>Ferika Pujiyanti</v>
          </cell>
          <cell r="F34">
            <v>100000</v>
          </cell>
          <cell r="G34">
            <v>150000</v>
          </cell>
          <cell r="H34">
            <v>0</v>
          </cell>
          <cell r="I34">
            <v>250000</v>
          </cell>
          <cell r="J34">
            <v>0</v>
          </cell>
        </row>
        <row r="35">
          <cell r="E35" t="str">
            <v>Riana Merry Natalia</v>
          </cell>
          <cell r="F35">
            <v>100000</v>
          </cell>
          <cell r="G35">
            <v>500000</v>
          </cell>
          <cell r="H35">
            <v>-400000</v>
          </cell>
          <cell r="I35">
            <v>1000000</v>
          </cell>
          <cell r="J35">
            <v>1400000</v>
          </cell>
        </row>
        <row r="36">
          <cell r="E36" t="str">
            <v>Riana Merry Natalia QQ Lasman</v>
          </cell>
          <cell r="F36">
            <v>100000</v>
          </cell>
          <cell r="G36">
            <v>300000</v>
          </cell>
          <cell r="H36">
            <v>400000</v>
          </cell>
          <cell r="I36"/>
          <cell r="J36">
            <v>0</v>
          </cell>
        </row>
        <row r="37">
          <cell r="E37" t="str">
            <v>Bayu Adithya Permana</v>
          </cell>
          <cell r="F37">
            <v>100000</v>
          </cell>
          <cell r="G37">
            <v>600000</v>
          </cell>
          <cell r="H37">
            <v>0</v>
          </cell>
          <cell r="I37">
            <v>700000</v>
          </cell>
          <cell r="J37">
            <v>5920000</v>
          </cell>
        </row>
        <row r="38">
          <cell r="E38" t="str">
            <v>Wiyan Eko Supriyanto</v>
          </cell>
          <cell r="F38">
            <v>100000</v>
          </cell>
          <cell r="G38">
            <v>75000</v>
          </cell>
          <cell r="H38">
            <v>0</v>
          </cell>
          <cell r="I38">
            <v>175000</v>
          </cell>
          <cell r="J38">
            <v>1303846</v>
          </cell>
        </row>
        <row r="39">
          <cell r="E39" t="str">
            <v>Iwan Setiawan</v>
          </cell>
          <cell r="F39">
            <v>100000</v>
          </cell>
          <cell r="G39">
            <v>50000</v>
          </cell>
          <cell r="H39">
            <v>0</v>
          </cell>
          <cell r="I39">
            <v>150000</v>
          </cell>
          <cell r="J39">
            <v>2708333</v>
          </cell>
        </row>
        <row r="40">
          <cell r="E40" t="str">
            <v>Suwarno</v>
          </cell>
          <cell r="F40">
            <v>100000</v>
          </cell>
          <cell r="G40">
            <v>175000</v>
          </cell>
          <cell r="H40">
            <v>0</v>
          </cell>
          <cell r="I40">
            <v>275000</v>
          </cell>
          <cell r="J40">
            <v>653333</v>
          </cell>
        </row>
        <row r="41">
          <cell r="E41" t="str">
            <v>Andung Juanda</v>
          </cell>
          <cell r="F41">
            <v>100000</v>
          </cell>
          <cell r="G41">
            <v>50000</v>
          </cell>
          <cell r="H41">
            <v>0</v>
          </cell>
          <cell r="I41">
            <v>150000</v>
          </cell>
          <cell r="J41">
            <v>1291667</v>
          </cell>
        </row>
        <row r="42">
          <cell r="E42" t="str">
            <v>Gede Arnawa</v>
          </cell>
          <cell r="F42">
            <v>100000</v>
          </cell>
          <cell r="G42">
            <v>175000</v>
          </cell>
          <cell r="H42">
            <v>0</v>
          </cell>
          <cell r="I42">
            <v>275000</v>
          </cell>
          <cell r="J42">
            <v>1033333</v>
          </cell>
        </row>
        <row r="43">
          <cell r="E43" t="str">
            <v>Parsono</v>
          </cell>
          <cell r="F43">
            <v>100000</v>
          </cell>
          <cell r="G43">
            <v>125000</v>
          </cell>
          <cell r="H43">
            <v>0</v>
          </cell>
          <cell r="I43">
            <v>225000</v>
          </cell>
          <cell r="J43">
            <v>2708333</v>
          </cell>
        </row>
        <row r="44">
          <cell r="E44" t="str">
            <v>Ketut Wijaya</v>
          </cell>
          <cell r="F44">
            <v>100000</v>
          </cell>
          <cell r="G44">
            <v>300000</v>
          </cell>
          <cell r="H44">
            <v>0</v>
          </cell>
          <cell r="I44">
            <v>400000</v>
          </cell>
          <cell r="J44">
            <v>933326</v>
          </cell>
        </row>
        <row r="45">
          <cell r="E45" t="str">
            <v>Suwitno</v>
          </cell>
          <cell r="F45">
            <v>100000</v>
          </cell>
          <cell r="G45">
            <v>100000</v>
          </cell>
          <cell r="H45">
            <v>0</v>
          </cell>
          <cell r="I45">
            <v>200000</v>
          </cell>
          <cell r="J45">
            <v>1825000</v>
          </cell>
        </row>
        <row r="46">
          <cell r="E46" t="str">
            <v>Nurpendi</v>
          </cell>
          <cell r="F46">
            <v>100000</v>
          </cell>
          <cell r="G46">
            <v>25000</v>
          </cell>
          <cell r="H46">
            <v>0</v>
          </cell>
          <cell r="I46">
            <v>125000</v>
          </cell>
          <cell r="J46">
            <v>383333</v>
          </cell>
        </row>
        <row r="47">
          <cell r="E47" t="str">
            <v>Gunawan</v>
          </cell>
          <cell r="F47">
            <v>100000</v>
          </cell>
          <cell r="G47">
            <v>400000</v>
          </cell>
          <cell r="H47">
            <v>0</v>
          </cell>
          <cell r="I47">
            <v>500000</v>
          </cell>
          <cell r="J47">
            <v>232500</v>
          </cell>
        </row>
        <row r="48">
          <cell r="E48" t="str">
            <v>Diki Firmansyah</v>
          </cell>
          <cell r="F48">
            <v>200000</v>
          </cell>
          <cell r="G48">
            <v>100000</v>
          </cell>
          <cell r="H48">
            <v>0</v>
          </cell>
          <cell r="I48">
            <v>300000</v>
          </cell>
          <cell r="J48">
            <v>0</v>
          </cell>
        </row>
        <row r="49">
          <cell r="E49" t="str">
            <v>Budi Laksono</v>
          </cell>
          <cell r="F49">
            <v>100000</v>
          </cell>
          <cell r="G49">
            <v>125000</v>
          </cell>
          <cell r="H49">
            <v>0</v>
          </cell>
          <cell r="I49">
            <v>225000</v>
          </cell>
          <cell r="J49">
            <v>0</v>
          </cell>
        </row>
        <row r="50">
          <cell r="E50" t="str">
            <v>Eko Junaidi</v>
          </cell>
          <cell r="F50">
            <v>100000</v>
          </cell>
          <cell r="G50">
            <v>100000</v>
          </cell>
          <cell r="H50">
            <v>0</v>
          </cell>
          <cell r="I50">
            <v>200000</v>
          </cell>
          <cell r="J50">
            <v>1650000</v>
          </cell>
        </row>
        <row r="51">
          <cell r="E51" t="str">
            <v>Muhammad Dzil Ikram Jani</v>
          </cell>
          <cell r="F51">
            <v>150000</v>
          </cell>
          <cell r="G51">
            <v>150000</v>
          </cell>
          <cell r="H51">
            <v>0</v>
          </cell>
          <cell r="I51">
            <v>300000</v>
          </cell>
          <cell r="J51">
            <v>4791667</v>
          </cell>
        </row>
        <row r="52">
          <cell r="E52" t="str">
            <v>Nyoman Artawan</v>
          </cell>
          <cell r="F52">
            <v>100000</v>
          </cell>
          <cell r="G52">
            <v>100000</v>
          </cell>
          <cell r="H52">
            <v>0</v>
          </cell>
          <cell r="I52">
            <v>200000</v>
          </cell>
          <cell r="J52">
            <v>2333333</v>
          </cell>
        </row>
        <row r="53">
          <cell r="E53" t="str">
            <v>Sobri</v>
          </cell>
          <cell r="F53">
            <v>100000</v>
          </cell>
          <cell r="G53">
            <v>200000</v>
          </cell>
          <cell r="H53">
            <v>0</v>
          </cell>
          <cell r="I53">
            <v>300000</v>
          </cell>
          <cell r="J53">
            <v>3841667</v>
          </cell>
        </row>
        <row r="54">
          <cell r="E54" t="str">
            <v>I Gede Mustika</v>
          </cell>
          <cell r="F54">
            <v>100000</v>
          </cell>
          <cell r="G54">
            <v>100000</v>
          </cell>
          <cell r="H54">
            <v>0</v>
          </cell>
          <cell r="I54">
            <v>200000</v>
          </cell>
          <cell r="J54">
            <v>3331667</v>
          </cell>
        </row>
        <row r="55">
          <cell r="E55" t="str">
            <v>Ramli</v>
          </cell>
          <cell r="F55">
            <v>100000</v>
          </cell>
          <cell r="G55">
            <v>100000</v>
          </cell>
          <cell r="H55">
            <v>0</v>
          </cell>
          <cell r="I55">
            <v>200000</v>
          </cell>
          <cell r="J55">
            <v>2708333</v>
          </cell>
        </row>
        <row r="56">
          <cell r="E56" t="str">
            <v>Toni</v>
          </cell>
          <cell r="F56">
            <v>100000</v>
          </cell>
          <cell r="G56">
            <v>50000</v>
          </cell>
          <cell r="H56">
            <v>0</v>
          </cell>
          <cell r="I56">
            <v>150000</v>
          </cell>
          <cell r="J56">
            <v>2425000</v>
          </cell>
        </row>
        <row r="57">
          <cell r="E57" t="str">
            <v>Sutrisno</v>
          </cell>
          <cell r="F57">
            <v>100000</v>
          </cell>
          <cell r="G57">
            <v>100000</v>
          </cell>
          <cell r="H57">
            <v>0</v>
          </cell>
          <cell r="I57">
            <v>200000</v>
          </cell>
          <cell r="J57">
            <v>0</v>
          </cell>
        </row>
        <row r="58">
          <cell r="E58" t="str">
            <v>Idris Rusmianto</v>
          </cell>
          <cell r="F58">
            <v>100000</v>
          </cell>
          <cell r="G58">
            <v>100000</v>
          </cell>
          <cell r="H58">
            <v>0</v>
          </cell>
          <cell r="I58">
            <v>200000</v>
          </cell>
          <cell r="J58">
            <v>0</v>
          </cell>
        </row>
        <row r="59">
          <cell r="E59" t="str">
            <v>Ridwan</v>
          </cell>
          <cell r="F59">
            <v>100000</v>
          </cell>
          <cell r="G59">
            <v>250000</v>
          </cell>
          <cell r="H59">
            <v>0</v>
          </cell>
          <cell r="I59">
            <v>350000</v>
          </cell>
          <cell r="J59">
            <v>3558333</v>
          </cell>
        </row>
        <row r="60">
          <cell r="E60" t="str">
            <v>Komang Astrawan</v>
          </cell>
          <cell r="F60">
            <v>100000</v>
          </cell>
          <cell r="G60">
            <v>15000</v>
          </cell>
          <cell r="H60">
            <v>0</v>
          </cell>
          <cell r="I60">
            <v>115000</v>
          </cell>
          <cell r="J60">
            <v>440000</v>
          </cell>
        </row>
        <row r="61">
          <cell r="E61" t="str">
            <v>Rizki Munardi</v>
          </cell>
          <cell r="F61">
            <v>100000</v>
          </cell>
          <cell r="G61">
            <v>100000</v>
          </cell>
          <cell r="H61">
            <v>0</v>
          </cell>
          <cell r="I61">
            <v>200000</v>
          </cell>
          <cell r="J61">
            <v>3826111</v>
          </cell>
        </row>
        <row r="62">
          <cell r="E62" t="str">
            <v>Ari Wibowo - 00533</v>
          </cell>
          <cell r="F62">
            <v>100000</v>
          </cell>
          <cell r="G62">
            <v>100000</v>
          </cell>
          <cell r="H62">
            <v>0</v>
          </cell>
          <cell r="I62">
            <v>200000</v>
          </cell>
          <cell r="J62">
            <v>3275000</v>
          </cell>
        </row>
        <row r="63">
          <cell r="E63" t="str">
            <v>Herman</v>
          </cell>
          <cell r="F63">
            <v>100000</v>
          </cell>
          <cell r="G63">
            <v>125000</v>
          </cell>
          <cell r="H63">
            <v>0</v>
          </cell>
          <cell r="I63">
            <v>225000</v>
          </cell>
          <cell r="J63">
            <v>1858333</v>
          </cell>
        </row>
        <row r="64">
          <cell r="E64" t="str">
            <v>Agung Pambudi</v>
          </cell>
          <cell r="F64">
            <v>150000</v>
          </cell>
          <cell r="G64">
            <v>100000</v>
          </cell>
          <cell r="H64">
            <v>0</v>
          </cell>
          <cell r="I64">
            <v>250000</v>
          </cell>
          <cell r="J64">
            <v>597333</v>
          </cell>
        </row>
        <row r="65">
          <cell r="E65" t="str">
            <v>Heni Triandini</v>
          </cell>
          <cell r="F65">
            <v>150000</v>
          </cell>
          <cell r="G65">
            <v>50000</v>
          </cell>
          <cell r="H65">
            <v>0</v>
          </cell>
          <cell r="I65">
            <v>200000</v>
          </cell>
          <cell r="J65">
            <v>2708333</v>
          </cell>
        </row>
        <row r="66">
          <cell r="E66" t="str">
            <v>Dewi Kartini</v>
          </cell>
          <cell r="F66">
            <v>100000</v>
          </cell>
          <cell r="G66">
            <v>50000</v>
          </cell>
          <cell r="H66">
            <v>0</v>
          </cell>
          <cell r="I66">
            <v>150000</v>
          </cell>
          <cell r="J66">
            <v>0</v>
          </cell>
        </row>
        <row r="67">
          <cell r="E67" t="str">
            <v>Dedy Kurniawan</v>
          </cell>
          <cell r="F67">
            <v>100000</v>
          </cell>
          <cell r="G67">
            <v>125000</v>
          </cell>
          <cell r="H67">
            <v>0</v>
          </cell>
          <cell r="I67">
            <v>225000</v>
          </cell>
          <cell r="J67">
            <v>775000</v>
          </cell>
        </row>
        <row r="68">
          <cell r="E68" t="str">
            <v>Hendra</v>
          </cell>
          <cell r="F68">
            <v>100000</v>
          </cell>
          <cell r="G68">
            <v>150000</v>
          </cell>
          <cell r="H68">
            <v>0</v>
          </cell>
          <cell r="I68">
            <v>250000</v>
          </cell>
          <cell r="J68">
            <v>4125000</v>
          </cell>
        </row>
        <row r="69">
          <cell r="E69" t="str">
            <v>Novita</v>
          </cell>
          <cell r="F69">
            <v>100000</v>
          </cell>
          <cell r="G69">
            <v>100000</v>
          </cell>
          <cell r="H69">
            <v>0</v>
          </cell>
          <cell r="I69">
            <v>200000</v>
          </cell>
          <cell r="J69">
            <v>0</v>
          </cell>
        </row>
        <row r="70">
          <cell r="E70" t="str">
            <v>Dara Maulida</v>
          </cell>
          <cell r="F70">
            <v>100000</v>
          </cell>
          <cell r="G70">
            <v>100000</v>
          </cell>
          <cell r="H70">
            <v>0</v>
          </cell>
          <cell r="I70">
            <v>200000</v>
          </cell>
          <cell r="J70">
            <v>0</v>
          </cell>
        </row>
        <row r="71">
          <cell r="E71" t="str">
            <v>Rico Septa Saputra</v>
          </cell>
          <cell r="F71">
            <v>100000</v>
          </cell>
          <cell r="G71">
            <v>50000</v>
          </cell>
          <cell r="H71">
            <v>0</v>
          </cell>
          <cell r="I71">
            <v>150000</v>
          </cell>
          <cell r="J71">
            <v>0</v>
          </cell>
        </row>
        <row r="72">
          <cell r="E72" t="str">
            <v>Rwandha Sutedira</v>
          </cell>
          <cell r="F72">
            <v>150000</v>
          </cell>
          <cell r="G72">
            <v>50000</v>
          </cell>
          <cell r="H72">
            <v>0</v>
          </cell>
          <cell r="I72">
            <v>200000</v>
          </cell>
          <cell r="J72">
            <v>0</v>
          </cell>
        </row>
        <row r="73">
          <cell r="E73" t="str">
            <v>Andrian Fadly</v>
          </cell>
          <cell r="F73">
            <v>100000</v>
          </cell>
          <cell r="G73">
            <v>50000</v>
          </cell>
          <cell r="H73">
            <v>0</v>
          </cell>
          <cell r="I73">
            <v>150000</v>
          </cell>
          <cell r="J73">
            <v>1575000</v>
          </cell>
        </row>
        <row r="74">
          <cell r="E74" t="str">
            <v>Heru Sri Margono</v>
          </cell>
          <cell r="F74">
            <v>100000</v>
          </cell>
          <cell r="G74">
            <v>100000</v>
          </cell>
          <cell r="H74">
            <v>0</v>
          </cell>
          <cell r="I74">
            <v>200000</v>
          </cell>
          <cell r="J74">
            <v>3173333</v>
          </cell>
        </row>
        <row r="75">
          <cell r="E75" t="str">
            <v>Wawan Satriawan</v>
          </cell>
          <cell r="F75">
            <v>100000</v>
          </cell>
          <cell r="G75">
            <v>75000</v>
          </cell>
          <cell r="H75">
            <v>0</v>
          </cell>
          <cell r="I75">
            <v>175000</v>
          </cell>
          <cell r="J75">
            <v>1348333</v>
          </cell>
        </row>
        <row r="76">
          <cell r="E76" t="str">
            <v>Ahmad Fauzi - 00549</v>
          </cell>
          <cell r="F76">
            <v>100000</v>
          </cell>
          <cell r="G76">
            <v>100000</v>
          </cell>
          <cell r="H76">
            <v>0</v>
          </cell>
          <cell r="I76">
            <v>200000</v>
          </cell>
          <cell r="J76">
            <v>0</v>
          </cell>
        </row>
        <row r="77">
          <cell r="E77" t="str">
            <v>Mohammad Rizki</v>
          </cell>
          <cell r="F77">
            <v>150000</v>
          </cell>
          <cell r="G77">
            <v>50000</v>
          </cell>
          <cell r="H77">
            <v>0</v>
          </cell>
          <cell r="I77">
            <v>200000</v>
          </cell>
          <cell r="J77">
            <v>0</v>
          </cell>
        </row>
        <row r="78">
          <cell r="E78" t="str">
            <v>Alfian Noor</v>
          </cell>
          <cell r="F78">
            <v>100000</v>
          </cell>
          <cell r="G78">
            <v>200000</v>
          </cell>
          <cell r="H78">
            <v>0</v>
          </cell>
          <cell r="I78">
            <v>300000</v>
          </cell>
          <cell r="J78">
            <v>4408333</v>
          </cell>
        </row>
        <row r="79">
          <cell r="E79" t="str">
            <v>Abdul Cahyo Nugroho</v>
          </cell>
          <cell r="F79">
            <v>100000</v>
          </cell>
          <cell r="G79">
            <v>150000</v>
          </cell>
          <cell r="H79">
            <v>0</v>
          </cell>
          <cell r="I79">
            <v>250000</v>
          </cell>
          <cell r="J79">
            <v>660000</v>
          </cell>
        </row>
        <row r="80">
          <cell r="E80" t="str">
            <v>Indra Suwanda</v>
          </cell>
          <cell r="F80">
            <v>100000</v>
          </cell>
          <cell r="G80">
            <v>100000</v>
          </cell>
          <cell r="H80">
            <v>0</v>
          </cell>
          <cell r="I80">
            <v>200000</v>
          </cell>
          <cell r="J80">
            <v>0</v>
          </cell>
        </row>
        <row r="81">
          <cell r="E81" t="str">
            <v>Faisal Amri</v>
          </cell>
          <cell r="F81">
            <v>100000</v>
          </cell>
          <cell r="G81">
            <v>100000</v>
          </cell>
          <cell r="H81">
            <v>0</v>
          </cell>
          <cell r="I81">
            <v>200000</v>
          </cell>
          <cell r="J81">
            <v>0</v>
          </cell>
        </row>
        <row r="82">
          <cell r="E82" t="str">
            <v>Muhammad Irham</v>
          </cell>
          <cell r="F82">
            <v>200000</v>
          </cell>
          <cell r="G82">
            <v>200000</v>
          </cell>
          <cell r="H82">
            <v>0</v>
          </cell>
          <cell r="I82">
            <v>400000</v>
          </cell>
          <cell r="J82">
            <v>0</v>
          </cell>
        </row>
        <row r="83">
          <cell r="E83" t="str">
            <v>Taufiqurrahman</v>
          </cell>
          <cell r="F83">
            <v>200000</v>
          </cell>
          <cell r="G83">
            <v>300000</v>
          </cell>
          <cell r="H83">
            <v>0</v>
          </cell>
          <cell r="I83">
            <v>500000</v>
          </cell>
          <cell r="J83">
            <v>1341667</v>
          </cell>
        </row>
        <row r="84">
          <cell r="E84" t="str">
            <v>Tri Indriyani</v>
          </cell>
          <cell r="F84">
            <v>100000</v>
          </cell>
          <cell r="G84">
            <v>100000</v>
          </cell>
          <cell r="H84">
            <v>0</v>
          </cell>
          <cell r="I84">
            <v>200000</v>
          </cell>
          <cell r="J84">
            <v>0</v>
          </cell>
        </row>
        <row r="85">
          <cell r="E85" t="str">
            <v>Ferry Firmanto</v>
          </cell>
          <cell r="F85">
            <v>100000</v>
          </cell>
          <cell r="G85">
            <v>150000</v>
          </cell>
          <cell r="H85">
            <v>0</v>
          </cell>
          <cell r="I85">
            <v>250000</v>
          </cell>
          <cell r="J85">
            <v>2708333</v>
          </cell>
        </row>
        <row r="86">
          <cell r="E86" t="str">
            <v>Tiolenta Martiana</v>
          </cell>
          <cell r="F86">
            <v>100000</v>
          </cell>
          <cell r="G86">
            <v>100000</v>
          </cell>
          <cell r="H86">
            <v>0</v>
          </cell>
          <cell r="I86">
            <v>200000</v>
          </cell>
          <cell r="J86">
            <v>1291667</v>
          </cell>
        </row>
        <row r="87">
          <cell r="E87" t="str">
            <v>Fellix Stephen Willa</v>
          </cell>
          <cell r="F87">
            <v>100000</v>
          </cell>
          <cell r="G87">
            <v>400000</v>
          </cell>
          <cell r="H87">
            <v>0</v>
          </cell>
          <cell r="I87">
            <v>500000</v>
          </cell>
          <cell r="J87">
            <v>3125000</v>
          </cell>
        </row>
        <row r="88">
          <cell r="E88" t="str">
            <v>Arsim</v>
          </cell>
          <cell r="F88">
            <v>100000</v>
          </cell>
          <cell r="G88">
            <v>150000</v>
          </cell>
          <cell r="H88">
            <v>0</v>
          </cell>
          <cell r="I88">
            <v>250000</v>
          </cell>
          <cell r="J88">
            <v>0</v>
          </cell>
        </row>
        <row r="89">
          <cell r="E89" t="str">
            <v>Ahmad Zaid Mahfudi</v>
          </cell>
          <cell r="F89">
            <v>200000</v>
          </cell>
          <cell r="G89">
            <v>300000</v>
          </cell>
          <cell r="H89">
            <v>0</v>
          </cell>
          <cell r="I89">
            <v>500000</v>
          </cell>
          <cell r="J89">
            <v>0</v>
          </cell>
        </row>
        <row r="90">
          <cell r="E90" t="str">
            <v>Marhasan</v>
          </cell>
          <cell r="F90">
            <v>100000</v>
          </cell>
          <cell r="G90">
            <v>100000</v>
          </cell>
          <cell r="H90">
            <v>0</v>
          </cell>
          <cell r="I90">
            <v>200000</v>
          </cell>
          <cell r="J90">
            <v>1085000</v>
          </cell>
        </row>
        <row r="91">
          <cell r="E91" t="str">
            <v>Rudiansyah</v>
          </cell>
          <cell r="F91">
            <v>100000</v>
          </cell>
          <cell r="G91">
            <v>150000</v>
          </cell>
          <cell r="H91">
            <v>0</v>
          </cell>
          <cell r="I91">
            <v>250000</v>
          </cell>
          <cell r="J91">
            <v>3161667</v>
          </cell>
        </row>
        <row r="92">
          <cell r="E92" t="str">
            <v>Keren</v>
          </cell>
          <cell r="F92">
            <v>100000</v>
          </cell>
          <cell r="G92">
            <v>500000</v>
          </cell>
          <cell r="H92">
            <v>0</v>
          </cell>
          <cell r="I92">
            <v>600000</v>
          </cell>
          <cell r="J92">
            <v>0</v>
          </cell>
        </row>
        <row r="93">
          <cell r="E93" t="str">
            <v>Dian Suanto</v>
          </cell>
          <cell r="F93">
            <v>100000</v>
          </cell>
          <cell r="G93">
            <v>75000</v>
          </cell>
          <cell r="H93">
            <v>0</v>
          </cell>
          <cell r="I93">
            <v>175000</v>
          </cell>
          <cell r="J93">
            <v>0</v>
          </cell>
        </row>
        <row r="94">
          <cell r="E94" t="str">
            <v>Aris Aptin Permana</v>
          </cell>
          <cell r="F94">
            <v>150000</v>
          </cell>
          <cell r="G94">
            <v>100000</v>
          </cell>
          <cell r="H94">
            <v>0</v>
          </cell>
          <cell r="I94">
            <v>250000</v>
          </cell>
          <cell r="J94">
            <v>0</v>
          </cell>
        </row>
        <row r="95">
          <cell r="E95" t="str">
            <v>Andri Kurniawan</v>
          </cell>
          <cell r="F95">
            <v>100000</v>
          </cell>
          <cell r="G95">
            <v>100000</v>
          </cell>
          <cell r="H95">
            <v>-150000</v>
          </cell>
          <cell r="I95">
            <v>350000</v>
          </cell>
          <cell r="J95">
            <v>1858333</v>
          </cell>
        </row>
        <row r="96">
          <cell r="E96" t="str">
            <v>Andri Kurniawan qq Rizka Merdiawati</v>
          </cell>
          <cell r="F96">
            <v>100000</v>
          </cell>
          <cell r="G96">
            <v>50000</v>
          </cell>
          <cell r="H96">
            <v>150000</v>
          </cell>
          <cell r="I96"/>
          <cell r="J96">
            <v>0</v>
          </cell>
        </row>
        <row r="97">
          <cell r="E97" t="str">
            <v>Arief Indrawan</v>
          </cell>
          <cell r="F97">
            <v>100000</v>
          </cell>
          <cell r="G97">
            <v>150000</v>
          </cell>
          <cell r="H97">
            <v>0</v>
          </cell>
          <cell r="I97">
            <v>250000</v>
          </cell>
          <cell r="J97">
            <v>1603333</v>
          </cell>
        </row>
        <row r="98">
          <cell r="E98" t="str">
            <v>Herda</v>
          </cell>
          <cell r="F98">
            <v>100000</v>
          </cell>
          <cell r="G98">
            <v>100000</v>
          </cell>
          <cell r="H98">
            <v>0</v>
          </cell>
          <cell r="I98">
            <v>200000</v>
          </cell>
          <cell r="J98">
            <v>981667</v>
          </cell>
        </row>
        <row r="99">
          <cell r="E99" t="str">
            <v>Ari Wibowo - 00579</v>
          </cell>
          <cell r="F99">
            <v>100000</v>
          </cell>
          <cell r="G99">
            <v>200000</v>
          </cell>
          <cell r="H99">
            <v>0</v>
          </cell>
          <cell r="I99">
            <v>300000</v>
          </cell>
          <cell r="J99">
            <v>767000</v>
          </cell>
        </row>
        <row r="100">
          <cell r="E100" t="str">
            <v>Muhammad Khoirullah</v>
          </cell>
          <cell r="F100">
            <v>100000</v>
          </cell>
          <cell r="G100">
            <v>50000</v>
          </cell>
          <cell r="H100">
            <v>0</v>
          </cell>
          <cell r="I100">
            <v>150000</v>
          </cell>
          <cell r="J100">
            <v>0</v>
          </cell>
        </row>
        <row r="101">
          <cell r="E101" t="str">
            <v>Afan Wahyu Syafii</v>
          </cell>
          <cell r="F101">
            <v>200000</v>
          </cell>
          <cell r="G101">
            <v>300000</v>
          </cell>
          <cell r="H101">
            <v>0</v>
          </cell>
          <cell r="I101">
            <v>500000</v>
          </cell>
          <cell r="J101">
            <v>0</v>
          </cell>
        </row>
        <row r="102">
          <cell r="E102" t="str">
            <v>Septi Priawandra</v>
          </cell>
          <cell r="F102">
            <v>100000</v>
          </cell>
          <cell r="G102">
            <v>100000</v>
          </cell>
          <cell r="H102">
            <v>0</v>
          </cell>
          <cell r="I102">
            <v>200000</v>
          </cell>
          <cell r="J102">
            <v>1120000</v>
          </cell>
        </row>
        <row r="103">
          <cell r="E103" t="str">
            <v>Widodo</v>
          </cell>
          <cell r="F103">
            <v>100000</v>
          </cell>
          <cell r="G103">
            <v>100000</v>
          </cell>
          <cell r="H103">
            <v>0</v>
          </cell>
          <cell r="I103">
            <v>200000</v>
          </cell>
          <cell r="J103">
            <v>0</v>
          </cell>
        </row>
        <row r="104">
          <cell r="E104" t="str">
            <v>Gede Suparta</v>
          </cell>
          <cell r="F104">
            <v>100000</v>
          </cell>
          <cell r="G104">
            <v>125000</v>
          </cell>
          <cell r="H104">
            <v>0</v>
          </cell>
          <cell r="I104">
            <v>225000</v>
          </cell>
          <cell r="J104">
            <v>600000</v>
          </cell>
        </row>
        <row r="105">
          <cell r="E105" t="str">
            <v>Akbar Fadhil</v>
          </cell>
          <cell r="F105">
            <v>100000</v>
          </cell>
          <cell r="G105">
            <v>400000</v>
          </cell>
          <cell r="H105">
            <v>0</v>
          </cell>
          <cell r="I105">
            <v>500000</v>
          </cell>
          <cell r="J105">
            <v>0</v>
          </cell>
        </row>
        <row r="106">
          <cell r="E106" t="str">
            <v>Arno Nugroho</v>
          </cell>
          <cell r="F106">
            <v>100000</v>
          </cell>
          <cell r="G106">
            <v>250000</v>
          </cell>
          <cell r="H106">
            <v>0</v>
          </cell>
          <cell r="I106">
            <v>350000</v>
          </cell>
          <cell r="J106">
            <v>0</v>
          </cell>
        </row>
        <row r="107">
          <cell r="E107" t="str">
            <v>Khairun Nisa</v>
          </cell>
          <cell r="F107">
            <v>100000</v>
          </cell>
          <cell r="G107">
            <v>100000</v>
          </cell>
          <cell r="H107">
            <v>0</v>
          </cell>
          <cell r="I107">
            <v>200000</v>
          </cell>
          <cell r="J107">
            <v>0</v>
          </cell>
        </row>
        <row r="108">
          <cell r="E108" t="str">
            <v>Didi Rahmat</v>
          </cell>
          <cell r="F108">
            <v>150000</v>
          </cell>
          <cell r="G108">
            <v>350000</v>
          </cell>
          <cell r="H108">
            <v>0</v>
          </cell>
          <cell r="I108">
            <v>500000</v>
          </cell>
          <cell r="J108">
            <v>0</v>
          </cell>
        </row>
        <row r="109">
          <cell r="E109" t="str">
            <v>Tirto Bayu Saputro</v>
          </cell>
          <cell r="F109">
            <v>100000</v>
          </cell>
          <cell r="G109">
            <v>250000</v>
          </cell>
          <cell r="H109">
            <v>0</v>
          </cell>
          <cell r="I109">
            <v>350000</v>
          </cell>
          <cell r="J109">
            <v>0</v>
          </cell>
        </row>
        <row r="110">
          <cell r="E110" t="str">
            <v>Mumuh Mulyawan</v>
          </cell>
          <cell r="F110">
            <v>100000</v>
          </cell>
          <cell r="G110">
            <v>500000</v>
          </cell>
          <cell r="H110">
            <v>0</v>
          </cell>
          <cell r="I110">
            <v>600000</v>
          </cell>
          <cell r="J110">
            <v>1033333</v>
          </cell>
        </row>
        <row r="111">
          <cell r="E111" t="str">
            <v>Nabila Nandra Putri</v>
          </cell>
          <cell r="F111">
            <v>100000</v>
          </cell>
          <cell r="G111">
            <v>20000</v>
          </cell>
          <cell r="H111">
            <v>-50000</v>
          </cell>
          <cell r="I111">
            <v>170000</v>
          </cell>
          <cell r="J111">
            <v>0</v>
          </cell>
        </row>
        <row r="112">
          <cell r="E112" t="str">
            <v>Suci Nurkhasanah</v>
          </cell>
          <cell r="F112">
            <v>100000</v>
          </cell>
          <cell r="G112">
            <v>50000</v>
          </cell>
          <cell r="H112">
            <v>0</v>
          </cell>
          <cell r="I112">
            <v>150000</v>
          </cell>
          <cell r="J112">
            <v>0</v>
          </cell>
        </row>
        <row r="113">
          <cell r="E113" t="str">
            <v>Widi Kurnianto</v>
          </cell>
          <cell r="F113">
            <v>100000</v>
          </cell>
          <cell r="G113">
            <v>100000</v>
          </cell>
          <cell r="H113">
            <v>0</v>
          </cell>
          <cell r="I113">
            <v>200000</v>
          </cell>
          <cell r="J113">
            <v>671667</v>
          </cell>
        </row>
        <row r="114">
          <cell r="E114" t="str">
            <v>Riska Fahraeni</v>
          </cell>
          <cell r="F114">
            <v>100000</v>
          </cell>
          <cell r="G114">
            <v>25000</v>
          </cell>
          <cell r="H114">
            <v>-50000</v>
          </cell>
          <cell r="I114">
            <v>175000</v>
          </cell>
          <cell r="J114">
            <v>0</v>
          </cell>
        </row>
        <row r="115">
          <cell r="E115" t="str">
            <v>Clarissa Dini</v>
          </cell>
          <cell r="F115">
            <v>100000</v>
          </cell>
          <cell r="G115">
            <v>500000</v>
          </cell>
          <cell r="H115">
            <v>0</v>
          </cell>
          <cell r="I115">
            <v>600000</v>
          </cell>
          <cell r="J115">
            <v>1866667</v>
          </cell>
        </row>
        <row r="116">
          <cell r="E116" t="str">
            <v>Repki Ariyanto</v>
          </cell>
          <cell r="F116">
            <v>100000</v>
          </cell>
          <cell r="G116">
            <v>100000</v>
          </cell>
          <cell r="H116">
            <v>0</v>
          </cell>
          <cell r="I116">
            <v>200000</v>
          </cell>
          <cell r="J116">
            <v>653333</v>
          </cell>
        </row>
        <row r="117">
          <cell r="E117" t="str">
            <v>Syarif Hidayatulloh</v>
          </cell>
          <cell r="F117">
            <v>100000</v>
          </cell>
          <cell r="G117">
            <v>150000</v>
          </cell>
          <cell r="H117">
            <v>0</v>
          </cell>
          <cell r="I117">
            <v>250000</v>
          </cell>
          <cell r="J117">
            <v>0</v>
          </cell>
        </row>
        <row r="118">
          <cell r="E118" t="str">
            <v>Anton Efendi</v>
          </cell>
          <cell r="F118">
            <v>100000</v>
          </cell>
          <cell r="G118">
            <v>100000</v>
          </cell>
          <cell r="H118">
            <v>0</v>
          </cell>
          <cell r="I118">
            <v>200000</v>
          </cell>
          <cell r="J118">
            <v>723333</v>
          </cell>
        </row>
        <row r="119">
          <cell r="E119" t="str">
            <v>Ady Sucipto</v>
          </cell>
          <cell r="F119">
            <v>100000</v>
          </cell>
          <cell r="G119">
            <v>250000</v>
          </cell>
          <cell r="H119">
            <v>0</v>
          </cell>
          <cell r="I119">
            <v>350000</v>
          </cell>
          <cell r="J119">
            <v>0</v>
          </cell>
        </row>
        <row r="120">
          <cell r="E120" t="str">
            <v>Muhammad Topan</v>
          </cell>
          <cell r="F120">
            <v>100000</v>
          </cell>
          <cell r="G120">
            <v>100000</v>
          </cell>
          <cell r="H120">
            <v>0</v>
          </cell>
          <cell r="I120">
            <v>200000</v>
          </cell>
          <cell r="J120">
            <v>0</v>
          </cell>
        </row>
        <row r="121">
          <cell r="E121" t="str">
            <v>Bayu Ayudya Permana</v>
          </cell>
          <cell r="F121">
            <v>100000</v>
          </cell>
          <cell r="G121">
            <v>50000</v>
          </cell>
          <cell r="H121">
            <v>0</v>
          </cell>
          <cell r="I121">
            <v>150000</v>
          </cell>
          <cell r="J121">
            <v>0</v>
          </cell>
        </row>
        <row r="122">
          <cell r="E122" t="str">
            <v>Tri Iswahyudi</v>
          </cell>
          <cell r="F122">
            <v>100000</v>
          </cell>
          <cell r="G122">
            <v>200000</v>
          </cell>
          <cell r="H122">
            <v>0</v>
          </cell>
          <cell r="I122">
            <v>300000</v>
          </cell>
          <cell r="J122">
            <v>1801667</v>
          </cell>
        </row>
        <row r="123">
          <cell r="E123" t="str">
            <v>Bahtiar Rifai</v>
          </cell>
          <cell r="F123">
            <v>100000</v>
          </cell>
          <cell r="G123">
            <v>150000</v>
          </cell>
          <cell r="H123">
            <v>0</v>
          </cell>
          <cell r="I123">
            <v>250000</v>
          </cell>
          <cell r="J123">
            <v>0</v>
          </cell>
        </row>
        <row r="124">
          <cell r="E124" t="str">
            <v>Mutiyah Nur Aftilani</v>
          </cell>
          <cell r="F124">
            <v>100000</v>
          </cell>
          <cell r="G124">
            <v>50000</v>
          </cell>
          <cell r="H124">
            <v>0</v>
          </cell>
          <cell r="I124">
            <v>150000</v>
          </cell>
          <cell r="J124">
            <v>0</v>
          </cell>
        </row>
        <row r="125">
          <cell r="E125" t="str">
            <v>Sri Wahyuningsih</v>
          </cell>
          <cell r="F125">
            <v>100000</v>
          </cell>
          <cell r="G125">
            <v>12500</v>
          </cell>
          <cell r="H125">
            <v>0</v>
          </cell>
          <cell r="I125">
            <v>112500</v>
          </cell>
          <cell r="J125">
            <v>1916667</v>
          </cell>
        </row>
        <row r="126">
          <cell r="E126" t="str">
            <v>Maria Sara Intan Permata Sari</v>
          </cell>
          <cell r="F126">
            <v>100000</v>
          </cell>
          <cell r="G126">
            <v>30000</v>
          </cell>
          <cell r="H126">
            <v>-50000</v>
          </cell>
          <cell r="I126">
            <v>180000</v>
          </cell>
          <cell r="J126">
            <v>0</v>
          </cell>
        </row>
        <row r="127">
          <cell r="E127" t="str">
            <v>Ria Banita Krisdayanti</v>
          </cell>
          <cell r="F127">
            <v>100000</v>
          </cell>
          <cell r="G127">
            <v>100000</v>
          </cell>
          <cell r="H127">
            <v>0</v>
          </cell>
          <cell r="I127">
            <v>200000</v>
          </cell>
          <cell r="J127">
            <v>0</v>
          </cell>
        </row>
        <row r="128">
          <cell r="E128" t="str">
            <v>Toro Riyadi</v>
          </cell>
          <cell r="F128">
            <v>100000</v>
          </cell>
          <cell r="G128">
            <v>100000</v>
          </cell>
          <cell r="H128">
            <v>0</v>
          </cell>
          <cell r="I128">
            <v>200000</v>
          </cell>
          <cell r="J128">
            <v>0</v>
          </cell>
        </row>
        <row r="129">
          <cell r="E129" t="str">
            <v>Dehur</v>
          </cell>
          <cell r="F129">
            <v>100000</v>
          </cell>
          <cell r="G129">
            <v>75000</v>
          </cell>
          <cell r="H129">
            <v>0</v>
          </cell>
          <cell r="I129">
            <v>175000</v>
          </cell>
          <cell r="J129">
            <v>0</v>
          </cell>
        </row>
        <row r="130">
          <cell r="E130" t="str">
            <v>Elvin Noversya</v>
          </cell>
          <cell r="F130">
            <v>100000</v>
          </cell>
          <cell r="G130">
            <v>100000</v>
          </cell>
          <cell r="H130">
            <v>0</v>
          </cell>
          <cell r="I130">
            <v>200000</v>
          </cell>
          <cell r="J130">
            <v>0</v>
          </cell>
        </row>
        <row r="131">
          <cell r="E131" t="str">
            <v>Amir Suroto</v>
          </cell>
          <cell r="F131">
            <v>100000</v>
          </cell>
          <cell r="G131">
            <v>175000</v>
          </cell>
          <cell r="H131">
            <v>0</v>
          </cell>
          <cell r="I131">
            <v>275000</v>
          </cell>
          <cell r="J131">
            <v>2200000</v>
          </cell>
        </row>
        <row r="132">
          <cell r="E132" t="str">
            <v>Kadek Sudarsana</v>
          </cell>
          <cell r="F132">
            <v>100000</v>
          </cell>
          <cell r="G132">
            <v>75000</v>
          </cell>
          <cell r="H132">
            <v>0</v>
          </cell>
          <cell r="I132">
            <v>175000</v>
          </cell>
          <cell r="J132">
            <v>1680000</v>
          </cell>
        </row>
        <row r="133">
          <cell r="E133" t="str">
            <v>Yonatan Banobe</v>
          </cell>
          <cell r="F133">
            <v>100000</v>
          </cell>
          <cell r="G133">
            <v>100000</v>
          </cell>
          <cell r="H133">
            <v>0</v>
          </cell>
          <cell r="I133">
            <v>200000</v>
          </cell>
          <cell r="J133">
            <v>0</v>
          </cell>
        </row>
        <row r="134">
          <cell r="E134" t="str">
            <v>Sartono</v>
          </cell>
          <cell r="F134">
            <v>100000</v>
          </cell>
          <cell r="G134">
            <v>50000</v>
          </cell>
          <cell r="H134">
            <v>0</v>
          </cell>
          <cell r="I134">
            <v>150000</v>
          </cell>
          <cell r="J134">
            <v>0</v>
          </cell>
        </row>
        <row r="135">
          <cell r="E135" t="str">
            <v>Suratman</v>
          </cell>
          <cell r="F135">
            <v>100000</v>
          </cell>
          <cell r="G135">
            <v>50000</v>
          </cell>
          <cell r="H135">
            <v>0</v>
          </cell>
          <cell r="I135">
            <v>150000</v>
          </cell>
          <cell r="J135">
            <v>0</v>
          </cell>
        </row>
        <row r="136">
          <cell r="E136" t="str">
            <v>Donald Freddy Simanjuntak</v>
          </cell>
          <cell r="F136">
            <v>100000</v>
          </cell>
          <cell r="G136">
            <v>200000</v>
          </cell>
          <cell r="H136">
            <v>0</v>
          </cell>
          <cell r="I136">
            <v>300000</v>
          </cell>
          <cell r="J136">
            <v>0</v>
          </cell>
        </row>
        <row r="137">
          <cell r="E137" t="str">
            <v>Jafar Dwiyanto</v>
          </cell>
          <cell r="F137">
            <v>100000</v>
          </cell>
          <cell r="G137">
            <v>150000</v>
          </cell>
          <cell r="H137">
            <v>0</v>
          </cell>
          <cell r="I137">
            <v>250000</v>
          </cell>
          <cell r="J137">
            <v>1650000</v>
          </cell>
        </row>
        <row r="138">
          <cell r="E138" t="str">
            <v>Sumihar H. Tambunan</v>
          </cell>
          <cell r="F138">
            <v>100000</v>
          </cell>
          <cell r="G138">
            <v>150000</v>
          </cell>
          <cell r="H138">
            <v>0</v>
          </cell>
          <cell r="I138">
            <v>250000</v>
          </cell>
          <cell r="J138">
            <v>280000</v>
          </cell>
        </row>
        <row r="139">
          <cell r="E139" t="str">
            <v>Ngadiono</v>
          </cell>
          <cell r="F139">
            <v>100000</v>
          </cell>
          <cell r="G139">
            <v>150000</v>
          </cell>
          <cell r="H139">
            <v>0</v>
          </cell>
          <cell r="I139">
            <v>250000</v>
          </cell>
          <cell r="J139">
            <v>0</v>
          </cell>
        </row>
        <row r="140">
          <cell r="E140" t="str">
            <v>Putu Dharma Santika</v>
          </cell>
          <cell r="F140">
            <v>100000</v>
          </cell>
          <cell r="G140">
            <v>250000</v>
          </cell>
          <cell r="H140">
            <v>0</v>
          </cell>
          <cell r="I140">
            <v>350000</v>
          </cell>
          <cell r="J140">
            <v>165000</v>
          </cell>
        </row>
        <row r="141">
          <cell r="E141" t="str">
            <v>Hesby Aga Ardila Nugroho</v>
          </cell>
          <cell r="F141">
            <v>100000</v>
          </cell>
          <cell r="G141">
            <v>100000</v>
          </cell>
          <cell r="H141">
            <v>0</v>
          </cell>
          <cell r="I141">
            <v>200000</v>
          </cell>
          <cell r="J141">
            <v>0</v>
          </cell>
        </row>
        <row r="142">
          <cell r="E142" t="str">
            <v>Muhammad Agustiyadi</v>
          </cell>
          <cell r="F142">
            <v>100000</v>
          </cell>
          <cell r="G142">
            <v>400000</v>
          </cell>
          <cell r="H142">
            <v>0</v>
          </cell>
          <cell r="I142">
            <v>500000</v>
          </cell>
          <cell r="J142">
            <v>0</v>
          </cell>
        </row>
        <row r="143">
          <cell r="E143" t="str">
            <v xml:space="preserve">Citra Meiliana Rahmaliyanti </v>
          </cell>
          <cell r="F143">
            <v>100000</v>
          </cell>
          <cell r="G143">
            <v>50000</v>
          </cell>
          <cell r="H143">
            <v>0</v>
          </cell>
          <cell r="I143">
            <v>150000</v>
          </cell>
          <cell r="J143">
            <v>0</v>
          </cell>
        </row>
        <row r="144">
          <cell r="E144" t="str">
            <v>Iskandar Sulestiyanto</v>
          </cell>
          <cell r="F144">
            <v>100000</v>
          </cell>
          <cell r="G144">
            <v>150000</v>
          </cell>
          <cell r="H144">
            <v>0</v>
          </cell>
          <cell r="I144">
            <v>250000</v>
          </cell>
          <cell r="J144">
            <v>550000</v>
          </cell>
        </row>
        <row r="145">
          <cell r="E145" t="str">
            <v>Sudari</v>
          </cell>
          <cell r="F145">
            <v>100000</v>
          </cell>
          <cell r="G145">
            <v>100000</v>
          </cell>
          <cell r="H145">
            <v>0</v>
          </cell>
          <cell r="I145">
            <v>200000</v>
          </cell>
          <cell r="J145">
            <v>883333</v>
          </cell>
        </row>
        <row r="146">
          <cell r="E146" t="str">
            <v>Zalu Febri Lesmana</v>
          </cell>
          <cell r="F146">
            <v>100000</v>
          </cell>
          <cell r="G146">
            <v>200000</v>
          </cell>
          <cell r="H146">
            <v>0</v>
          </cell>
          <cell r="I146">
            <v>300000</v>
          </cell>
          <cell r="J146">
            <v>0</v>
          </cell>
        </row>
        <row r="147">
          <cell r="E147" t="str">
            <v>Rio Candra</v>
          </cell>
          <cell r="F147">
            <v>100000</v>
          </cell>
          <cell r="G147">
            <v>100000</v>
          </cell>
          <cell r="H147">
            <v>0</v>
          </cell>
          <cell r="I147">
            <v>200000</v>
          </cell>
          <cell r="J147">
            <v>1100000</v>
          </cell>
        </row>
        <row r="148">
          <cell r="E148" t="str">
            <v>Ade Kurnia</v>
          </cell>
          <cell r="F148">
            <v>100000</v>
          </cell>
          <cell r="G148">
            <v>100000</v>
          </cell>
          <cell r="H148">
            <v>0</v>
          </cell>
          <cell r="I148">
            <v>200000</v>
          </cell>
          <cell r="J148">
            <v>550000</v>
          </cell>
        </row>
        <row r="149">
          <cell r="E149" t="str">
            <v>Taufik Hidayat</v>
          </cell>
          <cell r="F149">
            <v>100000</v>
          </cell>
          <cell r="G149">
            <v>100000</v>
          </cell>
          <cell r="H149">
            <v>0</v>
          </cell>
          <cell r="I149">
            <v>200000</v>
          </cell>
          <cell r="J149">
            <v>0</v>
          </cell>
        </row>
        <row r="150">
          <cell r="E150" t="str">
            <v>Ahmat Saifudin</v>
          </cell>
          <cell r="F150">
            <v>100000</v>
          </cell>
          <cell r="G150">
            <v>50000</v>
          </cell>
          <cell r="H150">
            <v>0</v>
          </cell>
          <cell r="I150">
            <v>150000</v>
          </cell>
          <cell r="J150">
            <v>618333</v>
          </cell>
        </row>
        <row r="151">
          <cell r="E151" t="str">
            <v>Mohamad Firdaus</v>
          </cell>
          <cell r="F151">
            <v>100000</v>
          </cell>
          <cell r="G151">
            <v>100000</v>
          </cell>
          <cell r="H151">
            <v>0</v>
          </cell>
          <cell r="I151">
            <v>200000</v>
          </cell>
          <cell r="J151">
            <v>0</v>
          </cell>
        </row>
        <row r="152">
          <cell r="E152" t="str">
            <v>Muhammad Ade Faizal</v>
          </cell>
          <cell r="F152">
            <v>100000</v>
          </cell>
          <cell r="G152">
            <v>100000</v>
          </cell>
          <cell r="H152">
            <v>0</v>
          </cell>
          <cell r="I152">
            <v>200000</v>
          </cell>
          <cell r="J152">
            <v>530000</v>
          </cell>
        </row>
        <row r="153">
          <cell r="E153" t="str">
            <v>Dimas Fajar Wijaya</v>
          </cell>
          <cell r="F153">
            <v>100000</v>
          </cell>
          <cell r="G153">
            <v>100000</v>
          </cell>
          <cell r="H153">
            <v>0</v>
          </cell>
          <cell r="I153">
            <v>200000</v>
          </cell>
          <cell r="J153">
            <v>0</v>
          </cell>
        </row>
        <row r="154">
          <cell r="E154" t="str">
            <v>Neri Handayani</v>
          </cell>
          <cell r="F154">
            <v>100000</v>
          </cell>
          <cell r="G154">
            <v>150000</v>
          </cell>
          <cell r="H154">
            <v>0</v>
          </cell>
          <cell r="I154">
            <v>250000</v>
          </cell>
          <cell r="J154">
            <v>0</v>
          </cell>
        </row>
        <row r="155">
          <cell r="E155" t="str">
            <v>Hermansyah</v>
          </cell>
          <cell r="F155">
            <v>100000</v>
          </cell>
          <cell r="G155">
            <v>200000</v>
          </cell>
          <cell r="H155">
            <v>0</v>
          </cell>
          <cell r="I155">
            <v>300000</v>
          </cell>
          <cell r="J155">
            <v>550000</v>
          </cell>
        </row>
        <row r="156">
          <cell r="E156" t="str">
            <v>Asta</v>
          </cell>
          <cell r="F156">
            <v>100000</v>
          </cell>
          <cell r="G156">
            <v>100000</v>
          </cell>
          <cell r="H156">
            <v>0</v>
          </cell>
          <cell r="I156">
            <v>200000</v>
          </cell>
          <cell r="J156">
            <v>1020000</v>
          </cell>
        </row>
        <row r="157">
          <cell r="E157" t="str">
            <v>Andi Prayitno</v>
          </cell>
          <cell r="F157">
            <v>100000</v>
          </cell>
          <cell r="G157">
            <v>200000</v>
          </cell>
          <cell r="H157">
            <v>0</v>
          </cell>
          <cell r="I157">
            <v>300000</v>
          </cell>
          <cell r="J157">
            <v>0</v>
          </cell>
        </row>
        <row r="158">
          <cell r="E158" t="str">
            <v>Rina Oktaviani</v>
          </cell>
          <cell r="F158">
            <v>100000</v>
          </cell>
          <cell r="G158">
            <v>100000</v>
          </cell>
          <cell r="H158">
            <v>0</v>
          </cell>
          <cell r="I158">
            <v>200000</v>
          </cell>
          <cell r="J158">
            <v>1413333</v>
          </cell>
        </row>
        <row r="159">
          <cell r="E159" t="str">
            <v>Erfan Faulana</v>
          </cell>
          <cell r="F159">
            <v>100000</v>
          </cell>
          <cell r="G159">
            <v>300000</v>
          </cell>
          <cell r="H159">
            <v>0</v>
          </cell>
          <cell r="I159">
            <v>400000</v>
          </cell>
          <cell r="J159">
            <v>660000</v>
          </cell>
        </row>
        <row r="160">
          <cell r="E160" t="str">
            <v>Dendi Adiansyah</v>
          </cell>
          <cell r="F160">
            <v>100000</v>
          </cell>
          <cell r="G160">
            <v>100000</v>
          </cell>
          <cell r="H160">
            <v>0</v>
          </cell>
          <cell r="I160">
            <v>200000</v>
          </cell>
          <cell r="J160">
            <v>0</v>
          </cell>
        </row>
        <row r="161">
          <cell r="E161" t="str">
            <v>Andi Yanto</v>
          </cell>
          <cell r="F161">
            <v>100000</v>
          </cell>
          <cell r="G161">
            <v>150000</v>
          </cell>
          <cell r="H161">
            <v>0</v>
          </cell>
          <cell r="I161">
            <v>250000</v>
          </cell>
          <cell r="J161">
            <v>540000</v>
          </cell>
        </row>
        <row r="162">
          <cell r="E162" t="str">
            <v>Willi Prayetno</v>
          </cell>
          <cell r="F162">
            <v>100000</v>
          </cell>
          <cell r="G162">
            <v>150000</v>
          </cell>
          <cell r="H162">
            <v>0</v>
          </cell>
          <cell r="I162">
            <v>250000</v>
          </cell>
          <cell r="J162">
            <v>540000</v>
          </cell>
        </row>
        <row r="163">
          <cell r="E163" t="str">
            <v>Faqih Zakaria</v>
          </cell>
          <cell r="F163">
            <v>100000</v>
          </cell>
          <cell r="G163">
            <v>50000</v>
          </cell>
          <cell r="H163">
            <v>0</v>
          </cell>
          <cell r="I163">
            <v>150000</v>
          </cell>
          <cell r="J163">
            <v>405000</v>
          </cell>
        </row>
        <row r="164">
          <cell r="E164" t="str">
            <v>Aan Supriyatin</v>
          </cell>
          <cell r="F164">
            <v>100000</v>
          </cell>
          <cell r="G164">
            <v>150000</v>
          </cell>
          <cell r="H164">
            <v>0</v>
          </cell>
          <cell r="I164">
            <v>250000</v>
          </cell>
          <cell r="J164">
            <v>0</v>
          </cell>
        </row>
        <row r="165">
          <cell r="E165" t="str">
            <v>Agus Tomi</v>
          </cell>
          <cell r="F165">
            <v>100000</v>
          </cell>
          <cell r="G165">
            <v>50000</v>
          </cell>
          <cell r="H165">
            <v>0</v>
          </cell>
          <cell r="I165">
            <v>150000</v>
          </cell>
          <cell r="J165">
            <v>0</v>
          </cell>
        </row>
        <row r="166">
          <cell r="E166" t="str">
            <v>Ahmad Fauzi - 01756</v>
          </cell>
          <cell r="F166">
            <v>100000</v>
          </cell>
          <cell r="G166">
            <v>200000</v>
          </cell>
          <cell r="H166">
            <v>-50000</v>
          </cell>
          <cell r="I166">
            <v>350000</v>
          </cell>
          <cell r="J166">
            <v>0</v>
          </cell>
        </row>
        <row r="167">
          <cell r="E167" t="str">
            <v>Ahmad Fauzi - 01743</v>
          </cell>
          <cell r="F167">
            <v>100000</v>
          </cell>
          <cell r="G167">
            <v>100000</v>
          </cell>
          <cell r="H167">
            <v>0</v>
          </cell>
          <cell r="I167">
            <v>200000</v>
          </cell>
          <cell r="J167">
            <v>458571</v>
          </cell>
        </row>
        <row r="168">
          <cell r="E168" t="str">
            <v>Romansyah</v>
          </cell>
          <cell r="F168">
            <v>100000</v>
          </cell>
          <cell r="G168">
            <v>100000</v>
          </cell>
          <cell r="H168">
            <v>0</v>
          </cell>
          <cell r="I168">
            <v>200000</v>
          </cell>
          <cell r="J168">
            <v>1100000</v>
          </cell>
        </row>
        <row r="169">
          <cell r="E169" t="str">
            <v>Ibrahim</v>
          </cell>
          <cell r="F169">
            <v>100000</v>
          </cell>
          <cell r="G169">
            <v>200000</v>
          </cell>
          <cell r="H169">
            <v>0</v>
          </cell>
          <cell r="I169">
            <v>300000</v>
          </cell>
          <cell r="J169">
            <v>540000</v>
          </cell>
        </row>
        <row r="170">
          <cell r="E170" t="str">
            <v>A. Rafik</v>
          </cell>
          <cell r="F170">
            <v>100000</v>
          </cell>
          <cell r="G170">
            <v>200000</v>
          </cell>
          <cell r="H170">
            <v>0</v>
          </cell>
          <cell r="I170">
            <v>300000</v>
          </cell>
          <cell r="J170">
            <v>337500</v>
          </cell>
        </row>
        <row r="171">
          <cell r="E171" t="str">
            <v>Washadi</v>
          </cell>
          <cell r="F171">
            <v>100000</v>
          </cell>
          <cell r="G171">
            <v>100000</v>
          </cell>
          <cell r="H171">
            <v>0</v>
          </cell>
          <cell r="I171">
            <v>200000</v>
          </cell>
          <cell r="J171">
            <v>220000</v>
          </cell>
        </row>
        <row r="172">
          <cell r="E172" t="str">
            <v>ROBERT LAKBURLAWAI</v>
          </cell>
          <cell r="F172">
            <v>100000</v>
          </cell>
          <cell r="G172">
            <v>200000</v>
          </cell>
          <cell r="H172">
            <v>0</v>
          </cell>
          <cell r="I172">
            <v>300000</v>
          </cell>
          <cell r="J172">
            <v>0</v>
          </cell>
        </row>
        <row r="173">
          <cell r="E173" t="str">
            <v>ALVIN AVRIALDY</v>
          </cell>
          <cell r="F173">
            <v>100000</v>
          </cell>
          <cell r="G173">
            <v>200000</v>
          </cell>
          <cell r="H173">
            <v>0</v>
          </cell>
          <cell r="I173">
            <v>300000</v>
          </cell>
          <cell r="J173">
            <v>330000</v>
          </cell>
        </row>
        <row r="174">
          <cell r="E174" t="str">
            <v>Marwanto</v>
          </cell>
          <cell r="F174">
            <v>100000</v>
          </cell>
          <cell r="G174">
            <v>100000</v>
          </cell>
          <cell r="H174">
            <v>0</v>
          </cell>
          <cell r="I174">
            <v>200000</v>
          </cell>
          <cell r="J174">
            <v>0</v>
          </cell>
        </row>
        <row r="175">
          <cell r="E175" t="str">
            <v>Jaimin</v>
          </cell>
          <cell r="F175">
            <v>100000</v>
          </cell>
          <cell r="G175">
            <v>100000</v>
          </cell>
          <cell r="H175">
            <v>0</v>
          </cell>
          <cell r="I175">
            <v>200000</v>
          </cell>
          <cell r="J175">
            <v>770000</v>
          </cell>
        </row>
        <row r="176">
          <cell r="E176" t="str">
            <v>Siswanto</v>
          </cell>
          <cell r="F176">
            <v>100000</v>
          </cell>
          <cell r="G176">
            <v>10000</v>
          </cell>
          <cell r="H176">
            <v>0</v>
          </cell>
          <cell r="I176">
            <v>110000</v>
          </cell>
          <cell r="J176">
            <v>1650000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bdul cahyo" id="{D0CF22AE-DE21-CD42-8885-7C49DFFD1130}" userId="7ad42cac66f5830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cahyo" refreshedDate="46219.47153599537" createdVersion="8" refreshedVersion="8" minRefreshableVersion="3" recordCount="106" xr:uid="{7E812A19-31C3-5A49-A410-BDA6494DBFE1}">
  <cacheSource type="worksheet">
    <worksheetSource ref="A1:D107" sheet="Sheet1"/>
  </cacheSource>
  <cacheFields count="4">
    <cacheField name="No" numFmtId="0">
      <sharedItems containsSemiMixedTypes="0" containsString="0" containsNumber="1" containsInteger="1" minValue="1" maxValue="106"/>
    </cacheField>
    <cacheField name="Nama" numFmtId="0">
      <sharedItems count="102">
        <s v="Bayu Adithya Permana"/>
        <s v="Ramli"/>
        <s v="Dedy Kurniawan"/>
        <s v="ALVIN AVRIALDY"/>
        <s v="Ahmat Saifudin"/>
        <s v="Nyoman Artawan"/>
        <s v="Sudari"/>
        <s v="ROBERT LAKBURLAWAI"/>
        <s v="Muhammad Ade Faizal"/>
        <s v="Ferry Firmanto"/>
        <s v="Sri Wahyuningsih"/>
        <s v="Abdul Cahyo Nugroho"/>
        <s v="Agung Pambudi"/>
        <s v="Ahmad Jamaludin"/>
        <s v="Alfian Noor"/>
        <s v="Allan Louby Van Houten"/>
        <s v="Amir Suroto"/>
        <s v="Andri Kurniawan"/>
        <s v="Andrian Fadly"/>
        <s v="Anton Efendi"/>
        <s v="Ari Wibowo - 00533"/>
        <s v="ari Wibowo - 00579"/>
        <s v="Arief Indrawan"/>
        <s v="Eddy Sukaryan"/>
        <s v="Eko Junaidi"/>
        <s v="Fellix Stephen Willa"/>
        <s v="Fitriya Hariyani"/>
        <s v="Gede Suparta"/>
        <s v="Hendra"/>
        <s v="Heni Triandini"/>
        <s v="Heru Sri Margono"/>
        <s v="I Gede Mustika"/>
        <s v="Ir. Okto Hendri Fahlefi"/>
        <s v="Ismail"/>
        <s v="Iwan Setiawan"/>
        <s v="Jaimin"/>
        <s v="Jamsari"/>
        <s v="Jumadi"/>
        <s v="Kadek Sudarsana"/>
        <s v="Ketut Wijaya"/>
        <s v="Margono - 00368"/>
        <s v="Marhasan"/>
        <s v="Minan Khusnaeni"/>
        <s v="Mumuh Mulyawan"/>
        <s v="Nowo Susiyanto"/>
        <s v="Nurpendi"/>
        <s v="Parsono"/>
        <s v="Rahmat Zaeni"/>
        <s v="Repki Ariyanto"/>
        <s v="Riana Merry Natalia"/>
        <s v="Ridwan"/>
        <s v="Rohaedi"/>
        <s v="Romansyah"/>
        <s v="Septi Priawandra"/>
        <s v="Sigit Hartanto"/>
        <s v="Sudadi"/>
        <s v="Sugiarto"/>
        <s v="Sugiyatwoko"/>
        <s v="Suwitno"/>
        <s v="Taufiqurrahman"/>
        <s v="Tiolenta Martiana"/>
        <s v="Wawan Satriawan"/>
        <s v="Widi Kurnianto"/>
        <s v="Widodo"/>
        <s v="Komang Astrawan"/>
        <s v="Clarissa Dini"/>
        <s v="Idris Rusmianto"/>
        <s v="Siswanto"/>
        <s v="Faqih Zakaria"/>
        <s v="Andi Yanto"/>
        <s v="Eka Yanuar Santosa"/>
        <s v="Ibrahim"/>
        <s v="Herman"/>
        <s v="A. Rafik"/>
        <s v="Willi Prayetno"/>
        <s v="Rizki Munardi"/>
        <s v="Herda"/>
        <s v="Gunawan"/>
        <s v="Muhammad Dzil Ikram Jani"/>
        <s v="Toni"/>
        <s v="Dede Slamet Supriyanto"/>
        <s v="Andung Juanda"/>
        <s v="Sobri"/>
        <s v="Sumihar H. Tambunan"/>
        <s v="Rudiansyah"/>
        <s v="Tri Iswahyudi"/>
        <s v="Rina Oktaviani"/>
        <s v="Ade Kurnia"/>
        <s v="Hermansyah"/>
        <s v="Erfan Faulana"/>
        <s v="Washadi"/>
        <s v="Wiyan Eko Supriyanto"/>
        <s v="Gede Arnawa"/>
        <s v="Ahmad Fauzi - 01743"/>
        <s v="Rio Candra"/>
        <s v="Sunardi - 00376"/>
        <s v="Iskandar Sulestiyanto"/>
        <s v="Asta"/>
        <s v="Umayah"/>
        <s v="Jafar Dwiyanto"/>
        <s v="Putu Dharma Santika"/>
        <s v="Suwarno"/>
      </sharedItems>
    </cacheField>
    <cacheField name="Npp" numFmtId="0">
      <sharedItems containsBlank="1"/>
    </cacheField>
    <cacheField name="Cicilan" numFmtId="41">
      <sharedItems containsSemiMixedTypes="0" containsString="0" containsNumber="1" containsInteger="1" minValue="155000" maxValue="59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cahyo" refreshedDate="46253.62666840278" createdVersion="8" refreshedVersion="8" minRefreshableVersion="3" recordCount="113" xr:uid="{B624ECCE-17B5-C44E-BCF8-17AB03041781}">
  <cacheSource type="worksheet">
    <worksheetSource ref="C2:D115" sheet="Sheet2"/>
  </cacheSource>
  <cacheFields count="2">
    <cacheField name="Nama" numFmtId="0">
      <sharedItems count="104">
        <s v="Bayu Adithya Permana"/>
        <s v="Ramli"/>
        <s v="Dedy Kurniawan"/>
        <s v="ALVIN AVRIALDY"/>
        <s v="Ahmat Saifudin"/>
        <s v="Nyoman Artawan"/>
        <s v="ROBERT LAKBURLAWAI"/>
        <s v="Muhammad Ade Faizal"/>
        <s v="Ferry Firmanto"/>
        <s v="Sri Wahyuningsih"/>
        <s v="Abdul Cahyo Nugroho"/>
        <s v="Agung Pambudi"/>
        <s v="Alfian Noor"/>
        <s v="Amir Suroto"/>
        <s v="Andri Kurniawan"/>
        <s v="Andrian Fadly"/>
        <s v="Anton Efendi"/>
        <s v="Ari Wibowo - 00533"/>
        <s v="ari Wibowo - 00579"/>
        <s v="Arief Indrawan"/>
        <s v="Eddy Sukaryan"/>
        <s v="Eko Junaidi"/>
        <s v="Fellix Stephen Willa"/>
        <s v="Fitriya Hariyani"/>
        <s v="Gede Suparta"/>
        <s v="Hendra"/>
        <s v="Heni Triandini"/>
        <s v="Heru Sri Margono"/>
        <s v="I Gede Mustika"/>
        <s v="Ismail"/>
        <s v="Iwan Setiawan"/>
        <s v="Jamsari"/>
        <s v="Jumadi"/>
        <s v="Margono - 00368"/>
        <s v="Marhasan"/>
        <s v="Minan Khusnaeni"/>
        <s v="Mumuh Mulyawan"/>
        <s v="Nowo Susiyanto"/>
        <s v="Nurpendi"/>
        <s v="Parsono"/>
        <s v="Rahmat Zaeni"/>
        <s v="Repki Ariyanto"/>
        <s v="Riana Merry Natalia"/>
        <s v="Ridwan"/>
        <s v="Rohaedi"/>
        <s v="Romansyah"/>
        <s v="Sigit Hartanto"/>
        <s v="Sudadi"/>
        <s v="Sugiarto"/>
        <s v="Suwitno"/>
        <s v="Taufiqurrahman"/>
        <s v="Tiolenta Martiana"/>
        <s v="Wawan Satriawan"/>
        <s v="Widi Kurnianto"/>
        <s v="Widodo"/>
        <s v="Komang Astrawan"/>
        <s v="Clarissa Dini"/>
        <s v="Siswanto"/>
        <s v="Faqih Zakaria"/>
        <s v="Andi Yanto"/>
        <s v="Eka Yanuar Santosa"/>
        <s v="Ibrahim"/>
        <s v="Herman"/>
        <s v="A. Rafik"/>
        <s v="Willi Prayetno"/>
        <s v="Rizki Munardi"/>
        <s v="Herda"/>
        <s v="Gunawan"/>
        <s v="Muhammad Dzil Ikram Jani"/>
        <s v="Toni"/>
        <s v="Dede Slamet Supriyanto"/>
        <s v="Andung Juanda"/>
        <s v="Sobri"/>
        <s v="Sumihar H. Tambunan"/>
        <s v="Rudiansyah"/>
        <s v="Tri Iswahyudi"/>
        <s v="Rina Oktaviani"/>
        <s v="Ade Kurnia"/>
        <s v="Hermansyah"/>
        <s v="Erfan Faulana"/>
        <s v="Washadi"/>
        <s v="Wiyan Eko Supriyanto"/>
        <s v="Gede Arnawa"/>
        <s v="Ahmad Fauzi - 01743"/>
        <s v="Rio Candra"/>
        <s v="Sunardi - 00376"/>
        <s v="Iskandar Sulestiyanto"/>
        <s v="Asta"/>
        <s v="Umayah"/>
        <s v="Jafar Dwiyanto"/>
        <s v="Putu Dharma Santika"/>
        <s v="Suwarno"/>
        <s v="Achmad Ikang Zulkarnain"/>
        <s v="Muhammad Agustiyadi"/>
        <s v="Keren"/>
        <s v="Ahmad Fauzi - 00549"/>
        <s v="Sudari"/>
        <s v="Syarif Hidayatulloh"/>
        <s v="Ngadiono"/>
        <s v="Didi Rahmat"/>
        <s v="Erina Fitriani"/>
        <s v="Idris Rusmianto"/>
        <s v="Suratman"/>
        <s v="Sugiyatwoko"/>
      </sharedItems>
    </cacheField>
    <cacheField name="Cicilan" numFmtId="41">
      <sharedItems containsSemiMixedTypes="0" containsString="0" containsNumber="1" containsInteger="1" minValue="20000" maxValue="59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cahyo" refreshedDate="46266.482337037036" createdVersion="8" refreshedVersion="8" minRefreshableVersion="3" recordCount="1738" xr:uid="{2A4CD754-0751-8B4E-9408-1534E6A5F160}">
  <cacheSource type="worksheet">
    <worksheetSource ref="B1:N1048576" sheet="Detail Simpanan"/>
  </cacheSource>
  <cacheFields count="15">
    <cacheField name="NO" numFmtId="0">
      <sharedItems containsString="0" containsBlank="1" containsNumber="1" containsInteger="1" minValue="1" maxValue="757"/>
    </cacheField>
    <cacheField name="N A M A" numFmtId="0">
      <sharedItems containsBlank="1" count="211">
        <s v="A. Rafik"/>
        <s v="Aan Supriyatin"/>
        <s v="Abdul Cahyo Nugroho"/>
        <s v="Achmad Ikang Zulkarnain"/>
        <s v="Adam Bakhtiar"/>
        <s v="Ade Kurnia"/>
        <s v="Ady Sucipto"/>
        <s v="Aep Saefudin"/>
        <s v="Afan Wahyu Syafii"/>
        <s v="Agung"/>
        <s v="Agung Pambudi"/>
        <s v="Agus Tomi"/>
        <s v="Ahmad Arif"/>
        <s v="Ahmad Fauzi - 00549"/>
        <s v="Ahmad Fauzi - 01743"/>
        <s v="Ahmad Gopur"/>
        <s v="Ahmad Jamaludin"/>
        <s v="Ahmad Zaid Mahfudi"/>
        <s v="Ahmat Saifudin"/>
        <s v="Akbar Fadhil"/>
        <s v="Alfian Noor"/>
        <s v="Allan Louby Van Houten"/>
        <s v="ALVIN AVRIALDY"/>
        <s v="Amir Suroto"/>
        <s v="Andi Prayitno"/>
        <s v="Andi Yanto"/>
        <s v="Andika"/>
        <s v="Andri Kurniawan"/>
        <s v="Andri Kurniawan qq Rizka Merdiawati"/>
        <s v="Andrian Fadly"/>
        <s v="Andung Juanda"/>
        <s v="Anisa Juniyanti"/>
        <s v="Anton Efendi"/>
        <s v="Anwari"/>
        <s v="Ardiansyah"/>
        <s v="Ari Wibowo - 00533"/>
        <s v="Ari Wibowo - 00579"/>
        <s v="Arief Indrawan"/>
        <s v="Arno Nugroho"/>
        <s v="Arsim"/>
        <s v="Asta"/>
        <s v="Bagus Iqbal Juardi"/>
        <s v="Bahtiar Rifai"/>
        <s v="Bayu Adithya Permana"/>
        <s v="Bayu Ayudya Permana"/>
        <s v="Budi Laksono"/>
        <s v="Citra Meiliana Rahmaliyanti "/>
        <s v="Clarissa Dini"/>
        <s v="Dadi Muhamad Mulyadi"/>
        <s v="Dara Maulida"/>
        <s v="Darsono"/>
        <s v="Dede Slamet Supriyanto"/>
        <s v="Dedy Kurniawan"/>
        <s v="Dehur"/>
        <s v="Dendi Adiansyah"/>
        <s v="Dewi Kartini"/>
        <s v="Dian Suanto"/>
        <s v="Didi Rahmat"/>
        <s v="Didi Tarmudi"/>
        <s v="Diki Firmansyah"/>
        <s v="Dimas Fajar Wijaya"/>
        <s v="Eddy Sukaryan"/>
        <s v="Eka Yanuar Santosa"/>
        <s v="Eko Fitriyanto"/>
        <s v="Eko Junaidi"/>
        <s v="Erfan Faulana"/>
        <s v="Erina Fitriani"/>
        <s v="Faisal Amri"/>
        <s v="Fajar Bintara"/>
        <s v="Faqih Zakaria"/>
        <s v="Fellix Stephen Willa"/>
        <s v="Ferika Pujiyanti"/>
        <s v="Ferry Firmanto"/>
        <s v="Fitriya Hariyani"/>
        <s v="Gede Arnawa"/>
        <s v="Gede Suparta"/>
        <s v="Gunawan"/>
        <s v="Hendra"/>
        <s v="Heni Triandini"/>
        <s v="Herda"/>
        <s v="Herman"/>
        <s v="Hermansyah"/>
        <s v="Heru Purboyo"/>
        <s v="Heru Sri Margono"/>
        <s v="Hesby Aga Ardila Nugroho"/>
        <s v="I Gede Mustika"/>
        <s v="I Made Mustada"/>
        <s v="Ibrahim"/>
        <s v="Idris Rusmianto"/>
        <s v="Imam Asep Wahyudin"/>
        <s v="Indra Jaya Nugraha Putra"/>
        <s v="Indra Suwanda"/>
        <s v="Ir. Djoko Maryono"/>
        <s v="Ir. Okto Hendri Fahlefi"/>
        <s v="Irham Eko Setiyono"/>
        <s v="Iskandar Sulestiyanto"/>
        <s v="Ismail"/>
        <s v="Iwan Setiawan"/>
        <s v="Jafar Dwiyanto"/>
        <s v="Jaka Darsono, SE. "/>
        <s v="Jamsari"/>
        <s v="Jumadi"/>
        <s v="Kadek Sudarsana"/>
        <s v="Keren"/>
        <s v="Ketut Wijaya"/>
        <s v="Khairun Nisa"/>
        <s v="Komang Astrawan"/>
        <s v="Lita Ayu Rosida"/>
        <s v="M. Kurniawan"/>
        <s v="Margono - 00281"/>
        <s v="Margono - 00368"/>
        <s v="Margono QQ Rista - 00281"/>
        <s v="Marhasan"/>
        <s v="Minan Khusnaeni"/>
        <s v="Mohamad Firdaus"/>
        <s v="Mohammad Rizki"/>
        <s v="Muhammad Ade Faizal"/>
        <s v="Muhammad Agustiyadi"/>
        <s v="Muhammad Dzil Ikram Jani"/>
        <s v="Muhammad Irham"/>
        <s v="Muhammad Khoirullah"/>
        <s v="Muhammad Topan"/>
        <s v="Mumuh Mulyawan"/>
        <s v="Mutiyah Nur Aftilani"/>
        <s v="Neri Handayani"/>
        <s v="Ngadiono"/>
        <s v="Novita"/>
        <s v="Nowo Susiyanto"/>
        <s v="Nurpendi"/>
        <s v="Nyoman Artawan"/>
        <s v="Parsono"/>
        <s v="Puniko"/>
        <s v="Putu Dharma Santika"/>
        <s v="Qomara Duha"/>
        <s v="Rafli Baihaqqi Rianto"/>
        <s v="Rahmat Zaeni"/>
        <s v="Ramli"/>
        <s v="Repki Ariyanto"/>
        <s v="Ria Banita Krisdayanti"/>
        <s v="Rian Alandy"/>
        <s v="Riana Merry Natalia"/>
        <s v="Riana Merry Natalia QQ Lasman"/>
        <s v="Rico Septa Saputra"/>
        <s v="Ridwan"/>
        <s v="Rina Oktaviani"/>
        <s v="Rio Candra"/>
        <s v="Rizki Munardi"/>
        <s v="ROBERT LAKBURLAWAI"/>
        <s v="Rohaedi"/>
        <s v="Romansyah"/>
        <s v="Rosmiati"/>
        <s v="Rudiansyah"/>
        <s v="Rujito"/>
        <s v="Rwandha Sutedira"/>
        <s v="Sapari Jumawan"/>
        <s v="Sartono"/>
        <s v="Satino"/>
        <s v="Septi Priawandra"/>
        <s v="Sigit Hartanto"/>
        <s v="Slamet"/>
        <s v="Sobri"/>
        <s v="Sri Hartoyo"/>
        <s v="Sri Wahyuningsih"/>
        <s v="Suci Nurkhasanah"/>
        <s v="Sudadi"/>
        <s v="Sudari"/>
        <s v="Sugiarto"/>
        <s v="Sugiyatwoko"/>
        <s v="Sumihar H. Tambunan"/>
        <s v="Sunardi - 00376"/>
        <s v="Suratman"/>
        <s v="Suryadi"/>
        <s v="Sutiwan"/>
        <s v="Sutrisno"/>
        <s v="Suwarno"/>
        <s v="Suwitno"/>
        <s v="Syarif Hidayatulloh"/>
        <s v="Tatang"/>
        <s v="Taufik Hidayat"/>
        <s v="Taufiqurrahman"/>
        <s v="Tiolenta Martiana"/>
        <s v="Tirto Bayu Saputro"/>
        <s v="Toni"/>
        <s v="Toro Riyadi"/>
        <s v="Tri Indriyani"/>
        <s v="Tri Iswahyudi"/>
        <s v="Turut"/>
        <s v="Umayah"/>
        <s v="Washadi"/>
        <s v="Wawan Satriawan"/>
        <s v="Widi Kurnianto"/>
        <s v="Widodo"/>
        <s v="Willi Prayetno"/>
        <s v="Winardoyo"/>
        <s v="Wiyan Eko Supriyanto"/>
        <s v="Yadi Supriyadi (Diver)"/>
        <s v="Yonatan Banobe"/>
        <s v="Zalu Febri Lesmana"/>
        <s v="Darsim"/>
        <s v="Jaimin"/>
        <s v="Jais Hartono"/>
        <s v="Marwanto"/>
        <s v="Siswanto"/>
        <s v="Elvin Noversya"/>
        <s v="Donald Freddy Simanjuntak"/>
        <s v="Aris Aptin Permana"/>
        <s v="Nabila Nandra Putri"/>
        <s v="Riska Fahraeni"/>
        <s v="Maria Sara Intan Permata Sari"/>
        <s v="Ahmad Fauzi - 01756"/>
        <m/>
      </sharedItems>
    </cacheField>
    <cacheField name="Status" numFmtId="0">
      <sharedItems containsBlank="1" count="6">
        <s v="Aktif"/>
        <s v="Purna Bakti 2026"/>
        <s v="Purna Bakti 2025"/>
        <s v="PHL"/>
        <m/>
        <e v="#N/A" u="1"/>
      </sharedItems>
    </cacheField>
    <cacheField name="Tanggal Bergabung" numFmtId="0">
      <sharedItems containsNonDate="0" containsString="0" containsBlank="1"/>
    </cacheField>
    <cacheField name="Area" numFmtId="0">
      <sharedItems containsNonDate="0" containsString="0" containsBlank="1"/>
    </cacheField>
    <cacheField name="NPP" numFmtId="0">
      <sharedItems containsBlank="1" count="187">
        <s v="01776"/>
        <s v="01739"/>
        <s v="00553"/>
        <s v="PHL Distribusi"/>
        <s v="PHL Produksi"/>
        <s v="01651"/>
        <s v="00616"/>
        <s v="00582"/>
        <s v="00535"/>
        <s v="01740"/>
        <s v="00549"/>
        <s v="01743"/>
        <s v="00369"/>
        <s v="00567"/>
        <s v="01665"/>
        <s v="00587"/>
        <s v="00552"/>
        <s v="00607"/>
        <s v="PHL"/>
        <s v="01302"/>
        <s v="01721"/>
        <s v="01735"/>
        <s v="PHL KJP"/>
        <s v="00576"/>
        <s v="00546"/>
        <s v="00511"/>
        <s v="00614"/>
        <s v="00340"/>
        <s v="00345"/>
        <s v="00533"/>
        <s v="00579"/>
        <s v="00577"/>
        <s v="00588"/>
        <s v="00566"/>
        <s v="01720"/>
        <s v="00628"/>
        <s v="00498"/>
        <s v="00623"/>
        <s v="00519"/>
        <s v="01594"/>
        <s v="00610"/>
        <s v="00325"/>
        <s v="00543"/>
        <s v="00540"/>
        <s v="01166"/>
        <s v="01731"/>
        <s v="00539"/>
        <s v="00574"/>
        <s v="00591"/>
        <s v="00380"/>
        <s v="00518"/>
        <s v="01706"/>
        <s v="00327"/>
        <s v="00490"/>
        <s v="00520"/>
        <s v="01730"/>
        <s v="Koka"/>
        <s v="00556"/>
        <s v="Nasabah"/>
        <s v="01738"/>
        <s v="00565"/>
        <s v="00496"/>
        <s v="00563"/>
        <s v="00512"/>
        <s v="00585"/>
        <s v="00517"/>
        <s v="00541"/>
        <s v="00537"/>
        <s v="00578"/>
        <s v="00534"/>
        <s v="01719"/>
        <s v="00322"/>
        <s v="00547"/>
        <s v="01561"/>
        <s v="00525"/>
        <s v="00328"/>
        <s v="01775"/>
        <s v="00529"/>
        <s v="00391"/>
        <s v="00571"/>
        <s v="00554"/>
        <s v="00363"/>
        <s v="00396"/>
        <s v="01601"/>
        <s v="00387"/>
        <s v="00508"/>
        <s v="01541"/>
        <s v="00360"/>
        <s v="00371"/>
        <s v="00351"/>
        <s v="01511"/>
        <s v="00570"/>
        <s v="00514"/>
        <s v="00589"/>
        <s v="00531"/>
        <s v="00581"/>
        <s v="00281"/>
        <s v="00368"/>
        <s v="00568"/>
        <s v="00401"/>
        <s v="01679"/>
        <s v="00551"/>
        <s v="01703"/>
        <s v="01573"/>
        <s v="00521"/>
        <s v="00557"/>
        <s v="00580"/>
        <s v="00621"/>
        <s v="00596"/>
        <s v="00629"/>
        <s v="01711"/>
        <s v="01544"/>
        <s v="00542"/>
        <s v="00311"/>
        <s v="00516"/>
        <s v="00523"/>
        <s v="00513"/>
        <s v="01560"/>
        <s v="01777"/>
        <s v="00317"/>
        <s v="00526"/>
        <s v="00611"/>
        <s v="00637"/>
        <s v="01608"/>
        <s v="00497"/>
        <s v="00544"/>
        <s v="00530"/>
        <s v="01728"/>
        <s v="01604"/>
        <s v="00532"/>
        <s v="00339"/>
        <s v="01754"/>
        <s v="00485"/>
        <s v="00569"/>
        <s v="00545"/>
        <s v="00392"/>
        <s v="01315"/>
        <s v="00372"/>
        <s v="00583"/>
        <s v="00302"/>
        <s v="00337"/>
        <s v="00524"/>
        <s v="00288"/>
        <s v="00633"/>
        <s v="00602"/>
        <s v="00343"/>
        <s v="01602"/>
        <s v="00293"/>
        <s v="00390"/>
        <s v="01543"/>
        <s v="00376"/>
        <s v="01530"/>
        <s v="00259"/>
        <s v="00528"/>
        <s v="00509"/>
        <s v="00515"/>
        <s v="00613"/>
        <s v="01654"/>
        <s v="00558"/>
        <s v="00564"/>
        <s v="00593"/>
        <s v="00527"/>
        <s v="01708"/>
        <s v="00560"/>
        <s v="00626"/>
        <s v="00334"/>
        <s v="00362"/>
        <s v="01800"/>
        <s v="00548"/>
        <s v="00608"/>
        <s v="00584"/>
        <s v="01737"/>
        <s v="00370"/>
        <s v="00499"/>
        <s v="01157"/>
        <s v="01603"/>
        <s v="01535"/>
        <s v="01510"/>
        <s v="00643"/>
        <s v="K924"/>
        <s v="00575"/>
        <s v="00601"/>
        <s v="00609"/>
        <s v="00634"/>
        <s v="K1756"/>
        <m/>
        <e v="#N/A" u="1"/>
      </sharedItems>
    </cacheField>
    <cacheField name="Khusus" numFmtId="41">
      <sharedItems containsString="0" containsBlank="1" containsNumber="1" containsInteger="1" minValue="-930313" maxValue="650000"/>
    </cacheField>
    <cacheField name="SHU" numFmtId="41">
      <sharedItems containsString="0" containsBlank="1" containsNumber="1" containsInteger="1" minValue="-19495094" maxValue="19859230"/>
    </cacheField>
    <cacheField name="SIMPANAN WAJIB" numFmtId="41">
      <sharedItems containsString="0" containsBlank="1" containsNumber="1" minValue="-36085756.349024199" maxValue="36085756.349024199"/>
    </cacheField>
    <cacheField name="SIMPANAN MANASUKA" numFmtId="41">
      <sharedItems containsString="0" containsBlank="1" containsNumber="1" minValue="-16823061.380345218" maxValue="68085000"/>
    </cacheField>
    <cacheField name="Bulan" numFmtId="0">
      <sharedItems containsBlank="1" count="12">
        <s v="00. Saldo Akhir 2025"/>
        <s v="01. Jan 2026"/>
        <s v="12. Des 2025"/>
        <s v="02. Feb 2026"/>
        <s v="03. Mar 2026"/>
        <s v="04. Apr 2026"/>
        <s v="05. Mei 2026"/>
        <s v="06. Jun 2026"/>
        <s v="07. Jul 2026"/>
        <s v="08. Agu 2026"/>
        <s v="09. Sep 2026"/>
        <m/>
      </sharedItems>
    </cacheField>
    <cacheField name="Keterangan" numFmtId="0">
      <sharedItems containsDate="1" containsBlank="1" containsMixedTypes="1" minDate="2025-12-22T00:00:00" maxDate="2026-09-02T00:00:00" count="75">
        <s v="Saldo Awal"/>
        <d v="2026-01-14T00:00:00"/>
        <d v="2026-01-23T00:00:00"/>
        <d v="2026-02-03T00:00:00"/>
        <d v="2026-01-30T00:00:00"/>
        <d v="2026-02-02T00:00:00"/>
        <d v="2026-01-13T00:00:00"/>
        <d v="2026-02-13T00:00:00"/>
        <d v="2025-12-30T00:00:00"/>
        <d v="2026-02-11T00:00:00"/>
        <d v="2026-01-08T00:00:00"/>
        <d v="2026-01-26T00:00:00"/>
        <d v="2026-01-02T00:00:00"/>
        <d v="2026-02-25T00:00:00"/>
        <d v="2025-12-31T00:00:00"/>
        <d v="2026-03-02T00:00:00"/>
        <d v="2026-02-18T00:00:00"/>
        <d v="2026-02-10T00:00:00"/>
        <d v="2026-03-12T00:00:00"/>
        <d v="2026-03-25T00:00:00"/>
        <d v="2026-02-28T00:00:00"/>
        <d v="2026-03-31T00:00:00"/>
        <d v="2025-12-22T00:00:00"/>
        <d v="2026-04-14T00:00:00"/>
        <d v="2026-04-17T00:00:00"/>
        <d v="2026-04-06T00:00:00"/>
        <d v="2026-03-27T00:00:00"/>
        <d v="2026-04-24T00:00:00"/>
        <d v="2026-04-29T00:00:00"/>
        <d v="2026-05-06T00:00:00"/>
        <s v="Pensiun"/>
        <d v="2026-03-03T00:00:00"/>
        <d v="2026-04-15T00:00:00"/>
        <d v="2026-04-30T00:00:00"/>
        <d v="2026-05-08T00:00:00"/>
        <d v="2026-05-25T00:00:00"/>
        <d v="2026-06-09T00:00:00"/>
        <d v="2026-06-02T00:00:00"/>
        <d v="2026-05-14T00:00:00"/>
        <d v="2026-06-12T00:00:00"/>
        <d v="2026-06-08T00:00:00"/>
        <d v="2026-06-17T00:00:00"/>
        <d v="2026-06-19T00:00:00"/>
        <d v="2026-07-02T00:00:00"/>
        <d v="2026-06-26T00:00:00"/>
        <d v="2026-06-23T00:00:00"/>
        <d v="2026-06-25T00:00:00"/>
        <d v="2026-06-30T00:00:00"/>
        <d v="2026-07-14T00:00:00"/>
        <d v="2026-03-13T00:00:00"/>
        <d v="2026-02-27T00:00:00"/>
        <d v="2026-07-13T00:00:00"/>
        <d v="2026-06-18T00:00:00"/>
        <d v="2026-05-13T00:00:00"/>
        <d v="2026-07-15T00:00:00"/>
        <d v="2026-07-30T00:00:00"/>
        <d v="2026-08-03T00:00:00"/>
        <d v="2026-07-24T00:00:00"/>
        <d v="2026-06-11T00:00:00"/>
        <d v="2026-08-11T00:00:00"/>
        <d v="2026-08-13T00:00:00"/>
        <d v="2026-07-01T00:00:00"/>
        <d v="2026-07-31T00:00:00"/>
        <d v="2026-08-20T00:00:00"/>
        <d v="2026-06-28T00:00:00"/>
        <d v="2026-08-28T00:00:00"/>
        <d v="2026-08-24T00:00:00"/>
        <d v="2026-09-01T00:00:00"/>
        <d v="2026-08-15T00:00:00"/>
        <m/>
        <d v="2026-05-28T00:00:00" u="1"/>
        <d v="2026-08-06T00:00:00" u="1"/>
        <d v="2026-07-28T00:00:00" u="1"/>
        <d v="2026-07-08T00:00:00" u="1"/>
        <d v="2026-06-24T00:00:00" u="1"/>
      </sharedItems>
    </cacheField>
    <cacheField name="Kategori" numFmtId="0">
      <sharedItems containsBlank="1" count="14">
        <s v="Saldo Awal"/>
        <s v="Pengambilan Manasuka"/>
        <s v="Ditolak Pengajuan Pengambilan Manasukanya"/>
        <s v="Setoran Simpanan"/>
        <s v="Koreksi Saldo Awal"/>
        <s v="Pensiun / Keluar Dari Koperasi"/>
        <s v="Revisi"/>
        <s v="Ditolak Pengajuannya"/>
        <s v="Koreksi"/>
        <s v="pengajuan pengambilan manasuka"/>
        <s v="Keluar Dari Koperasi"/>
        <m/>
        <s v="Pengajuan pengembalian" u="1"/>
        <s v="Pengajuan Keluar Dari Koperasi" u="1"/>
      </sharedItems>
    </cacheField>
    <cacheField name="Field1" numFmtId="0" formula="'SIMPANAN WAJIB'+'SIMPANAN MANASUKA'" databaseField="0"/>
    <cacheField name="Field2" numFmtId="0" formula="Khusus+SHU+'SIMPANAN WAJIB'+'SIMPANAN MANASUKA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cahyo" refreshedDate="46268.38531597222" createdVersion="8" refreshedVersion="8" minRefreshableVersion="3" recordCount="1176" xr:uid="{F188CF68-9945-FD43-87AD-54B2F90FD247}">
  <cacheSource type="worksheet">
    <worksheetSource ref="B3:F1048576" sheet="Detail Pinjaman"/>
  </cacheSource>
  <cacheFields count="5">
    <cacheField name="Nama" numFmtId="0">
      <sharedItems containsBlank="1" count="150">
        <s v="Abdul Cahyo Nugroho"/>
        <s v="Ade Kurnia"/>
        <s v="Agung Pambudi"/>
        <s v="Agus Tomi"/>
        <s v="Agus Tomi - Nasabah"/>
        <s v="Ahmad Fauzi - 01743"/>
        <s v="Ahmad Jamaludin"/>
        <s v="Ahmat Saifudin"/>
        <s v="Alfian Noor"/>
        <s v="Allan Louby Van Houten"/>
        <s v="Amir Suroto"/>
        <s v="Amrun Maruf Effendi"/>
        <s v="Andri Kurniawan"/>
        <s v="Andrian Fadly"/>
        <s v="Anton Efendi"/>
        <s v="Ardiansyah"/>
        <s v="Ari Wibowo - 00533"/>
        <s v="ari Wibowo - 00579"/>
        <s v="Arief Indrawan"/>
        <s v="Arsim"/>
        <s v="Asta"/>
        <s v="Bayu Adithya Permana"/>
        <s v="Clarissa Dini"/>
        <s v="Dadi Muhamad Mulyadi"/>
        <s v="Darsim"/>
        <s v="Dedy Kurniawan"/>
        <s v="Deri Hendriawan"/>
        <s v="Didi Rahmat"/>
        <s v="Didi Tarmudi"/>
        <s v="Eddy Sukaryan"/>
        <s v="Eka Yanuar Santosa"/>
        <s v="Eko Junaidi"/>
        <s v="Erfan Faulana"/>
        <s v="Faisal Amri"/>
        <s v="Fajar Bintara"/>
        <s v="Fellix Stephen Willa"/>
        <s v="Ferika Pujiyanti"/>
        <s v="Ferry Firmanto"/>
        <s v="Fitriya Hariyani"/>
        <s v="Gede Arnawa"/>
        <s v="Gede Suparta"/>
        <s v="Gunawan"/>
        <s v="Hendra"/>
        <s v="Heni Triandini"/>
        <s v="Herda"/>
        <s v="Herman"/>
        <s v="Hermansyah"/>
        <s v="Heru Purboyo"/>
        <s v="Heru Sri Margono"/>
        <s v="Hesby Aga Ardila Nugroho"/>
        <s v="I Gede mustika"/>
        <s v="I Made Mustada"/>
        <s v="Idris Rusmianto"/>
        <s v="Indra Jaya Nugraha Putra"/>
        <s v="Indra Suwanda"/>
        <s v="Indri Widyawati"/>
        <s v="Ir. Djoko Maryono"/>
        <s v="Ir. Okto Hendri Fahlefi"/>
        <s v="Iskandar Sulestiyanto"/>
        <s v="Ismail"/>
        <s v="Iwan Setiawan"/>
        <s v="Jafar Dwiyanto"/>
        <s v="Jaimin"/>
        <s v="Jamsari"/>
        <s v="Jumadi"/>
        <s v="Kadek Sudarsana"/>
        <s v="Kadelis / Udin / Wati"/>
        <s v="Keren"/>
        <s v="Ketut Wijaya"/>
        <s v="Komang Astrawan"/>
        <s v="Lita Ayu Rosida"/>
        <s v="Margono - 00281"/>
        <s v="Margono - 00368"/>
        <s v="Marhasan"/>
        <s v="Minan Khusnaeni"/>
        <s v="Muhammad Ade Faizal"/>
        <s v="Muhammad Dzil Ikram Jani"/>
        <s v="Mumuh Mulyawan"/>
        <s v="Narto Prayitno"/>
        <s v="Ngadiono"/>
        <s v="Novita"/>
        <s v="Nowo Susiyanto"/>
        <s v="Nurpendi"/>
        <s v="Ny. Tuti/Dahyuri"/>
        <s v="Nyoman Artawan"/>
        <s v="Parsono"/>
        <s v="Putu Dharma Santika"/>
        <s v="Rahmat Zaeni"/>
        <s v="Ramli"/>
        <s v="Repki Ariyanto"/>
        <s v="Riana Merry Natalia"/>
        <s v="Ridwan"/>
        <s v="Rina Oktaviani"/>
        <s v="Rio Candra"/>
        <s v="Rison Saeful Sobur"/>
        <s v="Rizki Munardi"/>
        <s v="ROBERT LAKBURLAWAI"/>
        <s v="Rohaedi"/>
        <s v="Romansyah"/>
        <s v="Rudiansyah"/>
        <s v="Septi Priawandra"/>
        <s v="Sigit Hartanto"/>
        <s v="Siswanto"/>
        <s v="Slamet"/>
        <s v="Sobri"/>
        <s v="Sri Hartoyo"/>
        <s v="Sudadi"/>
        <s v="Sudari"/>
        <s v="Sugiarto"/>
        <s v="Sugiyatwoko"/>
        <s v="Sulaeman"/>
        <s v="Sumihar H. Tambunan"/>
        <s v="Sunardi - 00376"/>
        <s v="Suratman"/>
        <s v="Suwarno"/>
        <s v="Suwitno"/>
        <s v="Tatang"/>
        <s v="Taufiqurrahman"/>
        <s v="Tiolenta Martiana"/>
        <s v="Tirto Bayu Saputro"/>
        <s v="Toni"/>
        <s v="Tri Indriyani"/>
        <s v="Tri Iswahyudi"/>
        <s v="Umayah"/>
        <s v="Victor David Sambuaga"/>
        <s v="Wawan Satriawan"/>
        <s v="Widi Kurnianto"/>
        <s v="Widodo"/>
        <s v="Wiyan Eko Supriyanto"/>
        <s v="Yadi Supriyadi (Diver)"/>
        <s v="Sri Wahyuningsih"/>
        <s v="ALVIN AVRIALDY"/>
        <s v="Ibrahim"/>
        <s v="A. Rafik"/>
        <s v="Faqih Zakaria"/>
        <s v="Andi Yanto"/>
        <s v="Willi Prayetno"/>
        <s v="Andung Juanda"/>
        <s v="Dede Slamet Supriyanto"/>
        <s v="Washadi"/>
        <s v="Achmad Ikang Zulkarnain"/>
        <s v="Muhammad Agustiyadi"/>
        <s v="Ahmad Fauzi - 00549"/>
        <s v="Syarif Hidayatulloh"/>
        <s v="Erina Fitriani"/>
        <s v="Rafli Baihaqqi Rianto"/>
        <s v="Mutiyah Nur Aftilani"/>
        <s v="Yonatan Banobe"/>
        <s v="Anisa Juniyanti"/>
        <m/>
      </sharedItems>
    </cacheField>
    <cacheField name="Npp" numFmtId="0">
      <sharedItems containsBlank="1" count="137">
        <s v="00553"/>
        <s v="01651"/>
        <s v="00535"/>
        <s v="01740"/>
        <s v="Nasabah"/>
        <s v="01743"/>
        <s v="00369"/>
        <s v="01665"/>
        <s v="00552"/>
        <s v="00607"/>
        <s v="01302"/>
        <s v="00315"/>
        <s v="00576"/>
        <s v="00546"/>
        <s v="00614"/>
        <s v="00345"/>
        <s v="00533"/>
        <s v="00579"/>
        <s v="00577"/>
        <s v="00566"/>
        <s v="01720"/>
        <s v="00498"/>
        <s v="00610"/>
        <s v="00325"/>
        <s v="PHL"/>
        <s v="00540"/>
        <s v="01532"/>
        <s v="00591"/>
        <s v="00380"/>
        <s v="00327"/>
        <s v="00490"/>
        <s v="00520"/>
        <s v="01730"/>
        <s v="00556"/>
        <s v="00565"/>
        <s v="00496"/>
        <s v="00563"/>
        <s v="00512"/>
        <s v="00585"/>
        <s v="00517"/>
        <s v="00541"/>
        <s v="00537"/>
        <s v="00578"/>
        <s v="00534"/>
        <s v="01719"/>
        <s v="00322"/>
        <s v="00547"/>
        <s v="01561"/>
        <s v="00525"/>
        <s v="00328"/>
        <s v="00529"/>
        <s v="00571"/>
        <s v="00554"/>
        <s v="01727"/>
        <s v="00363"/>
        <s v="00396"/>
        <s v="01601"/>
        <s v="00387"/>
        <s v="00508"/>
        <s v="01541"/>
        <s v="00371"/>
        <s v="00351"/>
        <s v="01511"/>
        <s v="00570"/>
        <s v="00514"/>
        <s v="00531"/>
        <s v="00581"/>
        <s v="00281"/>
        <s v="00368"/>
        <s v="00568"/>
        <s v="00401"/>
        <s v="01703"/>
        <s v="00521"/>
        <s v="00596"/>
        <s v="00350"/>
        <s v="01544"/>
        <s v="00542"/>
        <s v="00311"/>
        <s v="00516"/>
        <s v="00523"/>
        <s v="00513"/>
        <s v="01560"/>
        <s v="00317"/>
        <s v="00526"/>
        <s v="00611"/>
        <s v="00497"/>
        <s v="00530"/>
        <s v="01728"/>
        <s v="01604"/>
        <s v="00323"/>
        <s v="00532"/>
        <s v="00339"/>
        <s v="01754"/>
        <s v="00569"/>
        <s v="00583"/>
        <s v="00302"/>
        <s v="00337"/>
        <s v="00524"/>
        <s v="00288"/>
        <s v="00343"/>
        <s v="01602"/>
        <s v="00293"/>
        <s v="00390"/>
        <s v="00301"/>
        <s v="01543"/>
        <s v="00376"/>
        <s v="01530"/>
        <s v="00509"/>
        <s v="00515"/>
        <s v="00558"/>
        <s v="00564"/>
        <s v="00593"/>
        <s v="00527"/>
        <s v="00560"/>
        <s v="00626"/>
        <s v="00362"/>
        <s v="00548"/>
        <s v="00608"/>
        <s v="00584"/>
        <s v="00499"/>
        <s v="00633"/>
        <s v="01775"/>
        <s v="01776"/>
        <s v="01738"/>
        <s v="01735"/>
        <s v="01737"/>
        <s v="00511"/>
        <s v="PHL KJP"/>
        <s v="01800"/>
        <s v="PHL Distribusi"/>
        <s v="01573"/>
        <s v="00549"/>
        <s v="00613"/>
        <s v="Koka"/>
        <s v="00629"/>
        <s v="01157"/>
        <m/>
      </sharedItems>
    </cacheField>
    <cacheField name="Tanggal" numFmtId="0">
      <sharedItems containsNonDate="0" containsDate="1" containsString="0" containsBlank="1" minDate="2025-03-31T00:00:00" maxDate="2026-09-02T00:00:00" count="77">
        <d v="2025-12-31T00:00:00"/>
        <d v="2026-01-13T00:00:00"/>
        <d v="2026-01-12T00:00:00"/>
        <d v="2026-01-16T00:00:00"/>
        <d v="2026-01-23T00:00:00"/>
        <d v="2026-01-26T00:00:00"/>
        <d v="2026-01-08T00:00:00"/>
        <d v="2026-02-02T00:00:00"/>
        <d v="2026-01-27T00:00:00"/>
        <d v="2026-02-03T00:00:00"/>
        <d v="2026-02-05T00:00:00"/>
        <d v="2026-02-09T00:00:00"/>
        <d v="2026-01-20T00:00:00"/>
        <d v="2026-02-18T00:00:00"/>
        <d v="2026-01-14T00:00:00"/>
        <d v="2026-02-19T00:00:00"/>
        <d v="2026-02-25T00:00:00"/>
        <d v="2026-02-26T00:00:00"/>
        <d v="2026-02-11T00:00:00"/>
        <d v="2026-03-12T00:00:00"/>
        <d v="2026-03-25T00:00:00"/>
        <d v="2026-03-10T00:00:00"/>
        <d v="2026-03-27T00:00:00"/>
        <d v="2026-03-31T00:00:00"/>
        <d v="2026-04-02T00:00:00"/>
        <d v="2026-04-07T00:00:00"/>
        <d v="2026-04-08T00:00:00"/>
        <d v="2026-04-13T00:00:00"/>
        <d v="2026-04-06T00:00:00"/>
        <d v="2026-04-24T00:00:00"/>
        <d v="2026-04-27T00:00:00"/>
        <d v="2026-04-29T00:00:00"/>
        <d v="2026-04-30T00:00:00"/>
        <d v="2025-03-31T00:00:00"/>
        <d v="2026-04-15T00:00:00"/>
        <d v="2026-04-14T00:00:00"/>
        <d v="2026-05-08T00:00:00"/>
        <d v="2026-06-09T00:00:00"/>
        <d v="2026-05-25T00:00:00"/>
        <d v="2026-06-03T00:00:00"/>
        <d v="2026-06-12T00:00:00"/>
        <d v="2026-05-19T00:00:00"/>
        <d v="2026-06-08T00:00:00"/>
        <d v="2026-06-05T00:00:00"/>
        <d v="2026-06-17T00:00:00"/>
        <d v="2026-06-11T00:00:00"/>
        <d v="2026-05-13T00:00:00"/>
        <d v="2026-05-07T00:00:00"/>
        <d v="2026-06-26T00:00:00"/>
        <d v="2026-06-22T00:00:00"/>
        <d v="2026-06-25T00:00:00"/>
        <d v="2026-07-06T00:00:00"/>
        <d v="2026-07-09T00:00:00"/>
        <d v="2026-06-29T00:00:00"/>
        <d v="2026-07-08T00:00:00"/>
        <d v="2026-06-28T00:00:00"/>
        <d v="2026-07-15T00:00:00"/>
        <d v="2026-07-23T00:00:00"/>
        <d v="2026-07-24T00:00:00"/>
        <d v="2026-07-30T00:00:00"/>
        <d v="2026-07-27T00:00:00"/>
        <d v="2026-07-31T00:00:00"/>
        <d v="2026-08-04T00:00:00"/>
        <d v="2026-08-03T00:00:00"/>
        <d v="2026-08-13T00:00:00"/>
        <d v="2026-08-11T00:00:00"/>
        <d v="2026-08-19T00:00:00"/>
        <d v="2026-08-24T00:00:00"/>
        <d v="2026-08-27T00:00:00"/>
        <m/>
        <d v="2026-08-21T00:00:00"/>
        <d v="2026-09-01T00:00:00"/>
        <d v="2026-07-13T00:00:00" u="1"/>
        <d v="2026-07-16T00:00:00" u="1"/>
        <d v="2026-07-02T00:00:00" u="1"/>
        <d v="2026-06-15T00:00:00" u="1"/>
        <d v="2026-06-19T00:00:00" u="1"/>
      </sharedItems>
    </cacheField>
    <cacheField name="Nilai" numFmtId="41">
      <sharedItems containsString="0" containsBlank="1" containsNumber="1" containsInteger="1" minValue="-88666664" maxValue="129816758"/>
    </cacheField>
    <cacheField name="Metod" numFmtId="0">
      <sharedItems containsBlank="1" count="5">
        <s v="0. Sisa Pinjaman 2025"/>
        <s v="3. Cicilan"/>
        <s v="1. Pokok Pinjaman"/>
        <s v="2. Jasa Admi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1"/>
    <x v="0"/>
    <s v="00498"/>
    <n v="5920000"/>
  </r>
  <r>
    <n v="2"/>
    <x v="1"/>
    <s v="00526"/>
    <n v="2708333"/>
  </r>
  <r>
    <n v="3"/>
    <x v="2"/>
    <s v="00540"/>
    <n v="775000"/>
  </r>
  <r>
    <n v="4"/>
    <x v="3"/>
    <s v="PHL"/>
    <n v="330000"/>
  </r>
  <r>
    <n v="5"/>
    <x v="4"/>
    <s v="01665"/>
    <n v="618333"/>
  </r>
  <r>
    <n v="6"/>
    <x v="5"/>
    <s v="00523"/>
    <n v="2333333"/>
  </r>
  <r>
    <n v="7"/>
    <x v="6"/>
    <s v="01602"/>
    <n v="883333"/>
  </r>
  <r>
    <n v="8"/>
    <x v="7"/>
    <s v="PHL"/>
    <n v="901000"/>
  </r>
  <r>
    <n v="9"/>
    <x v="8"/>
    <s v="01703"/>
    <n v="530000"/>
  </r>
  <r>
    <n v="10"/>
    <x v="9"/>
    <s v="00563"/>
    <n v="2708333"/>
  </r>
  <r>
    <n v="11"/>
    <x v="10"/>
    <s v="00633"/>
    <n v="1916667"/>
  </r>
  <r>
    <n v="12"/>
    <x v="11"/>
    <s v="00553"/>
    <n v="660000"/>
  </r>
  <r>
    <n v="13"/>
    <x v="12"/>
    <s v="00535"/>
    <n v="597333"/>
  </r>
  <r>
    <n v="14"/>
    <x v="13"/>
    <s v="00369"/>
    <n v="1812500"/>
  </r>
  <r>
    <n v="15"/>
    <x v="14"/>
    <s v="00552"/>
    <n v="4408333"/>
  </r>
  <r>
    <n v="16"/>
    <x v="15"/>
    <s v="00607"/>
    <n v="775000"/>
  </r>
  <r>
    <n v="17"/>
    <x v="16"/>
    <s v="01302"/>
    <n v="2200000"/>
  </r>
  <r>
    <n v="18"/>
    <x v="17"/>
    <s v="00576"/>
    <n v="1858333"/>
  </r>
  <r>
    <n v="19"/>
    <x v="18"/>
    <s v="00546"/>
    <n v="1575000"/>
  </r>
  <r>
    <n v="20"/>
    <x v="19"/>
    <s v="00614"/>
    <n v="723333"/>
  </r>
  <r>
    <n v="21"/>
    <x v="20"/>
    <s v="00533"/>
    <n v="3275000"/>
  </r>
  <r>
    <n v="22"/>
    <x v="21"/>
    <s v="00579"/>
    <n v="767000"/>
  </r>
  <r>
    <n v="23"/>
    <x v="22"/>
    <s v="00577"/>
    <n v="1603333"/>
  </r>
  <r>
    <n v="24"/>
    <x v="23"/>
    <s v="00327"/>
    <n v="3275000"/>
  </r>
  <r>
    <n v="25"/>
    <x v="23"/>
    <s v="00327"/>
    <n v="3149608"/>
  </r>
  <r>
    <n v="26"/>
    <x v="24"/>
    <s v="00520"/>
    <n v="1650000"/>
  </r>
  <r>
    <n v="27"/>
    <x v="25"/>
    <s v="00565"/>
    <n v="3125000"/>
  </r>
  <r>
    <n v="28"/>
    <x v="26"/>
    <s v="Nasabah"/>
    <n v="1866667"/>
  </r>
  <r>
    <n v="29"/>
    <x v="27"/>
    <s v="00585"/>
    <n v="600000"/>
  </r>
  <r>
    <n v="30"/>
    <x v="28"/>
    <s v="00541"/>
    <n v="4125000"/>
  </r>
  <r>
    <n v="31"/>
    <x v="29"/>
    <s v="00537"/>
    <n v="2708333"/>
  </r>
  <r>
    <n v="32"/>
    <x v="30"/>
    <s v="00547"/>
    <n v="2368333"/>
  </r>
  <r>
    <n v="33"/>
    <x v="31"/>
    <s v="00525"/>
    <n v="3331667"/>
  </r>
  <r>
    <n v="34"/>
    <x v="32"/>
    <s v="00396"/>
    <n v="4475000"/>
  </r>
  <r>
    <n v="35"/>
    <x v="33"/>
    <s v="00387"/>
    <n v="1586112"/>
  </r>
  <r>
    <n v="36"/>
    <x v="33"/>
    <s v="00387"/>
    <n v="155000"/>
  </r>
  <r>
    <n v="37"/>
    <x v="34"/>
    <s v="00508"/>
    <n v="2708333"/>
  </r>
  <r>
    <n v="38"/>
    <x v="35"/>
    <s v="PHL"/>
    <n v="770000"/>
  </r>
  <r>
    <n v="39"/>
    <x v="36"/>
    <s v="00371"/>
    <n v="3955000"/>
  </r>
  <r>
    <n v="40"/>
    <x v="37"/>
    <s v="00351"/>
    <n v="2325000"/>
  </r>
  <r>
    <n v="41"/>
    <x v="38"/>
    <s v="01511"/>
    <n v="1680000"/>
  </r>
  <r>
    <n v="42"/>
    <x v="39"/>
    <s v="00514"/>
    <n v="933334"/>
  </r>
  <r>
    <n v="43"/>
    <x v="40"/>
    <s v="00368"/>
    <n v="3275000"/>
  </r>
  <r>
    <n v="44"/>
    <x v="41"/>
    <s v="00568"/>
    <n v="1085000"/>
  </r>
  <r>
    <n v="45"/>
    <x v="42"/>
    <s v="00401"/>
    <n v="2120000"/>
  </r>
  <r>
    <n v="46"/>
    <x v="43"/>
    <s v="00596"/>
    <n v="1033333"/>
  </r>
  <r>
    <n v="47"/>
    <x v="44"/>
    <s v="00311"/>
    <n v="3958333"/>
  </r>
  <r>
    <n v="48"/>
    <x v="45"/>
    <s v="00516"/>
    <n v="383333"/>
  </r>
  <r>
    <n v="49"/>
    <x v="46"/>
    <s v="00513"/>
    <n v="2708333"/>
  </r>
  <r>
    <n v="50"/>
    <x v="47"/>
    <s v="00317"/>
    <n v="1650000"/>
  </r>
  <r>
    <n v="51"/>
    <x v="47"/>
    <s v="00317"/>
    <n v="1250000"/>
  </r>
  <r>
    <n v="52"/>
    <x v="48"/>
    <s v="00611"/>
    <n v="653333"/>
  </r>
  <r>
    <n v="53"/>
    <x v="49"/>
    <s v="00497"/>
    <n v="1400000"/>
  </r>
  <r>
    <n v="54"/>
    <x v="50"/>
    <s v="00530"/>
    <n v="3558333"/>
  </r>
  <r>
    <n v="55"/>
    <x v="51"/>
    <s v="00339"/>
    <n v="2325000"/>
  </r>
  <r>
    <n v="56"/>
    <x v="52"/>
    <s v="01754"/>
    <n v="1100000"/>
  </r>
  <r>
    <n v="57"/>
    <x v="53"/>
    <s v="00583"/>
    <n v="1120000"/>
  </r>
  <r>
    <n v="58"/>
    <x v="54"/>
    <s v="00302"/>
    <n v="3841667"/>
  </r>
  <r>
    <n v="59"/>
    <x v="55"/>
    <s v="00343"/>
    <n v="3105000"/>
  </r>
  <r>
    <n v="60"/>
    <x v="56"/>
    <s v="00293"/>
    <n v="3808333"/>
  </r>
  <r>
    <n v="61"/>
    <x v="57"/>
    <s v="00390"/>
    <n v="1866667"/>
  </r>
  <r>
    <n v="62"/>
    <x v="58"/>
    <s v="00515"/>
    <n v="1825000"/>
  </r>
  <r>
    <n v="63"/>
    <x v="59"/>
    <s v="00558"/>
    <n v="1341667"/>
  </r>
  <r>
    <n v="64"/>
    <x v="60"/>
    <s v="00564"/>
    <n v="1291667"/>
  </r>
  <r>
    <n v="65"/>
    <x v="61"/>
    <s v="00548"/>
    <n v="1348333"/>
  </r>
  <r>
    <n v="66"/>
    <x v="62"/>
    <s v="00608"/>
    <n v="671667"/>
  </r>
  <r>
    <n v="67"/>
    <x v="63"/>
    <s v="00584"/>
    <n v="2708333"/>
  </r>
  <r>
    <n v="68"/>
    <x v="64"/>
    <s v="00531"/>
    <n v="440000"/>
  </r>
  <r>
    <n v="69"/>
    <x v="65"/>
    <s v="00610"/>
    <n v="1866667"/>
  </r>
  <r>
    <n v="70"/>
    <x v="66"/>
    <s v="00529"/>
    <n v="1341667"/>
  </r>
  <r>
    <n v="71"/>
    <x v="67"/>
    <s v="PHL"/>
    <n v="1650000"/>
  </r>
  <r>
    <n v="72"/>
    <x v="68"/>
    <s v="01738"/>
    <n v="405000"/>
  </r>
  <r>
    <n v="73"/>
    <x v="69"/>
    <s v="01735"/>
    <n v="540000"/>
  </r>
  <r>
    <n v="74"/>
    <x v="70"/>
    <s v="00490"/>
    <n v="2325000"/>
  </r>
  <r>
    <n v="75"/>
    <x v="71"/>
    <s v="01775"/>
    <n v="540000"/>
  </r>
  <r>
    <n v="76"/>
    <x v="72"/>
    <s v="00534"/>
    <n v="1858333"/>
  </r>
  <r>
    <n v="77"/>
    <x v="73"/>
    <s v="01776"/>
    <n v="337500"/>
  </r>
  <r>
    <n v="78"/>
    <x v="74"/>
    <s v="01737"/>
    <n v="540000"/>
  </r>
  <r>
    <n v="79"/>
    <x v="75"/>
    <s v="00532"/>
    <n v="3826111"/>
  </r>
  <r>
    <n v="80"/>
    <x v="30"/>
    <s v="00547"/>
    <n v="805000"/>
  </r>
  <r>
    <n v="81"/>
    <x v="76"/>
    <s v="00578"/>
    <n v="981667"/>
  </r>
  <r>
    <n v="82"/>
    <x v="77"/>
    <s v="00517"/>
    <n v="232500"/>
  </r>
  <r>
    <n v="83"/>
    <x v="78"/>
    <s v="00521"/>
    <n v="4791667"/>
  </r>
  <r>
    <n v="84"/>
    <x v="79"/>
    <s v="00527"/>
    <n v="2425000"/>
  </r>
  <r>
    <n v="85"/>
    <x v="80"/>
    <s v="PHL KJP"/>
    <n v="208000"/>
  </r>
  <r>
    <n v="86"/>
    <x v="81"/>
    <s v="00511"/>
    <n v="1291667"/>
  </r>
  <r>
    <n v="87"/>
    <x v="82"/>
    <m/>
    <n v="3841667"/>
  </r>
  <r>
    <n v="88"/>
    <x v="83"/>
    <m/>
    <n v="280000"/>
  </r>
  <r>
    <n v="89"/>
    <x v="84"/>
    <m/>
    <n v="3161667"/>
  </r>
  <r>
    <n v="90"/>
    <x v="85"/>
    <m/>
    <n v="1801667"/>
  </r>
  <r>
    <n v="91"/>
    <x v="86"/>
    <m/>
    <n v="1413333"/>
  </r>
  <r>
    <n v="92"/>
    <x v="87"/>
    <m/>
    <n v="550000"/>
  </r>
  <r>
    <n v="93"/>
    <x v="88"/>
    <m/>
    <n v="550000"/>
  </r>
  <r>
    <n v="94"/>
    <x v="89"/>
    <m/>
    <n v="660000"/>
  </r>
  <r>
    <n v="95"/>
    <x v="90"/>
    <m/>
    <n v="220000"/>
  </r>
  <r>
    <n v="96"/>
    <x v="91"/>
    <m/>
    <n v="1303846"/>
  </r>
  <r>
    <n v="97"/>
    <x v="92"/>
    <m/>
    <n v="1033333"/>
  </r>
  <r>
    <n v="98"/>
    <x v="93"/>
    <m/>
    <n v="458571"/>
  </r>
  <r>
    <n v="99"/>
    <x v="94"/>
    <m/>
    <n v="1100000"/>
  </r>
  <r>
    <n v="100"/>
    <x v="95"/>
    <m/>
    <n v="3558333"/>
  </r>
  <r>
    <n v="101"/>
    <x v="96"/>
    <m/>
    <n v="550000"/>
  </r>
  <r>
    <n v="102"/>
    <x v="97"/>
    <m/>
    <n v="1020000"/>
  </r>
  <r>
    <n v="103"/>
    <x v="98"/>
    <m/>
    <n v="3316667"/>
  </r>
  <r>
    <n v="104"/>
    <x v="99"/>
    <s v="01541"/>
    <n v="1650000"/>
  </r>
  <r>
    <n v="105"/>
    <x v="100"/>
    <s v="01560"/>
    <n v="165000"/>
  </r>
  <r>
    <n v="106"/>
    <x v="101"/>
    <s v="00509"/>
    <n v="6533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x v="0"/>
    <n v="5920000"/>
  </r>
  <r>
    <x v="1"/>
    <n v="2708333"/>
  </r>
  <r>
    <x v="2"/>
    <n v="775000"/>
  </r>
  <r>
    <x v="3"/>
    <n v="330000"/>
  </r>
  <r>
    <x v="4"/>
    <n v="618333"/>
  </r>
  <r>
    <x v="5"/>
    <n v="2333333"/>
  </r>
  <r>
    <x v="6"/>
    <n v="901000"/>
  </r>
  <r>
    <x v="7"/>
    <n v="530000"/>
  </r>
  <r>
    <x v="8"/>
    <n v="2708333"/>
  </r>
  <r>
    <x v="9"/>
    <n v="1916667"/>
  </r>
  <r>
    <x v="10"/>
    <n v="660000"/>
  </r>
  <r>
    <x v="11"/>
    <n v="597333"/>
  </r>
  <r>
    <x v="12"/>
    <n v="4408333"/>
  </r>
  <r>
    <x v="13"/>
    <n v="2200000"/>
  </r>
  <r>
    <x v="14"/>
    <n v="1858333"/>
  </r>
  <r>
    <x v="15"/>
    <n v="1575000"/>
  </r>
  <r>
    <x v="16"/>
    <n v="723333"/>
  </r>
  <r>
    <x v="17"/>
    <n v="3275000"/>
  </r>
  <r>
    <x v="18"/>
    <n v="767000"/>
  </r>
  <r>
    <x v="19"/>
    <n v="1603333"/>
  </r>
  <r>
    <x v="20"/>
    <n v="3275000"/>
  </r>
  <r>
    <x v="20"/>
    <n v="3149608"/>
  </r>
  <r>
    <x v="21"/>
    <n v="1650000"/>
  </r>
  <r>
    <x v="22"/>
    <n v="3125000"/>
  </r>
  <r>
    <x v="23"/>
    <n v="1866667"/>
  </r>
  <r>
    <x v="24"/>
    <n v="600000"/>
  </r>
  <r>
    <x v="25"/>
    <n v="4125000"/>
  </r>
  <r>
    <x v="26"/>
    <n v="2708333"/>
  </r>
  <r>
    <x v="27"/>
    <n v="2368333"/>
  </r>
  <r>
    <x v="28"/>
    <n v="3331667"/>
  </r>
  <r>
    <x v="29"/>
    <n v="1586112"/>
  </r>
  <r>
    <x v="29"/>
    <n v="155000"/>
  </r>
  <r>
    <x v="30"/>
    <n v="2708333"/>
  </r>
  <r>
    <x v="31"/>
    <n v="3955000"/>
  </r>
  <r>
    <x v="32"/>
    <n v="2325000"/>
  </r>
  <r>
    <x v="33"/>
    <n v="3275000"/>
  </r>
  <r>
    <x v="34"/>
    <n v="1085000"/>
  </r>
  <r>
    <x v="35"/>
    <n v="2120000"/>
  </r>
  <r>
    <x v="36"/>
    <n v="1033333"/>
  </r>
  <r>
    <x v="37"/>
    <n v="3958333"/>
  </r>
  <r>
    <x v="38"/>
    <n v="383333"/>
  </r>
  <r>
    <x v="39"/>
    <n v="2708333"/>
  </r>
  <r>
    <x v="40"/>
    <n v="1100000"/>
  </r>
  <r>
    <x v="41"/>
    <n v="653333"/>
  </r>
  <r>
    <x v="42"/>
    <n v="1400000"/>
  </r>
  <r>
    <x v="43"/>
    <n v="3558333"/>
  </r>
  <r>
    <x v="44"/>
    <n v="2325000"/>
  </r>
  <r>
    <x v="45"/>
    <n v="1100000"/>
  </r>
  <r>
    <x v="46"/>
    <n v="3841667"/>
  </r>
  <r>
    <x v="47"/>
    <n v="3105000"/>
  </r>
  <r>
    <x v="48"/>
    <n v="3808333"/>
  </r>
  <r>
    <x v="49"/>
    <n v="1825000"/>
  </r>
  <r>
    <x v="50"/>
    <n v="1341667"/>
  </r>
  <r>
    <x v="51"/>
    <n v="1291667"/>
  </r>
  <r>
    <x v="52"/>
    <n v="1348333"/>
  </r>
  <r>
    <x v="53"/>
    <n v="671667"/>
  </r>
  <r>
    <x v="54"/>
    <n v="2708333"/>
  </r>
  <r>
    <x v="55"/>
    <n v="440000"/>
  </r>
  <r>
    <x v="56"/>
    <n v="1866667"/>
  </r>
  <r>
    <x v="57"/>
    <n v="1650000"/>
  </r>
  <r>
    <x v="58"/>
    <n v="405000"/>
  </r>
  <r>
    <x v="59"/>
    <n v="540000"/>
  </r>
  <r>
    <x v="60"/>
    <n v="2325000"/>
  </r>
  <r>
    <x v="61"/>
    <n v="540000"/>
  </r>
  <r>
    <x v="62"/>
    <n v="1858333"/>
  </r>
  <r>
    <x v="63"/>
    <n v="337500"/>
  </r>
  <r>
    <x v="64"/>
    <n v="540000"/>
  </r>
  <r>
    <x v="65"/>
    <n v="3826111"/>
  </r>
  <r>
    <x v="27"/>
    <n v="805000"/>
  </r>
  <r>
    <x v="66"/>
    <n v="981667"/>
  </r>
  <r>
    <x v="67"/>
    <n v="232500"/>
  </r>
  <r>
    <x v="68"/>
    <n v="4791667"/>
  </r>
  <r>
    <x v="69"/>
    <n v="2425000"/>
  </r>
  <r>
    <x v="70"/>
    <n v="208000"/>
  </r>
  <r>
    <x v="71"/>
    <n v="1291667"/>
  </r>
  <r>
    <x v="72"/>
    <n v="3841667"/>
  </r>
  <r>
    <x v="73"/>
    <n v="280000"/>
  </r>
  <r>
    <x v="74"/>
    <n v="3161667"/>
  </r>
  <r>
    <x v="75"/>
    <n v="1801667"/>
  </r>
  <r>
    <x v="76"/>
    <n v="1413333"/>
  </r>
  <r>
    <x v="77"/>
    <n v="550000"/>
  </r>
  <r>
    <x v="78"/>
    <n v="550000"/>
  </r>
  <r>
    <x v="79"/>
    <n v="660000"/>
  </r>
  <r>
    <x v="80"/>
    <n v="220000"/>
  </r>
  <r>
    <x v="81"/>
    <n v="1303846"/>
  </r>
  <r>
    <x v="82"/>
    <n v="1033333"/>
  </r>
  <r>
    <x v="83"/>
    <n v="458571"/>
  </r>
  <r>
    <x v="84"/>
    <n v="1100000"/>
  </r>
  <r>
    <x v="85"/>
    <n v="3558333"/>
  </r>
  <r>
    <x v="86"/>
    <n v="550000"/>
  </r>
  <r>
    <x v="87"/>
    <n v="1020000"/>
  </r>
  <r>
    <x v="88"/>
    <n v="3316667"/>
  </r>
  <r>
    <x v="89"/>
    <n v="1650000"/>
  </r>
  <r>
    <x v="90"/>
    <n v="165000"/>
  </r>
  <r>
    <x v="91"/>
    <n v="653333"/>
  </r>
  <r>
    <x v="92"/>
    <n v="397000"/>
  </r>
  <r>
    <x v="93"/>
    <n v="550000"/>
  </r>
  <r>
    <x v="94"/>
    <n v="2475000"/>
  </r>
  <r>
    <x v="95"/>
    <n v="1033333"/>
  </r>
  <r>
    <x v="96"/>
    <n v="945000"/>
  </r>
  <r>
    <x v="16"/>
    <n v="1033333"/>
  </r>
  <r>
    <x v="97"/>
    <n v="1400000"/>
  </r>
  <r>
    <x v="98"/>
    <n v="1866667"/>
  </r>
  <r>
    <x v="29"/>
    <n v="98333"/>
  </r>
  <r>
    <x v="99"/>
    <n v="746667"/>
  </r>
  <r>
    <x v="100"/>
    <n v="1030000"/>
  </r>
  <r>
    <x v="43"/>
    <n v="850000"/>
  </r>
  <r>
    <x v="28"/>
    <n v="1150000"/>
  </r>
  <r>
    <x v="101"/>
    <n v="1348333"/>
  </r>
  <r>
    <x v="40"/>
    <n v="1650000"/>
  </r>
  <r>
    <x v="40"/>
    <n v="20000"/>
  </r>
  <r>
    <x v="102"/>
    <n v="1650000"/>
  </r>
  <r>
    <x v="103"/>
    <n v="233333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8">
  <r>
    <n v="1"/>
    <x v="0"/>
    <x v="0"/>
    <m/>
    <m/>
    <x v="0"/>
    <n v="0"/>
    <n v="0"/>
    <n v="800000"/>
    <n v="1600000"/>
    <x v="0"/>
    <x v="0"/>
    <x v="0"/>
  </r>
  <r>
    <n v="2"/>
    <x v="1"/>
    <x v="0"/>
    <m/>
    <m/>
    <x v="1"/>
    <n v="0"/>
    <n v="0"/>
    <n v="1000000"/>
    <n v="1800000"/>
    <x v="0"/>
    <x v="0"/>
    <x v="0"/>
  </r>
  <r>
    <n v="3"/>
    <x v="2"/>
    <x v="0"/>
    <m/>
    <m/>
    <x v="2"/>
    <n v="0"/>
    <n v="3694115"/>
    <n v="10278197"/>
    <n v="831668"/>
    <x v="0"/>
    <x v="0"/>
    <x v="0"/>
  </r>
  <r>
    <n v="4"/>
    <x v="3"/>
    <x v="0"/>
    <m/>
    <m/>
    <x v="3"/>
    <n v="0"/>
    <n v="0"/>
    <n v="600000"/>
    <n v="900000"/>
    <x v="0"/>
    <x v="0"/>
    <x v="0"/>
  </r>
  <r>
    <n v="5"/>
    <x v="4"/>
    <x v="0"/>
    <m/>
    <m/>
    <x v="4"/>
    <n v="0"/>
    <n v="0"/>
    <n v="200000"/>
    <n v="100000"/>
    <x v="0"/>
    <x v="0"/>
    <x v="0"/>
  </r>
  <r>
    <n v="6"/>
    <x v="5"/>
    <x v="0"/>
    <m/>
    <m/>
    <x v="5"/>
    <n v="0"/>
    <n v="413679"/>
    <n v="2200000"/>
    <n v="1100000"/>
    <x v="0"/>
    <x v="0"/>
    <x v="0"/>
  </r>
  <r>
    <n v="7"/>
    <x v="6"/>
    <x v="0"/>
    <m/>
    <m/>
    <x v="6"/>
    <n v="0"/>
    <n v="0"/>
    <n v="1100000"/>
    <n v="2800000"/>
    <x v="0"/>
    <x v="0"/>
    <x v="0"/>
  </r>
  <r>
    <n v="8"/>
    <x v="7"/>
    <x v="0"/>
    <m/>
    <m/>
    <x v="4"/>
    <n v="0"/>
    <n v="0"/>
    <n v="200000"/>
    <n v="100000"/>
    <x v="0"/>
    <x v="0"/>
    <x v="0"/>
  </r>
  <r>
    <n v="9"/>
    <x v="8"/>
    <x v="0"/>
    <m/>
    <m/>
    <x v="7"/>
    <n v="0"/>
    <n v="1828753"/>
    <n v="6600000"/>
    <n v="5150000"/>
    <x v="0"/>
    <x v="0"/>
    <x v="0"/>
  </r>
  <r>
    <n v="10"/>
    <x v="9"/>
    <x v="0"/>
    <m/>
    <m/>
    <x v="4"/>
    <n v="0"/>
    <n v="0"/>
    <n v="200000"/>
    <n v="100000"/>
    <x v="0"/>
    <x v="0"/>
    <x v="0"/>
  </r>
  <r>
    <n v="11"/>
    <x v="10"/>
    <x v="0"/>
    <m/>
    <m/>
    <x v="8"/>
    <n v="0"/>
    <n v="4501436"/>
    <n v="11232731"/>
    <n v="3260000"/>
    <x v="0"/>
    <x v="0"/>
    <x v="0"/>
  </r>
  <r>
    <n v="12"/>
    <x v="11"/>
    <x v="0"/>
    <m/>
    <m/>
    <x v="9"/>
    <n v="0"/>
    <n v="0"/>
    <n v="1000000"/>
    <n v="900000"/>
    <x v="0"/>
    <x v="0"/>
    <x v="0"/>
  </r>
  <r>
    <n v="13"/>
    <x v="12"/>
    <x v="0"/>
    <m/>
    <m/>
    <x v="4"/>
    <n v="0"/>
    <n v="0"/>
    <n v="100000"/>
    <n v="455000"/>
    <x v="0"/>
    <x v="0"/>
    <x v="0"/>
  </r>
  <r>
    <n v="14"/>
    <x v="13"/>
    <x v="0"/>
    <m/>
    <m/>
    <x v="10"/>
    <n v="0"/>
    <n v="1217271"/>
    <n v="3600000"/>
    <n v="3600000"/>
    <x v="0"/>
    <x v="0"/>
    <x v="0"/>
  </r>
  <r>
    <n v="15"/>
    <x v="14"/>
    <x v="0"/>
    <m/>
    <m/>
    <x v="11"/>
    <n v="0"/>
    <n v="202867"/>
    <n v="1600000"/>
    <n v="1100000"/>
    <x v="0"/>
    <x v="0"/>
    <x v="0"/>
  </r>
  <r>
    <n v="16"/>
    <x v="15"/>
    <x v="0"/>
    <m/>
    <m/>
    <x v="3"/>
    <n v="0"/>
    <n v="0"/>
    <n v="600000"/>
    <n v="600000"/>
    <x v="0"/>
    <x v="0"/>
    <x v="0"/>
  </r>
  <r>
    <n v="17"/>
    <x v="16"/>
    <x v="0"/>
    <m/>
    <m/>
    <x v="12"/>
    <n v="0"/>
    <n v="9229849"/>
    <n v="19637613"/>
    <n v="3300000"/>
    <x v="0"/>
    <x v="0"/>
    <x v="0"/>
  </r>
  <r>
    <n v="18"/>
    <x v="17"/>
    <x v="0"/>
    <m/>
    <m/>
    <x v="13"/>
    <n v="0"/>
    <n v="2459332"/>
    <n v="4500000"/>
    <n v="3100000"/>
    <x v="0"/>
    <x v="0"/>
    <x v="0"/>
  </r>
  <r>
    <n v="19"/>
    <x v="18"/>
    <x v="0"/>
    <m/>
    <m/>
    <x v="14"/>
    <n v="0"/>
    <n v="380410"/>
    <n v="2200000"/>
    <n v="1100000"/>
    <x v="0"/>
    <x v="0"/>
    <x v="0"/>
  </r>
  <r>
    <n v="20"/>
    <x v="19"/>
    <x v="0"/>
    <m/>
    <m/>
    <x v="15"/>
    <n v="0"/>
    <n v="930313"/>
    <n v="3400000"/>
    <n v="3967593"/>
    <x v="0"/>
    <x v="0"/>
    <x v="0"/>
  </r>
  <r>
    <n v="21"/>
    <x v="20"/>
    <x v="0"/>
    <m/>
    <m/>
    <x v="16"/>
    <n v="0"/>
    <n v="7825976"/>
    <n v="19228346"/>
    <n v="5200000"/>
    <x v="0"/>
    <x v="0"/>
    <x v="0"/>
  </r>
  <r>
    <n v="22"/>
    <x v="21"/>
    <x v="1"/>
    <m/>
    <m/>
    <x v="17"/>
    <n v="0"/>
    <n v="1139362"/>
    <n v="2600000"/>
    <n v="3900000"/>
    <x v="0"/>
    <x v="0"/>
    <x v="0"/>
  </r>
  <r>
    <n v="23"/>
    <x v="22"/>
    <x v="0"/>
    <m/>
    <m/>
    <x v="18"/>
    <n v="0"/>
    <n v="200238"/>
    <n v="1700000"/>
    <n v="2100000"/>
    <x v="0"/>
    <x v="0"/>
    <x v="0"/>
  </r>
  <r>
    <n v="24"/>
    <x v="23"/>
    <x v="0"/>
    <m/>
    <m/>
    <x v="19"/>
    <n v="0"/>
    <n v="5418759"/>
    <n v="11315734"/>
    <n v="13175000"/>
    <x v="0"/>
    <x v="0"/>
    <x v="0"/>
  </r>
  <r>
    <n v="25"/>
    <x v="24"/>
    <x v="0"/>
    <m/>
    <m/>
    <x v="20"/>
    <n v="0"/>
    <n v="68404"/>
    <n v="1300000"/>
    <n v="2600000"/>
    <x v="0"/>
    <x v="0"/>
    <x v="0"/>
  </r>
  <r>
    <n v="26"/>
    <x v="25"/>
    <x v="0"/>
    <m/>
    <m/>
    <x v="21"/>
    <n v="0"/>
    <n v="0"/>
    <n v="1000000"/>
    <n v="1800000"/>
    <x v="0"/>
    <x v="0"/>
    <x v="0"/>
  </r>
  <r>
    <n v="27"/>
    <x v="26"/>
    <x v="0"/>
    <m/>
    <m/>
    <x v="22"/>
    <n v="0"/>
    <n v="0"/>
    <n v="400000"/>
    <n v="500000"/>
    <x v="0"/>
    <x v="0"/>
    <x v="0"/>
  </r>
  <r>
    <n v="28"/>
    <x v="27"/>
    <x v="0"/>
    <m/>
    <m/>
    <x v="23"/>
    <n v="0"/>
    <n v="5345080"/>
    <n v="10195194"/>
    <n v="3300000"/>
    <x v="0"/>
    <x v="0"/>
    <x v="0"/>
  </r>
  <r>
    <n v="29"/>
    <x v="28"/>
    <x v="0"/>
    <m/>
    <m/>
    <x v="23"/>
    <n v="0"/>
    <n v="1073551"/>
    <n v="4000000"/>
    <n v="1000000"/>
    <x v="0"/>
    <x v="0"/>
    <x v="0"/>
  </r>
  <r>
    <n v="30"/>
    <x v="29"/>
    <x v="0"/>
    <m/>
    <m/>
    <x v="24"/>
    <n v="0"/>
    <n v="4682831"/>
    <n v="10527206"/>
    <n v="4850000"/>
    <x v="0"/>
    <x v="0"/>
    <x v="0"/>
  </r>
  <r>
    <n v="31"/>
    <x v="30"/>
    <x v="0"/>
    <m/>
    <m/>
    <x v="25"/>
    <n v="0"/>
    <n v="4530258"/>
    <n v="16860333"/>
    <n v="4845000"/>
    <x v="0"/>
    <x v="0"/>
    <x v="0"/>
  </r>
  <r>
    <n v="32"/>
    <x v="31"/>
    <x v="0"/>
    <m/>
    <m/>
    <x v="22"/>
    <n v="0"/>
    <n v="0"/>
    <n v="400000"/>
    <n v="500000"/>
    <x v="0"/>
    <x v="0"/>
    <x v="0"/>
  </r>
  <r>
    <n v="33"/>
    <x v="32"/>
    <x v="0"/>
    <m/>
    <m/>
    <x v="26"/>
    <n v="0"/>
    <n v="955050"/>
    <n v="3000000"/>
    <n v="1500000"/>
    <x v="0"/>
    <x v="0"/>
    <x v="0"/>
  </r>
  <r>
    <n v="34"/>
    <x v="33"/>
    <x v="0"/>
    <m/>
    <m/>
    <x v="27"/>
    <n v="0"/>
    <n v="18995938"/>
    <n v="18038976"/>
    <n v="68085000"/>
    <x v="0"/>
    <x v="0"/>
    <x v="0"/>
  </r>
  <r>
    <n v="35"/>
    <x v="34"/>
    <x v="1"/>
    <m/>
    <m/>
    <x v="28"/>
    <n v="0"/>
    <n v="19495094"/>
    <n v="17329845"/>
    <n v="14899000"/>
    <x v="0"/>
    <x v="0"/>
    <x v="0"/>
  </r>
  <r>
    <n v="36"/>
    <x v="35"/>
    <x v="0"/>
    <m/>
    <m/>
    <x v="29"/>
    <n v="0"/>
    <n v="6118167"/>
    <n v="12477776"/>
    <n v="5400000"/>
    <x v="0"/>
    <x v="0"/>
    <x v="0"/>
  </r>
  <r>
    <n v="37"/>
    <x v="36"/>
    <x v="0"/>
    <m/>
    <m/>
    <x v="30"/>
    <n v="0"/>
    <n v="6685647"/>
    <n v="10693212"/>
    <n v="4800000"/>
    <x v="0"/>
    <x v="0"/>
    <x v="0"/>
  </r>
  <r>
    <n v="38"/>
    <x v="37"/>
    <x v="0"/>
    <m/>
    <m/>
    <x v="31"/>
    <n v="0"/>
    <n v="3343129"/>
    <n v="6394054"/>
    <n v="2000000"/>
    <x v="0"/>
    <x v="0"/>
    <x v="0"/>
  </r>
  <r>
    <n v="39"/>
    <x v="38"/>
    <x v="0"/>
    <m/>
    <m/>
    <x v="32"/>
    <n v="0"/>
    <n v="2094883"/>
    <n v="3500000"/>
    <n v="8750000"/>
    <x v="0"/>
    <x v="0"/>
    <x v="0"/>
  </r>
  <r>
    <n v="40"/>
    <x v="39"/>
    <x v="0"/>
    <m/>
    <m/>
    <x v="33"/>
    <n v="0"/>
    <n v="4712444"/>
    <n v="10610209"/>
    <n v="4950000"/>
    <x v="0"/>
    <x v="0"/>
    <x v="0"/>
  </r>
  <r>
    <n v="41"/>
    <x v="40"/>
    <x v="0"/>
    <m/>
    <m/>
    <x v="34"/>
    <n v="0"/>
    <n v="4223026"/>
    <n v="9375000"/>
    <n v="6620000"/>
    <x v="0"/>
    <x v="0"/>
    <x v="0"/>
  </r>
  <r>
    <n v="42"/>
    <x v="41"/>
    <x v="0"/>
    <m/>
    <m/>
    <x v="3"/>
    <n v="0"/>
    <n v="0"/>
    <n v="600000"/>
    <n v="600000"/>
    <x v="0"/>
    <x v="0"/>
    <x v="0"/>
  </r>
  <r>
    <n v="43"/>
    <x v="42"/>
    <x v="0"/>
    <m/>
    <m/>
    <x v="35"/>
    <n v="0"/>
    <n v="0"/>
    <n v="1000000"/>
    <n v="1500000"/>
    <x v="0"/>
    <x v="0"/>
    <x v="0"/>
  </r>
  <r>
    <n v="44"/>
    <x v="43"/>
    <x v="0"/>
    <m/>
    <m/>
    <x v="36"/>
    <n v="0"/>
    <n v="19513434"/>
    <n v="19082459"/>
    <n v="3650000"/>
    <x v="0"/>
    <x v="0"/>
    <x v="0"/>
  </r>
  <r>
    <n v="45"/>
    <x v="44"/>
    <x v="0"/>
    <m/>
    <m/>
    <x v="37"/>
    <n v="0"/>
    <n v="0"/>
    <n v="600000"/>
    <n v="850000"/>
    <x v="0"/>
    <x v="0"/>
    <x v="0"/>
  </r>
  <r>
    <n v="46"/>
    <x v="45"/>
    <x v="0"/>
    <m/>
    <m/>
    <x v="38"/>
    <n v="0"/>
    <n v="3615949"/>
    <n v="11357236"/>
    <n v="2045000"/>
    <x v="0"/>
    <x v="0"/>
    <x v="0"/>
  </r>
  <r>
    <n v="47"/>
    <x v="46"/>
    <x v="0"/>
    <m/>
    <m/>
    <x v="39"/>
    <n v="0"/>
    <n v="496595"/>
    <n v="2400000"/>
    <n v="350000"/>
    <x v="0"/>
    <x v="0"/>
    <x v="0"/>
  </r>
  <r>
    <n v="48"/>
    <x v="47"/>
    <x v="0"/>
    <m/>
    <m/>
    <x v="40"/>
    <n v="0"/>
    <n v="304300"/>
    <n v="1400000"/>
    <n v="3250000"/>
    <x v="0"/>
    <x v="0"/>
    <x v="0"/>
  </r>
  <r>
    <n v="49"/>
    <x v="48"/>
    <x v="0"/>
    <m/>
    <m/>
    <x v="41"/>
    <n v="0"/>
    <n v="7810885"/>
    <n v="17272028"/>
    <n v="3039000"/>
    <x v="0"/>
    <x v="0"/>
    <x v="0"/>
  </r>
  <r>
    <n v="50"/>
    <x v="49"/>
    <x v="0"/>
    <m/>
    <m/>
    <x v="42"/>
    <n v="0"/>
    <n v="3564663"/>
    <n v="9780179"/>
    <n v="2300000"/>
    <x v="0"/>
    <x v="0"/>
    <x v="0"/>
  </r>
  <r>
    <n v="51"/>
    <x v="50"/>
    <x v="0"/>
    <m/>
    <m/>
    <x v="4"/>
    <n v="0"/>
    <n v="0"/>
    <n v="200000"/>
    <n v="0"/>
    <x v="0"/>
    <x v="0"/>
    <x v="0"/>
  </r>
  <r>
    <n v="52"/>
    <x v="51"/>
    <x v="0"/>
    <m/>
    <m/>
    <x v="22"/>
    <n v="0"/>
    <n v="0"/>
    <n v="400000"/>
    <n v="500000"/>
    <x v="0"/>
    <x v="0"/>
    <x v="0"/>
  </r>
  <r>
    <n v="53"/>
    <x v="52"/>
    <x v="0"/>
    <m/>
    <m/>
    <x v="43"/>
    <n v="0"/>
    <n v="4289241"/>
    <n v="10440239"/>
    <n v="2859909"/>
    <x v="0"/>
    <x v="0"/>
    <x v="0"/>
  </r>
  <r>
    <n v="54"/>
    <x v="53"/>
    <x v="0"/>
    <m/>
    <m/>
    <x v="44"/>
    <n v="0"/>
    <n v="7617366"/>
    <n v="15914099"/>
    <n v="10005000"/>
    <x v="0"/>
    <x v="0"/>
    <x v="0"/>
  </r>
  <r>
    <n v="55"/>
    <x v="54"/>
    <x v="0"/>
    <m/>
    <m/>
    <x v="45"/>
    <n v="0"/>
    <n v="56934"/>
    <n v="1200000"/>
    <n v="1200000"/>
    <x v="0"/>
    <x v="0"/>
    <x v="0"/>
  </r>
  <r>
    <n v="56"/>
    <x v="55"/>
    <x v="0"/>
    <m/>
    <m/>
    <x v="46"/>
    <n v="0"/>
    <n v="2939331"/>
    <n v="10278196.839707721"/>
    <n v="5928149"/>
    <x v="0"/>
    <x v="0"/>
    <x v="0"/>
  </r>
  <r>
    <n v="57"/>
    <x v="56"/>
    <x v="0"/>
    <m/>
    <m/>
    <x v="47"/>
    <n v="0"/>
    <n v="5104060"/>
    <n v="11066725.17269595"/>
    <n v="1450000"/>
    <x v="0"/>
    <x v="0"/>
    <x v="0"/>
  </r>
  <r>
    <n v="58"/>
    <x v="57"/>
    <x v="0"/>
    <m/>
    <m/>
    <x v="48"/>
    <n v="0"/>
    <n v="1484323"/>
    <n v="3200000"/>
    <n v="3200000"/>
    <x v="0"/>
    <x v="0"/>
    <x v="0"/>
  </r>
  <r>
    <n v="59"/>
    <x v="58"/>
    <x v="2"/>
    <m/>
    <m/>
    <x v="49"/>
    <n v="0"/>
    <n v="8361372"/>
    <n v="16267444"/>
    <n v="6655000"/>
    <x v="0"/>
    <x v="0"/>
    <x v="0"/>
  </r>
  <r>
    <n v="60"/>
    <x v="59"/>
    <x v="0"/>
    <m/>
    <m/>
    <x v="50"/>
    <n v="0"/>
    <n v="2693715"/>
    <n v="9939098.4198538605"/>
    <n v="1915000"/>
    <x v="0"/>
    <x v="0"/>
    <x v="0"/>
  </r>
  <r>
    <n v="61"/>
    <x v="60"/>
    <x v="0"/>
    <m/>
    <m/>
    <x v="51"/>
    <n v="0"/>
    <n v="0"/>
    <n v="800000"/>
    <n v="800000"/>
    <x v="0"/>
    <x v="0"/>
    <x v="0"/>
  </r>
  <r>
    <n v="62"/>
    <x v="61"/>
    <x v="0"/>
    <m/>
    <m/>
    <x v="52"/>
    <n v="0"/>
    <n v="9841232"/>
    <n v="17459614.878670022"/>
    <n v="3813593"/>
    <x v="0"/>
    <x v="0"/>
    <x v="0"/>
  </r>
  <r>
    <n v="63"/>
    <x v="62"/>
    <x v="0"/>
    <m/>
    <m/>
    <x v="53"/>
    <n v="0"/>
    <n v="10008843"/>
    <n v="16856183.196477979"/>
    <n v="1425093"/>
    <x v="0"/>
    <x v="0"/>
    <x v="0"/>
  </r>
  <r>
    <n v="64"/>
    <x v="63"/>
    <x v="0"/>
    <m/>
    <m/>
    <x v="4"/>
    <n v="0"/>
    <n v="0"/>
    <n v="200000"/>
    <n v="0"/>
    <x v="0"/>
    <x v="0"/>
    <x v="0"/>
  </r>
  <r>
    <n v="65"/>
    <x v="64"/>
    <x v="0"/>
    <m/>
    <m/>
    <x v="54"/>
    <n v="0"/>
    <n v="7099071"/>
    <n v="12436274.382622879"/>
    <n v="4300000"/>
    <x v="0"/>
    <x v="0"/>
    <x v="0"/>
  </r>
  <r>
    <n v="66"/>
    <x v="65"/>
    <x v="0"/>
    <m/>
    <m/>
    <x v="55"/>
    <n v="0"/>
    <n v="0"/>
    <n v="1100000"/>
    <n v="3300000"/>
    <x v="0"/>
    <x v="0"/>
    <x v="0"/>
  </r>
  <r>
    <n v="67"/>
    <x v="66"/>
    <x v="0"/>
    <m/>
    <m/>
    <x v="56"/>
    <n v="0"/>
    <n v="0"/>
    <n v="900000"/>
    <n v="900000"/>
    <x v="0"/>
    <x v="0"/>
    <x v="0"/>
  </r>
  <r>
    <n v="68"/>
    <x v="67"/>
    <x v="0"/>
    <m/>
    <m/>
    <x v="57"/>
    <n v="0"/>
    <n v="4907156"/>
    <n v="8784143.1561510712"/>
    <n v="5367593"/>
    <x v="0"/>
    <x v="0"/>
    <x v="0"/>
  </r>
  <r>
    <n v="69"/>
    <x v="68"/>
    <x v="1"/>
    <m/>
    <m/>
    <x v="58"/>
    <n v="0"/>
    <n v="1265346"/>
    <n v="3600000"/>
    <n v="900000"/>
    <x v="0"/>
    <x v="0"/>
    <x v="0"/>
  </r>
  <r>
    <n v="70"/>
    <x v="69"/>
    <x v="0"/>
    <m/>
    <m/>
    <x v="59"/>
    <n v="0"/>
    <n v="0"/>
    <n v="1000000"/>
    <n v="800000"/>
    <x v="0"/>
    <x v="0"/>
    <x v="0"/>
  </r>
  <r>
    <n v="71"/>
    <x v="70"/>
    <x v="0"/>
    <m/>
    <m/>
    <x v="60"/>
    <n v="0"/>
    <n v="5331808"/>
    <n v="10527205.78696716"/>
    <n v="4350000"/>
    <x v="0"/>
    <x v="0"/>
    <x v="0"/>
  </r>
  <r>
    <n v="72"/>
    <x v="71"/>
    <x v="0"/>
    <m/>
    <m/>
    <x v="61"/>
    <n v="0"/>
    <n v="5917688"/>
    <n v="15872597.85480318"/>
    <n v="6490000"/>
    <x v="0"/>
    <x v="0"/>
    <x v="0"/>
  </r>
  <r>
    <n v="73"/>
    <x v="72"/>
    <x v="0"/>
    <m/>
    <m/>
    <x v="62"/>
    <n v="0"/>
    <n v="5739852"/>
    <n v="10278196.839707721"/>
    <n v="3350000"/>
    <x v="0"/>
    <x v="0"/>
    <x v="0"/>
  </r>
  <r>
    <n v="74"/>
    <x v="73"/>
    <x v="0"/>
    <m/>
    <m/>
    <x v="58"/>
    <n v="0"/>
    <n v="3713006"/>
    <n v="8500000"/>
    <n v="12300000"/>
    <x v="0"/>
    <x v="0"/>
    <x v="0"/>
  </r>
  <r>
    <n v="75"/>
    <x v="74"/>
    <x v="0"/>
    <m/>
    <m/>
    <x v="63"/>
    <n v="0"/>
    <n v="6675050"/>
    <n v="16320813.95987018"/>
    <n v="2290000"/>
    <x v="0"/>
    <x v="0"/>
    <x v="0"/>
  </r>
  <r>
    <n v="76"/>
    <x v="75"/>
    <x v="0"/>
    <m/>
    <m/>
    <x v="64"/>
    <n v="0"/>
    <n v="7371044"/>
    <n v="11315734.119955391"/>
    <n v="5625000"/>
    <x v="0"/>
    <x v="0"/>
    <x v="0"/>
  </r>
  <r>
    <n v="77"/>
    <x v="76"/>
    <x v="0"/>
    <m/>
    <m/>
    <x v="65"/>
    <n v="0"/>
    <n v="6600785"/>
    <n v="13541244.558424741"/>
    <n v="2353500"/>
    <x v="0"/>
    <x v="0"/>
    <x v="0"/>
  </r>
  <r>
    <n v="78"/>
    <x v="77"/>
    <x v="0"/>
    <m/>
    <m/>
    <x v="66"/>
    <n v="0"/>
    <n v="5430056"/>
    <n v="10527205.78696716"/>
    <n v="4517593"/>
    <x v="0"/>
    <x v="0"/>
    <x v="0"/>
  </r>
  <r>
    <n v="79"/>
    <x v="78"/>
    <x v="0"/>
    <m/>
    <m/>
    <x v="67"/>
    <n v="0"/>
    <n v="4190452"/>
    <n v="10278196.839707721"/>
    <n v="5529539"/>
    <x v="0"/>
    <x v="0"/>
    <x v="0"/>
  </r>
  <r>
    <n v="80"/>
    <x v="79"/>
    <x v="0"/>
    <m/>
    <m/>
    <x v="68"/>
    <n v="0"/>
    <n v="1442591"/>
    <n v="3500000"/>
    <n v="4200000"/>
    <x v="0"/>
    <x v="0"/>
    <x v="0"/>
  </r>
  <r>
    <n v="81"/>
    <x v="80"/>
    <x v="0"/>
    <m/>
    <m/>
    <x v="69"/>
    <n v="0"/>
    <n v="6584674"/>
    <n v="12477775.87383279"/>
    <n v="3825000"/>
    <x v="0"/>
    <x v="0"/>
    <x v="0"/>
  </r>
  <r>
    <n v="82"/>
    <x v="81"/>
    <x v="0"/>
    <m/>
    <m/>
    <x v="70"/>
    <n v="0"/>
    <n v="0"/>
    <n v="1200000"/>
    <n v="2200000"/>
    <x v="0"/>
    <x v="0"/>
    <x v="0"/>
  </r>
  <r>
    <n v="83"/>
    <x v="82"/>
    <x v="0"/>
    <m/>
    <m/>
    <x v="71"/>
    <n v="0"/>
    <n v="6317594"/>
    <n v="16860333.34559897"/>
    <n v="1498000"/>
    <x v="0"/>
    <x v="0"/>
    <x v="0"/>
  </r>
  <r>
    <n v="84"/>
    <x v="83"/>
    <x v="0"/>
    <m/>
    <m/>
    <x v="72"/>
    <n v="0"/>
    <n v="4660459"/>
    <n v="10693211.75180679"/>
    <n v="2550000"/>
    <x v="0"/>
    <x v="0"/>
    <x v="0"/>
  </r>
  <r>
    <n v="85"/>
    <x v="84"/>
    <x v="0"/>
    <m/>
    <m/>
    <x v="73"/>
    <n v="0"/>
    <n v="3474000"/>
    <n v="5630029.8241981389"/>
    <n v="2500000"/>
    <x v="0"/>
    <x v="0"/>
    <x v="0"/>
  </r>
  <r>
    <n v="86"/>
    <x v="85"/>
    <x v="0"/>
    <m/>
    <m/>
    <x v="74"/>
    <n v="0"/>
    <n v="7826414"/>
    <n v="12685283.32988232"/>
    <n v="3150000"/>
    <x v="0"/>
    <x v="0"/>
    <x v="0"/>
  </r>
  <r>
    <n v="87"/>
    <x v="86"/>
    <x v="0"/>
    <m/>
    <m/>
    <x v="75"/>
    <n v="0"/>
    <n v="8383390"/>
    <n v="17464595.057615209"/>
    <n v="10161000"/>
    <x v="0"/>
    <x v="0"/>
    <x v="0"/>
  </r>
  <r>
    <n v="88"/>
    <x v="87"/>
    <x v="0"/>
    <m/>
    <m/>
    <x v="76"/>
    <n v="0"/>
    <n v="0"/>
    <n v="800000"/>
    <n v="1600000"/>
    <x v="0"/>
    <x v="0"/>
    <x v="0"/>
  </r>
  <r>
    <n v="89"/>
    <x v="88"/>
    <x v="0"/>
    <m/>
    <m/>
    <x v="77"/>
    <n v="0"/>
    <n v="5917809"/>
    <n v="12477775.87383279"/>
    <n v="1925000"/>
    <x v="0"/>
    <x v="0"/>
    <x v="0"/>
  </r>
  <r>
    <n v="90"/>
    <x v="89"/>
    <x v="2"/>
    <m/>
    <m/>
    <x v="78"/>
    <n v="0"/>
    <n v="6486375"/>
    <n v="16540561.38034522"/>
    <n v="1747500"/>
    <x v="0"/>
    <x v="0"/>
    <x v="0"/>
  </r>
  <r>
    <n v="91"/>
    <x v="90"/>
    <x v="1"/>
    <m/>
    <m/>
    <x v="79"/>
    <n v="0"/>
    <n v="3669231"/>
    <n v="10029188"/>
    <n v="857037"/>
    <x v="0"/>
    <x v="0"/>
    <x v="0"/>
  </r>
  <r>
    <n v="92"/>
    <x v="91"/>
    <x v="0"/>
    <m/>
    <m/>
    <x v="80"/>
    <n v="0"/>
    <n v="3884624"/>
    <n v="9946184.9100284595"/>
    <n v="6400000"/>
    <x v="0"/>
    <x v="0"/>
    <x v="0"/>
  </r>
  <r>
    <n v="93"/>
    <x v="92"/>
    <x v="0"/>
    <m/>
    <m/>
    <x v="81"/>
    <n v="0"/>
    <n v="13254093"/>
    <n v="23393881.870105699"/>
    <n v="6159892"/>
    <x v="0"/>
    <x v="0"/>
    <x v="0"/>
  </r>
  <r>
    <n v="94"/>
    <x v="93"/>
    <x v="0"/>
    <m/>
    <m/>
    <x v="82"/>
    <n v="0"/>
    <n v="19859230"/>
    <n v="27477628.605160549"/>
    <n v="12230224"/>
    <x v="0"/>
    <x v="0"/>
    <x v="0"/>
  </r>
  <r>
    <n v="95"/>
    <x v="94"/>
    <x v="0"/>
    <m/>
    <m/>
    <x v="4"/>
    <n v="0"/>
    <n v="0"/>
    <n v="200000"/>
    <n v="400000"/>
    <x v="0"/>
    <x v="0"/>
    <x v="0"/>
  </r>
  <r>
    <n v="96"/>
    <x v="95"/>
    <x v="0"/>
    <m/>
    <m/>
    <x v="83"/>
    <n v="0"/>
    <n v="800896"/>
    <n v="2400000"/>
    <n v="1200000"/>
    <x v="0"/>
    <x v="0"/>
    <x v="0"/>
  </r>
  <r>
    <n v="97"/>
    <x v="96"/>
    <x v="0"/>
    <m/>
    <m/>
    <x v="84"/>
    <n v="0"/>
    <n v="7850238"/>
    <n v="17639731.350521021"/>
    <n v="507500"/>
    <x v="0"/>
    <x v="0"/>
    <x v="0"/>
  </r>
  <r>
    <n v="98"/>
    <x v="97"/>
    <x v="0"/>
    <m/>
    <m/>
    <x v="85"/>
    <n v="0"/>
    <n v="8509241"/>
    <n v="16876933.94208293"/>
    <n v="2925000"/>
    <x v="0"/>
    <x v="0"/>
    <x v="0"/>
  </r>
  <r>
    <n v="99"/>
    <x v="98"/>
    <x v="0"/>
    <m/>
    <m/>
    <x v="86"/>
    <n v="0"/>
    <n v="5391027"/>
    <n v="11132161.05066995"/>
    <n v="2149999.9999999497"/>
    <x v="0"/>
    <x v="0"/>
    <x v="0"/>
  </r>
  <r>
    <n v="100"/>
    <x v="99"/>
    <x v="1"/>
    <m/>
    <m/>
    <x v="87"/>
    <n v="0"/>
    <n v="7236336"/>
    <n v="33469254.672582399"/>
    <n v="5366299"/>
    <x v="0"/>
    <x v="0"/>
    <x v="0"/>
  </r>
  <r>
    <n v="101"/>
    <x v="100"/>
    <x v="0"/>
    <m/>
    <m/>
    <x v="88"/>
    <n v="0"/>
    <n v="10479089"/>
    <n v="18993509.993788179"/>
    <n v="2510000"/>
    <x v="0"/>
    <x v="0"/>
    <x v="0"/>
  </r>
  <r>
    <n v="102"/>
    <x v="101"/>
    <x v="0"/>
    <m/>
    <m/>
    <x v="89"/>
    <n v="0"/>
    <n v="8390411"/>
    <n v="17212265.991058979"/>
    <n v="9371000"/>
    <x v="0"/>
    <x v="0"/>
    <x v="0"/>
  </r>
  <r>
    <n v="103"/>
    <x v="102"/>
    <x v="0"/>
    <m/>
    <m/>
    <x v="90"/>
    <n v="0"/>
    <n v="6105486"/>
    <n v="11730749.03205446"/>
    <n v="1820000"/>
    <x v="0"/>
    <x v="0"/>
    <x v="0"/>
  </r>
  <r>
    <n v="104"/>
    <x v="103"/>
    <x v="0"/>
    <m/>
    <m/>
    <x v="91"/>
    <n v="0"/>
    <n v="2906440"/>
    <n v="3900000"/>
    <n v="4450000"/>
    <x v="0"/>
    <x v="0"/>
    <x v="0"/>
  </r>
  <r>
    <n v="105"/>
    <x v="104"/>
    <x v="0"/>
    <m/>
    <m/>
    <x v="92"/>
    <n v="0"/>
    <n v="5039098"/>
    <n v="12685283.32988232"/>
    <n v="5100000"/>
    <x v="0"/>
    <x v="0"/>
    <x v="0"/>
  </r>
  <r>
    <n v="106"/>
    <x v="105"/>
    <x v="0"/>
    <m/>
    <m/>
    <x v="93"/>
    <n v="0"/>
    <n v="1217271"/>
    <n v="3500000"/>
    <n v="3500000"/>
    <x v="0"/>
    <x v="0"/>
    <x v="0"/>
  </r>
  <r>
    <n v="107"/>
    <x v="106"/>
    <x v="0"/>
    <m/>
    <m/>
    <x v="94"/>
    <n v="0"/>
    <n v="4306062"/>
    <n v="16320813.95987018"/>
    <n v="2610000"/>
    <x v="0"/>
    <x v="0"/>
    <x v="0"/>
  </r>
  <r>
    <n v="108"/>
    <x v="107"/>
    <x v="1"/>
    <m/>
    <m/>
    <x v="95"/>
    <n v="0"/>
    <n v="4736091"/>
    <n v="5630030"/>
    <n v="13381668"/>
    <x v="0"/>
    <x v="0"/>
    <x v="0"/>
  </r>
  <r>
    <n v="109"/>
    <x v="108"/>
    <x v="0"/>
    <m/>
    <m/>
    <x v="4"/>
    <n v="0"/>
    <n v="0"/>
    <n v="200000"/>
    <n v="910000"/>
    <x v="0"/>
    <x v="0"/>
    <x v="0"/>
  </r>
  <r>
    <n v="110"/>
    <x v="109"/>
    <x v="0"/>
    <m/>
    <m/>
    <x v="96"/>
    <n v="0"/>
    <n v="5830118"/>
    <n v="17492816.071637951"/>
    <n v="2048058"/>
    <x v="0"/>
    <x v="0"/>
    <x v="0"/>
  </r>
  <r>
    <n v="111"/>
    <x v="110"/>
    <x v="0"/>
    <m/>
    <m/>
    <x v="97"/>
    <n v="0"/>
    <n v="8269623"/>
    <n v="17150843.78406832"/>
    <n v="3720000"/>
    <x v="0"/>
    <x v="0"/>
    <x v="0"/>
  </r>
  <r>
    <n v="112"/>
    <x v="111"/>
    <x v="1"/>
    <m/>
    <m/>
    <x v="96"/>
    <n v="0"/>
    <n v="2995908"/>
    <n v="11398737.102375209"/>
    <n v="5075000"/>
    <x v="0"/>
    <x v="0"/>
    <x v="0"/>
  </r>
  <r>
    <n v="113"/>
    <x v="112"/>
    <x v="0"/>
    <m/>
    <m/>
    <x v="98"/>
    <n v="0"/>
    <n v="1731515"/>
    <n v="4300000"/>
    <n v="1300000"/>
    <x v="0"/>
    <x v="0"/>
    <x v="0"/>
  </r>
  <r>
    <n v="114"/>
    <x v="113"/>
    <x v="0"/>
    <m/>
    <m/>
    <x v="99"/>
    <n v="0"/>
    <n v="11725598"/>
    <n v="22468398.616124779"/>
    <n v="26880187"/>
    <x v="0"/>
    <x v="0"/>
    <x v="0"/>
  </r>
  <r>
    <n v="115"/>
    <x v="114"/>
    <x v="0"/>
    <m/>
    <m/>
    <x v="100"/>
    <n v="0"/>
    <n v="152081"/>
    <n v="1500000"/>
    <n v="1500000"/>
    <x v="0"/>
    <x v="0"/>
    <x v="0"/>
  </r>
  <r>
    <n v="116"/>
    <x v="115"/>
    <x v="0"/>
    <m/>
    <m/>
    <x v="101"/>
    <n v="650000"/>
    <n v="2800919"/>
    <n v="7954113.3319529295"/>
    <n v="2083058"/>
    <x v="0"/>
    <x v="0"/>
    <x v="0"/>
  </r>
  <r>
    <n v="117"/>
    <x v="116"/>
    <x v="0"/>
    <m/>
    <m/>
    <x v="102"/>
    <n v="0"/>
    <n v="152081"/>
    <n v="1500000"/>
    <n v="1500000"/>
    <x v="0"/>
    <x v="0"/>
    <x v="0"/>
  </r>
  <r>
    <n v="118"/>
    <x v="117"/>
    <x v="0"/>
    <m/>
    <m/>
    <x v="103"/>
    <n v="0"/>
    <n v="1141370"/>
    <n v="2100000"/>
    <n v="8400000"/>
    <x v="0"/>
    <x v="0"/>
    <x v="0"/>
  </r>
  <r>
    <n v="119"/>
    <x v="118"/>
    <x v="0"/>
    <m/>
    <m/>
    <x v="104"/>
    <n v="0"/>
    <n v="3781837"/>
    <n v="10278196.839707721"/>
    <n v="4594353"/>
    <x v="0"/>
    <x v="0"/>
    <x v="0"/>
  </r>
  <r>
    <n v="120"/>
    <x v="119"/>
    <x v="0"/>
    <m/>
    <m/>
    <x v="105"/>
    <n v="0"/>
    <n v="2387420"/>
    <n v="5250000"/>
    <n v="-950000"/>
    <x v="0"/>
    <x v="0"/>
    <x v="0"/>
  </r>
  <r>
    <n v="121"/>
    <x v="120"/>
    <x v="0"/>
    <m/>
    <m/>
    <x v="106"/>
    <n v="0"/>
    <n v="661943"/>
    <n v="2800000"/>
    <n v="725000"/>
    <x v="0"/>
    <x v="0"/>
    <x v="0"/>
  </r>
  <r>
    <n v="122"/>
    <x v="121"/>
    <x v="0"/>
    <m/>
    <m/>
    <x v="107"/>
    <n v="0"/>
    <n v="967349"/>
    <n v="3000000"/>
    <n v="3000000"/>
    <x v="0"/>
    <x v="0"/>
    <x v="0"/>
  </r>
  <r>
    <n v="123"/>
    <x v="122"/>
    <x v="0"/>
    <m/>
    <m/>
    <x v="108"/>
    <n v="0"/>
    <n v="4574387"/>
    <n v="5630029.8241981389"/>
    <n v="5100000"/>
    <x v="0"/>
    <x v="0"/>
    <x v="0"/>
  </r>
  <r>
    <n v="124"/>
    <x v="123"/>
    <x v="0"/>
    <m/>
    <m/>
    <x v="109"/>
    <n v="0"/>
    <n v="114026"/>
    <n v="1500000"/>
    <n v="750000"/>
    <x v="0"/>
    <x v="0"/>
    <x v="0"/>
  </r>
  <r>
    <n v="125"/>
    <x v="124"/>
    <x v="0"/>
    <m/>
    <m/>
    <x v="110"/>
    <n v="0"/>
    <n v="0"/>
    <n v="1000000"/>
    <n v="1500000"/>
    <x v="0"/>
    <x v="0"/>
    <x v="0"/>
  </r>
  <r>
    <n v="126"/>
    <x v="125"/>
    <x v="0"/>
    <m/>
    <m/>
    <x v="111"/>
    <n v="0"/>
    <n v="3358731"/>
    <n v="10520119.296792559"/>
    <n v="2900000"/>
    <x v="0"/>
    <x v="0"/>
    <x v="0"/>
  </r>
  <r>
    <n v="127"/>
    <x v="126"/>
    <x v="0"/>
    <m/>
    <m/>
    <x v="112"/>
    <n v="0"/>
    <n v="4242556"/>
    <n v="10444202.804547351"/>
    <n v="2200000"/>
    <x v="0"/>
    <x v="0"/>
    <x v="0"/>
  </r>
  <r>
    <n v="128"/>
    <x v="127"/>
    <x v="0"/>
    <m/>
    <m/>
    <x v="113"/>
    <n v="0"/>
    <n v="10398255"/>
    <n v="17464595.057615209"/>
    <n v="8083000"/>
    <x v="0"/>
    <x v="0"/>
    <x v="0"/>
  </r>
  <r>
    <n v="129"/>
    <x v="128"/>
    <x v="0"/>
    <m/>
    <m/>
    <x v="114"/>
    <n v="0"/>
    <n v="5194678"/>
    <n v="16453618.731741879"/>
    <n v="3415000"/>
    <x v="0"/>
    <x v="0"/>
    <x v="0"/>
  </r>
  <r>
    <n v="130"/>
    <x v="129"/>
    <x v="0"/>
    <m/>
    <m/>
    <x v="115"/>
    <n v="0"/>
    <n v="6715846"/>
    <n v="17117642.591100391"/>
    <n v="6656000"/>
    <x v="0"/>
    <x v="0"/>
    <x v="0"/>
  </r>
  <r>
    <n v="131"/>
    <x v="130"/>
    <x v="0"/>
    <m/>
    <m/>
    <x v="116"/>
    <n v="0"/>
    <n v="9786461"/>
    <n v="16403816.942289989"/>
    <n v="3665000"/>
    <x v="0"/>
    <x v="0"/>
    <x v="0"/>
  </r>
  <r>
    <n v="132"/>
    <x v="131"/>
    <x v="0"/>
    <m/>
    <m/>
    <x v="3"/>
    <n v="0"/>
    <n v="0"/>
    <n v="600000"/>
    <n v="600000"/>
    <x v="0"/>
    <x v="0"/>
    <x v="0"/>
  </r>
  <r>
    <n v="133"/>
    <x v="132"/>
    <x v="0"/>
    <m/>
    <m/>
    <x v="117"/>
    <n v="0"/>
    <n v="3418946"/>
    <n v="6294053.6835566508"/>
    <n v="2100000"/>
    <x v="0"/>
    <x v="0"/>
    <x v="0"/>
  </r>
  <r>
    <n v="134"/>
    <x v="133"/>
    <x v="1"/>
    <m/>
    <m/>
    <x v="118"/>
    <n v="0"/>
    <n v="0"/>
    <n v="800000"/>
    <n v="1600000"/>
    <x v="0"/>
    <x v="0"/>
    <x v="0"/>
  </r>
  <r>
    <n v="135"/>
    <x v="134"/>
    <x v="0"/>
    <m/>
    <m/>
    <x v="3"/>
    <n v="0"/>
    <n v="0"/>
    <n v="600000"/>
    <n v="2200000"/>
    <x v="0"/>
    <x v="0"/>
    <x v="0"/>
  </r>
  <r>
    <n v="136"/>
    <x v="135"/>
    <x v="0"/>
    <m/>
    <m/>
    <x v="119"/>
    <n v="0"/>
    <n v="9159642"/>
    <n v="17149183.724419922"/>
    <n v="1753000"/>
    <x v="0"/>
    <x v="0"/>
    <x v="0"/>
  </r>
  <r>
    <n v="137"/>
    <x v="136"/>
    <x v="0"/>
    <m/>
    <m/>
    <x v="120"/>
    <n v="0"/>
    <n v="5610287"/>
    <n v="12685283.32988232"/>
    <n v="1175000"/>
    <x v="0"/>
    <x v="0"/>
    <x v="0"/>
  </r>
  <r>
    <n v="138"/>
    <x v="137"/>
    <x v="0"/>
    <m/>
    <m/>
    <x v="121"/>
    <n v="0"/>
    <n v="661114"/>
    <n v="2400000"/>
    <n v="800000"/>
    <x v="0"/>
    <x v="0"/>
    <x v="0"/>
  </r>
  <r>
    <n v="139"/>
    <x v="138"/>
    <x v="0"/>
    <m/>
    <m/>
    <x v="122"/>
    <n v="0"/>
    <n v="0"/>
    <n v="1100000"/>
    <n v="650000"/>
    <x v="0"/>
    <x v="0"/>
    <x v="0"/>
  </r>
  <r>
    <n v="140"/>
    <x v="139"/>
    <x v="1"/>
    <m/>
    <m/>
    <x v="123"/>
    <n v="0"/>
    <n v="126757"/>
    <n v="1400000"/>
    <n v="2100000"/>
    <x v="0"/>
    <x v="0"/>
    <x v="0"/>
  </r>
  <r>
    <n v="141"/>
    <x v="140"/>
    <x v="0"/>
    <m/>
    <m/>
    <x v="124"/>
    <n v="0"/>
    <n v="6242061"/>
    <n v="15872597.85480318"/>
    <n v="4703058"/>
    <x v="0"/>
    <x v="0"/>
    <x v="0"/>
  </r>
  <r>
    <n v="142"/>
    <x v="141"/>
    <x v="0"/>
    <m/>
    <m/>
    <x v="124"/>
    <n v="0"/>
    <n v="3088135"/>
    <n v="11274232.628745491"/>
    <n v="2755000"/>
    <x v="0"/>
    <x v="0"/>
    <x v="0"/>
  </r>
  <r>
    <n v="143"/>
    <x v="142"/>
    <x v="0"/>
    <m/>
    <m/>
    <x v="125"/>
    <n v="0"/>
    <n v="2147886"/>
    <n v="8452131.2264718097"/>
    <n v="2000000"/>
    <x v="0"/>
    <x v="0"/>
    <x v="0"/>
  </r>
  <r>
    <n v="144"/>
    <x v="143"/>
    <x v="0"/>
    <m/>
    <m/>
    <x v="126"/>
    <n v="0"/>
    <n v="4178368"/>
    <n v="12477775.87383279"/>
    <n v="5195000"/>
    <x v="0"/>
    <x v="0"/>
    <x v="0"/>
  </r>
  <r>
    <n v="145"/>
    <x v="144"/>
    <x v="0"/>
    <m/>
    <m/>
    <x v="127"/>
    <n v="0"/>
    <n v="1192391"/>
    <n v="3200000"/>
    <n v="2000000"/>
    <x v="0"/>
    <x v="0"/>
    <x v="0"/>
  </r>
  <r>
    <n v="146"/>
    <x v="145"/>
    <x v="0"/>
    <m/>
    <m/>
    <x v="128"/>
    <n v="0"/>
    <n v="1175605"/>
    <n v="3200000"/>
    <n v="3200000"/>
    <x v="0"/>
    <x v="0"/>
    <x v="0"/>
  </r>
  <r>
    <n v="147"/>
    <x v="146"/>
    <x v="0"/>
    <m/>
    <m/>
    <x v="129"/>
    <n v="0"/>
    <n v="6096736"/>
    <n v="12436274.382622879"/>
    <n v="3800000"/>
    <x v="0"/>
    <x v="0"/>
    <x v="0"/>
  </r>
  <r>
    <n v="148"/>
    <x v="147"/>
    <x v="0"/>
    <m/>
    <m/>
    <x v="18"/>
    <n v="0"/>
    <n v="188216"/>
    <n v="1700000"/>
    <n v="3400000"/>
    <x v="0"/>
    <x v="0"/>
    <x v="0"/>
  </r>
  <r>
    <n v="149"/>
    <x v="148"/>
    <x v="0"/>
    <m/>
    <m/>
    <x v="130"/>
    <n v="0"/>
    <n v="8444920"/>
    <n v="19907372.83023034"/>
    <n v="3168000"/>
    <x v="0"/>
    <x v="0"/>
    <x v="0"/>
  </r>
  <r>
    <n v="150"/>
    <x v="149"/>
    <x v="0"/>
    <m/>
    <m/>
    <x v="131"/>
    <n v="0"/>
    <n v="1929988"/>
    <n v="2900000"/>
    <n v="3100000"/>
    <x v="0"/>
    <x v="0"/>
    <x v="0"/>
  </r>
  <r>
    <n v="151"/>
    <x v="150"/>
    <x v="0"/>
    <m/>
    <m/>
    <x v="132"/>
    <n v="0"/>
    <n v="11338111"/>
    <n v="17399852.731327761"/>
    <n v="6566250"/>
    <x v="0"/>
    <x v="0"/>
    <x v="0"/>
  </r>
  <r>
    <n v="152"/>
    <x v="151"/>
    <x v="0"/>
    <m/>
    <m/>
    <x v="133"/>
    <n v="0"/>
    <n v="4566224"/>
    <n v="10527205.78696716"/>
    <n v="2750000"/>
    <x v="0"/>
    <x v="0"/>
    <x v="0"/>
  </r>
  <r>
    <n v="153"/>
    <x v="152"/>
    <x v="0"/>
    <m/>
    <m/>
    <x v="58"/>
    <n v="0"/>
    <n v="1187301"/>
    <n v="3500000"/>
    <n v="3500000"/>
    <x v="0"/>
    <x v="0"/>
    <x v="0"/>
  </r>
  <r>
    <n v="154"/>
    <x v="153"/>
    <x v="0"/>
    <m/>
    <m/>
    <x v="134"/>
    <n v="0"/>
    <n v="1271321"/>
    <n v="4300000"/>
    <n v="2150000"/>
    <x v="0"/>
    <x v="0"/>
    <x v="0"/>
  </r>
  <r>
    <n v="155"/>
    <x v="154"/>
    <x v="2"/>
    <m/>
    <m/>
    <x v="135"/>
    <n v="0"/>
    <n v="4876583"/>
    <n v="16940561.380345218"/>
    <n v="-16823061.380345218"/>
    <x v="0"/>
    <x v="0"/>
    <x v="0"/>
  </r>
  <r>
    <n v="156"/>
    <x v="155"/>
    <x v="0"/>
    <m/>
    <m/>
    <x v="136"/>
    <n v="0"/>
    <n v="3775994"/>
    <n v="10029187.89244828"/>
    <n v="4550000"/>
    <x v="0"/>
    <x v="0"/>
    <x v="0"/>
  </r>
  <r>
    <n v="157"/>
    <x v="156"/>
    <x v="0"/>
    <m/>
    <m/>
    <x v="137"/>
    <n v="0"/>
    <n v="4208011"/>
    <n v="17715264.064523049"/>
    <n v="3979500"/>
    <x v="0"/>
    <x v="0"/>
    <x v="0"/>
  </r>
  <r>
    <n v="158"/>
    <x v="157"/>
    <x v="0"/>
    <m/>
    <m/>
    <x v="138"/>
    <n v="0"/>
    <n v="4713275"/>
    <n v="9821680.4363987409"/>
    <n v="2560000"/>
    <x v="0"/>
    <x v="0"/>
    <x v="0"/>
  </r>
  <r>
    <n v="159"/>
    <x v="158"/>
    <x v="0"/>
    <m/>
    <m/>
    <x v="139"/>
    <n v="0"/>
    <n v="12118348"/>
    <n v="17086101.45778086"/>
    <n v="1480000"/>
    <x v="0"/>
    <x v="0"/>
    <x v="0"/>
  </r>
  <r>
    <n v="160"/>
    <x v="159"/>
    <x v="0"/>
    <m/>
    <m/>
    <x v="140"/>
    <n v="0"/>
    <n v="6164416"/>
    <n v="20239384.759909589"/>
    <n v="8768000"/>
    <x v="0"/>
    <x v="0"/>
    <x v="0"/>
  </r>
  <r>
    <n v="161"/>
    <x v="160"/>
    <x v="0"/>
    <m/>
    <m/>
    <x v="141"/>
    <n v="0"/>
    <n v="8449557"/>
    <n v="12477775.87383279"/>
    <n v="8100000"/>
    <x v="0"/>
    <x v="0"/>
    <x v="0"/>
  </r>
  <r>
    <n v="162"/>
    <x v="161"/>
    <x v="1"/>
    <m/>
    <m/>
    <x v="142"/>
    <n v="0"/>
    <n v="7558590"/>
    <n v="17464595.057615209"/>
    <n v="2521000"/>
    <x v="0"/>
    <x v="0"/>
    <x v="0"/>
  </r>
  <r>
    <n v="163"/>
    <x v="162"/>
    <x v="0"/>
    <m/>
    <m/>
    <x v="143"/>
    <n v="0"/>
    <n v="5939399"/>
    <n v="18084627.33629122"/>
    <n v="3066000"/>
    <x v="0"/>
    <x v="0"/>
    <x v="0"/>
  </r>
  <r>
    <n v="164"/>
    <x v="163"/>
    <x v="0"/>
    <m/>
    <m/>
    <x v="144"/>
    <n v="0"/>
    <n v="586524"/>
    <n v="2600000"/>
    <n v="1300000"/>
    <x v="0"/>
    <x v="0"/>
    <x v="0"/>
  </r>
  <r>
    <n v="165"/>
    <x v="164"/>
    <x v="0"/>
    <m/>
    <m/>
    <x v="145"/>
    <n v="0"/>
    <n v="9747234"/>
    <n v="17388232.31378898"/>
    <n v="2535000"/>
    <x v="0"/>
    <x v="0"/>
    <x v="0"/>
  </r>
  <r>
    <n v="166"/>
    <x v="165"/>
    <x v="0"/>
    <m/>
    <m/>
    <x v="146"/>
    <n v="0"/>
    <n v="916767"/>
    <n v="2400000"/>
    <n v="2400000"/>
    <x v="0"/>
    <x v="0"/>
    <x v="0"/>
  </r>
  <r>
    <n v="167"/>
    <x v="166"/>
    <x v="0"/>
    <m/>
    <m/>
    <x v="147"/>
    <n v="0"/>
    <n v="9770205"/>
    <n v="18139409.304688301"/>
    <n v="3165000"/>
    <x v="0"/>
    <x v="0"/>
    <x v="0"/>
  </r>
  <r>
    <n v="168"/>
    <x v="167"/>
    <x v="0"/>
    <m/>
    <m/>
    <x v="148"/>
    <n v="0"/>
    <n v="7688601"/>
    <n v="17366651.538359828"/>
    <n v="1962000"/>
    <x v="0"/>
    <x v="0"/>
    <x v="0"/>
  </r>
  <r>
    <n v="169"/>
    <x v="168"/>
    <x v="0"/>
    <m/>
    <m/>
    <x v="149"/>
    <n v="0"/>
    <n v="3952497"/>
    <n v="11682161.05066995"/>
    <n v="3000000"/>
    <x v="0"/>
    <x v="0"/>
    <x v="0"/>
  </r>
  <r>
    <n v="170"/>
    <x v="169"/>
    <x v="0"/>
    <m/>
    <m/>
    <x v="150"/>
    <n v="0"/>
    <n v="10348641"/>
    <n v="17366651.538359828"/>
    <n v="3280000"/>
    <x v="0"/>
    <x v="0"/>
    <x v="0"/>
  </r>
  <r>
    <n v="171"/>
    <x v="170"/>
    <x v="0"/>
    <m/>
    <m/>
    <x v="151"/>
    <n v="0"/>
    <n v="3630729"/>
    <n v="10693211.75180679"/>
    <n v="3450000"/>
    <x v="0"/>
    <x v="0"/>
    <x v="0"/>
  </r>
  <r>
    <n v="172"/>
    <x v="171"/>
    <x v="0"/>
    <m/>
    <m/>
    <x v="3"/>
    <n v="0"/>
    <n v="0"/>
    <n v="600000"/>
    <n v="300000"/>
    <x v="0"/>
    <x v="0"/>
    <x v="0"/>
  </r>
  <r>
    <n v="173"/>
    <x v="172"/>
    <x v="2"/>
    <m/>
    <m/>
    <x v="152"/>
    <n v="0"/>
    <n v="12022343"/>
    <n v="36085756.349024199"/>
    <n v="4021000"/>
    <x v="0"/>
    <x v="0"/>
    <x v="0"/>
  </r>
  <r>
    <n v="174"/>
    <x v="173"/>
    <x v="0"/>
    <m/>
    <m/>
    <x v="153"/>
    <n v="0"/>
    <n v="3845172"/>
    <n v="12685283.32988232"/>
    <n v="4450000"/>
    <x v="0"/>
    <x v="0"/>
    <x v="0"/>
  </r>
  <r>
    <n v="175"/>
    <x v="174"/>
    <x v="0"/>
    <m/>
    <m/>
    <x v="154"/>
    <n v="0"/>
    <n v="3699926"/>
    <n v="11315734.119955391"/>
    <n v="2070000"/>
    <x v="0"/>
    <x v="0"/>
    <x v="0"/>
  </r>
  <r>
    <n v="176"/>
    <x v="175"/>
    <x v="0"/>
    <m/>
    <m/>
    <x v="155"/>
    <n v="0"/>
    <n v="8763259"/>
    <n v="16453618.731741879"/>
    <n v="5760000"/>
    <x v="0"/>
    <x v="0"/>
    <x v="0"/>
  </r>
  <r>
    <n v="177"/>
    <x v="176"/>
    <x v="0"/>
    <m/>
    <m/>
    <x v="156"/>
    <n v="0"/>
    <n v="0"/>
    <n v="1000000"/>
    <n v="1500000"/>
    <x v="0"/>
    <x v="0"/>
    <x v="0"/>
  </r>
  <r>
    <n v="178"/>
    <x v="177"/>
    <x v="1"/>
    <m/>
    <m/>
    <x v="58"/>
    <n v="0"/>
    <n v="1205393"/>
    <n v="3100000"/>
    <n v="2430000"/>
    <x v="0"/>
    <x v="0"/>
    <x v="0"/>
  </r>
  <r>
    <n v="179"/>
    <x v="178"/>
    <x v="0"/>
    <m/>
    <m/>
    <x v="157"/>
    <n v="0"/>
    <n v="152081"/>
    <n v="1500000"/>
    <n v="1500000"/>
    <x v="0"/>
    <x v="0"/>
    <x v="0"/>
  </r>
  <r>
    <n v="180"/>
    <x v="179"/>
    <x v="0"/>
    <m/>
    <m/>
    <x v="158"/>
    <n v="0"/>
    <n v="3533667"/>
    <n v="6600000"/>
    <n v="10050000"/>
    <x v="0"/>
    <x v="0"/>
    <x v="0"/>
  </r>
  <r>
    <n v="181"/>
    <x v="180"/>
    <x v="0"/>
    <m/>
    <m/>
    <x v="159"/>
    <n v="0"/>
    <n v="3701670"/>
    <n v="4200000"/>
    <n v="3967593"/>
    <x v="0"/>
    <x v="0"/>
    <x v="0"/>
  </r>
  <r>
    <n v="182"/>
    <x v="181"/>
    <x v="0"/>
    <m/>
    <m/>
    <x v="160"/>
    <n v="0"/>
    <n v="3035240"/>
    <n v="3700000"/>
    <n v="4250000"/>
    <x v="0"/>
    <x v="0"/>
    <x v="0"/>
  </r>
  <r>
    <n v="183"/>
    <x v="182"/>
    <x v="0"/>
    <m/>
    <m/>
    <x v="161"/>
    <n v="0"/>
    <n v="7618789"/>
    <n v="16586423.50361358"/>
    <n v="2065000"/>
    <x v="0"/>
    <x v="0"/>
    <x v="0"/>
  </r>
  <r>
    <n v="184"/>
    <x v="183"/>
    <x v="0"/>
    <m/>
    <m/>
    <x v="162"/>
    <n v="0"/>
    <n v="0"/>
    <n v="1100000"/>
    <n v="650000"/>
    <x v="0"/>
    <x v="0"/>
    <x v="0"/>
  </r>
  <r>
    <n v="185"/>
    <x v="184"/>
    <x v="0"/>
    <m/>
    <m/>
    <x v="163"/>
    <n v="0"/>
    <n v="2666957"/>
    <n v="10444202.804547351"/>
    <n v="775000"/>
    <x v="0"/>
    <x v="0"/>
    <x v="0"/>
  </r>
  <r>
    <n v="186"/>
    <x v="185"/>
    <x v="0"/>
    <m/>
    <m/>
    <x v="164"/>
    <n v="0"/>
    <n v="953116"/>
    <n v="2400000"/>
    <n v="4800000"/>
    <x v="0"/>
    <x v="0"/>
    <x v="0"/>
  </r>
  <r>
    <n v="187"/>
    <x v="186"/>
    <x v="0"/>
    <m/>
    <m/>
    <x v="165"/>
    <n v="0"/>
    <n v="3972466"/>
    <n v="17393212.492734171"/>
    <n v="2970000"/>
    <x v="0"/>
    <x v="0"/>
    <x v="0"/>
  </r>
  <r>
    <n v="188"/>
    <x v="187"/>
    <x v="0"/>
    <m/>
    <m/>
    <x v="166"/>
    <n v="0"/>
    <n v="11445455"/>
    <n v="21151746.290373679"/>
    <n v="3445000"/>
    <x v="0"/>
    <x v="0"/>
    <x v="0"/>
  </r>
  <r>
    <n v="189"/>
    <x v="188"/>
    <x v="0"/>
    <m/>
    <m/>
    <x v="167"/>
    <n v="0"/>
    <n v="0"/>
    <n v="400000"/>
    <n v="350000"/>
    <x v="0"/>
    <x v="0"/>
    <x v="0"/>
  </r>
  <r>
    <n v="190"/>
    <x v="189"/>
    <x v="0"/>
    <m/>
    <m/>
    <x v="168"/>
    <n v="0"/>
    <n v="4449181"/>
    <n v="11315734.119955391"/>
    <n v="2075000"/>
    <x v="0"/>
    <x v="0"/>
    <x v="0"/>
  </r>
  <r>
    <n v="191"/>
    <x v="190"/>
    <x v="0"/>
    <m/>
    <m/>
    <x v="169"/>
    <n v="0"/>
    <n v="713143"/>
    <n v="2500000"/>
    <n v="2500000"/>
    <x v="0"/>
    <x v="0"/>
    <x v="0"/>
  </r>
  <r>
    <n v="192"/>
    <x v="191"/>
    <x v="0"/>
    <m/>
    <m/>
    <x v="170"/>
    <n v="0"/>
    <n v="5400672"/>
    <n v="10444202.804547351"/>
    <n v="3700000"/>
    <x v="0"/>
    <x v="0"/>
    <x v="0"/>
  </r>
  <r>
    <n v="193"/>
    <x v="192"/>
    <x v="0"/>
    <m/>
    <m/>
    <x v="171"/>
    <n v="0"/>
    <n v="0"/>
    <n v="1000000"/>
    <n v="1800000"/>
    <x v="0"/>
    <x v="0"/>
    <x v="0"/>
  </r>
  <r>
    <n v="194"/>
    <x v="193"/>
    <x v="0"/>
    <m/>
    <m/>
    <x v="172"/>
    <n v="0"/>
    <n v="4234684"/>
    <n v="17692023.229445502"/>
    <n v="2967500"/>
    <x v="0"/>
    <x v="0"/>
    <x v="0"/>
  </r>
  <r>
    <n v="195"/>
    <x v="194"/>
    <x v="0"/>
    <m/>
    <m/>
    <x v="173"/>
    <n v="0"/>
    <n v="5304500"/>
    <n v="15756394"/>
    <n v="1150000"/>
    <x v="0"/>
    <x v="0"/>
    <x v="0"/>
  </r>
  <r>
    <n v="196"/>
    <x v="195"/>
    <x v="0"/>
    <m/>
    <m/>
    <x v="18"/>
    <n v="0"/>
    <n v="0"/>
    <n v="1000000"/>
    <n v="2000000"/>
    <x v="0"/>
    <x v="0"/>
    <x v="0"/>
  </r>
  <r>
    <n v="197"/>
    <x v="196"/>
    <x v="0"/>
    <m/>
    <m/>
    <x v="174"/>
    <n v="0"/>
    <n v="3640530"/>
    <n v="8950149"/>
    <n v="7800000"/>
    <x v="0"/>
    <x v="0"/>
    <x v="0"/>
  </r>
  <r>
    <n v="198"/>
    <x v="197"/>
    <x v="0"/>
    <m/>
    <m/>
    <x v="175"/>
    <n v="0"/>
    <n v="0"/>
    <n v="300000"/>
    <n v="600000"/>
    <x v="0"/>
    <x v="0"/>
    <x v="0"/>
  </r>
  <r>
    <n v="199"/>
    <x v="198"/>
    <x v="1"/>
    <m/>
    <m/>
    <x v="18"/>
    <n v="0"/>
    <n v="5729499"/>
    <n v="11585283"/>
    <n v="3500000"/>
    <x v="0"/>
    <x v="0"/>
    <x v="0"/>
  </r>
  <r>
    <n v="200"/>
    <x v="199"/>
    <x v="3"/>
    <m/>
    <m/>
    <x v="18"/>
    <n v="0"/>
    <n v="2525969"/>
    <n v="11936274"/>
    <n v="7300000"/>
    <x v="0"/>
    <x v="0"/>
    <x v="0"/>
  </r>
  <r>
    <n v="201"/>
    <x v="200"/>
    <x v="3"/>
    <m/>
    <m/>
    <x v="176"/>
    <n v="0"/>
    <n v="5657444"/>
    <n v="8414173"/>
    <n v="3960000"/>
    <x v="0"/>
    <x v="0"/>
    <x v="0"/>
  </r>
  <r>
    <n v="202"/>
    <x v="201"/>
    <x v="3"/>
    <m/>
    <m/>
    <x v="177"/>
    <n v="0"/>
    <n v="5314988"/>
    <n v="11230749"/>
    <n v="8720000"/>
    <x v="0"/>
    <x v="0"/>
    <x v="0"/>
  </r>
  <r>
    <n v="203"/>
    <x v="179"/>
    <x v="0"/>
    <m/>
    <m/>
    <x v="158"/>
    <n v="0"/>
    <n v="0"/>
    <n v="0"/>
    <n v="-7500000"/>
    <x v="1"/>
    <x v="1"/>
    <x v="1"/>
  </r>
  <r>
    <n v="204"/>
    <x v="71"/>
    <x v="0"/>
    <m/>
    <m/>
    <x v="61"/>
    <n v="0"/>
    <n v="0"/>
    <n v="0"/>
    <n v="-4000000"/>
    <x v="1"/>
    <x v="1"/>
    <x v="1"/>
  </r>
  <r>
    <n v="205"/>
    <x v="70"/>
    <x v="0"/>
    <m/>
    <m/>
    <x v="60"/>
    <n v="0"/>
    <n v="0"/>
    <n v="0"/>
    <n v="0"/>
    <x v="1"/>
    <x v="1"/>
    <x v="2"/>
  </r>
  <r>
    <n v="206"/>
    <x v="157"/>
    <x v="0"/>
    <m/>
    <m/>
    <x v="138"/>
    <n v="0"/>
    <n v="0"/>
    <n v="0"/>
    <n v="-1000000"/>
    <x v="1"/>
    <x v="2"/>
    <x v="1"/>
  </r>
  <r>
    <n v="207"/>
    <x v="189"/>
    <x v="0"/>
    <m/>
    <m/>
    <x v="168"/>
    <n v="0"/>
    <n v="0"/>
    <n v="0"/>
    <n v="-1000000"/>
    <x v="1"/>
    <x v="2"/>
    <x v="1"/>
  </r>
  <r>
    <n v="208"/>
    <x v="132"/>
    <x v="0"/>
    <m/>
    <m/>
    <x v="117"/>
    <n v="0"/>
    <n v="0"/>
    <n v="0"/>
    <n v="-1500000"/>
    <x v="1"/>
    <x v="2"/>
    <x v="1"/>
  </r>
  <r>
    <n v="209"/>
    <x v="175"/>
    <x v="0"/>
    <m/>
    <m/>
    <x v="155"/>
    <n v="0"/>
    <n v="0"/>
    <n v="0"/>
    <n v="-3000000"/>
    <x v="1"/>
    <x v="3"/>
    <x v="1"/>
  </r>
  <r>
    <n v="210"/>
    <x v="122"/>
    <x v="0"/>
    <m/>
    <m/>
    <x v="108"/>
    <n v="0"/>
    <n v="0"/>
    <n v="0"/>
    <n v="-1500000"/>
    <x v="1"/>
    <x v="4"/>
    <x v="1"/>
  </r>
  <r>
    <n v="211"/>
    <x v="109"/>
    <x v="0"/>
    <m/>
    <m/>
    <x v="96"/>
    <n v="0"/>
    <n v="0"/>
    <n v="100000"/>
    <n v="150000"/>
    <x v="1"/>
    <x v="2"/>
    <x v="3"/>
  </r>
  <r>
    <n v="212"/>
    <x v="111"/>
    <x v="1"/>
    <m/>
    <m/>
    <x v="96"/>
    <n v="0"/>
    <n v="0"/>
    <n v="100000"/>
    <n v="150000"/>
    <x v="1"/>
    <x v="2"/>
    <x v="3"/>
  </r>
  <r>
    <n v="213"/>
    <x v="161"/>
    <x v="1"/>
    <m/>
    <m/>
    <x v="142"/>
    <n v="0"/>
    <n v="0"/>
    <n v="100000"/>
    <n v="100000"/>
    <x v="1"/>
    <x v="2"/>
    <x v="3"/>
  </r>
  <r>
    <n v="214"/>
    <x v="166"/>
    <x v="0"/>
    <m/>
    <m/>
    <x v="147"/>
    <n v="0"/>
    <n v="0"/>
    <n v="100000"/>
    <n v="100000"/>
    <x v="1"/>
    <x v="2"/>
    <x v="3"/>
  </r>
  <r>
    <n v="215"/>
    <x v="158"/>
    <x v="0"/>
    <m/>
    <m/>
    <x v="139"/>
    <n v="0"/>
    <n v="0"/>
    <n v="100000"/>
    <n v="10000"/>
    <x v="1"/>
    <x v="2"/>
    <x v="3"/>
  </r>
  <r>
    <n v="216"/>
    <x v="127"/>
    <x v="0"/>
    <m/>
    <m/>
    <x v="113"/>
    <n v="0"/>
    <n v="0"/>
    <n v="100000"/>
    <n v="75000"/>
    <x v="1"/>
    <x v="2"/>
    <x v="3"/>
  </r>
  <r>
    <n v="217"/>
    <x v="135"/>
    <x v="0"/>
    <m/>
    <m/>
    <x v="119"/>
    <n v="0"/>
    <n v="0"/>
    <n v="100000"/>
    <n v="15000"/>
    <x v="1"/>
    <x v="2"/>
    <x v="3"/>
  </r>
  <r>
    <n v="218"/>
    <x v="82"/>
    <x v="0"/>
    <m/>
    <m/>
    <x v="71"/>
    <n v="0"/>
    <n v="0"/>
    <n v="100000"/>
    <n v="100000"/>
    <x v="1"/>
    <x v="2"/>
    <x v="3"/>
  </r>
  <r>
    <n v="219"/>
    <x v="48"/>
    <x v="0"/>
    <m/>
    <m/>
    <x v="41"/>
    <n v="0"/>
    <n v="0"/>
    <n v="100000"/>
    <n v="75000"/>
    <x v="1"/>
    <x v="2"/>
    <x v="3"/>
  </r>
  <r>
    <n v="220"/>
    <x v="61"/>
    <x v="0"/>
    <m/>
    <m/>
    <x v="52"/>
    <n v="0"/>
    <n v="0"/>
    <n v="100000"/>
    <n v="200000"/>
    <x v="1"/>
    <x v="2"/>
    <x v="3"/>
  </r>
  <r>
    <n v="221"/>
    <x v="86"/>
    <x v="0"/>
    <m/>
    <m/>
    <x v="75"/>
    <n v="0"/>
    <n v="0"/>
    <n v="100000"/>
    <n v="250000"/>
    <x v="1"/>
    <x v="2"/>
    <x v="3"/>
  </r>
  <r>
    <n v="222"/>
    <x v="186"/>
    <x v="0"/>
    <m/>
    <m/>
    <x v="165"/>
    <n v="0"/>
    <n v="0"/>
    <n v="100000"/>
    <n v="10000"/>
    <x v="1"/>
    <x v="2"/>
    <x v="3"/>
  </r>
  <r>
    <n v="223"/>
    <x v="159"/>
    <x v="0"/>
    <m/>
    <m/>
    <x v="140"/>
    <n v="0"/>
    <n v="0"/>
    <n v="100000"/>
    <n v="50000"/>
    <x v="1"/>
    <x v="2"/>
    <x v="3"/>
  </r>
  <r>
    <n v="224"/>
    <x v="148"/>
    <x v="0"/>
    <m/>
    <m/>
    <x v="130"/>
    <n v="0"/>
    <n v="0"/>
    <n v="100000"/>
    <n v="50000"/>
    <x v="1"/>
    <x v="2"/>
    <x v="3"/>
  </r>
  <r>
    <n v="225"/>
    <x v="33"/>
    <x v="0"/>
    <m/>
    <m/>
    <x v="27"/>
    <n v="0"/>
    <n v="0"/>
    <n v="100000"/>
    <n v="1775000"/>
    <x v="1"/>
    <x v="2"/>
    <x v="3"/>
  </r>
  <r>
    <n v="226"/>
    <x v="164"/>
    <x v="0"/>
    <m/>
    <m/>
    <x v="145"/>
    <n v="0"/>
    <n v="0"/>
    <n v="100000"/>
    <n v="150000"/>
    <x v="1"/>
    <x v="2"/>
    <x v="3"/>
  </r>
  <r>
    <n v="227"/>
    <x v="101"/>
    <x v="0"/>
    <m/>
    <m/>
    <x v="89"/>
    <n v="0"/>
    <n v="0"/>
    <n v="100000"/>
    <n v="100000"/>
    <x v="1"/>
    <x v="2"/>
    <x v="3"/>
  </r>
  <r>
    <n v="228"/>
    <x v="187"/>
    <x v="0"/>
    <m/>
    <m/>
    <x v="166"/>
    <n v="0"/>
    <n v="0"/>
    <n v="100000"/>
    <n v="250000"/>
    <x v="1"/>
    <x v="2"/>
    <x v="3"/>
  </r>
  <r>
    <n v="229"/>
    <x v="92"/>
    <x v="0"/>
    <m/>
    <m/>
    <x v="81"/>
    <n v="0"/>
    <n v="0"/>
    <n v="150000"/>
    <n v="10000"/>
    <x v="1"/>
    <x v="2"/>
    <x v="3"/>
  </r>
  <r>
    <n v="230"/>
    <x v="110"/>
    <x v="0"/>
    <m/>
    <m/>
    <x v="97"/>
    <n v="0"/>
    <n v="0"/>
    <n v="100000"/>
    <n v="100000"/>
    <x v="1"/>
    <x v="2"/>
    <x v="3"/>
  </r>
  <r>
    <n v="231"/>
    <x v="16"/>
    <x v="0"/>
    <m/>
    <m/>
    <x v="12"/>
    <n v="0"/>
    <n v="0"/>
    <n v="100000"/>
    <n v="50000"/>
    <x v="1"/>
    <x v="2"/>
    <x v="3"/>
  </r>
  <r>
    <n v="232"/>
    <x v="193"/>
    <x v="0"/>
    <m/>
    <m/>
    <x v="172"/>
    <n v="0"/>
    <n v="0"/>
    <n v="100000"/>
    <n v="10000"/>
    <x v="1"/>
    <x v="2"/>
    <x v="3"/>
  </r>
  <r>
    <n v="233"/>
    <x v="100"/>
    <x v="0"/>
    <m/>
    <m/>
    <x v="88"/>
    <n v="0"/>
    <n v="0"/>
    <n v="100000"/>
    <n v="50000"/>
    <x v="1"/>
    <x v="2"/>
    <x v="3"/>
  </r>
  <r>
    <n v="234"/>
    <x v="156"/>
    <x v="0"/>
    <m/>
    <m/>
    <x v="137"/>
    <n v="0"/>
    <n v="0"/>
    <n v="100000"/>
    <n v="12500"/>
    <x v="1"/>
    <x v="2"/>
    <x v="3"/>
  </r>
  <r>
    <n v="235"/>
    <x v="169"/>
    <x v="0"/>
    <m/>
    <m/>
    <x v="150"/>
    <n v="0"/>
    <n v="0"/>
    <n v="100000"/>
    <n v="110000"/>
    <x v="1"/>
    <x v="2"/>
    <x v="3"/>
  </r>
  <r>
    <n v="236"/>
    <x v="96"/>
    <x v="0"/>
    <m/>
    <m/>
    <x v="84"/>
    <n v="0"/>
    <n v="0"/>
    <n v="100000"/>
    <n v="10000"/>
    <x v="1"/>
    <x v="2"/>
    <x v="3"/>
  </r>
  <r>
    <n v="237"/>
    <x v="167"/>
    <x v="0"/>
    <m/>
    <m/>
    <x v="148"/>
    <n v="0"/>
    <n v="0"/>
    <n v="100000"/>
    <n v="10000"/>
    <x v="1"/>
    <x v="2"/>
    <x v="3"/>
  </r>
  <r>
    <n v="238"/>
    <x v="93"/>
    <x v="0"/>
    <m/>
    <m/>
    <x v="82"/>
    <n v="0"/>
    <n v="0"/>
    <n v="150000"/>
    <n v="200000"/>
    <x v="1"/>
    <x v="2"/>
    <x v="3"/>
  </r>
  <r>
    <n v="239"/>
    <x v="113"/>
    <x v="0"/>
    <m/>
    <m/>
    <x v="99"/>
    <n v="0"/>
    <n v="0"/>
    <n v="150000"/>
    <n v="1000000"/>
    <x v="1"/>
    <x v="2"/>
    <x v="3"/>
  </r>
  <r>
    <n v="240"/>
    <x v="150"/>
    <x v="0"/>
    <m/>
    <m/>
    <x v="132"/>
    <n v="0"/>
    <n v="0"/>
    <n v="100000"/>
    <n v="500000"/>
    <x v="1"/>
    <x v="2"/>
    <x v="3"/>
  </r>
  <r>
    <n v="241"/>
    <x v="62"/>
    <x v="0"/>
    <m/>
    <m/>
    <x v="53"/>
    <n v="0"/>
    <n v="0"/>
    <n v="100000"/>
    <n v="200000"/>
    <x v="1"/>
    <x v="2"/>
    <x v="3"/>
  </r>
  <r>
    <n v="242"/>
    <x v="71"/>
    <x v="0"/>
    <m/>
    <m/>
    <x v="61"/>
    <n v="0"/>
    <n v="0"/>
    <n v="100000"/>
    <n v="150000"/>
    <x v="1"/>
    <x v="2"/>
    <x v="3"/>
  </r>
  <r>
    <n v="243"/>
    <x v="140"/>
    <x v="0"/>
    <m/>
    <m/>
    <x v="124"/>
    <n v="0"/>
    <n v="0"/>
    <n v="100000"/>
    <n v="500000"/>
    <x v="1"/>
    <x v="2"/>
    <x v="3"/>
  </r>
  <r>
    <n v="244"/>
    <x v="141"/>
    <x v="0"/>
    <m/>
    <m/>
    <x v="124"/>
    <n v="0"/>
    <n v="0"/>
    <n v="100000"/>
    <n v="300000"/>
    <x v="1"/>
    <x v="2"/>
    <x v="3"/>
  </r>
  <r>
    <n v="245"/>
    <x v="43"/>
    <x v="0"/>
    <m/>
    <m/>
    <x v="36"/>
    <n v="0"/>
    <n v="0"/>
    <n v="200000"/>
    <n v="500000"/>
    <x v="1"/>
    <x v="2"/>
    <x v="3"/>
  </r>
  <r>
    <n v="246"/>
    <x v="194"/>
    <x v="0"/>
    <m/>
    <m/>
    <x v="173"/>
    <n v="0"/>
    <n v="0"/>
    <n v="100000"/>
    <n v="75000"/>
    <x v="1"/>
    <x v="2"/>
    <x v="3"/>
  </r>
  <r>
    <n v="247"/>
    <x v="97"/>
    <x v="0"/>
    <m/>
    <m/>
    <x v="85"/>
    <n v="0"/>
    <n v="0"/>
    <n v="100000"/>
    <n v="50000"/>
    <x v="1"/>
    <x v="2"/>
    <x v="3"/>
  </r>
  <r>
    <n v="248"/>
    <x v="174"/>
    <x v="0"/>
    <m/>
    <m/>
    <x v="154"/>
    <n v="0"/>
    <n v="0"/>
    <n v="100000"/>
    <n v="175000"/>
    <x v="1"/>
    <x v="2"/>
    <x v="3"/>
  </r>
  <r>
    <n v="249"/>
    <x v="30"/>
    <x v="0"/>
    <m/>
    <m/>
    <x v="25"/>
    <n v="0"/>
    <n v="0"/>
    <n v="100000"/>
    <n v="50000"/>
    <x v="1"/>
    <x v="2"/>
    <x v="3"/>
  </r>
  <r>
    <n v="250"/>
    <x v="74"/>
    <x v="0"/>
    <m/>
    <m/>
    <x v="63"/>
    <n v="0"/>
    <n v="0"/>
    <n v="100000"/>
    <n v="175000"/>
    <x v="1"/>
    <x v="2"/>
    <x v="3"/>
  </r>
  <r>
    <n v="251"/>
    <x v="130"/>
    <x v="0"/>
    <m/>
    <m/>
    <x v="116"/>
    <n v="0"/>
    <n v="0"/>
    <n v="100000"/>
    <n v="125000"/>
    <x v="1"/>
    <x v="2"/>
    <x v="3"/>
  </r>
  <r>
    <n v="252"/>
    <x v="104"/>
    <x v="0"/>
    <m/>
    <m/>
    <x v="92"/>
    <n v="0"/>
    <n v="0"/>
    <n v="100000"/>
    <n v="300000"/>
    <x v="1"/>
    <x v="2"/>
    <x v="3"/>
  </r>
  <r>
    <n v="253"/>
    <x v="175"/>
    <x v="0"/>
    <m/>
    <m/>
    <x v="155"/>
    <n v="0"/>
    <n v="0"/>
    <n v="100000"/>
    <n v="100000"/>
    <x v="1"/>
    <x v="2"/>
    <x v="3"/>
  </r>
  <r>
    <n v="254"/>
    <x v="128"/>
    <x v="0"/>
    <m/>
    <m/>
    <x v="114"/>
    <n v="0"/>
    <n v="0"/>
    <n v="100000"/>
    <n v="25000"/>
    <x v="1"/>
    <x v="2"/>
    <x v="3"/>
  </r>
  <r>
    <n v="255"/>
    <x v="76"/>
    <x v="0"/>
    <m/>
    <m/>
    <x v="65"/>
    <n v="0"/>
    <n v="0"/>
    <n v="100000"/>
    <n v="400000"/>
    <x v="1"/>
    <x v="2"/>
    <x v="3"/>
  </r>
  <r>
    <n v="256"/>
    <x v="59"/>
    <x v="0"/>
    <m/>
    <m/>
    <x v="50"/>
    <n v="0"/>
    <n v="0"/>
    <n v="150000"/>
    <n v="150000"/>
    <x v="1"/>
    <x v="2"/>
    <x v="3"/>
  </r>
  <r>
    <n v="257"/>
    <x v="45"/>
    <x v="0"/>
    <m/>
    <m/>
    <x v="38"/>
    <n v="0"/>
    <n v="0"/>
    <n v="100000"/>
    <n v="125000"/>
    <x v="1"/>
    <x v="2"/>
    <x v="3"/>
  </r>
  <r>
    <n v="258"/>
    <x v="64"/>
    <x v="0"/>
    <m/>
    <m/>
    <x v="54"/>
    <n v="0"/>
    <n v="0"/>
    <n v="100000"/>
    <n v="100000"/>
    <x v="1"/>
    <x v="2"/>
    <x v="3"/>
  </r>
  <r>
    <n v="259"/>
    <x v="118"/>
    <x v="0"/>
    <m/>
    <m/>
    <x v="104"/>
    <n v="0"/>
    <n v="0"/>
    <n v="100000"/>
    <n v="200000"/>
    <x v="1"/>
    <x v="2"/>
    <x v="3"/>
  </r>
  <r>
    <n v="260"/>
    <x v="129"/>
    <x v="0"/>
    <m/>
    <m/>
    <x v="115"/>
    <n v="0"/>
    <n v="0"/>
    <n v="100000"/>
    <n v="100000"/>
    <x v="1"/>
    <x v="2"/>
    <x v="3"/>
  </r>
  <r>
    <n v="261"/>
    <x v="160"/>
    <x v="0"/>
    <m/>
    <m/>
    <x v="141"/>
    <n v="0"/>
    <n v="0"/>
    <n v="100000"/>
    <n v="200000"/>
    <x v="1"/>
    <x v="2"/>
    <x v="3"/>
  </r>
  <r>
    <n v="262"/>
    <x v="85"/>
    <x v="0"/>
    <m/>
    <m/>
    <x v="74"/>
    <n v="0"/>
    <n v="0"/>
    <n v="100000"/>
    <n v="100000"/>
    <x v="1"/>
    <x v="2"/>
    <x v="3"/>
  </r>
  <r>
    <n v="263"/>
    <x v="136"/>
    <x v="0"/>
    <m/>
    <m/>
    <x v="120"/>
    <n v="0"/>
    <n v="0"/>
    <n v="100000"/>
    <n v="100000"/>
    <x v="1"/>
    <x v="2"/>
    <x v="3"/>
  </r>
  <r>
    <n v="264"/>
    <x v="182"/>
    <x v="0"/>
    <m/>
    <m/>
    <x v="161"/>
    <n v="0"/>
    <n v="0"/>
    <n v="100000"/>
    <n v="50000"/>
    <x v="1"/>
    <x v="2"/>
    <x v="3"/>
  </r>
  <r>
    <n v="265"/>
    <x v="173"/>
    <x v="0"/>
    <m/>
    <m/>
    <x v="153"/>
    <n v="0"/>
    <n v="0"/>
    <n v="100000"/>
    <n v="100000"/>
    <x v="1"/>
    <x v="2"/>
    <x v="3"/>
  </r>
  <r>
    <n v="266"/>
    <x v="88"/>
    <x v="0"/>
    <m/>
    <m/>
    <x v="77"/>
    <n v="0"/>
    <n v="0"/>
    <n v="100000"/>
    <n v="100000"/>
    <x v="1"/>
    <x v="2"/>
    <x v="3"/>
  </r>
  <r>
    <n v="267"/>
    <x v="143"/>
    <x v="0"/>
    <m/>
    <m/>
    <x v="126"/>
    <n v="0"/>
    <n v="0"/>
    <n v="100000"/>
    <n v="250000"/>
    <x v="1"/>
    <x v="2"/>
    <x v="3"/>
  </r>
  <r>
    <n v="268"/>
    <x v="106"/>
    <x v="0"/>
    <m/>
    <m/>
    <x v="94"/>
    <n v="0"/>
    <n v="0"/>
    <n v="100000"/>
    <n v="15000"/>
    <x v="1"/>
    <x v="2"/>
    <x v="3"/>
  </r>
  <r>
    <n v="269"/>
    <x v="146"/>
    <x v="0"/>
    <m/>
    <m/>
    <x v="129"/>
    <n v="0"/>
    <n v="0"/>
    <n v="100000"/>
    <n v="100000"/>
    <x v="1"/>
    <x v="2"/>
    <x v="3"/>
  </r>
  <r>
    <n v="270"/>
    <x v="35"/>
    <x v="0"/>
    <m/>
    <m/>
    <x v="29"/>
    <n v="0"/>
    <n v="0"/>
    <n v="100000"/>
    <n v="100000"/>
    <x v="1"/>
    <x v="2"/>
    <x v="3"/>
  </r>
  <r>
    <n v="271"/>
    <x v="80"/>
    <x v="0"/>
    <m/>
    <m/>
    <x v="69"/>
    <n v="0"/>
    <n v="0"/>
    <n v="100000"/>
    <n v="125000"/>
    <x v="1"/>
    <x v="2"/>
    <x v="3"/>
  </r>
  <r>
    <n v="272"/>
    <x v="10"/>
    <x v="0"/>
    <m/>
    <m/>
    <x v="8"/>
    <n v="0"/>
    <n v="0"/>
    <n v="100000"/>
    <n v="150000"/>
    <x v="1"/>
    <x v="2"/>
    <x v="3"/>
  </r>
  <r>
    <n v="273"/>
    <x v="78"/>
    <x v="0"/>
    <m/>
    <m/>
    <x v="67"/>
    <n v="0"/>
    <n v="0"/>
    <n v="100000"/>
    <n v="100000"/>
    <x v="1"/>
    <x v="2"/>
    <x v="3"/>
  </r>
  <r>
    <n v="274"/>
    <x v="55"/>
    <x v="0"/>
    <m/>
    <m/>
    <x v="46"/>
    <n v="0"/>
    <n v="0"/>
    <n v="100000"/>
    <n v="50000"/>
    <x v="1"/>
    <x v="2"/>
    <x v="3"/>
  </r>
  <r>
    <n v="275"/>
    <x v="52"/>
    <x v="0"/>
    <m/>
    <m/>
    <x v="43"/>
    <n v="0"/>
    <n v="0"/>
    <n v="100000"/>
    <n v="125000"/>
    <x v="1"/>
    <x v="2"/>
    <x v="3"/>
  </r>
  <r>
    <n v="276"/>
    <x v="77"/>
    <x v="0"/>
    <m/>
    <m/>
    <x v="66"/>
    <n v="0"/>
    <n v="0"/>
    <n v="100000"/>
    <n v="150000"/>
    <x v="1"/>
    <x v="2"/>
    <x v="3"/>
  </r>
  <r>
    <n v="277"/>
    <x v="126"/>
    <x v="0"/>
    <m/>
    <m/>
    <x v="112"/>
    <n v="0"/>
    <n v="0"/>
    <n v="100000"/>
    <n v="100000"/>
    <x v="1"/>
    <x v="2"/>
    <x v="3"/>
  </r>
  <r>
    <n v="278"/>
    <x v="49"/>
    <x v="0"/>
    <m/>
    <m/>
    <x v="42"/>
    <n v="0"/>
    <n v="0"/>
    <n v="100000"/>
    <n v="100000"/>
    <x v="1"/>
    <x v="2"/>
    <x v="3"/>
  </r>
  <r>
    <n v="279"/>
    <x v="142"/>
    <x v="0"/>
    <m/>
    <m/>
    <x v="125"/>
    <n v="0"/>
    <n v="0"/>
    <n v="100000"/>
    <n v="50000"/>
    <x v="1"/>
    <x v="2"/>
    <x v="3"/>
  </r>
  <r>
    <n v="280"/>
    <x v="153"/>
    <x v="0"/>
    <m/>
    <m/>
    <x v="134"/>
    <n v="0"/>
    <n v="0"/>
    <n v="100000"/>
    <n v="50000"/>
    <x v="1"/>
    <x v="2"/>
    <x v="3"/>
  </r>
  <r>
    <n v="281"/>
    <x v="29"/>
    <x v="0"/>
    <m/>
    <m/>
    <x v="24"/>
    <n v="0"/>
    <n v="0"/>
    <n v="100000"/>
    <n v="50000"/>
    <x v="1"/>
    <x v="2"/>
    <x v="3"/>
  </r>
  <r>
    <n v="282"/>
    <x v="83"/>
    <x v="0"/>
    <m/>
    <m/>
    <x v="72"/>
    <n v="0"/>
    <n v="0"/>
    <n v="100000"/>
    <n v="100000"/>
    <x v="1"/>
    <x v="2"/>
    <x v="3"/>
  </r>
  <r>
    <n v="283"/>
    <x v="189"/>
    <x v="0"/>
    <m/>
    <m/>
    <x v="168"/>
    <n v="0"/>
    <n v="0"/>
    <n v="100000"/>
    <n v="75000"/>
    <x v="1"/>
    <x v="2"/>
    <x v="3"/>
  </r>
  <r>
    <n v="284"/>
    <x v="13"/>
    <x v="0"/>
    <m/>
    <m/>
    <x v="10"/>
    <n v="0"/>
    <n v="0"/>
    <n v="100000"/>
    <n v="100000"/>
    <x v="1"/>
    <x v="2"/>
    <x v="3"/>
  </r>
  <r>
    <n v="285"/>
    <x v="115"/>
    <x v="0"/>
    <m/>
    <m/>
    <x v="101"/>
    <n v="0"/>
    <n v="0"/>
    <n v="100000"/>
    <n v="50000"/>
    <x v="1"/>
    <x v="2"/>
    <x v="3"/>
  </r>
  <r>
    <n v="286"/>
    <x v="20"/>
    <x v="0"/>
    <m/>
    <m/>
    <x v="16"/>
    <n v="0"/>
    <n v="0"/>
    <n v="200000"/>
    <n v="100000"/>
    <x v="1"/>
    <x v="2"/>
    <x v="3"/>
  </r>
  <r>
    <n v="287"/>
    <x v="2"/>
    <x v="0"/>
    <m/>
    <m/>
    <x v="2"/>
    <n v="0"/>
    <n v="0"/>
    <n v="100000"/>
    <n v="150000"/>
    <x v="1"/>
    <x v="2"/>
    <x v="3"/>
  </r>
  <r>
    <n v="288"/>
    <x v="91"/>
    <x v="0"/>
    <m/>
    <m/>
    <x v="80"/>
    <n v="0"/>
    <n v="0"/>
    <n v="100000"/>
    <n v="100000"/>
    <x v="1"/>
    <x v="2"/>
    <x v="3"/>
  </r>
  <r>
    <n v="289"/>
    <x v="67"/>
    <x v="0"/>
    <m/>
    <m/>
    <x v="57"/>
    <n v="0"/>
    <n v="0"/>
    <n v="100000"/>
    <n v="100000"/>
    <x v="1"/>
    <x v="2"/>
    <x v="3"/>
  </r>
  <r>
    <n v="290"/>
    <x v="119"/>
    <x v="0"/>
    <m/>
    <m/>
    <x v="105"/>
    <n v="0"/>
    <n v="0"/>
    <n v="150000"/>
    <n v="250000"/>
    <x v="1"/>
    <x v="2"/>
    <x v="3"/>
  </r>
  <r>
    <n v="291"/>
    <x v="179"/>
    <x v="0"/>
    <m/>
    <m/>
    <x v="158"/>
    <n v="0"/>
    <n v="0"/>
    <n v="200000"/>
    <n v="300000"/>
    <x v="1"/>
    <x v="2"/>
    <x v="3"/>
  </r>
  <r>
    <n v="292"/>
    <x v="184"/>
    <x v="0"/>
    <m/>
    <m/>
    <x v="163"/>
    <n v="0"/>
    <n v="0"/>
    <n v="100000"/>
    <n v="100000"/>
    <x v="1"/>
    <x v="2"/>
    <x v="3"/>
  </r>
  <r>
    <n v="293"/>
    <x v="72"/>
    <x v="0"/>
    <m/>
    <m/>
    <x v="62"/>
    <n v="0"/>
    <n v="0"/>
    <n v="100000"/>
    <n v="150000"/>
    <x v="1"/>
    <x v="2"/>
    <x v="3"/>
  </r>
  <r>
    <n v="294"/>
    <x v="180"/>
    <x v="0"/>
    <m/>
    <m/>
    <x v="159"/>
    <n v="0"/>
    <n v="0"/>
    <n v="100000"/>
    <n v="100000"/>
    <x v="1"/>
    <x v="2"/>
    <x v="3"/>
  </r>
  <r>
    <n v="295"/>
    <x v="70"/>
    <x v="0"/>
    <m/>
    <m/>
    <x v="60"/>
    <n v="0"/>
    <n v="0"/>
    <n v="100000"/>
    <n v="400000"/>
    <x v="1"/>
    <x v="2"/>
    <x v="3"/>
  </r>
  <r>
    <n v="296"/>
    <x v="39"/>
    <x v="0"/>
    <m/>
    <m/>
    <x v="33"/>
    <n v="0"/>
    <n v="0"/>
    <n v="100000"/>
    <n v="150000"/>
    <x v="1"/>
    <x v="2"/>
    <x v="3"/>
  </r>
  <r>
    <n v="297"/>
    <x v="17"/>
    <x v="0"/>
    <m/>
    <m/>
    <x v="13"/>
    <n v="0"/>
    <n v="0"/>
    <n v="100000"/>
    <n v="400000"/>
    <x v="1"/>
    <x v="2"/>
    <x v="3"/>
  </r>
  <r>
    <n v="298"/>
    <x v="112"/>
    <x v="0"/>
    <m/>
    <m/>
    <x v="98"/>
    <n v="0"/>
    <n v="0"/>
    <n v="100000"/>
    <n v="100000"/>
    <x v="1"/>
    <x v="2"/>
    <x v="3"/>
  </r>
  <r>
    <n v="299"/>
    <x v="151"/>
    <x v="0"/>
    <m/>
    <m/>
    <x v="133"/>
    <n v="0"/>
    <n v="0"/>
    <n v="100000"/>
    <n v="150000"/>
    <x v="1"/>
    <x v="2"/>
    <x v="3"/>
  </r>
  <r>
    <n v="300"/>
    <x v="103"/>
    <x v="0"/>
    <m/>
    <m/>
    <x v="91"/>
    <n v="0"/>
    <n v="0"/>
    <n v="100000"/>
    <n v="500000"/>
    <x v="1"/>
    <x v="2"/>
    <x v="3"/>
  </r>
  <r>
    <n v="301"/>
    <x v="90"/>
    <x v="1"/>
    <m/>
    <m/>
    <x v="79"/>
    <n v="0"/>
    <n v="0"/>
    <n v="100000"/>
    <n v="50000"/>
    <x v="1"/>
    <x v="2"/>
    <x v="3"/>
  </r>
  <r>
    <n v="302"/>
    <x v="56"/>
    <x v="0"/>
    <m/>
    <m/>
    <x v="47"/>
    <n v="0"/>
    <n v="0"/>
    <n v="100000"/>
    <n v="75000"/>
    <x v="1"/>
    <x v="2"/>
    <x v="3"/>
  </r>
  <r>
    <n v="303"/>
    <x v="27"/>
    <x v="0"/>
    <m/>
    <m/>
    <x v="23"/>
    <n v="0"/>
    <n v="0"/>
    <n v="100000"/>
    <n v="100000"/>
    <x v="1"/>
    <x v="2"/>
    <x v="3"/>
  </r>
  <r>
    <n v="304"/>
    <x v="28"/>
    <x v="0"/>
    <m/>
    <m/>
    <x v="23"/>
    <n v="0"/>
    <n v="0"/>
    <n v="100000"/>
    <n v="50000"/>
    <x v="1"/>
    <x v="2"/>
    <x v="3"/>
  </r>
  <r>
    <n v="305"/>
    <x v="37"/>
    <x v="0"/>
    <m/>
    <m/>
    <x v="31"/>
    <n v="0"/>
    <n v="0"/>
    <n v="100000"/>
    <n v="150000"/>
    <x v="1"/>
    <x v="2"/>
    <x v="3"/>
  </r>
  <r>
    <n v="306"/>
    <x v="79"/>
    <x v="0"/>
    <m/>
    <m/>
    <x v="68"/>
    <n v="0"/>
    <n v="0"/>
    <n v="100000"/>
    <n v="100000"/>
    <x v="1"/>
    <x v="2"/>
    <x v="3"/>
  </r>
  <r>
    <n v="307"/>
    <x v="36"/>
    <x v="0"/>
    <m/>
    <m/>
    <x v="30"/>
    <n v="0"/>
    <n v="0"/>
    <n v="100000"/>
    <n v="200000"/>
    <x v="1"/>
    <x v="2"/>
    <x v="3"/>
  </r>
  <r>
    <n v="308"/>
    <x v="120"/>
    <x v="0"/>
    <m/>
    <m/>
    <x v="106"/>
    <n v="0"/>
    <n v="0"/>
    <n v="100000"/>
    <n v="50000"/>
    <x v="1"/>
    <x v="2"/>
    <x v="3"/>
  </r>
  <r>
    <n v="309"/>
    <x v="107"/>
    <x v="1"/>
    <m/>
    <m/>
    <x v="95"/>
    <n v="0"/>
    <n v="0"/>
    <n v="100000"/>
    <n v="400000"/>
    <x v="1"/>
    <x v="2"/>
    <x v="3"/>
  </r>
  <r>
    <n v="310"/>
    <x v="8"/>
    <x v="0"/>
    <m/>
    <m/>
    <x v="7"/>
    <n v="0"/>
    <n v="0"/>
    <n v="200000"/>
    <n v="300000"/>
    <x v="1"/>
    <x v="2"/>
    <x v="3"/>
  </r>
  <r>
    <n v="311"/>
    <x v="157"/>
    <x v="0"/>
    <m/>
    <m/>
    <x v="138"/>
    <n v="0"/>
    <n v="0"/>
    <n v="100000"/>
    <n v="100000"/>
    <x v="1"/>
    <x v="2"/>
    <x v="3"/>
  </r>
  <r>
    <n v="312"/>
    <x v="191"/>
    <x v="0"/>
    <m/>
    <m/>
    <x v="170"/>
    <n v="0"/>
    <n v="0"/>
    <n v="100000"/>
    <n v="100000"/>
    <x v="1"/>
    <x v="2"/>
    <x v="3"/>
  </r>
  <r>
    <n v="313"/>
    <x v="75"/>
    <x v="0"/>
    <m/>
    <m/>
    <x v="64"/>
    <n v="0"/>
    <n v="0"/>
    <n v="100000"/>
    <n v="125000"/>
    <x v="1"/>
    <x v="2"/>
    <x v="3"/>
  </r>
  <r>
    <n v="314"/>
    <x v="19"/>
    <x v="0"/>
    <m/>
    <m/>
    <x v="15"/>
    <n v="0"/>
    <n v="0"/>
    <n v="100000"/>
    <n v="400000"/>
    <x v="1"/>
    <x v="2"/>
    <x v="3"/>
  </r>
  <r>
    <n v="315"/>
    <x v="38"/>
    <x v="0"/>
    <m/>
    <m/>
    <x v="32"/>
    <n v="0"/>
    <n v="0"/>
    <n v="100000"/>
    <n v="250000"/>
    <x v="1"/>
    <x v="2"/>
    <x v="3"/>
  </r>
  <r>
    <n v="316"/>
    <x v="105"/>
    <x v="0"/>
    <m/>
    <m/>
    <x v="93"/>
    <n v="0"/>
    <n v="0"/>
    <n v="100000"/>
    <n v="100000"/>
    <x v="1"/>
    <x v="2"/>
    <x v="3"/>
  </r>
  <r>
    <n v="317"/>
    <x v="57"/>
    <x v="0"/>
    <m/>
    <m/>
    <x v="48"/>
    <n v="0"/>
    <n v="0"/>
    <n v="100000"/>
    <n v="100000"/>
    <x v="1"/>
    <x v="2"/>
    <x v="3"/>
  </r>
  <r>
    <n v="318"/>
    <x v="181"/>
    <x v="0"/>
    <m/>
    <m/>
    <x v="160"/>
    <n v="0"/>
    <n v="0"/>
    <n v="100000"/>
    <n v="250000"/>
    <x v="1"/>
    <x v="2"/>
    <x v="3"/>
  </r>
  <r>
    <n v="319"/>
    <x v="122"/>
    <x v="0"/>
    <m/>
    <m/>
    <x v="108"/>
    <n v="0"/>
    <n v="0"/>
    <n v="100000"/>
    <n v="500000"/>
    <x v="1"/>
    <x v="2"/>
    <x v="3"/>
  </r>
  <r>
    <n v="320"/>
    <x v="163"/>
    <x v="0"/>
    <m/>
    <m/>
    <x v="144"/>
    <n v="0"/>
    <n v="0"/>
    <n v="100000"/>
    <n v="50000"/>
    <x v="1"/>
    <x v="2"/>
    <x v="3"/>
  </r>
  <r>
    <n v="321"/>
    <x v="21"/>
    <x v="1"/>
    <m/>
    <m/>
    <x v="17"/>
    <n v="0"/>
    <n v="0"/>
    <n v="100000"/>
    <n v="150000"/>
    <x v="1"/>
    <x v="2"/>
    <x v="3"/>
  </r>
  <r>
    <n v="322"/>
    <x v="190"/>
    <x v="0"/>
    <m/>
    <m/>
    <x v="169"/>
    <n v="0"/>
    <n v="0"/>
    <n v="100000"/>
    <n v="100000"/>
    <x v="1"/>
    <x v="2"/>
    <x v="3"/>
  </r>
  <r>
    <n v="323"/>
    <x v="47"/>
    <x v="0"/>
    <m/>
    <m/>
    <x v="40"/>
    <n v="0"/>
    <n v="0"/>
    <n v="100000"/>
    <n v="500000"/>
    <x v="1"/>
    <x v="2"/>
    <x v="3"/>
  </r>
  <r>
    <n v="324"/>
    <x v="137"/>
    <x v="0"/>
    <m/>
    <m/>
    <x v="121"/>
    <n v="0"/>
    <n v="0"/>
    <n v="100000"/>
    <n v="100000"/>
    <x v="1"/>
    <x v="2"/>
    <x v="3"/>
  </r>
  <r>
    <n v="325"/>
    <x v="176"/>
    <x v="0"/>
    <m/>
    <m/>
    <x v="156"/>
    <n v="0"/>
    <n v="0"/>
    <n v="100000"/>
    <n v="150000"/>
    <x v="1"/>
    <x v="2"/>
    <x v="3"/>
  </r>
  <r>
    <n v="326"/>
    <x v="32"/>
    <x v="0"/>
    <m/>
    <m/>
    <x v="26"/>
    <n v="0"/>
    <n v="0"/>
    <n v="100000"/>
    <n v="100000"/>
    <x v="1"/>
    <x v="2"/>
    <x v="3"/>
  </r>
  <r>
    <n v="327"/>
    <x v="6"/>
    <x v="0"/>
    <m/>
    <m/>
    <x v="6"/>
    <n v="0"/>
    <n v="0"/>
    <n v="100000"/>
    <n v="250000"/>
    <x v="1"/>
    <x v="2"/>
    <x v="3"/>
  </r>
  <r>
    <n v="328"/>
    <x v="121"/>
    <x v="0"/>
    <m/>
    <m/>
    <x v="107"/>
    <n v="0"/>
    <n v="0"/>
    <n v="100000"/>
    <n v="100000"/>
    <x v="1"/>
    <x v="2"/>
    <x v="3"/>
  </r>
  <r>
    <n v="329"/>
    <x v="44"/>
    <x v="0"/>
    <m/>
    <m/>
    <x v="37"/>
    <n v="0"/>
    <n v="0"/>
    <n v="100000"/>
    <n v="50000"/>
    <x v="1"/>
    <x v="2"/>
    <x v="3"/>
  </r>
  <r>
    <n v="330"/>
    <x v="185"/>
    <x v="0"/>
    <m/>
    <m/>
    <x v="164"/>
    <n v="0"/>
    <n v="0"/>
    <n v="100000"/>
    <n v="200000"/>
    <x v="1"/>
    <x v="2"/>
    <x v="3"/>
  </r>
  <r>
    <n v="331"/>
    <x v="42"/>
    <x v="0"/>
    <m/>
    <m/>
    <x v="35"/>
    <n v="0"/>
    <n v="0"/>
    <n v="100000"/>
    <n v="150000"/>
    <x v="1"/>
    <x v="2"/>
    <x v="3"/>
  </r>
  <r>
    <n v="332"/>
    <x v="123"/>
    <x v="0"/>
    <m/>
    <m/>
    <x v="109"/>
    <n v="0"/>
    <n v="0"/>
    <n v="100000"/>
    <n v="50000"/>
    <x v="1"/>
    <x v="2"/>
    <x v="3"/>
  </r>
  <r>
    <n v="333"/>
    <x v="162"/>
    <x v="0"/>
    <m/>
    <m/>
    <x v="143"/>
    <n v="0"/>
    <n v="0"/>
    <n v="100000"/>
    <n v="12500"/>
    <x v="1"/>
    <x v="2"/>
    <x v="3"/>
  </r>
  <r>
    <n v="334"/>
    <x v="138"/>
    <x v="0"/>
    <m/>
    <m/>
    <x v="122"/>
    <n v="0"/>
    <n v="0"/>
    <n v="100000"/>
    <n v="100000"/>
    <x v="1"/>
    <x v="2"/>
    <x v="3"/>
  </r>
  <r>
    <n v="335"/>
    <x v="183"/>
    <x v="0"/>
    <m/>
    <m/>
    <x v="162"/>
    <n v="0"/>
    <n v="0"/>
    <n v="100000"/>
    <n v="100000"/>
    <x v="1"/>
    <x v="2"/>
    <x v="3"/>
  </r>
  <r>
    <n v="336"/>
    <x v="53"/>
    <x v="0"/>
    <m/>
    <m/>
    <x v="44"/>
    <n v="0"/>
    <n v="0"/>
    <n v="100000"/>
    <n v="75000"/>
    <x v="1"/>
    <x v="2"/>
    <x v="3"/>
  </r>
  <r>
    <n v="337"/>
    <x v="155"/>
    <x v="0"/>
    <m/>
    <m/>
    <x v="136"/>
    <n v="0"/>
    <n v="0"/>
    <n v="100000"/>
    <n v="50000"/>
    <x v="1"/>
    <x v="2"/>
    <x v="3"/>
  </r>
  <r>
    <n v="338"/>
    <x v="170"/>
    <x v="0"/>
    <m/>
    <m/>
    <x v="151"/>
    <n v="0"/>
    <n v="0"/>
    <n v="100000"/>
    <n v="50000"/>
    <x v="1"/>
    <x v="2"/>
    <x v="3"/>
  </r>
  <r>
    <n v="339"/>
    <x v="46"/>
    <x v="0"/>
    <m/>
    <m/>
    <x v="39"/>
    <n v="0"/>
    <n v="0"/>
    <n v="100000"/>
    <n v="50000"/>
    <x v="1"/>
    <x v="2"/>
    <x v="3"/>
  </r>
  <r>
    <n v="340"/>
    <x v="18"/>
    <x v="0"/>
    <m/>
    <m/>
    <x v="14"/>
    <n v="0"/>
    <n v="0"/>
    <n v="100000"/>
    <n v="50000"/>
    <x v="1"/>
    <x v="2"/>
    <x v="3"/>
  </r>
  <r>
    <n v="341"/>
    <x v="69"/>
    <x v="0"/>
    <m/>
    <m/>
    <x v="59"/>
    <n v="0"/>
    <n v="0"/>
    <n v="100000"/>
    <n v="50000"/>
    <x v="1"/>
    <x v="2"/>
    <x v="3"/>
  </r>
  <r>
    <n v="342"/>
    <x v="11"/>
    <x v="0"/>
    <m/>
    <m/>
    <x v="9"/>
    <n v="0"/>
    <n v="0"/>
    <n v="100000"/>
    <n v="50000"/>
    <x v="1"/>
    <x v="2"/>
    <x v="3"/>
  </r>
  <r>
    <n v="343"/>
    <x v="102"/>
    <x v="0"/>
    <m/>
    <m/>
    <x v="90"/>
    <n v="0"/>
    <n v="0"/>
    <n v="100000"/>
    <n v="75000"/>
    <x v="1"/>
    <x v="2"/>
    <x v="3"/>
  </r>
  <r>
    <n v="344"/>
    <x v="196"/>
    <x v="0"/>
    <m/>
    <m/>
    <x v="174"/>
    <n v="0"/>
    <n v="0"/>
    <n v="100000"/>
    <n v="100000"/>
    <x v="1"/>
    <x v="2"/>
    <x v="3"/>
  </r>
  <r>
    <n v="345"/>
    <x v="84"/>
    <x v="0"/>
    <m/>
    <m/>
    <x v="73"/>
    <n v="0"/>
    <n v="0"/>
    <n v="100000"/>
    <n v="100000"/>
    <x v="1"/>
    <x v="2"/>
    <x v="3"/>
  </r>
  <r>
    <n v="346"/>
    <x v="165"/>
    <x v="0"/>
    <m/>
    <m/>
    <x v="146"/>
    <n v="0"/>
    <n v="0"/>
    <n v="100000"/>
    <n v="100000"/>
    <x v="1"/>
    <x v="2"/>
    <x v="3"/>
  </r>
  <r>
    <n v="347"/>
    <x v="145"/>
    <x v="0"/>
    <m/>
    <m/>
    <x v="128"/>
    <n v="0"/>
    <n v="0"/>
    <n v="100000"/>
    <n v="100000"/>
    <x v="1"/>
    <x v="2"/>
    <x v="3"/>
  </r>
  <r>
    <n v="348"/>
    <x v="5"/>
    <x v="0"/>
    <m/>
    <m/>
    <x v="5"/>
    <n v="0"/>
    <n v="0"/>
    <n v="100000"/>
    <n v="100000"/>
    <x v="1"/>
    <x v="2"/>
    <x v="3"/>
  </r>
  <r>
    <n v="349"/>
    <x v="178"/>
    <x v="0"/>
    <m/>
    <m/>
    <x v="157"/>
    <n v="0"/>
    <n v="0"/>
    <n v="100000"/>
    <n v="100000"/>
    <x v="1"/>
    <x v="2"/>
    <x v="3"/>
  </r>
  <r>
    <n v="350"/>
    <x v="114"/>
    <x v="0"/>
    <m/>
    <m/>
    <x v="100"/>
    <n v="0"/>
    <n v="0"/>
    <n v="100000"/>
    <n v="100000"/>
    <x v="1"/>
    <x v="2"/>
    <x v="3"/>
  </r>
  <r>
    <n v="351"/>
    <x v="116"/>
    <x v="0"/>
    <m/>
    <m/>
    <x v="102"/>
    <n v="0"/>
    <n v="0"/>
    <n v="100000"/>
    <n v="100000"/>
    <x v="1"/>
    <x v="2"/>
    <x v="3"/>
  </r>
  <r>
    <n v="352"/>
    <x v="60"/>
    <x v="0"/>
    <m/>
    <m/>
    <x v="51"/>
    <n v="0"/>
    <n v="0"/>
    <n v="100000"/>
    <n v="100000"/>
    <x v="1"/>
    <x v="2"/>
    <x v="3"/>
  </r>
  <r>
    <n v="353"/>
    <x v="40"/>
    <x v="0"/>
    <m/>
    <m/>
    <x v="34"/>
    <n v="0"/>
    <n v="0"/>
    <n v="100000"/>
    <n v="100000"/>
    <x v="1"/>
    <x v="2"/>
    <x v="3"/>
  </r>
  <r>
    <n v="354"/>
    <x v="144"/>
    <x v="0"/>
    <m/>
    <m/>
    <x v="127"/>
    <n v="0"/>
    <n v="0"/>
    <n v="100000"/>
    <n v="100000"/>
    <x v="1"/>
    <x v="2"/>
    <x v="3"/>
  </r>
  <r>
    <n v="355"/>
    <x v="54"/>
    <x v="0"/>
    <m/>
    <m/>
    <x v="45"/>
    <n v="0"/>
    <n v="0"/>
    <n v="100000"/>
    <n v="100000"/>
    <x v="1"/>
    <x v="2"/>
    <x v="3"/>
  </r>
  <r>
    <n v="356"/>
    <x v="14"/>
    <x v="0"/>
    <m/>
    <m/>
    <x v="11"/>
    <n v="0"/>
    <n v="0"/>
    <n v="100000"/>
    <n v="100000"/>
    <x v="1"/>
    <x v="2"/>
    <x v="3"/>
  </r>
  <r>
    <n v="357"/>
    <x v="149"/>
    <x v="0"/>
    <m/>
    <m/>
    <x v="131"/>
    <n v="0"/>
    <n v="0"/>
    <n v="100000"/>
    <n v="100000"/>
    <x v="1"/>
    <x v="2"/>
    <x v="3"/>
  </r>
  <r>
    <n v="358"/>
    <x v="188"/>
    <x v="0"/>
    <m/>
    <m/>
    <x v="167"/>
    <n v="0"/>
    <n v="0"/>
    <n v="100000"/>
    <n v="100000"/>
    <x v="1"/>
    <x v="2"/>
    <x v="3"/>
  </r>
  <r>
    <n v="359"/>
    <x v="98"/>
    <x v="0"/>
    <m/>
    <m/>
    <x v="86"/>
    <n v="0"/>
    <n v="0"/>
    <n v="150000"/>
    <n v="100000"/>
    <x v="1"/>
    <x v="2"/>
    <x v="3"/>
  </r>
  <r>
    <n v="360"/>
    <x v="168"/>
    <x v="0"/>
    <m/>
    <m/>
    <x v="149"/>
    <n v="0"/>
    <n v="0"/>
    <n v="150000"/>
    <n v="100000"/>
    <x v="1"/>
    <x v="2"/>
    <x v="3"/>
  </r>
  <r>
    <n v="361"/>
    <x v="95"/>
    <x v="0"/>
    <m/>
    <m/>
    <x v="83"/>
    <n v="0"/>
    <n v="0"/>
    <n v="100000"/>
    <n v="150000"/>
    <x v="1"/>
    <x v="2"/>
    <x v="3"/>
  </r>
  <r>
    <n v="362"/>
    <x v="139"/>
    <x v="1"/>
    <m/>
    <m/>
    <x v="123"/>
    <n v="0"/>
    <n v="0"/>
    <n v="100000"/>
    <n v="150000"/>
    <x v="1"/>
    <x v="2"/>
    <x v="3"/>
  </r>
  <r>
    <n v="363"/>
    <x v="124"/>
    <x v="0"/>
    <m/>
    <m/>
    <x v="110"/>
    <n v="0"/>
    <n v="0"/>
    <n v="100000"/>
    <n v="150000"/>
    <x v="1"/>
    <x v="2"/>
    <x v="3"/>
  </r>
  <r>
    <n v="364"/>
    <x v="25"/>
    <x v="0"/>
    <m/>
    <m/>
    <x v="21"/>
    <n v="0"/>
    <n v="0"/>
    <n v="100000"/>
    <n v="150000"/>
    <x v="1"/>
    <x v="2"/>
    <x v="3"/>
  </r>
  <r>
    <n v="365"/>
    <x v="192"/>
    <x v="0"/>
    <m/>
    <m/>
    <x v="171"/>
    <n v="0"/>
    <n v="0"/>
    <n v="100000"/>
    <n v="150000"/>
    <x v="1"/>
    <x v="2"/>
    <x v="3"/>
  </r>
  <r>
    <n v="366"/>
    <x v="1"/>
    <x v="0"/>
    <m/>
    <m/>
    <x v="1"/>
    <n v="0"/>
    <n v="0"/>
    <n v="100000"/>
    <n v="150000"/>
    <x v="1"/>
    <x v="2"/>
    <x v="3"/>
  </r>
  <r>
    <n v="367"/>
    <x v="23"/>
    <x v="0"/>
    <m/>
    <m/>
    <x v="19"/>
    <n v="0"/>
    <n v="0"/>
    <n v="100000"/>
    <n v="175000"/>
    <x v="1"/>
    <x v="2"/>
    <x v="3"/>
  </r>
  <r>
    <n v="368"/>
    <x v="197"/>
    <x v="0"/>
    <m/>
    <m/>
    <x v="175"/>
    <n v="0"/>
    <n v="0"/>
    <n v="100000"/>
    <n v="200000"/>
    <x v="1"/>
    <x v="2"/>
    <x v="3"/>
  </r>
  <r>
    <n v="369"/>
    <x v="81"/>
    <x v="0"/>
    <m/>
    <m/>
    <x v="70"/>
    <n v="0"/>
    <n v="0"/>
    <n v="100000"/>
    <n v="200000"/>
    <x v="1"/>
    <x v="2"/>
    <x v="3"/>
  </r>
  <r>
    <n v="370"/>
    <x v="24"/>
    <x v="0"/>
    <m/>
    <m/>
    <x v="20"/>
    <n v="0"/>
    <n v="0"/>
    <n v="100000"/>
    <n v="200000"/>
    <x v="1"/>
    <x v="2"/>
    <x v="3"/>
  </r>
  <r>
    <n v="371"/>
    <x v="87"/>
    <x v="0"/>
    <m/>
    <m/>
    <x v="76"/>
    <n v="0"/>
    <n v="0"/>
    <n v="100000"/>
    <n v="200000"/>
    <x v="1"/>
    <x v="2"/>
    <x v="3"/>
  </r>
  <r>
    <n v="372"/>
    <x v="0"/>
    <x v="0"/>
    <m/>
    <m/>
    <x v="0"/>
    <n v="0"/>
    <n v="0"/>
    <n v="100000"/>
    <n v="200000"/>
    <x v="1"/>
    <x v="2"/>
    <x v="3"/>
  </r>
  <r>
    <n v="373"/>
    <x v="133"/>
    <x v="1"/>
    <m/>
    <m/>
    <x v="118"/>
    <n v="0"/>
    <n v="0"/>
    <n v="100000"/>
    <n v="200000"/>
    <x v="1"/>
    <x v="2"/>
    <x v="3"/>
  </r>
  <r>
    <n v="374"/>
    <x v="132"/>
    <x v="0"/>
    <m/>
    <m/>
    <x v="117"/>
    <n v="0"/>
    <n v="0"/>
    <n v="100000"/>
    <n v="250000"/>
    <x v="1"/>
    <x v="2"/>
    <x v="3"/>
  </r>
  <r>
    <n v="375"/>
    <x v="65"/>
    <x v="0"/>
    <m/>
    <m/>
    <x v="55"/>
    <n v="0"/>
    <n v="0"/>
    <n v="100000"/>
    <n v="300000"/>
    <x v="1"/>
    <x v="2"/>
    <x v="3"/>
  </r>
  <r>
    <n v="376"/>
    <x v="117"/>
    <x v="0"/>
    <m/>
    <m/>
    <x v="103"/>
    <n v="0"/>
    <n v="0"/>
    <n v="100000"/>
    <n v="400000"/>
    <x v="1"/>
    <x v="2"/>
    <x v="3"/>
  </r>
  <r>
    <n v="377"/>
    <x v="125"/>
    <x v="0"/>
    <m/>
    <m/>
    <x v="111"/>
    <n v="0"/>
    <n v="0"/>
    <n v="150000"/>
    <n v="400000"/>
    <x v="1"/>
    <x v="2"/>
    <x v="3"/>
  </r>
  <r>
    <n v="378"/>
    <x v="201"/>
    <x v="3"/>
    <m/>
    <m/>
    <x v="177"/>
    <n v="0"/>
    <n v="0"/>
    <n v="0"/>
    <n v="0"/>
    <x v="1"/>
    <x v="2"/>
    <x v="3"/>
  </r>
  <r>
    <n v="379"/>
    <x v="198"/>
    <x v="1"/>
    <m/>
    <m/>
    <x v="18"/>
    <n v="0"/>
    <n v="0"/>
    <n v="0"/>
    <n v="0"/>
    <x v="1"/>
    <x v="2"/>
    <x v="3"/>
  </r>
  <r>
    <n v="380"/>
    <x v="199"/>
    <x v="3"/>
    <m/>
    <m/>
    <x v="18"/>
    <n v="0"/>
    <n v="0"/>
    <n v="0"/>
    <n v="0"/>
    <x v="1"/>
    <x v="2"/>
    <x v="3"/>
  </r>
  <r>
    <n v="381"/>
    <x v="202"/>
    <x v="0"/>
    <m/>
    <m/>
    <x v="18"/>
    <n v="0"/>
    <n v="0"/>
    <n v="0"/>
    <n v="0"/>
    <x v="1"/>
    <x v="2"/>
    <x v="3"/>
  </r>
  <r>
    <n v="382"/>
    <x v="22"/>
    <x v="0"/>
    <m/>
    <m/>
    <x v="18"/>
    <n v="0"/>
    <n v="0"/>
    <n v="0"/>
    <n v="0"/>
    <x v="1"/>
    <x v="2"/>
    <x v="3"/>
  </r>
  <r>
    <n v="383"/>
    <x v="147"/>
    <x v="0"/>
    <m/>
    <m/>
    <x v="18"/>
    <n v="0"/>
    <n v="0"/>
    <n v="0"/>
    <n v="0"/>
    <x v="1"/>
    <x v="2"/>
    <x v="3"/>
  </r>
  <r>
    <n v="384"/>
    <x v="110"/>
    <x v="0"/>
    <m/>
    <m/>
    <x v="97"/>
    <n v="0"/>
    <n v="0"/>
    <n v="0"/>
    <n v="-2200000"/>
    <x v="1"/>
    <x v="5"/>
    <x v="1"/>
  </r>
  <r>
    <n v="385"/>
    <x v="76"/>
    <x v="0"/>
    <m/>
    <m/>
    <x v="65"/>
    <n v="0"/>
    <n v="0"/>
    <n v="0"/>
    <n v="-1600000"/>
    <x v="1"/>
    <x v="5"/>
    <x v="1"/>
  </r>
  <r>
    <n v="386"/>
    <x v="19"/>
    <x v="0"/>
    <m/>
    <m/>
    <x v="15"/>
    <n v="0"/>
    <n v="0"/>
    <n v="0"/>
    <n v="-3000000"/>
    <x v="1"/>
    <x v="5"/>
    <x v="1"/>
  </r>
  <r>
    <n v="387"/>
    <x v="68"/>
    <x v="1"/>
    <m/>
    <m/>
    <x v="58"/>
    <n v="0"/>
    <n v="0"/>
    <n v="100000"/>
    <n v="100000"/>
    <x v="1"/>
    <x v="6"/>
    <x v="3"/>
  </r>
  <r>
    <n v="388"/>
    <x v="152"/>
    <x v="0"/>
    <m/>
    <m/>
    <x v="58"/>
    <n v="0"/>
    <n v="0"/>
    <n v="100000"/>
    <n v="100000"/>
    <x v="1"/>
    <x v="6"/>
    <x v="3"/>
  </r>
  <r>
    <n v="389"/>
    <x v="73"/>
    <x v="0"/>
    <m/>
    <m/>
    <x v="58"/>
    <n v="0"/>
    <n v="0"/>
    <n v="100000"/>
    <n v="400000"/>
    <x v="2"/>
    <x v="6"/>
    <x v="3"/>
  </r>
  <r>
    <n v="390"/>
    <x v="107"/>
    <x v="1"/>
    <m/>
    <m/>
    <x v="95"/>
    <n v="0"/>
    <n v="0"/>
    <n v="0"/>
    <n v="-3000000"/>
    <x v="1"/>
    <x v="7"/>
    <x v="1"/>
  </r>
  <r>
    <n v="391"/>
    <x v="59"/>
    <x v="0"/>
    <m/>
    <m/>
    <x v="50"/>
    <n v="0"/>
    <n v="0"/>
    <n v="0"/>
    <n v="-1500000"/>
    <x v="1"/>
    <x v="7"/>
    <x v="1"/>
  </r>
  <r>
    <n v="392"/>
    <x v="180"/>
    <x v="0"/>
    <m/>
    <m/>
    <x v="159"/>
    <n v="0"/>
    <n v="0"/>
    <n v="0"/>
    <n v="-1500000"/>
    <x v="0"/>
    <x v="8"/>
    <x v="1"/>
  </r>
  <r>
    <m/>
    <x v="66"/>
    <x v="0"/>
    <m/>
    <m/>
    <x v="56"/>
    <n v="0"/>
    <n v="0"/>
    <n v="100000"/>
    <n v="100000"/>
    <x v="0"/>
    <x v="0"/>
    <x v="4"/>
  </r>
  <r>
    <n v="393"/>
    <x v="66"/>
    <x v="0"/>
    <m/>
    <m/>
    <x v="56"/>
    <n v="0"/>
    <n v="0"/>
    <n v="100000"/>
    <n v="100000"/>
    <x v="1"/>
    <x v="4"/>
    <x v="3"/>
  </r>
  <r>
    <n v="394"/>
    <x v="90"/>
    <x v="1"/>
    <m/>
    <m/>
    <x v="79"/>
    <n v="0"/>
    <n v="0"/>
    <n v="0"/>
    <n v="-650000"/>
    <x v="1"/>
    <x v="5"/>
    <x v="1"/>
  </r>
  <r>
    <n v="395"/>
    <x v="79"/>
    <x v="0"/>
    <m/>
    <m/>
    <x v="68"/>
    <n v="0"/>
    <n v="0"/>
    <n v="0"/>
    <n v="-3000000"/>
    <x v="3"/>
    <x v="9"/>
    <x v="1"/>
  </r>
  <r>
    <n v="396"/>
    <x v="36"/>
    <x v="0"/>
    <m/>
    <m/>
    <x v="30"/>
    <n v="0"/>
    <n v="0"/>
    <n v="0"/>
    <n v="-2500000"/>
    <x v="1"/>
    <x v="9"/>
    <x v="1"/>
  </r>
  <r>
    <n v="397"/>
    <x v="111"/>
    <x v="1"/>
    <m/>
    <m/>
    <x v="96"/>
    <n v="0"/>
    <n v="-2995908"/>
    <n v="-11498737"/>
    <n v="-5225000"/>
    <x v="3"/>
    <x v="7"/>
    <x v="5"/>
  </r>
  <r>
    <n v="398"/>
    <x v="195"/>
    <x v="0"/>
    <m/>
    <m/>
    <x v="18"/>
    <n v="0"/>
    <n v="0"/>
    <n v="100000"/>
    <n v="200000"/>
    <x v="1"/>
    <x v="3"/>
    <x v="3"/>
  </r>
  <r>
    <n v="399"/>
    <x v="127"/>
    <x v="0"/>
    <m/>
    <m/>
    <x v="113"/>
    <n v="0"/>
    <n v="0"/>
    <n v="0"/>
    <n v="-2000000"/>
    <x v="1"/>
    <x v="10"/>
    <x v="1"/>
  </r>
  <r>
    <n v="400"/>
    <x v="118"/>
    <x v="0"/>
    <m/>
    <m/>
    <x v="104"/>
    <n v="0"/>
    <n v="0"/>
    <n v="0"/>
    <n v="-3600000"/>
    <x v="1"/>
    <x v="11"/>
    <x v="1"/>
  </r>
  <r>
    <n v="401"/>
    <x v="166"/>
    <x v="0"/>
    <m/>
    <m/>
    <x v="147"/>
    <n v="0"/>
    <n v="0"/>
    <n v="0"/>
    <n v="-1000000"/>
    <x v="1"/>
    <x v="10"/>
    <x v="1"/>
  </r>
  <r>
    <n v="402"/>
    <x v="113"/>
    <x v="0"/>
    <m/>
    <m/>
    <x v="99"/>
    <n v="0"/>
    <n v="0"/>
    <n v="0"/>
    <n v="-6000000"/>
    <x v="1"/>
    <x v="10"/>
    <x v="1"/>
  </r>
  <r>
    <n v="403"/>
    <x v="103"/>
    <x v="0"/>
    <m/>
    <m/>
    <x v="91"/>
    <n v="0"/>
    <n v="0"/>
    <n v="0"/>
    <n v="-3300000"/>
    <x v="1"/>
    <x v="12"/>
    <x v="3"/>
  </r>
  <r>
    <n v="404"/>
    <x v="104"/>
    <x v="0"/>
    <m/>
    <m/>
    <x v="92"/>
    <n v="0"/>
    <n v="0"/>
    <n v="0"/>
    <n v="-2500000"/>
    <x v="1"/>
    <x v="1"/>
    <x v="1"/>
  </r>
  <r>
    <n v="405"/>
    <x v="177"/>
    <x v="1"/>
    <m/>
    <m/>
    <x v="58"/>
    <n v="0"/>
    <n v="0"/>
    <n v="100000"/>
    <n v="100000"/>
    <x v="1"/>
    <x v="3"/>
    <x v="3"/>
  </r>
  <r>
    <n v="406"/>
    <x v="125"/>
    <x v="0"/>
    <m/>
    <m/>
    <x v="111"/>
    <n v="0"/>
    <n v="0"/>
    <n v="0"/>
    <n v="-300000"/>
    <x v="3"/>
    <x v="13"/>
    <x v="3"/>
  </r>
  <r>
    <n v="407"/>
    <x v="109"/>
    <x v="0"/>
    <m/>
    <m/>
    <x v="96"/>
    <n v="0"/>
    <n v="0"/>
    <n v="100000"/>
    <n v="400000"/>
    <x v="3"/>
    <x v="13"/>
    <x v="3"/>
  </r>
  <r>
    <n v="408"/>
    <x v="161"/>
    <x v="1"/>
    <m/>
    <m/>
    <x v="142"/>
    <n v="0"/>
    <n v="0"/>
    <n v="100000"/>
    <n v="100000"/>
    <x v="3"/>
    <x v="13"/>
    <x v="3"/>
  </r>
  <r>
    <n v="409"/>
    <x v="166"/>
    <x v="0"/>
    <m/>
    <m/>
    <x v="147"/>
    <n v="0"/>
    <n v="0"/>
    <n v="100000"/>
    <n v="100000"/>
    <x v="3"/>
    <x v="13"/>
    <x v="3"/>
  </r>
  <r>
    <n v="410"/>
    <x v="158"/>
    <x v="0"/>
    <m/>
    <m/>
    <x v="139"/>
    <n v="0"/>
    <n v="0"/>
    <n v="100000"/>
    <n v="10000"/>
    <x v="3"/>
    <x v="13"/>
    <x v="3"/>
  </r>
  <r>
    <n v="411"/>
    <x v="127"/>
    <x v="0"/>
    <m/>
    <m/>
    <x v="113"/>
    <n v="0"/>
    <n v="0"/>
    <n v="100000"/>
    <n v="75000"/>
    <x v="3"/>
    <x v="13"/>
    <x v="3"/>
  </r>
  <r>
    <n v="412"/>
    <x v="135"/>
    <x v="0"/>
    <m/>
    <m/>
    <x v="119"/>
    <n v="0"/>
    <n v="0"/>
    <n v="100000"/>
    <n v="15000"/>
    <x v="3"/>
    <x v="13"/>
    <x v="3"/>
  </r>
  <r>
    <n v="413"/>
    <x v="82"/>
    <x v="0"/>
    <m/>
    <m/>
    <x v="71"/>
    <n v="0"/>
    <n v="0"/>
    <n v="100000"/>
    <n v="100000"/>
    <x v="3"/>
    <x v="13"/>
    <x v="3"/>
  </r>
  <r>
    <n v="414"/>
    <x v="48"/>
    <x v="0"/>
    <m/>
    <m/>
    <x v="41"/>
    <n v="0"/>
    <n v="0"/>
    <n v="100000"/>
    <n v="75000"/>
    <x v="3"/>
    <x v="13"/>
    <x v="3"/>
  </r>
  <r>
    <n v="415"/>
    <x v="61"/>
    <x v="0"/>
    <m/>
    <m/>
    <x v="52"/>
    <n v="0"/>
    <n v="0"/>
    <n v="100000"/>
    <n v="200000"/>
    <x v="3"/>
    <x v="13"/>
    <x v="3"/>
  </r>
  <r>
    <n v="416"/>
    <x v="86"/>
    <x v="0"/>
    <m/>
    <m/>
    <x v="75"/>
    <n v="0"/>
    <n v="0"/>
    <n v="100000"/>
    <n v="250000"/>
    <x v="3"/>
    <x v="13"/>
    <x v="3"/>
  </r>
  <r>
    <n v="417"/>
    <x v="186"/>
    <x v="0"/>
    <m/>
    <m/>
    <x v="165"/>
    <n v="0"/>
    <n v="0"/>
    <n v="100000"/>
    <n v="10000"/>
    <x v="3"/>
    <x v="13"/>
    <x v="3"/>
  </r>
  <r>
    <n v="418"/>
    <x v="159"/>
    <x v="0"/>
    <m/>
    <m/>
    <x v="140"/>
    <n v="0"/>
    <n v="0"/>
    <n v="100000"/>
    <n v="50000"/>
    <x v="3"/>
    <x v="13"/>
    <x v="3"/>
  </r>
  <r>
    <n v="419"/>
    <x v="148"/>
    <x v="0"/>
    <m/>
    <m/>
    <x v="130"/>
    <n v="0"/>
    <n v="0"/>
    <n v="100000"/>
    <n v="50000"/>
    <x v="3"/>
    <x v="13"/>
    <x v="3"/>
  </r>
  <r>
    <n v="420"/>
    <x v="33"/>
    <x v="0"/>
    <m/>
    <m/>
    <x v="27"/>
    <n v="0"/>
    <n v="0"/>
    <n v="100000"/>
    <n v="1775000"/>
    <x v="3"/>
    <x v="13"/>
    <x v="3"/>
  </r>
  <r>
    <n v="421"/>
    <x v="164"/>
    <x v="0"/>
    <m/>
    <m/>
    <x v="145"/>
    <n v="0"/>
    <n v="0"/>
    <n v="100000"/>
    <n v="150000"/>
    <x v="3"/>
    <x v="13"/>
    <x v="3"/>
  </r>
  <r>
    <n v="422"/>
    <x v="101"/>
    <x v="0"/>
    <m/>
    <m/>
    <x v="89"/>
    <n v="0"/>
    <n v="0"/>
    <n v="100000"/>
    <n v="100000"/>
    <x v="3"/>
    <x v="13"/>
    <x v="3"/>
  </r>
  <r>
    <n v="423"/>
    <x v="187"/>
    <x v="0"/>
    <m/>
    <m/>
    <x v="166"/>
    <n v="0"/>
    <n v="0"/>
    <n v="100000"/>
    <n v="250000"/>
    <x v="3"/>
    <x v="13"/>
    <x v="3"/>
  </r>
  <r>
    <n v="424"/>
    <x v="92"/>
    <x v="0"/>
    <m/>
    <m/>
    <x v="81"/>
    <n v="0"/>
    <n v="0"/>
    <n v="150000"/>
    <n v="10000"/>
    <x v="3"/>
    <x v="13"/>
    <x v="3"/>
  </r>
  <r>
    <n v="425"/>
    <x v="110"/>
    <x v="0"/>
    <m/>
    <m/>
    <x v="97"/>
    <n v="0"/>
    <n v="0"/>
    <n v="100000"/>
    <n v="100000"/>
    <x v="3"/>
    <x v="13"/>
    <x v="3"/>
  </r>
  <r>
    <n v="426"/>
    <x v="16"/>
    <x v="0"/>
    <m/>
    <m/>
    <x v="12"/>
    <n v="0"/>
    <n v="0"/>
    <n v="100000"/>
    <n v="50000"/>
    <x v="3"/>
    <x v="13"/>
    <x v="3"/>
  </r>
  <r>
    <n v="427"/>
    <x v="193"/>
    <x v="0"/>
    <m/>
    <m/>
    <x v="172"/>
    <n v="0"/>
    <n v="0"/>
    <n v="100000"/>
    <n v="10000"/>
    <x v="3"/>
    <x v="13"/>
    <x v="3"/>
  </r>
  <r>
    <n v="428"/>
    <x v="100"/>
    <x v="0"/>
    <m/>
    <m/>
    <x v="88"/>
    <n v="0"/>
    <n v="0"/>
    <n v="100000"/>
    <n v="50000"/>
    <x v="3"/>
    <x v="13"/>
    <x v="3"/>
  </r>
  <r>
    <n v="429"/>
    <x v="156"/>
    <x v="0"/>
    <m/>
    <m/>
    <x v="137"/>
    <n v="0"/>
    <n v="0"/>
    <n v="100000"/>
    <n v="12500"/>
    <x v="3"/>
    <x v="13"/>
    <x v="3"/>
  </r>
  <r>
    <n v="430"/>
    <x v="169"/>
    <x v="0"/>
    <m/>
    <m/>
    <x v="150"/>
    <n v="0"/>
    <n v="0"/>
    <n v="100000"/>
    <n v="110000"/>
    <x v="3"/>
    <x v="13"/>
    <x v="3"/>
  </r>
  <r>
    <n v="431"/>
    <x v="96"/>
    <x v="0"/>
    <m/>
    <m/>
    <x v="84"/>
    <n v="0"/>
    <n v="0"/>
    <n v="100000"/>
    <n v="10000"/>
    <x v="3"/>
    <x v="13"/>
    <x v="3"/>
  </r>
  <r>
    <n v="432"/>
    <x v="167"/>
    <x v="0"/>
    <m/>
    <m/>
    <x v="148"/>
    <n v="0"/>
    <n v="0"/>
    <n v="100000"/>
    <n v="10000"/>
    <x v="3"/>
    <x v="13"/>
    <x v="3"/>
  </r>
  <r>
    <n v="433"/>
    <x v="93"/>
    <x v="0"/>
    <m/>
    <m/>
    <x v="82"/>
    <n v="0"/>
    <n v="0"/>
    <n v="150000"/>
    <n v="200000"/>
    <x v="3"/>
    <x v="13"/>
    <x v="3"/>
  </r>
  <r>
    <n v="434"/>
    <x v="113"/>
    <x v="0"/>
    <m/>
    <m/>
    <x v="99"/>
    <n v="0"/>
    <n v="0"/>
    <n v="150000"/>
    <n v="1000000"/>
    <x v="3"/>
    <x v="13"/>
    <x v="3"/>
  </r>
  <r>
    <n v="435"/>
    <x v="150"/>
    <x v="0"/>
    <m/>
    <m/>
    <x v="132"/>
    <n v="0"/>
    <n v="0"/>
    <n v="100000"/>
    <n v="500000"/>
    <x v="3"/>
    <x v="13"/>
    <x v="3"/>
  </r>
  <r>
    <n v="436"/>
    <x v="62"/>
    <x v="0"/>
    <m/>
    <m/>
    <x v="53"/>
    <n v="0"/>
    <n v="0"/>
    <n v="100000"/>
    <n v="200000"/>
    <x v="3"/>
    <x v="13"/>
    <x v="3"/>
  </r>
  <r>
    <n v="437"/>
    <x v="71"/>
    <x v="0"/>
    <m/>
    <m/>
    <x v="61"/>
    <n v="0"/>
    <n v="0"/>
    <n v="100000"/>
    <n v="150000"/>
    <x v="3"/>
    <x v="13"/>
    <x v="3"/>
  </r>
  <r>
    <n v="438"/>
    <x v="140"/>
    <x v="0"/>
    <m/>
    <m/>
    <x v="124"/>
    <n v="0"/>
    <n v="0"/>
    <n v="100000"/>
    <n v="500000"/>
    <x v="3"/>
    <x v="13"/>
    <x v="3"/>
  </r>
  <r>
    <n v="439"/>
    <x v="141"/>
    <x v="0"/>
    <m/>
    <m/>
    <x v="124"/>
    <n v="0"/>
    <n v="0"/>
    <n v="100000"/>
    <n v="300000"/>
    <x v="3"/>
    <x v="13"/>
    <x v="3"/>
  </r>
  <r>
    <n v="440"/>
    <x v="43"/>
    <x v="0"/>
    <m/>
    <m/>
    <x v="36"/>
    <n v="0"/>
    <n v="0"/>
    <n v="200000"/>
    <n v="500000"/>
    <x v="3"/>
    <x v="13"/>
    <x v="3"/>
  </r>
  <r>
    <n v="441"/>
    <x v="194"/>
    <x v="0"/>
    <m/>
    <m/>
    <x v="173"/>
    <n v="0"/>
    <n v="0"/>
    <n v="100000"/>
    <n v="75000"/>
    <x v="3"/>
    <x v="13"/>
    <x v="3"/>
  </r>
  <r>
    <n v="442"/>
    <x v="97"/>
    <x v="0"/>
    <m/>
    <m/>
    <x v="85"/>
    <n v="0"/>
    <n v="0"/>
    <n v="100000"/>
    <n v="50000"/>
    <x v="3"/>
    <x v="13"/>
    <x v="3"/>
  </r>
  <r>
    <n v="443"/>
    <x v="174"/>
    <x v="0"/>
    <m/>
    <m/>
    <x v="154"/>
    <n v="0"/>
    <n v="0"/>
    <n v="100000"/>
    <n v="175000"/>
    <x v="3"/>
    <x v="13"/>
    <x v="3"/>
  </r>
  <r>
    <n v="444"/>
    <x v="30"/>
    <x v="0"/>
    <m/>
    <m/>
    <x v="25"/>
    <n v="0"/>
    <n v="0"/>
    <n v="100000"/>
    <n v="50000"/>
    <x v="3"/>
    <x v="13"/>
    <x v="3"/>
  </r>
  <r>
    <n v="445"/>
    <x v="74"/>
    <x v="0"/>
    <m/>
    <m/>
    <x v="63"/>
    <n v="0"/>
    <n v="0"/>
    <n v="100000"/>
    <n v="175000"/>
    <x v="3"/>
    <x v="13"/>
    <x v="3"/>
  </r>
  <r>
    <n v="446"/>
    <x v="130"/>
    <x v="0"/>
    <m/>
    <m/>
    <x v="116"/>
    <n v="0"/>
    <n v="0"/>
    <n v="100000"/>
    <n v="125000"/>
    <x v="3"/>
    <x v="13"/>
    <x v="3"/>
  </r>
  <r>
    <n v="447"/>
    <x v="104"/>
    <x v="0"/>
    <m/>
    <m/>
    <x v="92"/>
    <n v="0"/>
    <n v="0"/>
    <n v="100000"/>
    <n v="300000"/>
    <x v="3"/>
    <x v="13"/>
    <x v="3"/>
  </r>
  <r>
    <n v="448"/>
    <x v="175"/>
    <x v="0"/>
    <m/>
    <m/>
    <x v="155"/>
    <n v="0"/>
    <n v="0"/>
    <n v="100000"/>
    <n v="100000"/>
    <x v="3"/>
    <x v="13"/>
    <x v="3"/>
  </r>
  <r>
    <n v="449"/>
    <x v="128"/>
    <x v="0"/>
    <m/>
    <m/>
    <x v="114"/>
    <n v="0"/>
    <n v="0"/>
    <n v="100000"/>
    <n v="25000"/>
    <x v="3"/>
    <x v="13"/>
    <x v="3"/>
  </r>
  <r>
    <n v="450"/>
    <x v="76"/>
    <x v="0"/>
    <m/>
    <m/>
    <x v="65"/>
    <n v="0"/>
    <n v="0"/>
    <n v="100000"/>
    <n v="400000"/>
    <x v="3"/>
    <x v="13"/>
    <x v="3"/>
  </r>
  <r>
    <n v="451"/>
    <x v="59"/>
    <x v="0"/>
    <m/>
    <m/>
    <x v="50"/>
    <n v="0"/>
    <n v="0"/>
    <n v="150000"/>
    <n v="150000"/>
    <x v="3"/>
    <x v="13"/>
    <x v="3"/>
  </r>
  <r>
    <n v="452"/>
    <x v="45"/>
    <x v="0"/>
    <m/>
    <m/>
    <x v="38"/>
    <n v="0"/>
    <n v="0"/>
    <n v="100000"/>
    <n v="125000"/>
    <x v="3"/>
    <x v="13"/>
    <x v="3"/>
  </r>
  <r>
    <n v="453"/>
    <x v="64"/>
    <x v="0"/>
    <m/>
    <m/>
    <x v="54"/>
    <n v="0"/>
    <n v="0"/>
    <n v="100000"/>
    <n v="100000"/>
    <x v="3"/>
    <x v="13"/>
    <x v="3"/>
  </r>
  <r>
    <n v="454"/>
    <x v="118"/>
    <x v="0"/>
    <m/>
    <m/>
    <x v="104"/>
    <n v="0"/>
    <n v="0"/>
    <n v="100000"/>
    <n v="200000"/>
    <x v="3"/>
    <x v="13"/>
    <x v="3"/>
  </r>
  <r>
    <n v="455"/>
    <x v="129"/>
    <x v="0"/>
    <m/>
    <m/>
    <x v="115"/>
    <n v="0"/>
    <n v="0"/>
    <n v="100000"/>
    <n v="100000"/>
    <x v="3"/>
    <x v="13"/>
    <x v="3"/>
  </r>
  <r>
    <n v="456"/>
    <x v="160"/>
    <x v="0"/>
    <m/>
    <m/>
    <x v="141"/>
    <n v="0"/>
    <n v="0"/>
    <n v="100000"/>
    <n v="200000"/>
    <x v="3"/>
    <x v="13"/>
    <x v="3"/>
  </r>
  <r>
    <n v="457"/>
    <x v="85"/>
    <x v="0"/>
    <m/>
    <m/>
    <x v="74"/>
    <n v="0"/>
    <n v="0"/>
    <n v="100000"/>
    <n v="100000"/>
    <x v="3"/>
    <x v="13"/>
    <x v="3"/>
  </r>
  <r>
    <n v="458"/>
    <x v="136"/>
    <x v="0"/>
    <m/>
    <m/>
    <x v="120"/>
    <n v="0"/>
    <n v="0"/>
    <n v="100000"/>
    <n v="100000"/>
    <x v="3"/>
    <x v="13"/>
    <x v="3"/>
  </r>
  <r>
    <n v="459"/>
    <x v="182"/>
    <x v="0"/>
    <m/>
    <m/>
    <x v="161"/>
    <n v="0"/>
    <n v="0"/>
    <n v="100000"/>
    <n v="50000"/>
    <x v="3"/>
    <x v="13"/>
    <x v="3"/>
  </r>
  <r>
    <n v="460"/>
    <x v="173"/>
    <x v="0"/>
    <m/>
    <m/>
    <x v="153"/>
    <n v="0"/>
    <n v="0"/>
    <n v="100000"/>
    <n v="100000"/>
    <x v="3"/>
    <x v="13"/>
    <x v="3"/>
  </r>
  <r>
    <n v="461"/>
    <x v="88"/>
    <x v="0"/>
    <m/>
    <m/>
    <x v="77"/>
    <n v="0"/>
    <n v="0"/>
    <n v="100000"/>
    <n v="100000"/>
    <x v="3"/>
    <x v="13"/>
    <x v="3"/>
  </r>
  <r>
    <n v="462"/>
    <x v="143"/>
    <x v="0"/>
    <m/>
    <m/>
    <x v="126"/>
    <n v="0"/>
    <n v="0"/>
    <n v="100000"/>
    <n v="250000"/>
    <x v="3"/>
    <x v="13"/>
    <x v="3"/>
  </r>
  <r>
    <n v="463"/>
    <x v="106"/>
    <x v="0"/>
    <m/>
    <m/>
    <x v="94"/>
    <n v="0"/>
    <n v="0"/>
    <n v="100000"/>
    <n v="15000"/>
    <x v="3"/>
    <x v="13"/>
    <x v="3"/>
  </r>
  <r>
    <n v="464"/>
    <x v="146"/>
    <x v="0"/>
    <m/>
    <m/>
    <x v="129"/>
    <n v="0"/>
    <n v="0"/>
    <n v="100000"/>
    <n v="100000"/>
    <x v="3"/>
    <x v="13"/>
    <x v="3"/>
  </r>
  <r>
    <n v="465"/>
    <x v="35"/>
    <x v="0"/>
    <m/>
    <m/>
    <x v="29"/>
    <n v="0"/>
    <n v="0"/>
    <n v="100000"/>
    <n v="100000"/>
    <x v="3"/>
    <x v="13"/>
    <x v="3"/>
  </r>
  <r>
    <n v="466"/>
    <x v="80"/>
    <x v="0"/>
    <m/>
    <m/>
    <x v="69"/>
    <n v="0"/>
    <n v="0"/>
    <n v="100000"/>
    <n v="125000"/>
    <x v="3"/>
    <x v="13"/>
    <x v="3"/>
  </r>
  <r>
    <n v="467"/>
    <x v="10"/>
    <x v="0"/>
    <m/>
    <m/>
    <x v="8"/>
    <n v="0"/>
    <n v="0"/>
    <n v="100000"/>
    <n v="150000"/>
    <x v="3"/>
    <x v="13"/>
    <x v="3"/>
  </r>
  <r>
    <n v="468"/>
    <x v="78"/>
    <x v="0"/>
    <m/>
    <m/>
    <x v="67"/>
    <n v="0"/>
    <n v="0"/>
    <n v="100000"/>
    <n v="100000"/>
    <x v="3"/>
    <x v="13"/>
    <x v="3"/>
  </r>
  <r>
    <n v="469"/>
    <x v="55"/>
    <x v="0"/>
    <m/>
    <m/>
    <x v="46"/>
    <n v="0"/>
    <n v="0"/>
    <n v="100000"/>
    <n v="50000"/>
    <x v="3"/>
    <x v="13"/>
    <x v="3"/>
  </r>
  <r>
    <n v="470"/>
    <x v="52"/>
    <x v="0"/>
    <m/>
    <m/>
    <x v="43"/>
    <n v="0"/>
    <n v="0"/>
    <n v="100000"/>
    <n v="125000"/>
    <x v="3"/>
    <x v="13"/>
    <x v="3"/>
  </r>
  <r>
    <n v="471"/>
    <x v="77"/>
    <x v="0"/>
    <m/>
    <m/>
    <x v="66"/>
    <n v="0"/>
    <n v="0"/>
    <n v="100000"/>
    <n v="150000"/>
    <x v="3"/>
    <x v="13"/>
    <x v="3"/>
  </r>
  <r>
    <n v="472"/>
    <x v="126"/>
    <x v="0"/>
    <m/>
    <m/>
    <x v="112"/>
    <n v="0"/>
    <n v="0"/>
    <n v="100000"/>
    <n v="100000"/>
    <x v="3"/>
    <x v="13"/>
    <x v="3"/>
  </r>
  <r>
    <n v="473"/>
    <x v="49"/>
    <x v="0"/>
    <m/>
    <m/>
    <x v="42"/>
    <n v="0"/>
    <n v="0"/>
    <n v="100000"/>
    <n v="100000"/>
    <x v="3"/>
    <x v="13"/>
    <x v="3"/>
  </r>
  <r>
    <n v="474"/>
    <x v="142"/>
    <x v="0"/>
    <m/>
    <m/>
    <x v="125"/>
    <n v="0"/>
    <n v="0"/>
    <n v="100000"/>
    <n v="50000"/>
    <x v="3"/>
    <x v="13"/>
    <x v="3"/>
  </r>
  <r>
    <n v="475"/>
    <x v="153"/>
    <x v="0"/>
    <m/>
    <m/>
    <x v="134"/>
    <n v="0"/>
    <n v="0"/>
    <n v="100000"/>
    <n v="50000"/>
    <x v="3"/>
    <x v="13"/>
    <x v="3"/>
  </r>
  <r>
    <n v="476"/>
    <x v="29"/>
    <x v="0"/>
    <m/>
    <m/>
    <x v="24"/>
    <n v="0"/>
    <n v="0"/>
    <n v="100000"/>
    <n v="50000"/>
    <x v="3"/>
    <x v="13"/>
    <x v="3"/>
  </r>
  <r>
    <n v="477"/>
    <x v="83"/>
    <x v="0"/>
    <m/>
    <m/>
    <x v="72"/>
    <n v="0"/>
    <n v="0"/>
    <n v="100000"/>
    <n v="100000"/>
    <x v="3"/>
    <x v="13"/>
    <x v="3"/>
  </r>
  <r>
    <n v="478"/>
    <x v="189"/>
    <x v="0"/>
    <m/>
    <m/>
    <x v="168"/>
    <n v="0"/>
    <n v="0"/>
    <n v="100000"/>
    <n v="75000"/>
    <x v="3"/>
    <x v="13"/>
    <x v="3"/>
  </r>
  <r>
    <n v="479"/>
    <x v="13"/>
    <x v="0"/>
    <m/>
    <m/>
    <x v="10"/>
    <n v="0"/>
    <n v="0"/>
    <n v="100000"/>
    <n v="100000"/>
    <x v="3"/>
    <x v="13"/>
    <x v="3"/>
  </r>
  <r>
    <n v="480"/>
    <x v="115"/>
    <x v="0"/>
    <m/>
    <m/>
    <x v="101"/>
    <n v="0"/>
    <n v="0"/>
    <n v="100000"/>
    <n v="50000"/>
    <x v="3"/>
    <x v="13"/>
    <x v="3"/>
  </r>
  <r>
    <n v="481"/>
    <x v="20"/>
    <x v="0"/>
    <m/>
    <m/>
    <x v="16"/>
    <n v="0"/>
    <n v="0"/>
    <n v="200000"/>
    <n v="100000"/>
    <x v="3"/>
    <x v="13"/>
    <x v="3"/>
  </r>
  <r>
    <n v="482"/>
    <x v="2"/>
    <x v="0"/>
    <m/>
    <m/>
    <x v="2"/>
    <n v="0"/>
    <n v="0"/>
    <n v="100000"/>
    <n v="150000"/>
    <x v="3"/>
    <x v="13"/>
    <x v="3"/>
  </r>
  <r>
    <n v="483"/>
    <x v="91"/>
    <x v="0"/>
    <m/>
    <m/>
    <x v="80"/>
    <n v="0"/>
    <n v="0"/>
    <n v="100000"/>
    <n v="100000"/>
    <x v="3"/>
    <x v="13"/>
    <x v="3"/>
  </r>
  <r>
    <n v="484"/>
    <x v="67"/>
    <x v="0"/>
    <m/>
    <m/>
    <x v="57"/>
    <n v="0"/>
    <n v="0"/>
    <n v="100000"/>
    <n v="100000"/>
    <x v="3"/>
    <x v="13"/>
    <x v="3"/>
  </r>
  <r>
    <n v="485"/>
    <x v="119"/>
    <x v="0"/>
    <m/>
    <m/>
    <x v="105"/>
    <n v="0"/>
    <n v="0"/>
    <n v="150000"/>
    <n v="250000"/>
    <x v="3"/>
    <x v="13"/>
    <x v="3"/>
  </r>
  <r>
    <n v="486"/>
    <x v="179"/>
    <x v="0"/>
    <m/>
    <m/>
    <x v="158"/>
    <n v="0"/>
    <n v="0"/>
    <n v="200000"/>
    <n v="300000"/>
    <x v="3"/>
    <x v="13"/>
    <x v="3"/>
  </r>
  <r>
    <n v="487"/>
    <x v="184"/>
    <x v="0"/>
    <m/>
    <m/>
    <x v="163"/>
    <n v="0"/>
    <n v="0"/>
    <n v="100000"/>
    <n v="100000"/>
    <x v="3"/>
    <x v="13"/>
    <x v="3"/>
  </r>
  <r>
    <n v="488"/>
    <x v="72"/>
    <x v="0"/>
    <m/>
    <m/>
    <x v="62"/>
    <n v="0"/>
    <n v="0"/>
    <n v="100000"/>
    <n v="150000"/>
    <x v="3"/>
    <x v="13"/>
    <x v="3"/>
  </r>
  <r>
    <n v="489"/>
    <x v="180"/>
    <x v="0"/>
    <m/>
    <m/>
    <x v="159"/>
    <n v="0"/>
    <n v="0"/>
    <n v="100000"/>
    <n v="100000"/>
    <x v="3"/>
    <x v="13"/>
    <x v="3"/>
  </r>
  <r>
    <n v="490"/>
    <x v="70"/>
    <x v="0"/>
    <m/>
    <m/>
    <x v="60"/>
    <n v="0"/>
    <n v="0"/>
    <n v="100000"/>
    <n v="400000"/>
    <x v="3"/>
    <x v="13"/>
    <x v="3"/>
  </r>
  <r>
    <n v="491"/>
    <x v="39"/>
    <x v="0"/>
    <m/>
    <m/>
    <x v="33"/>
    <n v="0"/>
    <n v="0"/>
    <n v="100000"/>
    <n v="150000"/>
    <x v="3"/>
    <x v="13"/>
    <x v="3"/>
  </r>
  <r>
    <n v="492"/>
    <x v="17"/>
    <x v="0"/>
    <m/>
    <m/>
    <x v="13"/>
    <n v="0"/>
    <n v="0"/>
    <n v="100000"/>
    <n v="400000"/>
    <x v="3"/>
    <x v="13"/>
    <x v="3"/>
  </r>
  <r>
    <n v="493"/>
    <x v="112"/>
    <x v="0"/>
    <m/>
    <m/>
    <x v="98"/>
    <n v="0"/>
    <n v="0"/>
    <n v="100000"/>
    <n v="100000"/>
    <x v="3"/>
    <x v="13"/>
    <x v="3"/>
  </r>
  <r>
    <n v="494"/>
    <x v="151"/>
    <x v="0"/>
    <m/>
    <m/>
    <x v="133"/>
    <n v="0"/>
    <n v="0"/>
    <n v="100000"/>
    <n v="150000"/>
    <x v="3"/>
    <x v="13"/>
    <x v="3"/>
  </r>
  <r>
    <n v="495"/>
    <x v="103"/>
    <x v="0"/>
    <m/>
    <m/>
    <x v="91"/>
    <n v="0"/>
    <n v="0"/>
    <n v="100000"/>
    <n v="500000"/>
    <x v="3"/>
    <x v="13"/>
    <x v="3"/>
  </r>
  <r>
    <n v="496"/>
    <x v="90"/>
    <x v="1"/>
    <m/>
    <m/>
    <x v="79"/>
    <n v="0"/>
    <n v="0"/>
    <n v="100000"/>
    <n v="50000"/>
    <x v="3"/>
    <x v="13"/>
    <x v="3"/>
  </r>
  <r>
    <n v="497"/>
    <x v="56"/>
    <x v="0"/>
    <m/>
    <m/>
    <x v="47"/>
    <n v="0"/>
    <n v="0"/>
    <n v="100000"/>
    <n v="75000"/>
    <x v="3"/>
    <x v="13"/>
    <x v="3"/>
  </r>
  <r>
    <n v="498"/>
    <x v="27"/>
    <x v="0"/>
    <m/>
    <m/>
    <x v="23"/>
    <n v="0"/>
    <n v="0"/>
    <n v="100000"/>
    <n v="100000"/>
    <x v="3"/>
    <x v="13"/>
    <x v="3"/>
  </r>
  <r>
    <n v="499"/>
    <x v="28"/>
    <x v="0"/>
    <m/>
    <m/>
    <x v="23"/>
    <n v="0"/>
    <n v="0"/>
    <n v="100000"/>
    <n v="50000"/>
    <x v="3"/>
    <x v="13"/>
    <x v="3"/>
  </r>
  <r>
    <n v="500"/>
    <x v="37"/>
    <x v="0"/>
    <m/>
    <m/>
    <x v="31"/>
    <n v="0"/>
    <n v="0"/>
    <n v="100000"/>
    <n v="150000"/>
    <x v="3"/>
    <x v="13"/>
    <x v="3"/>
  </r>
  <r>
    <n v="501"/>
    <x v="79"/>
    <x v="0"/>
    <m/>
    <m/>
    <x v="68"/>
    <n v="0"/>
    <n v="0"/>
    <n v="100000"/>
    <n v="100000"/>
    <x v="3"/>
    <x v="13"/>
    <x v="3"/>
  </r>
  <r>
    <n v="502"/>
    <x v="36"/>
    <x v="0"/>
    <m/>
    <m/>
    <x v="30"/>
    <n v="0"/>
    <n v="0"/>
    <n v="100000"/>
    <n v="200000"/>
    <x v="3"/>
    <x v="13"/>
    <x v="3"/>
  </r>
  <r>
    <n v="503"/>
    <x v="120"/>
    <x v="0"/>
    <m/>
    <m/>
    <x v="106"/>
    <n v="0"/>
    <n v="0"/>
    <n v="100000"/>
    <n v="50000"/>
    <x v="3"/>
    <x v="13"/>
    <x v="3"/>
  </r>
  <r>
    <n v="504"/>
    <x v="107"/>
    <x v="1"/>
    <m/>
    <m/>
    <x v="95"/>
    <n v="0"/>
    <n v="0"/>
    <n v="100000"/>
    <n v="400000"/>
    <x v="3"/>
    <x v="13"/>
    <x v="3"/>
  </r>
  <r>
    <n v="505"/>
    <x v="8"/>
    <x v="0"/>
    <m/>
    <m/>
    <x v="7"/>
    <n v="0"/>
    <n v="0"/>
    <n v="200000"/>
    <n v="300000"/>
    <x v="3"/>
    <x v="13"/>
    <x v="3"/>
  </r>
  <r>
    <n v="506"/>
    <x v="157"/>
    <x v="0"/>
    <m/>
    <m/>
    <x v="138"/>
    <n v="0"/>
    <n v="0"/>
    <n v="100000"/>
    <n v="100000"/>
    <x v="3"/>
    <x v="13"/>
    <x v="3"/>
  </r>
  <r>
    <n v="507"/>
    <x v="191"/>
    <x v="0"/>
    <m/>
    <m/>
    <x v="170"/>
    <n v="0"/>
    <n v="0"/>
    <n v="100000"/>
    <n v="100000"/>
    <x v="3"/>
    <x v="13"/>
    <x v="3"/>
  </r>
  <r>
    <n v="508"/>
    <x v="75"/>
    <x v="0"/>
    <m/>
    <m/>
    <x v="64"/>
    <n v="0"/>
    <n v="0"/>
    <n v="100000"/>
    <n v="125000"/>
    <x v="3"/>
    <x v="13"/>
    <x v="3"/>
  </r>
  <r>
    <n v="509"/>
    <x v="19"/>
    <x v="0"/>
    <m/>
    <m/>
    <x v="15"/>
    <n v="0"/>
    <n v="0"/>
    <n v="100000"/>
    <n v="400000"/>
    <x v="3"/>
    <x v="13"/>
    <x v="3"/>
  </r>
  <r>
    <n v="510"/>
    <x v="38"/>
    <x v="0"/>
    <m/>
    <m/>
    <x v="32"/>
    <n v="0"/>
    <n v="0"/>
    <n v="100000"/>
    <n v="250000"/>
    <x v="3"/>
    <x v="13"/>
    <x v="3"/>
  </r>
  <r>
    <n v="511"/>
    <x v="105"/>
    <x v="0"/>
    <m/>
    <m/>
    <x v="93"/>
    <n v="0"/>
    <n v="0"/>
    <n v="100000"/>
    <n v="100000"/>
    <x v="3"/>
    <x v="13"/>
    <x v="3"/>
  </r>
  <r>
    <n v="512"/>
    <x v="57"/>
    <x v="0"/>
    <m/>
    <m/>
    <x v="48"/>
    <n v="0"/>
    <n v="0"/>
    <n v="100000"/>
    <n v="100000"/>
    <x v="3"/>
    <x v="13"/>
    <x v="3"/>
  </r>
  <r>
    <n v="513"/>
    <x v="181"/>
    <x v="0"/>
    <m/>
    <m/>
    <x v="160"/>
    <n v="0"/>
    <n v="0"/>
    <n v="100000"/>
    <n v="250000"/>
    <x v="3"/>
    <x v="13"/>
    <x v="3"/>
  </r>
  <r>
    <n v="514"/>
    <x v="122"/>
    <x v="0"/>
    <m/>
    <m/>
    <x v="108"/>
    <n v="0"/>
    <n v="0"/>
    <n v="100000"/>
    <n v="500000"/>
    <x v="3"/>
    <x v="13"/>
    <x v="3"/>
  </r>
  <r>
    <n v="515"/>
    <x v="163"/>
    <x v="0"/>
    <m/>
    <m/>
    <x v="144"/>
    <n v="0"/>
    <n v="0"/>
    <n v="100000"/>
    <n v="50000"/>
    <x v="3"/>
    <x v="13"/>
    <x v="3"/>
  </r>
  <r>
    <n v="516"/>
    <x v="21"/>
    <x v="1"/>
    <m/>
    <m/>
    <x v="17"/>
    <n v="0"/>
    <n v="0"/>
    <n v="100000"/>
    <n v="150000"/>
    <x v="3"/>
    <x v="13"/>
    <x v="3"/>
  </r>
  <r>
    <n v="517"/>
    <x v="190"/>
    <x v="0"/>
    <m/>
    <m/>
    <x v="169"/>
    <n v="0"/>
    <n v="0"/>
    <n v="100000"/>
    <n v="100000"/>
    <x v="3"/>
    <x v="13"/>
    <x v="3"/>
  </r>
  <r>
    <n v="518"/>
    <x v="47"/>
    <x v="0"/>
    <m/>
    <m/>
    <x v="40"/>
    <n v="0"/>
    <n v="0"/>
    <n v="100000"/>
    <n v="500000"/>
    <x v="3"/>
    <x v="13"/>
    <x v="3"/>
  </r>
  <r>
    <n v="519"/>
    <x v="137"/>
    <x v="0"/>
    <m/>
    <m/>
    <x v="121"/>
    <n v="0"/>
    <n v="0"/>
    <n v="100000"/>
    <n v="100000"/>
    <x v="3"/>
    <x v="13"/>
    <x v="3"/>
  </r>
  <r>
    <n v="520"/>
    <x v="176"/>
    <x v="0"/>
    <m/>
    <m/>
    <x v="156"/>
    <n v="0"/>
    <n v="0"/>
    <n v="100000"/>
    <n v="150000"/>
    <x v="3"/>
    <x v="13"/>
    <x v="3"/>
  </r>
  <r>
    <n v="521"/>
    <x v="32"/>
    <x v="0"/>
    <m/>
    <m/>
    <x v="26"/>
    <n v="0"/>
    <n v="0"/>
    <n v="100000"/>
    <n v="100000"/>
    <x v="3"/>
    <x v="13"/>
    <x v="3"/>
  </r>
  <r>
    <n v="522"/>
    <x v="6"/>
    <x v="0"/>
    <m/>
    <m/>
    <x v="6"/>
    <n v="0"/>
    <n v="0"/>
    <n v="100000"/>
    <n v="250000"/>
    <x v="3"/>
    <x v="13"/>
    <x v="3"/>
  </r>
  <r>
    <n v="523"/>
    <x v="121"/>
    <x v="0"/>
    <m/>
    <m/>
    <x v="107"/>
    <n v="0"/>
    <n v="0"/>
    <n v="100000"/>
    <n v="100000"/>
    <x v="3"/>
    <x v="13"/>
    <x v="3"/>
  </r>
  <r>
    <n v="524"/>
    <x v="44"/>
    <x v="0"/>
    <m/>
    <m/>
    <x v="37"/>
    <n v="0"/>
    <n v="0"/>
    <n v="100000"/>
    <n v="50000"/>
    <x v="3"/>
    <x v="13"/>
    <x v="3"/>
  </r>
  <r>
    <n v="525"/>
    <x v="185"/>
    <x v="0"/>
    <m/>
    <m/>
    <x v="164"/>
    <n v="0"/>
    <n v="0"/>
    <n v="100000"/>
    <n v="200000"/>
    <x v="3"/>
    <x v="13"/>
    <x v="3"/>
  </r>
  <r>
    <n v="526"/>
    <x v="42"/>
    <x v="0"/>
    <m/>
    <m/>
    <x v="35"/>
    <n v="0"/>
    <n v="0"/>
    <n v="100000"/>
    <n v="150000"/>
    <x v="3"/>
    <x v="13"/>
    <x v="3"/>
  </r>
  <r>
    <n v="527"/>
    <x v="123"/>
    <x v="0"/>
    <m/>
    <m/>
    <x v="109"/>
    <n v="0"/>
    <n v="0"/>
    <n v="100000"/>
    <n v="50000"/>
    <x v="3"/>
    <x v="13"/>
    <x v="3"/>
  </r>
  <r>
    <n v="528"/>
    <x v="162"/>
    <x v="0"/>
    <m/>
    <m/>
    <x v="143"/>
    <n v="0"/>
    <n v="0"/>
    <n v="100000"/>
    <n v="12500"/>
    <x v="3"/>
    <x v="13"/>
    <x v="3"/>
  </r>
  <r>
    <n v="529"/>
    <x v="138"/>
    <x v="0"/>
    <m/>
    <m/>
    <x v="122"/>
    <n v="0"/>
    <n v="0"/>
    <n v="100000"/>
    <n v="100000"/>
    <x v="3"/>
    <x v="13"/>
    <x v="3"/>
  </r>
  <r>
    <n v="530"/>
    <x v="183"/>
    <x v="0"/>
    <m/>
    <m/>
    <x v="162"/>
    <n v="0"/>
    <n v="0"/>
    <n v="100000"/>
    <n v="100000"/>
    <x v="3"/>
    <x v="13"/>
    <x v="3"/>
  </r>
  <r>
    <n v="531"/>
    <x v="53"/>
    <x v="0"/>
    <m/>
    <m/>
    <x v="44"/>
    <n v="0"/>
    <n v="0"/>
    <n v="100000"/>
    <n v="75000"/>
    <x v="3"/>
    <x v="13"/>
    <x v="3"/>
  </r>
  <r>
    <n v="532"/>
    <x v="0"/>
    <x v="0"/>
    <m/>
    <m/>
    <x v="0"/>
    <n v="0"/>
    <n v="0"/>
    <n v="100000"/>
    <n v="200000"/>
    <x v="3"/>
    <x v="13"/>
    <x v="3"/>
  </r>
  <r>
    <n v="533"/>
    <x v="1"/>
    <x v="0"/>
    <m/>
    <m/>
    <x v="1"/>
    <n v="0"/>
    <n v="0"/>
    <n v="100000"/>
    <n v="150000"/>
    <x v="3"/>
    <x v="13"/>
    <x v="3"/>
  </r>
  <r>
    <n v="534"/>
    <x v="5"/>
    <x v="0"/>
    <m/>
    <m/>
    <x v="5"/>
    <n v="0"/>
    <n v="0"/>
    <n v="100000"/>
    <n v="100000"/>
    <x v="3"/>
    <x v="13"/>
    <x v="3"/>
  </r>
  <r>
    <n v="535"/>
    <x v="11"/>
    <x v="0"/>
    <m/>
    <m/>
    <x v="9"/>
    <n v="0"/>
    <n v="0"/>
    <n v="100000"/>
    <n v="50000"/>
    <x v="3"/>
    <x v="13"/>
    <x v="3"/>
  </r>
  <r>
    <n v="536"/>
    <x v="14"/>
    <x v="0"/>
    <m/>
    <m/>
    <x v="11"/>
    <n v="0"/>
    <n v="0"/>
    <n v="100000"/>
    <n v="100000"/>
    <x v="3"/>
    <x v="13"/>
    <x v="3"/>
  </r>
  <r>
    <n v="537"/>
    <x v="18"/>
    <x v="0"/>
    <m/>
    <m/>
    <x v="14"/>
    <n v="0"/>
    <n v="0"/>
    <n v="100000"/>
    <n v="50000"/>
    <x v="3"/>
    <x v="13"/>
    <x v="3"/>
  </r>
  <r>
    <n v="538"/>
    <x v="23"/>
    <x v="0"/>
    <m/>
    <m/>
    <x v="19"/>
    <n v="0"/>
    <n v="0"/>
    <n v="100000"/>
    <n v="175000"/>
    <x v="3"/>
    <x v="13"/>
    <x v="3"/>
  </r>
  <r>
    <n v="539"/>
    <x v="24"/>
    <x v="0"/>
    <m/>
    <m/>
    <x v="20"/>
    <n v="0"/>
    <n v="0"/>
    <n v="100000"/>
    <n v="200000"/>
    <x v="3"/>
    <x v="13"/>
    <x v="3"/>
  </r>
  <r>
    <n v="540"/>
    <x v="25"/>
    <x v="0"/>
    <m/>
    <m/>
    <x v="21"/>
    <n v="0"/>
    <n v="0"/>
    <n v="100000"/>
    <n v="150000"/>
    <x v="3"/>
    <x v="13"/>
    <x v="3"/>
  </r>
  <r>
    <n v="541"/>
    <x v="40"/>
    <x v="0"/>
    <m/>
    <m/>
    <x v="34"/>
    <n v="0"/>
    <n v="0"/>
    <n v="100000"/>
    <n v="100000"/>
    <x v="3"/>
    <x v="13"/>
    <x v="3"/>
  </r>
  <r>
    <n v="542"/>
    <x v="46"/>
    <x v="0"/>
    <m/>
    <m/>
    <x v="39"/>
    <n v="0"/>
    <n v="0"/>
    <n v="100000"/>
    <n v="50000"/>
    <x v="3"/>
    <x v="13"/>
    <x v="3"/>
  </r>
  <r>
    <n v="543"/>
    <x v="54"/>
    <x v="0"/>
    <m/>
    <m/>
    <x v="45"/>
    <n v="0"/>
    <n v="0"/>
    <n v="100000"/>
    <n v="100000"/>
    <x v="3"/>
    <x v="13"/>
    <x v="3"/>
  </r>
  <r>
    <n v="544"/>
    <x v="60"/>
    <x v="0"/>
    <m/>
    <m/>
    <x v="51"/>
    <n v="0"/>
    <n v="0"/>
    <n v="100000"/>
    <n v="100000"/>
    <x v="3"/>
    <x v="13"/>
    <x v="3"/>
  </r>
  <r>
    <n v="545"/>
    <x v="65"/>
    <x v="0"/>
    <m/>
    <m/>
    <x v="55"/>
    <n v="0"/>
    <n v="0"/>
    <n v="100000"/>
    <n v="300000"/>
    <x v="3"/>
    <x v="13"/>
    <x v="3"/>
  </r>
  <r>
    <n v="546"/>
    <x v="69"/>
    <x v="0"/>
    <m/>
    <m/>
    <x v="59"/>
    <n v="0"/>
    <n v="0"/>
    <n v="100000"/>
    <n v="50000"/>
    <x v="3"/>
    <x v="13"/>
    <x v="3"/>
  </r>
  <r>
    <n v="547"/>
    <x v="81"/>
    <x v="0"/>
    <m/>
    <m/>
    <x v="70"/>
    <n v="0"/>
    <n v="0"/>
    <n v="100000"/>
    <n v="200000"/>
    <x v="3"/>
    <x v="13"/>
    <x v="3"/>
  </r>
  <r>
    <n v="548"/>
    <x v="84"/>
    <x v="0"/>
    <m/>
    <m/>
    <x v="73"/>
    <n v="0"/>
    <n v="0"/>
    <n v="100000"/>
    <n v="100000"/>
    <x v="3"/>
    <x v="13"/>
    <x v="3"/>
  </r>
  <r>
    <n v="549"/>
    <x v="87"/>
    <x v="0"/>
    <m/>
    <m/>
    <x v="76"/>
    <n v="0"/>
    <n v="0"/>
    <n v="100000"/>
    <n v="200000"/>
    <x v="3"/>
    <x v="13"/>
    <x v="3"/>
  </r>
  <r>
    <n v="550"/>
    <x v="95"/>
    <x v="0"/>
    <m/>
    <m/>
    <x v="83"/>
    <n v="0"/>
    <n v="0"/>
    <n v="100000"/>
    <n v="150000"/>
    <x v="3"/>
    <x v="13"/>
    <x v="3"/>
  </r>
  <r>
    <n v="551"/>
    <x v="98"/>
    <x v="0"/>
    <m/>
    <m/>
    <x v="86"/>
    <n v="0"/>
    <n v="0"/>
    <n v="150000"/>
    <n v="100000"/>
    <x v="3"/>
    <x v="13"/>
    <x v="3"/>
  </r>
  <r>
    <n v="552"/>
    <x v="102"/>
    <x v="0"/>
    <m/>
    <m/>
    <x v="90"/>
    <n v="0"/>
    <n v="0"/>
    <n v="100000"/>
    <n v="75000"/>
    <x v="3"/>
    <x v="13"/>
    <x v="3"/>
  </r>
  <r>
    <n v="553"/>
    <x v="114"/>
    <x v="0"/>
    <m/>
    <m/>
    <x v="100"/>
    <n v="0"/>
    <n v="0"/>
    <n v="100000"/>
    <n v="100000"/>
    <x v="3"/>
    <x v="13"/>
    <x v="3"/>
  </r>
  <r>
    <n v="554"/>
    <x v="116"/>
    <x v="0"/>
    <m/>
    <m/>
    <x v="102"/>
    <n v="0"/>
    <n v="0"/>
    <n v="100000"/>
    <n v="100000"/>
    <x v="3"/>
    <x v="13"/>
    <x v="3"/>
  </r>
  <r>
    <n v="555"/>
    <x v="117"/>
    <x v="0"/>
    <m/>
    <m/>
    <x v="103"/>
    <n v="0"/>
    <n v="0"/>
    <n v="100000"/>
    <n v="400000"/>
    <x v="3"/>
    <x v="13"/>
    <x v="3"/>
  </r>
  <r>
    <n v="556"/>
    <x v="124"/>
    <x v="0"/>
    <m/>
    <m/>
    <x v="110"/>
    <n v="0"/>
    <n v="0"/>
    <n v="100000"/>
    <n v="150000"/>
    <x v="3"/>
    <x v="13"/>
    <x v="3"/>
  </r>
  <r>
    <n v="557"/>
    <x v="125"/>
    <x v="0"/>
    <m/>
    <m/>
    <x v="111"/>
    <n v="0"/>
    <n v="0"/>
    <n v="150000"/>
    <n v="400000"/>
    <x v="3"/>
    <x v="13"/>
    <x v="3"/>
  </r>
  <r>
    <n v="558"/>
    <x v="132"/>
    <x v="0"/>
    <m/>
    <m/>
    <x v="117"/>
    <n v="0"/>
    <n v="0"/>
    <n v="100000"/>
    <n v="250000"/>
    <x v="3"/>
    <x v="13"/>
    <x v="3"/>
  </r>
  <r>
    <n v="559"/>
    <x v="133"/>
    <x v="1"/>
    <m/>
    <m/>
    <x v="118"/>
    <n v="0"/>
    <n v="0"/>
    <n v="100000"/>
    <n v="200000"/>
    <x v="3"/>
    <x v="13"/>
    <x v="3"/>
  </r>
  <r>
    <n v="560"/>
    <x v="139"/>
    <x v="1"/>
    <m/>
    <m/>
    <x v="123"/>
    <n v="0"/>
    <n v="0"/>
    <n v="100000"/>
    <n v="150000"/>
    <x v="3"/>
    <x v="13"/>
    <x v="3"/>
  </r>
  <r>
    <n v="561"/>
    <x v="144"/>
    <x v="0"/>
    <m/>
    <m/>
    <x v="127"/>
    <n v="0"/>
    <n v="0"/>
    <n v="100000"/>
    <n v="100000"/>
    <x v="3"/>
    <x v="13"/>
    <x v="3"/>
  </r>
  <r>
    <n v="562"/>
    <x v="145"/>
    <x v="0"/>
    <m/>
    <m/>
    <x v="128"/>
    <n v="0"/>
    <n v="0"/>
    <n v="100000"/>
    <n v="100000"/>
    <x v="3"/>
    <x v="13"/>
    <x v="3"/>
  </r>
  <r>
    <n v="563"/>
    <x v="149"/>
    <x v="0"/>
    <m/>
    <m/>
    <x v="131"/>
    <n v="0"/>
    <n v="0"/>
    <n v="100000"/>
    <n v="100000"/>
    <x v="3"/>
    <x v="13"/>
    <x v="3"/>
  </r>
  <r>
    <n v="564"/>
    <x v="155"/>
    <x v="0"/>
    <m/>
    <m/>
    <x v="136"/>
    <n v="0"/>
    <n v="0"/>
    <n v="100000"/>
    <n v="50000"/>
    <x v="3"/>
    <x v="13"/>
    <x v="3"/>
  </r>
  <r>
    <n v="565"/>
    <x v="165"/>
    <x v="0"/>
    <m/>
    <m/>
    <x v="146"/>
    <n v="0"/>
    <n v="0"/>
    <n v="100000"/>
    <n v="100000"/>
    <x v="3"/>
    <x v="13"/>
    <x v="3"/>
  </r>
  <r>
    <n v="566"/>
    <x v="168"/>
    <x v="0"/>
    <m/>
    <m/>
    <x v="149"/>
    <n v="0"/>
    <n v="0"/>
    <n v="150000"/>
    <n v="100000"/>
    <x v="3"/>
    <x v="13"/>
    <x v="3"/>
  </r>
  <r>
    <n v="567"/>
    <x v="170"/>
    <x v="0"/>
    <m/>
    <m/>
    <x v="151"/>
    <n v="0"/>
    <n v="0"/>
    <n v="100000"/>
    <n v="50000"/>
    <x v="3"/>
    <x v="13"/>
    <x v="3"/>
  </r>
  <r>
    <n v="568"/>
    <x v="178"/>
    <x v="0"/>
    <m/>
    <m/>
    <x v="157"/>
    <n v="0"/>
    <n v="0"/>
    <n v="100000"/>
    <n v="100000"/>
    <x v="3"/>
    <x v="13"/>
    <x v="3"/>
  </r>
  <r>
    <n v="569"/>
    <x v="188"/>
    <x v="0"/>
    <m/>
    <m/>
    <x v="167"/>
    <n v="0"/>
    <n v="0"/>
    <n v="100000"/>
    <n v="100000"/>
    <x v="3"/>
    <x v="13"/>
    <x v="3"/>
  </r>
  <r>
    <n v="570"/>
    <x v="192"/>
    <x v="0"/>
    <m/>
    <m/>
    <x v="171"/>
    <n v="0"/>
    <n v="0"/>
    <n v="100000"/>
    <n v="150000"/>
    <x v="3"/>
    <x v="13"/>
    <x v="3"/>
  </r>
  <r>
    <n v="571"/>
    <x v="196"/>
    <x v="0"/>
    <m/>
    <m/>
    <x v="174"/>
    <n v="0"/>
    <n v="0"/>
    <n v="100000"/>
    <n v="100000"/>
    <x v="3"/>
    <x v="13"/>
    <x v="3"/>
  </r>
  <r>
    <n v="572"/>
    <x v="197"/>
    <x v="0"/>
    <m/>
    <m/>
    <x v="175"/>
    <n v="0"/>
    <n v="0"/>
    <n v="100000"/>
    <n v="200000"/>
    <x v="3"/>
    <x v="13"/>
    <x v="3"/>
  </r>
  <r>
    <n v="573"/>
    <x v="201"/>
    <x v="3"/>
    <m/>
    <m/>
    <x v="177"/>
    <n v="0"/>
    <n v="0"/>
    <n v="0"/>
    <n v="0"/>
    <x v="3"/>
    <x v="13"/>
    <x v="3"/>
  </r>
  <r>
    <n v="574"/>
    <x v="198"/>
    <x v="1"/>
    <m/>
    <m/>
    <x v="18"/>
    <n v="0"/>
    <n v="0"/>
    <n v="100000"/>
    <n v="200000"/>
    <x v="3"/>
    <x v="13"/>
    <x v="3"/>
  </r>
  <r>
    <n v="575"/>
    <x v="199"/>
    <x v="3"/>
    <m/>
    <m/>
    <x v="18"/>
    <n v="0"/>
    <n v="0"/>
    <n v="100000"/>
    <n v="100000"/>
    <x v="3"/>
    <x v="13"/>
    <x v="3"/>
  </r>
  <r>
    <n v="576"/>
    <x v="202"/>
    <x v="0"/>
    <m/>
    <m/>
    <x v="18"/>
    <n v="0"/>
    <n v="0"/>
    <n v="100000"/>
    <n v="10000"/>
    <x v="3"/>
    <x v="13"/>
    <x v="3"/>
  </r>
  <r>
    <n v="577"/>
    <x v="22"/>
    <x v="0"/>
    <m/>
    <m/>
    <x v="18"/>
    <n v="0"/>
    <n v="0"/>
    <n v="100000"/>
    <n v="200000"/>
    <x v="3"/>
    <x v="13"/>
    <x v="3"/>
  </r>
  <r>
    <n v="578"/>
    <x v="147"/>
    <x v="0"/>
    <m/>
    <m/>
    <x v="18"/>
    <n v="0"/>
    <n v="0"/>
    <n v="0"/>
    <n v="0"/>
    <x v="3"/>
    <x v="13"/>
    <x v="3"/>
  </r>
  <r>
    <n v="579"/>
    <x v="202"/>
    <x v="0"/>
    <m/>
    <m/>
    <x v="18"/>
    <n v="0"/>
    <n v="7510261"/>
    <n v="15436622"/>
    <n v="1360000"/>
    <x v="0"/>
    <x v="14"/>
    <x v="6"/>
  </r>
  <r>
    <n v="580"/>
    <x v="90"/>
    <x v="1"/>
    <m/>
    <m/>
    <x v="79"/>
    <n v="0"/>
    <n v="0"/>
    <n v="-100000"/>
    <n v="-50000"/>
    <x v="4"/>
    <x v="15"/>
    <x v="5"/>
  </r>
  <r>
    <n v="581"/>
    <x v="68"/>
    <x v="1"/>
    <m/>
    <m/>
    <x v="58"/>
    <n v="0"/>
    <n v="0"/>
    <n v="100000"/>
    <n v="100000"/>
    <x v="3"/>
    <x v="9"/>
    <x v="3"/>
  </r>
  <r>
    <n v="582"/>
    <x v="152"/>
    <x v="0"/>
    <m/>
    <m/>
    <x v="58"/>
    <n v="0"/>
    <n v="0"/>
    <n v="100000"/>
    <n v="100000"/>
    <x v="3"/>
    <x v="9"/>
    <x v="3"/>
  </r>
  <r>
    <n v="583"/>
    <x v="73"/>
    <x v="0"/>
    <m/>
    <m/>
    <x v="58"/>
    <n v="0"/>
    <n v="0"/>
    <n v="100000"/>
    <n v="400000"/>
    <x v="1"/>
    <x v="9"/>
    <x v="3"/>
  </r>
  <r>
    <n v="584"/>
    <x v="90"/>
    <x v="1"/>
    <m/>
    <m/>
    <x v="79"/>
    <n v="0"/>
    <n v="-3669231"/>
    <n v="-10129188"/>
    <n v="-257037"/>
    <x v="3"/>
    <x v="16"/>
    <x v="5"/>
  </r>
  <r>
    <n v="585"/>
    <x v="133"/>
    <x v="1"/>
    <m/>
    <m/>
    <x v="118"/>
    <n v="0"/>
    <n v="0"/>
    <n v="-900000"/>
    <n v="-1800000"/>
    <x v="3"/>
    <x v="17"/>
    <x v="5"/>
  </r>
  <r>
    <n v="586"/>
    <x v="68"/>
    <x v="1"/>
    <m/>
    <m/>
    <x v="58"/>
    <n v="0"/>
    <n v="-1265346"/>
    <n v="-3800000"/>
    <n v="-1100000"/>
    <x v="4"/>
    <x v="18"/>
    <x v="5"/>
  </r>
  <r>
    <n v="587"/>
    <x v="109"/>
    <x v="0"/>
    <m/>
    <m/>
    <x v="96"/>
    <n v="0"/>
    <n v="0"/>
    <n v="100000"/>
    <n v="400000"/>
    <x v="4"/>
    <x v="19"/>
    <x v="3"/>
  </r>
  <r>
    <n v="588"/>
    <x v="161"/>
    <x v="1"/>
    <m/>
    <m/>
    <x v="142"/>
    <n v="0"/>
    <n v="0"/>
    <n v="100000"/>
    <n v="100000"/>
    <x v="4"/>
    <x v="19"/>
    <x v="3"/>
  </r>
  <r>
    <n v="589"/>
    <x v="166"/>
    <x v="0"/>
    <m/>
    <m/>
    <x v="147"/>
    <n v="0"/>
    <n v="0"/>
    <n v="100000"/>
    <n v="100000"/>
    <x v="4"/>
    <x v="19"/>
    <x v="3"/>
  </r>
  <r>
    <n v="590"/>
    <x v="158"/>
    <x v="0"/>
    <m/>
    <m/>
    <x v="139"/>
    <n v="0"/>
    <n v="0"/>
    <n v="100000"/>
    <n v="10000"/>
    <x v="4"/>
    <x v="19"/>
    <x v="3"/>
  </r>
  <r>
    <n v="591"/>
    <x v="127"/>
    <x v="0"/>
    <m/>
    <m/>
    <x v="113"/>
    <n v="0"/>
    <n v="0"/>
    <n v="100000"/>
    <n v="75000"/>
    <x v="4"/>
    <x v="19"/>
    <x v="3"/>
  </r>
  <r>
    <n v="592"/>
    <x v="135"/>
    <x v="0"/>
    <m/>
    <m/>
    <x v="119"/>
    <n v="0"/>
    <n v="0"/>
    <n v="100000"/>
    <n v="15000"/>
    <x v="4"/>
    <x v="19"/>
    <x v="3"/>
  </r>
  <r>
    <n v="593"/>
    <x v="82"/>
    <x v="0"/>
    <m/>
    <m/>
    <x v="71"/>
    <n v="0"/>
    <n v="0"/>
    <n v="100000"/>
    <n v="100000"/>
    <x v="4"/>
    <x v="19"/>
    <x v="3"/>
  </r>
  <r>
    <n v="594"/>
    <x v="48"/>
    <x v="0"/>
    <m/>
    <m/>
    <x v="41"/>
    <n v="0"/>
    <n v="0"/>
    <n v="100000"/>
    <n v="75000"/>
    <x v="4"/>
    <x v="19"/>
    <x v="3"/>
  </r>
  <r>
    <n v="595"/>
    <x v="61"/>
    <x v="0"/>
    <m/>
    <m/>
    <x v="52"/>
    <n v="0"/>
    <n v="0"/>
    <n v="100000"/>
    <n v="200000"/>
    <x v="4"/>
    <x v="19"/>
    <x v="3"/>
  </r>
  <r>
    <n v="596"/>
    <x v="86"/>
    <x v="0"/>
    <m/>
    <m/>
    <x v="75"/>
    <n v="0"/>
    <n v="0"/>
    <n v="100000"/>
    <n v="250000"/>
    <x v="4"/>
    <x v="19"/>
    <x v="3"/>
  </r>
  <r>
    <n v="597"/>
    <x v="186"/>
    <x v="0"/>
    <m/>
    <m/>
    <x v="165"/>
    <n v="0"/>
    <n v="0"/>
    <n v="100000"/>
    <n v="10000"/>
    <x v="4"/>
    <x v="19"/>
    <x v="3"/>
  </r>
  <r>
    <n v="598"/>
    <x v="159"/>
    <x v="0"/>
    <m/>
    <m/>
    <x v="140"/>
    <n v="0"/>
    <n v="0"/>
    <n v="100000"/>
    <n v="50000"/>
    <x v="4"/>
    <x v="19"/>
    <x v="3"/>
  </r>
  <r>
    <n v="599"/>
    <x v="148"/>
    <x v="0"/>
    <m/>
    <m/>
    <x v="130"/>
    <n v="0"/>
    <n v="0"/>
    <n v="100000"/>
    <n v="50000"/>
    <x v="4"/>
    <x v="19"/>
    <x v="3"/>
  </r>
  <r>
    <n v="600"/>
    <x v="33"/>
    <x v="0"/>
    <m/>
    <m/>
    <x v="27"/>
    <n v="0"/>
    <n v="0"/>
    <n v="100000"/>
    <n v="1775000"/>
    <x v="4"/>
    <x v="19"/>
    <x v="3"/>
  </r>
  <r>
    <n v="601"/>
    <x v="164"/>
    <x v="0"/>
    <m/>
    <m/>
    <x v="145"/>
    <n v="0"/>
    <n v="0"/>
    <n v="100000"/>
    <n v="150000"/>
    <x v="4"/>
    <x v="19"/>
    <x v="3"/>
  </r>
  <r>
    <n v="602"/>
    <x v="101"/>
    <x v="0"/>
    <m/>
    <m/>
    <x v="89"/>
    <n v="0"/>
    <n v="0"/>
    <n v="100000"/>
    <n v="100000"/>
    <x v="4"/>
    <x v="19"/>
    <x v="3"/>
  </r>
  <r>
    <n v="603"/>
    <x v="187"/>
    <x v="0"/>
    <m/>
    <m/>
    <x v="166"/>
    <n v="0"/>
    <n v="0"/>
    <n v="100000"/>
    <n v="250000"/>
    <x v="4"/>
    <x v="19"/>
    <x v="3"/>
  </r>
  <r>
    <n v="604"/>
    <x v="92"/>
    <x v="0"/>
    <m/>
    <m/>
    <x v="81"/>
    <n v="0"/>
    <n v="0"/>
    <n v="150000"/>
    <n v="10000"/>
    <x v="4"/>
    <x v="19"/>
    <x v="3"/>
  </r>
  <r>
    <n v="605"/>
    <x v="110"/>
    <x v="0"/>
    <m/>
    <m/>
    <x v="97"/>
    <n v="0"/>
    <n v="0"/>
    <n v="100000"/>
    <n v="100000"/>
    <x v="4"/>
    <x v="19"/>
    <x v="3"/>
  </r>
  <r>
    <n v="606"/>
    <x v="16"/>
    <x v="0"/>
    <m/>
    <m/>
    <x v="12"/>
    <n v="0"/>
    <n v="0"/>
    <n v="100000"/>
    <n v="50000"/>
    <x v="4"/>
    <x v="19"/>
    <x v="3"/>
  </r>
  <r>
    <n v="607"/>
    <x v="193"/>
    <x v="0"/>
    <m/>
    <m/>
    <x v="172"/>
    <n v="0"/>
    <n v="0"/>
    <n v="100000"/>
    <n v="10000"/>
    <x v="4"/>
    <x v="19"/>
    <x v="3"/>
  </r>
  <r>
    <n v="608"/>
    <x v="100"/>
    <x v="0"/>
    <m/>
    <m/>
    <x v="88"/>
    <n v="0"/>
    <n v="0"/>
    <n v="100000"/>
    <n v="50000"/>
    <x v="4"/>
    <x v="19"/>
    <x v="3"/>
  </r>
  <r>
    <n v="609"/>
    <x v="156"/>
    <x v="0"/>
    <m/>
    <m/>
    <x v="137"/>
    <n v="0"/>
    <n v="0"/>
    <n v="100000"/>
    <n v="12500"/>
    <x v="4"/>
    <x v="19"/>
    <x v="3"/>
  </r>
  <r>
    <n v="610"/>
    <x v="169"/>
    <x v="0"/>
    <m/>
    <m/>
    <x v="150"/>
    <n v="0"/>
    <n v="0"/>
    <n v="100000"/>
    <n v="110000"/>
    <x v="4"/>
    <x v="19"/>
    <x v="3"/>
  </r>
  <r>
    <n v="611"/>
    <x v="96"/>
    <x v="0"/>
    <m/>
    <m/>
    <x v="84"/>
    <n v="0"/>
    <n v="0"/>
    <n v="100000"/>
    <n v="10000"/>
    <x v="4"/>
    <x v="19"/>
    <x v="3"/>
  </r>
  <r>
    <n v="612"/>
    <x v="167"/>
    <x v="0"/>
    <m/>
    <m/>
    <x v="148"/>
    <n v="0"/>
    <n v="0"/>
    <n v="100000"/>
    <n v="10000"/>
    <x v="4"/>
    <x v="19"/>
    <x v="3"/>
  </r>
  <r>
    <n v="613"/>
    <x v="93"/>
    <x v="0"/>
    <m/>
    <m/>
    <x v="82"/>
    <n v="0"/>
    <n v="0"/>
    <n v="150000"/>
    <n v="200000"/>
    <x v="4"/>
    <x v="19"/>
    <x v="3"/>
  </r>
  <r>
    <n v="614"/>
    <x v="113"/>
    <x v="0"/>
    <m/>
    <m/>
    <x v="99"/>
    <n v="0"/>
    <n v="0"/>
    <n v="150000"/>
    <n v="1000000"/>
    <x v="4"/>
    <x v="19"/>
    <x v="3"/>
  </r>
  <r>
    <n v="615"/>
    <x v="150"/>
    <x v="0"/>
    <m/>
    <m/>
    <x v="132"/>
    <n v="0"/>
    <n v="0"/>
    <n v="100000"/>
    <n v="500000"/>
    <x v="4"/>
    <x v="19"/>
    <x v="3"/>
  </r>
  <r>
    <n v="616"/>
    <x v="62"/>
    <x v="0"/>
    <m/>
    <m/>
    <x v="53"/>
    <n v="0"/>
    <n v="0"/>
    <n v="100000"/>
    <n v="200000"/>
    <x v="4"/>
    <x v="19"/>
    <x v="3"/>
  </r>
  <r>
    <n v="617"/>
    <x v="71"/>
    <x v="0"/>
    <m/>
    <m/>
    <x v="61"/>
    <n v="0"/>
    <n v="0"/>
    <n v="100000"/>
    <n v="150000"/>
    <x v="4"/>
    <x v="19"/>
    <x v="3"/>
  </r>
  <r>
    <n v="618"/>
    <x v="140"/>
    <x v="0"/>
    <m/>
    <m/>
    <x v="124"/>
    <n v="0"/>
    <n v="0"/>
    <n v="100000"/>
    <n v="500000"/>
    <x v="4"/>
    <x v="19"/>
    <x v="3"/>
  </r>
  <r>
    <n v="619"/>
    <x v="141"/>
    <x v="0"/>
    <m/>
    <m/>
    <x v="124"/>
    <n v="0"/>
    <n v="0"/>
    <n v="100000"/>
    <n v="300000"/>
    <x v="4"/>
    <x v="19"/>
    <x v="3"/>
  </r>
  <r>
    <n v="620"/>
    <x v="43"/>
    <x v="0"/>
    <m/>
    <m/>
    <x v="36"/>
    <n v="0"/>
    <n v="0"/>
    <n v="200000"/>
    <n v="500000"/>
    <x v="4"/>
    <x v="19"/>
    <x v="3"/>
  </r>
  <r>
    <n v="621"/>
    <x v="194"/>
    <x v="0"/>
    <m/>
    <m/>
    <x v="173"/>
    <n v="0"/>
    <n v="0"/>
    <n v="100000"/>
    <n v="75000"/>
    <x v="4"/>
    <x v="19"/>
    <x v="3"/>
  </r>
  <r>
    <n v="622"/>
    <x v="97"/>
    <x v="0"/>
    <m/>
    <m/>
    <x v="85"/>
    <n v="0"/>
    <n v="0"/>
    <n v="100000"/>
    <n v="50000"/>
    <x v="4"/>
    <x v="19"/>
    <x v="3"/>
  </r>
  <r>
    <n v="623"/>
    <x v="174"/>
    <x v="0"/>
    <m/>
    <m/>
    <x v="154"/>
    <n v="0"/>
    <n v="0"/>
    <n v="100000"/>
    <n v="175000"/>
    <x v="4"/>
    <x v="19"/>
    <x v="3"/>
  </r>
  <r>
    <n v="624"/>
    <x v="30"/>
    <x v="0"/>
    <m/>
    <m/>
    <x v="25"/>
    <n v="0"/>
    <n v="0"/>
    <n v="100000"/>
    <n v="50000"/>
    <x v="4"/>
    <x v="19"/>
    <x v="3"/>
  </r>
  <r>
    <n v="625"/>
    <x v="74"/>
    <x v="0"/>
    <m/>
    <m/>
    <x v="63"/>
    <n v="0"/>
    <n v="0"/>
    <n v="100000"/>
    <n v="175000"/>
    <x v="4"/>
    <x v="19"/>
    <x v="3"/>
  </r>
  <r>
    <n v="626"/>
    <x v="130"/>
    <x v="0"/>
    <m/>
    <m/>
    <x v="116"/>
    <n v="0"/>
    <n v="0"/>
    <n v="100000"/>
    <n v="125000"/>
    <x v="4"/>
    <x v="19"/>
    <x v="3"/>
  </r>
  <r>
    <n v="627"/>
    <x v="104"/>
    <x v="0"/>
    <m/>
    <m/>
    <x v="92"/>
    <n v="0"/>
    <n v="0"/>
    <n v="100000"/>
    <n v="300000"/>
    <x v="4"/>
    <x v="19"/>
    <x v="3"/>
  </r>
  <r>
    <n v="628"/>
    <x v="175"/>
    <x v="0"/>
    <m/>
    <m/>
    <x v="155"/>
    <n v="0"/>
    <n v="0"/>
    <n v="100000"/>
    <n v="100000"/>
    <x v="4"/>
    <x v="19"/>
    <x v="3"/>
  </r>
  <r>
    <n v="629"/>
    <x v="128"/>
    <x v="0"/>
    <m/>
    <m/>
    <x v="114"/>
    <n v="0"/>
    <n v="0"/>
    <n v="100000"/>
    <n v="25000"/>
    <x v="4"/>
    <x v="19"/>
    <x v="3"/>
  </r>
  <r>
    <n v="630"/>
    <x v="76"/>
    <x v="0"/>
    <m/>
    <m/>
    <x v="65"/>
    <n v="0"/>
    <n v="0"/>
    <n v="100000"/>
    <n v="400000"/>
    <x v="4"/>
    <x v="19"/>
    <x v="3"/>
  </r>
  <r>
    <n v="631"/>
    <x v="59"/>
    <x v="0"/>
    <m/>
    <m/>
    <x v="50"/>
    <n v="0"/>
    <n v="0"/>
    <n v="150000"/>
    <n v="150000"/>
    <x v="4"/>
    <x v="19"/>
    <x v="3"/>
  </r>
  <r>
    <n v="632"/>
    <x v="45"/>
    <x v="0"/>
    <m/>
    <m/>
    <x v="38"/>
    <n v="0"/>
    <n v="0"/>
    <n v="100000"/>
    <n v="125000"/>
    <x v="4"/>
    <x v="19"/>
    <x v="3"/>
  </r>
  <r>
    <n v="633"/>
    <x v="64"/>
    <x v="0"/>
    <m/>
    <m/>
    <x v="54"/>
    <n v="0"/>
    <n v="0"/>
    <n v="100000"/>
    <n v="100000"/>
    <x v="4"/>
    <x v="19"/>
    <x v="3"/>
  </r>
  <r>
    <n v="634"/>
    <x v="118"/>
    <x v="0"/>
    <m/>
    <m/>
    <x v="104"/>
    <n v="0"/>
    <n v="0"/>
    <n v="100000"/>
    <n v="200000"/>
    <x v="4"/>
    <x v="19"/>
    <x v="3"/>
  </r>
  <r>
    <n v="635"/>
    <x v="129"/>
    <x v="0"/>
    <m/>
    <m/>
    <x v="115"/>
    <n v="0"/>
    <n v="0"/>
    <n v="100000"/>
    <n v="100000"/>
    <x v="4"/>
    <x v="19"/>
    <x v="3"/>
  </r>
  <r>
    <n v="636"/>
    <x v="160"/>
    <x v="0"/>
    <m/>
    <m/>
    <x v="141"/>
    <n v="0"/>
    <n v="0"/>
    <n v="100000"/>
    <n v="200000"/>
    <x v="4"/>
    <x v="19"/>
    <x v="3"/>
  </r>
  <r>
    <n v="637"/>
    <x v="85"/>
    <x v="0"/>
    <m/>
    <m/>
    <x v="74"/>
    <n v="0"/>
    <n v="0"/>
    <n v="100000"/>
    <n v="100000"/>
    <x v="4"/>
    <x v="19"/>
    <x v="3"/>
  </r>
  <r>
    <n v="638"/>
    <x v="136"/>
    <x v="0"/>
    <m/>
    <m/>
    <x v="120"/>
    <n v="0"/>
    <n v="0"/>
    <n v="100000"/>
    <n v="100000"/>
    <x v="4"/>
    <x v="19"/>
    <x v="3"/>
  </r>
  <r>
    <n v="639"/>
    <x v="182"/>
    <x v="0"/>
    <m/>
    <m/>
    <x v="161"/>
    <n v="0"/>
    <n v="0"/>
    <n v="100000"/>
    <n v="50000"/>
    <x v="4"/>
    <x v="19"/>
    <x v="3"/>
  </r>
  <r>
    <n v="640"/>
    <x v="173"/>
    <x v="0"/>
    <m/>
    <m/>
    <x v="153"/>
    <n v="0"/>
    <n v="0"/>
    <n v="100000"/>
    <n v="100000"/>
    <x v="4"/>
    <x v="19"/>
    <x v="3"/>
  </r>
  <r>
    <n v="641"/>
    <x v="88"/>
    <x v="0"/>
    <m/>
    <m/>
    <x v="77"/>
    <n v="0"/>
    <n v="0"/>
    <n v="100000"/>
    <n v="100000"/>
    <x v="4"/>
    <x v="19"/>
    <x v="3"/>
  </r>
  <r>
    <n v="642"/>
    <x v="143"/>
    <x v="0"/>
    <m/>
    <m/>
    <x v="126"/>
    <n v="0"/>
    <n v="0"/>
    <n v="100000"/>
    <n v="250000"/>
    <x v="4"/>
    <x v="19"/>
    <x v="3"/>
  </r>
  <r>
    <n v="643"/>
    <x v="106"/>
    <x v="0"/>
    <m/>
    <m/>
    <x v="94"/>
    <n v="0"/>
    <n v="0"/>
    <n v="100000"/>
    <n v="15000"/>
    <x v="4"/>
    <x v="19"/>
    <x v="3"/>
  </r>
  <r>
    <n v="644"/>
    <x v="146"/>
    <x v="0"/>
    <m/>
    <m/>
    <x v="129"/>
    <n v="0"/>
    <n v="0"/>
    <n v="100000"/>
    <n v="100000"/>
    <x v="4"/>
    <x v="19"/>
    <x v="3"/>
  </r>
  <r>
    <n v="645"/>
    <x v="35"/>
    <x v="0"/>
    <m/>
    <m/>
    <x v="29"/>
    <n v="0"/>
    <n v="0"/>
    <n v="100000"/>
    <n v="100000"/>
    <x v="4"/>
    <x v="19"/>
    <x v="3"/>
  </r>
  <r>
    <n v="646"/>
    <x v="80"/>
    <x v="0"/>
    <m/>
    <m/>
    <x v="69"/>
    <n v="0"/>
    <n v="0"/>
    <n v="100000"/>
    <n v="125000"/>
    <x v="4"/>
    <x v="19"/>
    <x v="3"/>
  </r>
  <r>
    <n v="647"/>
    <x v="10"/>
    <x v="0"/>
    <m/>
    <m/>
    <x v="8"/>
    <n v="0"/>
    <n v="0"/>
    <n v="100000"/>
    <n v="150000"/>
    <x v="4"/>
    <x v="19"/>
    <x v="3"/>
  </r>
  <r>
    <n v="648"/>
    <x v="78"/>
    <x v="0"/>
    <m/>
    <m/>
    <x v="67"/>
    <n v="0"/>
    <n v="0"/>
    <n v="100000"/>
    <n v="100000"/>
    <x v="4"/>
    <x v="19"/>
    <x v="3"/>
  </r>
  <r>
    <n v="649"/>
    <x v="55"/>
    <x v="0"/>
    <m/>
    <m/>
    <x v="46"/>
    <n v="0"/>
    <n v="0"/>
    <n v="100000"/>
    <n v="50000"/>
    <x v="4"/>
    <x v="19"/>
    <x v="3"/>
  </r>
  <r>
    <n v="650"/>
    <x v="52"/>
    <x v="0"/>
    <m/>
    <m/>
    <x v="43"/>
    <n v="0"/>
    <n v="0"/>
    <n v="100000"/>
    <n v="125000"/>
    <x v="4"/>
    <x v="19"/>
    <x v="3"/>
  </r>
  <r>
    <n v="651"/>
    <x v="77"/>
    <x v="0"/>
    <m/>
    <m/>
    <x v="66"/>
    <n v="0"/>
    <n v="0"/>
    <n v="100000"/>
    <n v="150000"/>
    <x v="4"/>
    <x v="19"/>
    <x v="3"/>
  </r>
  <r>
    <n v="652"/>
    <x v="126"/>
    <x v="0"/>
    <m/>
    <m/>
    <x v="112"/>
    <n v="0"/>
    <n v="0"/>
    <n v="100000"/>
    <n v="100000"/>
    <x v="4"/>
    <x v="19"/>
    <x v="3"/>
  </r>
  <r>
    <n v="653"/>
    <x v="49"/>
    <x v="0"/>
    <m/>
    <m/>
    <x v="42"/>
    <n v="0"/>
    <n v="0"/>
    <n v="100000"/>
    <n v="100000"/>
    <x v="4"/>
    <x v="19"/>
    <x v="3"/>
  </r>
  <r>
    <n v="654"/>
    <x v="142"/>
    <x v="0"/>
    <m/>
    <m/>
    <x v="125"/>
    <n v="0"/>
    <n v="0"/>
    <n v="100000"/>
    <n v="50000"/>
    <x v="4"/>
    <x v="19"/>
    <x v="3"/>
  </r>
  <r>
    <n v="655"/>
    <x v="153"/>
    <x v="0"/>
    <m/>
    <m/>
    <x v="134"/>
    <n v="0"/>
    <n v="0"/>
    <n v="100000"/>
    <n v="50000"/>
    <x v="4"/>
    <x v="19"/>
    <x v="3"/>
  </r>
  <r>
    <n v="656"/>
    <x v="29"/>
    <x v="0"/>
    <m/>
    <m/>
    <x v="24"/>
    <n v="0"/>
    <n v="0"/>
    <n v="100000"/>
    <n v="50000"/>
    <x v="4"/>
    <x v="19"/>
    <x v="3"/>
  </r>
  <r>
    <n v="657"/>
    <x v="83"/>
    <x v="0"/>
    <m/>
    <m/>
    <x v="72"/>
    <n v="0"/>
    <n v="0"/>
    <n v="100000"/>
    <n v="100000"/>
    <x v="4"/>
    <x v="19"/>
    <x v="3"/>
  </r>
  <r>
    <n v="658"/>
    <x v="189"/>
    <x v="0"/>
    <m/>
    <m/>
    <x v="168"/>
    <n v="0"/>
    <n v="0"/>
    <n v="100000"/>
    <n v="75000"/>
    <x v="4"/>
    <x v="19"/>
    <x v="3"/>
  </r>
  <r>
    <n v="659"/>
    <x v="13"/>
    <x v="0"/>
    <m/>
    <m/>
    <x v="10"/>
    <n v="0"/>
    <n v="0"/>
    <n v="100000"/>
    <n v="100000"/>
    <x v="4"/>
    <x v="19"/>
    <x v="3"/>
  </r>
  <r>
    <n v="660"/>
    <x v="115"/>
    <x v="0"/>
    <m/>
    <m/>
    <x v="101"/>
    <n v="0"/>
    <n v="0"/>
    <n v="100000"/>
    <n v="50000"/>
    <x v="4"/>
    <x v="19"/>
    <x v="3"/>
  </r>
  <r>
    <n v="661"/>
    <x v="20"/>
    <x v="0"/>
    <m/>
    <m/>
    <x v="16"/>
    <n v="0"/>
    <n v="0"/>
    <n v="200000"/>
    <n v="100000"/>
    <x v="4"/>
    <x v="19"/>
    <x v="3"/>
  </r>
  <r>
    <n v="662"/>
    <x v="2"/>
    <x v="0"/>
    <m/>
    <m/>
    <x v="2"/>
    <n v="0"/>
    <n v="0"/>
    <n v="100000"/>
    <n v="150000"/>
    <x v="4"/>
    <x v="19"/>
    <x v="3"/>
  </r>
  <r>
    <n v="663"/>
    <x v="91"/>
    <x v="0"/>
    <m/>
    <m/>
    <x v="80"/>
    <n v="0"/>
    <n v="0"/>
    <n v="100000"/>
    <n v="100000"/>
    <x v="4"/>
    <x v="19"/>
    <x v="3"/>
  </r>
  <r>
    <n v="664"/>
    <x v="67"/>
    <x v="0"/>
    <m/>
    <m/>
    <x v="57"/>
    <n v="0"/>
    <n v="0"/>
    <n v="100000"/>
    <n v="100000"/>
    <x v="4"/>
    <x v="19"/>
    <x v="3"/>
  </r>
  <r>
    <n v="665"/>
    <x v="119"/>
    <x v="0"/>
    <m/>
    <m/>
    <x v="105"/>
    <n v="0"/>
    <n v="0"/>
    <n v="150000"/>
    <n v="250000"/>
    <x v="4"/>
    <x v="19"/>
    <x v="3"/>
  </r>
  <r>
    <n v="666"/>
    <x v="179"/>
    <x v="0"/>
    <m/>
    <m/>
    <x v="158"/>
    <n v="0"/>
    <n v="0"/>
    <n v="200000"/>
    <n v="300000"/>
    <x v="4"/>
    <x v="19"/>
    <x v="3"/>
  </r>
  <r>
    <n v="667"/>
    <x v="184"/>
    <x v="0"/>
    <m/>
    <m/>
    <x v="163"/>
    <n v="0"/>
    <n v="0"/>
    <n v="100000"/>
    <n v="100000"/>
    <x v="4"/>
    <x v="19"/>
    <x v="3"/>
  </r>
  <r>
    <n v="668"/>
    <x v="72"/>
    <x v="0"/>
    <m/>
    <m/>
    <x v="62"/>
    <n v="0"/>
    <n v="0"/>
    <n v="100000"/>
    <n v="150000"/>
    <x v="4"/>
    <x v="19"/>
    <x v="3"/>
  </r>
  <r>
    <n v="669"/>
    <x v="180"/>
    <x v="0"/>
    <m/>
    <m/>
    <x v="159"/>
    <n v="0"/>
    <n v="0"/>
    <n v="100000"/>
    <n v="100000"/>
    <x v="4"/>
    <x v="19"/>
    <x v="3"/>
  </r>
  <r>
    <n v="670"/>
    <x v="70"/>
    <x v="0"/>
    <m/>
    <m/>
    <x v="60"/>
    <n v="0"/>
    <n v="0"/>
    <n v="100000"/>
    <n v="400000"/>
    <x v="4"/>
    <x v="19"/>
    <x v="3"/>
  </r>
  <r>
    <n v="671"/>
    <x v="39"/>
    <x v="0"/>
    <m/>
    <m/>
    <x v="33"/>
    <n v="0"/>
    <n v="0"/>
    <n v="100000"/>
    <n v="150000"/>
    <x v="4"/>
    <x v="19"/>
    <x v="3"/>
  </r>
  <r>
    <n v="672"/>
    <x v="17"/>
    <x v="0"/>
    <m/>
    <m/>
    <x v="13"/>
    <n v="0"/>
    <n v="0"/>
    <n v="100000"/>
    <n v="400000"/>
    <x v="4"/>
    <x v="19"/>
    <x v="3"/>
  </r>
  <r>
    <n v="673"/>
    <x v="112"/>
    <x v="0"/>
    <m/>
    <m/>
    <x v="98"/>
    <n v="0"/>
    <n v="0"/>
    <n v="100000"/>
    <n v="100000"/>
    <x v="4"/>
    <x v="19"/>
    <x v="3"/>
  </r>
  <r>
    <n v="674"/>
    <x v="151"/>
    <x v="0"/>
    <m/>
    <m/>
    <x v="133"/>
    <n v="0"/>
    <n v="0"/>
    <n v="100000"/>
    <n v="150000"/>
    <x v="4"/>
    <x v="19"/>
    <x v="3"/>
  </r>
  <r>
    <n v="675"/>
    <x v="103"/>
    <x v="0"/>
    <m/>
    <m/>
    <x v="91"/>
    <n v="0"/>
    <n v="0"/>
    <n v="100000"/>
    <n v="500000"/>
    <x v="4"/>
    <x v="19"/>
    <x v="3"/>
  </r>
  <r>
    <n v="676"/>
    <x v="56"/>
    <x v="0"/>
    <m/>
    <m/>
    <x v="47"/>
    <n v="0"/>
    <n v="0"/>
    <n v="100000"/>
    <n v="75000"/>
    <x v="4"/>
    <x v="19"/>
    <x v="3"/>
  </r>
  <r>
    <n v="677"/>
    <x v="27"/>
    <x v="0"/>
    <m/>
    <m/>
    <x v="23"/>
    <n v="0"/>
    <n v="0"/>
    <n v="100000"/>
    <n v="100000"/>
    <x v="4"/>
    <x v="19"/>
    <x v="3"/>
  </r>
  <r>
    <n v="678"/>
    <x v="28"/>
    <x v="0"/>
    <m/>
    <m/>
    <x v="23"/>
    <n v="0"/>
    <n v="0"/>
    <n v="100000"/>
    <n v="50000"/>
    <x v="4"/>
    <x v="19"/>
    <x v="3"/>
  </r>
  <r>
    <n v="679"/>
    <x v="37"/>
    <x v="0"/>
    <m/>
    <m/>
    <x v="31"/>
    <n v="0"/>
    <n v="0"/>
    <n v="100000"/>
    <n v="150000"/>
    <x v="4"/>
    <x v="19"/>
    <x v="3"/>
  </r>
  <r>
    <n v="680"/>
    <x v="79"/>
    <x v="0"/>
    <m/>
    <m/>
    <x v="68"/>
    <n v="0"/>
    <n v="0"/>
    <n v="100000"/>
    <n v="100000"/>
    <x v="4"/>
    <x v="19"/>
    <x v="3"/>
  </r>
  <r>
    <n v="681"/>
    <x v="36"/>
    <x v="0"/>
    <m/>
    <m/>
    <x v="30"/>
    <n v="0"/>
    <n v="0"/>
    <n v="100000"/>
    <n v="200000"/>
    <x v="4"/>
    <x v="19"/>
    <x v="3"/>
  </r>
  <r>
    <n v="682"/>
    <x v="120"/>
    <x v="0"/>
    <m/>
    <m/>
    <x v="106"/>
    <n v="0"/>
    <n v="0"/>
    <n v="100000"/>
    <n v="50000"/>
    <x v="4"/>
    <x v="19"/>
    <x v="3"/>
  </r>
  <r>
    <n v="683"/>
    <x v="107"/>
    <x v="1"/>
    <m/>
    <m/>
    <x v="95"/>
    <n v="0"/>
    <n v="0"/>
    <n v="100000"/>
    <n v="400000"/>
    <x v="4"/>
    <x v="19"/>
    <x v="3"/>
  </r>
  <r>
    <n v="684"/>
    <x v="8"/>
    <x v="0"/>
    <m/>
    <m/>
    <x v="7"/>
    <n v="0"/>
    <n v="0"/>
    <n v="200000"/>
    <n v="300000"/>
    <x v="4"/>
    <x v="19"/>
    <x v="3"/>
  </r>
  <r>
    <n v="685"/>
    <x v="157"/>
    <x v="0"/>
    <m/>
    <m/>
    <x v="138"/>
    <n v="0"/>
    <n v="0"/>
    <n v="100000"/>
    <n v="100000"/>
    <x v="4"/>
    <x v="19"/>
    <x v="3"/>
  </r>
  <r>
    <n v="686"/>
    <x v="191"/>
    <x v="0"/>
    <m/>
    <m/>
    <x v="170"/>
    <n v="0"/>
    <n v="0"/>
    <n v="100000"/>
    <n v="100000"/>
    <x v="4"/>
    <x v="19"/>
    <x v="3"/>
  </r>
  <r>
    <n v="687"/>
    <x v="75"/>
    <x v="0"/>
    <m/>
    <m/>
    <x v="64"/>
    <n v="0"/>
    <n v="0"/>
    <n v="100000"/>
    <n v="125000"/>
    <x v="4"/>
    <x v="19"/>
    <x v="3"/>
  </r>
  <r>
    <n v="688"/>
    <x v="19"/>
    <x v="0"/>
    <m/>
    <m/>
    <x v="15"/>
    <n v="0"/>
    <n v="0"/>
    <n v="100000"/>
    <n v="400000"/>
    <x v="4"/>
    <x v="19"/>
    <x v="3"/>
  </r>
  <r>
    <n v="689"/>
    <x v="38"/>
    <x v="0"/>
    <m/>
    <m/>
    <x v="32"/>
    <n v="0"/>
    <n v="0"/>
    <n v="100000"/>
    <n v="250000"/>
    <x v="4"/>
    <x v="19"/>
    <x v="3"/>
  </r>
  <r>
    <n v="690"/>
    <x v="105"/>
    <x v="0"/>
    <m/>
    <m/>
    <x v="93"/>
    <n v="0"/>
    <n v="0"/>
    <n v="100000"/>
    <n v="100000"/>
    <x v="4"/>
    <x v="19"/>
    <x v="3"/>
  </r>
  <r>
    <n v="691"/>
    <x v="57"/>
    <x v="0"/>
    <m/>
    <m/>
    <x v="48"/>
    <n v="0"/>
    <n v="0"/>
    <n v="100000"/>
    <n v="100000"/>
    <x v="4"/>
    <x v="19"/>
    <x v="3"/>
  </r>
  <r>
    <n v="692"/>
    <x v="181"/>
    <x v="0"/>
    <m/>
    <m/>
    <x v="160"/>
    <n v="0"/>
    <n v="0"/>
    <n v="100000"/>
    <n v="250000"/>
    <x v="4"/>
    <x v="19"/>
    <x v="3"/>
  </r>
  <r>
    <n v="693"/>
    <x v="122"/>
    <x v="0"/>
    <m/>
    <m/>
    <x v="108"/>
    <n v="0"/>
    <n v="0"/>
    <n v="100000"/>
    <n v="500000"/>
    <x v="4"/>
    <x v="19"/>
    <x v="3"/>
  </r>
  <r>
    <n v="694"/>
    <x v="163"/>
    <x v="0"/>
    <m/>
    <m/>
    <x v="144"/>
    <n v="0"/>
    <n v="0"/>
    <n v="100000"/>
    <n v="50000"/>
    <x v="4"/>
    <x v="19"/>
    <x v="3"/>
  </r>
  <r>
    <n v="695"/>
    <x v="21"/>
    <x v="1"/>
    <m/>
    <m/>
    <x v="17"/>
    <n v="0"/>
    <n v="0"/>
    <n v="100000"/>
    <n v="150000"/>
    <x v="4"/>
    <x v="19"/>
    <x v="3"/>
  </r>
  <r>
    <n v="696"/>
    <x v="190"/>
    <x v="0"/>
    <m/>
    <m/>
    <x v="169"/>
    <n v="0"/>
    <n v="0"/>
    <n v="100000"/>
    <n v="100000"/>
    <x v="4"/>
    <x v="19"/>
    <x v="3"/>
  </r>
  <r>
    <n v="697"/>
    <x v="47"/>
    <x v="0"/>
    <m/>
    <m/>
    <x v="40"/>
    <n v="0"/>
    <n v="0"/>
    <n v="100000"/>
    <n v="500000"/>
    <x v="4"/>
    <x v="19"/>
    <x v="3"/>
  </r>
  <r>
    <n v="698"/>
    <x v="137"/>
    <x v="0"/>
    <m/>
    <m/>
    <x v="121"/>
    <n v="0"/>
    <n v="0"/>
    <n v="100000"/>
    <n v="100000"/>
    <x v="4"/>
    <x v="19"/>
    <x v="3"/>
  </r>
  <r>
    <n v="699"/>
    <x v="176"/>
    <x v="0"/>
    <m/>
    <m/>
    <x v="156"/>
    <n v="0"/>
    <n v="0"/>
    <n v="100000"/>
    <n v="150000"/>
    <x v="4"/>
    <x v="19"/>
    <x v="3"/>
  </r>
  <r>
    <n v="700"/>
    <x v="32"/>
    <x v="0"/>
    <m/>
    <m/>
    <x v="26"/>
    <n v="0"/>
    <n v="0"/>
    <n v="100000"/>
    <n v="100000"/>
    <x v="4"/>
    <x v="19"/>
    <x v="3"/>
  </r>
  <r>
    <n v="701"/>
    <x v="6"/>
    <x v="0"/>
    <m/>
    <m/>
    <x v="6"/>
    <n v="0"/>
    <n v="0"/>
    <n v="100000"/>
    <n v="250000"/>
    <x v="4"/>
    <x v="19"/>
    <x v="3"/>
  </r>
  <r>
    <n v="702"/>
    <x v="121"/>
    <x v="0"/>
    <m/>
    <m/>
    <x v="107"/>
    <n v="0"/>
    <n v="0"/>
    <n v="100000"/>
    <n v="100000"/>
    <x v="4"/>
    <x v="19"/>
    <x v="3"/>
  </r>
  <r>
    <n v="703"/>
    <x v="44"/>
    <x v="0"/>
    <m/>
    <m/>
    <x v="37"/>
    <n v="0"/>
    <n v="0"/>
    <n v="100000"/>
    <n v="50000"/>
    <x v="4"/>
    <x v="19"/>
    <x v="3"/>
  </r>
  <r>
    <n v="704"/>
    <x v="185"/>
    <x v="0"/>
    <m/>
    <m/>
    <x v="164"/>
    <n v="0"/>
    <n v="0"/>
    <n v="100000"/>
    <n v="200000"/>
    <x v="4"/>
    <x v="19"/>
    <x v="3"/>
  </r>
  <r>
    <n v="705"/>
    <x v="42"/>
    <x v="0"/>
    <m/>
    <m/>
    <x v="35"/>
    <n v="0"/>
    <n v="0"/>
    <n v="100000"/>
    <n v="150000"/>
    <x v="4"/>
    <x v="19"/>
    <x v="3"/>
  </r>
  <r>
    <n v="706"/>
    <x v="123"/>
    <x v="0"/>
    <m/>
    <m/>
    <x v="109"/>
    <n v="0"/>
    <n v="0"/>
    <n v="100000"/>
    <n v="50000"/>
    <x v="4"/>
    <x v="19"/>
    <x v="3"/>
  </r>
  <r>
    <n v="707"/>
    <x v="162"/>
    <x v="0"/>
    <m/>
    <m/>
    <x v="143"/>
    <n v="0"/>
    <n v="0"/>
    <n v="100000"/>
    <n v="12500"/>
    <x v="4"/>
    <x v="19"/>
    <x v="3"/>
  </r>
  <r>
    <n v="708"/>
    <x v="138"/>
    <x v="0"/>
    <m/>
    <m/>
    <x v="122"/>
    <n v="0"/>
    <n v="0"/>
    <n v="100000"/>
    <n v="100000"/>
    <x v="4"/>
    <x v="19"/>
    <x v="3"/>
  </r>
  <r>
    <n v="709"/>
    <x v="183"/>
    <x v="0"/>
    <m/>
    <m/>
    <x v="162"/>
    <n v="0"/>
    <n v="0"/>
    <n v="100000"/>
    <n v="100000"/>
    <x v="4"/>
    <x v="19"/>
    <x v="3"/>
  </r>
  <r>
    <n v="710"/>
    <x v="53"/>
    <x v="0"/>
    <m/>
    <m/>
    <x v="44"/>
    <n v="0"/>
    <n v="0"/>
    <n v="100000"/>
    <n v="75000"/>
    <x v="4"/>
    <x v="19"/>
    <x v="3"/>
  </r>
  <r>
    <n v="711"/>
    <x v="0"/>
    <x v="0"/>
    <m/>
    <m/>
    <x v="0"/>
    <n v="0"/>
    <n v="0"/>
    <n v="100000"/>
    <n v="200000"/>
    <x v="4"/>
    <x v="19"/>
    <x v="3"/>
  </r>
  <r>
    <n v="712"/>
    <x v="1"/>
    <x v="0"/>
    <m/>
    <m/>
    <x v="1"/>
    <n v="0"/>
    <n v="0"/>
    <n v="100000"/>
    <n v="150000"/>
    <x v="4"/>
    <x v="19"/>
    <x v="3"/>
  </r>
  <r>
    <n v="713"/>
    <x v="5"/>
    <x v="0"/>
    <m/>
    <m/>
    <x v="5"/>
    <n v="0"/>
    <n v="0"/>
    <n v="100000"/>
    <n v="100000"/>
    <x v="4"/>
    <x v="19"/>
    <x v="3"/>
  </r>
  <r>
    <n v="714"/>
    <x v="11"/>
    <x v="0"/>
    <m/>
    <m/>
    <x v="9"/>
    <n v="0"/>
    <n v="0"/>
    <n v="100000"/>
    <n v="50000"/>
    <x v="4"/>
    <x v="19"/>
    <x v="3"/>
  </r>
  <r>
    <n v="715"/>
    <x v="14"/>
    <x v="0"/>
    <m/>
    <m/>
    <x v="11"/>
    <n v="0"/>
    <n v="0"/>
    <n v="100000"/>
    <n v="100000"/>
    <x v="4"/>
    <x v="19"/>
    <x v="3"/>
  </r>
  <r>
    <n v="716"/>
    <x v="18"/>
    <x v="0"/>
    <m/>
    <m/>
    <x v="14"/>
    <n v="0"/>
    <n v="0"/>
    <n v="100000"/>
    <n v="50000"/>
    <x v="4"/>
    <x v="19"/>
    <x v="3"/>
  </r>
  <r>
    <n v="717"/>
    <x v="23"/>
    <x v="0"/>
    <m/>
    <m/>
    <x v="19"/>
    <n v="0"/>
    <n v="0"/>
    <n v="100000"/>
    <n v="175000"/>
    <x v="4"/>
    <x v="19"/>
    <x v="3"/>
  </r>
  <r>
    <n v="718"/>
    <x v="24"/>
    <x v="0"/>
    <m/>
    <m/>
    <x v="20"/>
    <n v="0"/>
    <n v="0"/>
    <n v="100000"/>
    <n v="200000"/>
    <x v="4"/>
    <x v="19"/>
    <x v="3"/>
  </r>
  <r>
    <n v="719"/>
    <x v="25"/>
    <x v="0"/>
    <m/>
    <m/>
    <x v="21"/>
    <n v="0"/>
    <n v="0"/>
    <n v="100000"/>
    <n v="150000"/>
    <x v="4"/>
    <x v="19"/>
    <x v="3"/>
  </r>
  <r>
    <n v="720"/>
    <x v="40"/>
    <x v="0"/>
    <m/>
    <m/>
    <x v="34"/>
    <n v="0"/>
    <n v="0"/>
    <n v="100000"/>
    <n v="100000"/>
    <x v="4"/>
    <x v="19"/>
    <x v="3"/>
  </r>
  <r>
    <n v="721"/>
    <x v="46"/>
    <x v="0"/>
    <m/>
    <m/>
    <x v="39"/>
    <n v="0"/>
    <n v="0"/>
    <n v="100000"/>
    <n v="50000"/>
    <x v="4"/>
    <x v="19"/>
    <x v="3"/>
  </r>
  <r>
    <n v="722"/>
    <x v="54"/>
    <x v="0"/>
    <m/>
    <m/>
    <x v="45"/>
    <n v="0"/>
    <n v="0"/>
    <n v="100000"/>
    <n v="100000"/>
    <x v="4"/>
    <x v="19"/>
    <x v="3"/>
  </r>
  <r>
    <n v="723"/>
    <x v="60"/>
    <x v="0"/>
    <m/>
    <m/>
    <x v="51"/>
    <n v="0"/>
    <n v="0"/>
    <n v="100000"/>
    <n v="100000"/>
    <x v="4"/>
    <x v="19"/>
    <x v="3"/>
  </r>
  <r>
    <n v="724"/>
    <x v="65"/>
    <x v="0"/>
    <m/>
    <m/>
    <x v="55"/>
    <n v="0"/>
    <n v="0"/>
    <n v="100000"/>
    <n v="300000"/>
    <x v="4"/>
    <x v="19"/>
    <x v="3"/>
  </r>
  <r>
    <n v="725"/>
    <x v="69"/>
    <x v="0"/>
    <m/>
    <m/>
    <x v="59"/>
    <n v="0"/>
    <n v="0"/>
    <n v="100000"/>
    <n v="50000"/>
    <x v="4"/>
    <x v="19"/>
    <x v="3"/>
  </r>
  <r>
    <n v="726"/>
    <x v="81"/>
    <x v="0"/>
    <m/>
    <m/>
    <x v="70"/>
    <n v="0"/>
    <n v="0"/>
    <n v="100000"/>
    <n v="200000"/>
    <x v="4"/>
    <x v="19"/>
    <x v="3"/>
  </r>
  <r>
    <n v="727"/>
    <x v="84"/>
    <x v="0"/>
    <m/>
    <m/>
    <x v="73"/>
    <n v="0"/>
    <n v="0"/>
    <n v="100000"/>
    <n v="100000"/>
    <x v="4"/>
    <x v="19"/>
    <x v="3"/>
  </r>
  <r>
    <n v="728"/>
    <x v="87"/>
    <x v="0"/>
    <m/>
    <m/>
    <x v="76"/>
    <n v="0"/>
    <n v="0"/>
    <n v="100000"/>
    <n v="200000"/>
    <x v="4"/>
    <x v="19"/>
    <x v="3"/>
  </r>
  <r>
    <n v="729"/>
    <x v="95"/>
    <x v="0"/>
    <m/>
    <m/>
    <x v="83"/>
    <n v="0"/>
    <n v="0"/>
    <n v="100000"/>
    <n v="150000"/>
    <x v="4"/>
    <x v="19"/>
    <x v="3"/>
  </r>
  <r>
    <n v="730"/>
    <x v="98"/>
    <x v="0"/>
    <m/>
    <m/>
    <x v="86"/>
    <n v="0"/>
    <n v="0"/>
    <n v="150000"/>
    <n v="100000"/>
    <x v="4"/>
    <x v="19"/>
    <x v="3"/>
  </r>
  <r>
    <n v="731"/>
    <x v="102"/>
    <x v="0"/>
    <m/>
    <m/>
    <x v="90"/>
    <n v="0"/>
    <n v="0"/>
    <n v="100000"/>
    <n v="75000"/>
    <x v="4"/>
    <x v="19"/>
    <x v="3"/>
  </r>
  <r>
    <n v="732"/>
    <x v="114"/>
    <x v="0"/>
    <m/>
    <m/>
    <x v="100"/>
    <n v="0"/>
    <n v="0"/>
    <n v="100000"/>
    <n v="100000"/>
    <x v="4"/>
    <x v="19"/>
    <x v="3"/>
  </r>
  <r>
    <n v="733"/>
    <x v="116"/>
    <x v="0"/>
    <m/>
    <m/>
    <x v="102"/>
    <n v="0"/>
    <n v="0"/>
    <n v="100000"/>
    <n v="100000"/>
    <x v="4"/>
    <x v="19"/>
    <x v="3"/>
  </r>
  <r>
    <n v="734"/>
    <x v="117"/>
    <x v="0"/>
    <m/>
    <m/>
    <x v="103"/>
    <n v="0"/>
    <n v="0"/>
    <n v="100000"/>
    <n v="400000"/>
    <x v="4"/>
    <x v="19"/>
    <x v="3"/>
  </r>
  <r>
    <n v="735"/>
    <x v="124"/>
    <x v="0"/>
    <m/>
    <m/>
    <x v="110"/>
    <n v="0"/>
    <n v="0"/>
    <n v="100000"/>
    <n v="150000"/>
    <x v="4"/>
    <x v="19"/>
    <x v="3"/>
  </r>
  <r>
    <n v="736"/>
    <x v="125"/>
    <x v="0"/>
    <m/>
    <m/>
    <x v="111"/>
    <n v="0"/>
    <n v="0"/>
    <n v="150000"/>
    <n v="400000"/>
    <x v="4"/>
    <x v="19"/>
    <x v="3"/>
  </r>
  <r>
    <n v="737"/>
    <x v="132"/>
    <x v="0"/>
    <m/>
    <m/>
    <x v="117"/>
    <n v="0"/>
    <n v="0"/>
    <n v="100000"/>
    <n v="250000"/>
    <x v="4"/>
    <x v="19"/>
    <x v="3"/>
  </r>
  <r>
    <n v="738"/>
    <x v="133"/>
    <x v="1"/>
    <m/>
    <m/>
    <x v="118"/>
    <n v="0"/>
    <n v="0"/>
    <n v="100000"/>
    <n v="200000"/>
    <x v="4"/>
    <x v="19"/>
    <x v="3"/>
  </r>
  <r>
    <n v="739"/>
    <x v="139"/>
    <x v="1"/>
    <m/>
    <m/>
    <x v="123"/>
    <n v="0"/>
    <n v="0"/>
    <n v="100000"/>
    <n v="150000"/>
    <x v="4"/>
    <x v="19"/>
    <x v="3"/>
  </r>
  <r>
    <n v="740"/>
    <x v="144"/>
    <x v="0"/>
    <m/>
    <m/>
    <x v="127"/>
    <n v="0"/>
    <n v="0"/>
    <n v="100000"/>
    <n v="100000"/>
    <x v="4"/>
    <x v="19"/>
    <x v="3"/>
  </r>
  <r>
    <n v="741"/>
    <x v="145"/>
    <x v="0"/>
    <m/>
    <m/>
    <x v="128"/>
    <n v="0"/>
    <n v="0"/>
    <n v="100000"/>
    <n v="100000"/>
    <x v="4"/>
    <x v="19"/>
    <x v="3"/>
  </r>
  <r>
    <n v="742"/>
    <x v="149"/>
    <x v="0"/>
    <m/>
    <m/>
    <x v="131"/>
    <n v="0"/>
    <n v="0"/>
    <n v="100000"/>
    <n v="100000"/>
    <x v="4"/>
    <x v="19"/>
    <x v="3"/>
  </r>
  <r>
    <n v="743"/>
    <x v="155"/>
    <x v="0"/>
    <m/>
    <m/>
    <x v="136"/>
    <n v="0"/>
    <n v="0"/>
    <n v="100000"/>
    <n v="50000"/>
    <x v="4"/>
    <x v="19"/>
    <x v="3"/>
  </r>
  <r>
    <n v="744"/>
    <x v="165"/>
    <x v="0"/>
    <m/>
    <m/>
    <x v="146"/>
    <n v="0"/>
    <n v="0"/>
    <n v="100000"/>
    <n v="100000"/>
    <x v="4"/>
    <x v="19"/>
    <x v="3"/>
  </r>
  <r>
    <n v="745"/>
    <x v="168"/>
    <x v="0"/>
    <m/>
    <m/>
    <x v="149"/>
    <n v="0"/>
    <n v="0"/>
    <n v="150000"/>
    <n v="100000"/>
    <x v="4"/>
    <x v="19"/>
    <x v="3"/>
  </r>
  <r>
    <n v="746"/>
    <x v="170"/>
    <x v="0"/>
    <m/>
    <m/>
    <x v="151"/>
    <n v="0"/>
    <n v="0"/>
    <n v="100000"/>
    <n v="50000"/>
    <x v="4"/>
    <x v="19"/>
    <x v="3"/>
  </r>
  <r>
    <n v="747"/>
    <x v="178"/>
    <x v="0"/>
    <m/>
    <m/>
    <x v="157"/>
    <n v="0"/>
    <n v="0"/>
    <n v="100000"/>
    <n v="100000"/>
    <x v="4"/>
    <x v="19"/>
    <x v="3"/>
  </r>
  <r>
    <n v="748"/>
    <x v="188"/>
    <x v="0"/>
    <m/>
    <m/>
    <x v="167"/>
    <n v="0"/>
    <n v="0"/>
    <n v="100000"/>
    <n v="100000"/>
    <x v="4"/>
    <x v="19"/>
    <x v="3"/>
  </r>
  <r>
    <n v="749"/>
    <x v="192"/>
    <x v="0"/>
    <m/>
    <m/>
    <x v="171"/>
    <n v="0"/>
    <n v="0"/>
    <n v="100000"/>
    <n v="150000"/>
    <x v="4"/>
    <x v="19"/>
    <x v="3"/>
  </r>
  <r>
    <n v="750"/>
    <x v="196"/>
    <x v="0"/>
    <m/>
    <m/>
    <x v="174"/>
    <n v="0"/>
    <n v="0"/>
    <n v="100000"/>
    <n v="100000"/>
    <x v="4"/>
    <x v="19"/>
    <x v="3"/>
  </r>
  <r>
    <n v="751"/>
    <x v="197"/>
    <x v="0"/>
    <m/>
    <m/>
    <x v="175"/>
    <n v="0"/>
    <n v="0"/>
    <n v="100000"/>
    <n v="200000"/>
    <x v="4"/>
    <x v="19"/>
    <x v="3"/>
  </r>
  <r>
    <n v="752"/>
    <x v="201"/>
    <x v="3"/>
    <m/>
    <m/>
    <x v="177"/>
    <n v="0"/>
    <n v="0"/>
    <n v="100000"/>
    <n v="100000"/>
    <x v="4"/>
    <x v="19"/>
    <x v="3"/>
  </r>
  <r>
    <n v="753"/>
    <x v="198"/>
    <x v="1"/>
    <m/>
    <m/>
    <x v="18"/>
    <n v="0"/>
    <n v="0"/>
    <n v="100000"/>
    <n v="200000"/>
    <x v="4"/>
    <x v="19"/>
    <x v="3"/>
  </r>
  <r>
    <n v="754"/>
    <x v="199"/>
    <x v="3"/>
    <m/>
    <m/>
    <x v="18"/>
    <n v="0"/>
    <n v="0"/>
    <n v="100000"/>
    <n v="100000"/>
    <x v="4"/>
    <x v="19"/>
    <x v="3"/>
  </r>
  <r>
    <n v="755"/>
    <x v="202"/>
    <x v="0"/>
    <m/>
    <m/>
    <x v="18"/>
    <n v="0"/>
    <n v="0"/>
    <n v="100000"/>
    <n v="10000"/>
    <x v="4"/>
    <x v="19"/>
    <x v="3"/>
  </r>
  <r>
    <n v="756"/>
    <x v="22"/>
    <x v="0"/>
    <m/>
    <m/>
    <x v="18"/>
    <n v="0"/>
    <n v="0"/>
    <n v="100000"/>
    <n v="200000"/>
    <x v="4"/>
    <x v="19"/>
    <x v="3"/>
  </r>
  <r>
    <n v="757"/>
    <x v="147"/>
    <x v="0"/>
    <m/>
    <m/>
    <x v="18"/>
    <n v="0"/>
    <n v="0"/>
    <n v="100000"/>
    <n v="200000"/>
    <x v="4"/>
    <x v="19"/>
    <x v="3"/>
  </r>
  <r>
    <m/>
    <x v="26"/>
    <x v="0"/>
    <m/>
    <m/>
    <x v="22"/>
    <n v="0"/>
    <n v="0"/>
    <n v="100000"/>
    <n v="150000"/>
    <x v="3"/>
    <x v="20"/>
    <x v="3"/>
  </r>
  <r>
    <m/>
    <x v="31"/>
    <x v="0"/>
    <m/>
    <m/>
    <x v="22"/>
    <n v="0"/>
    <n v="0"/>
    <n v="100000"/>
    <n v="150000"/>
    <x v="3"/>
    <x v="20"/>
    <x v="3"/>
  </r>
  <r>
    <m/>
    <x v="51"/>
    <x v="0"/>
    <m/>
    <m/>
    <x v="22"/>
    <n v="0"/>
    <n v="0"/>
    <n v="100000"/>
    <n v="150000"/>
    <x v="3"/>
    <x v="20"/>
    <x v="3"/>
  </r>
  <r>
    <m/>
    <x v="41"/>
    <x v="0"/>
    <m/>
    <m/>
    <x v="3"/>
    <n v="0"/>
    <n v="0"/>
    <n v="100000"/>
    <n v="100000"/>
    <x v="3"/>
    <x v="20"/>
    <x v="3"/>
  </r>
  <r>
    <m/>
    <x v="134"/>
    <x v="0"/>
    <m/>
    <m/>
    <x v="3"/>
    <n v="0"/>
    <n v="0"/>
    <n v="100000"/>
    <n v="1000000"/>
    <x v="3"/>
    <x v="20"/>
    <x v="3"/>
  </r>
  <r>
    <m/>
    <x v="3"/>
    <x v="0"/>
    <m/>
    <m/>
    <x v="3"/>
    <n v="0"/>
    <n v="0"/>
    <n v="100000"/>
    <n v="150000"/>
    <x v="3"/>
    <x v="20"/>
    <x v="3"/>
  </r>
  <r>
    <m/>
    <x v="131"/>
    <x v="0"/>
    <m/>
    <m/>
    <x v="3"/>
    <n v="0"/>
    <n v="0"/>
    <n v="100000"/>
    <n v="100000"/>
    <x v="3"/>
    <x v="20"/>
    <x v="3"/>
  </r>
  <r>
    <m/>
    <x v="171"/>
    <x v="0"/>
    <m/>
    <m/>
    <x v="3"/>
    <n v="0"/>
    <n v="0"/>
    <n v="100000"/>
    <n v="50000"/>
    <x v="3"/>
    <x v="20"/>
    <x v="3"/>
  </r>
  <r>
    <m/>
    <x v="15"/>
    <x v="0"/>
    <m/>
    <m/>
    <x v="3"/>
    <n v="0"/>
    <n v="0"/>
    <n v="100000"/>
    <n v="100000"/>
    <x v="3"/>
    <x v="20"/>
    <x v="3"/>
  </r>
  <r>
    <m/>
    <x v="15"/>
    <x v="0"/>
    <m/>
    <m/>
    <x v="3"/>
    <n v="0"/>
    <n v="0"/>
    <n v="100000"/>
    <n v="100000"/>
    <x v="4"/>
    <x v="21"/>
    <x v="3"/>
  </r>
  <r>
    <m/>
    <x v="26"/>
    <x v="0"/>
    <m/>
    <m/>
    <x v="22"/>
    <n v="0"/>
    <n v="0"/>
    <n v="100000"/>
    <n v="150000"/>
    <x v="4"/>
    <x v="21"/>
    <x v="3"/>
  </r>
  <r>
    <m/>
    <x v="31"/>
    <x v="0"/>
    <m/>
    <m/>
    <x v="22"/>
    <n v="0"/>
    <n v="0"/>
    <n v="100000"/>
    <n v="150000"/>
    <x v="4"/>
    <x v="21"/>
    <x v="3"/>
  </r>
  <r>
    <m/>
    <x v="51"/>
    <x v="0"/>
    <m/>
    <m/>
    <x v="22"/>
    <n v="0"/>
    <n v="0"/>
    <n v="100000"/>
    <n v="150000"/>
    <x v="4"/>
    <x v="21"/>
    <x v="3"/>
  </r>
  <r>
    <m/>
    <x v="41"/>
    <x v="0"/>
    <m/>
    <m/>
    <x v="3"/>
    <n v="0"/>
    <n v="0"/>
    <n v="100000"/>
    <n v="100000"/>
    <x v="4"/>
    <x v="21"/>
    <x v="3"/>
  </r>
  <r>
    <m/>
    <x v="134"/>
    <x v="0"/>
    <m/>
    <m/>
    <x v="3"/>
    <n v="0"/>
    <n v="0"/>
    <n v="100000"/>
    <n v="1000000"/>
    <x v="4"/>
    <x v="21"/>
    <x v="3"/>
  </r>
  <r>
    <m/>
    <x v="3"/>
    <x v="0"/>
    <m/>
    <m/>
    <x v="3"/>
    <n v="0"/>
    <n v="0"/>
    <n v="100000"/>
    <n v="150000"/>
    <x v="4"/>
    <x v="21"/>
    <x v="3"/>
  </r>
  <r>
    <m/>
    <x v="131"/>
    <x v="0"/>
    <m/>
    <m/>
    <x v="3"/>
    <n v="0"/>
    <n v="0"/>
    <n v="100000"/>
    <n v="100000"/>
    <x v="4"/>
    <x v="21"/>
    <x v="3"/>
  </r>
  <r>
    <m/>
    <x v="171"/>
    <x v="0"/>
    <m/>
    <m/>
    <x v="3"/>
    <n v="0"/>
    <n v="0"/>
    <n v="100000"/>
    <n v="50000"/>
    <x v="4"/>
    <x v="21"/>
    <x v="3"/>
  </r>
  <r>
    <m/>
    <x v="17"/>
    <x v="0"/>
    <m/>
    <m/>
    <x v="13"/>
    <n v="0"/>
    <n v="0"/>
    <n v="0"/>
    <n v="-1500000"/>
    <x v="4"/>
    <x v="21"/>
    <x v="1"/>
  </r>
  <r>
    <m/>
    <x v="17"/>
    <x v="0"/>
    <m/>
    <m/>
    <x v="13"/>
    <n v="0"/>
    <n v="0"/>
    <n v="0"/>
    <n v="-2300000"/>
    <x v="0"/>
    <x v="22"/>
    <x v="1"/>
  </r>
  <r>
    <m/>
    <x v="5"/>
    <x v="0"/>
    <m/>
    <m/>
    <x v="5"/>
    <n v="0"/>
    <n v="0"/>
    <n v="0"/>
    <n v="-500000"/>
    <x v="5"/>
    <x v="23"/>
    <x v="1"/>
  </r>
  <r>
    <m/>
    <x v="88"/>
    <x v="0"/>
    <m/>
    <m/>
    <x v="77"/>
    <n v="0"/>
    <n v="0"/>
    <n v="0"/>
    <n v="-1000000"/>
    <x v="5"/>
    <x v="24"/>
    <x v="1"/>
  </r>
  <r>
    <m/>
    <x v="39"/>
    <x v="0"/>
    <m/>
    <m/>
    <x v="33"/>
    <n v="0"/>
    <n v="0"/>
    <n v="0"/>
    <n v="-4000000"/>
    <x v="5"/>
    <x v="24"/>
    <x v="1"/>
  </r>
  <r>
    <m/>
    <x v="198"/>
    <x v="1"/>
    <m/>
    <m/>
    <x v="18"/>
    <n v="0"/>
    <n v="-5729499"/>
    <n v="-11785283"/>
    <n v="-3900000"/>
    <x v="4"/>
    <x v="25"/>
    <x v="5"/>
  </r>
  <r>
    <m/>
    <x v="133"/>
    <x v="1"/>
    <m/>
    <m/>
    <x v="118"/>
    <n v="0"/>
    <n v="0"/>
    <n v="-200000"/>
    <n v="-400000"/>
    <x v="4"/>
    <x v="19"/>
    <x v="5"/>
  </r>
  <r>
    <m/>
    <x v="125"/>
    <x v="0"/>
    <m/>
    <m/>
    <x v="111"/>
    <n v="0"/>
    <n v="0"/>
    <n v="0"/>
    <n v="-300000"/>
    <x v="4"/>
    <x v="26"/>
    <x v="3"/>
  </r>
  <r>
    <m/>
    <x v="109"/>
    <x v="0"/>
    <m/>
    <m/>
    <x v="96"/>
    <n v="0"/>
    <n v="0"/>
    <n v="100000"/>
    <n v="400000"/>
    <x v="5"/>
    <x v="27"/>
    <x v="3"/>
  </r>
  <r>
    <m/>
    <x v="166"/>
    <x v="0"/>
    <m/>
    <m/>
    <x v="147"/>
    <n v="0"/>
    <n v="0"/>
    <n v="100000"/>
    <n v="100000"/>
    <x v="5"/>
    <x v="27"/>
    <x v="3"/>
  </r>
  <r>
    <m/>
    <x v="158"/>
    <x v="0"/>
    <m/>
    <m/>
    <x v="139"/>
    <n v="0"/>
    <n v="0"/>
    <n v="100000"/>
    <n v="10000"/>
    <x v="5"/>
    <x v="27"/>
    <x v="3"/>
  </r>
  <r>
    <m/>
    <x v="127"/>
    <x v="0"/>
    <m/>
    <m/>
    <x v="113"/>
    <n v="0"/>
    <n v="0"/>
    <n v="150000"/>
    <n v="25000"/>
    <x v="5"/>
    <x v="27"/>
    <x v="3"/>
  </r>
  <r>
    <m/>
    <x v="135"/>
    <x v="0"/>
    <m/>
    <m/>
    <x v="119"/>
    <n v="0"/>
    <n v="0"/>
    <n v="100000"/>
    <n v="15000"/>
    <x v="5"/>
    <x v="27"/>
    <x v="3"/>
  </r>
  <r>
    <m/>
    <x v="82"/>
    <x v="0"/>
    <m/>
    <m/>
    <x v="71"/>
    <n v="0"/>
    <n v="0"/>
    <n v="100000"/>
    <n v="100000"/>
    <x v="5"/>
    <x v="27"/>
    <x v="3"/>
  </r>
  <r>
    <m/>
    <x v="48"/>
    <x v="0"/>
    <m/>
    <m/>
    <x v="41"/>
    <n v="0"/>
    <n v="0"/>
    <n v="100000"/>
    <n v="75000"/>
    <x v="5"/>
    <x v="27"/>
    <x v="3"/>
  </r>
  <r>
    <m/>
    <x v="61"/>
    <x v="0"/>
    <m/>
    <m/>
    <x v="52"/>
    <n v="0"/>
    <n v="0"/>
    <n v="100000"/>
    <n v="200000"/>
    <x v="5"/>
    <x v="27"/>
    <x v="3"/>
  </r>
  <r>
    <m/>
    <x v="86"/>
    <x v="0"/>
    <m/>
    <m/>
    <x v="75"/>
    <n v="0"/>
    <n v="0"/>
    <n v="100000"/>
    <n v="250000"/>
    <x v="5"/>
    <x v="27"/>
    <x v="3"/>
  </r>
  <r>
    <m/>
    <x v="186"/>
    <x v="0"/>
    <m/>
    <m/>
    <x v="165"/>
    <n v="0"/>
    <n v="0"/>
    <n v="100000"/>
    <n v="10000"/>
    <x v="5"/>
    <x v="27"/>
    <x v="3"/>
  </r>
  <r>
    <m/>
    <x v="159"/>
    <x v="0"/>
    <m/>
    <m/>
    <x v="140"/>
    <n v="0"/>
    <n v="0"/>
    <n v="100000"/>
    <n v="50000"/>
    <x v="5"/>
    <x v="27"/>
    <x v="3"/>
  </r>
  <r>
    <m/>
    <x v="148"/>
    <x v="0"/>
    <m/>
    <m/>
    <x v="130"/>
    <n v="0"/>
    <n v="0"/>
    <n v="100000"/>
    <n v="50000"/>
    <x v="5"/>
    <x v="27"/>
    <x v="3"/>
  </r>
  <r>
    <m/>
    <x v="33"/>
    <x v="0"/>
    <m/>
    <m/>
    <x v="27"/>
    <n v="0"/>
    <n v="0"/>
    <n v="100000"/>
    <n v="1775000"/>
    <x v="5"/>
    <x v="27"/>
    <x v="3"/>
  </r>
  <r>
    <m/>
    <x v="164"/>
    <x v="0"/>
    <m/>
    <m/>
    <x v="145"/>
    <n v="0"/>
    <n v="0"/>
    <n v="100000"/>
    <n v="150000"/>
    <x v="5"/>
    <x v="27"/>
    <x v="3"/>
  </r>
  <r>
    <m/>
    <x v="101"/>
    <x v="0"/>
    <m/>
    <m/>
    <x v="89"/>
    <n v="0"/>
    <n v="0"/>
    <n v="100000"/>
    <n v="100000"/>
    <x v="5"/>
    <x v="27"/>
    <x v="3"/>
  </r>
  <r>
    <m/>
    <x v="187"/>
    <x v="0"/>
    <m/>
    <m/>
    <x v="166"/>
    <n v="0"/>
    <n v="0"/>
    <n v="100000"/>
    <n v="250000"/>
    <x v="5"/>
    <x v="27"/>
    <x v="3"/>
  </r>
  <r>
    <m/>
    <x v="92"/>
    <x v="0"/>
    <m/>
    <m/>
    <x v="81"/>
    <n v="0"/>
    <n v="0"/>
    <n v="150000"/>
    <n v="10000"/>
    <x v="5"/>
    <x v="27"/>
    <x v="3"/>
  </r>
  <r>
    <m/>
    <x v="110"/>
    <x v="0"/>
    <m/>
    <m/>
    <x v="97"/>
    <n v="0"/>
    <n v="0"/>
    <n v="100000"/>
    <n v="100000"/>
    <x v="5"/>
    <x v="27"/>
    <x v="3"/>
  </r>
  <r>
    <m/>
    <x v="16"/>
    <x v="0"/>
    <m/>
    <m/>
    <x v="12"/>
    <n v="0"/>
    <n v="0"/>
    <n v="150000"/>
    <n v="50000"/>
    <x v="5"/>
    <x v="27"/>
    <x v="3"/>
  </r>
  <r>
    <m/>
    <x v="193"/>
    <x v="0"/>
    <m/>
    <m/>
    <x v="172"/>
    <n v="0"/>
    <n v="0"/>
    <n v="100000"/>
    <n v="10000"/>
    <x v="5"/>
    <x v="27"/>
    <x v="3"/>
  </r>
  <r>
    <m/>
    <x v="100"/>
    <x v="0"/>
    <m/>
    <m/>
    <x v="88"/>
    <n v="0"/>
    <n v="0"/>
    <n v="100000"/>
    <n v="50000"/>
    <x v="5"/>
    <x v="27"/>
    <x v="3"/>
  </r>
  <r>
    <m/>
    <x v="156"/>
    <x v="0"/>
    <m/>
    <m/>
    <x v="137"/>
    <n v="0"/>
    <n v="0"/>
    <n v="100000"/>
    <n v="12500"/>
    <x v="5"/>
    <x v="27"/>
    <x v="3"/>
  </r>
  <r>
    <m/>
    <x v="169"/>
    <x v="0"/>
    <m/>
    <m/>
    <x v="150"/>
    <n v="0"/>
    <n v="0"/>
    <n v="100000"/>
    <n v="110000"/>
    <x v="5"/>
    <x v="27"/>
    <x v="3"/>
  </r>
  <r>
    <m/>
    <x v="96"/>
    <x v="0"/>
    <m/>
    <m/>
    <x v="84"/>
    <n v="0"/>
    <n v="0"/>
    <n v="100000"/>
    <n v="10000"/>
    <x v="5"/>
    <x v="27"/>
    <x v="3"/>
  </r>
  <r>
    <m/>
    <x v="167"/>
    <x v="0"/>
    <m/>
    <m/>
    <x v="148"/>
    <n v="0"/>
    <n v="0"/>
    <n v="100000"/>
    <n v="10000"/>
    <x v="5"/>
    <x v="27"/>
    <x v="3"/>
  </r>
  <r>
    <m/>
    <x v="93"/>
    <x v="0"/>
    <m/>
    <m/>
    <x v="82"/>
    <n v="0"/>
    <n v="0"/>
    <n v="150000"/>
    <n v="200000"/>
    <x v="5"/>
    <x v="27"/>
    <x v="3"/>
  </r>
  <r>
    <m/>
    <x v="113"/>
    <x v="0"/>
    <m/>
    <m/>
    <x v="99"/>
    <n v="0"/>
    <n v="0"/>
    <n v="150000"/>
    <n v="1000000"/>
    <x v="5"/>
    <x v="27"/>
    <x v="3"/>
  </r>
  <r>
    <m/>
    <x v="150"/>
    <x v="0"/>
    <m/>
    <m/>
    <x v="132"/>
    <n v="0"/>
    <n v="0"/>
    <n v="100000"/>
    <n v="500000"/>
    <x v="5"/>
    <x v="27"/>
    <x v="3"/>
  </r>
  <r>
    <m/>
    <x v="62"/>
    <x v="0"/>
    <m/>
    <m/>
    <x v="53"/>
    <n v="0"/>
    <n v="0"/>
    <n v="150000"/>
    <n v="200000"/>
    <x v="5"/>
    <x v="27"/>
    <x v="3"/>
  </r>
  <r>
    <m/>
    <x v="71"/>
    <x v="0"/>
    <m/>
    <m/>
    <x v="61"/>
    <n v="0"/>
    <n v="0"/>
    <n v="100000"/>
    <n v="150000"/>
    <x v="5"/>
    <x v="27"/>
    <x v="3"/>
  </r>
  <r>
    <m/>
    <x v="140"/>
    <x v="0"/>
    <m/>
    <m/>
    <x v="124"/>
    <n v="0"/>
    <n v="0"/>
    <n v="100000"/>
    <n v="500000"/>
    <x v="5"/>
    <x v="27"/>
    <x v="3"/>
  </r>
  <r>
    <m/>
    <x v="141"/>
    <x v="0"/>
    <m/>
    <m/>
    <x v="124"/>
    <n v="0"/>
    <n v="0"/>
    <n v="100000"/>
    <n v="300000"/>
    <x v="5"/>
    <x v="27"/>
    <x v="3"/>
  </r>
  <r>
    <m/>
    <x v="43"/>
    <x v="0"/>
    <m/>
    <m/>
    <x v="36"/>
    <n v="0"/>
    <n v="0"/>
    <n v="100000"/>
    <n v="600000"/>
    <x v="5"/>
    <x v="27"/>
    <x v="3"/>
  </r>
  <r>
    <m/>
    <x v="194"/>
    <x v="0"/>
    <m/>
    <m/>
    <x v="173"/>
    <n v="0"/>
    <n v="0"/>
    <n v="100000"/>
    <n v="75000"/>
    <x v="5"/>
    <x v="27"/>
    <x v="3"/>
  </r>
  <r>
    <m/>
    <x v="97"/>
    <x v="0"/>
    <m/>
    <m/>
    <x v="85"/>
    <n v="0"/>
    <n v="0"/>
    <n v="100000"/>
    <n v="50000"/>
    <x v="5"/>
    <x v="27"/>
    <x v="3"/>
  </r>
  <r>
    <m/>
    <x v="174"/>
    <x v="0"/>
    <m/>
    <m/>
    <x v="154"/>
    <n v="0"/>
    <n v="0"/>
    <n v="100000"/>
    <n v="175000"/>
    <x v="5"/>
    <x v="27"/>
    <x v="3"/>
  </r>
  <r>
    <m/>
    <x v="30"/>
    <x v="0"/>
    <m/>
    <m/>
    <x v="25"/>
    <n v="0"/>
    <n v="0"/>
    <n v="100000"/>
    <n v="50000"/>
    <x v="5"/>
    <x v="27"/>
    <x v="3"/>
  </r>
  <r>
    <m/>
    <x v="74"/>
    <x v="0"/>
    <m/>
    <m/>
    <x v="63"/>
    <n v="0"/>
    <n v="0"/>
    <n v="100000"/>
    <n v="175000"/>
    <x v="5"/>
    <x v="27"/>
    <x v="3"/>
  </r>
  <r>
    <m/>
    <x v="130"/>
    <x v="0"/>
    <m/>
    <m/>
    <x v="116"/>
    <n v="0"/>
    <n v="0"/>
    <n v="100000"/>
    <n v="125000"/>
    <x v="5"/>
    <x v="27"/>
    <x v="3"/>
  </r>
  <r>
    <m/>
    <x v="104"/>
    <x v="0"/>
    <m/>
    <m/>
    <x v="92"/>
    <n v="0"/>
    <n v="0"/>
    <n v="100000"/>
    <n v="300000"/>
    <x v="5"/>
    <x v="27"/>
    <x v="3"/>
  </r>
  <r>
    <m/>
    <x v="175"/>
    <x v="0"/>
    <m/>
    <m/>
    <x v="155"/>
    <n v="0"/>
    <n v="0"/>
    <n v="100000"/>
    <n v="100000"/>
    <x v="5"/>
    <x v="27"/>
    <x v="3"/>
  </r>
  <r>
    <m/>
    <x v="128"/>
    <x v="0"/>
    <m/>
    <m/>
    <x v="114"/>
    <n v="0"/>
    <n v="0"/>
    <n v="100000"/>
    <n v="25000"/>
    <x v="5"/>
    <x v="27"/>
    <x v="3"/>
  </r>
  <r>
    <m/>
    <x v="76"/>
    <x v="0"/>
    <m/>
    <m/>
    <x v="65"/>
    <n v="0"/>
    <n v="0"/>
    <n v="100000"/>
    <n v="400000"/>
    <x v="5"/>
    <x v="27"/>
    <x v="3"/>
  </r>
  <r>
    <m/>
    <x v="59"/>
    <x v="0"/>
    <m/>
    <m/>
    <x v="50"/>
    <n v="0"/>
    <n v="0"/>
    <n v="200000"/>
    <n v="100000"/>
    <x v="5"/>
    <x v="27"/>
    <x v="3"/>
  </r>
  <r>
    <m/>
    <x v="45"/>
    <x v="0"/>
    <m/>
    <m/>
    <x v="38"/>
    <n v="0"/>
    <n v="0"/>
    <n v="100000"/>
    <n v="125000"/>
    <x v="5"/>
    <x v="27"/>
    <x v="3"/>
  </r>
  <r>
    <m/>
    <x v="64"/>
    <x v="0"/>
    <m/>
    <m/>
    <x v="54"/>
    <n v="0"/>
    <n v="0"/>
    <n v="100000"/>
    <n v="100000"/>
    <x v="5"/>
    <x v="27"/>
    <x v="3"/>
  </r>
  <r>
    <m/>
    <x v="118"/>
    <x v="0"/>
    <m/>
    <m/>
    <x v="104"/>
    <n v="0"/>
    <n v="0"/>
    <n v="150000"/>
    <n v="150000"/>
    <x v="5"/>
    <x v="27"/>
    <x v="3"/>
  </r>
  <r>
    <m/>
    <x v="129"/>
    <x v="0"/>
    <m/>
    <m/>
    <x v="115"/>
    <n v="0"/>
    <n v="0"/>
    <n v="100000"/>
    <n v="100000"/>
    <x v="5"/>
    <x v="27"/>
    <x v="3"/>
  </r>
  <r>
    <m/>
    <x v="160"/>
    <x v="0"/>
    <m/>
    <m/>
    <x v="141"/>
    <n v="0"/>
    <n v="0"/>
    <n v="100000"/>
    <n v="200000"/>
    <x v="5"/>
    <x v="27"/>
    <x v="3"/>
  </r>
  <r>
    <m/>
    <x v="85"/>
    <x v="0"/>
    <m/>
    <m/>
    <x v="74"/>
    <n v="0"/>
    <n v="0"/>
    <n v="100000"/>
    <n v="100000"/>
    <x v="5"/>
    <x v="27"/>
    <x v="3"/>
  </r>
  <r>
    <m/>
    <x v="136"/>
    <x v="0"/>
    <m/>
    <m/>
    <x v="120"/>
    <n v="0"/>
    <n v="0"/>
    <n v="100000"/>
    <n v="100000"/>
    <x v="5"/>
    <x v="27"/>
    <x v="3"/>
  </r>
  <r>
    <m/>
    <x v="182"/>
    <x v="0"/>
    <m/>
    <m/>
    <x v="161"/>
    <n v="0"/>
    <n v="0"/>
    <n v="100000"/>
    <n v="50000"/>
    <x v="5"/>
    <x v="27"/>
    <x v="3"/>
  </r>
  <r>
    <m/>
    <x v="173"/>
    <x v="0"/>
    <m/>
    <m/>
    <x v="153"/>
    <n v="0"/>
    <n v="0"/>
    <n v="100000"/>
    <n v="100000"/>
    <x v="5"/>
    <x v="27"/>
    <x v="3"/>
  </r>
  <r>
    <m/>
    <x v="88"/>
    <x v="0"/>
    <m/>
    <m/>
    <x v="77"/>
    <n v="0"/>
    <n v="0"/>
    <n v="100000"/>
    <n v="100000"/>
    <x v="5"/>
    <x v="27"/>
    <x v="3"/>
  </r>
  <r>
    <m/>
    <x v="143"/>
    <x v="0"/>
    <m/>
    <m/>
    <x v="126"/>
    <n v="0"/>
    <n v="0"/>
    <n v="100000"/>
    <n v="250000"/>
    <x v="5"/>
    <x v="27"/>
    <x v="3"/>
  </r>
  <r>
    <m/>
    <x v="106"/>
    <x v="0"/>
    <m/>
    <m/>
    <x v="94"/>
    <n v="0"/>
    <n v="0"/>
    <n v="100000"/>
    <n v="15000"/>
    <x v="5"/>
    <x v="27"/>
    <x v="3"/>
  </r>
  <r>
    <m/>
    <x v="146"/>
    <x v="0"/>
    <m/>
    <m/>
    <x v="129"/>
    <n v="0"/>
    <n v="0"/>
    <n v="100000"/>
    <n v="100000"/>
    <x v="5"/>
    <x v="27"/>
    <x v="3"/>
  </r>
  <r>
    <m/>
    <x v="35"/>
    <x v="0"/>
    <m/>
    <m/>
    <x v="29"/>
    <n v="0"/>
    <n v="0"/>
    <n v="100000"/>
    <n v="100000"/>
    <x v="5"/>
    <x v="27"/>
    <x v="3"/>
  </r>
  <r>
    <m/>
    <x v="80"/>
    <x v="0"/>
    <m/>
    <m/>
    <x v="69"/>
    <n v="0"/>
    <n v="0"/>
    <n v="100000"/>
    <n v="125000"/>
    <x v="5"/>
    <x v="27"/>
    <x v="3"/>
  </r>
  <r>
    <m/>
    <x v="10"/>
    <x v="0"/>
    <m/>
    <m/>
    <x v="8"/>
    <n v="0"/>
    <n v="0"/>
    <n v="150000"/>
    <n v="100000"/>
    <x v="5"/>
    <x v="27"/>
    <x v="3"/>
  </r>
  <r>
    <m/>
    <x v="78"/>
    <x v="0"/>
    <m/>
    <m/>
    <x v="67"/>
    <n v="0"/>
    <n v="0"/>
    <n v="150000"/>
    <n v="50000"/>
    <x v="5"/>
    <x v="27"/>
    <x v="3"/>
  </r>
  <r>
    <m/>
    <x v="55"/>
    <x v="0"/>
    <m/>
    <m/>
    <x v="46"/>
    <n v="0"/>
    <n v="0"/>
    <n v="100000"/>
    <n v="50000"/>
    <x v="5"/>
    <x v="27"/>
    <x v="3"/>
  </r>
  <r>
    <m/>
    <x v="52"/>
    <x v="0"/>
    <m/>
    <m/>
    <x v="43"/>
    <n v="0"/>
    <n v="0"/>
    <n v="100000"/>
    <n v="125000"/>
    <x v="5"/>
    <x v="27"/>
    <x v="3"/>
  </r>
  <r>
    <m/>
    <x v="77"/>
    <x v="0"/>
    <m/>
    <m/>
    <x v="66"/>
    <n v="0"/>
    <n v="0"/>
    <n v="100000"/>
    <n v="150000"/>
    <x v="5"/>
    <x v="27"/>
    <x v="3"/>
  </r>
  <r>
    <m/>
    <x v="126"/>
    <x v="0"/>
    <m/>
    <m/>
    <x v="112"/>
    <n v="0"/>
    <n v="0"/>
    <n v="100000"/>
    <n v="100000"/>
    <x v="5"/>
    <x v="27"/>
    <x v="3"/>
  </r>
  <r>
    <m/>
    <x v="49"/>
    <x v="0"/>
    <m/>
    <m/>
    <x v="42"/>
    <n v="0"/>
    <n v="0"/>
    <n v="100000"/>
    <n v="100000"/>
    <x v="5"/>
    <x v="27"/>
    <x v="3"/>
  </r>
  <r>
    <m/>
    <x v="142"/>
    <x v="0"/>
    <m/>
    <m/>
    <x v="125"/>
    <n v="0"/>
    <n v="0"/>
    <n v="100000"/>
    <n v="50000"/>
    <x v="5"/>
    <x v="27"/>
    <x v="3"/>
  </r>
  <r>
    <m/>
    <x v="153"/>
    <x v="0"/>
    <m/>
    <m/>
    <x v="134"/>
    <n v="0"/>
    <n v="0"/>
    <n v="150000"/>
    <n v="50000"/>
    <x v="5"/>
    <x v="27"/>
    <x v="3"/>
  </r>
  <r>
    <m/>
    <x v="29"/>
    <x v="0"/>
    <m/>
    <m/>
    <x v="24"/>
    <n v="0"/>
    <n v="0"/>
    <n v="100000"/>
    <n v="50000"/>
    <x v="5"/>
    <x v="27"/>
    <x v="3"/>
  </r>
  <r>
    <m/>
    <x v="83"/>
    <x v="0"/>
    <m/>
    <m/>
    <x v="72"/>
    <n v="0"/>
    <n v="0"/>
    <n v="100000"/>
    <n v="100000"/>
    <x v="5"/>
    <x v="27"/>
    <x v="3"/>
  </r>
  <r>
    <m/>
    <x v="189"/>
    <x v="0"/>
    <m/>
    <m/>
    <x v="168"/>
    <n v="0"/>
    <n v="0"/>
    <n v="100000"/>
    <n v="75000"/>
    <x v="5"/>
    <x v="27"/>
    <x v="3"/>
  </r>
  <r>
    <m/>
    <x v="13"/>
    <x v="0"/>
    <m/>
    <m/>
    <x v="10"/>
    <n v="0"/>
    <n v="0"/>
    <n v="100000"/>
    <n v="100000"/>
    <x v="5"/>
    <x v="27"/>
    <x v="3"/>
  </r>
  <r>
    <m/>
    <x v="115"/>
    <x v="0"/>
    <m/>
    <m/>
    <x v="101"/>
    <n v="0"/>
    <n v="0"/>
    <n v="150000"/>
    <n v="50000"/>
    <x v="5"/>
    <x v="27"/>
    <x v="3"/>
  </r>
  <r>
    <m/>
    <x v="20"/>
    <x v="0"/>
    <m/>
    <m/>
    <x v="16"/>
    <n v="0"/>
    <n v="0"/>
    <n v="100000"/>
    <n v="200000"/>
    <x v="5"/>
    <x v="27"/>
    <x v="3"/>
  </r>
  <r>
    <m/>
    <x v="2"/>
    <x v="0"/>
    <m/>
    <m/>
    <x v="2"/>
    <n v="0"/>
    <n v="0"/>
    <n v="100000"/>
    <n v="150000"/>
    <x v="5"/>
    <x v="27"/>
    <x v="3"/>
  </r>
  <r>
    <m/>
    <x v="91"/>
    <x v="0"/>
    <m/>
    <m/>
    <x v="80"/>
    <n v="0"/>
    <n v="0"/>
    <n v="100000"/>
    <n v="100000"/>
    <x v="5"/>
    <x v="27"/>
    <x v="3"/>
  </r>
  <r>
    <m/>
    <x v="67"/>
    <x v="0"/>
    <m/>
    <m/>
    <x v="57"/>
    <n v="0"/>
    <n v="0"/>
    <n v="100000"/>
    <n v="100000"/>
    <x v="5"/>
    <x v="27"/>
    <x v="3"/>
  </r>
  <r>
    <m/>
    <x v="119"/>
    <x v="0"/>
    <m/>
    <m/>
    <x v="105"/>
    <n v="0"/>
    <n v="0"/>
    <n v="200000"/>
    <n v="200000"/>
    <x v="5"/>
    <x v="27"/>
    <x v="3"/>
  </r>
  <r>
    <m/>
    <x v="179"/>
    <x v="0"/>
    <m/>
    <m/>
    <x v="158"/>
    <n v="0"/>
    <n v="0"/>
    <n v="200000"/>
    <n v="300000"/>
    <x v="5"/>
    <x v="27"/>
    <x v="3"/>
  </r>
  <r>
    <m/>
    <x v="184"/>
    <x v="0"/>
    <m/>
    <m/>
    <x v="163"/>
    <n v="0"/>
    <n v="0"/>
    <n v="100000"/>
    <n v="100000"/>
    <x v="5"/>
    <x v="27"/>
    <x v="3"/>
  </r>
  <r>
    <m/>
    <x v="72"/>
    <x v="0"/>
    <m/>
    <m/>
    <x v="62"/>
    <n v="0"/>
    <n v="0"/>
    <n v="100000"/>
    <n v="150000"/>
    <x v="5"/>
    <x v="27"/>
    <x v="3"/>
  </r>
  <r>
    <m/>
    <x v="180"/>
    <x v="0"/>
    <m/>
    <m/>
    <x v="159"/>
    <n v="0"/>
    <n v="0"/>
    <n v="100000"/>
    <n v="100000"/>
    <x v="5"/>
    <x v="27"/>
    <x v="3"/>
  </r>
  <r>
    <m/>
    <x v="70"/>
    <x v="0"/>
    <m/>
    <m/>
    <x v="60"/>
    <n v="0"/>
    <n v="0"/>
    <n v="100000"/>
    <n v="400000"/>
    <x v="5"/>
    <x v="27"/>
    <x v="3"/>
  </r>
  <r>
    <m/>
    <x v="39"/>
    <x v="0"/>
    <m/>
    <m/>
    <x v="33"/>
    <n v="0"/>
    <n v="0"/>
    <n v="100000"/>
    <n v="150000"/>
    <x v="5"/>
    <x v="27"/>
    <x v="3"/>
  </r>
  <r>
    <m/>
    <x v="17"/>
    <x v="0"/>
    <m/>
    <m/>
    <x v="13"/>
    <n v="0"/>
    <n v="0"/>
    <n v="200000"/>
    <n v="300000"/>
    <x v="5"/>
    <x v="27"/>
    <x v="3"/>
  </r>
  <r>
    <m/>
    <x v="112"/>
    <x v="0"/>
    <m/>
    <m/>
    <x v="98"/>
    <n v="0"/>
    <n v="0"/>
    <n v="100000"/>
    <n v="100000"/>
    <x v="5"/>
    <x v="27"/>
    <x v="3"/>
  </r>
  <r>
    <m/>
    <x v="151"/>
    <x v="0"/>
    <m/>
    <m/>
    <x v="133"/>
    <n v="0"/>
    <n v="0"/>
    <n v="100000"/>
    <n v="150000"/>
    <x v="5"/>
    <x v="27"/>
    <x v="3"/>
  </r>
  <r>
    <m/>
    <x v="103"/>
    <x v="0"/>
    <m/>
    <m/>
    <x v="91"/>
    <n v="0"/>
    <n v="0"/>
    <n v="100000"/>
    <n v="500000"/>
    <x v="5"/>
    <x v="27"/>
    <x v="3"/>
  </r>
  <r>
    <m/>
    <x v="56"/>
    <x v="0"/>
    <m/>
    <m/>
    <x v="47"/>
    <n v="0"/>
    <n v="0"/>
    <n v="100000"/>
    <n v="75000"/>
    <x v="5"/>
    <x v="27"/>
    <x v="3"/>
  </r>
  <r>
    <m/>
    <x v="27"/>
    <x v="0"/>
    <m/>
    <m/>
    <x v="23"/>
    <n v="0"/>
    <n v="0"/>
    <n v="100000"/>
    <n v="100000"/>
    <x v="5"/>
    <x v="27"/>
    <x v="3"/>
  </r>
  <r>
    <m/>
    <x v="28"/>
    <x v="0"/>
    <m/>
    <m/>
    <x v="23"/>
    <n v="0"/>
    <n v="0"/>
    <n v="100000"/>
    <n v="50000"/>
    <x v="5"/>
    <x v="27"/>
    <x v="3"/>
  </r>
  <r>
    <m/>
    <x v="37"/>
    <x v="0"/>
    <m/>
    <m/>
    <x v="31"/>
    <n v="0"/>
    <n v="0"/>
    <n v="100000"/>
    <n v="150000"/>
    <x v="5"/>
    <x v="27"/>
    <x v="3"/>
  </r>
  <r>
    <m/>
    <x v="79"/>
    <x v="0"/>
    <m/>
    <m/>
    <x v="68"/>
    <n v="0"/>
    <n v="0"/>
    <n v="100000"/>
    <n v="100000"/>
    <x v="5"/>
    <x v="27"/>
    <x v="3"/>
  </r>
  <r>
    <m/>
    <x v="36"/>
    <x v="0"/>
    <m/>
    <m/>
    <x v="30"/>
    <n v="0"/>
    <n v="0"/>
    <n v="100000"/>
    <n v="200000"/>
    <x v="5"/>
    <x v="27"/>
    <x v="3"/>
  </r>
  <r>
    <m/>
    <x v="120"/>
    <x v="0"/>
    <m/>
    <m/>
    <x v="106"/>
    <n v="0"/>
    <n v="0"/>
    <n v="100000"/>
    <n v="50000"/>
    <x v="5"/>
    <x v="27"/>
    <x v="3"/>
  </r>
  <r>
    <m/>
    <x v="107"/>
    <x v="1"/>
    <m/>
    <m/>
    <x v="95"/>
    <n v="0"/>
    <n v="0"/>
    <n v="100000"/>
    <n v="400000"/>
    <x v="5"/>
    <x v="27"/>
    <x v="3"/>
  </r>
  <r>
    <m/>
    <x v="8"/>
    <x v="0"/>
    <m/>
    <m/>
    <x v="7"/>
    <n v="0"/>
    <n v="0"/>
    <n v="200000"/>
    <n v="300000"/>
    <x v="5"/>
    <x v="27"/>
    <x v="3"/>
  </r>
  <r>
    <m/>
    <x v="157"/>
    <x v="0"/>
    <m/>
    <m/>
    <x v="138"/>
    <n v="0"/>
    <n v="0"/>
    <n v="100000"/>
    <n v="100000"/>
    <x v="5"/>
    <x v="27"/>
    <x v="3"/>
  </r>
  <r>
    <m/>
    <x v="191"/>
    <x v="0"/>
    <m/>
    <m/>
    <x v="170"/>
    <n v="0"/>
    <n v="0"/>
    <n v="100000"/>
    <n v="100000"/>
    <x v="5"/>
    <x v="27"/>
    <x v="3"/>
  </r>
  <r>
    <m/>
    <x v="75"/>
    <x v="0"/>
    <m/>
    <m/>
    <x v="64"/>
    <n v="0"/>
    <n v="0"/>
    <n v="100000"/>
    <n v="125000"/>
    <x v="5"/>
    <x v="27"/>
    <x v="3"/>
  </r>
  <r>
    <m/>
    <x v="19"/>
    <x v="0"/>
    <m/>
    <m/>
    <x v="15"/>
    <n v="0"/>
    <n v="0"/>
    <n v="100000"/>
    <n v="400000"/>
    <x v="5"/>
    <x v="27"/>
    <x v="3"/>
  </r>
  <r>
    <m/>
    <x v="38"/>
    <x v="0"/>
    <m/>
    <m/>
    <x v="32"/>
    <n v="0"/>
    <n v="0"/>
    <n v="100000"/>
    <n v="250000"/>
    <x v="5"/>
    <x v="27"/>
    <x v="3"/>
  </r>
  <r>
    <m/>
    <x v="105"/>
    <x v="0"/>
    <m/>
    <m/>
    <x v="93"/>
    <n v="0"/>
    <n v="0"/>
    <n v="100000"/>
    <n v="100000"/>
    <x v="5"/>
    <x v="27"/>
    <x v="3"/>
  </r>
  <r>
    <m/>
    <x v="57"/>
    <x v="0"/>
    <m/>
    <m/>
    <x v="48"/>
    <n v="0"/>
    <n v="0"/>
    <n v="150000"/>
    <n v="50000"/>
    <x v="5"/>
    <x v="27"/>
    <x v="3"/>
  </r>
  <r>
    <m/>
    <x v="181"/>
    <x v="0"/>
    <m/>
    <m/>
    <x v="160"/>
    <n v="0"/>
    <n v="0"/>
    <n v="100000"/>
    <n v="250000"/>
    <x v="5"/>
    <x v="27"/>
    <x v="3"/>
  </r>
  <r>
    <m/>
    <x v="122"/>
    <x v="0"/>
    <m/>
    <m/>
    <x v="108"/>
    <n v="0"/>
    <n v="0"/>
    <n v="100000"/>
    <n v="500000"/>
    <x v="5"/>
    <x v="27"/>
    <x v="3"/>
  </r>
  <r>
    <m/>
    <x v="163"/>
    <x v="0"/>
    <m/>
    <m/>
    <x v="144"/>
    <n v="0"/>
    <n v="0"/>
    <n v="100000"/>
    <n v="50000"/>
    <x v="5"/>
    <x v="27"/>
    <x v="3"/>
  </r>
  <r>
    <m/>
    <x v="21"/>
    <x v="1"/>
    <m/>
    <m/>
    <x v="17"/>
    <n v="0"/>
    <n v="0"/>
    <n v="100000"/>
    <n v="150000"/>
    <x v="5"/>
    <x v="27"/>
    <x v="3"/>
  </r>
  <r>
    <m/>
    <x v="190"/>
    <x v="0"/>
    <m/>
    <m/>
    <x v="169"/>
    <n v="0"/>
    <n v="0"/>
    <n v="100000"/>
    <n v="100000"/>
    <x v="5"/>
    <x v="27"/>
    <x v="3"/>
  </r>
  <r>
    <m/>
    <x v="47"/>
    <x v="0"/>
    <m/>
    <m/>
    <x v="40"/>
    <n v="0"/>
    <n v="0"/>
    <n v="100000"/>
    <n v="500000"/>
    <x v="5"/>
    <x v="27"/>
    <x v="3"/>
  </r>
  <r>
    <m/>
    <x v="137"/>
    <x v="0"/>
    <m/>
    <m/>
    <x v="121"/>
    <n v="0"/>
    <n v="0"/>
    <n v="100000"/>
    <n v="100000"/>
    <x v="5"/>
    <x v="27"/>
    <x v="3"/>
  </r>
  <r>
    <m/>
    <x v="176"/>
    <x v="0"/>
    <m/>
    <m/>
    <x v="156"/>
    <n v="0"/>
    <n v="0"/>
    <n v="100000"/>
    <n v="150000"/>
    <x v="5"/>
    <x v="27"/>
    <x v="3"/>
  </r>
  <r>
    <m/>
    <x v="32"/>
    <x v="0"/>
    <m/>
    <m/>
    <x v="26"/>
    <n v="0"/>
    <n v="0"/>
    <n v="100000"/>
    <n v="100000"/>
    <x v="5"/>
    <x v="27"/>
    <x v="3"/>
  </r>
  <r>
    <m/>
    <x v="6"/>
    <x v="0"/>
    <m/>
    <m/>
    <x v="6"/>
    <n v="0"/>
    <n v="0"/>
    <n v="100000"/>
    <n v="250000"/>
    <x v="5"/>
    <x v="27"/>
    <x v="3"/>
  </r>
  <r>
    <m/>
    <x v="121"/>
    <x v="0"/>
    <m/>
    <m/>
    <x v="107"/>
    <n v="0"/>
    <n v="0"/>
    <n v="100000"/>
    <n v="100000"/>
    <x v="5"/>
    <x v="27"/>
    <x v="3"/>
  </r>
  <r>
    <m/>
    <x v="44"/>
    <x v="0"/>
    <m/>
    <m/>
    <x v="37"/>
    <n v="0"/>
    <n v="0"/>
    <n v="100000"/>
    <n v="50000"/>
    <x v="5"/>
    <x v="27"/>
    <x v="3"/>
  </r>
  <r>
    <m/>
    <x v="185"/>
    <x v="0"/>
    <m/>
    <m/>
    <x v="164"/>
    <n v="0"/>
    <n v="0"/>
    <n v="100000"/>
    <n v="200000"/>
    <x v="5"/>
    <x v="27"/>
    <x v="3"/>
  </r>
  <r>
    <m/>
    <x v="42"/>
    <x v="0"/>
    <m/>
    <m/>
    <x v="35"/>
    <n v="0"/>
    <n v="0"/>
    <n v="100000"/>
    <n v="150000"/>
    <x v="5"/>
    <x v="27"/>
    <x v="3"/>
  </r>
  <r>
    <m/>
    <x v="123"/>
    <x v="0"/>
    <m/>
    <m/>
    <x v="109"/>
    <n v="0"/>
    <n v="0"/>
    <n v="100000"/>
    <n v="50000"/>
    <x v="5"/>
    <x v="27"/>
    <x v="3"/>
  </r>
  <r>
    <m/>
    <x v="162"/>
    <x v="0"/>
    <m/>
    <m/>
    <x v="143"/>
    <n v="0"/>
    <n v="0"/>
    <n v="100000"/>
    <n v="12500"/>
    <x v="5"/>
    <x v="27"/>
    <x v="3"/>
  </r>
  <r>
    <m/>
    <x v="138"/>
    <x v="0"/>
    <m/>
    <m/>
    <x v="122"/>
    <n v="0"/>
    <n v="0"/>
    <n v="100000"/>
    <n v="100000"/>
    <x v="5"/>
    <x v="27"/>
    <x v="3"/>
  </r>
  <r>
    <m/>
    <x v="183"/>
    <x v="0"/>
    <m/>
    <m/>
    <x v="162"/>
    <n v="0"/>
    <n v="0"/>
    <n v="100000"/>
    <n v="100000"/>
    <x v="5"/>
    <x v="27"/>
    <x v="3"/>
  </r>
  <r>
    <m/>
    <x v="53"/>
    <x v="0"/>
    <m/>
    <m/>
    <x v="44"/>
    <n v="0"/>
    <n v="0"/>
    <n v="100000"/>
    <n v="75000"/>
    <x v="5"/>
    <x v="27"/>
    <x v="3"/>
  </r>
  <r>
    <m/>
    <x v="23"/>
    <x v="0"/>
    <m/>
    <m/>
    <x v="19"/>
    <n v="0"/>
    <n v="0"/>
    <n v="100000"/>
    <n v="175000"/>
    <x v="5"/>
    <x v="27"/>
    <x v="3"/>
  </r>
  <r>
    <m/>
    <x v="102"/>
    <x v="0"/>
    <m/>
    <m/>
    <x v="90"/>
    <n v="0"/>
    <n v="0"/>
    <n v="100000"/>
    <n v="75000"/>
    <x v="5"/>
    <x v="27"/>
    <x v="3"/>
  </r>
  <r>
    <m/>
    <x v="196"/>
    <x v="0"/>
    <m/>
    <m/>
    <x v="174"/>
    <n v="0"/>
    <n v="0"/>
    <n v="100000"/>
    <n v="100000"/>
    <x v="5"/>
    <x v="27"/>
    <x v="3"/>
  </r>
  <r>
    <m/>
    <x v="155"/>
    <x v="0"/>
    <m/>
    <m/>
    <x v="136"/>
    <n v="0"/>
    <n v="0"/>
    <n v="100000"/>
    <n v="50000"/>
    <x v="5"/>
    <x v="27"/>
    <x v="3"/>
  </r>
  <r>
    <m/>
    <x v="170"/>
    <x v="0"/>
    <m/>
    <m/>
    <x v="151"/>
    <n v="0"/>
    <n v="0"/>
    <n v="100000"/>
    <n v="50000"/>
    <x v="5"/>
    <x v="27"/>
    <x v="3"/>
  </r>
  <r>
    <m/>
    <x v="98"/>
    <x v="0"/>
    <m/>
    <m/>
    <x v="86"/>
    <n v="0"/>
    <n v="0"/>
    <n v="100000"/>
    <n v="150000"/>
    <x v="5"/>
    <x v="27"/>
    <x v="3"/>
  </r>
  <r>
    <m/>
    <x v="168"/>
    <x v="0"/>
    <m/>
    <m/>
    <x v="149"/>
    <n v="0"/>
    <n v="0"/>
    <n v="100000"/>
    <n v="150000"/>
    <x v="5"/>
    <x v="27"/>
    <x v="3"/>
  </r>
  <r>
    <m/>
    <x v="125"/>
    <x v="0"/>
    <m/>
    <m/>
    <x v="111"/>
    <n v="0"/>
    <n v="0"/>
    <n v="100000"/>
    <n v="150000"/>
    <x v="5"/>
    <x v="27"/>
    <x v="3"/>
  </r>
  <r>
    <m/>
    <x v="132"/>
    <x v="0"/>
    <m/>
    <m/>
    <x v="117"/>
    <n v="0"/>
    <n v="0"/>
    <n v="100000"/>
    <n v="250000"/>
    <x v="5"/>
    <x v="27"/>
    <x v="3"/>
  </r>
  <r>
    <m/>
    <x v="84"/>
    <x v="0"/>
    <m/>
    <m/>
    <x v="73"/>
    <n v="0"/>
    <n v="0"/>
    <n v="100000"/>
    <n v="100000"/>
    <x v="5"/>
    <x v="27"/>
    <x v="3"/>
  </r>
  <r>
    <m/>
    <x v="117"/>
    <x v="0"/>
    <m/>
    <m/>
    <x v="103"/>
    <n v="0"/>
    <n v="0"/>
    <n v="100000"/>
    <n v="400000"/>
    <x v="5"/>
    <x v="27"/>
    <x v="3"/>
  </r>
  <r>
    <m/>
    <x v="46"/>
    <x v="0"/>
    <m/>
    <m/>
    <x v="39"/>
    <n v="0"/>
    <n v="0"/>
    <n v="100000"/>
    <n v="50000"/>
    <x v="5"/>
    <x v="27"/>
    <x v="3"/>
  </r>
  <r>
    <m/>
    <x v="95"/>
    <x v="0"/>
    <m/>
    <m/>
    <x v="83"/>
    <n v="0"/>
    <n v="0"/>
    <n v="100000"/>
    <n v="150000"/>
    <x v="5"/>
    <x v="27"/>
    <x v="3"/>
  </r>
  <r>
    <m/>
    <x v="165"/>
    <x v="0"/>
    <m/>
    <m/>
    <x v="146"/>
    <n v="0"/>
    <n v="0"/>
    <n v="100000"/>
    <n v="100000"/>
    <x v="5"/>
    <x v="27"/>
    <x v="3"/>
  </r>
  <r>
    <m/>
    <x v="197"/>
    <x v="0"/>
    <m/>
    <m/>
    <x v="175"/>
    <n v="0"/>
    <n v="0"/>
    <n v="100000"/>
    <n v="200000"/>
    <x v="5"/>
    <x v="27"/>
    <x v="3"/>
  </r>
  <r>
    <m/>
    <x v="145"/>
    <x v="0"/>
    <m/>
    <m/>
    <x v="128"/>
    <n v="0"/>
    <n v="0"/>
    <n v="100000"/>
    <n v="100000"/>
    <x v="5"/>
    <x v="27"/>
    <x v="3"/>
  </r>
  <r>
    <m/>
    <x v="139"/>
    <x v="1"/>
    <m/>
    <m/>
    <x v="123"/>
    <n v="0"/>
    <n v="0"/>
    <n v="100000"/>
    <n v="150000"/>
    <x v="5"/>
    <x v="27"/>
    <x v="3"/>
  </r>
  <r>
    <m/>
    <x v="5"/>
    <x v="0"/>
    <m/>
    <m/>
    <x v="5"/>
    <n v="0"/>
    <n v="0"/>
    <n v="100000"/>
    <n v="100000"/>
    <x v="5"/>
    <x v="27"/>
    <x v="3"/>
  </r>
  <r>
    <m/>
    <x v="178"/>
    <x v="0"/>
    <m/>
    <m/>
    <x v="157"/>
    <n v="0"/>
    <n v="0"/>
    <n v="100000"/>
    <n v="100000"/>
    <x v="5"/>
    <x v="27"/>
    <x v="3"/>
  </r>
  <r>
    <m/>
    <x v="18"/>
    <x v="0"/>
    <m/>
    <m/>
    <x v="14"/>
    <n v="0"/>
    <n v="0"/>
    <n v="100000"/>
    <n v="50000"/>
    <x v="5"/>
    <x v="27"/>
    <x v="3"/>
  </r>
  <r>
    <m/>
    <x v="114"/>
    <x v="0"/>
    <m/>
    <m/>
    <x v="100"/>
    <n v="0"/>
    <n v="0"/>
    <n v="100000"/>
    <n v="100000"/>
    <x v="5"/>
    <x v="27"/>
    <x v="3"/>
  </r>
  <r>
    <m/>
    <x v="116"/>
    <x v="0"/>
    <m/>
    <m/>
    <x v="102"/>
    <n v="0"/>
    <n v="0"/>
    <n v="100000"/>
    <n v="100000"/>
    <x v="5"/>
    <x v="27"/>
    <x v="3"/>
  </r>
  <r>
    <m/>
    <x v="60"/>
    <x v="0"/>
    <m/>
    <m/>
    <x v="51"/>
    <n v="0"/>
    <n v="0"/>
    <n v="100000"/>
    <n v="100000"/>
    <x v="5"/>
    <x v="27"/>
    <x v="3"/>
  </r>
  <r>
    <m/>
    <x v="124"/>
    <x v="0"/>
    <m/>
    <m/>
    <x v="110"/>
    <n v="0"/>
    <n v="0"/>
    <n v="100000"/>
    <n v="150000"/>
    <x v="5"/>
    <x v="27"/>
    <x v="3"/>
  </r>
  <r>
    <m/>
    <x v="81"/>
    <x v="0"/>
    <m/>
    <m/>
    <x v="70"/>
    <n v="0"/>
    <n v="0"/>
    <n v="100000"/>
    <n v="200000"/>
    <x v="5"/>
    <x v="27"/>
    <x v="3"/>
  </r>
  <r>
    <m/>
    <x v="40"/>
    <x v="0"/>
    <m/>
    <m/>
    <x v="34"/>
    <n v="0"/>
    <n v="0"/>
    <n v="100000"/>
    <n v="100000"/>
    <x v="5"/>
    <x v="27"/>
    <x v="3"/>
  </r>
  <r>
    <m/>
    <x v="24"/>
    <x v="0"/>
    <m/>
    <m/>
    <x v="20"/>
    <n v="0"/>
    <n v="0"/>
    <n v="100000"/>
    <n v="200000"/>
    <x v="5"/>
    <x v="27"/>
    <x v="3"/>
  </r>
  <r>
    <m/>
    <x v="144"/>
    <x v="0"/>
    <m/>
    <m/>
    <x v="127"/>
    <n v="0"/>
    <n v="0"/>
    <n v="100000"/>
    <n v="100000"/>
    <x v="5"/>
    <x v="27"/>
    <x v="3"/>
  </r>
  <r>
    <m/>
    <x v="65"/>
    <x v="0"/>
    <m/>
    <m/>
    <x v="55"/>
    <n v="0"/>
    <n v="0"/>
    <n v="100000"/>
    <n v="300000"/>
    <x v="5"/>
    <x v="27"/>
    <x v="3"/>
  </r>
  <r>
    <m/>
    <x v="54"/>
    <x v="0"/>
    <m/>
    <m/>
    <x v="45"/>
    <n v="0"/>
    <n v="0"/>
    <n v="100000"/>
    <n v="100000"/>
    <x v="5"/>
    <x v="27"/>
    <x v="3"/>
  </r>
  <r>
    <m/>
    <x v="25"/>
    <x v="0"/>
    <m/>
    <m/>
    <x v="21"/>
    <n v="0"/>
    <n v="0"/>
    <n v="100000"/>
    <n v="150000"/>
    <x v="5"/>
    <x v="27"/>
    <x v="3"/>
  </r>
  <r>
    <m/>
    <x v="192"/>
    <x v="0"/>
    <m/>
    <m/>
    <x v="171"/>
    <n v="0"/>
    <n v="0"/>
    <n v="100000"/>
    <n v="150000"/>
    <x v="5"/>
    <x v="27"/>
    <x v="3"/>
  </r>
  <r>
    <m/>
    <x v="69"/>
    <x v="0"/>
    <m/>
    <m/>
    <x v="59"/>
    <n v="0"/>
    <n v="0"/>
    <n v="100000"/>
    <n v="50000"/>
    <x v="5"/>
    <x v="27"/>
    <x v="3"/>
  </r>
  <r>
    <m/>
    <x v="1"/>
    <x v="0"/>
    <m/>
    <m/>
    <x v="1"/>
    <n v="0"/>
    <n v="0"/>
    <n v="100000"/>
    <n v="150000"/>
    <x v="5"/>
    <x v="27"/>
    <x v="3"/>
  </r>
  <r>
    <m/>
    <x v="11"/>
    <x v="0"/>
    <m/>
    <m/>
    <x v="9"/>
    <n v="0"/>
    <n v="0"/>
    <n v="100000"/>
    <n v="50000"/>
    <x v="5"/>
    <x v="27"/>
    <x v="3"/>
  </r>
  <r>
    <m/>
    <x v="14"/>
    <x v="0"/>
    <m/>
    <m/>
    <x v="11"/>
    <n v="0"/>
    <n v="0"/>
    <n v="100000"/>
    <n v="100000"/>
    <x v="5"/>
    <x v="27"/>
    <x v="3"/>
  </r>
  <r>
    <m/>
    <x v="149"/>
    <x v="0"/>
    <m/>
    <m/>
    <x v="131"/>
    <n v="0"/>
    <n v="0"/>
    <n v="100000"/>
    <n v="100000"/>
    <x v="5"/>
    <x v="27"/>
    <x v="3"/>
  </r>
  <r>
    <m/>
    <x v="87"/>
    <x v="0"/>
    <m/>
    <m/>
    <x v="76"/>
    <n v="0"/>
    <n v="0"/>
    <n v="100000"/>
    <n v="200000"/>
    <x v="5"/>
    <x v="27"/>
    <x v="3"/>
  </r>
  <r>
    <m/>
    <x v="0"/>
    <x v="0"/>
    <m/>
    <m/>
    <x v="0"/>
    <n v="0"/>
    <n v="0"/>
    <n v="100000"/>
    <n v="200000"/>
    <x v="5"/>
    <x v="27"/>
    <x v="3"/>
  </r>
  <r>
    <m/>
    <x v="188"/>
    <x v="0"/>
    <m/>
    <m/>
    <x v="167"/>
    <n v="0"/>
    <n v="0"/>
    <n v="100000"/>
    <n v="100000"/>
    <x v="5"/>
    <x v="27"/>
    <x v="3"/>
  </r>
  <r>
    <m/>
    <x v="147"/>
    <x v="0"/>
    <m/>
    <m/>
    <x v="18"/>
    <n v="0"/>
    <n v="0"/>
    <n v="100000"/>
    <n v="200000"/>
    <x v="5"/>
    <x v="27"/>
    <x v="3"/>
  </r>
  <r>
    <m/>
    <x v="22"/>
    <x v="0"/>
    <m/>
    <m/>
    <x v="18"/>
    <n v="0"/>
    <n v="0"/>
    <n v="100000"/>
    <n v="200000"/>
    <x v="5"/>
    <x v="27"/>
    <x v="3"/>
  </r>
  <r>
    <m/>
    <x v="201"/>
    <x v="3"/>
    <m/>
    <m/>
    <x v="177"/>
    <n v="0"/>
    <n v="0"/>
    <n v="100000"/>
    <n v="100000"/>
    <x v="5"/>
    <x v="27"/>
    <x v="3"/>
  </r>
  <r>
    <m/>
    <x v="199"/>
    <x v="3"/>
    <m/>
    <m/>
    <x v="18"/>
    <n v="0"/>
    <n v="0"/>
    <n v="100000"/>
    <n v="100000"/>
    <x v="5"/>
    <x v="27"/>
    <x v="3"/>
  </r>
  <r>
    <m/>
    <x v="202"/>
    <x v="0"/>
    <m/>
    <m/>
    <x v="18"/>
    <n v="0"/>
    <n v="0"/>
    <n v="100000"/>
    <n v="10000"/>
    <x v="5"/>
    <x v="27"/>
    <x v="3"/>
  </r>
  <r>
    <m/>
    <x v="57"/>
    <x v="0"/>
    <m/>
    <m/>
    <x v="48"/>
    <n v="0"/>
    <n v="0"/>
    <n v="0"/>
    <n v="-2500000"/>
    <x v="5"/>
    <x v="28"/>
    <x v="1"/>
  </r>
  <r>
    <m/>
    <x v="147"/>
    <x v="0"/>
    <m/>
    <m/>
    <x v="18"/>
    <n v="0"/>
    <n v="0"/>
    <n v="0"/>
    <n v="-1000000"/>
    <x v="5"/>
    <x v="28"/>
    <x v="1"/>
  </r>
  <r>
    <m/>
    <x v="61"/>
    <x v="0"/>
    <m/>
    <m/>
    <x v="52"/>
    <n v="0"/>
    <n v="0"/>
    <n v="0"/>
    <n v="0"/>
    <x v="6"/>
    <x v="29"/>
    <x v="7"/>
  </r>
  <r>
    <m/>
    <x v="172"/>
    <x v="2"/>
    <m/>
    <m/>
    <x v="152"/>
    <n v="0"/>
    <n v="-12022343"/>
    <n v="-36085756.349024199"/>
    <n v="-4021000"/>
    <x v="0"/>
    <x v="0"/>
    <x v="8"/>
  </r>
  <r>
    <m/>
    <x v="34"/>
    <x v="1"/>
    <m/>
    <m/>
    <x v="28"/>
    <n v="0"/>
    <n v="-19495094"/>
    <n v="-17329845"/>
    <n v="-14899000"/>
    <x v="4"/>
    <x v="30"/>
    <x v="5"/>
  </r>
  <r>
    <m/>
    <x v="99"/>
    <x v="1"/>
    <m/>
    <m/>
    <x v="87"/>
    <n v="0"/>
    <n v="0"/>
    <n v="-25000000"/>
    <n v="0"/>
    <x v="4"/>
    <x v="31"/>
    <x v="1"/>
  </r>
  <r>
    <m/>
    <x v="161"/>
    <x v="1"/>
    <m/>
    <m/>
    <x v="142"/>
    <n v="0"/>
    <n v="-7558590"/>
    <n v="-17764595.057615198"/>
    <n v="-2821000"/>
    <x v="5"/>
    <x v="32"/>
    <x v="3"/>
  </r>
  <r>
    <m/>
    <x v="177"/>
    <x v="1"/>
    <m/>
    <m/>
    <x v="58"/>
    <n v="0"/>
    <n v="0"/>
    <n v="100000"/>
    <n v="100000"/>
    <x v="5"/>
    <x v="33"/>
    <x v="3"/>
  </r>
  <r>
    <m/>
    <x v="73"/>
    <x v="0"/>
    <m/>
    <m/>
    <x v="58"/>
    <n v="0"/>
    <n v="0"/>
    <n v="100000"/>
    <n v="400000"/>
    <x v="4"/>
    <x v="23"/>
    <x v="3"/>
  </r>
  <r>
    <m/>
    <x v="66"/>
    <x v="0"/>
    <m/>
    <m/>
    <x v="56"/>
    <n v="0"/>
    <n v="0"/>
    <n v="100000"/>
    <n v="100000"/>
    <x v="5"/>
    <x v="33"/>
    <x v="3"/>
  </r>
  <r>
    <m/>
    <x v="195"/>
    <x v="0"/>
    <m/>
    <m/>
    <x v="18"/>
    <n v="0"/>
    <n v="0"/>
    <n v="100000"/>
    <n v="200000"/>
    <x v="5"/>
    <x v="33"/>
    <x v="3"/>
  </r>
  <r>
    <m/>
    <x v="21"/>
    <x v="1"/>
    <m/>
    <m/>
    <x v="17"/>
    <n v="0"/>
    <n v="-1139362"/>
    <n v="-3000000"/>
    <n v="-4500000"/>
    <x v="6"/>
    <x v="34"/>
    <x v="5"/>
  </r>
  <r>
    <m/>
    <x v="139"/>
    <x v="1"/>
    <m/>
    <m/>
    <x v="123"/>
    <n v="0"/>
    <n v="-126757"/>
    <n v="-1800000"/>
    <n v="-2700000"/>
    <x v="6"/>
    <x v="34"/>
    <x v="5"/>
  </r>
  <r>
    <m/>
    <x v="58"/>
    <x v="2"/>
    <m/>
    <m/>
    <x v="49"/>
    <n v="0"/>
    <n v="-8361372"/>
    <n v="-16267444.380552299"/>
    <n v="-6655000"/>
    <x v="0"/>
    <x v="0"/>
    <x v="8"/>
  </r>
  <r>
    <m/>
    <x v="154"/>
    <x v="2"/>
    <m/>
    <m/>
    <x v="135"/>
    <n v="0"/>
    <n v="-4876583"/>
    <n v="-16940561.380345199"/>
    <n v="16823061.380345199"/>
    <x v="0"/>
    <x v="0"/>
    <x v="8"/>
  </r>
  <r>
    <m/>
    <x v="200"/>
    <x v="3"/>
    <m/>
    <m/>
    <x v="176"/>
    <n v="0"/>
    <n v="0"/>
    <n v="0"/>
    <n v="0"/>
    <x v="0"/>
    <x v="0"/>
    <x v="8"/>
  </r>
  <r>
    <m/>
    <x v="109"/>
    <x v="0"/>
    <m/>
    <m/>
    <x v="96"/>
    <n v="0"/>
    <n v="0"/>
    <n v="100000"/>
    <n v="400000"/>
    <x v="6"/>
    <x v="35"/>
    <x v="3"/>
  </r>
  <r>
    <m/>
    <x v="166"/>
    <x v="0"/>
    <m/>
    <m/>
    <x v="147"/>
    <n v="0"/>
    <n v="0"/>
    <n v="100000"/>
    <n v="100000"/>
    <x v="6"/>
    <x v="35"/>
    <x v="3"/>
  </r>
  <r>
    <m/>
    <x v="158"/>
    <x v="0"/>
    <m/>
    <m/>
    <x v="139"/>
    <n v="0"/>
    <n v="0"/>
    <n v="100000"/>
    <n v="10000"/>
    <x v="6"/>
    <x v="35"/>
    <x v="3"/>
  </r>
  <r>
    <m/>
    <x v="127"/>
    <x v="0"/>
    <m/>
    <m/>
    <x v="113"/>
    <n v="0"/>
    <n v="0"/>
    <n v="150000"/>
    <n v="25000"/>
    <x v="6"/>
    <x v="35"/>
    <x v="3"/>
  </r>
  <r>
    <m/>
    <x v="135"/>
    <x v="0"/>
    <m/>
    <m/>
    <x v="119"/>
    <n v="0"/>
    <n v="0"/>
    <n v="100000"/>
    <n v="15000"/>
    <x v="6"/>
    <x v="35"/>
    <x v="3"/>
  </r>
  <r>
    <m/>
    <x v="82"/>
    <x v="0"/>
    <m/>
    <m/>
    <x v="71"/>
    <n v="0"/>
    <n v="0"/>
    <n v="100000"/>
    <n v="100000"/>
    <x v="6"/>
    <x v="35"/>
    <x v="3"/>
  </r>
  <r>
    <m/>
    <x v="48"/>
    <x v="0"/>
    <m/>
    <m/>
    <x v="41"/>
    <n v="0"/>
    <n v="0"/>
    <n v="100000"/>
    <n v="75000"/>
    <x v="6"/>
    <x v="35"/>
    <x v="3"/>
  </r>
  <r>
    <m/>
    <x v="61"/>
    <x v="0"/>
    <m/>
    <m/>
    <x v="52"/>
    <n v="0"/>
    <n v="0"/>
    <n v="100000"/>
    <n v="200000"/>
    <x v="6"/>
    <x v="35"/>
    <x v="3"/>
  </r>
  <r>
    <m/>
    <x v="86"/>
    <x v="0"/>
    <m/>
    <m/>
    <x v="75"/>
    <n v="0"/>
    <n v="0"/>
    <n v="100000"/>
    <n v="250000"/>
    <x v="6"/>
    <x v="35"/>
    <x v="3"/>
  </r>
  <r>
    <m/>
    <x v="186"/>
    <x v="0"/>
    <m/>
    <m/>
    <x v="165"/>
    <n v="0"/>
    <n v="0"/>
    <n v="100000"/>
    <n v="10000"/>
    <x v="6"/>
    <x v="35"/>
    <x v="3"/>
  </r>
  <r>
    <m/>
    <x v="159"/>
    <x v="0"/>
    <m/>
    <m/>
    <x v="140"/>
    <n v="0"/>
    <n v="0"/>
    <n v="100000"/>
    <n v="50000"/>
    <x v="6"/>
    <x v="35"/>
    <x v="3"/>
  </r>
  <r>
    <m/>
    <x v="148"/>
    <x v="0"/>
    <m/>
    <m/>
    <x v="130"/>
    <n v="0"/>
    <n v="0"/>
    <n v="100000"/>
    <n v="50000"/>
    <x v="6"/>
    <x v="35"/>
    <x v="3"/>
  </r>
  <r>
    <m/>
    <x v="33"/>
    <x v="0"/>
    <m/>
    <m/>
    <x v="27"/>
    <n v="0"/>
    <n v="0"/>
    <n v="100000"/>
    <n v="1775000"/>
    <x v="6"/>
    <x v="35"/>
    <x v="3"/>
  </r>
  <r>
    <m/>
    <x v="164"/>
    <x v="0"/>
    <m/>
    <m/>
    <x v="145"/>
    <n v="0"/>
    <n v="0"/>
    <n v="100000"/>
    <n v="150000"/>
    <x v="6"/>
    <x v="35"/>
    <x v="3"/>
  </r>
  <r>
    <m/>
    <x v="101"/>
    <x v="0"/>
    <m/>
    <m/>
    <x v="89"/>
    <n v="0"/>
    <n v="0"/>
    <n v="100000"/>
    <n v="100000"/>
    <x v="6"/>
    <x v="35"/>
    <x v="3"/>
  </r>
  <r>
    <m/>
    <x v="187"/>
    <x v="0"/>
    <m/>
    <m/>
    <x v="166"/>
    <n v="0"/>
    <n v="0"/>
    <n v="100000"/>
    <n v="250000"/>
    <x v="6"/>
    <x v="35"/>
    <x v="3"/>
  </r>
  <r>
    <m/>
    <x v="92"/>
    <x v="0"/>
    <m/>
    <m/>
    <x v="81"/>
    <n v="0"/>
    <n v="0"/>
    <n v="150000"/>
    <n v="10000"/>
    <x v="6"/>
    <x v="35"/>
    <x v="3"/>
  </r>
  <r>
    <m/>
    <x v="110"/>
    <x v="0"/>
    <m/>
    <m/>
    <x v="97"/>
    <n v="0"/>
    <n v="0"/>
    <n v="100000"/>
    <n v="100000"/>
    <x v="6"/>
    <x v="35"/>
    <x v="3"/>
  </r>
  <r>
    <m/>
    <x v="16"/>
    <x v="0"/>
    <m/>
    <m/>
    <x v="12"/>
    <n v="0"/>
    <n v="0"/>
    <n v="150000"/>
    <n v="50000"/>
    <x v="6"/>
    <x v="35"/>
    <x v="3"/>
  </r>
  <r>
    <m/>
    <x v="193"/>
    <x v="0"/>
    <m/>
    <m/>
    <x v="172"/>
    <n v="0"/>
    <n v="0"/>
    <n v="100000"/>
    <n v="10000"/>
    <x v="6"/>
    <x v="35"/>
    <x v="3"/>
  </r>
  <r>
    <m/>
    <x v="100"/>
    <x v="0"/>
    <m/>
    <m/>
    <x v="88"/>
    <n v="0"/>
    <n v="0"/>
    <n v="100000"/>
    <n v="50000"/>
    <x v="6"/>
    <x v="35"/>
    <x v="3"/>
  </r>
  <r>
    <m/>
    <x v="156"/>
    <x v="0"/>
    <m/>
    <m/>
    <x v="137"/>
    <n v="0"/>
    <n v="0"/>
    <n v="100000"/>
    <n v="12500"/>
    <x v="6"/>
    <x v="35"/>
    <x v="3"/>
  </r>
  <r>
    <m/>
    <x v="169"/>
    <x v="0"/>
    <m/>
    <m/>
    <x v="150"/>
    <n v="0"/>
    <n v="0"/>
    <n v="100000"/>
    <n v="110000"/>
    <x v="6"/>
    <x v="35"/>
    <x v="3"/>
  </r>
  <r>
    <m/>
    <x v="96"/>
    <x v="0"/>
    <m/>
    <m/>
    <x v="84"/>
    <n v="0"/>
    <n v="0"/>
    <n v="100000"/>
    <n v="10000"/>
    <x v="6"/>
    <x v="35"/>
    <x v="3"/>
  </r>
  <r>
    <m/>
    <x v="167"/>
    <x v="0"/>
    <m/>
    <m/>
    <x v="148"/>
    <n v="0"/>
    <n v="0"/>
    <n v="100000"/>
    <n v="10000"/>
    <x v="6"/>
    <x v="35"/>
    <x v="3"/>
  </r>
  <r>
    <m/>
    <x v="93"/>
    <x v="0"/>
    <m/>
    <m/>
    <x v="82"/>
    <n v="0"/>
    <n v="0"/>
    <n v="150000"/>
    <n v="200000"/>
    <x v="6"/>
    <x v="35"/>
    <x v="3"/>
  </r>
  <r>
    <m/>
    <x v="113"/>
    <x v="0"/>
    <m/>
    <m/>
    <x v="99"/>
    <n v="0"/>
    <n v="0"/>
    <n v="150000"/>
    <n v="1000000"/>
    <x v="6"/>
    <x v="35"/>
    <x v="3"/>
  </r>
  <r>
    <m/>
    <x v="150"/>
    <x v="0"/>
    <m/>
    <m/>
    <x v="132"/>
    <n v="0"/>
    <n v="0"/>
    <n v="100000"/>
    <n v="500000"/>
    <x v="6"/>
    <x v="35"/>
    <x v="3"/>
  </r>
  <r>
    <m/>
    <x v="62"/>
    <x v="0"/>
    <m/>
    <m/>
    <x v="53"/>
    <n v="0"/>
    <n v="0"/>
    <n v="150000"/>
    <n v="200000"/>
    <x v="6"/>
    <x v="35"/>
    <x v="3"/>
  </r>
  <r>
    <m/>
    <x v="71"/>
    <x v="0"/>
    <m/>
    <m/>
    <x v="61"/>
    <n v="0"/>
    <n v="0"/>
    <n v="100000"/>
    <n v="150000"/>
    <x v="6"/>
    <x v="35"/>
    <x v="3"/>
  </r>
  <r>
    <m/>
    <x v="140"/>
    <x v="0"/>
    <m/>
    <m/>
    <x v="124"/>
    <n v="0"/>
    <n v="0"/>
    <n v="100000"/>
    <n v="500000"/>
    <x v="6"/>
    <x v="35"/>
    <x v="3"/>
  </r>
  <r>
    <m/>
    <x v="141"/>
    <x v="0"/>
    <m/>
    <m/>
    <x v="124"/>
    <n v="0"/>
    <n v="0"/>
    <n v="100000"/>
    <n v="300000"/>
    <x v="6"/>
    <x v="35"/>
    <x v="3"/>
  </r>
  <r>
    <m/>
    <x v="43"/>
    <x v="0"/>
    <m/>
    <m/>
    <x v="36"/>
    <n v="0"/>
    <n v="0"/>
    <n v="100000"/>
    <n v="600000"/>
    <x v="6"/>
    <x v="35"/>
    <x v="3"/>
  </r>
  <r>
    <m/>
    <x v="194"/>
    <x v="0"/>
    <m/>
    <m/>
    <x v="173"/>
    <n v="0"/>
    <n v="0"/>
    <n v="100000"/>
    <n v="75000"/>
    <x v="6"/>
    <x v="35"/>
    <x v="3"/>
  </r>
  <r>
    <m/>
    <x v="97"/>
    <x v="0"/>
    <m/>
    <m/>
    <x v="85"/>
    <n v="0"/>
    <n v="0"/>
    <n v="100000"/>
    <n v="50000"/>
    <x v="6"/>
    <x v="35"/>
    <x v="3"/>
  </r>
  <r>
    <m/>
    <x v="174"/>
    <x v="0"/>
    <m/>
    <m/>
    <x v="154"/>
    <n v="0"/>
    <n v="0"/>
    <n v="100000"/>
    <n v="175000"/>
    <x v="6"/>
    <x v="35"/>
    <x v="3"/>
  </r>
  <r>
    <m/>
    <x v="30"/>
    <x v="0"/>
    <m/>
    <m/>
    <x v="25"/>
    <n v="0"/>
    <n v="0"/>
    <n v="100000"/>
    <n v="50000"/>
    <x v="6"/>
    <x v="35"/>
    <x v="3"/>
  </r>
  <r>
    <m/>
    <x v="74"/>
    <x v="0"/>
    <m/>
    <m/>
    <x v="63"/>
    <n v="0"/>
    <n v="0"/>
    <n v="100000"/>
    <n v="175000"/>
    <x v="6"/>
    <x v="35"/>
    <x v="3"/>
  </r>
  <r>
    <m/>
    <x v="130"/>
    <x v="0"/>
    <m/>
    <m/>
    <x v="116"/>
    <n v="0"/>
    <n v="0"/>
    <n v="100000"/>
    <n v="125000"/>
    <x v="6"/>
    <x v="35"/>
    <x v="3"/>
  </r>
  <r>
    <m/>
    <x v="104"/>
    <x v="0"/>
    <m/>
    <m/>
    <x v="92"/>
    <n v="0"/>
    <n v="0"/>
    <n v="100000"/>
    <n v="300000"/>
    <x v="6"/>
    <x v="35"/>
    <x v="3"/>
  </r>
  <r>
    <m/>
    <x v="175"/>
    <x v="0"/>
    <m/>
    <m/>
    <x v="155"/>
    <n v="0"/>
    <n v="0"/>
    <n v="100000"/>
    <n v="100000"/>
    <x v="6"/>
    <x v="35"/>
    <x v="3"/>
  </r>
  <r>
    <m/>
    <x v="128"/>
    <x v="0"/>
    <m/>
    <m/>
    <x v="114"/>
    <n v="0"/>
    <n v="0"/>
    <n v="100000"/>
    <n v="25000"/>
    <x v="6"/>
    <x v="35"/>
    <x v="3"/>
  </r>
  <r>
    <m/>
    <x v="76"/>
    <x v="0"/>
    <m/>
    <m/>
    <x v="65"/>
    <n v="0"/>
    <n v="0"/>
    <n v="100000"/>
    <n v="400000"/>
    <x v="6"/>
    <x v="35"/>
    <x v="3"/>
  </r>
  <r>
    <m/>
    <x v="59"/>
    <x v="0"/>
    <m/>
    <m/>
    <x v="50"/>
    <n v="0"/>
    <n v="0"/>
    <n v="200000"/>
    <n v="100000"/>
    <x v="6"/>
    <x v="35"/>
    <x v="3"/>
  </r>
  <r>
    <m/>
    <x v="45"/>
    <x v="0"/>
    <m/>
    <m/>
    <x v="38"/>
    <n v="0"/>
    <n v="0"/>
    <n v="100000"/>
    <n v="125000"/>
    <x v="6"/>
    <x v="35"/>
    <x v="3"/>
  </r>
  <r>
    <m/>
    <x v="64"/>
    <x v="0"/>
    <m/>
    <m/>
    <x v="54"/>
    <n v="0"/>
    <n v="0"/>
    <n v="100000"/>
    <n v="100000"/>
    <x v="6"/>
    <x v="35"/>
    <x v="3"/>
  </r>
  <r>
    <m/>
    <x v="118"/>
    <x v="0"/>
    <m/>
    <m/>
    <x v="104"/>
    <n v="0"/>
    <n v="0"/>
    <n v="150000"/>
    <n v="150000"/>
    <x v="6"/>
    <x v="35"/>
    <x v="3"/>
  </r>
  <r>
    <m/>
    <x v="129"/>
    <x v="0"/>
    <m/>
    <m/>
    <x v="115"/>
    <n v="0"/>
    <n v="0"/>
    <n v="100000"/>
    <n v="100000"/>
    <x v="6"/>
    <x v="35"/>
    <x v="3"/>
  </r>
  <r>
    <m/>
    <x v="160"/>
    <x v="0"/>
    <m/>
    <m/>
    <x v="141"/>
    <n v="0"/>
    <n v="0"/>
    <n v="100000"/>
    <n v="200000"/>
    <x v="6"/>
    <x v="35"/>
    <x v="3"/>
  </r>
  <r>
    <m/>
    <x v="85"/>
    <x v="0"/>
    <m/>
    <m/>
    <x v="74"/>
    <n v="0"/>
    <n v="0"/>
    <n v="100000"/>
    <n v="100000"/>
    <x v="6"/>
    <x v="35"/>
    <x v="3"/>
  </r>
  <r>
    <m/>
    <x v="136"/>
    <x v="0"/>
    <m/>
    <m/>
    <x v="120"/>
    <n v="0"/>
    <n v="0"/>
    <n v="100000"/>
    <n v="100000"/>
    <x v="6"/>
    <x v="35"/>
    <x v="3"/>
  </r>
  <r>
    <m/>
    <x v="182"/>
    <x v="0"/>
    <m/>
    <m/>
    <x v="161"/>
    <n v="0"/>
    <n v="0"/>
    <n v="100000"/>
    <n v="50000"/>
    <x v="6"/>
    <x v="35"/>
    <x v="3"/>
  </r>
  <r>
    <m/>
    <x v="173"/>
    <x v="0"/>
    <m/>
    <m/>
    <x v="153"/>
    <n v="0"/>
    <n v="0"/>
    <n v="100000"/>
    <n v="100000"/>
    <x v="6"/>
    <x v="35"/>
    <x v="3"/>
  </r>
  <r>
    <m/>
    <x v="88"/>
    <x v="0"/>
    <m/>
    <m/>
    <x v="77"/>
    <n v="0"/>
    <n v="0"/>
    <n v="100000"/>
    <n v="100000"/>
    <x v="6"/>
    <x v="35"/>
    <x v="3"/>
  </r>
  <r>
    <m/>
    <x v="143"/>
    <x v="0"/>
    <m/>
    <m/>
    <x v="126"/>
    <n v="0"/>
    <n v="0"/>
    <n v="100000"/>
    <n v="250000"/>
    <x v="6"/>
    <x v="35"/>
    <x v="3"/>
  </r>
  <r>
    <m/>
    <x v="106"/>
    <x v="0"/>
    <m/>
    <m/>
    <x v="94"/>
    <n v="0"/>
    <n v="0"/>
    <n v="100000"/>
    <n v="15000"/>
    <x v="6"/>
    <x v="35"/>
    <x v="3"/>
  </r>
  <r>
    <m/>
    <x v="146"/>
    <x v="0"/>
    <m/>
    <m/>
    <x v="129"/>
    <n v="0"/>
    <n v="0"/>
    <n v="100000"/>
    <n v="100000"/>
    <x v="6"/>
    <x v="35"/>
    <x v="3"/>
  </r>
  <r>
    <m/>
    <x v="35"/>
    <x v="0"/>
    <m/>
    <m/>
    <x v="29"/>
    <n v="0"/>
    <n v="0"/>
    <n v="100000"/>
    <n v="100000"/>
    <x v="6"/>
    <x v="35"/>
    <x v="3"/>
  </r>
  <r>
    <m/>
    <x v="80"/>
    <x v="0"/>
    <m/>
    <m/>
    <x v="69"/>
    <n v="0"/>
    <n v="0"/>
    <n v="100000"/>
    <n v="125000"/>
    <x v="6"/>
    <x v="35"/>
    <x v="3"/>
  </r>
  <r>
    <m/>
    <x v="10"/>
    <x v="0"/>
    <m/>
    <m/>
    <x v="8"/>
    <n v="0"/>
    <n v="0"/>
    <n v="150000"/>
    <n v="100000"/>
    <x v="6"/>
    <x v="35"/>
    <x v="3"/>
  </r>
  <r>
    <m/>
    <x v="78"/>
    <x v="0"/>
    <m/>
    <m/>
    <x v="67"/>
    <n v="0"/>
    <n v="0"/>
    <n v="150000"/>
    <n v="50000"/>
    <x v="6"/>
    <x v="35"/>
    <x v="3"/>
  </r>
  <r>
    <m/>
    <x v="55"/>
    <x v="0"/>
    <m/>
    <m/>
    <x v="46"/>
    <n v="0"/>
    <n v="0"/>
    <n v="100000"/>
    <n v="50000"/>
    <x v="6"/>
    <x v="35"/>
    <x v="3"/>
  </r>
  <r>
    <m/>
    <x v="52"/>
    <x v="0"/>
    <m/>
    <m/>
    <x v="43"/>
    <n v="0"/>
    <n v="0"/>
    <n v="100000"/>
    <n v="125000"/>
    <x v="6"/>
    <x v="35"/>
    <x v="3"/>
  </r>
  <r>
    <m/>
    <x v="77"/>
    <x v="0"/>
    <m/>
    <m/>
    <x v="66"/>
    <n v="0"/>
    <n v="0"/>
    <n v="100000"/>
    <n v="150000"/>
    <x v="6"/>
    <x v="35"/>
    <x v="3"/>
  </r>
  <r>
    <m/>
    <x v="126"/>
    <x v="0"/>
    <m/>
    <m/>
    <x v="112"/>
    <n v="0"/>
    <n v="0"/>
    <n v="100000"/>
    <n v="100000"/>
    <x v="6"/>
    <x v="35"/>
    <x v="3"/>
  </r>
  <r>
    <m/>
    <x v="49"/>
    <x v="0"/>
    <m/>
    <m/>
    <x v="42"/>
    <n v="0"/>
    <n v="0"/>
    <n v="100000"/>
    <n v="100000"/>
    <x v="6"/>
    <x v="35"/>
    <x v="3"/>
  </r>
  <r>
    <m/>
    <x v="142"/>
    <x v="0"/>
    <m/>
    <m/>
    <x v="125"/>
    <n v="0"/>
    <n v="0"/>
    <n v="100000"/>
    <n v="50000"/>
    <x v="6"/>
    <x v="35"/>
    <x v="3"/>
  </r>
  <r>
    <m/>
    <x v="153"/>
    <x v="0"/>
    <m/>
    <m/>
    <x v="134"/>
    <n v="0"/>
    <n v="0"/>
    <n v="150000"/>
    <n v="50000"/>
    <x v="6"/>
    <x v="35"/>
    <x v="3"/>
  </r>
  <r>
    <m/>
    <x v="29"/>
    <x v="0"/>
    <m/>
    <m/>
    <x v="24"/>
    <n v="0"/>
    <n v="0"/>
    <n v="100000"/>
    <n v="50000"/>
    <x v="6"/>
    <x v="35"/>
    <x v="3"/>
  </r>
  <r>
    <m/>
    <x v="83"/>
    <x v="0"/>
    <m/>
    <m/>
    <x v="72"/>
    <n v="0"/>
    <n v="0"/>
    <n v="100000"/>
    <n v="100000"/>
    <x v="6"/>
    <x v="35"/>
    <x v="3"/>
  </r>
  <r>
    <m/>
    <x v="189"/>
    <x v="0"/>
    <m/>
    <m/>
    <x v="168"/>
    <n v="0"/>
    <n v="0"/>
    <n v="100000"/>
    <n v="75000"/>
    <x v="6"/>
    <x v="35"/>
    <x v="3"/>
  </r>
  <r>
    <m/>
    <x v="13"/>
    <x v="0"/>
    <m/>
    <m/>
    <x v="10"/>
    <n v="0"/>
    <n v="0"/>
    <n v="100000"/>
    <n v="100000"/>
    <x v="6"/>
    <x v="35"/>
    <x v="3"/>
  </r>
  <r>
    <m/>
    <x v="115"/>
    <x v="0"/>
    <m/>
    <m/>
    <x v="101"/>
    <n v="0"/>
    <n v="0"/>
    <n v="150000"/>
    <n v="50000"/>
    <x v="6"/>
    <x v="35"/>
    <x v="3"/>
  </r>
  <r>
    <m/>
    <x v="20"/>
    <x v="0"/>
    <m/>
    <m/>
    <x v="16"/>
    <n v="0"/>
    <n v="0"/>
    <n v="100000"/>
    <n v="200000"/>
    <x v="6"/>
    <x v="35"/>
    <x v="3"/>
  </r>
  <r>
    <m/>
    <x v="2"/>
    <x v="0"/>
    <m/>
    <m/>
    <x v="2"/>
    <n v="0"/>
    <n v="0"/>
    <n v="100000"/>
    <n v="150000"/>
    <x v="6"/>
    <x v="35"/>
    <x v="3"/>
  </r>
  <r>
    <m/>
    <x v="91"/>
    <x v="0"/>
    <m/>
    <m/>
    <x v="80"/>
    <n v="0"/>
    <n v="0"/>
    <n v="100000"/>
    <n v="100000"/>
    <x v="6"/>
    <x v="35"/>
    <x v="3"/>
  </r>
  <r>
    <m/>
    <x v="67"/>
    <x v="0"/>
    <m/>
    <m/>
    <x v="57"/>
    <n v="0"/>
    <n v="0"/>
    <n v="100000"/>
    <n v="100000"/>
    <x v="6"/>
    <x v="35"/>
    <x v="3"/>
  </r>
  <r>
    <m/>
    <x v="119"/>
    <x v="0"/>
    <m/>
    <m/>
    <x v="105"/>
    <n v="0"/>
    <n v="0"/>
    <n v="200000"/>
    <n v="200000"/>
    <x v="6"/>
    <x v="35"/>
    <x v="3"/>
  </r>
  <r>
    <m/>
    <x v="179"/>
    <x v="0"/>
    <m/>
    <m/>
    <x v="158"/>
    <n v="0"/>
    <n v="0"/>
    <n v="200000"/>
    <n v="300000"/>
    <x v="6"/>
    <x v="35"/>
    <x v="3"/>
  </r>
  <r>
    <m/>
    <x v="184"/>
    <x v="0"/>
    <m/>
    <m/>
    <x v="163"/>
    <n v="0"/>
    <n v="0"/>
    <n v="100000"/>
    <n v="100000"/>
    <x v="6"/>
    <x v="35"/>
    <x v="3"/>
  </r>
  <r>
    <m/>
    <x v="72"/>
    <x v="0"/>
    <m/>
    <m/>
    <x v="62"/>
    <n v="0"/>
    <n v="0"/>
    <n v="100000"/>
    <n v="150000"/>
    <x v="6"/>
    <x v="35"/>
    <x v="3"/>
  </r>
  <r>
    <m/>
    <x v="180"/>
    <x v="0"/>
    <m/>
    <m/>
    <x v="159"/>
    <n v="0"/>
    <n v="0"/>
    <n v="100000"/>
    <n v="100000"/>
    <x v="6"/>
    <x v="35"/>
    <x v="3"/>
  </r>
  <r>
    <m/>
    <x v="70"/>
    <x v="0"/>
    <m/>
    <m/>
    <x v="60"/>
    <n v="0"/>
    <n v="0"/>
    <n v="100000"/>
    <n v="400000"/>
    <x v="6"/>
    <x v="35"/>
    <x v="3"/>
  </r>
  <r>
    <m/>
    <x v="39"/>
    <x v="0"/>
    <m/>
    <m/>
    <x v="33"/>
    <n v="0"/>
    <n v="0"/>
    <n v="100000"/>
    <n v="150000"/>
    <x v="6"/>
    <x v="35"/>
    <x v="3"/>
  </r>
  <r>
    <m/>
    <x v="17"/>
    <x v="0"/>
    <m/>
    <m/>
    <x v="13"/>
    <n v="0"/>
    <n v="0"/>
    <n v="200000"/>
    <n v="300000"/>
    <x v="6"/>
    <x v="35"/>
    <x v="3"/>
  </r>
  <r>
    <m/>
    <x v="112"/>
    <x v="0"/>
    <m/>
    <m/>
    <x v="98"/>
    <n v="0"/>
    <n v="0"/>
    <n v="100000"/>
    <n v="100000"/>
    <x v="6"/>
    <x v="35"/>
    <x v="3"/>
  </r>
  <r>
    <m/>
    <x v="151"/>
    <x v="0"/>
    <m/>
    <m/>
    <x v="133"/>
    <n v="0"/>
    <n v="0"/>
    <n v="100000"/>
    <n v="150000"/>
    <x v="6"/>
    <x v="35"/>
    <x v="3"/>
  </r>
  <r>
    <m/>
    <x v="103"/>
    <x v="0"/>
    <m/>
    <m/>
    <x v="91"/>
    <n v="0"/>
    <n v="0"/>
    <n v="100000"/>
    <n v="500000"/>
    <x v="6"/>
    <x v="35"/>
    <x v="3"/>
  </r>
  <r>
    <m/>
    <x v="56"/>
    <x v="0"/>
    <m/>
    <m/>
    <x v="47"/>
    <n v="0"/>
    <n v="0"/>
    <n v="100000"/>
    <n v="75000"/>
    <x v="6"/>
    <x v="35"/>
    <x v="3"/>
  </r>
  <r>
    <m/>
    <x v="27"/>
    <x v="0"/>
    <m/>
    <m/>
    <x v="23"/>
    <n v="0"/>
    <n v="0"/>
    <n v="100000"/>
    <n v="100000"/>
    <x v="6"/>
    <x v="35"/>
    <x v="3"/>
  </r>
  <r>
    <m/>
    <x v="28"/>
    <x v="0"/>
    <m/>
    <m/>
    <x v="23"/>
    <n v="0"/>
    <n v="0"/>
    <n v="100000"/>
    <n v="50000"/>
    <x v="6"/>
    <x v="35"/>
    <x v="3"/>
  </r>
  <r>
    <m/>
    <x v="37"/>
    <x v="0"/>
    <m/>
    <m/>
    <x v="31"/>
    <n v="0"/>
    <n v="0"/>
    <n v="100000"/>
    <n v="150000"/>
    <x v="6"/>
    <x v="35"/>
    <x v="3"/>
  </r>
  <r>
    <m/>
    <x v="79"/>
    <x v="0"/>
    <m/>
    <m/>
    <x v="68"/>
    <n v="0"/>
    <n v="0"/>
    <n v="100000"/>
    <n v="100000"/>
    <x v="6"/>
    <x v="35"/>
    <x v="3"/>
  </r>
  <r>
    <m/>
    <x v="36"/>
    <x v="0"/>
    <m/>
    <m/>
    <x v="30"/>
    <n v="0"/>
    <n v="0"/>
    <n v="100000"/>
    <n v="200000"/>
    <x v="6"/>
    <x v="35"/>
    <x v="3"/>
  </r>
  <r>
    <m/>
    <x v="120"/>
    <x v="0"/>
    <m/>
    <m/>
    <x v="106"/>
    <n v="0"/>
    <n v="0"/>
    <n v="100000"/>
    <n v="50000"/>
    <x v="6"/>
    <x v="35"/>
    <x v="3"/>
  </r>
  <r>
    <m/>
    <x v="107"/>
    <x v="1"/>
    <m/>
    <m/>
    <x v="95"/>
    <n v="0"/>
    <n v="0"/>
    <n v="100000"/>
    <n v="400000"/>
    <x v="6"/>
    <x v="35"/>
    <x v="3"/>
  </r>
  <r>
    <m/>
    <x v="8"/>
    <x v="0"/>
    <m/>
    <m/>
    <x v="7"/>
    <n v="0"/>
    <n v="0"/>
    <n v="200000"/>
    <n v="300000"/>
    <x v="6"/>
    <x v="35"/>
    <x v="3"/>
  </r>
  <r>
    <m/>
    <x v="157"/>
    <x v="0"/>
    <m/>
    <m/>
    <x v="138"/>
    <n v="0"/>
    <n v="0"/>
    <n v="100000"/>
    <n v="100000"/>
    <x v="6"/>
    <x v="35"/>
    <x v="3"/>
  </r>
  <r>
    <m/>
    <x v="191"/>
    <x v="0"/>
    <m/>
    <m/>
    <x v="170"/>
    <n v="0"/>
    <n v="0"/>
    <n v="100000"/>
    <n v="100000"/>
    <x v="6"/>
    <x v="35"/>
    <x v="3"/>
  </r>
  <r>
    <m/>
    <x v="75"/>
    <x v="0"/>
    <m/>
    <m/>
    <x v="64"/>
    <n v="0"/>
    <n v="0"/>
    <n v="100000"/>
    <n v="125000"/>
    <x v="6"/>
    <x v="35"/>
    <x v="3"/>
  </r>
  <r>
    <m/>
    <x v="19"/>
    <x v="0"/>
    <m/>
    <m/>
    <x v="15"/>
    <n v="0"/>
    <n v="0"/>
    <n v="100000"/>
    <n v="400000"/>
    <x v="6"/>
    <x v="35"/>
    <x v="3"/>
  </r>
  <r>
    <m/>
    <x v="38"/>
    <x v="0"/>
    <m/>
    <m/>
    <x v="32"/>
    <n v="0"/>
    <n v="0"/>
    <n v="100000"/>
    <n v="250000"/>
    <x v="6"/>
    <x v="35"/>
    <x v="3"/>
  </r>
  <r>
    <m/>
    <x v="105"/>
    <x v="0"/>
    <m/>
    <m/>
    <x v="93"/>
    <n v="0"/>
    <n v="0"/>
    <n v="100000"/>
    <n v="100000"/>
    <x v="6"/>
    <x v="35"/>
    <x v="3"/>
  </r>
  <r>
    <m/>
    <x v="57"/>
    <x v="0"/>
    <m/>
    <m/>
    <x v="48"/>
    <n v="0"/>
    <n v="0"/>
    <n v="150000"/>
    <n v="50000"/>
    <x v="6"/>
    <x v="35"/>
    <x v="3"/>
  </r>
  <r>
    <m/>
    <x v="181"/>
    <x v="0"/>
    <m/>
    <m/>
    <x v="160"/>
    <n v="0"/>
    <n v="0"/>
    <n v="100000"/>
    <n v="250000"/>
    <x v="6"/>
    <x v="35"/>
    <x v="3"/>
  </r>
  <r>
    <m/>
    <x v="122"/>
    <x v="0"/>
    <m/>
    <m/>
    <x v="108"/>
    <n v="0"/>
    <n v="0"/>
    <n v="100000"/>
    <n v="500000"/>
    <x v="6"/>
    <x v="35"/>
    <x v="3"/>
  </r>
  <r>
    <m/>
    <x v="163"/>
    <x v="0"/>
    <m/>
    <m/>
    <x v="144"/>
    <n v="0"/>
    <n v="0"/>
    <n v="100000"/>
    <n v="50000"/>
    <x v="6"/>
    <x v="35"/>
    <x v="3"/>
  </r>
  <r>
    <m/>
    <x v="190"/>
    <x v="0"/>
    <m/>
    <m/>
    <x v="169"/>
    <n v="0"/>
    <n v="0"/>
    <n v="100000"/>
    <n v="100000"/>
    <x v="6"/>
    <x v="35"/>
    <x v="3"/>
  </r>
  <r>
    <m/>
    <x v="47"/>
    <x v="0"/>
    <m/>
    <m/>
    <x v="40"/>
    <n v="0"/>
    <n v="0"/>
    <n v="100000"/>
    <n v="500000"/>
    <x v="6"/>
    <x v="35"/>
    <x v="3"/>
  </r>
  <r>
    <m/>
    <x v="137"/>
    <x v="0"/>
    <m/>
    <m/>
    <x v="121"/>
    <n v="0"/>
    <n v="0"/>
    <n v="100000"/>
    <n v="100000"/>
    <x v="6"/>
    <x v="35"/>
    <x v="3"/>
  </r>
  <r>
    <m/>
    <x v="176"/>
    <x v="0"/>
    <m/>
    <m/>
    <x v="156"/>
    <n v="0"/>
    <n v="0"/>
    <n v="100000"/>
    <n v="150000"/>
    <x v="6"/>
    <x v="35"/>
    <x v="3"/>
  </r>
  <r>
    <m/>
    <x v="32"/>
    <x v="0"/>
    <m/>
    <m/>
    <x v="26"/>
    <n v="0"/>
    <n v="0"/>
    <n v="100000"/>
    <n v="100000"/>
    <x v="6"/>
    <x v="35"/>
    <x v="3"/>
  </r>
  <r>
    <m/>
    <x v="6"/>
    <x v="0"/>
    <m/>
    <m/>
    <x v="6"/>
    <n v="0"/>
    <n v="0"/>
    <n v="100000"/>
    <n v="250000"/>
    <x v="6"/>
    <x v="35"/>
    <x v="3"/>
  </r>
  <r>
    <m/>
    <x v="121"/>
    <x v="0"/>
    <m/>
    <m/>
    <x v="107"/>
    <n v="0"/>
    <n v="0"/>
    <n v="100000"/>
    <n v="100000"/>
    <x v="6"/>
    <x v="35"/>
    <x v="3"/>
  </r>
  <r>
    <m/>
    <x v="44"/>
    <x v="0"/>
    <m/>
    <m/>
    <x v="37"/>
    <n v="0"/>
    <n v="0"/>
    <n v="100000"/>
    <n v="50000"/>
    <x v="6"/>
    <x v="35"/>
    <x v="3"/>
  </r>
  <r>
    <m/>
    <x v="185"/>
    <x v="0"/>
    <m/>
    <m/>
    <x v="164"/>
    <n v="0"/>
    <n v="0"/>
    <n v="100000"/>
    <n v="200000"/>
    <x v="6"/>
    <x v="35"/>
    <x v="3"/>
  </r>
  <r>
    <m/>
    <x v="42"/>
    <x v="0"/>
    <m/>
    <m/>
    <x v="35"/>
    <n v="0"/>
    <n v="0"/>
    <n v="100000"/>
    <n v="150000"/>
    <x v="6"/>
    <x v="35"/>
    <x v="3"/>
  </r>
  <r>
    <m/>
    <x v="123"/>
    <x v="0"/>
    <m/>
    <m/>
    <x v="109"/>
    <n v="0"/>
    <n v="0"/>
    <n v="100000"/>
    <n v="50000"/>
    <x v="6"/>
    <x v="35"/>
    <x v="3"/>
  </r>
  <r>
    <m/>
    <x v="162"/>
    <x v="0"/>
    <m/>
    <m/>
    <x v="143"/>
    <n v="0"/>
    <n v="0"/>
    <n v="100000"/>
    <n v="12500"/>
    <x v="6"/>
    <x v="35"/>
    <x v="3"/>
  </r>
  <r>
    <m/>
    <x v="138"/>
    <x v="0"/>
    <m/>
    <m/>
    <x v="122"/>
    <n v="0"/>
    <n v="0"/>
    <n v="100000"/>
    <n v="100000"/>
    <x v="6"/>
    <x v="35"/>
    <x v="3"/>
  </r>
  <r>
    <m/>
    <x v="183"/>
    <x v="0"/>
    <m/>
    <m/>
    <x v="162"/>
    <n v="0"/>
    <n v="0"/>
    <n v="100000"/>
    <n v="100000"/>
    <x v="6"/>
    <x v="35"/>
    <x v="3"/>
  </r>
  <r>
    <m/>
    <x v="53"/>
    <x v="0"/>
    <m/>
    <m/>
    <x v="44"/>
    <n v="0"/>
    <n v="0"/>
    <n v="100000"/>
    <n v="75000"/>
    <x v="6"/>
    <x v="35"/>
    <x v="3"/>
  </r>
  <r>
    <m/>
    <x v="203"/>
    <x v="0"/>
    <m/>
    <m/>
    <x v="178"/>
    <n v="0"/>
    <n v="0"/>
    <n v="100000"/>
    <n v="100000"/>
    <x v="6"/>
    <x v="35"/>
    <x v="3"/>
  </r>
  <r>
    <m/>
    <x v="23"/>
    <x v="0"/>
    <m/>
    <m/>
    <x v="19"/>
    <n v="0"/>
    <n v="0"/>
    <n v="100000"/>
    <n v="175000"/>
    <x v="6"/>
    <x v="35"/>
    <x v="3"/>
  </r>
  <r>
    <m/>
    <x v="102"/>
    <x v="0"/>
    <m/>
    <m/>
    <x v="90"/>
    <n v="0"/>
    <n v="0"/>
    <n v="100000"/>
    <n v="75000"/>
    <x v="6"/>
    <x v="35"/>
    <x v="3"/>
  </r>
  <r>
    <m/>
    <x v="196"/>
    <x v="0"/>
    <m/>
    <m/>
    <x v="174"/>
    <n v="0"/>
    <n v="0"/>
    <n v="100000"/>
    <n v="100000"/>
    <x v="6"/>
    <x v="35"/>
    <x v="3"/>
  </r>
  <r>
    <m/>
    <x v="155"/>
    <x v="0"/>
    <m/>
    <m/>
    <x v="136"/>
    <n v="0"/>
    <n v="0"/>
    <n v="100000"/>
    <n v="50000"/>
    <x v="6"/>
    <x v="35"/>
    <x v="3"/>
  </r>
  <r>
    <m/>
    <x v="170"/>
    <x v="0"/>
    <m/>
    <m/>
    <x v="151"/>
    <n v="0"/>
    <n v="0"/>
    <n v="100000"/>
    <n v="50000"/>
    <x v="6"/>
    <x v="35"/>
    <x v="3"/>
  </r>
  <r>
    <m/>
    <x v="204"/>
    <x v="0"/>
    <m/>
    <m/>
    <x v="179"/>
    <n v="0"/>
    <n v="0"/>
    <n v="100000"/>
    <n v="150000"/>
    <x v="6"/>
    <x v="35"/>
    <x v="3"/>
  </r>
  <r>
    <m/>
    <x v="98"/>
    <x v="0"/>
    <m/>
    <m/>
    <x v="86"/>
    <n v="0"/>
    <n v="0"/>
    <n v="100000"/>
    <n v="150000"/>
    <x v="6"/>
    <x v="35"/>
    <x v="3"/>
  </r>
  <r>
    <m/>
    <x v="168"/>
    <x v="0"/>
    <m/>
    <m/>
    <x v="149"/>
    <n v="0"/>
    <n v="0"/>
    <n v="100000"/>
    <n v="150000"/>
    <x v="6"/>
    <x v="35"/>
    <x v="3"/>
  </r>
  <r>
    <m/>
    <x v="125"/>
    <x v="0"/>
    <m/>
    <m/>
    <x v="111"/>
    <n v="0"/>
    <n v="0"/>
    <n v="100000"/>
    <n v="150000"/>
    <x v="6"/>
    <x v="35"/>
    <x v="3"/>
  </r>
  <r>
    <m/>
    <x v="132"/>
    <x v="0"/>
    <m/>
    <m/>
    <x v="117"/>
    <n v="0"/>
    <n v="0"/>
    <n v="100000"/>
    <n v="250000"/>
    <x v="6"/>
    <x v="35"/>
    <x v="3"/>
  </r>
  <r>
    <m/>
    <x v="84"/>
    <x v="0"/>
    <m/>
    <m/>
    <x v="73"/>
    <n v="0"/>
    <n v="0"/>
    <n v="100000"/>
    <n v="100000"/>
    <x v="6"/>
    <x v="35"/>
    <x v="3"/>
  </r>
  <r>
    <m/>
    <x v="117"/>
    <x v="0"/>
    <m/>
    <m/>
    <x v="103"/>
    <n v="0"/>
    <n v="0"/>
    <n v="100000"/>
    <n v="400000"/>
    <x v="6"/>
    <x v="35"/>
    <x v="3"/>
  </r>
  <r>
    <m/>
    <x v="46"/>
    <x v="0"/>
    <m/>
    <m/>
    <x v="39"/>
    <n v="0"/>
    <n v="0"/>
    <n v="100000"/>
    <n v="50000"/>
    <x v="6"/>
    <x v="35"/>
    <x v="3"/>
  </r>
  <r>
    <m/>
    <x v="95"/>
    <x v="0"/>
    <m/>
    <m/>
    <x v="83"/>
    <n v="0"/>
    <n v="0"/>
    <n v="100000"/>
    <n v="150000"/>
    <x v="6"/>
    <x v="35"/>
    <x v="3"/>
  </r>
  <r>
    <m/>
    <x v="165"/>
    <x v="0"/>
    <m/>
    <m/>
    <x v="146"/>
    <n v="0"/>
    <n v="0"/>
    <n v="100000"/>
    <n v="100000"/>
    <x v="6"/>
    <x v="35"/>
    <x v="3"/>
  </r>
  <r>
    <m/>
    <x v="197"/>
    <x v="0"/>
    <m/>
    <m/>
    <x v="175"/>
    <n v="0"/>
    <n v="0"/>
    <n v="100000"/>
    <n v="200000"/>
    <x v="6"/>
    <x v="35"/>
    <x v="3"/>
  </r>
  <r>
    <m/>
    <x v="145"/>
    <x v="0"/>
    <m/>
    <m/>
    <x v="128"/>
    <n v="0"/>
    <n v="0"/>
    <n v="100000"/>
    <n v="100000"/>
    <x v="6"/>
    <x v="35"/>
    <x v="3"/>
  </r>
  <r>
    <m/>
    <x v="5"/>
    <x v="0"/>
    <m/>
    <m/>
    <x v="5"/>
    <n v="0"/>
    <n v="0"/>
    <n v="100000"/>
    <n v="100000"/>
    <x v="6"/>
    <x v="35"/>
    <x v="3"/>
  </r>
  <r>
    <m/>
    <x v="178"/>
    <x v="0"/>
    <m/>
    <m/>
    <x v="157"/>
    <n v="0"/>
    <n v="0"/>
    <n v="100000"/>
    <n v="100000"/>
    <x v="6"/>
    <x v="35"/>
    <x v="3"/>
  </r>
  <r>
    <m/>
    <x v="18"/>
    <x v="0"/>
    <m/>
    <m/>
    <x v="14"/>
    <n v="0"/>
    <n v="0"/>
    <n v="100000"/>
    <n v="50000"/>
    <x v="6"/>
    <x v="35"/>
    <x v="3"/>
  </r>
  <r>
    <m/>
    <x v="114"/>
    <x v="0"/>
    <m/>
    <m/>
    <x v="100"/>
    <n v="0"/>
    <n v="0"/>
    <n v="100000"/>
    <n v="100000"/>
    <x v="6"/>
    <x v="35"/>
    <x v="3"/>
  </r>
  <r>
    <m/>
    <x v="116"/>
    <x v="0"/>
    <m/>
    <m/>
    <x v="102"/>
    <n v="0"/>
    <n v="0"/>
    <n v="100000"/>
    <n v="100000"/>
    <x v="6"/>
    <x v="35"/>
    <x v="3"/>
  </r>
  <r>
    <m/>
    <x v="60"/>
    <x v="0"/>
    <m/>
    <m/>
    <x v="51"/>
    <n v="0"/>
    <n v="0"/>
    <n v="100000"/>
    <n v="100000"/>
    <x v="6"/>
    <x v="35"/>
    <x v="3"/>
  </r>
  <r>
    <m/>
    <x v="124"/>
    <x v="0"/>
    <m/>
    <m/>
    <x v="110"/>
    <n v="0"/>
    <n v="0"/>
    <n v="100000"/>
    <n v="150000"/>
    <x v="6"/>
    <x v="35"/>
    <x v="3"/>
  </r>
  <r>
    <m/>
    <x v="81"/>
    <x v="0"/>
    <m/>
    <m/>
    <x v="70"/>
    <n v="0"/>
    <n v="0"/>
    <n v="100000"/>
    <n v="200000"/>
    <x v="6"/>
    <x v="35"/>
    <x v="3"/>
  </r>
  <r>
    <m/>
    <x v="40"/>
    <x v="0"/>
    <m/>
    <m/>
    <x v="34"/>
    <n v="0"/>
    <n v="0"/>
    <n v="100000"/>
    <n v="100000"/>
    <x v="6"/>
    <x v="35"/>
    <x v="3"/>
  </r>
  <r>
    <m/>
    <x v="24"/>
    <x v="0"/>
    <m/>
    <m/>
    <x v="20"/>
    <n v="0"/>
    <n v="0"/>
    <n v="100000"/>
    <n v="200000"/>
    <x v="6"/>
    <x v="35"/>
    <x v="3"/>
  </r>
  <r>
    <m/>
    <x v="144"/>
    <x v="0"/>
    <m/>
    <m/>
    <x v="127"/>
    <n v="0"/>
    <n v="0"/>
    <n v="100000"/>
    <n v="100000"/>
    <x v="6"/>
    <x v="35"/>
    <x v="3"/>
  </r>
  <r>
    <m/>
    <x v="65"/>
    <x v="0"/>
    <m/>
    <m/>
    <x v="55"/>
    <n v="0"/>
    <n v="0"/>
    <n v="100000"/>
    <n v="300000"/>
    <x v="6"/>
    <x v="35"/>
    <x v="3"/>
  </r>
  <r>
    <m/>
    <x v="54"/>
    <x v="0"/>
    <m/>
    <m/>
    <x v="45"/>
    <n v="0"/>
    <n v="0"/>
    <n v="100000"/>
    <n v="100000"/>
    <x v="6"/>
    <x v="35"/>
    <x v="3"/>
  </r>
  <r>
    <m/>
    <x v="25"/>
    <x v="0"/>
    <m/>
    <m/>
    <x v="21"/>
    <n v="0"/>
    <n v="0"/>
    <n v="100000"/>
    <n v="150000"/>
    <x v="6"/>
    <x v="35"/>
    <x v="3"/>
  </r>
  <r>
    <m/>
    <x v="192"/>
    <x v="0"/>
    <m/>
    <m/>
    <x v="171"/>
    <n v="0"/>
    <n v="0"/>
    <n v="100000"/>
    <n v="150000"/>
    <x v="6"/>
    <x v="35"/>
    <x v="3"/>
  </r>
  <r>
    <m/>
    <x v="69"/>
    <x v="0"/>
    <m/>
    <m/>
    <x v="59"/>
    <n v="0"/>
    <n v="0"/>
    <n v="100000"/>
    <n v="50000"/>
    <x v="6"/>
    <x v="35"/>
    <x v="3"/>
  </r>
  <r>
    <m/>
    <x v="1"/>
    <x v="0"/>
    <m/>
    <m/>
    <x v="1"/>
    <n v="0"/>
    <n v="0"/>
    <n v="100000"/>
    <n v="150000"/>
    <x v="6"/>
    <x v="35"/>
    <x v="3"/>
  </r>
  <r>
    <m/>
    <x v="11"/>
    <x v="0"/>
    <m/>
    <m/>
    <x v="9"/>
    <n v="0"/>
    <n v="0"/>
    <n v="100000"/>
    <n v="50000"/>
    <x v="6"/>
    <x v="35"/>
    <x v="3"/>
  </r>
  <r>
    <m/>
    <x v="14"/>
    <x v="0"/>
    <m/>
    <m/>
    <x v="11"/>
    <n v="0"/>
    <n v="0"/>
    <n v="100000"/>
    <n v="100000"/>
    <x v="6"/>
    <x v="35"/>
    <x v="3"/>
  </r>
  <r>
    <m/>
    <x v="149"/>
    <x v="0"/>
    <m/>
    <m/>
    <x v="131"/>
    <n v="0"/>
    <n v="0"/>
    <n v="100000"/>
    <n v="100000"/>
    <x v="6"/>
    <x v="35"/>
    <x v="3"/>
  </r>
  <r>
    <m/>
    <x v="87"/>
    <x v="0"/>
    <m/>
    <m/>
    <x v="76"/>
    <n v="0"/>
    <n v="0"/>
    <n v="100000"/>
    <n v="200000"/>
    <x v="6"/>
    <x v="35"/>
    <x v="3"/>
  </r>
  <r>
    <m/>
    <x v="0"/>
    <x v="0"/>
    <m/>
    <m/>
    <x v="0"/>
    <n v="0"/>
    <n v="0"/>
    <n v="100000"/>
    <n v="200000"/>
    <x v="6"/>
    <x v="35"/>
    <x v="3"/>
  </r>
  <r>
    <m/>
    <x v="188"/>
    <x v="0"/>
    <m/>
    <m/>
    <x v="167"/>
    <n v="0"/>
    <n v="0"/>
    <n v="100000"/>
    <n v="100000"/>
    <x v="6"/>
    <x v="35"/>
    <x v="3"/>
  </r>
  <r>
    <m/>
    <x v="147"/>
    <x v="0"/>
    <m/>
    <m/>
    <x v="18"/>
    <n v="0"/>
    <n v="0"/>
    <n v="100000"/>
    <n v="200000"/>
    <x v="6"/>
    <x v="35"/>
    <x v="3"/>
  </r>
  <r>
    <m/>
    <x v="22"/>
    <x v="0"/>
    <m/>
    <m/>
    <x v="18"/>
    <n v="0"/>
    <n v="0"/>
    <n v="100000"/>
    <n v="200000"/>
    <x v="6"/>
    <x v="35"/>
    <x v="3"/>
  </r>
  <r>
    <m/>
    <x v="201"/>
    <x v="3"/>
    <m/>
    <m/>
    <x v="177"/>
    <n v="0"/>
    <n v="0"/>
    <n v="100000"/>
    <n v="100000"/>
    <x v="6"/>
    <x v="35"/>
    <x v="3"/>
  </r>
  <r>
    <m/>
    <x v="199"/>
    <x v="3"/>
    <m/>
    <m/>
    <x v="18"/>
    <n v="0"/>
    <n v="0"/>
    <n v="100000"/>
    <n v="100000"/>
    <x v="6"/>
    <x v="35"/>
    <x v="3"/>
  </r>
  <r>
    <m/>
    <x v="202"/>
    <x v="0"/>
    <m/>
    <m/>
    <x v="18"/>
    <n v="0"/>
    <n v="0"/>
    <n v="100000"/>
    <n v="10000"/>
    <x v="6"/>
    <x v="35"/>
    <x v="3"/>
  </r>
  <r>
    <m/>
    <x v="180"/>
    <x v="0"/>
    <m/>
    <m/>
    <x v="159"/>
    <n v="0"/>
    <n v="0"/>
    <n v="0"/>
    <n v="-1700000"/>
    <x v="7"/>
    <x v="36"/>
    <x v="1"/>
  </r>
  <r>
    <m/>
    <x v="66"/>
    <x v="0"/>
    <m/>
    <m/>
    <x v="56"/>
    <n v="0"/>
    <n v="0"/>
    <n v="100000"/>
    <n v="100000"/>
    <x v="6"/>
    <x v="37"/>
    <x v="3"/>
  </r>
  <r>
    <m/>
    <x v="195"/>
    <x v="0"/>
    <m/>
    <m/>
    <x v="18"/>
    <n v="0"/>
    <n v="0"/>
    <n v="100000"/>
    <n v="200000"/>
    <x v="6"/>
    <x v="37"/>
    <x v="3"/>
  </r>
  <r>
    <m/>
    <x v="177"/>
    <x v="1"/>
    <m/>
    <m/>
    <x v="58"/>
    <n v="0"/>
    <n v="0"/>
    <n v="100000"/>
    <n v="100000"/>
    <x v="6"/>
    <x v="37"/>
    <x v="3"/>
  </r>
  <r>
    <m/>
    <x v="26"/>
    <x v="0"/>
    <m/>
    <m/>
    <x v="22"/>
    <n v="0"/>
    <n v="0"/>
    <n v="100000"/>
    <n v="150000"/>
    <x v="5"/>
    <x v="38"/>
    <x v="3"/>
  </r>
  <r>
    <m/>
    <x v="31"/>
    <x v="0"/>
    <m/>
    <m/>
    <x v="22"/>
    <n v="0"/>
    <n v="0"/>
    <n v="100000"/>
    <n v="150000"/>
    <x v="5"/>
    <x v="38"/>
    <x v="3"/>
  </r>
  <r>
    <m/>
    <x v="51"/>
    <x v="0"/>
    <m/>
    <m/>
    <x v="22"/>
    <n v="0"/>
    <n v="0"/>
    <n v="100000"/>
    <n v="150000"/>
    <x v="5"/>
    <x v="38"/>
    <x v="3"/>
  </r>
  <r>
    <m/>
    <x v="3"/>
    <x v="0"/>
    <m/>
    <m/>
    <x v="3"/>
    <n v="0"/>
    <n v="0"/>
    <n v="100000"/>
    <n v="150000"/>
    <x v="5"/>
    <x v="38"/>
    <x v="3"/>
  </r>
  <r>
    <m/>
    <x v="41"/>
    <x v="0"/>
    <m/>
    <m/>
    <x v="3"/>
    <n v="0"/>
    <n v="0"/>
    <n v="100000"/>
    <n v="100000"/>
    <x v="5"/>
    <x v="38"/>
    <x v="3"/>
  </r>
  <r>
    <m/>
    <x v="131"/>
    <x v="0"/>
    <m/>
    <m/>
    <x v="3"/>
    <n v="0"/>
    <n v="0"/>
    <n v="100000"/>
    <n v="100000"/>
    <x v="5"/>
    <x v="38"/>
    <x v="3"/>
  </r>
  <r>
    <m/>
    <x v="171"/>
    <x v="0"/>
    <m/>
    <m/>
    <x v="3"/>
    <n v="0"/>
    <n v="0"/>
    <n v="100000"/>
    <n v="50000"/>
    <x v="5"/>
    <x v="38"/>
    <x v="3"/>
  </r>
  <r>
    <m/>
    <x v="134"/>
    <x v="0"/>
    <m/>
    <m/>
    <x v="3"/>
    <n v="0"/>
    <n v="0"/>
    <n v="100000"/>
    <n v="1000000"/>
    <x v="5"/>
    <x v="38"/>
    <x v="3"/>
  </r>
  <r>
    <m/>
    <x v="15"/>
    <x v="0"/>
    <m/>
    <m/>
    <x v="3"/>
    <n v="0"/>
    <n v="0"/>
    <n v="100000"/>
    <n v="100000"/>
    <x v="5"/>
    <x v="38"/>
    <x v="3"/>
  </r>
  <r>
    <m/>
    <x v="122"/>
    <x v="0"/>
    <m/>
    <m/>
    <x v="108"/>
    <n v="0"/>
    <n v="0"/>
    <n v="0"/>
    <n v="-4000000"/>
    <x v="7"/>
    <x v="39"/>
    <x v="1"/>
  </r>
  <r>
    <m/>
    <x v="181"/>
    <x v="0"/>
    <m/>
    <m/>
    <x v="160"/>
    <n v="0"/>
    <n v="0"/>
    <n v="0"/>
    <n v="-3000000"/>
    <x v="7"/>
    <x v="40"/>
    <x v="1"/>
  </r>
  <r>
    <m/>
    <x v="105"/>
    <x v="0"/>
    <m/>
    <m/>
    <x v="93"/>
    <n v="0"/>
    <n v="0"/>
    <n v="0"/>
    <n v="-3000000"/>
    <x v="7"/>
    <x v="39"/>
    <x v="1"/>
  </r>
  <r>
    <m/>
    <x v="164"/>
    <x v="0"/>
    <m/>
    <m/>
    <x v="145"/>
    <n v="0"/>
    <n v="0"/>
    <n v="0"/>
    <n v="-2000000"/>
    <x v="7"/>
    <x v="39"/>
    <x v="1"/>
  </r>
  <r>
    <m/>
    <x v="52"/>
    <x v="0"/>
    <m/>
    <m/>
    <x v="43"/>
    <n v="0"/>
    <n v="0"/>
    <n v="0"/>
    <n v="-1500000"/>
    <x v="7"/>
    <x v="39"/>
    <x v="1"/>
  </r>
  <r>
    <m/>
    <x v="15"/>
    <x v="0"/>
    <m/>
    <m/>
    <x v="3"/>
    <n v="0"/>
    <n v="0"/>
    <n v="0"/>
    <n v="-500000"/>
    <x v="7"/>
    <x v="39"/>
    <x v="1"/>
  </r>
  <r>
    <m/>
    <x v="23"/>
    <x v="0"/>
    <m/>
    <m/>
    <x v="19"/>
    <n v="0"/>
    <n v="0"/>
    <n v="0"/>
    <n v="-7000000"/>
    <x v="7"/>
    <x v="41"/>
    <x v="1"/>
  </r>
  <r>
    <m/>
    <x v="177"/>
    <x v="1"/>
    <m/>
    <m/>
    <x v="58"/>
    <n v="0"/>
    <n v="-1205393"/>
    <n v="-3400000"/>
    <n v="-2730000"/>
    <x v="7"/>
    <x v="41"/>
    <x v="5"/>
  </r>
  <r>
    <m/>
    <x v="77"/>
    <x v="0"/>
    <m/>
    <m/>
    <x v="66"/>
    <n v="0"/>
    <n v="0"/>
    <n v="0"/>
    <n v="-2000000"/>
    <x v="7"/>
    <x v="42"/>
    <x v="1"/>
  </r>
  <r>
    <m/>
    <x v="72"/>
    <x v="0"/>
    <m/>
    <m/>
    <x v="62"/>
    <n v="0"/>
    <n v="0"/>
    <n v="0"/>
    <n v="-2500000"/>
    <x v="7"/>
    <x v="42"/>
    <x v="1"/>
  </r>
  <r>
    <m/>
    <x v="182"/>
    <x v="0"/>
    <m/>
    <m/>
    <x v="161"/>
    <n v="0"/>
    <n v="0"/>
    <n v="0"/>
    <n v="-1500000"/>
    <x v="7"/>
    <x v="43"/>
    <x v="1"/>
  </r>
  <r>
    <m/>
    <x v="100"/>
    <x v="0"/>
    <m/>
    <m/>
    <x v="88"/>
    <n v="0"/>
    <n v="0"/>
    <n v="0"/>
    <n v="-2000000"/>
    <x v="7"/>
    <x v="44"/>
    <x v="1"/>
  </r>
  <r>
    <m/>
    <x v="27"/>
    <x v="0"/>
    <m/>
    <m/>
    <x v="23"/>
    <n v="0"/>
    <n v="0"/>
    <n v="0"/>
    <n v="-2500000"/>
    <x v="7"/>
    <x v="43"/>
    <x v="1"/>
  </r>
  <r>
    <m/>
    <x v="107"/>
    <x v="1"/>
    <m/>
    <m/>
    <x v="95"/>
    <n v="0"/>
    <n v="-4736091"/>
    <n v="-6130030"/>
    <n v="-12381668"/>
    <x v="7"/>
    <x v="45"/>
    <x v="1"/>
  </r>
  <r>
    <m/>
    <x v="109"/>
    <x v="0"/>
    <m/>
    <m/>
    <x v="96"/>
    <n v="0"/>
    <n v="0"/>
    <n v="100000"/>
    <n v="400000"/>
    <x v="7"/>
    <x v="46"/>
    <x v="3"/>
  </r>
  <r>
    <m/>
    <x v="166"/>
    <x v="0"/>
    <m/>
    <m/>
    <x v="147"/>
    <n v="0"/>
    <n v="0"/>
    <n v="100000"/>
    <n v="100000"/>
    <x v="7"/>
    <x v="46"/>
    <x v="3"/>
  </r>
  <r>
    <m/>
    <x v="158"/>
    <x v="0"/>
    <m/>
    <m/>
    <x v="139"/>
    <n v="0"/>
    <n v="0"/>
    <n v="100000"/>
    <n v="10000"/>
    <x v="7"/>
    <x v="46"/>
    <x v="3"/>
  </r>
  <r>
    <m/>
    <x v="127"/>
    <x v="0"/>
    <m/>
    <m/>
    <x v="113"/>
    <n v="0"/>
    <n v="0"/>
    <n v="150000"/>
    <n v="25000"/>
    <x v="7"/>
    <x v="46"/>
    <x v="3"/>
  </r>
  <r>
    <m/>
    <x v="135"/>
    <x v="0"/>
    <m/>
    <m/>
    <x v="119"/>
    <n v="0"/>
    <n v="0"/>
    <n v="100000"/>
    <n v="15000"/>
    <x v="7"/>
    <x v="46"/>
    <x v="3"/>
  </r>
  <r>
    <m/>
    <x v="82"/>
    <x v="0"/>
    <m/>
    <m/>
    <x v="71"/>
    <n v="0"/>
    <n v="0"/>
    <n v="100000"/>
    <n v="100000"/>
    <x v="7"/>
    <x v="46"/>
    <x v="3"/>
  </r>
  <r>
    <m/>
    <x v="48"/>
    <x v="0"/>
    <m/>
    <m/>
    <x v="41"/>
    <n v="0"/>
    <n v="0"/>
    <n v="100000"/>
    <n v="75000"/>
    <x v="7"/>
    <x v="46"/>
    <x v="3"/>
  </r>
  <r>
    <m/>
    <x v="61"/>
    <x v="0"/>
    <m/>
    <m/>
    <x v="52"/>
    <n v="0"/>
    <n v="0"/>
    <n v="100000"/>
    <n v="200000"/>
    <x v="7"/>
    <x v="46"/>
    <x v="3"/>
  </r>
  <r>
    <m/>
    <x v="86"/>
    <x v="0"/>
    <m/>
    <m/>
    <x v="75"/>
    <n v="0"/>
    <n v="0"/>
    <n v="100000"/>
    <n v="250000"/>
    <x v="7"/>
    <x v="46"/>
    <x v="3"/>
  </r>
  <r>
    <m/>
    <x v="186"/>
    <x v="0"/>
    <m/>
    <m/>
    <x v="165"/>
    <n v="0"/>
    <n v="0"/>
    <n v="100000"/>
    <n v="10000"/>
    <x v="7"/>
    <x v="46"/>
    <x v="3"/>
  </r>
  <r>
    <m/>
    <x v="159"/>
    <x v="0"/>
    <m/>
    <m/>
    <x v="140"/>
    <n v="0"/>
    <n v="0"/>
    <n v="100000"/>
    <n v="50000"/>
    <x v="7"/>
    <x v="46"/>
    <x v="3"/>
  </r>
  <r>
    <m/>
    <x v="148"/>
    <x v="0"/>
    <m/>
    <m/>
    <x v="130"/>
    <n v="0"/>
    <n v="0"/>
    <n v="100000"/>
    <n v="50000"/>
    <x v="7"/>
    <x v="46"/>
    <x v="3"/>
  </r>
  <r>
    <m/>
    <x v="33"/>
    <x v="0"/>
    <m/>
    <m/>
    <x v="27"/>
    <n v="0"/>
    <n v="0"/>
    <n v="100000"/>
    <n v="1775000"/>
    <x v="7"/>
    <x v="46"/>
    <x v="3"/>
  </r>
  <r>
    <m/>
    <x v="164"/>
    <x v="0"/>
    <m/>
    <m/>
    <x v="145"/>
    <n v="0"/>
    <n v="0"/>
    <n v="100000"/>
    <n v="150000"/>
    <x v="7"/>
    <x v="46"/>
    <x v="3"/>
  </r>
  <r>
    <m/>
    <x v="101"/>
    <x v="0"/>
    <m/>
    <m/>
    <x v="89"/>
    <n v="0"/>
    <n v="0"/>
    <n v="100000"/>
    <n v="100000"/>
    <x v="7"/>
    <x v="46"/>
    <x v="3"/>
  </r>
  <r>
    <m/>
    <x v="187"/>
    <x v="0"/>
    <m/>
    <m/>
    <x v="166"/>
    <n v="0"/>
    <n v="0"/>
    <n v="100000"/>
    <n v="250000"/>
    <x v="7"/>
    <x v="46"/>
    <x v="3"/>
  </r>
  <r>
    <m/>
    <x v="92"/>
    <x v="0"/>
    <m/>
    <m/>
    <x v="81"/>
    <n v="0"/>
    <n v="0"/>
    <n v="150000"/>
    <n v="10000"/>
    <x v="7"/>
    <x v="46"/>
    <x v="3"/>
  </r>
  <r>
    <m/>
    <x v="110"/>
    <x v="0"/>
    <m/>
    <m/>
    <x v="97"/>
    <n v="0"/>
    <n v="0"/>
    <n v="100000"/>
    <n v="100000"/>
    <x v="7"/>
    <x v="46"/>
    <x v="3"/>
  </r>
  <r>
    <m/>
    <x v="16"/>
    <x v="0"/>
    <m/>
    <m/>
    <x v="12"/>
    <n v="0"/>
    <n v="0"/>
    <n v="150000"/>
    <n v="50000"/>
    <x v="7"/>
    <x v="46"/>
    <x v="3"/>
  </r>
  <r>
    <m/>
    <x v="193"/>
    <x v="0"/>
    <m/>
    <m/>
    <x v="172"/>
    <n v="0"/>
    <n v="0"/>
    <n v="100000"/>
    <n v="10000"/>
    <x v="7"/>
    <x v="46"/>
    <x v="3"/>
  </r>
  <r>
    <m/>
    <x v="100"/>
    <x v="0"/>
    <m/>
    <m/>
    <x v="88"/>
    <n v="0"/>
    <n v="0"/>
    <n v="100000"/>
    <n v="50000"/>
    <x v="7"/>
    <x v="46"/>
    <x v="3"/>
  </r>
  <r>
    <m/>
    <x v="156"/>
    <x v="0"/>
    <m/>
    <m/>
    <x v="137"/>
    <n v="0"/>
    <n v="0"/>
    <n v="100000"/>
    <n v="12500"/>
    <x v="7"/>
    <x v="46"/>
    <x v="3"/>
  </r>
  <r>
    <m/>
    <x v="169"/>
    <x v="0"/>
    <m/>
    <m/>
    <x v="150"/>
    <n v="0"/>
    <n v="0"/>
    <n v="100000"/>
    <n v="110000"/>
    <x v="7"/>
    <x v="46"/>
    <x v="3"/>
  </r>
  <r>
    <m/>
    <x v="96"/>
    <x v="0"/>
    <m/>
    <m/>
    <x v="84"/>
    <n v="0"/>
    <n v="0"/>
    <n v="100000"/>
    <n v="10000"/>
    <x v="7"/>
    <x v="46"/>
    <x v="3"/>
  </r>
  <r>
    <m/>
    <x v="167"/>
    <x v="0"/>
    <m/>
    <m/>
    <x v="148"/>
    <n v="0"/>
    <n v="0"/>
    <n v="100000"/>
    <n v="10000"/>
    <x v="7"/>
    <x v="46"/>
    <x v="3"/>
  </r>
  <r>
    <m/>
    <x v="93"/>
    <x v="0"/>
    <m/>
    <m/>
    <x v="82"/>
    <n v="0"/>
    <n v="0"/>
    <n v="150000"/>
    <n v="200000"/>
    <x v="7"/>
    <x v="46"/>
    <x v="3"/>
  </r>
  <r>
    <m/>
    <x v="113"/>
    <x v="0"/>
    <m/>
    <m/>
    <x v="99"/>
    <n v="0"/>
    <n v="0"/>
    <n v="150000"/>
    <n v="1000000"/>
    <x v="7"/>
    <x v="46"/>
    <x v="3"/>
  </r>
  <r>
    <m/>
    <x v="150"/>
    <x v="0"/>
    <m/>
    <m/>
    <x v="132"/>
    <n v="0"/>
    <n v="0"/>
    <n v="100000"/>
    <n v="500000"/>
    <x v="7"/>
    <x v="46"/>
    <x v="3"/>
  </r>
  <r>
    <m/>
    <x v="62"/>
    <x v="0"/>
    <m/>
    <m/>
    <x v="53"/>
    <n v="0"/>
    <n v="0"/>
    <n v="150000"/>
    <n v="200000"/>
    <x v="7"/>
    <x v="46"/>
    <x v="3"/>
  </r>
  <r>
    <m/>
    <x v="71"/>
    <x v="0"/>
    <m/>
    <m/>
    <x v="61"/>
    <n v="0"/>
    <n v="0"/>
    <n v="100000"/>
    <n v="150000"/>
    <x v="7"/>
    <x v="46"/>
    <x v="3"/>
  </r>
  <r>
    <m/>
    <x v="140"/>
    <x v="0"/>
    <m/>
    <m/>
    <x v="124"/>
    <n v="0"/>
    <n v="0"/>
    <n v="100000"/>
    <n v="500000"/>
    <x v="7"/>
    <x v="46"/>
    <x v="3"/>
  </r>
  <r>
    <m/>
    <x v="141"/>
    <x v="0"/>
    <m/>
    <m/>
    <x v="124"/>
    <n v="0"/>
    <n v="0"/>
    <n v="100000"/>
    <n v="300000"/>
    <x v="7"/>
    <x v="46"/>
    <x v="3"/>
  </r>
  <r>
    <m/>
    <x v="43"/>
    <x v="0"/>
    <m/>
    <m/>
    <x v="36"/>
    <n v="0"/>
    <n v="0"/>
    <n v="100000"/>
    <n v="600000"/>
    <x v="7"/>
    <x v="46"/>
    <x v="3"/>
  </r>
  <r>
    <m/>
    <x v="194"/>
    <x v="0"/>
    <m/>
    <m/>
    <x v="173"/>
    <n v="0"/>
    <n v="0"/>
    <n v="100000"/>
    <n v="75000"/>
    <x v="7"/>
    <x v="46"/>
    <x v="3"/>
  </r>
  <r>
    <m/>
    <x v="97"/>
    <x v="0"/>
    <m/>
    <m/>
    <x v="85"/>
    <n v="0"/>
    <n v="0"/>
    <n v="100000"/>
    <n v="50000"/>
    <x v="7"/>
    <x v="46"/>
    <x v="3"/>
  </r>
  <r>
    <m/>
    <x v="174"/>
    <x v="0"/>
    <m/>
    <m/>
    <x v="154"/>
    <n v="0"/>
    <n v="0"/>
    <n v="100000"/>
    <n v="175000"/>
    <x v="7"/>
    <x v="46"/>
    <x v="3"/>
  </r>
  <r>
    <m/>
    <x v="30"/>
    <x v="0"/>
    <m/>
    <m/>
    <x v="25"/>
    <n v="0"/>
    <n v="0"/>
    <n v="100000"/>
    <n v="50000"/>
    <x v="7"/>
    <x v="46"/>
    <x v="3"/>
  </r>
  <r>
    <m/>
    <x v="74"/>
    <x v="0"/>
    <m/>
    <m/>
    <x v="63"/>
    <n v="0"/>
    <n v="0"/>
    <n v="100000"/>
    <n v="175000"/>
    <x v="7"/>
    <x v="46"/>
    <x v="3"/>
  </r>
  <r>
    <m/>
    <x v="130"/>
    <x v="0"/>
    <m/>
    <m/>
    <x v="116"/>
    <n v="0"/>
    <n v="0"/>
    <n v="100000"/>
    <n v="125000"/>
    <x v="7"/>
    <x v="46"/>
    <x v="3"/>
  </r>
  <r>
    <m/>
    <x v="104"/>
    <x v="0"/>
    <m/>
    <m/>
    <x v="92"/>
    <n v="0"/>
    <n v="0"/>
    <n v="100000"/>
    <n v="300000"/>
    <x v="7"/>
    <x v="46"/>
    <x v="3"/>
  </r>
  <r>
    <m/>
    <x v="175"/>
    <x v="0"/>
    <m/>
    <m/>
    <x v="155"/>
    <n v="0"/>
    <n v="0"/>
    <n v="100000"/>
    <n v="100000"/>
    <x v="7"/>
    <x v="46"/>
    <x v="3"/>
  </r>
  <r>
    <m/>
    <x v="128"/>
    <x v="0"/>
    <m/>
    <m/>
    <x v="114"/>
    <n v="0"/>
    <n v="0"/>
    <n v="100000"/>
    <n v="25000"/>
    <x v="7"/>
    <x v="46"/>
    <x v="3"/>
  </r>
  <r>
    <m/>
    <x v="76"/>
    <x v="0"/>
    <m/>
    <m/>
    <x v="65"/>
    <n v="0"/>
    <n v="0"/>
    <n v="100000"/>
    <n v="400000"/>
    <x v="7"/>
    <x v="46"/>
    <x v="3"/>
  </r>
  <r>
    <m/>
    <x v="59"/>
    <x v="0"/>
    <m/>
    <m/>
    <x v="50"/>
    <n v="0"/>
    <n v="0"/>
    <n v="200000"/>
    <n v="100000"/>
    <x v="7"/>
    <x v="46"/>
    <x v="3"/>
  </r>
  <r>
    <m/>
    <x v="45"/>
    <x v="0"/>
    <m/>
    <m/>
    <x v="38"/>
    <n v="0"/>
    <n v="0"/>
    <n v="100000"/>
    <n v="125000"/>
    <x v="7"/>
    <x v="46"/>
    <x v="3"/>
  </r>
  <r>
    <m/>
    <x v="64"/>
    <x v="0"/>
    <m/>
    <m/>
    <x v="54"/>
    <n v="0"/>
    <n v="0"/>
    <n v="100000"/>
    <n v="100000"/>
    <x v="7"/>
    <x v="46"/>
    <x v="3"/>
  </r>
  <r>
    <m/>
    <x v="118"/>
    <x v="0"/>
    <m/>
    <m/>
    <x v="104"/>
    <n v="0"/>
    <n v="0"/>
    <n v="150000"/>
    <n v="150000"/>
    <x v="7"/>
    <x v="46"/>
    <x v="3"/>
  </r>
  <r>
    <m/>
    <x v="129"/>
    <x v="0"/>
    <m/>
    <m/>
    <x v="115"/>
    <n v="0"/>
    <n v="0"/>
    <n v="100000"/>
    <n v="100000"/>
    <x v="7"/>
    <x v="46"/>
    <x v="3"/>
  </r>
  <r>
    <m/>
    <x v="160"/>
    <x v="0"/>
    <m/>
    <m/>
    <x v="141"/>
    <n v="0"/>
    <n v="0"/>
    <n v="100000"/>
    <n v="200000"/>
    <x v="7"/>
    <x v="46"/>
    <x v="3"/>
  </r>
  <r>
    <m/>
    <x v="85"/>
    <x v="0"/>
    <m/>
    <m/>
    <x v="74"/>
    <n v="0"/>
    <n v="0"/>
    <n v="100000"/>
    <n v="100000"/>
    <x v="7"/>
    <x v="46"/>
    <x v="3"/>
  </r>
  <r>
    <m/>
    <x v="136"/>
    <x v="0"/>
    <m/>
    <m/>
    <x v="120"/>
    <n v="0"/>
    <n v="0"/>
    <n v="100000"/>
    <n v="100000"/>
    <x v="7"/>
    <x v="46"/>
    <x v="3"/>
  </r>
  <r>
    <m/>
    <x v="182"/>
    <x v="0"/>
    <m/>
    <m/>
    <x v="161"/>
    <n v="0"/>
    <n v="0"/>
    <n v="100000"/>
    <n v="50000"/>
    <x v="7"/>
    <x v="46"/>
    <x v="3"/>
  </r>
  <r>
    <m/>
    <x v="173"/>
    <x v="0"/>
    <m/>
    <m/>
    <x v="153"/>
    <n v="0"/>
    <n v="0"/>
    <n v="100000"/>
    <n v="100000"/>
    <x v="7"/>
    <x v="46"/>
    <x v="3"/>
  </r>
  <r>
    <m/>
    <x v="88"/>
    <x v="0"/>
    <m/>
    <m/>
    <x v="77"/>
    <n v="0"/>
    <n v="0"/>
    <n v="100000"/>
    <n v="100000"/>
    <x v="7"/>
    <x v="46"/>
    <x v="3"/>
  </r>
  <r>
    <m/>
    <x v="143"/>
    <x v="0"/>
    <m/>
    <m/>
    <x v="126"/>
    <n v="0"/>
    <n v="0"/>
    <n v="100000"/>
    <n v="250000"/>
    <x v="7"/>
    <x v="46"/>
    <x v="3"/>
  </r>
  <r>
    <m/>
    <x v="106"/>
    <x v="0"/>
    <m/>
    <m/>
    <x v="94"/>
    <n v="0"/>
    <n v="0"/>
    <n v="100000"/>
    <n v="15000"/>
    <x v="7"/>
    <x v="46"/>
    <x v="3"/>
  </r>
  <r>
    <m/>
    <x v="146"/>
    <x v="0"/>
    <m/>
    <m/>
    <x v="129"/>
    <n v="0"/>
    <n v="0"/>
    <n v="100000"/>
    <n v="100000"/>
    <x v="7"/>
    <x v="46"/>
    <x v="3"/>
  </r>
  <r>
    <m/>
    <x v="35"/>
    <x v="0"/>
    <m/>
    <m/>
    <x v="29"/>
    <n v="0"/>
    <n v="0"/>
    <n v="100000"/>
    <n v="100000"/>
    <x v="7"/>
    <x v="46"/>
    <x v="3"/>
  </r>
  <r>
    <m/>
    <x v="80"/>
    <x v="0"/>
    <m/>
    <m/>
    <x v="69"/>
    <n v="0"/>
    <n v="0"/>
    <n v="100000"/>
    <n v="125000"/>
    <x v="7"/>
    <x v="46"/>
    <x v="3"/>
  </r>
  <r>
    <m/>
    <x v="10"/>
    <x v="0"/>
    <m/>
    <m/>
    <x v="8"/>
    <n v="0"/>
    <n v="0"/>
    <n v="150000"/>
    <n v="100000"/>
    <x v="7"/>
    <x v="46"/>
    <x v="3"/>
  </r>
  <r>
    <m/>
    <x v="78"/>
    <x v="0"/>
    <m/>
    <m/>
    <x v="67"/>
    <n v="0"/>
    <n v="0"/>
    <n v="150000"/>
    <n v="50000"/>
    <x v="7"/>
    <x v="46"/>
    <x v="3"/>
  </r>
  <r>
    <m/>
    <x v="55"/>
    <x v="0"/>
    <m/>
    <m/>
    <x v="46"/>
    <n v="0"/>
    <n v="0"/>
    <n v="100000"/>
    <n v="50000"/>
    <x v="7"/>
    <x v="46"/>
    <x v="3"/>
  </r>
  <r>
    <m/>
    <x v="52"/>
    <x v="0"/>
    <m/>
    <m/>
    <x v="43"/>
    <n v="0"/>
    <n v="0"/>
    <n v="100000"/>
    <n v="125000"/>
    <x v="7"/>
    <x v="46"/>
    <x v="3"/>
  </r>
  <r>
    <m/>
    <x v="77"/>
    <x v="0"/>
    <m/>
    <m/>
    <x v="66"/>
    <n v="0"/>
    <n v="0"/>
    <n v="100000"/>
    <n v="150000"/>
    <x v="7"/>
    <x v="46"/>
    <x v="3"/>
  </r>
  <r>
    <m/>
    <x v="126"/>
    <x v="0"/>
    <m/>
    <m/>
    <x v="112"/>
    <n v="0"/>
    <n v="0"/>
    <n v="100000"/>
    <n v="100000"/>
    <x v="7"/>
    <x v="46"/>
    <x v="3"/>
  </r>
  <r>
    <m/>
    <x v="49"/>
    <x v="0"/>
    <m/>
    <m/>
    <x v="42"/>
    <n v="0"/>
    <n v="0"/>
    <n v="100000"/>
    <n v="100000"/>
    <x v="7"/>
    <x v="46"/>
    <x v="3"/>
  </r>
  <r>
    <m/>
    <x v="142"/>
    <x v="0"/>
    <m/>
    <m/>
    <x v="125"/>
    <n v="0"/>
    <n v="0"/>
    <n v="100000"/>
    <n v="50000"/>
    <x v="7"/>
    <x v="46"/>
    <x v="3"/>
  </r>
  <r>
    <m/>
    <x v="153"/>
    <x v="0"/>
    <m/>
    <m/>
    <x v="134"/>
    <n v="0"/>
    <n v="0"/>
    <n v="150000"/>
    <n v="50000"/>
    <x v="7"/>
    <x v="46"/>
    <x v="3"/>
  </r>
  <r>
    <m/>
    <x v="29"/>
    <x v="0"/>
    <m/>
    <m/>
    <x v="24"/>
    <n v="0"/>
    <n v="0"/>
    <n v="100000"/>
    <n v="50000"/>
    <x v="7"/>
    <x v="46"/>
    <x v="3"/>
  </r>
  <r>
    <m/>
    <x v="83"/>
    <x v="0"/>
    <m/>
    <m/>
    <x v="72"/>
    <n v="0"/>
    <n v="0"/>
    <n v="100000"/>
    <n v="100000"/>
    <x v="7"/>
    <x v="46"/>
    <x v="3"/>
  </r>
  <r>
    <m/>
    <x v="189"/>
    <x v="0"/>
    <m/>
    <m/>
    <x v="168"/>
    <n v="0"/>
    <n v="0"/>
    <n v="100000"/>
    <n v="75000"/>
    <x v="7"/>
    <x v="46"/>
    <x v="3"/>
  </r>
  <r>
    <m/>
    <x v="13"/>
    <x v="0"/>
    <m/>
    <m/>
    <x v="10"/>
    <n v="0"/>
    <n v="0"/>
    <n v="100000"/>
    <n v="100000"/>
    <x v="7"/>
    <x v="46"/>
    <x v="3"/>
  </r>
  <r>
    <m/>
    <x v="115"/>
    <x v="0"/>
    <m/>
    <m/>
    <x v="101"/>
    <n v="0"/>
    <n v="0"/>
    <n v="150000"/>
    <n v="50000"/>
    <x v="7"/>
    <x v="46"/>
    <x v="3"/>
  </r>
  <r>
    <m/>
    <x v="20"/>
    <x v="0"/>
    <m/>
    <m/>
    <x v="16"/>
    <n v="0"/>
    <n v="0"/>
    <n v="100000"/>
    <n v="200000"/>
    <x v="7"/>
    <x v="46"/>
    <x v="3"/>
  </r>
  <r>
    <m/>
    <x v="2"/>
    <x v="0"/>
    <m/>
    <m/>
    <x v="2"/>
    <n v="0"/>
    <n v="0"/>
    <n v="100000"/>
    <n v="150000"/>
    <x v="7"/>
    <x v="46"/>
    <x v="3"/>
  </r>
  <r>
    <m/>
    <x v="91"/>
    <x v="0"/>
    <m/>
    <m/>
    <x v="80"/>
    <n v="0"/>
    <n v="0"/>
    <n v="100000"/>
    <n v="100000"/>
    <x v="7"/>
    <x v="46"/>
    <x v="3"/>
  </r>
  <r>
    <m/>
    <x v="67"/>
    <x v="0"/>
    <m/>
    <m/>
    <x v="57"/>
    <n v="0"/>
    <n v="0"/>
    <n v="100000"/>
    <n v="100000"/>
    <x v="7"/>
    <x v="46"/>
    <x v="3"/>
  </r>
  <r>
    <m/>
    <x v="119"/>
    <x v="0"/>
    <m/>
    <m/>
    <x v="105"/>
    <n v="0"/>
    <n v="0"/>
    <n v="200000"/>
    <n v="200000"/>
    <x v="7"/>
    <x v="46"/>
    <x v="3"/>
  </r>
  <r>
    <m/>
    <x v="179"/>
    <x v="0"/>
    <m/>
    <m/>
    <x v="158"/>
    <n v="0"/>
    <n v="0"/>
    <n v="200000"/>
    <n v="300000"/>
    <x v="7"/>
    <x v="46"/>
    <x v="3"/>
  </r>
  <r>
    <m/>
    <x v="184"/>
    <x v="0"/>
    <m/>
    <m/>
    <x v="163"/>
    <n v="0"/>
    <n v="0"/>
    <n v="100000"/>
    <n v="100000"/>
    <x v="7"/>
    <x v="46"/>
    <x v="3"/>
  </r>
  <r>
    <m/>
    <x v="72"/>
    <x v="0"/>
    <m/>
    <m/>
    <x v="62"/>
    <n v="0"/>
    <n v="0"/>
    <n v="100000"/>
    <n v="150000"/>
    <x v="7"/>
    <x v="46"/>
    <x v="3"/>
  </r>
  <r>
    <m/>
    <x v="180"/>
    <x v="0"/>
    <m/>
    <m/>
    <x v="159"/>
    <n v="0"/>
    <n v="0"/>
    <n v="100000"/>
    <n v="100000"/>
    <x v="7"/>
    <x v="46"/>
    <x v="3"/>
  </r>
  <r>
    <m/>
    <x v="70"/>
    <x v="0"/>
    <m/>
    <m/>
    <x v="60"/>
    <n v="0"/>
    <n v="0"/>
    <n v="100000"/>
    <n v="400000"/>
    <x v="7"/>
    <x v="46"/>
    <x v="3"/>
  </r>
  <r>
    <m/>
    <x v="39"/>
    <x v="0"/>
    <m/>
    <m/>
    <x v="33"/>
    <n v="0"/>
    <n v="0"/>
    <n v="100000"/>
    <n v="150000"/>
    <x v="7"/>
    <x v="46"/>
    <x v="3"/>
  </r>
  <r>
    <m/>
    <x v="17"/>
    <x v="0"/>
    <m/>
    <m/>
    <x v="13"/>
    <n v="0"/>
    <n v="0"/>
    <n v="200000"/>
    <n v="300000"/>
    <x v="7"/>
    <x v="46"/>
    <x v="3"/>
  </r>
  <r>
    <m/>
    <x v="112"/>
    <x v="0"/>
    <m/>
    <m/>
    <x v="98"/>
    <n v="0"/>
    <n v="0"/>
    <n v="100000"/>
    <n v="100000"/>
    <x v="7"/>
    <x v="46"/>
    <x v="3"/>
  </r>
  <r>
    <m/>
    <x v="151"/>
    <x v="0"/>
    <m/>
    <m/>
    <x v="133"/>
    <n v="0"/>
    <n v="0"/>
    <n v="100000"/>
    <n v="150000"/>
    <x v="7"/>
    <x v="46"/>
    <x v="3"/>
  </r>
  <r>
    <m/>
    <x v="103"/>
    <x v="0"/>
    <m/>
    <m/>
    <x v="91"/>
    <n v="0"/>
    <n v="0"/>
    <n v="100000"/>
    <n v="500000"/>
    <x v="7"/>
    <x v="46"/>
    <x v="3"/>
  </r>
  <r>
    <m/>
    <x v="56"/>
    <x v="0"/>
    <m/>
    <m/>
    <x v="47"/>
    <n v="0"/>
    <n v="0"/>
    <n v="100000"/>
    <n v="75000"/>
    <x v="7"/>
    <x v="46"/>
    <x v="3"/>
  </r>
  <r>
    <m/>
    <x v="205"/>
    <x v="0"/>
    <m/>
    <m/>
    <x v="180"/>
    <n v="0"/>
    <n v="0"/>
    <n v="150000"/>
    <n v="100000"/>
    <x v="7"/>
    <x v="46"/>
    <x v="3"/>
  </r>
  <r>
    <m/>
    <x v="27"/>
    <x v="0"/>
    <m/>
    <m/>
    <x v="23"/>
    <n v="0"/>
    <n v="0"/>
    <n v="100000"/>
    <n v="100000"/>
    <x v="7"/>
    <x v="46"/>
    <x v="3"/>
  </r>
  <r>
    <m/>
    <x v="28"/>
    <x v="0"/>
    <m/>
    <m/>
    <x v="23"/>
    <n v="0"/>
    <n v="0"/>
    <n v="100000"/>
    <n v="50000"/>
    <x v="7"/>
    <x v="46"/>
    <x v="3"/>
  </r>
  <r>
    <m/>
    <x v="37"/>
    <x v="0"/>
    <m/>
    <m/>
    <x v="31"/>
    <n v="0"/>
    <n v="0"/>
    <n v="100000"/>
    <n v="150000"/>
    <x v="7"/>
    <x v="46"/>
    <x v="3"/>
  </r>
  <r>
    <m/>
    <x v="79"/>
    <x v="0"/>
    <m/>
    <m/>
    <x v="68"/>
    <n v="0"/>
    <n v="0"/>
    <n v="100000"/>
    <n v="100000"/>
    <x v="7"/>
    <x v="46"/>
    <x v="3"/>
  </r>
  <r>
    <m/>
    <x v="36"/>
    <x v="0"/>
    <m/>
    <m/>
    <x v="30"/>
    <n v="0"/>
    <n v="0"/>
    <n v="100000"/>
    <n v="200000"/>
    <x v="7"/>
    <x v="46"/>
    <x v="3"/>
  </r>
  <r>
    <m/>
    <x v="120"/>
    <x v="0"/>
    <m/>
    <m/>
    <x v="106"/>
    <n v="0"/>
    <n v="0"/>
    <n v="100000"/>
    <n v="50000"/>
    <x v="7"/>
    <x v="46"/>
    <x v="3"/>
  </r>
  <r>
    <m/>
    <x v="8"/>
    <x v="0"/>
    <m/>
    <m/>
    <x v="7"/>
    <n v="0"/>
    <n v="0"/>
    <n v="200000"/>
    <n v="300000"/>
    <x v="7"/>
    <x v="46"/>
    <x v="3"/>
  </r>
  <r>
    <m/>
    <x v="157"/>
    <x v="0"/>
    <m/>
    <m/>
    <x v="138"/>
    <n v="0"/>
    <n v="0"/>
    <n v="100000"/>
    <n v="100000"/>
    <x v="7"/>
    <x v="46"/>
    <x v="3"/>
  </r>
  <r>
    <m/>
    <x v="191"/>
    <x v="0"/>
    <m/>
    <m/>
    <x v="170"/>
    <n v="0"/>
    <n v="0"/>
    <n v="100000"/>
    <n v="100000"/>
    <x v="7"/>
    <x v="46"/>
    <x v="3"/>
  </r>
  <r>
    <m/>
    <x v="75"/>
    <x v="0"/>
    <m/>
    <m/>
    <x v="64"/>
    <n v="0"/>
    <n v="0"/>
    <n v="100000"/>
    <n v="125000"/>
    <x v="7"/>
    <x v="46"/>
    <x v="3"/>
  </r>
  <r>
    <m/>
    <x v="19"/>
    <x v="0"/>
    <m/>
    <m/>
    <x v="15"/>
    <n v="0"/>
    <n v="0"/>
    <n v="100000"/>
    <n v="400000"/>
    <x v="7"/>
    <x v="46"/>
    <x v="3"/>
  </r>
  <r>
    <m/>
    <x v="38"/>
    <x v="0"/>
    <m/>
    <m/>
    <x v="32"/>
    <n v="0"/>
    <n v="0"/>
    <n v="100000"/>
    <n v="250000"/>
    <x v="7"/>
    <x v="46"/>
    <x v="3"/>
  </r>
  <r>
    <m/>
    <x v="105"/>
    <x v="0"/>
    <m/>
    <m/>
    <x v="93"/>
    <n v="0"/>
    <n v="0"/>
    <n v="100000"/>
    <n v="100000"/>
    <x v="7"/>
    <x v="46"/>
    <x v="3"/>
  </r>
  <r>
    <m/>
    <x v="57"/>
    <x v="0"/>
    <m/>
    <m/>
    <x v="48"/>
    <n v="0"/>
    <n v="0"/>
    <n v="150000"/>
    <n v="350000"/>
    <x v="7"/>
    <x v="46"/>
    <x v="3"/>
  </r>
  <r>
    <m/>
    <x v="181"/>
    <x v="0"/>
    <m/>
    <m/>
    <x v="160"/>
    <n v="0"/>
    <n v="0"/>
    <n v="100000"/>
    <n v="250000"/>
    <x v="7"/>
    <x v="46"/>
    <x v="3"/>
  </r>
  <r>
    <m/>
    <x v="122"/>
    <x v="0"/>
    <m/>
    <m/>
    <x v="108"/>
    <n v="0"/>
    <n v="0"/>
    <n v="100000"/>
    <n v="500000"/>
    <x v="7"/>
    <x v="46"/>
    <x v="3"/>
  </r>
  <r>
    <m/>
    <x v="206"/>
    <x v="0"/>
    <m/>
    <m/>
    <x v="181"/>
    <n v="0"/>
    <n v="0"/>
    <n v="100000"/>
    <n v="20000"/>
    <x v="7"/>
    <x v="46"/>
    <x v="3"/>
  </r>
  <r>
    <m/>
    <x v="163"/>
    <x v="0"/>
    <m/>
    <m/>
    <x v="144"/>
    <n v="0"/>
    <n v="0"/>
    <n v="100000"/>
    <n v="50000"/>
    <x v="7"/>
    <x v="46"/>
    <x v="3"/>
  </r>
  <r>
    <m/>
    <x v="190"/>
    <x v="0"/>
    <m/>
    <m/>
    <x v="169"/>
    <n v="0"/>
    <n v="0"/>
    <n v="100000"/>
    <n v="100000"/>
    <x v="7"/>
    <x v="46"/>
    <x v="3"/>
  </r>
  <r>
    <m/>
    <x v="207"/>
    <x v="0"/>
    <m/>
    <m/>
    <x v="182"/>
    <n v="0"/>
    <n v="0"/>
    <n v="100000"/>
    <n v="25000"/>
    <x v="7"/>
    <x v="46"/>
    <x v="3"/>
  </r>
  <r>
    <m/>
    <x v="47"/>
    <x v="0"/>
    <m/>
    <m/>
    <x v="40"/>
    <n v="0"/>
    <n v="0"/>
    <n v="100000"/>
    <n v="500000"/>
    <x v="7"/>
    <x v="46"/>
    <x v="3"/>
  </r>
  <r>
    <m/>
    <x v="137"/>
    <x v="0"/>
    <m/>
    <m/>
    <x v="121"/>
    <n v="0"/>
    <n v="0"/>
    <n v="100000"/>
    <n v="100000"/>
    <x v="7"/>
    <x v="46"/>
    <x v="3"/>
  </r>
  <r>
    <m/>
    <x v="176"/>
    <x v="0"/>
    <m/>
    <m/>
    <x v="156"/>
    <n v="0"/>
    <n v="0"/>
    <n v="100000"/>
    <n v="150000"/>
    <x v="7"/>
    <x v="46"/>
    <x v="3"/>
  </r>
  <r>
    <m/>
    <x v="32"/>
    <x v="0"/>
    <m/>
    <m/>
    <x v="26"/>
    <n v="0"/>
    <n v="0"/>
    <n v="100000"/>
    <n v="100000"/>
    <x v="7"/>
    <x v="46"/>
    <x v="3"/>
  </r>
  <r>
    <m/>
    <x v="6"/>
    <x v="0"/>
    <m/>
    <m/>
    <x v="6"/>
    <n v="0"/>
    <n v="0"/>
    <n v="100000"/>
    <n v="250000"/>
    <x v="7"/>
    <x v="46"/>
    <x v="3"/>
  </r>
  <r>
    <m/>
    <x v="121"/>
    <x v="0"/>
    <m/>
    <m/>
    <x v="107"/>
    <n v="0"/>
    <n v="0"/>
    <n v="100000"/>
    <n v="100000"/>
    <x v="7"/>
    <x v="46"/>
    <x v="3"/>
  </r>
  <r>
    <m/>
    <x v="44"/>
    <x v="0"/>
    <m/>
    <m/>
    <x v="37"/>
    <n v="0"/>
    <n v="0"/>
    <n v="100000"/>
    <n v="50000"/>
    <x v="7"/>
    <x v="46"/>
    <x v="3"/>
  </r>
  <r>
    <m/>
    <x v="185"/>
    <x v="0"/>
    <m/>
    <m/>
    <x v="164"/>
    <n v="0"/>
    <n v="0"/>
    <n v="100000"/>
    <n v="200000"/>
    <x v="7"/>
    <x v="46"/>
    <x v="3"/>
  </r>
  <r>
    <m/>
    <x v="42"/>
    <x v="0"/>
    <m/>
    <m/>
    <x v="35"/>
    <n v="0"/>
    <n v="0"/>
    <n v="100000"/>
    <n v="150000"/>
    <x v="7"/>
    <x v="46"/>
    <x v="3"/>
  </r>
  <r>
    <m/>
    <x v="123"/>
    <x v="0"/>
    <m/>
    <m/>
    <x v="109"/>
    <n v="0"/>
    <n v="0"/>
    <n v="100000"/>
    <n v="50000"/>
    <x v="7"/>
    <x v="46"/>
    <x v="3"/>
  </r>
  <r>
    <m/>
    <x v="162"/>
    <x v="0"/>
    <m/>
    <m/>
    <x v="143"/>
    <n v="0"/>
    <n v="0"/>
    <n v="100000"/>
    <n v="12500"/>
    <x v="7"/>
    <x v="46"/>
    <x v="3"/>
  </r>
  <r>
    <m/>
    <x v="208"/>
    <x v="0"/>
    <m/>
    <m/>
    <x v="183"/>
    <n v="0"/>
    <n v="0"/>
    <n v="100000"/>
    <n v="30000"/>
    <x v="7"/>
    <x v="46"/>
    <x v="3"/>
  </r>
  <r>
    <m/>
    <x v="138"/>
    <x v="0"/>
    <m/>
    <m/>
    <x v="122"/>
    <n v="0"/>
    <n v="0"/>
    <n v="100000"/>
    <n v="100000"/>
    <x v="7"/>
    <x v="46"/>
    <x v="3"/>
  </r>
  <r>
    <m/>
    <x v="183"/>
    <x v="0"/>
    <m/>
    <m/>
    <x v="162"/>
    <n v="0"/>
    <n v="0"/>
    <n v="100000"/>
    <n v="100000"/>
    <x v="7"/>
    <x v="46"/>
    <x v="3"/>
  </r>
  <r>
    <m/>
    <x v="53"/>
    <x v="0"/>
    <m/>
    <m/>
    <x v="44"/>
    <n v="0"/>
    <n v="0"/>
    <n v="100000"/>
    <n v="75000"/>
    <x v="7"/>
    <x v="46"/>
    <x v="3"/>
  </r>
  <r>
    <m/>
    <x v="203"/>
    <x v="0"/>
    <m/>
    <m/>
    <x v="178"/>
    <n v="0"/>
    <n v="0"/>
    <n v="100000"/>
    <n v="100000"/>
    <x v="7"/>
    <x v="46"/>
    <x v="3"/>
  </r>
  <r>
    <m/>
    <x v="23"/>
    <x v="0"/>
    <m/>
    <m/>
    <x v="19"/>
    <n v="0"/>
    <n v="0"/>
    <n v="100000"/>
    <n v="175000"/>
    <x v="7"/>
    <x v="46"/>
    <x v="3"/>
  </r>
  <r>
    <m/>
    <x v="102"/>
    <x v="0"/>
    <m/>
    <m/>
    <x v="90"/>
    <n v="0"/>
    <n v="0"/>
    <n v="100000"/>
    <n v="75000"/>
    <x v="7"/>
    <x v="46"/>
    <x v="3"/>
  </r>
  <r>
    <m/>
    <x v="196"/>
    <x v="0"/>
    <m/>
    <m/>
    <x v="174"/>
    <n v="0"/>
    <n v="0"/>
    <n v="100000"/>
    <n v="100000"/>
    <x v="7"/>
    <x v="46"/>
    <x v="3"/>
  </r>
  <r>
    <m/>
    <x v="155"/>
    <x v="0"/>
    <m/>
    <m/>
    <x v="136"/>
    <n v="0"/>
    <n v="0"/>
    <n v="100000"/>
    <n v="50000"/>
    <x v="7"/>
    <x v="46"/>
    <x v="3"/>
  </r>
  <r>
    <m/>
    <x v="170"/>
    <x v="0"/>
    <m/>
    <m/>
    <x v="151"/>
    <n v="0"/>
    <n v="0"/>
    <n v="100000"/>
    <n v="50000"/>
    <x v="7"/>
    <x v="46"/>
    <x v="3"/>
  </r>
  <r>
    <m/>
    <x v="204"/>
    <x v="0"/>
    <m/>
    <m/>
    <x v="179"/>
    <n v="0"/>
    <n v="0"/>
    <n v="100000"/>
    <n v="200000"/>
    <x v="7"/>
    <x v="46"/>
    <x v="3"/>
  </r>
  <r>
    <m/>
    <x v="98"/>
    <x v="0"/>
    <m/>
    <m/>
    <x v="86"/>
    <n v="0"/>
    <n v="0"/>
    <n v="100000"/>
    <n v="150000"/>
    <x v="7"/>
    <x v="46"/>
    <x v="3"/>
  </r>
  <r>
    <m/>
    <x v="168"/>
    <x v="0"/>
    <m/>
    <m/>
    <x v="149"/>
    <n v="0"/>
    <n v="0"/>
    <n v="100000"/>
    <n v="150000"/>
    <x v="7"/>
    <x v="46"/>
    <x v="3"/>
  </r>
  <r>
    <m/>
    <x v="125"/>
    <x v="0"/>
    <m/>
    <m/>
    <x v="111"/>
    <n v="0"/>
    <n v="0"/>
    <n v="100000"/>
    <n v="150000"/>
    <x v="7"/>
    <x v="46"/>
    <x v="3"/>
  </r>
  <r>
    <m/>
    <x v="132"/>
    <x v="0"/>
    <m/>
    <m/>
    <x v="117"/>
    <n v="0"/>
    <n v="0"/>
    <n v="100000"/>
    <n v="250000"/>
    <x v="7"/>
    <x v="46"/>
    <x v="3"/>
  </r>
  <r>
    <m/>
    <x v="84"/>
    <x v="0"/>
    <m/>
    <m/>
    <x v="73"/>
    <n v="0"/>
    <n v="0"/>
    <n v="100000"/>
    <n v="100000"/>
    <x v="7"/>
    <x v="46"/>
    <x v="3"/>
  </r>
  <r>
    <m/>
    <x v="117"/>
    <x v="0"/>
    <m/>
    <m/>
    <x v="103"/>
    <n v="0"/>
    <n v="0"/>
    <n v="100000"/>
    <n v="400000"/>
    <x v="7"/>
    <x v="46"/>
    <x v="3"/>
  </r>
  <r>
    <m/>
    <x v="46"/>
    <x v="0"/>
    <m/>
    <m/>
    <x v="39"/>
    <n v="0"/>
    <n v="0"/>
    <n v="100000"/>
    <n v="50000"/>
    <x v="7"/>
    <x v="46"/>
    <x v="3"/>
  </r>
  <r>
    <m/>
    <x v="95"/>
    <x v="0"/>
    <m/>
    <m/>
    <x v="83"/>
    <n v="0"/>
    <n v="0"/>
    <n v="100000"/>
    <n v="150000"/>
    <x v="7"/>
    <x v="46"/>
    <x v="3"/>
  </r>
  <r>
    <m/>
    <x v="165"/>
    <x v="0"/>
    <m/>
    <m/>
    <x v="146"/>
    <n v="0"/>
    <n v="0"/>
    <n v="100000"/>
    <n v="100000"/>
    <x v="7"/>
    <x v="46"/>
    <x v="3"/>
  </r>
  <r>
    <m/>
    <x v="197"/>
    <x v="0"/>
    <m/>
    <m/>
    <x v="175"/>
    <n v="0"/>
    <n v="0"/>
    <n v="100000"/>
    <n v="200000"/>
    <x v="7"/>
    <x v="46"/>
    <x v="3"/>
  </r>
  <r>
    <m/>
    <x v="145"/>
    <x v="0"/>
    <m/>
    <m/>
    <x v="128"/>
    <n v="0"/>
    <n v="0"/>
    <n v="100000"/>
    <n v="100000"/>
    <x v="7"/>
    <x v="46"/>
    <x v="3"/>
  </r>
  <r>
    <m/>
    <x v="5"/>
    <x v="0"/>
    <m/>
    <m/>
    <x v="5"/>
    <n v="0"/>
    <n v="0"/>
    <n v="100000"/>
    <n v="100000"/>
    <x v="7"/>
    <x v="46"/>
    <x v="3"/>
  </r>
  <r>
    <m/>
    <x v="178"/>
    <x v="0"/>
    <m/>
    <m/>
    <x v="157"/>
    <n v="0"/>
    <n v="0"/>
    <n v="100000"/>
    <n v="100000"/>
    <x v="7"/>
    <x v="46"/>
    <x v="3"/>
  </r>
  <r>
    <m/>
    <x v="18"/>
    <x v="0"/>
    <m/>
    <m/>
    <x v="14"/>
    <n v="0"/>
    <n v="0"/>
    <n v="100000"/>
    <n v="50000"/>
    <x v="7"/>
    <x v="46"/>
    <x v="3"/>
  </r>
  <r>
    <m/>
    <x v="114"/>
    <x v="0"/>
    <m/>
    <m/>
    <x v="100"/>
    <n v="0"/>
    <n v="0"/>
    <n v="100000"/>
    <n v="100000"/>
    <x v="7"/>
    <x v="46"/>
    <x v="3"/>
  </r>
  <r>
    <m/>
    <x v="116"/>
    <x v="0"/>
    <m/>
    <m/>
    <x v="102"/>
    <n v="0"/>
    <n v="0"/>
    <n v="100000"/>
    <n v="100000"/>
    <x v="7"/>
    <x v="46"/>
    <x v="3"/>
  </r>
  <r>
    <m/>
    <x v="60"/>
    <x v="0"/>
    <m/>
    <m/>
    <x v="51"/>
    <n v="0"/>
    <n v="0"/>
    <n v="100000"/>
    <n v="100000"/>
    <x v="7"/>
    <x v="46"/>
    <x v="3"/>
  </r>
  <r>
    <m/>
    <x v="124"/>
    <x v="0"/>
    <m/>
    <m/>
    <x v="110"/>
    <n v="0"/>
    <n v="0"/>
    <n v="100000"/>
    <n v="150000"/>
    <x v="7"/>
    <x v="46"/>
    <x v="3"/>
  </r>
  <r>
    <m/>
    <x v="81"/>
    <x v="0"/>
    <m/>
    <m/>
    <x v="70"/>
    <n v="0"/>
    <n v="0"/>
    <n v="100000"/>
    <n v="200000"/>
    <x v="7"/>
    <x v="46"/>
    <x v="3"/>
  </r>
  <r>
    <m/>
    <x v="40"/>
    <x v="0"/>
    <m/>
    <m/>
    <x v="34"/>
    <n v="0"/>
    <n v="0"/>
    <n v="100000"/>
    <n v="100000"/>
    <x v="7"/>
    <x v="46"/>
    <x v="3"/>
  </r>
  <r>
    <m/>
    <x v="24"/>
    <x v="0"/>
    <m/>
    <m/>
    <x v="20"/>
    <n v="0"/>
    <n v="0"/>
    <n v="100000"/>
    <n v="200000"/>
    <x v="7"/>
    <x v="46"/>
    <x v="3"/>
  </r>
  <r>
    <m/>
    <x v="144"/>
    <x v="0"/>
    <m/>
    <m/>
    <x v="127"/>
    <n v="0"/>
    <n v="0"/>
    <n v="100000"/>
    <n v="100000"/>
    <x v="7"/>
    <x v="46"/>
    <x v="3"/>
  </r>
  <r>
    <m/>
    <x v="65"/>
    <x v="0"/>
    <m/>
    <m/>
    <x v="55"/>
    <n v="0"/>
    <n v="0"/>
    <n v="100000"/>
    <n v="300000"/>
    <x v="7"/>
    <x v="46"/>
    <x v="3"/>
  </r>
  <r>
    <m/>
    <x v="54"/>
    <x v="0"/>
    <m/>
    <m/>
    <x v="45"/>
    <n v="0"/>
    <n v="0"/>
    <n v="100000"/>
    <n v="100000"/>
    <x v="7"/>
    <x v="46"/>
    <x v="3"/>
  </r>
  <r>
    <m/>
    <x v="25"/>
    <x v="0"/>
    <m/>
    <m/>
    <x v="21"/>
    <n v="0"/>
    <n v="0"/>
    <n v="100000"/>
    <n v="150000"/>
    <x v="7"/>
    <x v="46"/>
    <x v="3"/>
  </r>
  <r>
    <m/>
    <x v="192"/>
    <x v="0"/>
    <m/>
    <m/>
    <x v="171"/>
    <n v="0"/>
    <n v="0"/>
    <n v="100000"/>
    <n v="150000"/>
    <x v="7"/>
    <x v="46"/>
    <x v="3"/>
  </r>
  <r>
    <m/>
    <x v="69"/>
    <x v="0"/>
    <m/>
    <m/>
    <x v="59"/>
    <n v="0"/>
    <n v="0"/>
    <n v="100000"/>
    <n v="50000"/>
    <x v="7"/>
    <x v="46"/>
    <x v="3"/>
  </r>
  <r>
    <m/>
    <x v="1"/>
    <x v="0"/>
    <m/>
    <m/>
    <x v="1"/>
    <n v="0"/>
    <n v="0"/>
    <n v="100000"/>
    <n v="150000"/>
    <x v="7"/>
    <x v="46"/>
    <x v="3"/>
  </r>
  <r>
    <m/>
    <x v="11"/>
    <x v="0"/>
    <m/>
    <m/>
    <x v="9"/>
    <n v="0"/>
    <n v="0"/>
    <n v="100000"/>
    <n v="50000"/>
    <x v="7"/>
    <x v="46"/>
    <x v="3"/>
  </r>
  <r>
    <m/>
    <x v="209"/>
    <x v="0"/>
    <m/>
    <m/>
    <x v="184"/>
    <n v="0"/>
    <n v="0"/>
    <n v="100000"/>
    <n v="200000"/>
    <x v="7"/>
    <x v="46"/>
    <x v="3"/>
  </r>
  <r>
    <m/>
    <x v="14"/>
    <x v="0"/>
    <m/>
    <m/>
    <x v="11"/>
    <n v="0"/>
    <n v="0"/>
    <n v="100000"/>
    <n v="100000"/>
    <x v="7"/>
    <x v="46"/>
    <x v="3"/>
  </r>
  <r>
    <m/>
    <x v="149"/>
    <x v="0"/>
    <m/>
    <m/>
    <x v="131"/>
    <n v="0"/>
    <n v="0"/>
    <n v="100000"/>
    <n v="100000"/>
    <x v="7"/>
    <x v="46"/>
    <x v="3"/>
  </r>
  <r>
    <m/>
    <x v="87"/>
    <x v="0"/>
    <m/>
    <m/>
    <x v="76"/>
    <n v="0"/>
    <n v="0"/>
    <n v="100000"/>
    <n v="200000"/>
    <x v="7"/>
    <x v="46"/>
    <x v="3"/>
  </r>
  <r>
    <m/>
    <x v="0"/>
    <x v="0"/>
    <m/>
    <m/>
    <x v="0"/>
    <n v="0"/>
    <n v="0"/>
    <n v="100000"/>
    <n v="200000"/>
    <x v="7"/>
    <x v="46"/>
    <x v="3"/>
  </r>
  <r>
    <m/>
    <x v="188"/>
    <x v="0"/>
    <m/>
    <m/>
    <x v="167"/>
    <n v="0"/>
    <n v="0"/>
    <n v="100000"/>
    <n v="100000"/>
    <x v="7"/>
    <x v="46"/>
    <x v="3"/>
  </r>
  <r>
    <m/>
    <x v="147"/>
    <x v="0"/>
    <m/>
    <m/>
    <x v="18"/>
    <n v="0"/>
    <n v="0"/>
    <n v="100000"/>
    <n v="200000"/>
    <x v="7"/>
    <x v="46"/>
    <x v="3"/>
  </r>
  <r>
    <m/>
    <x v="22"/>
    <x v="0"/>
    <m/>
    <m/>
    <x v="18"/>
    <n v="0"/>
    <n v="0"/>
    <n v="100000"/>
    <n v="200000"/>
    <x v="7"/>
    <x v="46"/>
    <x v="3"/>
  </r>
  <r>
    <m/>
    <x v="201"/>
    <x v="3"/>
    <m/>
    <m/>
    <x v="177"/>
    <n v="0"/>
    <n v="0"/>
    <n v="100000"/>
    <n v="100000"/>
    <x v="7"/>
    <x v="46"/>
    <x v="3"/>
  </r>
  <r>
    <m/>
    <x v="199"/>
    <x v="3"/>
    <m/>
    <m/>
    <x v="18"/>
    <n v="0"/>
    <n v="0"/>
    <n v="100000"/>
    <n v="100000"/>
    <x v="7"/>
    <x v="46"/>
    <x v="3"/>
  </r>
  <r>
    <m/>
    <x v="202"/>
    <x v="0"/>
    <m/>
    <m/>
    <x v="18"/>
    <n v="0"/>
    <n v="0"/>
    <n v="100000"/>
    <n v="10000"/>
    <x v="7"/>
    <x v="46"/>
    <x v="3"/>
  </r>
  <r>
    <m/>
    <x v="76"/>
    <x v="0"/>
    <m/>
    <m/>
    <x v="65"/>
    <n v="0"/>
    <n v="0"/>
    <n v="0"/>
    <n v="-1500000"/>
    <x v="8"/>
    <x v="44"/>
    <x v="1"/>
  </r>
  <r>
    <m/>
    <x v="36"/>
    <x v="0"/>
    <m/>
    <m/>
    <x v="30"/>
    <n v="0"/>
    <n v="0"/>
    <n v="0"/>
    <n v="-2500000"/>
    <x v="8"/>
    <x v="44"/>
    <x v="1"/>
  </r>
  <r>
    <m/>
    <x v="109"/>
    <x v="0"/>
    <m/>
    <m/>
    <x v="96"/>
    <n v="0"/>
    <n v="0"/>
    <n v="0"/>
    <n v="-2000000"/>
    <x v="7"/>
    <x v="43"/>
    <x v="1"/>
  </r>
  <r>
    <m/>
    <x v="66"/>
    <x v="0"/>
    <m/>
    <m/>
    <x v="56"/>
    <n v="0"/>
    <n v="0"/>
    <n v="100000"/>
    <n v="100000"/>
    <x v="7"/>
    <x v="47"/>
    <x v="3"/>
  </r>
  <r>
    <m/>
    <x v="65"/>
    <x v="0"/>
    <m/>
    <m/>
    <x v="55"/>
    <n v="0"/>
    <n v="0"/>
    <n v="0"/>
    <n v="-2000000"/>
    <x v="8"/>
    <x v="48"/>
    <x v="1"/>
  </r>
  <r>
    <m/>
    <x v="66"/>
    <x v="0"/>
    <m/>
    <m/>
    <x v="56"/>
    <n v="0"/>
    <n v="0"/>
    <n v="100000"/>
    <n v="100000"/>
    <x v="4"/>
    <x v="21"/>
    <x v="3"/>
  </r>
  <r>
    <m/>
    <x v="66"/>
    <x v="0"/>
    <m/>
    <m/>
    <x v="56"/>
    <n v="0"/>
    <n v="0"/>
    <n v="100000"/>
    <n v="100000"/>
    <x v="3"/>
    <x v="49"/>
    <x v="3"/>
  </r>
  <r>
    <m/>
    <x v="83"/>
    <x v="0"/>
    <m/>
    <m/>
    <x v="72"/>
    <n v="0"/>
    <n v="0"/>
    <n v="0"/>
    <n v="-2000000"/>
    <x v="8"/>
    <x v="48"/>
    <x v="1"/>
  </r>
  <r>
    <m/>
    <x v="112"/>
    <x v="0"/>
    <m/>
    <m/>
    <x v="98"/>
    <n v="0"/>
    <n v="0"/>
    <n v="0"/>
    <n v="-1000000"/>
    <x v="8"/>
    <x v="48"/>
    <x v="1"/>
  </r>
  <r>
    <m/>
    <x v="195"/>
    <x v="0"/>
    <m/>
    <m/>
    <x v="18"/>
    <n v="0"/>
    <n v="0"/>
    <n v="100000"/>
    <n v="200000"/>
    <x v="4"/>
    <x v="21"/>
    <x v="3"/>
  </r>
  <r>
    <m/>
    <x v="177"/>
    <x v="1"/>
    <m/>
    <m/>
    <x v="58"/>
    <n v="0"/>
    <n v="0"/>
    <n v="100000"/>
    <n v="100000"/>
    <x v="4"/>
    <x v="21"/>
    <x v="3"/>
  </r>
  <r>
    <m/>
    <x v="152"/>
    <x v="0"/>
    <m/>
    <m/>
    <x v="58"/>
    <n v="0"/>
    <n v="0"/>
    <n v="100000"/>
    <n v="100000"/>
    <x v="4"/>
    <x v="18"/>
    <x v="3"/>
  </r>
  <r>
    <m/>
    <x v="73"/>
    <x v="0"/>
    <m/>
    <m/>
    <x v="58"/>
    <n v="0"/>
    <n v="0"/>
    <n v="100000"/>
    <n v="400000"/>
    <x v="3"/>
    <x v="18"/>
    <x v="3"/>
  </r>
  <r>
    <m/>
    <x v="195"/>
    <x v="0"/>
    <m/>
    <m/>
    <x v="18"/>
    <n v="0"/>
    <n v="0"/>
    <n v="100000"/>
    <n v="200000"/>
    <x v="3"/>
    <x v="50"/>
    <x v="3"/>
  </r>
  <r>
    <m/>
    <x v="177"/>
    <x v="1"/>
    <m/>
    <m/>
    <x v="58"/>
    <n v="0"/>
    <n v="0"/>
    <n v="100000"/>
    <n v="100000"/>
    <x v="3"/>
    <x v="50"/>
    <x v="3"/>
  </r>
  <r>
    <m/>
    <x v="70"/>
    <x v="0"/>
    <m/>
    <m/>
    <x v="60"/>
    <n v="0"/>
    <n v="0"/>
    <n v="0"/>
    <n v="-3500000"/>
    <x v="8"/>
    <x v="51"/>
    <x v="1"/>
  </r>
  <r>
    <m/>
    <x v="152"/>
    <x v="0"/>
    <m/>
    <m/>
    <x v="58"/>
    <n v="0"/>
    <n v="0"/>
    <n v="100000"/>
    <n v="100000"/>
    <x v="7"/>
    <x v="52"/>
    <x v="3"/>
  </r>
  <r>
    <m/>
    <x v="73"/>
    <x v="0"/>
    <m/>
    <m/>
    <x v="58"/>
    <n v="0"/>
    <n v="0"/>
    <n v="100000"/>
    <n v="400000"/>
    <x v="5"/>
    <x v="53"/>
    <x v="3"/>
  </r>
  <r>
    <m/>
    <x v="81"/>
    <x v="0"/>
    <m/>
    <m/>
    <x v="70"/>
    <n v="0"/>
    <n v="0"/>
    <n v="0"/>
    <n v="-2000000"/>
    <x v="8"/>
    <x v="48"/>
    <x v="1"/>
  </r>
  <r>
    <m/>
    <x v="80"/>
    <x v="0"/>
    <m/>
    <m/>
    <x v="69"/>
    <n v="0"/>
    <n v="0"/>
    <n v="0"/>
    <n v="-3400000"/>
    <x v="8"/>
    <x v="54"/>
    <x v="1"/>
  </r>
  <r>
    <m/>
    <x v="136"/>
    <x v="0"/>
    <m/>
    <m/>
    <x v="120"/>
    <n v="0"/>
    <n v="0"/>
    <n v="0"/>
    <n v="-1000000"/>
    <x v="8"/>
    <x v="54"/>
    <x v="1"/>
  </r>
  <r>
    <m/>
    <x v="43"/>
    <x v="0"/>
    <m/>
    <m/>
    <x v="36"/>
    <n v="0"/>
    <n v="0"/>
    <n v="0"/>
    <n v="-3000000"/>
    <x v="8"/>
    <x v="51"/>
    <x v="1"/>
  </r>
  <r>
    <m/>
    <x v="116"/>
    <x v="0"/>
    <m/>
    <m/>
    <x v="102"/>
    <n v="0"/>
    <n v="0"/>
    <n v="0"/>
    <n v="-1500000"/>
    <x v="8"/>
    <x v="55"/>
    <x v="1"/>
  </r>
  <r>
    <m/>
    <x v="178"/>
    <x v="0"/>
    <m/>
    <m/>
    <x v="157"/>
    <n v="0"/>
    <n v="0"/>
    <n v="0"/>
    <n v="-1500000"/>
    <x v="8"/>
    <x v="55"/>
    <x v="1"/>
  </r>
  <r>
    <m/>
    <x v="82"/>
    <x v="0"/>
    <m/>
    <m/>
    <x v="71"/>
    <n v="0"/>
    <n v="0"/>
    <n v="0"/>
    <n v="-1600000"/>
    <x v="8"/>
    <x v="55"/>
    <x v="1"/>
  </r>
  <r>
    <m/>
    <x v="78"/>
    <x v="0"/>
    <m/>
    <m/>
    <x v="67"/>
    <n v="0"/>
    <n v="0"/>
    <n v="0"/>
    <n v="-4000000"/>
    <x v="9"/>
    <x v="56"/>
    <x v="1"/>
  </r>
  <r>
    <m/>
    <x v="47"/>
    <x v="0"/>
    <m/>
    <m/>
    <x v="40"/>
    <n v="0"/>
    <n v="0"/>
    <n v="0"/>
    <n v="-5000000"/>
    <x v="9"/>
    <x v="56"/>
    <x v="1"/>
  </r>
  <r>
    <m/>
    <x v="109"/>
    <x v="0"/>
    <m/>
    <m/>
    <x v="96"/>
    <n v="0"/>
    <n v="0"/>
    <n v="100000"/>
    <n v="400000"/>
    <x v="8"/>
    <x v="57"/>
    <x v="3"/>
  </r>
  <r>
    <m/>
    <x v="166"/>
    <x v="0"/>
    <m/>
    <m/>
    <x v="147"/>
    <n v="0"/>
    <n v="0"/>
    <n v="100000"/>
    <n v="100000"/>
    <x v="8"/>
    <x v="57"/>
    <x v="3"/>
  </r>
  <r>
    <m/>
    <x v="158"/>
    <x v="0"/>
    <m/>
    <m/>
    <x v="139"/>
    <n v="0"/>
    <n v="0"/>
    <n v="100000"/>
    <n v="10000"/>
    <x v="8"/>
    <x v="57"/>
    <x v="3"/>
  </r>
  <r>
    <m/>
    <x v="127"/>
    <x v="0"/>
    <m/>
    <m/>
    <x v="113"/>
    <n v="0"/>
    <n v="0"/>
    <n v="150000"/>
    <n v="25000"/>
    <x v="8"/>
    <x v="57"/>
    <x v="3"/>
  </r>
  <r>
    <m/>
    <x v="135"/>
    <x v="0"/>
    <m/>
    <m/>
    <x v="119"/>
    <n v="0"/>
    <n v="0"/>
    <n v="100000"/>
    <n v="15000"/>
    <x v="8"/>
    <x v="57"/>
    <x v="3"/>
  </r>
  <r>
    <m/>
    <x v="82"/>
    <x v="0"/>
    <m/>
    <m/>
    <x v="71"/>
    <n v="0"/>
    <n v="0"/>
    <n v="100000"/>
    <n v="100000"/>
    <x v="8"/>
    <x v="57"/>
    <x v="3"/>
  </r>
  <r>
    <m/>
    <x v="48"/>
    <x v="0"/>
    <m/>
    <m/>
    <x v="41"/>
    <n v="0"/>
    <n v="0"/>
    <n v="100000"/>
    <n v="75000"/>
    <x v="8"/>
    <x v="57"/>
    <x v="3"/>
  </r>
  <r>
    <m/>
    <x v="61"/>
    <x v="0"/>
    <m/>
    <m/>
    <x v="52"/>
    <n v="0"/>
    <n v="0"/>
    <n v="100000"/>
    <n v="200000"/>
    <x v="8"/>
    <x v="57"/>
    <x v="3"/>
  </r>
  <r>
    <m/>
    <x v="86"/>
    <x v="0"/>
    <m/>
    <m/>
    <x v="75"/>
    <n v="0"/>
    <n v="0"/>
    <n v="100000"/>
    <n v="250000"/>
    <x v="8"/>
    <x v="57"/>
    <x v="3"/>
  </r>
  <r>
    <m/>
    <x v="186"/>
    <x v="0"/>
    <m/>
    <m/>
    <x v="165"/>
    <n v="0"/>
    <n v="0"/>
    <n v="100000"/>
    <n v="10000"/>
    <x v="8"/>
    <x v="57"/>
    <x v="3"/>
  </r>
  <r>
    <m/>
    <x v="159"/>
    <x v="0"/>
    <m/>
    <m/>
    <x v="140"/>
    <n v="0"/>
    <n v="0"/>
    <n v="100000"/>
    <n v="50000"/>
    <x v="8"/>
    <x v="57"/>
    <x v="3"/>
  </r>
  <r>
    <m/>
    <x v="148"/>
    <x v="0"/>
    <m/>
    <m/>
    <x v="130"/>
    <n v="0"/>
    <n v="0"/>
    <n v="100000"/>
    <n v="50000"/>
    <x v="8"/>
    <x v="57"/>
    <x v="3"/>
  </r>
  <r>
    <m/>
    <x v="33"/>
    <x v="0"/>
    <m/>
    <m/>
    <x v="27"/>
    <n v="0"/>
    <n v="0"/>
    <n v="100000"/>
    <n v="1775000"/>
    <x v="8"/>
    <x v="57"/>
    <x v="3"/>
  </r>
  <r>
    <m/>
    <x v="164"/>
    <x v="0"/>
    <m/>
    <m/>
    <x v="145"/>
    <n v="0"/>
    <n v="0"/>
    <n v="100000"/>
    <n v="150000"/>
    <x v="8"/>
    <x v="57"/>
    <x v="3"/>
  </r>
  <r>
    <m/>
    <x v="101"/>
    <x v="0"/>
    <m/>
    <m/>
    <x v="89"/>
    <n v="0"/>
    <n v="0"/>
    <n v="100000"/>
    <n v="100000"/>
    <x v="8"/>
    <x v="57"/>
    <x v="3"/>
  </r>
  <r>
    <m/>
    <x v="187"/>
    <x v="0"/>
    <m/>
    <m/>
    <x v="166"/>
    <n v="0"/>
    <n v="0"/>
    <n v="100000"/>
    <n v="250000"/>
    <x v="8"/>
    <x v="57"/>
    <x v="3"/>
  </r>
  <r>
    <m/>
    <x v="92"/>
    <x v="0"/>
    <m/>
    <m/>
    <x v="81"/>
    <n v="0"/>
    <n v="0"/>
    <n v="150000"/>
    <n v="10000"/>
    <x v="8"/>
    <x v="57"/>
    <x v="3"/>
  </r>
  <r>
    <m/>
    <x v="110"/>
    <x v="0"/>
    <m/>
    <m/>
    <x v="97"/>
    <n v="0"/>
    <n v="0"/>
    <n v="100000"/>
    <n v="100000"/>
    <x v="8"/>
    <x v="57"/>
    <x v="3"/>
  </r>
  <r>
    <m/>
    <x v="16"/>
    <x v="0"/>
    <m/>
    <m/>
    <x v="12"/>
    <n v="0"/>
    <n v="0"/>
    <n v="150000"/>
    <n v="50000"/>
    <x v="8"/>
    <x v="57"/>
    <x v="3"/>
  </r>
  <r>
    <m/>
    <x v="193"/>
    <x v="0"/>
    <m/>
    <m/>
    <x v="172"/>
    <n v="0"/>
    <n v="0"/>
    <n v="100000"/>
    <n v="10000"/>
    <x v="8"/>
    <x v="57"/>
    <x v="3"/>
  </r>
  <r>
    <m/>
    <x v="100"/>
    <x v="0"/>
    <m/>
    <m/>
    <x v="88"/>
    <n v="0"/>
    <n v="0"/>
    <n v="100000"/>
    <n v="50000"/>
    <x v="8"/>
    <x v="57"/>
    <x v="3"/>
  </r>
  <r>
    <m/>
    <x v="156"/>
    <x v="0"/>
    <m/>
    <m/>
    <x v="137"/>
    <n v="0"/>
    <n v="0"/>
    <n v="100000"/>
    <n v="12500"/>
    <x v="8"/>
    <x v="57"/>
    <x v="3"/>
  </r>
  <r>
    <m/>
    <x v="169"/>
    <x v="0"/>
    <m/>
    <m/>
    <x v="150"/>
    <n v="0"/>
    <n v="0"/>
    <n v="100000"/>
    <n v="110000"/>
    <x v="8"/>
    <x v="57"/>
    <x v="3"/>
  </r>
  <r>
    <m/>
    <x v="96"/>
    <x v="0"/>
    <m/>
    <m/>
    <x v="84"/>
    <n v="0"/>
    <n v="0"/>
    <n v="100000"/>
    <n v="10000"/>
    <x v="8"/>
    <x v="57"/>
    <x v="3"/>
  </r>
  <r>
    <m/>
    <x v="167"/>
    <x v="0"/>
    <m/>
    <m/>
    <x v="148"/>
    <n v="0"/>
    <n v="0"/>
    <n v="100000"/>
    <n v="10000"/>
    <x v="8"/>
    <x v="57"/>
    <x v="3"/>
  </r>
  <r>
    <m/>
    <x v="93"/>
    <x v="0"/>
    <m/>
    <m/>
    <x v="82"/>
    <n v="0"/>
    <n v="0"/>
    <n v="150000"/>
    <n v="200000"/>
    <x v="8"/>
    <x v="57"/>
    <x v="3"/>
  </r>
  <r>
    <m/>
    <x v="113"/>
    <x v="0"/>
    <m/>
    <m/>
    <x v="99"/>
    <n v="0"/>
    <n v="0"/>
    <n v="150000"/>
    <n v="1000000"/>
    <x v="8"/>
    <x v="57"/>
    <x v="3"/>
  </r>
  <r>
    <m/>
    <x v="150"/>
    <x v="0"/>
    <m/>
    <m/>
    <x v="132"/>
    <n v="0"/>
    <n v="0"/>
    <n v="100000"/>
    <n v="500000"/>
    <x v="8"/>
    <x v="57"/>
    <x v="3"/>
  </r>
  <r>
    <m/>
    <x v="62"/>
    <x v="0"/>
    <m/>
    <m/>
    <x v="53"/>
    <n v="0"/>
    <n v="0"/>
    <n v="150000"/>
    <n v="200000"/>
    <x v="8"/>
    <x v="57"/>
    <x v="3"/>
  </r>
  <r>
    <m/>
    <x v="71"/>
    <x v="0"/>
    <m/>
    <m/>
    <x v="61"/>
    <n v="0"/>
    <n v="0"/>
    <n v="100000"/>
    <n v="150000"/>
    <x v="8"/>
    <x v="57"/>
    <x v="3"/>
  </r>
  <r>
    <m/>
    <x v="140"/>
    <x v="0"/>
    <m/>
    <m/>
    <x v="124"/>
    <n v="0"/>
    <n v="0"/>
    <n v="100000"/>
    <n v="500000"/>
    <x v="8"/>
    <x v="57"/>
    <x v="3"/>
  </r>
  <r>
    <m/>
    <x v="141"/>
    <x v="0"/>
    <m/>
    <m/>
    <x v="124"/>
    <n v="0"/>
    <n v="0"/>
    <n v="100000"/>
    <n v="300000"/>
    <x v="8"/>
    <x v="57"/>
    <x v="3"/>
  </r>
  <r>
    <m/>
    <x v="43"/>
    <x v="0"/>
    <m/>
    <m/>
    <x v="36"/>
    <n v="0"/>
    <n v="0"/>
    <n v="100000"/>
    <n v="600000"/>
    <x v="8"/>
    <x v="57"/>
    <x v="3"/>
  </r>
  <r>
    <m/>
    <x v="194"/>
    <x v="0"/>
    <m/>
    <m/>
    <x v="173"/>
    <n v="0"/>
    <n v="0"/>
    <n v="100000"/>
    <n v="75000"/>
    <x v="8"/>
    <x v="57"/>
    <x v="3"/>
  </r>
  <r>
    <m/>
    <x v="97"/>
    <x v="0"/>
    <m/>
    <m/>
    <x v="85"/>
    <n v="0"/>
    <n v="0"/>
    <n v="100000"/>
    <n v="50000"/>
    <x v="8"/>
    <x v="57"/>
    <x v="3"/>
  </r>
  <r>
    <m/>
    <x v="174"/>
    <x v="0"/>
    <m/>
    <m/>
    <x v="154"/>
    <n v="0"/>
    <n v="0"/>
    <n v="100000"/>
    <n v="175000"/>
    <x v="8"/>
    <x v="57"/>
    <x v="3"/>
  </r>
  <r>
    <m/>
    <x v="30"/>
    <x v="0"/>
    <m/>
    <m/>
    <x v="25"/>
    <n v="0"/>
    <n v="0"/>
    <n v="100000"/>
    <n v="50000"/>
    <x v="8"/>
    <x v="57"/>
    <x v="3"/>
  </r>
  <r>
    <m/>
    <x v="74"/>
    <x v="0"/>
    <m/>
    <m/>
    <x v="63"/>
    <n v="0"/>
    <n v="0"/>
    <n v="100000"/>
    <n v="175000"/>
    <x v="8"/>
    <x v="57"/>
    <x v="3"/>
  </r>
  <r>
    <m/>
    <x v="130"/>
    <x v="0"/>
    <m/>
    <m/>
    <x v="116"/>
    <n v="0"/>
    <n v="0"/>
    <n v="100000"/>
    <n v="125000"/>
    <x v="8"/>
    <x v="57"/>
    <x v="3"/>
  </r>
  <r>
    <m/>
    <x v="104"/>
    <x v="0"/>
    <m/>
    <m/>
    <x v="92"/>
    <n v="0"/>
    <n v="0"/>
    <n v="100000"/>
    <n v="300000"/>
    <x v="8"/>
    <x v="57"/>
    <x v="3"/>
  </r>
  <r>
    <m/>
    <x v="175"/>
    <x v="0"/>
    <m/>
    <m/>
    <x v="155"/>
    <n v="0"/>
    <n v="0"/>
    <n v="100000"/>
    <n v="100000"/>
    <x v="8"/>
    <x v="57"/>
    <x v="3"/>
  </r>
  <r>
    <m/>
    <x v="128"/>
    <x v="0"/>
    <m/>
    <m/>
    <x v="114"/>
    <n v="0"/>
    <n v="0"/>
    <n v="100000"/>
    <n v="25000"/>
    <x v="8"/>
    <x v="57"/>
    <x v="3"/>
  </r>
  <r>
    <m/>
    <x v="76"/>
    <x v="0"/>
    <m/>
    <m/>
    <x v="65"/>
    <n v="0"/>
    <n v="0"/>
    <n v="100000"/>
    <n v="400000"/>
    <x v="8"/>
    <x v="57"/>
    <x v="3"/>
  </r>
  <r>
    <m/>
    <x v="59"/>
    <x v="0"/>
    <m/>
    <m/>
    <x v="50"/>
    <n v="0"/>
    <n v="0"/>
    <n v="200000"/>
    <n v="100000"/>
    <x v="8"/>
    <x v="57"/>
    <x v="3"/>
  </r>
  <r>
    <m/>
    <x v="45"/>
    <x v="0"/>
    <m/>
    <m/>
    <x v="38"/>
    <n v="0"/>
    <n v="0"/>
    <n v="100000"/>
    <n v="125000"/>
    <x v="8"/>
    <x v="57"/>
    <x v="3"/>
  </r>
  <r>
    <m/>
    <x v="64"/>
    <x v="0"/>
    <m/>
    <m/>
    <x v="54"/>
    <n v="0"/>
    <n v="0"/>
    <n v="100000"/>
    <n v="100000"/>
    <x v="8"/>
    <x v="57"/>
    <x v="3"/>
  </r>
  <r>
    <m/>
    <x v="118"/>
    <x v="0"/>
    <m/>
    <m/>
    <x v="104"/>
    <n v="0"/>
    <n v="0"/>
    <n v="150000"/>
    <n v="150000"/>
    <x v="8"/>
    <x v="57"/>
    <x v="3"/>
  </r>
  <r>
    <m/>
    <x v="129"/>
    <x v="0"/>
    <m/>
    <m/>
    <x v="115"/>
    <n v="0"/>
    <n v="0"/>
    <n v="100000"/>
    <n v="100000"/>
    <x v="8"/>
    <x v="57"/>
    <x v="3"/>
  </r>
  <r>
    <m/>
    <x v="160"/>
    <x v="0"/>
    <m/>
    <m/>
    <x v="141"/>
    <n v="0"/>
    <n v="0"/>
    <n v="100000"/>
    <n v="200000"/>
    <x v="8"/>
    <x v="57"/>
    <x v="3"/>
  </r>
  <r>
    <m/>
    <x v="85"/>
    <x v="0"/>
    <m/>
    <m/>
    <x v="74"/>
    <n v="0"/>
    <n v="0"/>
    <n v="100000"/>
    <n v="100000"/>
    <x v="8"/>
    <x v="57"/>
    <x v="3"/>
  </r>
  <r>
    <m/>
    <x v="136"/>
    <x v="0"/>
    <m/>
    <m/>
    <x v="120"/>
    <n v="0"/>
    <n v="0"/>
    <n v="100000"/>
    <n v="100000"/>
    <x v="8"/>
    <x v="57"/>
    <x v="3"/>
  </r>
  <r>
    <m/>
    <x v="182"/>
    <x v="0"/>
    <m/>
    <m/>
    <x v="161"/>
    <n v="0"/>
    <n v="0"/>
    <n v="100000"/>
    <n v="50000"/>
    <x v="8"/>
    <x v="57"/>
    <x v="3"/>
  </r>
  <r>
    <m/>
    <x v="173"/>
    <x v="0"/>
    <m/>
    <m/>
    <x v="153"/>
    <n v="0"/>
    <n v="0"/>
    <n v="100000"/>
    <n v="100000"/>
    <x v="8"/>
    <x v="57"/>
    <x v="3"/>
  </r>
  <r>
    <m/>
    <x v="88"/>
    <x v="0"/>
    <m/>
    <m/>
    <x v="77"/>
    <n v="0"/>
    <n v="0"/>
    <n v="100000"/>
    <n v="100000"/>
    <x v="8"/>
    <x v="57"/>
    <x v="3"/>
  </r>
  <r>
    <m/>
    <x v="143"/>
    <x v="0"/>
    <m/>
    <m/>
    <x v="126"/>
    <n v="0"/>
    <n v="0"/>
    <n v="100000"/>
    <n v="250000"/>
    <x v="8"/>
    <x v="57"/>
    <x v="3"/>
  </r>
  <r>
    <m/>
    <x v="106"/>
    <x v="0"/>
    <m/>
    <m/>
    <x v="94"/>
    <n v="0"/>
    <n v="0"/>
    <n v="100000"/>
    <n v="15000"/>
    <x v="8"/>
    <x v="57"/>
    <x v="3"/>
  </r>
  <r>
    <m/>
    <x v="146"/>
    <x v="0"/>
    <m/>
    <m/>
    <x v="129"/>
    <n v="0"/>
    <n v="0"/>
    <n v="100000"/>
    <n v="100000"/>
    <x v="8"/>
    <x v="57"/>
    <x v="3"/>
  </r>
  <r>
    <m/>
    <x v="35"/>
    <x v="0"/>
    <m/>
    <m/>
    <x v="29"/>
    <n v="0"/>
    <n v="0"/>
    <n v="100000"/>
    <n v="100000"/>
    <x v="8"/>
    <x v="57"/>
    <x v="3"/>
  </r>
  <r>
    <m/>
    <x v="80"/>
    <x v="0"/>
    <m/>
    <m/>
    <x v="69"/>
    <n v="0"/>
    <n v="0"/>
    <n v="100000"/>
    <n v="125000"/>
    <x v="8"/>
    <x v="57"/>
    <x v="3"/>
  </r>
  <r>
    <m/>
    <x v="10"/>
    <x v="0"/>
    <m/>
    <m/>
    <x v="8"/>
    <n v="0"/>
    <n v="0"/>
    <n v="150000"/>
    <n v="100000"/>
    <x v="8"/>
    <x v="57"/>
    <x v="3"/>
  </r>
  <r>
    <m/>
    <x v="78"/>
    <x v="0"/>
    <m/>
    <m/>
    <x v="67"/>
    <n v="0"/>
    <n v="0"/>
    <n v="150000"/>
    <n v="50000"/>
    <x v="8"/>
    <x v="57"/>
    <x v="3"/>
  </r>
  <r>
    <m/>
    <x v="55"/>
    <x v="0"/>
    <m/>
    <m/>
    <x v="46"/>
    <n v="0"/>
    <n v="0"/>
    <n v="100000"/>
    <n v="50000"/>
    <x v="8"/>
    <x v="57"/>
    <x v="3"/>
  </r>
  <r>
    <m/>
    <x v="52"/>
    <x v="0"/>
    <m/>
    <m/>
    <x v="43"/>
    <n v="0"/>
    <n v="0"/>
    <n v="100000"/>
    <n v="125000"/>
    <x v="8"/>
    <x v="57"/>
    <x v="3"/>
  </r>
  <r>
    <m/>
    <x v="77"/>
    <x v="0"/>
    <m/>
    <m/>
    <x v="66"/>
    <n v="0"/>
    <n v="0"/>
    <n v="100000"/>
    <n v="150000"/>
    <x v="8"/>
    <x v="57"/>
    <x v="3"/>
  </r>
  <r>
    <m/>
    <x v="126"/>
    <x v="0"/>
    <m/>
    <m/>
    <x v="112"/>
    <n v="0"/>
    <n v="0"/>
    <n v="100000"/>
    <n v="100000"/>
    <x v="8"/>
    <x v="57"/>
    <x v="3"/>
  </r>
  <r>
    <m/>
    <x v="49"/>
    <x v="0"/>
    <m/>
    <m/>
    <x v="42"/>
    <n v="0"/>
    <n v="0"/>
    <n v="100000"/>
    <n v="100000"/>
    <x v="8"/>
    <x v="57"/>
    <x v="3"/>
  </r>
  <r>
    <m/>
    <x v="142"/>
    <x v="0"/>
    <m/>
    <m/>
    <x v="125"/>
    <n v="0"/>
    <n v="0"/>
    <n v="100000"/>
    <n v="50000"/>
    <x v="8"/>
    <x v="57"/>
    <x v="3"/>
  </r>
  <r>
    <m/>
    <x v="153"/>
    <x v="0"/>
    <m/>
    <m/>
    <x v="134"/>
    <n v="0"/>
    <n v="0"/>
    <n v="150000"/>
    <n v="50000"/>
    <x v="8"/>
    <x v="57"/>
    <x v="3"/>
  </r>
  <r>
    <m/>
    <x v="29"/>
    <x v="0"/>
    <m/>
    <m/>
    <x v="24"/>
    <n v="0"/>
    <n v="0"/>
    <n v="100000"/>
    <n v="50000"/>
    <x v="8"/>
    <x v="57"/>
    <x v="3"/>
  </r>
  <r>
    <m/>
    <x v="83"/>
    <x v="0"/>
    <m/>
    <m/>
    <x v="72"/>
    <n v="0"/>
    <n v="0"/>
    <n v="100000"/>
    <n v="100000"/>
    <x v="8"/>
    <x v="57"/>
    <x v="3"/>
  </r>
  <r>
    <m/>
    <x v="189"/>
    <x v="0"/>
    <m/>
    <m/>
    <x v="168"/>
    <n v="0"/>
    <n v="0"/>
    <n v="100000"/>
    <n v="75000"/>
    <x v="8"/>
    <x v="57"/>
    <x v="3"/>
  </r>
  <r>
    <m/>
    <x v="13"/>
    <x v="0"/>
    <m/>
    <m/>
    <x v="10"/>
    <n v="0"/>
    <n v="0"/>
    <n v="100000"/>
    <n v="100000"/>
    <x v="8"/>
    <x v="57"/>
    <x v="3"/>
  </r>
  <r>
    <m/>
    <x v="115"/>
    <x v="0"/>
    <m/>
    <m/>
    <x v="101"/>
    <n v="0"/>
    <n v="0"/>
    <n v="150000"/>
    <n v="50000"/>
    <x v="8"/>
    <x v="57"/>
    <x v="3"/>
  </r>
  <r>
    <m/>
    <x v="20"/>
    <x v="0"/>
    <m/>
    <m/>
    <x v="16"/>
    <n v="0"/>
    <n v="0"/>
    <n v="100000"/>
    <n v="200000"/>
    <x v="8"/>
    <x v="57"/>
    <x v="3"/>
  </r>
  <r>
    <m/>
    <x v="2"/>
    <x v="0"/>
    <m/>
    <m/>
    <x v="2"/>
    <n v="0"/>
    <n v="0"/>
    <n v="100000"/>
    <n v="150000"/>
    <x v="8"/>
    <x v="57"/>
    <x v="3"/>
  </r>
  <r>
    <m/>
    <x v="91"/>
    <x v="0"/>
    <m/>
    <m/>
    <x v="80"/>
    <n v="0"/>
    <n v="0"/>
    <n v="100000"/>
    <n v="100000"/>
    <x v="8"/>
    <x v="57"/>
    <x v="3"/>
  </r>
  <r>
    <m/>
    <x v="67"/>
    <x v="0"/>
    <m/>
    <m/>
    <x v="57"/>
    <n v="0"/>
    <n v="0"/>
    <n v="100000"/>
    <n v="100000"/>
    <x v="8"/>
    <x v="57"/>
    <x v="3"/>
  </r>
  <r>
    <m/>
    <x v="119"/>
    <x v="0"/>
    <m/>
    <m/>
    <x v="105"/>
    <n v="0"/>
    <n v="0"/>
    <n v="200000"/>
    <n v="200000"/>
    <x v="8"/>
    <x v="57"/>
    <x v="3"/>
  </r>
  <r>
    <m/>
    <x v="179"/>
    <x v="0"/>
    <m/>
    <m/>
    <x v="158"/>
    <n v="0"/>
    <n v="0"/>
    <n v="200000"/>
    <n v="300000"/>
    <x v="8"/>
    <x v="57"/>
    <x v="3"/>
  </r>
  <r>
    <m/>
    <x v="184"/>
    <x v="0"/>
    <m/>
    <m/>
    <x v="163"/>
    <n v="0"/>
    <n v="0"/>
    <n v="100000"/>
    <n v="100000"/>
    <x v="8"/>
    <x v="57"/>
    <x v="3"/>
  </r>
  <r>
    <m/>
    <x v="72"/>
    <x v="0"/>
    <m/>
    <m/>
    <x v="62"/>
    <n v="0"/>
    <n v="0"/>
    <n v="100000"/>
    <n v="150000"/>
    <x v="8"/>
    <x v="57"/>
    <x v="3"/>
  </r>
  <r>
    <m/>
    <x v="180"/>
    <x v="0"/>
    <m/>
    <m/>
    <x v="159"/>
    <n v="0"/>
    <n v="0"/>
    <n v="100000"/>
    <n v="100000"/>
    <x v="8"/>
    <x v="57"/>
    <x v="3"/>
  </r>
  <r>
    <m/>
    <x v="70"/>
    <x v="0"/>
    <m/>
    <m/>
    <x v="60"/>
    <n v="0"/>
    <n v="0"/>
    <n v="100000"/>
    <n v="400000"/>
    <x v="8"/>
    <x v="57"/>
    <x v="3"/>
  </r>
  <r>
    <m/>
    <x v="39"/>
    <x v="0"/>
    <m/>
    <m/>
    <x v="33"/>
    <n v="0"/>
    <n v="0"/>
    <n v="100000"/>
    <n v="150000"/>
    <x v="8"/>
    <x v="57"/>
    <x v="3"/>
  </r>
  <r>
    <m/>
    <x v="17"/>
    <x v="0"/>
    <m/>
    <m/>
    <x v="13"/>
    <n v="0"/>
    <n v="0"/>
    <n v="200000"/>
    <n v="300000"/>
    <x v="8"/>
    <x v="57"/>
    <x v="3"/>
  </r>
  <r>
    <m/>
    <x v="112"/>
    <x v="0"/>
    <m/>
    <m/>
    <x v="98"/>
    <n v="0"/>
    <n v="0"/>
    <n v="100000"/>
    <n v="100000"/>
    <x v="8"/>
    <x v="57"/>
    <x v="3"/>
  </r>
  <r>
    <m/>
    <x v="151"/>
    <x v="0"/>
    <m/>
    <m/>
    <x v="133"/>
    <n v="0"/>
    <n v="0"/>
    <n v="100000"/>
    <n v="150000"/>
    <x v="8"/>
    <x v="57"/>
    <x v="3"/>
  </r>
  <r>
    <m/>
    <x v="103"/>
    <x v="0"/>
    <m/>
    <m/>
    <x v="91"/>
    <n v="0"/>
    <n v="0"/>
    <n v="100000"/>
    <n v="500000"/>
    <x v="8"/>
    <x v="57"/>
    <x v="3"/>
  </r>
  <r>
    <m/>
    <x v="56"/>
    <x v="0"/>
    <m/>
    <m/>
    <x v="47"/>
    <n v="0"/>
    <n v="0"/>
    <n v="100000"/>
    <n v="75000"/>
    <x v="8"/>
    <x v="57"/>
    <x v="3"/>
  </r>
  <r>
    <m/>
    <x v="205"/>
    <x v="0"/>
    <m/>
    <m/>
    <x v="180"/>
    <n v="0"/>
    <n v="0"/>
    <n v="150000"/>
    <n v="100000"/>
    <x v="8"/>
    <x v="57"/>
    <x v="3"/>
  </r>
  <r>
    <m/>
    <x v="27"/>
    <x v="0"/>
    <m/>
    <m/>
    <x v="23"/>
    <n v="0"/>
    <n v="0"/>
    <n v="100000"/>
    <n v="100000"/>
    <x v="8"/>
    <x v="57"/>
    <x v="3"/>
  </r>
  <r>
    <m/>
    <x v="28"/>
    <x v="0"/>
    <m/>
    <m/>
    <x v="23"/>
    <n v="0"/>
    <n v="0"/>
    <n v="100000"/>
    <n v="50000"/>
    <x v="8"/>
    <x v="57"/>
    <x v="3"/>
  </r>
  <r>
    <m/>
    <x v="37"/>
    <x v="0"/>
    <m/>
    <m/>
    <x v="31"/>
    <n v="0"/>
    <n v="0"/>
    <n v="100000"/>
    <n v="150000"/>
    <x v="8"/>
    <x v="57"/>
    <x v="3"/>
  </r>
  <r>
    <m/>
    <x v="79"/>
    <x v="0"/>
    <m/>
    <m/>
    <x v="68"/>
    <n v="0"/>
    <n v="0"/>
    <n v="100000"/>
    <n v="100000"/>
    <x v="8"/>
    <x v="57"/>
    <x v="3"/>
  </r>
  <r>
    <m/>
    <x v="36"/>
    <x v="0"/>
    <m/>
    <m/>
    <x v="30"/>
    <n v="0"/>
    <n v="0"/>
    <n v="100000"/>
    <n v="200000"/>
    <x v="8"/>
    <x v="57"/>
    <x v="3"/>
  </r>
  <r>
    <m/>
    <x v="120"/>
    <x v="0"/>
    <m/>
    <m/>
    <x v="106"/>
    <n v="0"/>
    <n v="0"/>
    <n v="100000"/>
    <n v="50000"/>
    <x v="8"/>
    <x v="57"/>
    <x v="3"/>
  </r>
  <r>
    <m/>
    <x v="8"/>
    <x v="0"/>
    <m/>
    <m/>
    <x v="7"/>
    <n v="0"/>
    <n v="0"/>
    <n v="200000"/>
    <n v="300000"/>
    <x v="8"/>
    <x v="57"/>
    <x v="3"/>
  </r>
  <r>
    <m/>
    <x v="157"/>
    <x v="0"/>
    <m/>
    <m/>
    <x v="138"/>
    <n v="0"/>
    <n v="0"/>
    <n v="100000"/>
    <n v="100000"/>
    <x v="8"/>
    <x v="57"/>
    <x v="3"/>
  </r>
  <r>
    <m/>
    <x v="191"/>
    <x v="0"/>
    <m/>
    <m/>
    <x v="170"/>
    <n v="0"/>
    <n v="0"/>
    <n v="100000"/>
    <n v="100000"/>
    <x v="8"/>
    <x v="57"/>
    <x v="3"/>
  </r>
  <r>
    <m/>
    <x v="75"/>
    <x v="0"/>
    <m/>
    <m/>
    <x v="64"/>
    <n v="0"/>
    <n v="0"/>
    <n v="100000"/>
    <n v="125000"/>
    <x v="8"/>
    <x v="57"/>
    <x v="3"/>
  </r>
  <r>
    <m/>
    <x v="19"/>
    <x v="0"/>
    <m/>
    <m/>
    <x v="15"/>
    <n v="0"/>
    <n v="0"/>
    <n v="100000"/>
    <n v="400000"/>
    <x v="8"/>
    <x v="57"/>
    <x v="3"/>
  </r>
  <r>
    <m/>
    <x v="38"/>
    <x v="0"/>
    <m/>
    <m/>
    <x v="32"/>
    <n v="0"/>
    <n v="0"/>
    <n v="100000"/>
    <n v="250000"/>
    <x v="8"/>
    <x v="57"/>
    <x v="3"/>
  </r>
  <r>
    <m/>
    <x v="105"/>
    <x v="0"/>
    <m/>
    <m/>
    <x v="93"/>
    <n v="0"/>
    <n v="0"/>
    <n v="100000"/>
    <n v="100000"/>
    <x v="8"/>
    <x v="57"/>
    <x v="3"/>
  </r>
  <r>
    <m/>
    <x v="57"/>
    <x v="0"/>
    <m/>
    <m/>
    <x v="48"/>
    <n v="0"/>
    <n v="0"/>
    <n v="150000"/>
    <n v="350000"/>
    <x v="8"/>
    <x v="57"/>
    <x v="3"/>
  </r>
  <r>
    <m/>
    <x v="181"/>
    <x v="0"/>
    <m/>
    <m/>
    <x v="160"/>
    <n v="0"/>
    <n v="0"/>
    <n v="100000"/>
    <n v="250000"/>
    <x v="8"/>
    <x v="57"/>
    <x v="3"/>
  </r>
  <r>
    <m/>
    <x v="122"/>
    <x v="0"/>
    <m/>
    <m/>
    <x v="108"/>
    <n v="0"/>
    <n v="0"/>
    <n v="100000"/>
    <n v="500000"/>
    <x v="8"/>
    <x v="57"/>
    <x v="3"/>
  </r>
  <r>
    <m/>
    <x v="206"/>
    <x v="0"/>
    <m/>
    <m/>
    <x v="181"/>
    <n v="0"/>
    <n v="0"/>
    <n v="100000"/>
    <n v="70000"/>
    <x v="8"/>
    <x v="57"/>
    <x v="3"/>
  </r>
  <r>
    <m/>
    <x v="163"/>
    <x v="0"/>
    <m/>
    <m/>
    <x v="144"/>
    <n v="0"/>
    <n v="0"/>
    <n v="100000"/>
    <n v="50000"/>
    <x v="8"/>
    <x v="57"/>
    <x v="3"/>
  </r>
  <r>
    <m/>
    <x v="190"/>
    <x v="0"/>
    <m/>
    <m/>
    <x v="169"/>
    <n v="0"/>
    <n v="0"/>
    <n v="100000"/>
    <n v="100000"/>
    <x v="8"/>
    <x v="57"/>
    <x v="3"/>
  </r>
  <r>
    <m/>
    <x v="207"/>
    <x v="0"/>
    <m/>
    <m/>
    <x v="182"/>
    <n v="0"/>
    <n v="0"/>
    <n v="100000"/>
    <n v="75000"/>
    <x v="8"/>
    <x v="57"/>
    <x v="3"/>
  </r>
  <r>
    <m/>
    <x v="47"/>
    <x v="0"/>
    <m/>
    <m/>
    <x v="40"/>
    <n v="0"/>
    <n v="0"/>
    <n v="100000"/>
    <n v="500000"/>
    <x v="8"/>
    <x v="57"/>
    <x v="3"/>
  </r>
  <r>
    <m/>
    <x v="137"/>
    <x v="0"/>
    <m/>
    <m/>
    <x v="121"/>
    <n v="0"/>
    <n v="0"/>
    <n v="100000"/>
    <n v="100000"/>
    <x v="8"/>
    <x v="57"/>
    <x v="3"/>
  </r>
  <r>
    <m/>
    <x v="176"/>
    <x v="0"/>
    <m/>
    <m/>
    <x v="156"/>
    <n v="0"/>
    <n v="0"/>
    <n v="100000"/>
    <n v="150000"/>
    <x v="8"/>
    <x v="57"/>
    <x v="3"/>
  </r>
  <r>
    <m/>
    <x v="32"/>
    <x v="0"/>
    <m/>
    <m/>
    <x v="26"/>
    <n v="0"/>
    <n v="0"/>
    <n v="100000"/>
    <n v="100000"/>
    <x v="8"/>
    <x v="57"/>
    <x v="3"/>
  </r>
  <r>
    <m/>
    <x v="6"/>
    <x v="0"/>
    <m/>
    <m/>
    <x v="6"/>
    <n v="0"/>
    <n v="0"/>
    <n v="100000"/>
    <n v="250000"/>
    <x v="8"/>
    <x v="57"/>
    <x v="3"/>
  </r>
  <r>
    <m/>
    <x v="121"/>
    <x v="0"/>
    <m/>
    <m/>
    <x v="107"/>
    <n v="0"/>
    <n v="0"/>
    <n v="100000"/>
    <n v="100000"/>
    <x v="8"/>
    <x v="57"/>
    <x v="3"/>
  </r>
  <r>
    <m/>
    <x v="44"/>
    <x v="0"/>
    <m/>
    <m/>
    <x v="37"/>
    <n v="0"/>
    <n v="0"/>
    <n v="100000"/>
    <n v="50000"/>
    <x v="8"/>
    <x v="57"/>
    <x v="3"/>
  </r>
  <r>
    <m/>
    <x v="185"/>
    <x v="0"/>
    <m/>
    <m/>
    <x v="164"/>
    <n v="0"/>
    <n v="0"/>
    <n v="100000"/>
    <n v="200000"/>
    <x v="8"/>
    <x v="57"/>
    <x v="3"/>
  </r>
  <r>
    <m/>
    <x v="42"/>
    <x v="0"/>
    <m/>
    <m/>
    <x v="35"/>
    <n v="0"/>
    <n v="0"/>
    <n v="100000"/>
    <n v="150000"/>
    <x v="8"/>
    <x v="57"/>
    <x v="3"/>
  </r>
  <r>
    <m/>
    <x v="123"/>
    <x v="0"/>
    <m/>
    <m/>
    <x v="109"/>
    <n v="0"/>
    <n v="0"/>
    <n v="100000"/>
    <n v="50000"/>
    <x v="8"/>
    <x v="57"/>
    <x v="3"/>
  </r>
  <r>
    <m/>
    <x v="162"/>
    <x v="0"/>
    <m/>
    <m/>
    <x v="143"/>
    <n v="0"/>
    <n v="0"/>
    <n v="100000"/>
    <n v="12500"/>
    <x v="8"/>
    <x v="57"/>
    <x v="3"/>
  </r>
  <r>
    <m/>
    <x v="208"/>
    <x v="0"/>
    <m/>
    <m/>
    <x v="183"/>
    <n v="0"/>
    <n v="0"/>
    <n v="100000"/>
    <n v="80000"/>
    <x v="8"/>
    <x v="57"/>
    <x v="3"/>
  </r>
  <r>
    <m/>
    <x v="138"/>
    <x v="0"/>
    <m/>
    <m/>
    <x v="122"/>
    <n v="0"/>
    <n v="0"/>
    <n v="100000"/>
    <n v="100000"/>
    <x v="8"/>
    <x v="57"/>
    <x v="3"/>
  </r>
  <r>
    <m/>
    <x v="183"/>
    <x v="0"/>
    <m/>
    <m/>
    <x v="162"/>
    <n v="0"/>
    <n v="0"/>
    <n v="100000"/>
    <n v="100000"/>
    <x v="8"/>
    <x v="57"/>
    <x v="3"/>
  </r>
  <r>
    <m/>
    <x v="53"/>
    <x v="0"/>
    <m/>
    <m/>
    <x v="44"/>
    <n v="0"/>
    <n v="0"/>
    <n v="100000"/>
    <n v="75000"/>
    <x v="8"/>
    <x v="57"/>
    <x v="3"/>
  </r>
  <r>
    <m/>
    <x v="203"/>
    <x v="0"/>
    <m/>
    <m/>
    <x v="178"/>
    <n v="0"/>
    <n v="0"/>
    <n v="100000"/>
    <n v="100000"/>
    <x v="8"/>
    <x v="57"/>
    <x v="3"/>
  </r>
  <r>
    <m/>
    <x v="23"/>
    <x v="0"/>
    <m/>
    <m/>
    <x v="19"/>
    <n v="0"/>
    <n v="0"/>
    <n v="100000"/>
    <n v="175000"/>
    <x v="8"/>
    <x v="57"/>
    <x v="3"/>
  </r>
  <r>
    <m/>
    <x v="102"/>
    <x v="0"/>
    <m/>
    <m/>
    <x v="90"/>
    <n v="0"/>
    <n v="0"/>
    <n v="100000"/>
    <n v="75000"/>
    <x v="8"/>
    <x v="57"/>
    <x v="3"/>
  </r>
  <r>
    <m/>
    <x v="196"/>
    <x v="0"/>
    <m/>
    <m/>
    <x v="174"/>
    <n v="0"/>
    <n v="0"/>
    <n v="100000"/>
    <n v="100000"/>
    <x v="8"/>
    <x v="57"/>
    <x v="3"/>
  </r>
  <r>
    <m/>
    <x v="155"/>
    <x v="0"/>
    <m/>
    <m/>
    <x v="136"/>
    <n v="0"/>
    <n v="0"/>
    <n v="100000"/>
    <n v="50000"/>
    <x v="8"/>
    <x v="57"/>
    <x v="3"/>
  </r>
  <r>
    <m/>
    <x v="170"/>
    <x v="0"/>
    <m/>
    <m/>
    <x v="151"/>
    <n v="0"/>
    <n v="0"/>
    <n v="100000"/>
    <n v="50000"/>
    <x v="8"/>
    <x v="57"/>
    <x v="3"/>
  </r>
  <r>
    <m/>
    <x v="204"/>
    <x v="0"/>
    <m/>
    <m/>
    <x v="179"/>
    <n v="0"/>
    <n v="0"/>
    <n v="100000"/>
    <n v="200000"/>
    <x v="8"/>
    <x v="57"/>
    <x v="3"/>
  </r>
  <r>
    <m/>
    <x v="98"/>
    <x v="0"/>
    <m/>
    <m/>
    <x v="86"/>
    <n v="0"/>
    <n v="0"/>
    <n v="100000"/>
    <n v="150000"/>
    <x v="8"/>
    <x v="57"/>
    <x v="3"/>
  </r>
  <r>
    <m/>
    <x v="168"/>
    <x v="0"/>
    <m/>
    <m/>
    <x v="149"/>
    <n v="0"/>
    <n v="0"/>
    <n v="100000"/>
    <n v="150000"/>
    <x v="8"/>
    <x v="57"/>
    <x v="3"/>
  </r>
  <r>
    <m/>
    <x v="125"/>
    <x v="0"/>
    <m/>
    <m/>
    <x v="111"/>
    <n v="0"/>
    <n v="0"/>
    <n v="100000"/>
    <n v="150000"/>
    <x v="8"/>
    <x v="57"/>
    <x v="3"/>
  </r>
  <r>
    <m/>
    <x v="132"/>
    <x v="0"/>
    <m/>
    <m/>
    <x v="117"/>
    <n v="0"/>
    <n v="0"/>
    <n v="100000"/>
    <n v="250000"/>
    <x v="8"/>
    <x v="57"/>
    <x v="3"/>
  </r>
  <r>
    <m/>
    <x v="84"/>
    <x v="0"/>
    <m/>
    <m/>
    <x v="73"/>
    <n v="0"/>
    <n v="0"/>
    <n v="100000"/>
    <n v="100000"/>
    <x v="8"/>
    <x v="57"/>
    <x v="3"/>
  </r>
  <r>
    <m/>
    <x v="117"/>
    <x v="0"/>
    <m/>
    <m/>
    <x v="103"/>
    <n v="0"/>
    <n v="0"/>
    <n v="100000"/>
    <n v="400000"/>
    <x v="8"/>
    <x v="57"/>
    <x v="3"/>
  </r>
  <r>
    <m/>
    <x v="46"/>
    <x v="0"/>
    <m/>
    <m/>
    <x v="39"/>
    <n v="0"/>
    <n v="0"/>
    <n v="100000"/>
    <n v="50000"/>
    <x v="8"/>
    <x v="57"/>
    <x v="3"/>
  </r>
  <r>
    <m/>
    <x v="95"/>
    <x v="0"/>
    <m/>
    <m/>
    <x v="83"/>
    <n v="0"/>
    <n v="0"/>
    <n v="100000"/>
    <n v="150000"/>
    <x v="8"/>
    <x v="57"/>
    <x v="3"/>
  </r>
  <r>
    <m/>
    <x v="165"/>
    <x v="0"/>
    <m/>
    <m/>
    <x v="146"/>
    <n v="0"/>
    <n v="0"/>
    <n v="100000"/>
    <n v="100000"/>
    <x v="8"/>
    <x v="57"/>
    <x v="3"/>
  </r>
  <r>
    <m/>
    <x v="197"/>
    <x v="0"/>
    <m/>
    <m/>
    <x v="175"/>
    <n v="0"/>
    <n v="0"/>
    <n v="100000"/>
    <n v="200000"/>
    <x v="8"/>
    <x v="57"/>
    <x v="3"/>
  </r>
  <r>
    <m/>
    <x v="145"/>
    <x v="0"/>
    <m/>
    <m/>
    <x v="128"/>
    <n v="0"/>
    <n v="0"/>
    <n v="100000"/>
    <n v="100000"/>
    <x v="8"/>
    <x v="57"/>
    <x v="3"/>
  </r>
  <r>
    <m/>
    <x v="5"/>
    <x v="0"/>
    <m/>
    <m/>
    <x v="5"/>
    <n v="0"/>
    <n v="0"/>
    <n v="100000"/>
    <n v="100000"/>
    <x v="8"/>
    <x v="57"/>
    <x v="3"/>
  </r>
  <r>
    <m/>
    <x v="178"/>
    <x v="0"/>
    <m/>
    <m/>
    <x v="157"/>
    <n v="0"/>
    <n v="0"/>
    <n v="100000"/>
    <n v="100000"/>
    <x v="8"/>
    <x v="57"/>
    <x v="3"/>
  </r>
  <r>
    <m/>
    <x v="18"/>
    <x v="0"/>
    <m/>
    <m/>
    <x v="14"/>
    <n v="0"/>
    <n v="0"/>
    <n v="100000"/>
    <n v="50000"/>
    <x v="8"/>
    <x v="57"/>
    <x v="3"/>
  </r>
  <r>
    <m/>
    <x v="114"/>
    <x v="0"/>
    <m/>
    <m/>
    <x v="100"/>
    <n v="0"/>
    <n v="0"/>
    <n v="100000"/>
    <n v="100000"/>
    <x v="8"/>
    <x v="57"/>
    <x v="3"/>
  </r>
  <r>
    <m/>
    <x v="116"/>
    <x v="0"/>
    <m/>
    <m/>
    <x v="102"/>
    <n v="0"/>
    <n v="0"/>
    <n v="100000"/>
    <n v="100000"/>
    <x v="8"/>
    <x v="57"/>
    <x v="3"/>
  </r>
  <r>
    <m/>
    <x v="60"/>
    <x v="0"/>
    <m/>
    <m/>
    <x v="51"/>
    <n v="0"/>
    <n v="0"/>
    <n v="100000"/>
    <n v="100000"/>
    <x v="8"/>
    <x v="57"/>
    <x v="3"/>
  </r>
  <r>
    <m/>
    <x v="124"/>
    <x v="0"/>
    <m/>
    <m/>
    <x v="110"/>
    <n v="0"/>
    <n v="0"/>
    <n v="100000"/>
    <n v="150000"/>
    <x v="8"/>
    <x v="57"/>
    <x v="3"/>
  </r>
  <r>
    <m/>
    <x v="81"/>
    <x v="0"/>
    <m/>
    <m/>
    <x v="70"/>
    <n v="0"/>
    <n v="0"/>
    <n v="100000"/>
    <n v="200000"/>
    <x v="8"/>
    <x v="57"/>
    <x v="3"/>
  </r>
  <r>
    <m/>
    <x v="40"/>
    <x v="0"/>
    <m/>
    <m/>
    <x v="34"/>
    <n v="0"/>
    <n v="0"/>
    <n v="100000"/>
    <n v="100000"/>
    <x v="8"/>
    <x v="57"/>
    <x v="3"/>
  </r>
  <r>
    <m/>
    <x v="24"/>
    <x v="0"/>
    <m/>
    <m/>
    <x v="20"/>
    <n v="0"/>
    <n v="0"/>
    <n v="100000"/>
    <n v="200000"/>
    <x v="8"/>
    <x v="57"/>
    <x v="3"/>
  </r>
  <r>
    <m/>
    <x v="144"/>
    <x v="0"/>
    <m/>
    <m/>
    <x v="127"/>
    <n v="0"/>
    <n v="0"/>
    <n v="100000"/>
    <n v="100000"/>
    <x v="8"/>
    <x v="57"/>
    <x v="3"/>
  </r>
  <r>
    <m/>
    <x v="65"/>
    <x v="0"/>
    <m/>
    <m/>
    <x v="55"/>
    <n v="0"/>
    <n v="0"/>
    <n v="100000"/>
    <n v="300000"/>
    <x v="8"/>
    <x v="57"/>
    <x v="3"/>
  </r>
  <r>
    <m/>
    <x v="54"/>
    <x v="0"/>
    <m/>
    <m/>
    <x v="45"/>
    <n v="0"/>
    <n v="0"/>
    <n v="100000"/>
    <n v="100000"/>
    <x v="8"/>
    <x v="57"/>
    <x v="3"/>
  </r>
  <r>
    <m/>
    <x v="25"/>
    <x v="0"/>
    <m/>
    <m/>
    <x v="21"/>
    <n v="0"/>
    <n v="0"/>
    <n v="100000"/>
    <n v="150000"/>
    <x v="8"/>
    <x v="57"/>
    <x v="3"/>
  </r>
  <r>
    <m/>
    <x v="192"/>
    <x v="0"/>
    <m/>
    <m/>
    <x v="171"/>
    <n v="0"/>
    <n v="0"/>
    <n v="100000"/>
    <n v="150000"/>
    <x v="8"/>
    <x v="57"/>
    <x v="3"/>
  </r>
  <r>
    <m/>
    <x v="69"/>
    <x v="0"/>
    <m/>
    <m/>
    <x v="59"/>
    <n v="0"/>
    <n v="0"/>
    <n v="100000"/>
    <n v="50000"/>
    <x v="8"/>
    <x v="57"/>
    <x v="3"/>
  </r>
  <r>
    <m/>
    <x v="1"/>
    <x v="0"/>
    <m/>
    <m/>
    <x v="1"/>
    <n v="0"/>
    <n v="0"/>
    <n v="100000"/>
    <n v="150000"/>
    <x v="8"/>
    <x v="57"/>
    <x v="3"/>
  </r>
  <r>
    <m/>
    <x v="11"/>
    <x v="0"/>
    <m/>
    <m/>
    <x v="9"/>
    <n v="0"/>
    <n v="0"/>
    <n v="100000"/>
    <n v="50000"/>
    <x v="8"/>
    <x v="57"/>
    <x v="3"/>
  </r>
  <r>
    <m/>
    <x v="209"/>
    <x v="0"/>
    <m/>
    <m/>
    <x v="184"/>
    <n v="0"/>
    <n v="0"/>
    <n v="100000"/>
    <n v="250000"/>
    <x v="8"/>
    <x v="57"/>
    <x v="3"/>
  </r>
  <r>
    <m/>
    <x v="14"/>
    <x v="0"/>
    <m/>
    <m/>
    <x v="11"/>
    <n v="0"/>
    <n v="0"/>
    <n v="100000"/>
    <n v="100000"/>
    <x v="8"/>
    <x v="57"/>
    <x v="3"/>
  </r>
  <r>
    <m/>
    <x v="149"/>
    <x v="0"/>
    <m/>
    <m/>
    <x v="131"/>
    <n v="0"/>
    <n v="0"/>
    <n v="100000"/>
    <n v="100000"/>
    <x v="8"/>
    <x v="57"/>
    <x v="3"/>
  </r>
  <r>
    <m/>
    <x v="87"/>
    <x v="0"/>
    <m/>
    <m/>
    <x v="76"/>
    <n v="0"/>
    <n v="0"/>
    <n v="100000"/>
    <n v="200000"/>
    <x v="8"/>
    <x v="57"/>
    <x v="3"/>
  </r>
  <r>
    <m/>
    <x v="0"/>
    <x v="0"/>
    <m/>
    <m/>
    <x v="0"/>
    <n v="0"/>
    <n v="0"/>
    <n v="100000"/>
    <n v="200000"/>
    <x v="8"/>
    <x v="57"/>
    <x v="3"/>
  </r>
  <r>
    <m/>
    <x v="188"/>
    <x v="0"/>
    <m/>
    <m/>
    <x v="167"/>
    <n v="0"/>
    <n v="0"/>
    <n v="100000"/>
    <n v="100000"/>
    <x v="8"/>
    <x v="57"/>
    <x v="3"/>
  </r>
  <r>
    <m/>
    <x v="147"/>
    <x v="0"/>
    <m/>
    <m/>
    <x v="18"/>
    <n v="0"/>
    <n v="0"/>
    <n v="100000"/>
    <n v="200000"/>
    <x v="8"/>
    <x v="57"/>
    <x v="3"/>
  </r>
  <r>
    <m/>
    <x v="22"/>
    <x v="0"/>
    <m/>
    <m/>
    <x v="18"/>
    <n v="0"/>
    <n v="0"/>
    <n v="100000"/>
    <n v="200000"/>
    <x v="8"/>
    <x v="57"/>
    <x v="3"/>
  </r>
  <r>
    <m/>
    <x v="201"/>
    <x v="3"/>
    <m/>
    <m/>
    <x v="177"/>
    <n v="0"/>
    <n v="0"/>
    <n v="100000"/>
    <n v="100000"/>
    <x v="8"/>
    <x v="57"/>
    <x v="3"/>
  </r>
  <r>
    <m/>
    <x v="199"/>
    <x v="3"/>
    <m/>
    <m/>
    <x v="18"/>
    <n v="0"/>
    <n v="0"/>
    <n v="100000"/>
    <n v="100000"/>
    <x v="8"/>
    <x v="57"/>
    <x v="3"/>
  </r>
  <r>
    <m/>
    <x v="202"/>
    <x v="0"/>
    <m/>
    <m/>
    <x v="18"/>
    <n v="0"/>
    <n v="0"/>
    <n v="100000"/>
    <n v="10000"/>
    <x v="8"/>
    <x v="57"/>
    <x v="3"/>
  </r>
  <r>
    <m/>
    <x v="123"/>
    <x v="0"/>
    <m/>
    <m/>
    <x v="109"/>
    <n v="0"/>
    <n v="0"/>
    <n v="0"/>
    <n v="-800000"/>
    <x v="9"/>
    <x v="56"/>
    <x v="1"/>
  </r>
  <r>
    <m/>
    <x v="79"/>
    <x v="0"/>
    <m/>
    <m/>
    <x v="68"/>
    <n v="0"/>
    <n v="0"/>
    <n v="0"/>
    <n v="-800000"/>
    <x v="9"/>
    <x v="56"/>
    <x v="1"/>
  </r>
  <r>
    <m/>
    <x v="15"/>
    <x v="0"/>
    <m/>
    <m/>
    <x v="3"/>
    <n v="0"/>
    <n v="0"/>
    <n v="100000"/>
    <n v="100000"/>
    <x v="6"/>
    <x v="52"/>
    <x v="3"/>
  </r>
  <r>
    <m/>
    <x v="26"/>
    <x v="0"/>
    <m/>
    <m/>
    <x v="22"/>
    <n v="0"/>
    <n v="0"/>
    <n v="100000"/>
    <n v="150000"/>
    <x v="6"/>
    <x v="58"/>
    <x v="3"/>
  </r>
  <r>
    <m/>
    <x v="31"/>
    <x v="0"/>
    <m/>
    <m/>
    <x v="22"/>
    <n v="0"/>
    <n v="0"/>
    <n v="100000"/>
    <n v="150000"/>
    <x v="6"/>
    <x v="58"/>
    <x v="3"/>
  </r>
  <r>
    <m/>
    <x v="51"/>
    <x v="0"/>
    <m/>
    <m/>
    <x v="22"/>
    <n v="0"/>
    <n v="0"/>
    <n v="100000"/>
    <n v="150000"/>
    <x v="6"/>
    <x v="58"/>
    <x v="3"/>
  </r>
  <r>
    <m/>
    <x v="3"/>
    <x v="0"/>
    <m/>
    <m/>
    <x v="3"/>
    <n v="0"/>
    <n v="0"/>
    <n v="100000"/>
    <n v="150000"/>
    <x v="6"/>
    <x v="58"/>
    <x v="3"/>
  </r>
  <r>
    <m/>
    <x v="41"/>
    <x v="0"/>
    <m/>
    <m/>
    <x v="3"/>
    <n v="0"/>
    <n v="0"/>
    <n v="100000"/>
    <n v="100000"/>
    <x v="6"/>
    <x v="58"/>
    <x v="3"/>
  </r>
  <r>
    <m/>
    <x v="134"/>
    <x v="0"/>
    <m/>
    <m/>
    <x v="3"/>
    <n v="0"/>
    <n v="0"/>
    <n v="100000"/>
    <n v="1000000"/>
    <x v="6"/>
    <x v="58"/>
    <x v="3"/>
  </r>
  <r>
    <m/>
    <x v="131"/>
    <x v="0"/>
    <m/>
    <m/>
    <x v="3"/>
    <n v="0"/>
    <n v="0"/>
    <n v="100000"/>
    <n v="100000"/>
    <x v="6"/>
    <x v="58"/>
    <x v="3"/>
  </r>
  <r>
    <m/>
    <x v="171"/>
    <x v="0"/>
    <m/>
    <m/>
    <x v="3"/>
    <n v="0"/>
    <n v="0"/>
    <n v="100000"/>
    <n v="50000"/>
    <x v="6"/>
    <x v="58"/>
    <x v="3"/>
  </r>
  <r>
    <m/>
    <x v="54"/>
    <x v="0"/>
    <m/>
    <m/>
    <x v="45"/>
    <n v="0"/>
    <n v="0"/>
    <n v="0"/>
    <n v="-800000"/>
    <x v="9"/>
    <x v="59"/>
    <x v="1"/>
  </r>
  <r>
    <m/>
    <x v="144"/>
    <x v="0"/>
    <m/>
    <m/>
    <x v="127"/>
    <n v="0"/>
    <n v="0"/>
    <n v="0"/>
    <n v="-2000000"/>
    <x v="9"/>
    <x v="59"/>
    <x v="1"/>
  </r>
  <r>
    <m/>
    <x v="184"/>
    <x v="0"/>
    <m/>
    <m/>
    <x v="163"/>
    <n v="0"/>
    <n v="0"/>
    <n v="0"/>
    <n v="-1100000"/>
    <x v="9"/>
    <x v="60"/>
    <x v="1"/>
  </r>
  <r>
    <m/>
    <x v="195"/>
    <x v="0"/>
    <m/>
    <m/>
    <x v="18"/>
    <n v="0"/>
    <n v="0"/>
    <n v="100000"/>
    <n v="200000"/>
    <x v="7"/>
    <x v="61"/>
    <x v="3"/>
  </r>
  <r>
    <m/>
    <x v="195"/>
    <x v="0"/>
    <m/>
    <m/>
    <x v="18"/>
    <n v="0"/>
    <n v="0"/>
    <n v="100000"/>
    <n v="200000"/>
    <x v="8"/>
    <x v="62"/>
    <x v="3"/>
  </r>
  <r>
    <m/>
    <x v="66"/>
    <x v="0"/>
    <m/>
    <m/>
    <x v="56"/>
    <n v="0"/>
    <n v="0"/>
    <n v="100000"/>
    <n v="100000"/>
    <x v="8"/>
    <x v="62"/>
    <x v="3"/>
  </r>
  <r>
    <m/>
    <x v="138"/>
    <x v="0"/>
    <m/>
    <m/>
    <x v="122"/>
    <n v="0"/>
    <n v="0"/>
    <n v="0"/>
    <n v="-1000000"/>
    <x v="9"/>
    <x v="60"/>
    <x v="1"/>
  </r>
  <r>
    <m/>
    <x v="44"/>
    <x v="0"/>
    <m/>
    <m/>
    <x v="37"/>
    <n v="0"/>
    <n v="0"/>
    <n v="0"/>
    <n v="-1000000"/>
    <x v="9"/>
    <x v="63"/>
    <x v="1"/>
  </r>
  <r>
    <m/>
    <x v="35"/>
    <x v="0"/>
    <m/>
    <m/>
    <x v="29"/>
    <n v="0"/>
    <n v="0"/>
    <n v="0"/>
    <n v="-5000000"/>
    <x v="9"/>
    <x v="63"/>
    <x v="9"/>
  </r>
  <r>
    <m/>
    <x v="56"/>
    <x v="0"/>
    <m/>
    <m/>
    <x v="47"/>
    <n v="0"/>
    <n v="0"/>
    <n v="0"/>
    <n v="-1500000"/>
    <x v="9"/>
    <x v="63"/>
    <x v="1"/>
  </r>
  <r>
    <m/>
    <x v="188"/>
    <x v="0"/>
    <m/>
    <m/>
    <x v="167"/>
    <n v="0"/>
    <n v="0"/>
    <n v="0"/>
    <n v="-750000"/>
    <x v="9"/>
    <x v="63"/>
    <x v="1"/>
  </r>
  <r>
    <m/>
    <x v="73"/>
    <x v="0"/>
    <m/>
    <m/>
    <x v="58"/>
    <n v="0"/>
    <n v="0"/>
    <n v="100000"/>
    <n v="400000"/>
    <x v="6"/>
    <x v="64"/>
    <x v="3"/>
  </r>
  <r>
    <m/>
    <x v="73"/>
    <x v="0"/>
    <m/>
    <m/>
    <x v="58"/>
    <n v="0"/>
    <n v="0"/>
    <n v="100000"/>
    <n v="400000"/>
    <x v="7"/>
    <x v="54"/>
    <x v="3"/>
  </r>
  <r>
    <m/>
    <x v="73"/>
    <x v="0"/>
    <m/>
    <m/>
    <x v="58"/>
    <n v="0"/>
    <n v="0"/>
    <n v="100000"/>
    <n v="400000"/>
    <x v="8"/>
    <x v="65"/>
    <x v="3"/>
  </r>
  <r>
    <m/>
    <x v="143"/>
    <x v="0"/>
    <m/>
    <m/>
    <x v="126"/>
    <n v="0"/>
    <n v="0"/>
    <n v="0"/>
    <n v="-7000000"/>
    <x v="9"/>
    <x v="66"/>
    <x v="9"/>
  </r>
  <r>
    <m/>
    <x v="88"/>
    <x v="0"/>
    <m/>
    <m/>
    <x v="77"/>
    <n v="0"/>
    <n v="0"/>
    <n v="0"/>
    <n v="-1000000"/>
    <x v="9"/>
    <x v="66"/>
    <x v="9"/>
  </r>
  <r>
    <m/>
    <x v="157"/>
    <x v="0"/>
    <m/>
    <m/>
    <x v="138"/>
    <n v="0"/>
    <n v="0"/>
    <n v="0"/>
    <n v="-1700000"/>
    <x v="9"/>
    <x v="63"/>
    <x v="1"/>
  </r>
  <r>
    <m/>
    <x v="109"/>
    <x v="0"/>
    <m/>
    <m/>
    <x v="96"/>
    <n v="0"/>
    <n v="0"/>
    <n v="100000"/>
    <n v="400000"/>
    <x v="9"/>
    <x v="66"/>
    <x v="3"/>
  </r>
  <r>
    <m/>
    <x v="166"/>
    <x v="0"/>
    <m/>
    <m/>
    <x v="147"/>
    <n v="0"/>
    <n v="0"/>
    <n v="100000"/>
    <n v="100000"/>
    <x v="9"/>
    <x v="66"/>
    <x v="3"/>
  </r>
  <r>
    <m/>
    <x v="158"/>
    <x v="0"/>
    <m/>
    <m/>
    <x v="139"/>
    <n v="0"/>
    <n v="0"/>
    <n v="100000"/>
    <n v="10000"/>
    <x v="9"/>
    <x v="66"/>
    <x v="3"/>
  </r>
  <r>
    <m/>
    <x v="127"/>
    <x v="0"/>
    <m/>
    <m/>
    <x v="113"/>
    <n v="0"/>
    <n v="0"/>
    <n v="150000"/>
    <n v="25000"/>
    <x v="9"/>
    <x v="66"/>
    <x v="3"/>
  </r>
  <r>
    <m/>
    <x v="135"/>
    <x v="0"/>
    <m/>
    <m/>
    <x v="119"/>
    <n v="0"/>
    <n v="0"/>
    <n v="100000"/>
    <n v="15000"/>
    <x v="9"/>
    <x v="66"/>
    <x v="3"/>
  </r>
  <r>
    <m/>
    <x v="82"/>
    <x v="0"/>
    <m/>
    <m/>
    <x v="71"/>
    <n v="0"/>
    <n v="0"/>
    <n v="100000"/>
    <n v="100000"/>
    <x v="9"/>
    <x v="66"/>
    <x v="3"/>
  </r>
  <r>
    <m/>
    <x v="48"/>
    <x v="0"/>
    <m/>
    <m/>
    <x v="41"/>
    <n v="0"/>
    <n v="0"/>
    <n v="100000"/>
    <n v="75000"/>
    <x v="9"/>
    <x v="66"/>
    <x v="3"/>
  </r>
  <r>
    <m/>
    <x v="61"/>
    <x v="0"/>
    <m/>
    <m/>
    <x v="52"/>
    <n v="0"/>
    <n v="0"/>
    <n v="100000"/>
    <n v="200000"/>
    <x v="9"/>
    <x v="66"/>
    <x v="3"/>
  </r>
  <r>
    <m/>
    <x v="86"/>
    <x v="0"/>
    <m/>
    <m/>
    <x v="75"/>
    <n v="0"/>
    <n v="0"/>
    <n v="100000"/>
    <n v="250000"/>
    <x v="9"/>
    <x v="66"/>
    <x v="3"/>
  </r>
  <r>
    <m/>
    <x v="186"/>
    <x v="0"/>
    <m/>
    <m/>
    <x v="165"/>
    <n v="0"/>
    <n v="0"/>
    <n v="100000"/>
    <n v="10000"/>
    <x v="9"/>
    <x v="66"/>
    <x v="3"/>
  </r>
  <r>
    <m/>
    <x v="159"/>
    <x v="0"/>
    <m/>
    <m/>
    <x v="140"/>
    <n v="0"/>
    <n v="0"/>
    <n v="100000"/>
    <n v="50000"/>
    <x v="9"/>
    <x v="66"/>
    <x v="3"/>
  </r>
  <r>
    <m/>
    <x v="148"/>
    <x v="0"/>
    <m/>
    <m/>
    <x v="130"/>
    <n v="0"/>
    <n v="0"/>
    <n v="100000"/>
    <n v="50000"/>
    <x v="9"/>
    <x v="66"/>
    <x v="3"/>
  </r>
  <r>
    <m/>
    <x v="33"/>
    <x v="0"/>
    <m/>
    <m/>
    <x v="27"/>
    <n v="0"/>
    <n v="0"/>
    <n v="100000"/>
    <n v="1775000"/>
    <x v="9"/>
    <x v="66"/>
    <x v="3"/>
  </r>
  <r>
    <m/>
    <x v="164"/>
    <x v="0"/>
    <m/>
    <m/>
    <x v="145"/>
    <n v="0"/>
    <n v="0"/>
    <n v="100000"/>
    <n v="150000"/>
    <x v="9"/>
    <x v="66"/>
    <x v="3"/>
  </r>
  <r>
    <m/>
    <x v="101"/>
    <x v="0"/>
    <m/>
    <m/>
    <x v="89"/>
    <n v="0"/>
    <n v="0"/>
    <n v="100000"/>
    <n v="100000"/>
    <x v="9"/>
    <x v="66"/>
    <x v="3"/>
  </r>
  <r>
    <m/>
    <x v="187"/>
    <x v="0"/>
    <m/>
    <m/>
    <x v="166"/>
    <n v="0"/>
    <n v="0"/>
    <n v="100000"/>
    <n v="250000"/>
    <x v="9"/>
    <x v="66"/>
    <x v="3"/>
  </r>
  <r>
    <m/>
    <x v="92"/>
    <x v="0"/>
    <m/>
    <m/>
    <x v="81"/>
    <n v="0"/>
    <n v="0"/>
    <n v="150000"/>
    <n v="10000"/>
    <x v="9"/>
    <x v="66"/>
    <x v="3"/>
  </r>
  <r>
    <m/>
    <x v="110"/>
    <x v="0"/>
    <m/>
    <m/>
    <x v="97"/>
    <n v="0"/>
    <n v="0"/>
    <n v="100000"/>
    <n v="100000"/>
    <x v="9"/>
    <x v="66"/>
    <x v="3"/>
  </r>
  <r>
    <m/>
    <x v="16"/>
    <x v="0"/>
    <m/>
    <m/>
    <x v="12"/>
    <n v="0"/>
    <n v="0"/>
    <n v="150000"/>
    <n v="50000"/>
    <x v="9"/>
    <x v="66"/>
    <x v="3"/>
  </r>
  <r>
    <m/>
    <x v="193"/>
    <x v="0"/>
    <m/>
    <m/>
    <x v="172"/>
    <n v="0"/>
    <n v="0"/>
    <n v="100000"/>
    <n v="10000"/>
    <x v="9"/>
    <x v="66"/>
    <x v="3"/>
  </r>
  <r>
    <m/>
    <x v="100"/>
    <x v="0"/>
    <m/>
    <m/>
    <x v="88"/>
    <n v="0"/>
    <n v="0"/>
    <n v="100000"/>
    <n v="50000"/>
    <x v="9"/>
    <x v="66"/>
    <x v="3"/>
  </r>
  <r>
    <m/>
    <x v="156"/>
    <x v="0"/>
    <m/>
    <m/>
    <x v="137"/>
    <n v="0"/>
    <n v="0"/>
    <n v="150000"/>
    <n v="100000"/>
    <x v="9"/>
    <x v="66"/>
    <x v="3"/>
  </r>
  <r>
    <m/>
    <x v="169"/>
    <x v="0"/>
    <m/>
    <m/>
    <x v="150"/>
    <n v="0"/>
    <n v="0"/>
    <n v="100000"/>
    <n v="110000"/>
    <x v="9"/>
    <x v="66"/>
    <x v="3"/>
  </r>
  <r>
    <m/>
    <x v="96"/>
    <x v="0"/>
    <m/>
    <m/>
    <x v="84"/>
    <n v="0"/>
    <n v="0"/>
    <n v="100000"/>
    <n v="10000"/>
    <x v="9"/>
    <x v="66"/>
    <x v="3"/>
  </r>
  <r>
    <m/>
    <x v="167"/>
    <x v="0"/>
    <m/>
    <m/>
    <x v="148"/>
    <n v="0"/>
    <n v="0"/>
    <n v="100000"/>
    <n v="10000"/>
    <x v="9"/>
    <x v="66"/>
    <x v="3"/>
  </r>
  <r>
    <m/>
    <x v="93"/>
    <x v="0"/>
    <m/>
    <m/>
    <x v="82"/>
    <n v="0"/>
    <n v="0"/>
    <n v="150000"/>
    <n v="200000"/>
    <x v="9"/>
    <x v="66"/>
    <x v="3"/>
  </r>
  <r>
    <m/>
    <x v="113"/>
    <x v="0"/>
    <m/>
    <m/>
    <x v="99"/>
    <n v="0"/>
    <n v="0"/>
    <n v="150000"/>
    <n v="1000000"/>
    <x v="9"/>
    <x v="66"/>
    <x v="3"/>
  </r>
  <r>
    <m/>
    <x v="150"/>
    <x v="0"/>
    <m/>
    <m/>
    <x v="132"/>
    <n v="0"/>
    <n v="0"/>
    <n v="100000"/>
    <n v="500000"/>
    <x v="9"/>
    <x v="66"/>
    <x v="3"/>
  </r>
  <r>
    <m/>
    <x v="62"/>
    <x v="0"/>
    <m/>
    <m/>
    <x v="53"/>
    <n v="0"/>
    <n v="0"/>
    <n v="150000"/>
    <n v="200000"/>
    <x v="9"/>
    <x v="66"/>
    <x v="3"/>
  </r>
  <r>
    <m/>
    <x v="71"/>
    <x v="0"/>
    <m/>
    <m/>
    <x v="61"/>
    <n v="0"/>
    <n v="0"/>
    <n v="100000"/>
    <n v="150000"/>
    <x v="9"/>
    <x v="66"/>
    <x v="3"/>
  </r>
  <r>
    <m/>
    <x v="140"/>
    <x v="0"/>
    <m/>
    <m/>
    <x v="124"/>
    <n v="0"/>
    <n v="0"/>
    <n v="100000"/>
    <n v="500000"/>
    <x v="9"/>
    <x v="66"/>
    <x v="3"/>
  </r>
  <r>
    <m/>
    <x v="141"/>
    <x v="0"/>
    <m/>
    <m/>
    <x v="124"/>
    <n v="0"/>
    <n v="0"/>
    <n v="100000"/>
    <n v="300000"/>
    <x v="9"/>
    <x v="66"/>
    <x v="3"/>
  </r>
  <r>
    <m/>
    <x v="43"/>
    <x v="0"/>
    <m/>
    <m/>
    <x v="36"/>
    <n v="0"/>
    <n v="0"/>
    <n v="100000"/>
    <n v="600000"/>
    <x v="9"/>
    <x v="66"/>
    <x v="3"/>
  </r>
  <r>
    <m/>
    <x v="194"/>
    <x v="0"/>
    <m/>
    <m/>
    <x v="173"/>
    <n v="0"/>
    <n v="0"/>
    <n v="100000"/>
    <n v="75000"/>
    <x v="9"/>
    <x v="66"/>
    <x v="3"/>
  </r>
  <r>
    <m/>
    <x v="97"/>
    <x v="0"/>
    <m/>
    <m/>
    <x v="85"/>
    <n v="0"/>
    <n v="0"/>
    <n v="100000"/>
    <n v="50000"/>
    <x v="9"/>
    <x v="66"/>
    <x v="3"/>
  </r>
  <r>
    <m/>
    <x v="174"/>
    <x v="0"/>
    <m/>
    <m/>
    <x v="154"/>
    <n v="0"/>
    <n v="0"/>
    <n v="100000"/>
    <n v="175000"/>
    <x v="9"/>
    <x v="66"/>
    <x v="3"/>
  </r>
  <r>
    <m/>
    <x v="30"/>
    <x v="0"/>
    <m/>
    <m/>
    <x v="25"/>
    <n v="0"/>
    <n v="0"/>
    <n v="100000"/>
    <n v="50000"/>
    <x v="9"/>
    <x v="66"/>
    <x v="3"/>
  </r>
  <r>
    <m/>
    <x v="74"/>
    <x v="0"/>
    <m/>
    <m/>
    <x v="63"/>
    <n v="0"/>
    <n v="0"/>
    <n v="100000"/>
    <n v="175000"/>
    <x v="9"/>
    <x v="66"/>
    <x v="3"/>
  </r>
  <r>
    <m/>
    <x v="130"/>
    <x v="0"/>
    <m/>
    <m/>
    <x v="116"/>
    <n v="0"/>
    <n v="0"/>
    <n v="100000"/>
    <n v="125000"/>
    <x v="9"/>
    <x v="66"/>
    <x v="3"/>
  </r>
  <r>
    <m/>
    <x v="104"/>
    <x v="0"/>
    <m/>
    <m/>
    <x v="92"/>
    <n v="0"/>
    <n v="0"/>
    <n v="100000"/>
    <n v="300000"/>
    <x v="9"/>
    <x v="66"/>
    <x v="3"/>
  </r>
  <r>
    <m/>
    <x v="175"/>
    <x v="0"/>
    <m/>
    <m/>
    <x v="155"/>
    <n v="0"/>
    <n v="0"/>
    <n v="100000"/>
    <n v="100000"/>
    <x v="9"/>
    <x v="66"/>
    <x v="3"/>
  </r>
  <r>
    <m/>
    <x v="128"/>
    <x v="0"/>
    <m/>
    <m/>
    <x v="114"/>
    <n v="0"/>
    <n v="0"/>
    <n v="100000"/>
    <n v="25000"/>
    <x v="9"/>
    <x v="66"/>
    <x v="3"/>
  </r>
  <r>
    <m/>
    <x v="76"/>
    <x v="0"/>
    <m/>
    <m/>
    <x v="65"/>
    <n v="0"/>
    <n v="0"/>
    <n v="100000"/>
    <n v="400000"/>
    <x v="9"/>
    <x v="66"/>
    <x v="3"/>
  </r>
  <r>
    <m/>
    <x v="59"/>
    <x v="0"/>
    <m/>
    <m/>
    <x v="50"/>
    <n v="0"/>
    <n v="0"/>
    <n v="200000"/>
    <n v="100000"/>
    <x v="9"/>
    <x v="66"/>
    <x v="3"/>
  </r>
  <r>
    <m/>
    <x v="45"/>
    <x v="0"/>
    <m/>
    <m/>
    <x v="38"/>
    <n v="0"/>
    <n v="0"/>
    <n v="100000"/>
    <n v="125000"/>
    <x v="9"/>
    <x v="66"/>
    <x v="3"/>
  </r>
  <r>
    <m/>
    <x v="64"/>
    <x v="0"/>
    <m/>
    <m/>
    <x v="54"/>
    <n v="0"/>
    <n v="0"/>
    <n v="100000"/>
    <n v="100000"/>
    <x v="9"/>
    <x v="66"/>
    <x v="3"/>
  </r>
  <r>
    <m/>
    <x v="118"/>
    <x v="0"/>
    <m/>
    <m/>
    <x v="104"/>
    <n v="0"/>
    <n v="0"/>
    <n v="150000"/>
    <n v="150000"/>
    <x v="9"/>
    <x v="66"/>
    <x v="3"/>
  </r>
  <r>
    <m/>
    <x v="129"/>
    <x v="0"/>
    <m/>
    <m/>
    <x v="115"/>
    <n v="0"/>
    <n v="0"/>
    <n v="100000"/>
    <n v="100000"/>
    <x v="9"/>
    <x v="66"/>
    <x v="3"/>
  </r>
  <r>
    <m/>
    <x v="160"/>
    <x v="0"/>
    <m/>
    <m/>
    <x v="141"/>
    <n v="0"/>
    <n v="0"/>
    <n v="100000"/>
    <n v="200000"/>
    <x v="9"/>
    <x v="66"/>
    <x v="3"/>
  </r>
  <r>
    <m/>
    <x v="85"/>
    <x v="0"/>
    <m/>
    <m/>
    <x v="74"/>
    <n v="0"/>
    <n v="0"/>
    <n v="100000"/>
    <n v="100000"/>
    <x v="9"/>
    <x v="66"/>
    <x v="3"/>
  </r>
  <r>
    <m/>
    <x v="136"/>
    <x v="0"/>
    <m/>
    <m/>
    <x v="120"/>
    <n v="0"/>
    <n v="0"/>
    <n v="100000"/>
    <n v="100000"/>
    <x v="9"/>
    <x v="66"/>
    <x v="3"/>
  </r>
  <r>
    <m/>
    <x v="182"/>
    <x v="0"/>
    <m/>
    <m/>
    <x v="161"/>
    <n v="0"/>
    <n v="0"/>
    <n v="100000"/>
    <n v="50000"/>
    <x v="9"/>
    <x v="66"/>
    <x v="3"/>
  </r>
  <r>
    <m/>
    <x v="173"/>
    <x v="0"/>
    <m/>
    <m/>
    <x v="153"/>
    <n v="0"/>
    <n v="0"/>
    <n v="100000"/>
    <n v="100000"/>
    <x v="9"/>
    <x v="66"/>
    <x v="3"/>
  </r>
  <r>
    <m/>
    <x v="88"/>
    <x v="0"/>
    <m/>
    <m/>
    <x v="77"/>
    <n v="0"/>
    <n v="0"/>
    <n v="100000"/>
    <n v="100000"/>
    <x v="9"/>
    <x v="66"/>
    <x v="3"/>
  </r>
  <r>
    <m/>
    <x v="143"/>
    <x v="0"/>
    <m/>
    <m/>
    <x v="126"/>
    <n v="0"/>
    <n v="0"/>
    <n v="100000"/>
    <n v="250000"/>
    <x v="9"/>
    <x v="66"/>
    <x v="3"/>
  </r>
  <r>
    <m/>
    <x v="106"/>
    <x v="0"/>
    <m/>
    <m/>
    <x v="94"/>
    <n v="0"/>
    <n v="0"/>
    <n v="100000"/>
    <n v="15000"/>
    <x v="9"/>
    <x v="66"/>
    <x v="3"/>
  </r>
  <r>
    <m/>
    <x v="146"/>
    <x v="0"/>
    <m/>
    <m/>
    <x v="129"/>
    <n v="0"/>
    <n v="0"/>
    <n v="100000"/>
    <n v="100000"/>
    <x v="9"/>
    <x v="66"/>
    <x v="3"/>
  </r>
  <r>
    <m/>
    <x v="35"/>
    <x v="0"/>
    <m/>
    <m/>
    <x v="29"/>
    <n v="0"/>
    <n v="0"/>
    <n v="100000"/>
    <n v="100000"/>
    <x v="9"/>
    <x v="66"/>
    <x v="3"/>
  </r>
  <r>
    <m/>
    <x v="80"/>
    <x v="0"/>
    <m/>
    <m/>
    <x v="69"/>
    <n v="0"/>
    <n v="0"/>
    <n v="100000"/>
    <n v="125000"/>
    <x v="9"/>
    <x v="66"/>
    <x v="3"/>
  </r>
  <r>
    <m/>
    <x v="10"/>
    <x v="0"/>
    <m/>
    <m/>
    <x v="8"/>
    <n v="0"/>
    <n v="0"/>
    <n v="150000"/>
    <n v="100000"/>
    <x v="9"/>
    <x v="66"/>
    <x v="3"/>
  </r>
  <r>
    <m/>
    <x v="78"/>
    <x v="0"/>
    <m/>
    <m/>
    <x v="67"/>
    <n v="0"/>
    <n v="0"/>
    <n v="150000"/>
    <n v="50000"/>
    <x v="9"/>
    <x v="66"/>
    <x v="3"/>
  </r>
  <r>
    <m/>
    <x v="55"/>
    <x v="0"/>
    <m/>
    <m/>
    <x v="46"/>
    <n v="0"/>
    <n v="0"/>
    <n v="100000"/>
    <n v="50000"/>
    <x v="9"/>
    <x v="66"/>
    <x v="3"/>
  </r>
  <r>
    <m/>
    <x v="52"/>
    <x v="0"/>
    <m/>
    <m/>
    <x v="43"/>
    <n v="0"/>
    <n v="0"/>
    <n v="100000"/>
    <n v="125000"/>
    <x v="9"/>
    <x v="66"/>
    <x v="3"/>
  </r>
  <r>
    <m/>
    <x v="77"/>
    <x v="0"/>
    <m/>
    <m/>
    <x v="66"/>
    <n v="0"/>
    <n v="0"/>
    <n v="100000"/>
    <n v="150000"/>
    <x v="9"/>
    <x v="66"/>
    <x v="3"/>
  </r>
  <r>
    <m/>
    <x v="126"/>
    <x v="0"/>
    <m/>
    <m/>
    <x v="112"/>
    <n v="0"/>
    <n v="0"/>
    <n v="100000"/>
    <n v="100000"/>
    <x v="9"/>
    <x v="66"/>
    <x v="3"/>
  </r>
  <r>
    <m/>
    <x v="49"/>
    <x v="0"/>
    <m/>
    <m/>
    <x v="42"/>
    <n v="0"/>
    <n v="0"/>
    <n v="100000"/>
    <n v="100000"/>
    <x v="9"/>
    <x v="66"/>
    <x v="3"/>
  </r>
  <r>
    <m/>
    <x v="142"/>
    <x v="0"/>
    <m/>
    <m/>
    <x v="125"/>
    <n v="0"/>
    <n v="0"/>
    <n v="100000"/>
    <n v="50000"/>
    <x v="9"/>
    <x v="66"/>
    <x v="3"/>
  </r>
  <r>
    <m/>
    <x v="153"/>
    <x v="0"/>
    <m/>
    <m/>
    <x v="134"/>
    <n v="0"/>
    <n v="0"/>
    <n v="150000"/>
    <n v="50000"/>
    <x v="9"/>
    <x v="66"/>
    <x v="3"/>
  </r>
  <r>
    <m/>
    <x v="29"/>
    <x v="0"/>
    <m/>
    <m/>
    <x v="24"/>
    <n v="0"/>
    <n v="0"/>
    <n v="100000"/>
    <n v="50000"/>
    <x v="9"/>
    <x v="66"/>
    <x v="3"/>
  </r>
  <r>
    <m/>
    <x v="83"/>
    <x v="0"/>
    <m/>
    <m/>
    <x v="72"/>
    <n v="0"/>
    <n v="0"/>
    <n v="100000"/>
    <n v="100000"/>
    <x v="9"/>
    <x v="66"/>
    <x v="3"/>
  </r>
  <r>
    <m/>
    <x v="189"/>
    <x v="0"/>
    <m/>
    <m/>
    <x v="168"/>
    <n v="0"/>
    <n v="0"/>
    <n v="100000"/>
    <n v="75000"/>
    <x v="9"/>
    <x v="66"/>
    <x v="3"/>
  </r>
  <r>
    <m/>
    <x v="13"/>
    <x v="0"/>
    <m/>
    <m/>
    <x v="10"/>
    <n v="0"/>
    <n v="0"/>
    <n v="100000"/>
    <n v="100000"/>
    <x v="9"/>
    <x v="66"/>
    <x v="3"/>
  </r>
  <r>
    <m/>
    <x v="115"/>
    <x v="0"/>
    <m/>
    <m/>
    <x v="101"/>
    <n v="0"/>
    <n v="0"/>
    <n v="150000"/>
    <n v="50000"/>
    <x v="9"/>
    <x v="66"/>
    <x v="3"/>
  </r>
  <r>
    <m/>
    <x v="20"/>
    <x v="0"/>
    <m/>
    <m/>
    <x v="16"/>
    <n v="0"/>
    <n v="0"/>
    <n v="100000"/>
    <n v="200000"/>
    <x v="9"/>
    <x v="66"/>
    <x v="3"/>
  </r>
  <r>
    <m/>
    <x v="2"/>
    <x v="0"/>
    <m/>
    <m/>
    <x v="2"/>
    <n v="0"/>
    <n v="0"/>
    <n v="100000"/>
    <n v="150000"/>
    <x v="9"/>
    <x v="66"/>
    <x v="3"/>
  </r>
  <r>
    <m/>
    <x v="91"/>
    <x v="0"/>
    <m/>
    <m/>
    <x v="80"/>
    <n v="0"/>
    <n v="0"/>
    <n v="100000"/>
    <n v="100000"/>
    <x v="9"/>
    <x v="66"/>
    <x v="3"/>
  </r>
  <r>
    <m/>
    <x v="67"/>
    <x v="0"/>
    <m/>
    <m/>
    <x v="57"/>
    <n v="0"/>
    <n v="0"/>
    <n v="100000"/>
    <n v="100000"/>
    <x v="9"/>
    <x v="66"/>
    <x v="3"/>
  </r>
  <r>
    <m/>
    <x v="119"/>
    <x v="0"/>
    <m/>
    <m/>
    <x v="105"/>
    <n v="0"/>
    <n v="0"/>
    <n v="200000"/>
    <n v="200000"/>
    <x v="9"/>
    <x v="66"/>
    <x v="3"/>
  </r>
  <r>
    <m/>
    <x v="179"/>
    <x v="0"/>
    <m/>
    <m/>
    <x v="158"/>
    <n v="0"/>
    <n v="0"/>
    <n v="200000"/>
    <n v="300000"/>
    <x v="9"/>
    <x v="66"/>
    <x v="3"/>
  </r>
  <r>
    <m/>
    <x v="184"/>
    <x v="0"/>
    <m/>
    <m/>
    <x v="163"/>
    <n v="0"/>
    <n v="0"/>
    <n v="100000"/>
    <n v="100000"/>
    <x v="9"/>
    <x v="66"/>
    <x v="3"/>
  </r>
  <r>
    <m/>
    <x v="72"/>
    <x v="0"/>
    <m/>
    <m/>
    <x v="62"/>
    <n v="0"/>
    <n v="0"/>
    <n v="100000"/>
    <n v="150000"/>
    <x v="9"/>
    <x v="66"/>
    <x v="3"/>
  </r>
  <r>
    <m/>
    <x v="180"/>
    <x v="0"/>
    <m/>
    <m/>
    <x v="159"/>
    <n v="0"/>
    <n v="0"/>
    <n v="100000"/>
    <n v="100000"/>
    <x v="9"/>
    <x v="66"/>
    <x v="3"/>
  </r>
  <r>
    <m/>
    <x v="70"/>
    <x v="0"/>
    <m/>
    <m/>
    <x v="60"/>
    <n v="0"/>
    <n v="0"/>
    <n v="100000"/>
    <n v="400000"/>
    <x v="9"/>
    <x v="66"/>
    <x v="3"/>
  </r>
  <r>
    <m/>
    <x v="39"/>
    <x v="0"/>
    <m/>
    <m/>
    <x v="33"/>
    <n v="0"/>
    <n v="0"/>
    <n v="100000"/>
    <n v="150000"/>
    <x v="9"/>
    <x v="66"/>
    <x v="3"/>
  </r>
  <r>
    <m/>
    <x v="17"/>
    <x v="0"/>
    <m/>
    <m/>
    <x v="13"/>
    <n v="0"/>
    <n v="0"/>
    <n v="200000"/>
    <n v="300000"/>
    <x v="9"/>
    <x v="66"/>
    <x v="3"/>
  </r>
  <r>
    <m/>
    <x v="112"/>
    <x v="0"/>
    <m/>
    <m/>
    <x v="98"/>
    <n v="0"/>
    <n v="0"/>
    <n v="100000"/>
    <n v="100000"/>
    <x v="9"/>
    <x v="66"/>
    <x v="3"/>
  </r>
  <r>
    <m/>
    <x v="151"/>
    <x v="0"/>
    <m/>
    <m/>
    <x v="133"/>
    <n v="0"/>
    <n v="0"/>
    <n v="100000"/>
    <n v="150000"/>
    <x v="9"/>
    <x v="66"/>
    <x v="3"/>
  </r>
  <r>
    <m/>
    <x v="103"/>
    <x v="0"/>
    <m/>
    <m/>
    <x v="91"/>
    <n v="0"/>
    <n v="0"/>
    <n v="100000"/>
    <n v="500000"/>
    <x v="9"/>
    <x v="66"/>
    <x v="3"/>
  </r>
  <r>
    <m/>
    <x v="56"/>
    <x v="0"/>
    <m/>
    <m/>
    <x v="47"/>
    <n v="0"/>
    <n v="0"/>
    <n v="100000"/>
    <n v="75000"/>
    <x v="9"/>
    <x v="66"/>
    <x v="3"/>
  </r>
  <r>
    <m/>
    <x v="205"/>
    <x v="0"/>
    <m/>
    <m/>
    <x v="180"/>
    <n v="0"/>
    <n v="0"/>
    <n v="150000"/>
    <n v="100000"/>
    <x v="9"/>
    <x v="66"/>
    <x v="3"/>
  </r>
  <r>
    <m/>
    <x v="27"/>
    <x v="0"/>
    <m/>
    <m/>
    <x v="23"/>
    <n v="0"/>
    <n v="0"/>
    <n v="100000"/>
    <n v="100000"/>
    <x v="9"/>
    <x v="66"/>
    <x v="3"/>
  </r>
  <r>
    <m/>
    <x v="28"/>
    <x v="0"/>
    <m/>
    <m/>
    <x v="23"/>
    <n v="0"/>
    <n v="0"/>
    <n v="100000"/>
    <n v="50000"/>
    <x v="9"/>
    <x v="66"/>
    <x v="3"/>
  </r>
  <r>
    <m/>
    <x v="37"/>
    <x v="0"/>
    <m/>
    <m/>
    <x v="31"/>
    <n v="0"/>
    <n v="0"/>
    <n v="100000"/>
    <n v="150000"/>
    <x v="9"/>
    <x v="66"/>
    <x v="3"/>
  </r>
  <r>
    <m/>
    <x v="79"/>
    <x v="0"/>
    <m/>
    <m/>
    <x v="68"/>
    <n v="0"/>
    <n v="0"/>
    <n v="100000"/>
    <n v="100000"/>
    <x v="9"/>
    <x v="66"/>
    <x v="3"/>
  </r>
  <r>
    <m/>
    <x v="36"/>
    <x v="0"/>
    <m/>
    <m/>
    <x v="30"/>
    <n v="0"/>
    <n v="0"/>
    <n v="100000"/>
    <n v="200000"/>
    <x v="9"/>
    <x v="66"/>
    <x v="3"/>
  </r>
  <r>
    <m/>
    <x v="120"/>
    <x v="0"/>
    <m/>
    <m/>
    <x v="106"/>
    <n v="0"/>
    <n v="0"/>
    <n v="100000"/>
    <n v="50000"/>
    <x v="9"/>
    <x v="66"/>
    <x v="3"/>
  </r>
  <r>
    <m/>
    <x v="8"/>
    <x v="0"/>
    <m/>
    <m/>
    <x v="7"/>
    <n v="0"/>
    <n v="0"/>
    <n v="200000"/>
    <n v="300000"/>
    <x v="9"/>
    <x v="66"/>
    <x v="3"/>
  </r>
  <r>
    <m/>
    <x v="157"/>
    <x v="0"/>
    <m/>
    <m/>
    <x v="138"/>
    <n v="0"/>
    <n v="0"/>
    <n v="100000"/>
    <n v="100000"/>
    <x v="9"/>
    <x v="66"/>
    <x v="3"/>
  </r>
  <r>
    <m/>
    <x v="191"/>
    <x v="0"/>
    <m/>
    <m/>
    <x v="170"/>
    <n v="0"/>
    <n v="0"/>
    <n v="100000"/>
    <n v="100000"/>
    <x v="9"/>
    <x v="66"/>
    <x v="3"/>
  </r>
  <r>
    <m/>
    <x v="75"/>
    <x v="0"/>
    <m/>
    <m/>
    <x v="64"/>
    <n v="0"/>
    <n v="0"/>
    <n v="100000"/>
    <n v="125000"/>
    <x v="9"/>
    <x v="66"/>
    <x v="3"/>
  </r>
  <r>
    <m/>
    <x v="19"/>
    <x v="0"/>
    <m/>
    <m/>
    <x v="15"/>
    <n v="0"/>
    <n v="0"/>
    <n v="100000"/>
    <n v="400000"/>
    <x v="9"/>
    <x v="66"/>
    <x v="3"/>
  </r>
  <r>
    <m/>
    <x v="38"/>
    <x v="0"/>
    <m/>
    <m/>
    <x v="32"/>
    <n v="0"/>
    <n v="0"/>
    <n v="100000"/>
    <n v="250000"/>
    <x v="9"/>
    <x v="66"/>
    <x v="3"/>
  </r>
  <r>
    <m/>
    <x v="105"/>
    <x v="0"/>
    <m/>
    <m/>
    <x v="93"/>
    <n v="0"/>
    <n v="0"/>
    <n v="100000"/>
    <n v="100000"/>
    <x v="9"/>
    <x v="66"/>
    <x v="3"/>
  </r>
  <r>
    <m/>
    <x v="57"/>
    <x v="0"/>
    <m/>
    <m/>
    <x v="48"/>
    <n v="0"/>
    <n v="0"/>
    <n v="150000"/>
    <n v="350000"/>
    <x v="9"/>
    <x v="66"/>
    <x v="3"/>
  </r>
  <r>
    <m/>
    <x v="181"/>
    <x v="0"/>
    <m/>
    <m/>
    <x v="160"/>
    <n v="0"/>
    <n v="0"/>
    <n v="100000"/>
    <n v="250000"/>
    <x v="9"/>
    <x v="66"/>
    <x v="3"/>
  </r>
  <r>
    <m/>
    <x v="122"/>
    <x v="0"/>
    <m/>
    <m/>
    <x v="108"/>
    <n v="0"/>
    <n v="0"/>
    <n v="100000"/>
    <n v="500000"/>
    <x v="9"/>
    <x v="66"/>
    <x v="3"/>
  </r>
  <r>
    <m/>
    <x v="206"/>
    <x v="0"/>
    <m/>
    <m/>
    <x v="181"/>
    <n v="0"/>
    <n v="0"/>
    <n v="100000"/>
    <n v="70000"/>
    <x v="9"/>
    <x v="66"/>
    <x v="3"/>
  </r>
  <r>
    <m/>
    <x v="163"/>
    <x v="0"/>
    <m/>
    <m/>
    <x v="144"/>
    <n v="0"/>
    <n v="0"/>
    <n v="100000"/>
    <n v="50000"/>
    <x v="9"/>
    <x v="66"/>
    <x v="3"/>
  </r>
  <r>
    <m/>
    <x v="190"/>
    <x v="0"/>
    <m/>
    <m/>
    <x v="169"/>
    <n v="0"/>
    <n v="0"/>
    <n v="100000"/>
    <n v="100000"/>
    <x v="9"/>
    <x v="66"/>
    <x v="3"/>
  </r>
  <r>
    <m/>
    <x v="207"/>
    <x v="0"/>
    <m/>
    <m/>
    <x v="182"/>
    <n v="0"/>
    <n v="0"/>
    <n v="100000"/>
    <n v="75000"/>
    <x v="9"/>
    <x v="66"/>
    <x v="3"/>
  </r>
  <r>
    <m/>
    <x v="47"/>
    <x v="0"/>
    <m/>
    <m/>
    <x v="40"/>
    <n v="0"/>
    <n v="0"/>
    <n v="100000"/>
    <n v="500000"/>
    <x v="9"/>
    <x v="66"/>
    <x v="3"/>
  </r>
  <r>
    <m/>
    <x v="137"/>
    <x v="0"/>
    <m/>
    <m/>
    <x v="121"/>
    <n v="0"/>
    <n v="0"/>
    <n v="100000"/>
    <n v="100000"/>
    <x v="9"/>
    <x v="66"/>
    <x v="3"/>
  </r>
  <r>
    <m/>
    <x v="176"/>
    <x v="0"/>
    <m/>
    <m/>
    <x v="156"/>
    <n v="0"/>
    <n v="0"/>
    <n v="100000"/>
    <n v="150000"/>
    <x v="9"/>
    <x v="66"/>
    <x v="3"/>
  </r>
  <r>
    <m/>
    <x v="32"/>
    <x v="0"/>
    <m/>
    <m/>
    <x v="26"/>
    <n v="0"/>
    <n v="0"/>
    <n v="100000"/>
    <n v="100000"/>
    <x v="9"/>
    <x v="66"/>
    <x v="3"/>
  </r>
  <r>
    <m/>
    <x v="6"/>
    <x v="0"/>
    <m/>
    <m/>
    <x v="6"/>
    <n v="0"/>
    <n v="0"/>
    <n v="100000"/>
    <n v="250000"/>
    <x v="9"/>
    <x v="66"/>
    <x v="3"/>
  </r>
  <r>
    <m/>
    <x v="121"/>
    <x v="0"/>
    <m/>
    <m/>
    <x v="107"/>
    <n v="0"/>
    <n v="0"/>
    <n v="100000"/>
    <n v="100000"/>
    <x v="9"/>
    <x v="66"/>
    <x v="3"/>
  </r>
  <r>
    <m/>
    <x v="44"/>
    <x v="0"/>
    <m/>
    <m/>
    <x v="37"/>
    <n v="0"/>
    <n v="0"/>
    <n v="100000"/>
    <n v="50000"/>
    <x v="9"/>
    <x v="66"/>
    <x v="3"/>
  </r>
  <r>
    <m/>
    <x v="185"/>
    <x v="0"/>
    <m/>
    <m/>
    <x v="164"/>
    <n v="0"/>
    <n v="0"/>
    <n v="100000"/>
    <n v="200000"/>
    <x v="9"/>
    <x v="66"/>
    <x v="3"/>
  </r>
  <r>
    <m/>
    <x v="42"/>
    <x v="0"/>
    <m/>
    <m/>
    <x v="35"/>
    <n v="0"/>
    <n v="0"/>
    <n v="100000"/>
    <n v="150000"/>
    <x v="9"/>
    <x v="66"/>
    <x v="3"/>
  </r>
  <r>
    <m/>
    <x v="123"/>
    <x v="0"/>
    <m/>
    <m/>
    <x v="109"/>
    <n v="0"/>
    <n v="0"/>
    <n v="100000"/>
    <n v="50000"/>
    <x v="9"/>
    <x v="66"/>
    <x v="3"/>
  </r>
  <r>
    <m/>
    <x v="162"/>
    <x v="0"/>
    <m/>
    <m/>
    <x v="143"/>
    <n v="0"/>
    <n v="0"/>
    <n v="100000"/>
    <n v="12500"/>
    <x v="9"/>
    <x v="66"/>
    <x v="3"/>
  </r>
  <r>
    <m/>
    <x v="208"/>
    <x v="0"/>
    <m/>
    <m/>
    <x v="183"/>
    <n v="0"/>
    <n v="0"/>
    <n v="100000"/>
    <n v="80000"/>
    <x v="9"/>
    <x v="66"/>
    <x v="3"/>
  </r>
  <r>
    <m/>
    <x v="138"/>
    <x v="0"/>
    <m/>
    <m/>
    <x v="122"/>
    <n v="0"/>
    <n v="0"/>
    <n v="100000"/>
    <n v="100000"/>
    <x v="9"/>
    <x v="66"/>
    <x v="3"/>
  </r>
  <r>
    <m/>
    <x v="183"/>
    <x v="0"/>
    <m/>
    <m/>
    <x v="162"/>
    <n v="0"/>
    <n v="0"/>
    <n v="100000"/>
    <n v="100000"/>
    <x v="9"/>
    <x v="66"/>
    <x v="3"/>
  </r>
  <r>
    <m/>
    <x v="53"/>
    <x v="0"/>
    <m/>
    <m/>
    <x v="44"/>
    <n v="0"/>
    <n v="0"/>
    <n v="100000"/>
    <n v="75000"/>
    <x v="9"/>
    <x v="66"/>
    <x v="3"/>
  </r>
  <r>
    <m/>
    <x v="203"/>
    <x v="0"/>
    <m/>
    <m/>
    <x v="178"/>
    <n v="0"/>
    <n v="0"/>
    <n v="100000"/>
    <n v="100000"/>
    <x v="9"/>
    <x v="66"/>
    <x v="3"/>
  </r>
  <r>
    <m/>
    <x v="23"/>
    <x v="0"/>
    <m/>
    <m/>
    <x v="19"/>
    <n v="0"/>
    <n v="0"/>
    <n v="100000"/>
    <n v="175000"/>
    <x v="9"/>
    <x v="66"/>
    <x v="3"/>
  </r>
  <r>
    <m/>
    <x v="102"/>
    <x v="0"/>
    <m/>
    <m/>
    <x v="90"/>
    <n v="0"/>
    <n v="0"/>
    <n v="100000"/>
    <n v="75000"/>
    <x v="9"/>
    <x v="66"/>
    <x v="3"/>
  </r>
  <r>
    <m/>
    <x v="196"/>
    <x v="0"/>
    <m/>
    <m/>
    <x v="174"/>
    <n v="0"/>
    <n v="0"/>
    <n v="100000"/>
    <n v="100000"/>
    <x v="9"/>
    <x v="66"/>
    <x v="3"/>
  </r>
  <r>
    <m/>
    <x v="155"/>
    <x v="0"/>
    <m/>
    <m/>
    <x v="136"/>
    <n v="0"/>
    <n v="0"/>
    <n v="100000"/>
    <n v="50000"/>
    <x v="9"/>
    <x v="66"/>
    <x v="3"/>
  </r>
  <r>
    <m/>
    <x v="170"/>
    <x v="0"/>
    <m/>
    <m/>
    <x v="151"/>
    <n v="0"/>
    <n v="0"/>
    <n v="100000"/>
    <n v="50000"/>
    <x v="9"/>
    <x v="66"/>
    <x v="3"/>
  </r>
  <r>
    <m/>
    <x v="204"/>
    <x v="0"/>
    <m/>
    <m/>
    <x v="179"/>
    <n v="0"/>
    <n v="0"/>
    <n v="100000"/>
    <n v="200000"/>
    <x v="9"/>
    <x v="66"/>
    <x v="3"/>
  </r>
  <r>
    <m/>
    <x v="98"/>
    <x v="0"/>
    <m/>
    <m/>
    <x v="86"/>
    <n v="0"/>
    <n v="0"/>
    <n v="100000"/>
    <n v="150000"/>
    <x v="9"/>
    <x v="66"/>
    <x v="3"/>
  </r>
  <r>
    <m/>
    <x v="168"/>
    <x v="0"/>
    <m/>
    <m/>
    <x v="149"/>
    <n v="0"/>
    <n v="0"/>
    <n v="100000"/>
    <n v="150000"/>
    <x v="9"/>
    <x v="66"/>
    <x v="3"/>
  </r>
  <r>
    <m/>
    <x v="125"/>
    <x v="0"/>
    <m/>
    <m/>
    <x v="111"/>
    <n v="0"/>
    <n v="0"/>
    <n v="100000"/>
    <n v="150000"/>
    <x v="9"/>
    <x v="66"/>
    <x v="3"/>
  </r>
  <r>
    <m/>
    <x v="132"/>
    <x v="0"/>
    <m/>
    <m/>
    <x v="117"/>
    <n v="0"/>
    <n v="0"/>
    <n v="100000"/>
    <n v="250000"/>
    <x v="9"/>
    <x v="66"/>
    <x v="3"/>
  </r>
  <r>
    <m/>
    <x v="84"/>
    <x v="0"/>
    <m/>
    <m/>
    <x v="73"/>
    <n v="0"/>
    <n v="0"/>
    <n v="100000"/>
    <n v="100000"/>
    <x v="9"/>
    <x v="66"/>
    <x v="3"/>
  </r>
  <r>
    <m/>
    <x v="117"/>
    <x v="0"/>
    <m/>
    <m/>
    <x v="103"/>
    <n v="0"/>
    <n v="0"/>
    <n v="100000"/>
    <n v="400000"/>
    <x v="9"/>
    <x v="66"/>
    <x v="3"/>
  </r>
  <r>
    <m/>
    <x v="46"/>
    <x v="0"/>
    <m/>
    <m/>
    <x v="39"/>
    <n v="0"/>
    <n v="0"/>
    <n v="100000"/>
    <n v="50000"/>
    <x v="9"/>
    <x v="66"/>
    <x v="3"/>
  </r>
  <r>
    <m/>
    <x v="95"/>
    <x v="0"/>
    <m/>
    <m/>
    <x v="83"/>
    <n v="0"/>
    <n v="0"/>
    <n v="100000"/>
    <n v="150000"/>
    <x v="9"/>
    <x v="66"/>
    <x v="3"/>
  </r>
  <r>
    <m/>
    <x v="165"/>
    <x v="0"/>
    <m/>
    <m/>
    <x v="146"/>
    <n v="0"/>
    <n v="0"/>
    <n v="100000"/>
    <n v="100000"/>
    <x v="9"/>
    <x v="66"/>
    <x v="3"/>
  </r>
  <r>
    <m/>
    <x v="197"/>
    <x v="0"/>
    <m/>
    <m/>
    <x v="175"/>
    <n v="0"/>
    <n v="0"/>
    <n v="100000"/>
    <n v="200000"/>
    <x v="9"/>
    <x v="66"/>
    <x v="3"/>
  </r>
  <r>
    <m/>
    <x v="145"/>
    <x v="0"/>
    <m/>
    <m/>
    <x v="128"/>
    <n v="0"/>
    <n v="0"/>
    <n v="100000"/>
    <n v="100000"/>
    <x v="9"/>
    <x v="66"/>
    <x v="3"/>
  </r>
  <r>
    <m/>
    <x v="5"/>
    <x v="0"/>
    <m/>
    <m/>
    <x v="5"/>
    <n v="0"/>
    <n v="0"/>
    <n v="100000"/>
    <n v="100000"/>
    <x v="9"/>
    <x v="66"/>
    <x v="3"/>
  </r>
  <r>
    <m/>
    <x v="178"/>
    <x v="0"/>
    <m/>
    <m/>
    <x v="157"/>
    <n v="0"/>
    <n v="0"/>
    <n v="100000"/>
    <n v="100000"/>
    <x v="9"/>
    <x v="66"/>
    <x v="3"/>
  </r>
  <r>
    <m/>
    <x v="18"/>
    <x v="0"/>
    <m/>
    <m/>
    <x v="14"/>
    <n v="0"/>
    <n v="0"/>
    <n v="100000"/>
    <n v="50000"/>
    <x v="9"/>
    <x v="66"/>
    <x v="3"/>
  </r>
  <r>
    <m/>
    <x v="114"/>
    <x v="0"/>
    <m/>
    <m/>
    <x v="100"/>
    <n v="0"/>
    <n v="0"/>
    <n v="100000"/>
    <n v="100000"/>
    <x v="9"/>
    <x v="66"/>
    <x v="3"/>
  </r>
  <r>
    <m/>
    <x v="116"/>
    <x v="0"/>
    <m/>
    <m/>
    <x v="102"/>
    <n v="0"/>
    <n v="0"/>
    <n v="100000"/>
    <n v="100000"/>
    <x v="9"/>
    <x v="66"/>
    <x v="3"/>
  </r>
  <r>
    <m/>
    <x v="60"/>
    <x v="0"/>
    <m/>
    <m/>
    <x v="51"/>
    <n v="0"/>
    <n v="0"/>
    <n v="100000"/>
    <n v="100000"/>
    <x v="9"/>
    <x v="66"/>
    <x v="3"/>
  </r>
  <r>
    <m/>
    <x v="124"/>
    <x v="0"/>
    <m/>
    <m/>
    <x v="110"/>
    <n v="0"/>
    <n v="0"/>
    <n v="100000"/>
    <n v="150000"/>
    <x v="9"/>
    <x v="66"/>
    <x v="3"/>
  </r>
  <r>
    <m/>
    <x v="81"/>
    <x v="0"/>
    <m/>
    <m/>
    <x v="70"/>
    <n v="0"/>
    <n v="0"/>
    <n v="100000"/>
    <n v="200000"/>
    <x v="9"/>
    <x v="66"/>
    <x v="3"/>
  </r>
  <r>
    <m/>
    <x v="40"/>
    <x v="0"/>
    <m/>
    <m/>
    <x v="34"/>
    <n v="0"/>
    <n v="0"/>
    <n v="100000"/>
    <n v="100000"/>
    <x v="9"/>
    <x v="66"/>
    <x v="3"/>
  </r>
  <r>
    <m/>
    <x v="24"/>
    <x v="0"/>
    <m/>
    <m/>
    <x v="20"/>
    <n v="0"/>
    <n v="0"/>
    <n v="100000"/>
    <n v="200000"/>
    <x v="9"/>
    <x v="66"/>
    <x v="3"/>
  </r>
  <r>
    <m/>
    <x v="144"/>
    <x v="0"/>
    <m/>
    <m/>
    <x v="127"/>
    <n v="0"/>
    <n v="0"/>
    <n v="100000"/>
    <n v="100000"/>
    <x v="9"/>
    <x v="66"/>
    <x v="3"/>
  </r>
  <r>
    <m/>
    <x v="65"/>
    <x v="0"/>
    <m/>
    <m/>
    <x v="55"/>
    <n v="0"/>
    <n v="0"/>
    <n v="100000"/>
    <n v="300000"/>
    <x v="9"/>
    <x v="66"/>
    <x v="3"/>
  </r>
  <r>
    <m/>
    <x v="54"/>
    <x v="0"/>
    <m/>
    <m/>
    <x v="45"/>
    <n v="0"/>
    <n v="0"/>
    <n v="100000"/>
    <n v="100000"/>
    <x v="9"/>
    <x v="66"/>
    <x v="3"/>
  </r>
  <r>
    <m/>
    <x v="25"/>
    <x v="0"/>
    <m/>
    <m/>
    <x v="21"/>
    <n v="0"/>
    <n v="0"/>
    <n v="100000"/>
    <n v="150000"/>
    <x v="9"/>
    <x v="66"/>
    <x v="3"/>
  </r>
  <r>
    <m/>
    <x v="192"/>
    <x v="0"/>
    <m/>
    <m/>
    <x v="171"/>
    <n v="0"/>
    <n v="0"/>
    <n v="100000"/>
    <n v="150000"/>
    <x v="9"/>
    <x v="66"/>
    <x v="3"/>
  </r>
  <r>
    <m/>
    <x v="69"/>
    <x v="0"/>
    <m/>
    <m/>
    <x v="59"/>
    <n v="0"/>
    <n v="0"/>
    <n v="100000"/>
    <n v="50000"/>
    <x v="9"/>
    <x v="66"/>
    <x v="3"/>
  </r>
  <r>
    <m/>
    <x v="1"/>
    <x v="0"/>
    <m/>
    <m/>
    <x v="1"/>
    <n v="0"/>
    <n v="0"/>
    <n v="100000"/>
    <n v="150000"/>
    <x v="9"/>
    <x v="66"/>
    <x v="3"/>
  </r>
  <r>
    <m/>
    <x v="11"/>
    <x v="0"/>
    <m/>
    <m/>
    <x v="9"/>
    <n v="0"/>
    <n v="0"/>
    <n v="100000"/>
    <n v="50000"/>
    <x v="9"/>
    <x v="66"/>
    <x v="3"/>
  </r>
  <r>
    <m/>
    <x v="209"/>
    <x v="0"/>
    <m/>
    <m/>
    <x v="184"/>
    <n v="0"/>
    <n v="0"/>
    <n v="100000"/>
    <n v="200000"/>
    <x v="9"/>
    <x v="66"/>
    <x v="3"/>
  </r>
  <r>
    <m/>
    <x v="14"/>
    <x v="0"/>
    <m/>
    <m/>
    <x v="11"/>
    <n v="0"/>
    <n v="0"/>
    <n v="100000"/>
    <n v="100000"/>
    <x v="9"/>
    <x v="66"/>
    <x v="3"/>
  </r>
  <r>
    <m/>
    <x v="149"/>
    <x v="0"/>
    <m/>
    <m/>
    <x v="131"/>
    <n v="0"/>
    <n v="0"/>
    <n v="100000"/>
    <n v="100000"/>
    <x v="9"/>
    <x v="66"/>
    <x v="3"/>
  </r>
  <r>
    <m/>
    <x v="87"/>
    <x v="0"/>
    <m/>
    <m/>
    <x v="76"/>
    <n v="0"/>
    <n v="0"/>
    <n v="100000"/>
    <n v="400000"/>
    <x v="9"/>
    <x v="66"/>
    <x v="3"/>
  </r>
  <r>
    <m/>
    <x v="0"/>
    <x v="0"/>
    <m/>
    <m/>
    <x v="0"/>
    <n v="0"/>
    <n v="0"/>
    <n v="100000"/>
    <n v="200000"/>
    <x v="9"/>
    <x v="66"/>
    <x v="3"/>
  </r>
  <r>
    <m/>
    <x v="188"/>
    <x v="0"/>
    <m/>
    <m/>
    <x v="167"/>
    <n v="0"/>
    <n v="0"/>
    <n v="100000"/>
    <n v="100000"/>
    <x v="9"/>
    <x v="66"/>
    <x v="3"/>
  </r>
  <r>
    <m/>
    <x v="147"/>
    <x v="0"/>
    <m/>
    <m/>
    <x v="18"/>
    <n v="0"/>
    <n v="0"/>
    <n v="100000"/>
    <n v="200000"/>
    <x v="9"/>
    <x v="66"/>
    <x v="3"/>
  </r>
  <r>
    <m/>
    <x v="22"/>
    <x v="0"/>
    <m/>
    <m/>
    <x v="18"/>
    <n v="0"/>
    <n v="0"/>
    <n v="100000"/>
    <n v="200000"/>
    <x v="9"/>
    <x v="66"/>
    <x v="3"/>
  </r>
  <r>
    <m/>
    <x v="201"/>
    <x v="3"/>
    <m/>
    <m/>
    <x v="177"/>
    <n v="0"/>
    <n v="0"/>
    <n v="100000"/>
    <n v="100000"/>
    <x v="9"/>
    <x v="66"/>
    <x v="3"/>
  </r>
  <r>
    <m/>
    <x v="199"/>
    <x v="3"/>
    <m/>
    <m/>
    <x v="18"/>
    <n v="0"/>
    <n v="0"/>
    <n v="100000"/>
    <n v="100000"/>
    <x v="9"/>
    <x v="66"/>
    <x v="3"/>
  </r>
  <r>
    <m/>
    <x v="202"/>
    <x v="0"/>
    <m/>
    <m/>
    <x v="18"/>
    <n v="0"/>
    <n v="0"/>
    <n v="100000"/>
    <n v="10000"/>
    <x v="9"/>
    <x v="66"/>
    <x v="3"/>
  </r>
  <r>
    <m/>
    <x v="91"/>
    <x v="0"/>
    <m/>
    <m/>
    <x v="80"/>
    <n v="0"/>
    <n v="0"/>
    <n v="0"/>
    <n v="-5000000"/>
    <x v="10"/>
    <x v="67"/>
    <x v="9"/>
  </r>
  <r>
    <m/>
    <x v="2"/>
    <x v="0"/>
    <m/>
    <m/>
    <x v="2"/>
    <n v="0"/>
    <n v="0"/>
    <n v="0"/>
    <n v="-1000000"/>
    <x v="10"/>
    <x v="67"/>
    <x v="9"/>
  </r>
  <r>
    <m/>
    <x v="19"/>
    <x v="0"/>
    <m/>
    <m/>
    <x v="15"/>
    <n v="-930313"/>
    <n v="0"/>
    <n v="-4100000"/>
    <n v="-3767593"/>
    <x v="9"/>
    <x v="68"/>
    <x v="10"/>
  </r>
  <r>
    <m/>
    <x v="210"/>
    <x v="4"/>
    <m/>
    <m/>
    <x v="185"/>
    <m/>
    <m/>
    <m/>
    <m/>
    <x v="11"/>
    <x v="69"/>
    <x v="1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6">
  <r>
    <x v="0"/>
    <x v="0"/>
    <x v="0"/>
    <n v="6600000"/>
    <x v="0"/>
  </r>
  <r>
    <x v="1"/>
    <x v="1"/>
    <x v="0"/>
    <n v="880000"/>
    <x v="0"/>
  </r>
  <r>
    <x v="2"/>
    <x v="2"/>
    <x v="0"/>
    <n v="6570667"/>
    <x v="0"/>
  </r>
  <r>
    <x v="3"/>
    <x v="3"/>
    <x v="0"/>
    <n v="0"/>
    <x v="0"/>
  </r>
  <r>
    <x v="4"/>
    <x v="4"/>
    <x v="0"/>
    <n v="1862000"/>
    <x v="0"/>
  </r>
  <r>
    <x v="5"/>
    <x v="5"/>
    <x v="0"/>
    <n v="0"/>
    <x v="0"/>
  </r>
  <r>
    <x v="6"/>
    <x v="6"/>
    <x v="0"/>
    <n v="12687500"/>
    <x v="0"/>
  </r>
  <r>
    <x v="7"/>
    <x v="7"/>
    <x v="0"/>
    <n v="917140"/>
    <x v="0"/>
  </r>
  <r>
    <x v="8"/>
    <x v="8"/>
    <x v="0"/>
    <n v="105800000"/>
    <x v="0"/>
  </r>
  <r>
    <x v="9"/>
    <x v="9"/>
    <x v="0"/>
    <n v="13950000"/>
    <x v="0"/>
  </r>
  <r>
    <x v="10"/>
    <x v="10"/>
    <x v="0"/>
    <n v="19800000"/>
    <x v="0"/>
  </r>
  <r>
    <x v="11"/>
    <x v="11"/>
    <x v="0"/>
    <n v="0"/>
    <x v="0"/>
  </r>
  <r>
    <x v="12"/>
    <x v="12"/>
    <x v="0"/>
    <n v="33450002"/>
    <x v="0"/>
  </r>
  <r>
    <x v="13"/>
    <x v="13"/>
    <x v="0"/>
    <n v="29925000"/>
    <x v="0"/>
  </r>
  <r>
    <x v="14"/>
    <x v="14"/>
    <x v="0"/>
    <n v="14466668"/>
    <x v="0"/>
  </r>
  <r>
    <x v="15"/>
    <x v="15"/>
    <x v="0"/>
    <n v="88666664"/>
    <x v="0"/>
  </r>
  <r>
    <x v="16"/>
    <x v="16"/>
    <x v="0"/>
    <n v="62225000"/>
    <x v="0"/>
  </r>
  <r>
    <x v="17"/>
    <x v="17"/>
    <x v="0"/>
    <n v="7665000"/>
    <x v="0"/>
  </r>
  <r>
    <x v="18"/>
    <x v="18"/>
    <x v="0"/>
    <n v="37376667"/>
    <x v="0"/>
  </r>
  <r>
    <x v="19"/>
    <x v="19"/>
    <x v="0"/>
    <n v="0"/>
    <x v="0"/>
  </r>
  <r>
    <x v="20"/>
    <x v="20"/>
    <x v="0"/>
    <n v="4780000"/>
    <x v="0"/>
  </r>
  <r>
    <x v="21"/>
    <x v="21"/>
    <x v="0"/>
    <n v="93450000"/>
    <x v="0"/>
  </r>
  <r>
    <x v="22"/>
    <x v="22"/>
    <x v="0"/>
    <n v="0"/>
    <x v="0"/>
  </r>
  <r>
    <x v="23"/>
    <x v="23"/>
    <x v="0"/>
    <n v="0"/>
    <x v="0"/>
  </r>
  <r>
    <x v="24"/>
    <x v="24"/>
    <x v="0"/>
    <n v="9800000"/>
    <x v="0"/>
  </r>
  <r>
    <x v="25"/>
    <x v="25"/>
    <x v="0"/>
    <n v="9300000"/>
    <x v="0"/>
  </r>
  <r>
    <x v="26"/>
    <x v="26"/>
    <x v="0"/>
    <n v="0"/>
    <x v="0"/>
  </r>
  <r>
    <x v="27"/>
    <x v="27"/>
    <x v="0"/>
    <n v="31591669"/>
    <x v="0"/>
  </r>
  <r>
    <x v="28"/>
    <x v="28"/>
    <x v="0"/>
    <n v="0"/>
    <x v="0"/>
  </r>
  <r>
    <x v="29"/>
    <x v="29"/>
    <x v="0"/>
    <n v="129816758"/>
    <x v="0"/>
  </r>
  <r>
    <x v="30"/>
    <x v="30"/>
    <x v="0"/>
    <n v="11000000"/>
    <x v="0"/>
  </r>
  <r>
    <x v="31"/>
    <x v="31"/>
    <x v="0"/>
    <n v="16500000"/>
    <x v="0"/>
  </r>
  <r>
    <x v="32"/>
    <x v="32"/>
    <x v="0"/>
    <n v="1890000"/>
    <x v="0"/>
  </r>
  <r>
    <x v="33"/>
    <x v="33"/>
    <x v="0"/>
    <n v="0"/>
    <x v="0"/>
  </r>
  <r>
    <x v="34"/>
    <x v="4"/>
    <x v="0"/>
    <n v="3520000"/>
    <x v="0"/>
  </r>
  <r>
    <x v="35"/>
    <x v="34"/>
    <x v="0"/>
    <n v="62500000"/>
    <x v="0"/>
  </r>
  <r>
    <x v="36"/>
    <x v="35"/>
    <x v="0"/>
    <n v="0"/>
    <x v="0"/>
  </r>
  <r>
    <x v="37"/>
    <x v="36"/>
    <x v="0"/>
    <n v="38231670"/>
    <x v="0"/>
  </r>
  <r>
    <x v="38"/>
    <x v="4"/>
    <x v="0"/>
    <n v="18666334"/>
    <x v="0"/>
  </r>
  <r>
    <x v="39"/>
    <x v="37"/>
    <x v="0"/>
    <n v="21700001"/>
    <x v="0"/>
  </r>
  <r>
    <x v="40"/>
    <x v="38"/>
    <x v="0"/>
    <n v="7200000"/>
    <x v="0"/>
  </r>
  <r>
    <x v="41"/>
    <x v="39"/>
    <x v="0"/>
    <n v="1515000"/>
    <x v="0"/>
  </r>
  <r>
    <x v="42"/>
    <x v="40"/>
    <x v="0"/>
    <n v="99000000"/>
    <x v="0"/>
  </r>
  <r>
    <x v="43"/>
    <x v="41"/>
    <x v="0"/>
    <n v="51458335"/>
    <x v="0"/>
  </r>
  <r>
    <x v="44"/>
    <x v="42"/>
    <x v="0"/>
    <n v="13583330"/>
    <x v="0"/>
  </r>
  <r>
    <x v="45"/>
    <x v="43"/>
    <x v="0"/>
    <n v="10091666"/>
    <x v="0"/>
  </r>
  <r>
    <x v="46"/>
    <x v="44"/>
    <x v="0"/>
    <n v="686666"/>
    <x v="0"/>
  </r>
  <r>
    <x v="47"/>
    <x v="45"/>
    <x v="0"/>
    <n v="0"/>
    <x v="0"/>
  </r>
  <r>
    <x v="48"/>
    <x v="46"/>
    <x v="0"/>
    <n v="54471667"/>
    <x v="0"/>
  </r>
  <r>
    <x v="49"/>
    <x v="47"/>
    <x v="0"/>
    <n v="7150000"/>
    <x v="0"/>
  </r>
  <r>
    <x v="50"/>
    <x v="48"/>
    <x v="0"/>
    <n v="76628333"/>
    <x v="0"/>
  </r>
  <r>
    <x v="51"/>
    <x v="49"/>
    <x v="0"/>
    <n v="13650000"/>
    <x v="0"/>
  </r>
  <r>
    <x v="52"/>
    <x v="50"/>
    <x v="0"/>
    <n v="12146672"/>
    <x v="0"/>
  </r>
  <r>
    <x v="53"/>
    <x v="51"/>
    <x v="0"/>
    <n v="0"/>
    <x v="0"/>
  </r>
  <r>
    <x v="54"/>
    <x v="52"/>
    <x v="0"/>
    <n v="3180000"/>
    <x v="0"/>
  </r>
  <r>
    <x v="55"/>
    <x v="53"/>
    <x v="0"/>
    <n v="0"/>
    <x v="0"/>
  </r>
  <r>
    <x v="56"/>
    <x v="54"/>
    <x v="0"/>
    <n v="58900000"/>
    <x v="0"/>
  </r>
  <r>
    <x v="57"/>
    <x v="55"/>
    <x v="0"/>
    <n v="31325000"/>
    <x v="0"/>
  </r>
  <r>
    <x v="58"/>
    <x v="56"/>
    <x v="0"/>
    <n v="0"/>
    <x v="0"/>
  </r>
  <r>
    <x v="59"/>
    <x v="57"/>
    <x v="0"/>
    <n v="52889440"/>
    <x v="0"/>
  </r>
  <r>
    <x v="60"/>
    <x v="58"/>
    <x v="0"/>
    <n v="65000000"/>
    <x v="0"/>
  </r>
  <r>
    <x v="61"/>
    <x v="59"/>
    <x v="0"/>
    <n v="11959092"/>
    <x v="0"/>
  </r>
  <r>
    <x v="62"/>
    <x v="24"/>
    <x v="0"/>
    <n v="6160000"/>
    <x v="0"/>
  </r>
  <r>
    <x v="63"/>
    <x v="60"/>
    <x v="0"/>
    <n v="83055000"/>
    <x v="0"/>
  </r>
  <r>
    <x v="64"/>
    <x v="61"/>
    <x v="0"/>
    <n v="32550000"/>
    <x v="0"/>
  </r>
  <r>
    <x v="65"/>
    <x v="62"/>
    <x v="0"/>
    <n v="11760000"/>
    <x v="0"/>
  </r>
  <r>
    <x v="66"/>
    <x v="4"/>
    <x v="0"/>
    <n v="0"/>
    <x v="0"/>
  </r>
  <r>
    <x v="67"/>
    <x v="63"/>
    <x v="0"/>
    <n v="0"/>
    <x v="0"/>
  </r>
  <r>
    <x v="68"/>
    <x v="64"/>
    <x v="0"/>
    <n v="6533330"/>
    <x v="0"/>
  </r>
  <r>
    <x v="69"/>
    <x v="65"/>
    <x v="0"/>
    <n v="1650000"/>
    <x v="0"/>
  </r>
  <r>
    <x v="70"/>
    <x v="66"/>
    <x v="0"/>
    <n v="0"/>
    <x v="0"/>
  </r>
  <r>
    <x v="71"/>
    <x v="67"/>
    <x v="0"/>
    <n v="0"/>
    <x v="0"/>
  </r>
  <r>
    <x v="72"/>
    <x v="68"/>
    <x v="0"/>
    <n v="65500000"/>
    <x v="0"/>
  </r>
  <r>
    <x v="73"/>
    <x v="69"/>
    <x v="0"/>
    <n v="30040000"/>
    <x v="0"/>
  </r>
  <r>
    <x v="74"/>
    <x v="70"/>
    <x v="0"/>
    <n v="15200000"/>
    <x v="0"/>
  </r>
  <r>
    <x v="75"/>
    <x v="71"/>
    <x v="0"/>
    <n v="0"/>
    <x v="0"/>
  </r>
  <r>
    <x v="76"/>
    <x v="72"/>
    <x v="0"/>
    <n v="19166664"/>
    <x v="0"/>
  </r>
  <r>
    <x v="77"/>
    <x v="73"/>
    <x v="0"/>
    <n v="17566669"/>
    <x v="0"/>
  </r>
  <r>
    <x v="78"/>
    <x v="74"/>
    <x v="0"/>
    <n v="0"/>
    <x v="0"/>
  </r>
  <r>
    <x v="79"/>
    <x v="75"/>
    <x v="0"/>
    <n v="1866663"/>
    <x v="0"/>
  </r>
  <r>
    <x v="80"/>
    <x v="76"/>
    <x v="0"/>
    <n v="0"/>
    <x v="0"/>
  </r>
  <r>
    <x v="81"/>
    <x v="77"/>
    <x v="0"/>
    <n v="55416667"/>
    <x v="0"/>
  </r>
  <r>
    <x v="82"/>
    <x v="78"/>
    <x v="0"/>
    <n v="5366667"/>
    <x v="0"/>
  </r>
  <r>
    <x v="83"/>
    <x v="4"/>
    <x v="0"/>
    <n v="0"/>
    <x v="0"/>
  </r>
  <r>
    <x v="84"/>
    <x v="79"/>
    <x v="0"/>
    <n v="4666670"/>
    <x v="0"/>
  </r>
  <r>
    <x v="85"/>
    <x v="80"/>
    <x v="0"/>
    <n v="62291667"/>
    <x v="0"/>
  </r>
  <r>
    <x v="86"/>
    <x v="81"/>
    <x v="0"/>
    <n v="0"/>
    <x v="0"/>
  </r>
  <r>
    <x v="87"/>
    <x v="82"/>
    <x v="0"/>
    <n v="23620000"/>
    <x v="0"/>
  </r>
  <r>
    <x v="88"/>
    <x v="83"/>
    <x v="0"/>
    <n v="12879998"/>
    <x v="0"/>
  </r>
  <r>
    <x v="89"/>
    <x v="84"/>
    <x v="0"/>
    <n v="7280000"/>
    <x v="0"/>
  </r>
  <r>
    <x v="90"/>
    <x v="85"/>
    <x v="0"/>
    <n v="11200000"/>
    <x v="0"/>
  </r>
  <r>
    <x v="91"/>
    <x v="86"/>
    <x v="0"/>
    <n v="85400000"/>
    <x v="0"/>
  </r>
  <r>
    <x v="92"/>
    <x v="87"/>
    <x v="0"/>
    <n v="1222855"/>
    <x v="0"/>
  </r>
  <r>
    <x v="93"/>
    <x v="88"/>
    <x v="0"/>
    <n v="0"/>
    <x v="0"/>
  </r>
  <r>
    <x v="94"/>
    <x v="89"/>
    <x v="0"/>
    <n v="0"/>
    <x v="0"/>
  </r>
  <r>
    <x v="95"/>
    <x v="90"/>
    <x v="0"/>
    <n v="57516668"/>
    <x v="0"/>
  </r>
  <r>
    <x v="96"/>
    <x v="24"/>
    <x v="0"/>
    <n v="2754999"/>
    <x v="0"/>
  </r>
  <r>
    <x v="97"/>
    <x v="91"/>
    <x v="0"/>
    <n v="27900000"/>
    <x v="0"/>
  </r>
  <r>
    <x v="98"/>
    <x v="92"/>
    <x v="0"/>
    <n v="11000000"/>
    <x v="0"/>
  </r>
  <r>
    <x v="99"/>
    <x v="93"/>
    <x v="0"/>
    <n v="44115000"/>
    <x v="0"/>
  </r>
  <r>
    <x v="100"/>
    <x v="94"/>
    <x v="0"/>
    <n v="6720000"/>
    <x v="0"/>
  </r>
  <r>
    <x v="101"/>
    <x v="95"/>
    <x v="0"/>
    <n v="65308331"/>
    <x v="0"/>
  </r>
  <r>
    <x v="102"/>
    <x v="24"/>
    <x v="0"/>
    <n v="12613638"/>
    <x v="0"/>
  </r>
  <r>
    <x v="103"/>
    <x v="96"/>
    <x v="0"/>
    <n v="0"/>
    <x v="0"/>
  </r>
  <r>
    <x v="104"/>
    <x v="97"/>
    <x v="0"/>
    <n v="56875001"/>
    <x v="0"/>
  </r>
  <r>
    <x v="105"/>
    <x v="98"/>
    <x v="0"/>
    <n v="70650000"/>
    <x v="0"/>
  </r>
  <r>
    <x v="106"/>
    <x v="99"/>
    <x v="0"/>
    <n v="65205000"/>
    <x v="0"/>
  </r>
  <r>
    <x v="107"/>
    <x v="100"/>
    <x v="0"/>
    <n v="2750000"/>
    <x v="0"/>
  </r>
  <r>
    <x v="108"/>
    <x v="101"/>
    <x v="0"/>
    <n v="41891667"/>
    <x v="0"/>
  </r>
  <r>
    <x v="109"/>
    <x v="102"/>
    <x v="0"/>
    <n v="13066665"/>
    <x v="0"/>
  </r>
  <r>
    <x v="110"/>
    <x v="103"/>
    <x v="0"/>
    <n v="0"/>
    <x v="0"/>
  </r>
  <r>
    <x v="111"/>
    <x v="104"/>
    <x v="0"/>
    <n v="0"/>
    <x v="0"/>
  </r>
  <r>
    <x v="112"/>
    <x v="105"/>
    <x v="0"/>
    <n v="71166668"/>
    <x v="0"/>
  </r>
  <r>
    <x v="113"/>
    <x v="106"/>
    <x v="0"/>
    <n v="8800000"/>
    <x v="0"/>
  </r>
  <r>
    <x v="114"/>
    <x v="107"/>
    <x v="0"/>
    <n v="1960003"/>
    <x v="0"/>
  </r>
  <r>
    <x v="115"/>
    <x v="108"/>
    <x v="0"/>
    <n v="20075000"/>
    <x v="0"/>
  </r>
  <r>
    <x v="116"/>
    <x v="4"/>
    <x v="0"/>
    <n v="0"/>
    <x v="0"/>
  </r>
  <r>
    <x v="117"/>
    <x v="109"/>
    <x v="0"/>
    <n v="25633332"/>
    <x v="0"/>
  </r>
  <r>
    <x v="118"/>
    <x v="110"/>
    <x v="0"/>
    <n v="25833332"/>
    <x v="0"/>
  </r>
  <r>
    <x v="119"/>
    <x v="111"/>
    <x v="0"/>
    <n v="1540000"/>
    <x v="0"/>
  </r>
  <r>
    <x v="120"/>
    <x v="112"/>
    <x v="0"/>
    <n v="37166668"/>
    <x v="0"/>
  </r>
  <r>
    <x v="121"/>
    <x v="113"/>
    <x v="0"/>
    <n v="0"/>
    <x v="0"/>
  </r>
  <r>
    <x v="122"/>
    <x v="114"/>
    <x v="0"/>
    <n v="29225000"/>
    <x v="0"/>
  </r>
  <r>
    <x v="123"/>
    <x v="115"/>
    <x v="0"/>
    <n v="23871005"/>
    <x v="0"/>
  </r>
  <r>
    <x v="124"/>
    <x v="4"/>
    <x v="0"/>
    <n v="0"/>
    <x v="0"/>
  </r>
  <r>
    <x v="125"/>
    <x v="116"/>
    <x v="0"/>
    <n v="26966668"/>
    <x v="0"/>
  </r>
  <r>
    <x v="126"/>
    <x v="117"/>
    <x v="0"/>
    <n v="12089998"/>
    <x v="0"/>
  </r>
  <r>
    <x v="127"/>
    <x v="118"/>
    <x v="0"/>
    <n v="48750002"/>
    <x v="0"/>
  </r>
  <r>
    <x v="128"/>
    <x v="119"/>
    <x v="0"/>
    <n v="9041661"/>
    <x v="0"/>
  </r>
  <r>
    <x v="129"/>
    <x v="24"/>
    <x v="0"/>
    <n v="0"/>
    <x v="0"/>
  </r>
  <r>
    <x v="122"/>
    <x v="114"/>
    <x v="1"/>
    <n v="775000"/>
    <x v="1"/>
  </r>
  <r>
    <x v="89"/>
    <x v="84"/>
    <x v="2"/>
    <n v="560000"/>
    <x v="1"/>
  </r>
  <r>
    <x v="25"/>
    <x v="25"/>
    <x v="1"/>
    <n v="15000000"/>
    <x v="2"/>
  </r>
  <r>
    <x v="34"/>
    <x v="4"/>
    <x v="1"/>
    <n v="-440000"/>
    <x v="1"/>
  </r>
  <r>
    <x v="38"/>
    <x v="4"/>
    <x v="1"/>
    <n v="-1866666"/>
    <x v="1"/>
  </r>
  <r>
    <x v="1"/>
    <x v="1"/>
    <x v="3"/>
    <n v="3000000"/>
    <x v="2"/>
  </r>
  <r>
    <x v="0"/>
    <x v="0"/>
    <x v="4"/>
    <n v="-660000"/>
    <x v="1"/>
  </r>
  <r>
    <x v="1"/>
    <x v="1"/>
    <x v="3"/>
    <n v="300000"/>
    <x v="3"/>
  </r>
  <r>
    <x v="1"/>
    <x v="1"/>
    <x v="3"/>
    <n v="-880000"/>
    <x v="1"/>
  </r>
  <r>
    <x v="1"/>
    <x v="1"/>
    <x v="4"/>
    <n v="-220000"/>
    <x v="1"/>
  </r>
  <r>
    <x v="1"/>
    <x v="1"/>
    <x v="5"/>
    <n v="720000"/>
    <x v="1"/>
  </r>
  <r>
    <x v="2"/>
    <x v="2"/>
    <x v="4"/>
    <n v="-597333"/>
    <x v="1"/>
  </r>
  <r>
    <x v="5"/>
    <x v="5"/>
    <x v="4"/>
    <n v="-350000"/>
    <x v="1"/>
  </r>
  <r>
    <x v="5"/>
    <x v="5"/>
    <x v="5"/>
    <n v="350000"/>
    <x v="1"/>
  </r>
  <r>
    <x v="6"/>
    <x v="6"/>
    <x v="4"/>
    <n v="-1812500"/>
    <x v="1"/>
  </r>
  <r>
    <x v="7"/>
    <x v="7"/>
    <x v="4"/>
    <n v="-458572"/>
    <x v="1"/>
  </r>
  <r>
    <x v="8"/>
    <x v="8"/>
    <x v="4"/>
    <n v="-4408333"/>
    <x v="1"/>
  </r>
  <r>
    <x v="9"/>
    <x v="9"/>
    <x v="4"/>
    <n v="-775000"/>
    <x v="1"/>
  </r>
  <r>
    <x v="10"/>
    <x v="10"/>
    <x v="4"/>
    <n v="-2200000"/>
    <x v="1"/>
  </r>
  <r>
    <x v="12"/>
    <x v="12"/>
    <x v="4"/>
    <n v="-1858333"/>
    <x v="1"/>
  </r>
  <r>
    <x v="13"/>
    <x v="13"/>
    <x v="4"/>
    <n v="-1575000"/>
    <x v="1"/>
  </r>
  <r>
    <x v="14"/>
    <x v="14"/>
    <x v="4"/>
    <n v="-723333"/>
    <x v="1"/>
  </r>
  <r>
    <x v="16"/>
    <x v="16"/>
    <x v="4"/>
    <n v="-3275000"/>
    <x v="1"/>
  </r>
  <r>
    <x v="17"/>
    <x v="17"/>
    <x v="4"/>
    <n v="-767000"/>
    <x v="1"/>
  </r>
  <r>
    <x v="18"/>
    <x v="18"/>
    <x v="4"/>
    <n v="-1603333"/>
    <x v="1"/>
  </r>
  <r>
    <x v="20"/>
    <x v="20"/>
    <x v="4"/>
    <n v="-1195000"/>
    <x v="1"/>
  </r>
  <r>
    <x v="21"/>
    <x v="21"/>
    <x v="4"/>
    <n v="93000000"/>
    <x v="2"/>
  </r>
  <r>
    <x v="21"/>
    <x v="21"/>
    <x v="4"/>
    <n v="25400000"/>
    <x v="3"/>
  </r>
  <r>
    <x v="21"/>
    <x v="21"/>
    <x v="4"/>
    <n v="-86775000"/>
    <x v="1"/>
  </r>
  <r>
    <x v="21"/>
    <x v="21"/>
    <x v="4"/>
    <n v="-6675000"/>
    <x v="1"/>
  </r>
  <r>
    <x v="24"/>
    <x v="24"/>
    <x v="4"/>
    <n v="-1400000"/>
    <x v="1"/>
  </r>
  <r>
    <x v="25"/>
    <x v="25"/>
    <x v="1"/>
    <n v="3600000"/>
    <x v="3"/>
  </r>
  <r>
    <x v="25"/>
    <x v="25"/>
    <x v="1"/>
    <n v="-9300000"/>
    <x v="1"/>
  </r>
  <r>
    <x v="25"/>
    <x v="25"/>
    <x v="4"/>
    <n v="-1545000"/>
    <x v="1"/>
  </r>
  <r>
    <x v="25"/>
    <x v="25"/>
    <x v="5"/>
    <n v="1545000"/>
    <x v="1"/>
  </r>
  <r>
    <x v="27"/>
    <x v="27"/>
    <x v="4"/>
    <n v="-1858333"/>
    <x v="1"/>
  </r>
  <r>
    <x v="29"/>
    <x v="29"/>
    <x v="4"/>
    <n v="-6424608"/>
    <x v="1"/>
  </r>
  <r>
    <x v="30"/>
    <x v="30"/>
    <x v="4"/>
    <n v="-2750000"/>
    <x v="1"/>
  </r>
  <r>
    <x v="31"/>
    <x v="31"/>
    <x v="4"/>
    <n v="-1650000"/>
    <x v="1"/>
  </r>
  <r>
    <x v="32"/>
    <x v="32"/>
    <x v="6"/>
    <n v="4000000"/>
    <x v="2"/>
  </r>
  <r>
    <x v="32"/>
    <x v="32"/>
    <x v="6"/>
    <n v="240000"/>
    <x v="3"/>
  </r>
  <r>
    <x v="32"/>
    <x v="32"/>
    <x v="6"/>
    <n v="-1890000"/>
    <x v="1"/>
  </r>
  <r>
    <x v="32"/>
    <x v="32"/>
    <x v="4"/>
    <n v="-210000"/>
    <x v="1"/>
  </r>
  <r>
    <x v="32"/>
    <x v="32"/>
    <x v="5"/>
    <n v="210000"/>
    <x v="1"/>
  </r>
  <r>
    <x v="35"/>
    <x v="34"/>
    <x v="4"/>
    <n v="-3125000"/>
    <x v="1"/>
  </r>
  <r>
    <x v="36"/>
    <x v="35"/>
    <x v="4"/>
    <n v="-2325000"/>
    <x v="1"/>
  </r>
  <r>
    <x v="36"/>
    <x v="35"/>
    <x v="5"/>
    <n v="2325000"/>
    <x v="1"/>
  </r>
  <r>
    <x v="37"/>
    <x v="36"/>
    <x v="4"/>
    <n v="-2116666"/>
    <x v="1"/>
  </r>
  <r>
    <x v="39"/>
    <x v="37"/>
    <x v="4"/>
    <n v="-1033333"/>
    <x v="1"/>
  </r>
  <r>
    <x v="40"/>
    <x v="38"/>
    <x v="4"/>
    <n v="-600000"/>
    <x v="1"/>
  </r>
  <r>
    <x v="41"/>
    <x v="39"/>
    <x v="4"/>
    <n v="-1515000"/>
    <x v="1"/>
  </r>
  <r>
    <x v="42"/>
    <x v="40"/>
    <x v="4"/>
    <n v="-4125000"/>
    <x v="1"/>
  </r>
  <r>
    <x v="43"/>
    <x v="41"/>
    <x v="4"/>
    <n v="-2708333"/>
    <x v="1"/>
  </r>
  <r>
    <x v="44"/>
    <x v="42"/>
    <x v="4"/>
    <n v="-983334"/>
    <x v="1"/>
  </r>
  <r>
    <x v="45"/>
    <x v="43"/>
    <x v="4"/>
    <n v="-1825000"/>
    <x v="1"/>
  </r>
  <r>
    <x v="46"/>
    <x v="44"/>
    <x v="6"/>
    <n v="3500000"/>
    <x v="2"/>
  </r>
  <r>
    <x v="46"/>
    <x v="44"/>
    <x v="6"/>
    <n v="175000"/>
    <x v="3"/>
  </r>
  <r>
    <x v="46"/>
    <x v="44"/>
    <x v="6"/>
    <n v="-686666"/>
    <x v="1"/>
  </r>
  <r>
    <x v="46"/>
    <x v="44"/>
    <x v="4"/>
    <n v="-686667"/>
    <x v="1"/>
  </r>
  <r>
    <x v="46"/>
    <x v="44"/>
    <x v="5"/>
    <n v="686667"/>
    <x v="1"/>
  </r>
  <r>
    <x v="48"/>
    <x v="46"/>
    <x v="4"/>
    <n v="-2368333"/>
    <x v="1"/>
  </r>
  <r>
    <x v="49"/>
    <x v="47"/>
    <x v="4"/>
    <n v="-1430000"/>
    <x v="1"/>
  </r>
  <r>
    <x v="50"/>
    <x v="48"/>
    <x v="4"/>
    <n v="-3331667"/>
    <x v="1"/>
  </r>
  <r>
    <x v="51"/>
    <x v="49"/>
    <x v="4"/>
    <n v="-3275000"/>
    <x v="1"/>
  </r>
  <r>
    <x v="52"/>
    <x v="50"/>
    <x v="4"/>
    <n v="0"/>
    <x v="1"/>
  </r>
  <r>
    <x v="54"/>
    <x v="52"/>
    <x v="4"/>
    <n v="-530000"/>
    <x v="1"/>
  </r>
  <r>
    <x v="56"/>
    <x v="54"/>
    <x v="4"/>
    <n v="-3450000"/>
    <x v="1"/>
  </r>
  <r>
    <x v="57"/>
    <x v="55"/>
    <x v="4"/>
    <n v="-4475000"/>
    <x v="1"/>
  </r>
  <r>
    <x v="59"/>
    <x v="57"/>
    <x v="4"/>
    <n v="-1741112"/>
    <x v="1"/>
  </r>
  <r>
    <x v="60"/>
    <x v="58"/>
    <x v="4"/>
    <n v="-2708333"/>
    <x v="1"/>
  </r>
  <r>
    <x v="61"/>
    <x v="59"/>
    <x v="4"/>
    <n v="-1513636"/>
    <x v="1"/>
  </r>
  <r>
    <x v="62"/>
    <x v="24"/>
    <x v="4"/>
    <n v="-770000"/>
    <x v="1"/>
  </r>
  <r>
    <x v="63"/>
    <x v="60"/>
    <x v="4"/>
    <n v="-3955000"/>
    <x v="1"/>
  </r>
  <r>
    <x v="64"/>
    <x v="61"/>
    <x v="4"/>
    <n v="-2325000"/>
    <x v="1"/>
  </r>
  <r>
    <x v="65"/>
    <x v="62"/>
    <x v="4"/>
    <n v="-1680000"/>
    <x v="1"/>
  </r>
  <r>
    <x v="67"/>
    <x v="63"/>
    <x v="4"/>
    <n v="-1150000"/>
    <x v="1"/>
  </r>
  <r>
    <x v="67"/>
    <x v="63"/>
    <x v="5"/>
    <n v="1150000"/>
    <x v="1"/>
  </r>
  <r>
    <x v="68"/>
    <x v="64"/>
    <x v="4"/>
    <n v="-933334"/>
    <x v="1"/>
  </r>
  <r>
    <x v="69"/>
    <x v="65"/>
    <x v="4"/>
    <n v="-330000"/>
    <x v="1"/>
  </r>
  <r>
    <x v="72"/>
    <x v="68"/>
    <x v="4"/>
    <n v="-3275000"/>
    <x v="1"/>
  </r>
  <r>
    <x v="73"/>
    <x v="69"/>
    <x v="4"/>
    <n v="-1085000"/>
    <x v="1"/>
  </r>
  <r>
    <x v="74"/>
    <x v="70"/>
    <x v="4"/>
    <n v="-2120000"/>
    <x v="1"/>
  </r>
  <r>
    <x v="75"/>
    <x v="71"/>
    <x v="4"/>
    <n v="-520000"/>
    <x v="1"/>
  </r>
  <r>
    <x v="75"/>
    <x v="71"/>
    <x v="5"/>
    <n v="520000"/>
    <x v="1"/>
  </r>
  <r>
    <x v="76"/>
    <x v="72"/>
    <x v="4"/>
    <n v="-4791667"/>
    <x v="1"/>
  </r>
  <r>
    <x v="77"/>
    <x v="73"/>
    <x v="4"/>
    <n v="-1033333"/>
    <x v="1"/>
  </r>
  <r>
    <x v="79"/>
    <x v="75"/>
    <x v="4"/>
    <n v="13000000"/>
    <x v="2"/>
  </r>
  <r>
    <x v="79"/>
    <x v="75"/>
    <x v="4"/>
    <n v="1300000"/>
    <x v="3"/>
  </r>
  <r>
    <x v="79"/>
    <x v="75"/>
    <x v="4"/>
    <n v="-1866663"/>
    <x v="1"/>
  </r>
  <r>
    <x v="79"/>
    <x v="75"/>
    <x v="4"/>
    <n v="-1866667"/>
    <x v="1"/>
  </r>
  <r>
    <x v="79"/>
    <x v="75"/>
    <x v="5"/>
    <n v="1866667"/>
    <x v="1"/>
  </r>
  <r>
    <x v="80"/>
    <x v="76"/>
    <x v="4"/>
    <n v="-1400000"/>
    <x v="1"/>
  </r>
  <r>
    <x v="80"/>
    <x v="76"/>
    <x v="5"/>
    <n v="1400000"/>
    <x v="1"/>
  </r>
  <r>
    <x v="81"/>
    <x v="77"/>
    <x v="4"/>
    <n v="-3958333"/>
    <x v="1"/>
  </r>
  <r>
    <x v="82"/>
    <x v="78"/>
    <x v="4"/>
    <n v="-383333"/>
    <x v="1"/>
  </r>
  <r>
    <x v="84"/>
    <x v="79"/>
    <x v="4"/>
    <n v="-2333333"/>
    <x v="1"/>
  </r>
  <r>
    <x v="85"/>
    <x v="80"/>
    <x v="4"/>
    <n v="-2708333"/>
    <x v="1"/>
  </r>
  <r>
    <x v="87"/>
    <x v="82"/>
    <x v="4"/>
    <n v="-2900000"/>
    <x v="1"/>
  </r>
  <r>
    <x v="88"/>
    <x v="83"/>
    <x v="4"/>
    <n v="-1073334"/>
    <x v="1"/>
  </r>
  <r>
    <x v="89"/>
    <x v="84"/>
    <x v="4"/>
    <n v="-1213333"/>
    <x v="1"/>
  </r>
  <r>
    <x v="90"/>
    <x v="85"/>
    <x v="4"/>
    <n v="-1400000"/>
    <x v="1"/>
  </r>
  <r>
    <x v="91"/>
    <x v="86"/>
    <x v="4"/>
    <n v="-3558333"/>
    <x v="1"/>
  </r>
  <r>
    <x v="92"/>
    <x v="87"/>
    <x v="4"/>
    <n v="-611429"/>
    <x v="1"/>
  </r>
  <r>
    <x v="95"/>
    <x v="90"/>
    <x v="4"/>
    <n v="-4108333"/>
    <x v="1"/>
  </r>
  <r>
    <x v="96"/>
    <x v="24"/>
    <x v="4"/>
    <n v="-945000"/>
    <x v="1"/>
  </r>
  <r>
    <x v="97"/>
    <x v="91"/>
    <x v="4"/>
    <n v="-2325000"/>
    <x v="1"/>
  </r>
  <r>
    <x v="98"/>
    <x v="92"/>
    <x v="4"/>
    <n v="-1100000"/>
    <x v="1"/>
  </r>
  <r>
    <x v="99"/>
    <x v="93"/>
    <x v="4"/>
    <n v="0"/>
    <x v="1"/>
  </r>
  <r>
    <x v="100"/>
    <x v="94"/>
    <x v="4"/>
    <n v="-1120000"/>
    <x v="1"/>
  </r>
  <r>
    <x v="101"/>
    <x v="95"/>
    <x v="4"/>
    <n v="-3841667"/>
    <x v="1"/>
  </r>
  <r>
    <x v="102"/>
    <x v="24"/>
    <x v="4"/>
    <n v="-2522727"/>
    <x v="1"/>
  </r>
  <r>
    <x v="104"/>
    <x v="97"/>
    <x v="4"/>
    <n v="-2708333"/>
    <x v="1"/>
  </r>
  <r>
    <x v="105"/>
    <x v="98"/>
    <x v="4"/>
    <n v="-1500000"/>
    <x v="1"/>
  </r>
  <r>
    <x v="106"/>
    <x v="99"/>
    <x v="4"/>
    <n v="-3105000"/>
    <x v="1"/>
  </r>
  <r>
    <x v="107"/>
    <x v="100"/>
    <x v="4"/>
    <n v="-550000"/>
    <x v="1"/>
  </r>
  <r>
    <x v="108"/>
    <x v="101"/>
    <x v="4"/>
    <n v="-3808333"/>
    <x v="1"/>
  </r>
  <r>
    <x v="109"/>
    <x v="102"/>
    <x v="4"/>
    <n v="-1866667"/>
    <x v="1"/>
  </r>
  <r>
    <x v="112"/>
    <x v="105"/>
    <x v="4"/>
    <n v="-3558333"/>
    <x v="1"/>
  </r>
  <r>
    <x v="113"/>
    <x v="106"/>
    <x v="4"/>
    <n v="-1760000"/>
    <x v="1"/>
  </r>
  <r>
    <x v="114"/>
    <x v="107"/>
    <x v="4"/>
    <n v="-653333"/>
    <x v="1"/>
  </r>
  <r>
    <x v="115"/>
    <x v="108"/>
    <x v="4"/>
    <n v="-1825000"/>
    <x v="1"/>
  </r>
  <r>
    <x v="117"/>
    <x v="109"/>
    <x v="4"/>
    <n v="-1341667"/>
    <x v="1"/>
  </r>
  <r>
    <x v="118"/>
    <x v="110"/>
    <x v="4"/>
    <n v="-1291667"/>
    <x v="1"/>
  </r>
  <r>
    <x v="119"/>
    <x v="111"/>
    <x v="4"/>
    <n v="-770000"/>
    <x v="1"/>
  </r>
  <r>
    <x v="120"/>
    <x v="112"/>
    <x v="4"/>
    <n v="-1858333"/>
    <x v="1"/>
  </r>
  <r>
    <x v="122"/>
    <x v="114"/>
    <x v="4"/>
    <n v="-1500000"/>
    <x v="1"/>
  </r>
  <r>
    <x v="123"/>
    <x v="115"/>
    <x v="4"/>
    <n v="-3842333"/>
    <x v="1"/>
  </r>
  <r>
    <x v="125"/>
    <x v="116"/>
    <x v="4"/>
    <n v="-1348333"/>
    <x v="1"/>
  </r>
  <r>
    <x v="126"/>
    <x v="117"/>
    <x v="4"/>
    <n v="-671667"/>
    <x v="1"/>
  </r>
  <r>
    <x v="127"/>
    <x v="118"/>
    <x v="4"/>
    <n v="-2708333"/>
    <x v="1"/>
  </r>
  <r>
    <x v="128"/>
    <x v="119"/>
    <x v="4"/>
    <n v="-1291667"/>
    <x v="1"/>
  </r>
  <r>
    <x v="7"/>
    <x v="7"/>
    <x v="7"/>
    <n v="3500000"/>
    <x v="2"/>
  </r>
  <r>
    <x v="96"/>
    <x v="24"/>
    <x v="8"/>
    <n v="5100000"/>
    <x v="2"/>
  </r>
  <r>
    <x v="84"/>
    <x v="79"/>
    <x v="7"/>
    <n v="25000000"/>
    <x v="2"/>
  </r>
  <r>
    <x v="130"/>
    <x v="120"/>
    <x v="9"/>
    <n v="25000000"/>
    <x v="2"/>
  </r>
  <r>
    <x v="107"/>
    <x v="100"/>
    <x v="10"/>
    <n v="5000000"/>
    <x v="2"/>
  </r>
  <r>
    <x v="5"/>
    <x v="5"/>
    <x v="11"/>
    <n v="700000"/>
    <x v="2"/>
  </r>
  <r>
    <x v="88"/>
    <x v="83"/>
    <x v="12"/>
    <n v="50000000"/>
    <x v="2"/>
  </r>
  <r>
    <x v="52"/>
    <x v="50"/>
    <x v="13"/>
    <n v="17500000"/>
    <x v="2"/>
  </r>
  <r>
    <x v="69"/>
    <x v="65"/>
    <x v="13"/>
    <n v="4000000"/>
    <x v="2"/>
  </r>
  <r>
    <x v="88"/>
    <x v="83"/>
    <x v="12"/>
    <n v="15000000"/>
    <x v="3"/>
  </r>
  <r>
    <x v="88"/>
    <x v="83"/>
    <x v="12"/>
    <n v="-11806664"/>
    <x v="1"/>
  </r>
  <r>
    <x v="131"/>
    <x v="24"/>
    <x v="14"/>
    <n v="3000000"/>
    <x v="2"/>
  </r>
  <r>
    <x v="131"/>
    <x v="24"/>
    <x v="14"/>
    <n v="300000"/>
    <x v="3"/>
  </r>
  <r>
    <x v="56"/>
    <x v="54"/>
    <x v="6"/>
    <n v="15000000"/>
    <x v="2"/>
  </r>
  <r>
    <x v="56"/>
    <x v="54"/>
    <x v="6"/>
    <n v="1350000"/>
    <x v="3"/>
  </r>
  <r>
    <x v="7"/>
    <x v="7"/>
    <x v="7"/>
    <n v="210000"/>
    <x v="3"/>
  </r>
  <r>
    <x v="7"/>
    <x v="7"/>
    <x v="7"/>
    <n v="-458568"/>
    <x v="1"/>
  </r>
  <r>
    <x v="84"/>
    <x v="79"/>
    <x v="7"/>
    <n v="-2333337"/>
    <x v="1"/>
  </r>
  <r>
    <x v="84"/>
    <x v="79"/>
    <x v="7"/>
    <n v="3000000"/>
    <x v="2"/>
  </r>
  <r>
    <x v="107"/>
    <x v="100"/>
    <x v="10"/>
    <n v="300000"/>
    <x v="3"/>
  </r>
  <r>
    <x v="5"/>
    <x v="5"/>
    <x v="11"/>
    <n v="14000"/>
    <x v="3"/>
  </r>
  <r>
    <x v="96"/>
    <x v="24"/>
    <x v="8"/>
    <n v="306000"/>
    <x v="3"/>
  </r>
  <r>
    <x v="96"/>
    <x v="24"/>
    <x v="8"/>
    <n v="-1809999"/>
    <x v="1"/>
  </r>
  <r>
    <x v="75"/>
    <x v="71"/>
    <x v="5"/>
    <n v="3000000"/>
    <x v="2"/>
  </r>
  <r>
    <x v="75"/>
    <x v="71"/>
    <x v="5"/>
    <n v="180000"/>
    <x v="3"/>
  </r>
  <r>
    <x v="37"/>
    <x v="36"/>
    <x v="4"/>
    <n v="50000000"/>
    <x v="2"/>
  </r>
  <r>
    <x v="37"/>
    <x v="36"/>
    <x v="4"/>
    <n v="15000000"/>
    <x v="3"/>
  </r>
  <r>
    <x v="37"/>
    <x v="36"/>
    <x v="4"/>
    <n v="-36115004"/>
    <x v="1"/>
  </r>
  <r>
    <x v="130"/>
    <x v="120"/>
    <x v="9"/>
    <n v="3750000"/>
    <x v="3"/>
  </r>
  <r>
    <x v="22"/>
    <x v="22"/>
    <x v="15"/>
    <n v="20000000"/>
    <x v="2"/>
  </r>
  <r>
    <x v="105"/>
    <x v="98"/>
    <x v="16"/>
    <n v="-1500000"/>
    <x v="1"/>
  </r>
  <r>
    <x v="108"/>
    <x v="101"/>
    <x v="16"/>
    <n v="-3808333"/>
    <x v="1"/>
  </r>
  <r>
    <x v="101"/>
    <x v="95"/>
    <x v="16"/>
    <n v="-3841667"/>
    <x v="1"/>
  </r>
  <r>
    <x v="81"/>
    <x v="77"/>
    <x v="16"/>
    <n v="-3958333"/>
    <x v="1"/>
  </r>
  <r>
    <x v="87"/>
    <x v="82"/>
    <x v="16"/>
    <n v="-2900000"/>
    <x v="1"/>
  </r>
  <r>
    <x v="29"/>
    <x v="29"/>
    <x v="16"/>
    <n v="-6424608"/>
    <x v="1"/>
  </r>
  <r>
    <x v="51"/>
    <x v="49"/>
    <x v="16"/>
    <n v="-3275000"/>
    <x v="1"/>
  </r>
  <r>
    <x v="97"/>
    <x v="91"/>
    <x v="16"/>
    <n v="-2325000"/>
    <x v="1"/>
  </r>
  <r>
    <x v="106"/>
    <x v="99"/>
    <x v="16"/>
    <n v="-3105000"/>
    <x v="1"/>
  </r>
  <r>
    <x v="64"/>
    <x v="61"/>
    <x v="16"/>
    <n v="-2325000"/>
    <x v="1"/>
  </r>
  <r>
    <x v="123"/>
    <x v="115"/>
    <x v="16"/>
    <n v="-3842333"/>
    <x v="1"/>
  </r>
  <r>
    <x v="56"/>
    <x v="54"/>
    <x v="16"/>
    <n v="-3450000"/>
    <x v="1"/>
  </r>
  <r>
    <x v="72"/>
    <x v="68"/>
    <x v="16"/>
    <n v="-3275000"/>
    <x v="1"/>
  </r>
  <r>
    <x v="6"/>
    <x v="6"/>
    <x v="16"/>
    <n v="-1812500"/>
    <x v="1"/>
  </r>
  <r>
    <x v="63"/>
    <x v="60"/>
    <x v="16"/>
    <n v="-3955000"/>
    <x v="1"/>
  </r>
  <r>
    <x v="112"/>
    <x v="105"/>
    <x v="16"/>
    <n v="-3558333"/>
    <x v="1"/>
  </r>
  <r>
    <x v="59"/>
    <x v="57"/>
    <x v="16"/>
    <n v="-1741112"/>
    <x v="1"/>
  </r>
  <r>
    <x v="109"/>
    <x v="102"/>
    <x v="16"/>
    <n v="-1866667"/>
    <x v="1"/>
  </r>
  <r>
    <x v="57"/>
    <x v="55"/>
    <x v="16"/>
    <n v="-4475000"/>
    <x v="1"/>
  </r>
  <r>
    <x v="74"/>
    <x v="70"/>
    <x v="16"/>
    <n v="-2120000"/>
    <x v="1"/>
  </r>
  <r>
    <x v="30"/>
    <x v="30"/>
    <x v="16"/>
    <n v="-2750000"/>
    <x v="1"/>
  </r>
  <r>
    <x v="90"/>
    <x v="85"/>
    <x v="16"/>
    <n v="-1400000"/>
    <x v="1"/>
  </r>
  <r>
    <x v="21"/>
    <x v="21"/>
    <x v="16"/>
    <n v="-5920000"/>
    <x v="1"/>
  </r>
  <r>
    <x v="128"/>
    <x v="119"/>
    <x v="16"/>
    <n v="-1291667"/>
    <x v="1"/>
  </r>
  <r>
    <x v="60"/>
    <x v="58"/>
    <x v="16"/>
    <n v="-2708333"/>
    <x v="1"/>
  </r>
  <r>
    <x v="114"/>
    <x v="107"/>
    <x v="16"/>
    <n v="-653333"/>
    <x v="1"/>
  </r>
  <r>
    <x v="39"/>
    <x v="37"/>
    <x v="16"/>
    <n v="-1033333"/>
    <x v="1"/>
  </r>
  <r>
    <x v="85"/>
    <x v="80"/>
    <x v="16"/>
    <n v="-2708333"/>
    <x v="1"/>
  </r>
  <r>
    <x v="68"/>
    <x v="64"/>
    <x v="16"/>
    <n v="-933334"/>
    <x v="1"/>
  </r>
  <r>
    <x v="115"/>
    <x v="108"/>
    <x v="16"/>
    <n v="-1825000"/>
    <x v="1"/>
  </r>
  <r>
    <x v="82"/>
    <x v="78"/>
    <x v="16"/>
    <n v="-383333"/>
    <x v="1"/>
  </r>
  <r>
    <x v="31"/>
    <x v="31"/>
    <x v="16"/>
    <n v="-1650000"/>
    <x v="1"/>
  </r>
  <r>
    <x v="76"/>
    <x v="72"/>
    <x v="16"/>
    <n v="-4791667"/>
    <x v="1"/>
  </r>
  <r>
    <x v="104"/>
    <x v="97"/>
    <x v="16"/>
    <n v="-2708333"/>
    <x v="1"/>
  </r>
  <r>
    <x v="50"/>
    <x v="48"/>
    <x v="16"/>
    <n v="-3331667"/>
    <x v="1"/>
  </r>
  <r>
    <x v="120"/>
    <x v="112"/>
    <x v="16"/>
    <n v="-1858333"/>
    <x v="1"/>
  </r>
  <r>
    <x v="91"/>
    <x v="86"/>
    <x v="16"/>
    <n v="-3558333"/>
    <x v="1"/>
  </r>
  <r>
    <x v="69"/>
    <x v="65"/>
    <x v="16"/>
    <n v="0"/>
    <x v="1"/>
  </r>
  <r>
    <x v="95"/>
    <x v="90"/>
    <x v="16"/>
    <n v="-4108333"/>
    <x v="1"/>
  </r>
  <r>
    <x v="16"/>
    <x v="16"/>
    <x v="16"/>
    <n v="-3275000"/>
    <x v="1"/>
  </r>
  <r>
    <x v="45"/>
    <x v="43"/>
    <x v="16"/>
    <n v="-1825000"/>
    <x v="1"/>
  </r>
  <r>
    <x v="2"/>
    <x v="2"/>
    <x v="16"/>
    <n v="-597333"/>
    <x v="1"/>
  </r>
  <r>
    <x v="43"/>
    <x v="41"/>
    <x v="16"/>
    <n v="-2708333"/>
    <x v="1"/>
  </r>
  <r>
    <x v="25"/>
    <x v="25"/>
    <x v="16"/>
    <n v="-775000"/>
    <x v="1"/>
  </r>
  <r>
    <x v="42"/>
    <x v="40"/>
    <x v="16"/>
    <n v="-4125000"/>
    <x v="1"/>
  </r>
  <r>
    <x v="13"/>
    <x v="13"/>
    <x v="16"/>
    <n v="-1575000"/>
    <x v="1"/>
  </r>
  <r>
    <x v="48"/>
    <x v="46"/>
    <x v="16"/>
    <n v="-2368333"/>
    <x v="1"/>
  </r>
  <r>
    <x v="125"/>
    <x v="116"/>
    <x v="16"/>
    <n v="-1348333"/>
    <x v="1"/>
  </r>
  <r>
    <x v="8"/>
    <x v="8"/>
    <x v="16"/>
    <n v="-4408333"/>
    <x v="1"/>
  </r>
  <r>
    <x v="0"/>
    <x v="0"/>
    <x v="16"/>
    <n v="-660000"/>
    <x v="1"/>
  </r>
  <r>
    <x v="54"/>
    <x v="52"/>
    <x v="16"/>
    <n v="-530000"/>
    <x v="1"/>
  </r>
  <r>
    <x v="117"/>
    <x v="109"/>
    <x v="16"/>
    <n v="-1341667"/>
    <x v="1"/>
  </r>
  <r>
    <x v="118"/>
    <x v="110"/>
    <x v="16"/>
    <n v="-1291667"/>
    <x v="1"/>
  </r>
  <r>
    <x v="35"/>
    <x v="34"/>
    <x v="16"/>
    <n v="-3125000"/>
    <x v="1"/>
  </r>
  <r>
    <x v="73"/>
    <x v="69"/>
    <x v="16"/>
    <n v="-1085000"/>
    <x v="1"/>
  </r>
  <r>
    <x v="99"/>
    <x v="93"/>
    <x v="16"/>
    <n v="-2595000"/>
    <x v="1"/>
  </r>
  <r>
    <x v="12"/>
    <x v="12"/>
    <x v="16"/>
    <n v="-1858333"/>
    <x v="1"/>
  </r>
  <r>
    <x v="18"/>
    <x v="18"/>
    <x v="16"/>
    <n v="-1603333"/>
    <x v="1"/>
  </r>
  <r>
    <x v="44"/>
    <x v="42"/>
    <x v="16"/>
    <n v="-983334"/>
    <x v="1"/>
  </r>
  <r>
    <x v="17"/>
    <x v="17"/>
    <x v="16"/>
    <n v="-767000"/>
    <x v="1"/>
  </r>
  <r>
    <x v="100"/>
    <x v="94"/>
    <x v="16"/>
    <n v="-1120000"/>
    <x v="1"/>
  </r>
  <r>
    <x v="127"/>
    <x v="118"/>
    <x v="16"/>
    <n v="-2708333"/>
    <x v="1"/>
  </r>
  <r>
    <x v="40"/>
    <x v="38"/>
    <x v="16"/>
    <n v="-600000"/>
    <x v="1"/>
  </r>
  <r>
    <x v="27"/>
    <x v="27"/>
    <x v="16"/>
    <n v="-1858333"/>
    <x v="1"/>
  </r>
  <r>
    <x v="119"/>
    <x v="111"/>
    <x v="16"/>
    <n v="-770000"/>
    <x v="1"/>
  </r>
  <r>
    <x v="77"/>
    <x v="73"/>
    <x v="16"/>
    <n v="-1033333"/>
    <x v="1"/>
  </r>
  <r>
    <x v="9"/>
    <x v="9"/>
    <x v="16"/>
    <n v="-775000"/>
    <x v="1"/>
  </r>
  <r>
    <x v="126"/>
    <x v="117"/>
    <x v="16"/>
    <n v="-671667"/>
    <x v="1"/>
  </r>
  <r>
    <x v="89"/>
    <x v="84"/>
    <x v="16"/>
    <n v="-1213333"/>
    <x v="1"/>
  </r>
  <r>
    <x v="14"/>
    <x v="14"/>
    <x v="16"/>
    <n v="-723333"/>
    <x v="1"/>
  </r>
  <r>
    <x v="122"/>
    <x v="114"/>
    <x v="16"/>
    <n v="-1500000"/>
    <x v="1"/>
  </r>
  <r>
    <x v="113"/>
    <x v="106"/>
    <x v="16"/>
    <n v="-1760000"/>
    <x v="1"/>
  </r>
  <r>
    <x v="65"/>
    <x v="62"/>
    <x v="16"/>
    <n v="-1680000"/>
    <x v="1"/>
  </r>
  <r>
    <x v="49"/>
    <x v="47"/>
    <x v="16"/>
    <n v="-1430000"/>
    <x v="1"/>
  </r>
  <r>
    <x v="107"/>
    <x v="100"/>
    <x v="16"/>
    <n v="-550000"/>
    <x v="1"/>
  </r>
  <r>
    <x v="1"/>
    <x v="1"/>
    <x v="16"/>
    <n v="-330000"/>
    <x v="1"/>
  </r>
  <r>
    <x v="20"/>
    <x v="20"/>
    <x v="16"/>
    <n v="-1195000"/>
    <x v="1"/>
  </r>
  <r>
    <x v="92"/>
    <x v="87"/>
    <x v="16"/>
    <n v="-611426"/>
    <x v="1"/>
  </r>
  <r>
    <x v="98"/>
    <x v="92"/>
    <x v="16"/>
    <n v="-1100000"/>
    <x v="1"/>
  </r>
  <r>
    <x v="61"/>
    <x v="59"/>
    <x v="16"/>
    <n v="-1513636"/>
    <x v="1"/>
  </r>
  <r>
    <x v="10"/>
    <x v="10"/>
    <x v="16"/>
    <n v="-2200000"/>
    <x v="1"/>
  </r>
  <r>
    <x v="46"/>
    <x v="44"/>
    <x v="16"/>
    <n v="-735000"/>
    <x v="1"/>
  </r>
  <r>
    <x v="32"/>
    <x v="32"/>
    <x v="16"/>
    <n v="-706667"/>
    <x v="1"/>
  </r>
  <r>
    <x v="79"/>
    <x v="75"/>
    <x v="16"/>
    <n v="-1430000"/>
    <x v="1"/>
  </r>
  <r>
    <x v="24"/>
    <x v="24"/>
    <x v="16"/>
    <n v="-1400000"/>
    <x v="1"/>
  </r>
  <r>
    <x v="62"/>
    <x v="24"/>
    <x v="16"/>
    <n v="-770000"/>
    <x v="1"/>
  </r>
  <r>
    <x v="102"/>
    <x v="24"/>
    <x v="16"/>
    <n v="-2522727"/>
    <x v="1"/>
  </r>
  <r>
    <x v="131"/>
    <x v="24"/>
    <x v="16"/>
    <n v="-330000"/>
    <x v="1"/>
  </r>
  <r>
    <x v="95"/>
    <x v="90"/>
    <x v="16"/>
    <n v="4108333"/>
    <x v="1"/>
  </r>
  <r>
    <x v="89"/>
    <x v="84"/>
    <x v="17"/>
    <n v="1120000"/>
    <x v="1"/>
  </r>
  <r>
    <x v="52"/>
    <x v="50"/>
    <x v="13"/>
    <n v="2625000"/>
    <x v="3"/>
  </r>
  <r>
    <x v="52"/>
    <x v="50"/>
    <x v="13"/>
    <n v="-12146672"/>
    <x v="1"/>
  </r>
  <r>
    <x v="22"/>
    <x v="22"/>
    <x v="15"/>
    <n v="2400000"/>
    <x v="3"/>
  </r>
  <r>
    <x v="69"/>
    <x v="65"/>
    <x v="13"/>
    <n v="400000"/>
    <x v="3"/>
  </r>
  <r>
    <x v="34"/>
    <x v="4"/>
    <x v="18"/>
    <n v="-440000"/>
    <x v="1"/>
  </r>
  <r>
    <x v="38"/>
    <x v="4"/>
    <x v="18"/>
    <n v="-1867000"/>
    <x v="1"/>
  </r>
  <r>
    <x v="34"/>
    <x v="4"/>
    <x v="19"/>
    <n v="-2640000"/>
    <x v="1"/>
  </r>
  <r>
    <x v="105"/>
    <x v="98"/>
    <x v="20"/>
    <n v="-1500000"/>
    <x v="1"/>
  </r>
  <r>
    <x v="108"/>
    <x v="101"/>
    <x v="20"/>
    <n v="-3808333"/>
    <x v="1"/>
  </r>
  <r>
    <x v="101"/>
    <x v="95"/>
    <x v="20"/>
    <n v="-3841667"/>
    <x v="1"/>
  </r>
  <r>
    <x v="81"/>
    <x v="77"/>
    <x v="20"/>
    <n v="-3958333"/>
    <x v="1"/>
  </r>
  <r>
    <x v="87"/>
    <x v="82"/>
    <x v="20"/>
    <n v="-2900000"/>
    <x v="1"/>
  </r>
  <r>
    <x v="29"/>
    <x v="29"/>
    <x v="20"/>
    <n v="-6424608"/>
    <x v="1"/>
  </r>
  <r>
    <x v="51"/>
    <x v="49"/>
    <x v="20"/>
    <n v="-3275000"/>
    <x v="1"/>
  </r>
  <r>
    <x v="97"/>
    <x v="91"/>
    <x v="20"/>
    <n v="-2325000"/>
    <x v="1"/>
  </r>
  <r>
    <x v="106"/>
    <x v="99"/>
    <x v="20"/>
    <n v="-3105000"/>
    <x v="1"/>
  </r>
  <r>
    <x v="64"/>
    <x v="61"/>
    <x v="20"/>
    <n v="-2325000"/>
    <x v="1"/>
  </r>
  <r>
    <x v="123"/>
    <x v="115"/>
    <x v="20"/>
    <n v="-3842333"/>
    <x v="1"/>
  </r>
  <r>
    <x v="56"/>
    <x v="54"/>
    <x v="20"/>
    <n v="-3450000"/>
    <x v="1"/>
  </r>
  <r>
    <x v="72"/>
    <x v="68"/>
    <x v="20"/>
    <n v="-3275000"/>
    <x v="1"/>
  </r>
  <r>
    <x v="6"/>
    <x v="6"/>
    <x v="20"/>
    <n v="-1812500"/>
    <x v="1"/>
  </r>
  <r>
    <x v="63"/>
    <x v="60"/>
    <x v="20"/>
    <n v="-3955000"/>
    <x v="1"/>
  </r>
  <r>
    <x v="112"/>
    <x v="105"/>
    <x v="20"/>
    <n v="-3558333"/>
    <x v="1"/>
  </r>
  <r>
    <x v="59"/>
    <x v="57"/>
    <x v="20"/>
    <n v="-1741112"/>
    <x v="1"/>
  </r>
  <r>
    <x v="109"/>
    <x v="102"/>
    <x v="20"/>
    <n v="-1866667"/>
    <x v="1"/>
  </r>
  <r>
    <x v="57"/>
    <x v="55"/>
    <x v="20"/>
    <n v="-4475000"/>
    <x v="1"/>
  </r>
  <r>
    <x v="74"/>
    <x v="70"/>
    <x v="20"/>
    <n v="-2120000"/>
    <x v="1"/>
  </r>
  <r>
    <x v="30"/>
    <x v="30"/>
    <x v="20"/>
    <n v="-2750000"/>
    <x v="1"/>
  </r>
  <r>
    <x v="90"/>
    <x v="85"/>
    <x v="20"/>
    <n v="-1400000"/>
    <x v="1"/>
  </r>
  <r>
    <x v="21"/>
    <x v="21"/>
    <x v="20"/>
    <n v="-5920000"/>
    <x v="1"/>
  </r>
  <r>
    <x v="128"/>
    <x v="119"/>
    <x v="20"/>
    <n v="-1291667"/>
    <x v="1"/>
  </r>
  <r>
    <x v="60"/>
    <x v="58"/>
    <x v="20"/>
    <n v="-2708333"/>
    <x v="1"/>
  </r>
  <r>
    <x v="114"/>
    <x v="107"/>
    <x v="20"/>
    <n v="-653333"/>
    <x v="1"/>
  </r>
  <r>
    <x v="39"/>
    <x v="37"/>
    <x v="20"/>
    <n v="-1033333"/>
    <x v="1"/>
  </r>
  <r>
    <x v="85"/>
    <x v="80"/>
    <x v="20"/>
    <n v="-2708333"/>
    <x v="1"/>
  </r>
  <r>
    <x v="68"/>
    <x v="64"/>
    <x v="20"/>
    <n v="-933334"/>
    <x v="1"/>
  </r>
  <r>
    <x v="115"/>
    <x v="108"/>
    <x v="20"/>
    <n v="-1825000"/>
    <x v="1"/>
  </r>
  <r>
    <x v="82"/>
    <x v="78"/>
    <x v="20"/>
    <n v="-383333"/>
    <x v="1"/>
  </r>
  <r>
    <x v="31"/>
    <x v="31"/>
    <x v="20"/>
    <n v="-1650000"/>
    <x v="1"/>
  </r>
  <r>
    <x v="76"/>
    <x v="72"/>
    <x v="20"/>
    <n v="-4791667"/>
    <x v="1"/>
  </r>
  <r>
    <x v="84"/>
    <x v="79"/>
    <x v="20"/>
    <n v="-2333333"/>
    <x v="1"/>
  </r>
  <r>
    <x v="104"/>
    <x v="97"/>
    <x v="20"/>
    <n v="-2708333"/>
    <x v="1"/>
  </r>
  <r>
    <x v="50"/>
    <x v="48"/>
    <x v="20"/>
    <n v="-3331667"/>
    <x v="1"/>
  </r>
  <r>
    <x v="88"/>
    <x v="83"/>
    <x v="20"/>
    <n v="-2708333"/>
    <x v="1"/>
  </r>
  <r>
    <x v="120"/>
    <x v="112"/>
    <x v="20"/>
    <n v="-1858333"/>
    <x v="1"/>
  </r>
  <r>
    <x v="52"/>
    <x v="50"/>
    <x v="20"/>
    <n v="-1341667"/>
    <x v="1"/>
  </r>
  <r>
    <x v="91"/>
    <x v="86"/>
    <x v="20"/>
    <n v="-3558333"/>
    <x v="1"/>
  </r>
  <r>
    <x v="69"/>
    <x v="65"/>
    <x v="20"/>
    <n v="-440000"/>
    <x v="1"/>
  </r>
  <r>
    <x v="95"/>
    <x v="90"/>
    <x v="20"/>
    <n v="-4108333"/>
    <x v="1"/>
  </r>
  <r>
    <x v="16"/>
    <x v="16"/>
    <x v="20"/>
    <n v="-3275000"/>
    <x v="1"/>
  </r>
  <r>
    <x v="45"/>
    <x v="43"/>
    <x v="20"/>
    <n v="-1825000"/>
    <x v="1"/>
  </r>
  <r>
    <x v="2"/>
    <x v="2"/>
    <x v="20"/>
    <n v="-597333"/>
    <x v="1"/>
  </r>
  <r>
    <x v="43"/>
    <x v="41"/>
    <x v="20"/>
    <n v="-2708333"/>
    <x v="1"/>
  </r>
  <r>
    <x v="25"/>
    <x v="25"/>
    <x v="20"/>
    <n v="-775000"/>
    <x v="1"/>
  </r>
  <r>
    <x v="42"/>
    <x v="40"/>
    <x v="20"/>
    <n v="-4125000"/>
    <x v="1"/>
  </r>
  <r>
    <x v="13"/>
    <x v="13"/>
    <x v="20"/>
    <n v="-1575000"/>
    <x v="1"/>
  </r>
  <r>
    <x v="48"/>
    <x v="46"/>
    <x v="20"/>
    <n v="-2368333"/>
    <x v="1"/>
  </r>
  <r>
    <x v="125"/>
    <x v="116"/>
    <x v="20"/>
    <n v="-1348333"/>
    <x v="1"/>
  </r>
  <r>
    <x v="8"/>
    <x v="8"/>
    <x v="20"/>
    <n v="-4408333"/>
    <x v="1"/>
  </r>
  <r>
    <x v="0"/>
    <x v="0"/>
    <x v="20"/>
    <n v="-660000"/>
    <x v="1"/>
  </r>
  <r>
    <x v="54"/>
    <x v="52"/>
    <x v="20"/>
    <n v="-530000"/>
    <x v="1"/>
  </r>
  <r>
    <x v="117"/>
    <x v="109"/>
    <x v="20"/>
    <n v="-1341667"/>
    <x v="1"/>
  </r>
  <r>
    <x v="37"/>
    <x v="36"/>
    <x v="20"/>
    <n v="-2708333"/>
    <x v="1"/>
  </r>
  <r>
    <x v="118"/>
    <x v="110"/>
    <x v="20"/>
    <n v="-1291667"/>
    <x v="1"/>
  </r>
  <r>
    <x v="35"/>
    <x v="34"/>
    <x v="20"/>
    <n v="-3125000"/>
    <x v="1"/>
  </r>
  <r>
    <x v="73"/>
    <x v="69"/>
    <x v="20"/>
    <n v="-1085000"/>
    <x v="1"/>
  </r>
  <r>
    <x v="99"/>
    <x v="93"/>
    <x v="20"/>
    <n v="-2595000"/>
    <x v="1"/>
  </r>
  <r>
    <x v="12"/>
    <x v="12"/>
    <x v="20"/>
    <n v="-1858333"/>
    <x v="1"/>
  </r>
  <r>
    <x v="18"/>
    <x v="18"/>
    <x v="20"/>
    <n v="-1603333"/>
    <x v="1"/>
  </r>
  <r>
    <x v="44"/>
    <x v="42"/>
    <x v="20"/>
    <n v="-983334"/>
    <x v="1"/>
  </r>
  <r>
    <x v="17"/>
    <x v="17"/>
    <x v="20"/>
    <n v="-767000"/>
    <x v="1"/>
  </r>
  <r>
    <x v="100"/>
    <x v="94"/>
    <x v="20"/>
    <n v="-1120000"/>
    <x v="1"/>
  </r>
  <r>
    <x v="127"/>
    <x v="118"/>
    <x v="20"/>
    <n v="-2708333"/>
    <x v="1"/>
  </r>
  <r>
    <x v="40"/>
    <x v="38"/>
    <x v="20"/>
    <n v="-600000"/>
    <x v="1"/>
  </r>
  <r>
    <x v="77"/>
    <x v="73"/>
    <x v="20"/>
    <n v="-1033333"/>
    <x v="1"/>
  </r>
  <r>
    <x v="9"/>
    <x v="9"/>
    <x v="20"/>
    <n v="-775000"/>
    <x v="1"/>
  </r>
  <r>
    <x v="126"/>
    <x v="117"/>
    <x v="20"/>
    <n v="-671667"/>
    <x v="1"/>
  </r>
  <r>
    <x v="22"/>
    <x v="22"/>
    <x v="20"/>
    <n v="-1866667"/>
    <x v="1"/>
  </r>
  <r>
    <x v="89"/>
    <x v="84"/>
    <x v="20"/>
    <n v="-653333"/>
    <x v="1"/>
  </r>
  <r>
    <x v="14"/>
    <x v="14"/>
    <x v="20"/>
    <n v="-723333"/>
    <x v="1"/>
  </r>
  <r>
    <x v="122"/>
    <x v="114"/>
    <x v="20"/>
    <n v="-1500000"/>
    <x v="1"/>
  </r>
  <r>
    <x v="130"/>
    <x v="120"/>
    <x v="20"/>
    <n v="-1916667"/>
    <x v="1"/>
  </r>
  <r>
    <x v="1"/>
    <x v="1"/>
    <x v="20"/>
    <n v="-330000"/>
    <x v="1"/>
  </r>
  <r>
    <x v="5"/>
    <x v="5"/>
    <x v="20"/>
    <n v="-357000"/>
    <x v="1"/>
  </r>
  <r>
    <x v="7"/>
    <x v="7"/>
    <x v="20"/>
    <n v="-618333"/>
    <x v="1"/>
  </r>
  <r>
    <x v="10"/>
    <x v="10"/>
    <x v="20"/>
    <n v="-2200000"/>
    <x v="1"/>
  </r>
  <r>
    <x v="20"/>
    <x v="20"/>
    <x v="20"/>
    <n v="-1195000"/>
    <x v="1"/>
  </r>
  <r>
    <x v="32"/>
    <x v="32"/>
    <x v="20"/>
    <n v="-706667"/>
    <x v="1"/>
  </r>
  <r>
    <x v="46"/>
    <x v="44"/>
    <x v="20"/>
    <n v="-735000"/>
    <x v="1"/>
  </r>
  <r>
    <x v="49"/>
    <x v="47"/>
    <x v="20"/>
    <n v="-1430000"/>
    <x v="1"/>
  </r>
  <r>
    <x v="61"/>
    <x v="59"/>
    <x v="20"/>
    <n v="-1513636"/>
    <x v="1"/>
  </r>
  <r>
    <x v="65"/>
    <x v="62"/>
    <x v="20"/>
    <n v="-1680000"/>
    <x v="1"/>
  </r>
  <r>
    <x v="75"/>
    <x v="71"/>
    <x v="20"/>
    <n v="-530000"/>
    <x v="1"/>
  </r>
  <r>
    <x v="79"/>
    <x v="75"/>
    <x v="20"/>
    <n v="-1430000"/>
    <x v="1"/>
  </r>
  <r>
    <x v="98"/>
    <x v="92"/>
    <x v="20"/>
    <n v="-1100000"/>
    <x v="1"/>
  </r>
  <r>
    <x v="107"/>
    <x v="100"/>
    <x v="20"/>
    <n v="-1433333"/>
    <x v="1"/>
  </r>
  <r>
    <x v="113"/>
    <x v="106"/>
    <x v="20"/>
    <n v="-1760000"/>
    <x v="1"/>
  </r>
  <r>
    <x v="24"/>
    <x v="24"/>
    <x v="20"/>
    <n v="-1400000"/>
    <x v="1"/>
  </r>
  <r>
    <x v="62"/>
    <x v="24"/>
    <x v="20"/>
    <n v="-770000"/>
    <x v="1"/>
  </r>
  <r>
    <x v="131"/>
    <x v="24"/>
    <x v="20"/>
    <n v="-330000"/>
    <x v="1"/>
  </r>
  <r>
    <x v="96"/>
    <x v="24"/>
    <x v="20"/>
    <n v="0"/>
    <x v="1"/>
  </r>
  <r>
    <x v="102"/>
    <x v="24"/>
    <x v="20"/>
    <n v="-2522727"/>
    <x v="1"/>
  </r>
  <r>
    <x v="27"/>
    <x v="27"/>
    <x v="21"/>
    <n v="-27875003"/>
    <x v="1"/>
  </r>
  <r>
    <x v="99"/>
    <x v="93"/>
    <x v="22"/>
    <n v="2595000"/>
    <x v="1"/>
  </r>
  <r>
    <x v="132"/>
    <x v="121"/>
    <x v="22"/>
    <n v="4000000"/>
    <x v="2"/>
  </r>
  <r>
    <x v="102"/>
    <x v="24"/>
    <x v="22"/>
    <n v="15000000"/>
    <x v="2"/>
  </r>
  <r>
    <x v="30"/>
    <x v="30"/>
    <x v="22"/>
    <n v="30000000"/>
    <x v="2"/>
  </r>
  <r>
    <x v="133"/>
    <x v="122"/>
    <x v="22"/>
    <n v="2500000"/>
    <x v="2"/>
  </r>
  <r>
    <x v="76"/>
    <x v="72"/>
    <x v="22"/>
    <n v="50000000"/>
    <x v="2"/>
  </r>
  <r>
    <x v="45"/>
    <x v="43"/>
    <x v="23"/>
    <n v="35000000"/>
    <x v="2"/>
  </r>
  <r>
    <x v="134"/>
    <x v="123"/>
    <x v="23"/>
    <n v="3000000"/>
    <x v="2"/>
  </r>
  <r>
    <x v="135"/>
    <x v="124"/>
    <x v="23"/>
    <n v="4000000"/>
    <x v="2"/>
  </r>
  <r>
    <x v="136"/>
    <x v="125"/>
    <x v="23"/>
    <n v="4000000"/>
    <x v="2"/>
  </r>
  <r>
    <x v="92"/>
    <x v="87"/>
    <x v="24"/>
    <n v="2000000"/>
    <x v="2"/>
  </r>
  <r>
    <x v="41"/>
    <x v="39"/>
    <x v="25"/>
    <n v="4500000"/>
    <x v="2"/>
  </r>
  <r>
    <x v="95"/>
    <x v="90"/>
    <x v="26"/>
    <n v="56000000"/>
    <x v="2"/>
  </r>
  <r>
    <x v="44"/>
    <x v="42"/>
    <x v="27"/>
    <n v="19000000"/>
    <x v="2"/>
  </r>
  <r>
    <x v="48"/>
    <x v="46"/>
    <x v="27"/>
    <n v="7000000"/>
    <x v="2"/>
  </r>
  <r>
    <x v="92"/>
    <x v="87"/>
    <x v="24"/>
    <n v="80000"/>
    <x v="3"/>
  </r>
  <r>
    <x v="74"/>
    <x v="70"/>
    <x v="28"/>
    <n v="5000000"/>
    <x v="2"/>
  </r>
  <r>
    <x v="74"/>
    <x v="70"/>
    <x v="28"/>
    <n v="75000"/>
    <x v="3"/>
  </r>
  <r>
    <x v="24"/>
    <x v="24"/>
    <x v="20"/>
    <n v="-5600000"/>
    <x v="1"/>
  </r>
  <r>
    <x v="102"/>
    <x v="24"/>
    <x v="22"/>
    <n v="1500000"/>
    <x v="3"/>
  </r>
  <r>
    <x v="102"/>
    <x v="24"/>
    <x v="22"/>
    <n v="-5045457"/>
    <x v="1"/>
  </r>
  <r>
    <x v="134"/>
    <x v="123"/>
    <x v="23"/>
    <n v="240000"/>
    <x v="3"/>
  </r>
  <r>
    <x v="135"/>
    <x v="124"/>
    <x v="23"/>
    <n v="320000"/>
    <x v="3"/>
  </r>
  <r>
    <x v="30"/>
    <x v="30"/>
    <x v="22"/>
    <n v="4875000"/>
    <x v="3"/>
  </r>
  <r>
    <x v="132"/>
    <x v="121"/>
    <x v="22"/>
    <n v="320000"/>
    <x v="3"/>
  </r>
  <r>
    <x v="45"/>
    <x v="43"/>
    <x v="23"/>
    <n v="9600000"/>
    <x v="3"/>
  </r>
  <r>
    <x v="45"/>
    <x v="43"/>
    <x v="23"/>
    <n v="-4616666"/>
    <x v="1"/>
  </r>
  <r>
    <x v="133"/>
    <x v="122"/>
    <x v="22"/>
    <n v="200000"/>
    <x v="3"/>
  </r>
  <r>
    <x v="136"/>
    <x v="125"/>
    <x v="23"/>
    <n v="320000"/>
    <x v="3"/>
  </r>
  <r>
    <x v="95"/>
    <x v="90"/>
    <x v="26"/>
    <n v="12870000"/>
    <x v="3"/>
  </r>
  <r>
    <x v="95"/>
    <x v="90"/>
    <x v="26"/>
    <n v="-49300002"/>
    <x v="1"/>
  </r>
  <r>
    <x v="48"/>
    <x v="46"/>
    <x v="27"/>
    <n v="1050000"/>
    <x v="3"/>
  </r>
  <r>
    <x v="44"/>
    <x v="42"/>
    <x v="27"/>
    <n v="4560000"/>
    <x v="3"/>
  </r>
  <r>
    <x v="44"/>
    <x v="42"/>
    <x v="27"/>
    <n v="-10633328"/>
    <x v="1"/>
  </r>
  <r>
    <x v="108"/>
    <x v="101"/>
    <x v="29"/>
    <n v="-3808333"/>
    <x v="1"/>
  </r>
  <r>
    <x v="101"/>
    <x v="95"/>
    <x v="29"/>
    <n v="-3841667"/>
    <x v="1"/>
  </r>
  <r>
    <x v="81"/>
    <x v="77"/>
    <x v="29"/>
    <n v="-3958333"/>
    <x v="1"/>
  </r>
  <r>
    <x v="87"/>
    <x v="82"/>
    <x v="29"/>
    <n v="-2900000"/>
    <x v="1"/>
  </r>
  <r>
    <x v="29"/>
    <x v="29"/>
    <x v="29"/>
    <n v="-6424608"/>
    <x v="1"/>
  </r>
  <r>
    <x v="51"/>
    <x v="49"/>
    <x v="29"/>
    <n v="-3275000"/>
    <x v="1"/>
  </r>
  <r>
    <x v="97"/>
    <x v="91"/>
    <x v="29"/>
    <n v="-2325000"/>
    <x v="1"/>
  </r>
  <r>
    <x v="106"/>
    <x v="99"/>
    <x v="29"/>
    <n v="-3105000"/>
    <x v="1"/>
  </r>
  <r>
    <x v="64"/>
    <x v="61"/>
    <x v="29"/>
    <n v="-2325000"/>
    <x v="1"/>
  </r>
  <r>
    <x v="123"/>
    <x v="115"/>
    <x v="29"/>
    <n v="-3842333"/>
    <x v="1"/>
  </r>
  <r>
    <x v="56"/>
    <x v="54"/>
    <x v="29"/>
    <n v="-3450000"/>
    <x v="1"/>
  </r>
  <r>
    <x v="72"/>
    <x v="68"/>
    <x v="29"/>
    <n v="-3275000"/>
    <x v="1"/>
  </r>
  <r>
    <x v="6"/>
    <x v="6"/>
    <x v="29"/>
    <n v="-1812500"/>
    <x v="1"/>
  </r>
  <r>
    <x v="112"/>
    <x v="105"/>
    <x v="29"/>
    <n v="-3558333"/>
    <x v="1"/>
  </r>
  <r>
    <x v="109"/>
    <x v="102"/>
    <x v="29"/>
    <n v="-1866667"/>
    <x v="1"/>
  </r>
  <r>
    <x v="57"/>
    <x v="55"/>
    <x v="29"/>
    <n v="-4475000"/>
    <x v="1"/>
  </r>
  <r>
    <x v="74"/>
    <x v="70"/>
    <x v="29"/>
    <n v="-2120000"/>
    <x v="1"/>
  </r>
  <r>
    <x v="90"/>
    <x v="85"/>
    <x v="29"/>
    <n v="-1400000"/>
    <x v="1"/>
  </r>
  <r>
    <x v="21"/>
    <x v="21"/>
    <x v="29"/>
    <n v="-5920000"/>
    <x v="1"/>
  </r>
  <r>
    <x v="128"/>
    <x v="119"/>
    <x v="29"/>
    <n v="-1291667"/>
    <x v="1"/>
  </r>
  <r>
    <x v="60"/>
    <x v="58"/>
    <x v="29"/>
    <n v="-2708333"/>
    <x v="1"/>
  </r>
  <r>
    <x v="114"/>
    <x v="107"/>
    <x v="29"/>
    <n v="-4"/>
    <x v="1"/>
  </r>
  <r>
    <x v="39"/>
    <x v="37"/>
    <x v="29"/>
    <n v="-1033333"/>
    <x v="1"/>
  </r>
  <r>
    <x v="85"/>
    <x v="80"/>
    <x v="29"/>
    <n v="-2708333"/>
    <x v="1"/>
  </r>
  <r>
    <x v="68"/>
    <x v="64"/>
    <x v="29"/>
    <n v="-933334"/>
    <x v="1"/>
  </r>
  <r>
    <x v="115"/>
    <x v="108"/>
    <x v="29"/>
    <n v="-1825000"/>
    <x v="1"/>
  </r>
  <r>
    <x v="82"/>
    <x v="78"/>
    <x v="29"/>
    <n v="-383333"/>
    <x v="1"/>
  </r>
  <r>
    <x v="31"/>
    <x v="31"/>
    <x v="29"/>
    <n v="-1650000"/>
    <x v="1"/>
  </r>
  <r>
    <x v="76"/>
    <x v="72"/>
    <x v="29"/>
    <n v="-4791667"/>
    <x v="1"/>
  </r>
  <r>
    <x v="84"/>
    <x v="79"/>
    <x v="29"/>
    <n v="-2333333"/>
    <x v="1"/>
  </r>
  <r>
    <x v="104"/>
    <x v="97"/>
    <x v="29"/>
    <n v="-2708333"/>
    <x v="1"/>
  </r>
  <r>
    <x v="50"/>
    <x v="48"/>
    <x v="29"/>
    <n v="-3331667"/>
    <x v="1"/>
  </r>
  <r>
    <x v="88"/>
    <x v="83"/>
    <x v="29"/>
    <n v="-2708333"/>
    <x v="1"/>
  </r>
  <r>
    <x v="52"/>
    <x v="50"/>
    <x v="29"/>
    <n v="-1341667"/>
    <x v="1"/>
  </r>
  <r>
    <x v="91"/>
    <x v="86"/>
    <x v="29"/>
    <n v="-3558333"/>
    <x v="1"/>
  </r>
  <r>
    <x v="69"/>
    <x v="65"/>
    <x v="29"/>
    <n v="-440000"/>
    <x v="1"/>
  </r>
  <r>
    <x v="16"/>
    <x v="16"/>
    <x v="29"/>
    <n v="-3275000"/>
    <x v="1"/>
  </r>
  <r>
    <x v="45"/>
    <x v="43"/>
    <x v="29"/>
    <n v="-1825000"/>
    <x v="1"/>
  </r>
  <r>
    <x v="2"/>
    <x v="2"/>
    <x v="29"/>
    <n v="-597333"/>
    <x v="1"/>
  </r>
  <r>
    <x v="43"/>
    <x v="41"/>
    <x v="29"/>
    <n v="-2708333"/>
    <x v="1"/>
  </r>
  <r>
    <x v="25"/>
    <x v="25"/>
    <x v="29"/>
    <n v="-775000"/>
    <x v="1"/>
  </r>
  <r>
    <x v="42"/>
    <x v="40"/>
    <x v="29"/>
    <n v="-4125000"/>
    <x v="1"/>
  </r>
  <r>
    <x v="13"/>
    <x v="13"/>
    <x v="29"/>
    <n v="-1575000"/>
    <x v="1"/>
  </r>
  <r>
    <x v="48"/>
    <x v="46"/>
    <x v="29"/>
    <n v="-2368333"/>
    <x v="1"/>
  </r>
  <r>
    <x v="125"/>
    <x v="116"/>
    <x v="29"/>
    <n v="-1348333"/>
    <x v="1"/>
  </r>
  <r>
    <x v="8"/>
    <x v="8"/>
    <x v="29"/>
    <n v="-4408333"/>
    <x v="1"/>
  </r>
  <r>
    <x v="0"/>
    <x v="0"/>
    <x v="29"/>
    <n v="-660000"/>
    <x v="1"/>
  </r>
  <r>
    <x v="54"/>
    <x v="52"/>
    <x v="29"/>
    <n v="-530000"/>
    <x v="1"/>
  </r>
  <r>
    <x v="117"/>
    <x v="109"/>
    <x v="29"/>
    <n v="-1341667"/>
    <x v="1"/>
  </r>
  <r>
    <x v="37"/>
    <x v="36"/>
    <x v="29"/>
    <n v="-2708333"/>
    <x v="1"/>
  </r>
  <r>
    <x v="118"/>
    <x v="110"/>
    <x v="29"/>
    <n v="-1291667"/>
    <x v="1"/>
  </r>
  <r>
    <x v="35"/>
    <x v="34"/>
    <x v="29"/>
    <n v="-3125000"/>
    <x v="1"/>
  </r>
  <r>
    <x v="73"/>
    <x v="69"/>
    <x v="29"/>
    <n v="-1085000"/>
    <x v="1"/>
  </r>
  <r>
    <x v="99"/>
    <x v="93"/>
    <x v="29"/>
    <n v="-2595000"/>
    <x v="1"/>
  </r>
  <r>
    <x v="12"/>
    <x v="12"/>
    <x v="29"/>
    <n v="-1858333"/>
    <x v="1"/>
  </r>
  <r>
    <x v="18"/>
    <x v="18"/>
    <x v="29"/>
    <n v="-1603333"/>
    <x v="1"/>
  </r>
  <r>
    <x v="17"/>
    <x v="17"/>
    <x v="29"/>
    <n v="-767000"/>
    <x v="1"/>
  </r>
  <r>
    <x v="100"/>
    <x v="94"/>
    <x v="29"/>
    <n v="-1120000"/>
    <x v="1"/>
  </r>
  <r>
    <x v="127"/>
    <x v="118"/>
    <x v="29"/>
    <n v="-2708333"/>
    <x v="1"/>
  </r>
  <r>
    <x v="40"/>
    <x v="38"/>
    <x v="29"/>
    <n v="-600000"/>
    <x v="1"/>
  </r>
  <r>
    <x v="77"/>
    <x v="73"/>
    <x v="29"/>
    <n v="-1033333"/>
    <x v="1"/>
  </r>
  <r>
    <x v="9"/>
    <x v="9"/>
    <x v="29"/>
    <n v="-775000"/>
    <x v="1"/>
  </r>
  <r>
    <x v="126"/>
    <x v="117"/>
    <x v="29"/>
    <n v="-671667"/>
    <x v="1"/>
  </r>
  <r>
    <x v="22"/>
    <x v="22"/>
    <x v="29"/>
    <n v="-1866667"/>
    <x v="1"/>
  </r>
  <r>
    <x v="89"/>
    <x v="84"/>
    <x v="29"/>
    <n v="-653333"/>
    <x v="1"/>
  </r>
  <r>
    <x v="14"/>
    <x v="14"/>
    <x v="29"/>
    <n v="-723333"/>
    <x v="1"/>
  </r>
  <r>
    <x v="122"/>
    <x v="114"/>
    <x v="29"/>
    <n v="-1500000"/>
    <x v="1"/>
  </r>
  <r>
    <x v="130"/>
    <x v="120"/>
    <x v="29"/>
    <n v="-1916667"/>
    <x v="1"/>
  </r>
  <r>
    <x v="10"/>
    <x v="10"/>
    <x v="29"/>
    <n v="-2200000"/>
    <x v="1"/>
  </r>
  <r>
    <x v="65"/>
    <x v="62"/>
    <x v="29"/>
    <n v="-1680000"/>
    <x v="1"/>
  </r>
  <r>
    <x v="113"/>
    <x v="106"/>
    <x v="29"/>
    <n v="-1760000"/>
    <x v="1"/>
  </r>
  <r>
    <x v="61"/>
    <x v="59"/>
    <x v="29"/>
    <n v="-1513636"/>
    <x v="1"/>
  </r>
  <r>
    <x v="79"/>
    <x v="75"/>
    <x v="29"/>
    <n v="-1430000"/>
    <x v="1"/>
  </r>
  <r>
    <x v="49"/>
    <x v="47"/>
    <x v="29"/>
    <n v="-1430000"/>
    <x v="1"/>
  </r>
  <r>
    <x v="107"/>
    <x v="100"/>
    <x v="29"/>
    <n v="-1433333"/>
    <x v="1"/>
  </r>
  <r>
    <x v="1"/>
    <x v="1"/>
    <x v="29"/>
    <n v="-330000"/>
    <x v="1"/>
  </r>
  <r>
    <x v="7"/>
    <x v="7"/>
    <x v="29"/>
    <n v="-618333"/>
    <x v="1"/>
  </r>
  <r>
    <x v="75"/>
    <x v="71"/>
    <x v="29"/>
    <n v="-530000"/>
    <x v="1"/>
  </r>
  <r>
    <x v="46"/>
    <x v="44"/>
    <x v="29"/>
    <n v="-735000"/>
    <x v="1"/>
  </r>
  <r>
    <x v="20"/>
    <x v="20"/>
    <x v="29"/>
    <n v="-1195000"/>
    <x v="1"/>
  </r>
  <r>
    <x v="32"/>
    <x v="32"/>
    <x v="29"/>
    <n v="-706667"/>
    <x v="1"/>
  </r>
  <r>
    <x v="5"/>
    <x v="5"/>
    <x v="29"/>
    <n v="-357000"/>
    <x v="1"/>
  </r>
  <r>
    <x v="98"/>
    <x v="92"/>
    <x v="29"/>
    <n v="-1100000"/>
    <x v="1"/>
  </r>
  <r>
    <x v="96"/>
    <x v="24"/>
    <x v="29"/>
    <n v="-901000"/>
    <x v="1"/>
  </r>
  <r>
    <x v="131"/>
    <x v="24"/>
    <x v="29"/>
    <n v="-330000"/>
    <x v="1"/>
  </r>
  <r>
    <x v="62"/>
    <x v="24"/>
    <x v="29"/>
    <n v="-770000"/>
    <x v="1"/>
  </r>
  <r>
    <x v="63"/>
    <x v="60"/>
    <x v="29"/>
    <n v="0"/>
    <x v="1"/>
  </r>
  <r>
    <x v="59"/>
    <x v="57"/>
    <x v="29"/>
    <n v="0"/>
    <x v="1"/>
  </r>
  <r>
    <x v="120"/>
    <x v="112"/>
    <x v="29"/>
    <n v="0"/>
    <x v="1"/>
  </r>
  <r>
    <x v="137"/>
    <x v="126"/>
    <x v="30"/>
    <n v="25000000"/>
    <x v="2"/>
  </r>
  <r>
    <x v="120"/>
    <x v="112"/>
    <x v="31"/>
    <n v="45000000"/>
    <x v="2"/>
  </r>
  <r>
    <x v="0"/>
    <x v="0"/>
    <x v="31"/>
    <n v="3000000"/>
    <x v="2"/>
  </r>
  <r>
    <x v="138"/>
    <x v="127"/>
    <x v="32"/>
    <n v="800000"/>
    <x v="2"/>
  </r>
  <r>
    <x v="15"/>
    <x v="15"/>
    <x v="33"/>
    <n v="-88666664"/>
    <x v="1"/>
  </r>
  <r>
    <x v="105"/>
    <x v="98"/>
    <x v="34"/>
    <n v="-66150000"/>
    <x v="1"/>
  </r>
  <r>
    <x v="41"/>
    <x v="39"/>
    <x v="25"/>
    <n v="1080000"/>
    <x v="3"/>
  </r>
  <r>
    <x v="0"/>
    <x v="0"/>
    <x v="31"/>
    <n v="30000"/>
    <x v="3"/>
  </r>
  <r>
    <x v="137"/>
    <x v="126"/>
    <x v="30"/>
    <n v="6000000"/>
    <x v="3"/>
  </r>
  <r>
    <x v="120"/>
    <x v="112"/>
    <x v="31"/>
    <n v="-31591669"/>
    <x v="1"/>
  </r>
  <r>
    <x v="120"/>
    <x v="112"/>
    <x v="31"/>
    <n v="13200000"/>
    <x v="3"/>
  </r>
  <r>
    <x v="38"/>
    <x v="4"/>
    <x v="35"/>
    <n v="-1867000"/>
    <x v="1"/>
  </r>
  <r>
    <x v="138"/>
    <x v="127"/>
    <x v="32"/>
    <n v="32000"/>
    <x v="3"/>
  </r>
  <r>
    <x v="76"/>
    <x v="72"/>
    <x v="22"/>
    <n v="7500000"/>
    <x v="3"/>
  </r>
  <r>
    <x v="9"/>
    <x v="9"/>
    <x v="36"/>
    <n v="10850000"/>
    <x v="1"/>
  </r>
  <r>
    <x v="29"/>
    <x v="29"/>
    <x v="37"/>
    <n v="47716469"/>
    <x v="2"/>
  </r>
  <r>
    <x v="108"/>
    <x v="101"/>
    <x v="38"/>
    <n v="-3808333"/>
    <x v="1"/>
  </r>
  <r>
    <x v="101"/>
    <x v="95"/>
    <x v="38"/>
    <n v="-3841667"/>
    <x v="1"/>
  </r>
  <r>
    <x v="81"/>
    <x v="77"/>
    <x v="38"/>
    <n v="-3958333"/>
    <x v="1"/>
  </r>
  <r>
    <x v="87"/>
    <x v="82"/>
    <x v="38"/>
    <n v="-2900000"/>
    <x v="1"/>
  </r>
  <r>
    <x v="29"/>
    <x v="29"/>
    <x v="37"/>
    <n v="7157470"/>
    <x v="3"/>
  </r>
  <r>
    <x v="29"/>
    <x v="29"/>
    <x v="38"/>
    <n v="-6424608"/>
    <x v="1"/>
  </r>
  <r>
    <x v="51"/>
    <x v="49"/>
    <x v="38"/>
    <n v="-550000"/>
    <x v="1"/>
  </r>
  <r>
    <x v="97"/>
    <x v="91"/>
    <x v="38"/>
    <n v="-2325000"/>
    <x v="1"/>
  </r>
  <r>
    <x v="106"/>
    <x v="99"/>
    <x v="38"/>
    <n v="-3105000"/>
    <x v="1"/>
  </r>
  <r>
    <x v="64"/>
    <x v="61"/>
    <x v="38"/>
    <n v="-2325000"/>
    <x v="1"/>
  </r>
  <r>
    <x v="123"/>
    <x v="115"/>
    <x v="38"/>
    <n v="-3842333"/>
    <x v="1"/>
  </r>
  <r>
    <x v="72"/>
    <x v="68"/>
    <x v="38"/>
    <n v="-3275000"/>
    <x v="1"/>
  </r>
  <r>
    <x v="6"/>
    <x v="6"/>
    <x v="38"/>
    <n v="-1812500"/>
    <x v="1"/>
  </r>
  <r>
    <x v="63"/>
    <x v="60"/>
    <x v="38"/>
    <n v="-3955000"/>
    <x v="1"/>
  </r>
  <r>
    <x v="112"/>
    <x v="105"/>
    <x v="38"/>
    <n v="-3558333"/>
    <x v="1"/>
  </r>
  <r>
    <x v="59"/>
    <x v="57"/>
    <x v="38"/>
    <n v="-1741112"/>
    <x v="1"/>
  </r>
  <r>
    <x v="109"/>
    <x v="102"/>
    <x v="38"/>
    <n v="-1866667"/>
    <x v="1"/>
  </r>
  <r>
    <x v="57"/>
    <x v="55"/>
    <x v="38"/>
    <n v="-4475000"/>
    <x v="1"/>
  </r>
  <r>
    <x v="74"/>
    <x v="70"/>
    <x v="38"/>
    <n v="-7195000"/>
    <x v="1"/>
  </r>
  <r>
    <x v="30"/>
    <x v="30"/>
    <x v="38"/>
    <n v="-2750000"/>
    <x v="1"/>
  </r>
  <r>
    <x v="90"/>
    <x v="85"/>
    <x v="38"/>
    <n v="-1400000"/>
    <x v="1"/>
  </r>
  <r>
    <x v="21"/>
    <x v="21"/>
    <x v="38"/>
    <n v="-5920000"/>
    <x v="1"/>
  </r>
  <r>
    <x v="128"/>
    <x v="119"/>
    <x v="38"/>
    <n v="-1291667"/>
    <x v="1"/>
  </r>
  <r>
    <x v="60"/>
    <x v="58"/>
    <x v="38"/>
    <n v="-2708333"/>
    <x v="1"/>
  </r>
  <r>
    <x v="39"/>
    <x v="37"/>
    <x v="38"/>
    <n v="-1033333"/>
    <x v="1"/>
  </r>
  <r>
    <x v="85"/>
    <x v="80"/>
    <x v="38"/>
    <n v="-2708333"/>
    <x v="1"/>
  </r>
  <r>
    <x v="68"/>
    <x v="64"/>
    <x v="38"/>
    <n v="-933334"/>
    <x v="1"/>
  </r>
  <r>
    <x v="115"/>
    <x v="108"/>
    <x v="38"/>
    <n v="-1825000"/>
    <x v="1"/>
  </r>
  <r>
    <x v="82"/>
    <x v="78"/>
    <x v="38"/>
    <n v="-383333"/>
    <x v="1"/>
  </r>
  <r>
    <x v="41"/>
    <x v="39"/>
    <x v="38"/>
    <n v="-232500"/>
    <x v="1"/>
  </r>
  <r>
    <x v="31"/>
    <x v="31"/>
    <x v="38"/>
    <n v="-1650000"/>
    <x v="1"/>
  </r>
  <r>
    <x v="76"/>
    <x v="72"/>
    <x v="38"/>
    <n v="-4791667"/>
    <x v="1"/>
  </r>
  <r>
    <x v="84"/>
    <x v="79"/>
    <x v="38"/>
    <n v="-2333333"/>
    <x v="1"/>
  </r>
  <r>
    <x v="104"/>
    <x v="97"/>
    <x v="38"/>
    <n v="-2708333"/>
    <x v="1"/>
  </r>
  <r>
    <x v="50"/>
    <x v="48"/>
    <x v="38"/>
    <n v="0"/>
    <x v="1"/>
  </r>
  <r>
    <x v="88"/>
    <x v="83"/>
    <x v="38"/>
    <n v="-2708333"/>
    <x v="1"/>
  </r>
  <r>
    <x v="52"/>
    <x v="50"/>
    <x v="38"/>
    <n v="-1341667"/>
    <x v="1"/>
  </r>
  <r>
    <x v="91"/>
    <x v="86"/>
    <x v="38"/>
    <n v="-3558333"/>
    <x v="1"/>
  </r>
  <r>
    <x v="69"/>
    <x v="65"/>
    <x v="38"/>
    <n v="-440000"/>
    <x v="1"/>
  </r>
  <r>
    <x v="95"/>
    <x v="90"/>
    <x v="38"/>
    <n v="-3826111"/>
    <x v="1"/>
  </r>
  <r>
    <x v="16"/>
    <x v="16"/>
    <x v="38"/>
    <n v="-3275000"/>
    <x v="1"/>
  </r>
  <r>
    <x v="45"/>
    <x v="43"/>
    <x v="38"/>
    <n v="-1858333"/>
    <x v="1"/>
  </r>
  <r>
    <x v="2"/>
    <x v="2"/>
    <x v="38"/>
    <n v="-597333"/>
    <x v="1"/>
  </r>
  <r>
    <x v="43"/>
    <x v="41"/>
    <x v="38"/>
    <n v="-2708333"/>
    <x v="1"/>
  </r>
  <r>
    <x v="25"/>
    <x v="25"/>
    <x v="38"/>
    <n v="-775000"/>
    <x v="1"/>
  </r>
  <r>
    <x v="42"/>
    <x v="40"/>
    <x v="38"/>
    <n v="-4125000"/>
    <x v="1"/>
  </r>
  <r>
    <x v="13"/>
    <x v="13"/>
    <x v="38"/>
    <n v="-1575000"/>
    <x v="1"/>
  </r>
  <r>
    <x v="48"/>
    <x v="46"/>
    <x v="38"/>
    <n v="-3173333"/>
    <x v="1"/>
  </r>
  <r>
    <x v="125"/>
    <x v="116"/>
    <x v="38"/>
    <n v="-1348333"/>
    <x v="1"/>
  </r>
  <r>
    <x v="8"/>
    <x v="8"/>
    <x v="38"/>
    <n v="-4408333"/>
    <x v="1"/>
  </r>
  <r>
    <x v="0"/>
    <x v="0"/>
    <x v="38"/>
    <n v="-660000"/>
    <x v="1"/>
  </r>
  <r>
    <x v="54"/>
    <x v="52"/>
    <x v="38"/>
    <n v="-530000"/>
    <x v="1"/>
  </r>
  <r>
    <x v="117"/>
    <x v="109"/>
    <x v="38"/>
    <n v="-1341667"/>
    <x v="1"/>
  </r>
  <r>
    <x v="37"/>
    <x v="36"/>
    <x v="38"/>
    <n v="-2708333"/>
    <x v="1"/>
  </r>
  <r>
    <x v="118"/>
    <x v="110"/>
    <x v="38"/>
    <n v="-1291667"/>
    <x v="1"/>
  </r>
  <r>
    <x v="35"/>
    <x v="34"/>
    <x v="38"/>
    <n v="-3125000"/>
    <x v="1"/>
  </r>
  <r>
    <x v="73"/>
    <x v="69"/>
    <x v="38"/>
    <n v="-1085000"/>
    <x v="1"/>
  </r>
  <r>
    <x v="99"/>
    <x v="93"/>
    <x v="38"/>
    <n v="-2595000"/>
    <x v="1"/>
  </r>
  <r>
    <x v="12"/>
    <x v="12"/>
    <x v="38"/>
    <n v="-1858333"/>
    <x v="1"/>
  </r>
  <r>
    <x v="18"/>
    <x v="18"/>
    <x v="38"/>
    <n v="-1603333"/>
    <x v="1"/>
  </r>
  <r>
    <x v="44"/>
    <x v="42"/>
    <x v="38"/>
    <n v="-981667"/>
    <x v="1"/>
  </r>
  <r>
    <x v="17"/>
    <x v="17"/>
    <x v="38"/>
    <n v="-767000"/>
    <x v="1"/>
  </r>
  <r>
    <x v="100"/>
    <x v="94"/>
    <x v="38"/>
    <n v="-1120000"/>
    <x v="1"/>
  </r>
  <r>
    <x v="127"/>
    <x v="118"/>
    <x v="38"/>
    <n v="-2708333"/>
    <x v="1"/>
  </r>
  <r>
    <x v="40"/>
    <x v="38"/>
    <x v="38"/>
    <n v="-600000"/>
    <x v="1"/>
  </r>
  <r>
    <x v="77"/>
    <x v="73"/>
    <x v="38"/>
    <n v="-1033333"/>
    <x v="1"/>
  </r>
  <r>
    <x v="126"/>
    <x v="117"/>
    <x v="38"/>
    <n v="-671667"/>
    <x v="1"/>
  </r>
  <r>
    <x v="22"/>
    <x v="22"/>
    <x v="38"/>
    <n v="-1866667"/>
    <x v="1"/>
  </r>
  <r>
    <x v="89"/>
    <x v="84"/>
    <x v="38"/>
    <n v="-653333"/>
    <x v="1"/>
  </r>
  <r>
    <x v="14"/>
    <x v="14"/>
    <x v="38"/>
    <n v="-723333"/>
    <x v="1"/>
  </r>
  <r>
    <x v="122"/>
    <x v="114"/>
    <x v="38"/>
    <n v="-1500000"/>
    <x v="1"/>
  </r>
  <r>
    <x v="130"/>
    <x v="120"/>
    <x v="38"/>
    <n v="-1916667"/>
    <x v="1"/>
  </r>
  <r>
    <x v="10"/>
    <x v="10"/>
    <x v="38"/>
    <n v="-2200000"/>
    <x v="1"/>
  </r>
  <r>
    <x v="65"/>
    <x v="62"/>
    <x v="38"/>
    <n v="-1680000"/>
    <x v="1"/>
  </r>
  <r>
    <x v="113"/>
    <x v="106"/>
    <x v="38"/>
    <n v="-1760000"/>
    <x v="1"/>
  </r>
  <r>
    <x v="61"/>
    <x v="59"/>
    <x v="38"/>
    <n v="-1513636"/>
    <x v="1"/>
  </r>
  <r>
    <x v="79"/>
    <x v="75"/>
    <x v="38"/>
    <n v="-1430000"/>
    <x v="1"/>
  </r>
  <r>
    <x v="49"/>
    <x v="47"/>
    <x v="38"/>
    <n v="-1430000"/>
    <x v="1"/>
  </r>
  <r>
    <x v="107"/>
    <x v="100"/>
    <x v="38"/>
    <n v="-1433333"/>
    <x v="1"/>
  </r>
  <r>
    <x v="1"/>
    <x v="1"/>
    <x v="38"/>
    <n v="-330000"/>
    <x v="1"/>
  </r>
  <r>
    <x v="7"/>
    <x v="7"/>
    <x v="38"/>
    <n v="-618333"/>
    <x v="1"/>
  </r>
  <r>
    <x v="75"/>
    <x v="71"/>
    <x v="38"/>
    <n v="-530000"/>
    <x v="1"/>
  </r>
  <r>
    <x v="46"/>
    <x v="44"/>
    <x v="38"/>
    <n v="-735000"/>
    <x v="1"/>
  </r>
  <r>
    <x v="92"/>
    <x v="87"/>
    <x v="38"/>
    <n v="-520000"/>
    <x v="1"/>
  </r>
  <r>
    <x v="32"/>
    <x v="32"/>
    <x v="38"/>
    <n v="-706667"/>
    <x v="1"/>
  </r>
  <r>
    <x v="135"/>
    <x v="124"/>
    <x v="38"/>
    <n v="-540000"/>
    <x v="1"/>
  </r>
  <r>
    <x v="136"/>
    <x v="125"/>
    <x v="38"/>
    <n v="-540000"/>
    <x v="1"/>
  </r>
  <r>
    <x v="134"/>
    <x v="123"/>
    <x v="38"/>
    <n v="-405000"/>
    <x v="1"/>
  </r>
  <r>
    <x v="98"/>
    <x v="92"/>
    <x v="38"/>
    <n v="-1100000"/>
    <x v="1"/>
  </r>
  <r>
    <x v="132"/>
    <x v="121"/>
    <x v="38"/>
    <n v="-540000"/>
    <x v="1"/>
  </r>
  <r>
    <x v="133"/>
    <x v="122"/>
    <x v="38"/>
    <n v="-337500"/>
    <x v="1"/>
  </r>
  <r>
    <x v="96"/>
    <x v="24"/>
    <x v="38"/>
    <n v="-901000"/>
    <x v="1"/>
  </r>
  <r>
    <x v="131"/>
    <x v="24"/>
    <x v="38"/>
    <n v="-330000"/>
    <x v="1"/>
  </r>
  <r>
    <x v="62"/>
    <x v="24"/>
    <x v="38"/>
    <n v="-770000"/>
    <x v="1"/>
  </r>
  <r>
    <x v="102"/>
    <x v="24"/>
    <x v="38"/>
    <n v="-1650000"/>
    <x v="1"/>
  </r>
  <r>
    <x v="122"/>
    <x v="114"/>
    <x v="37"/>
    <n v="-22500000"/>
    <x v="1"/>
  </r>
  <r>
    <x v="1"/>
    <x v="1"/>
    <x v="39"/>
    <n v="-2860000"/>
    <x v="1"/>
  </r>
  <r>
    <x v="92"/>
    <x v="87"/>
    <x v="37"/>
    <n v="-1560000"/>
    <x v="1"/>
  </r>
  <r>
    <x v="128"/>
    <x v="119"/>
    <x v="40"/>
    <n v="-2583326"/>
    <x v="1"/>
  </r>
  <r>
    <x v="104"/>
    <x v="97"/>
    <x v="37"/>
    <n v="-43333336"/>
    <x v="1"/>
  </r>
  <r>
    <x v="104"/>
    <x v="97"/>
    <x v="37"/>
    <n v="70000000"/>
    <x v="2"/>
  </r>
  <r>
    <x v="104"/>
    <x v="97"/>
    <x v="37"/>
    <n v="22200000"/>
    <x v="3"/>
  </r>
  <r>
    <x v="111"/>
    <x v="104"/>
    <x v="37"/>
    <n v="3000000"/>
    <x v="2"/>
  </r>
  <r>
    <x v="111"/>
    <x v="104"/>
    <x v="37"/>
    <n v="360000"/>
    <x v="3"/>
  </r>
  <r>
    <x v="99"/>
    <x v="93"/>
    <x v="37"/>
    <n v="-36330000"/>
    <x v="1"/>
  </r>
  <r>
    <x v="99"/>
    <x v="93"/>
    <x v="37"/>
    <n v="58000000"/>
    <x v="2"/>
  </r>
  <r>
    <x v="99"/>
    <x v="93"/>
    <x v="37"/>
    <n v="17880000"/>
    <x v="3"/>
  </r>
  <r>
    <x v="122"/>
    <x v="114"/>
    <x v="37"/>
    <n v="34000000"/>
    <x v="2"/>
  </r>
  <r>
    <x v="122"/>
    <x v="114"/>
    <x v="37"/>
    <n v="9240000"/>
    <x v="3"/>
  </r>
  <r>
    <x v="92"/>
    <x v="87"/>
    <x v="37"/>
    <n v="8000000"/>
    <x v="2"/>
  </r>
  <r>
    <x v="92"/>
    <x v="87"/>
    <x v="37"/>
    <n v="480000"/>
    <x v="3"/>
  </r>
  <r>
    <x v="1"/>
    <x v="1"/>
    <x v="39"/>
    <n v="5000000"/>
    <x v="2"/>
  </r>
  <r>
    <x v="1"/>
    <x v="1"/>
    <x v="39"/>
    <n v="500000"/>
    <x v="3"/>
  </r>
  <r>
    <x v="46"/>
    <x v="44"/>
    <x v="41"/>
    <n v="-735000"/>
    <x v="1"/>
  </r>
  <r>
    <x v="46"/>
    <x v="44"/>
    <x v="41"/>
    <n v="5000000"/>
    <x v="2"/>
  </r>
  <r>
    <x v="46"/>
    <x v="44"/>
    <x v="41"/>
    <n v="500000"/>
    <x v="3"/>
  </r>
  <r>
    <x v="32"/>
    <x v="32"/>
    <x v="41"/>
    <n v="-1413332"/>
    <x v="1"/>
  </r>
  <r>
    <x v="32"/>
    <x v="32"/>
    <x v="41"/>
    <n v="6000000"/>
    <x v="2"/>
  </r>
  <r>
    <x v="32"/>
    <x v="32"/>
    <x v="41"/>
    <n v="600000"/>
    <x v="3"/>
  </r>
  <r>
    <x v="139"/>
    <x v="128"/>
    <x v="37"/>
    <n v="2000000"/>
    <x v="2"/>
  </r>
  <r>
    <x v="139"/>
    <x v="128"/>
    <x v="37"/>
    <n v="200000"/>
    <x v="3"/>
  </r>
  <r>
    <x v="128"/>
    <x v="119"/>
    <x v="40"/>
    <n v="15000000"/>
    <x v="2"/>
  </r>
  <r>
    <x v="128"/>
    <x v="119"/>
    <x v="40"/>
    <n v="1950000"/>
    <x v="3"/>
  </r>
  <r>
    <x v="39"/>
    <x v="37"/>
    <x v="40"/>
    <n v="-16533336"/>
    <x v="1"/>
  </r>
  <r>
    <x v="39"/>
    <x v="37"/>
    <x v="40"/>
    <n v="20000000"/>
    <x v="2"/>
  </r>
  <r>
    <x v="39"/>
    <x v="37"/>
    <x v="40"/>
    <n v="4800000"/>
    <x v="3"/>
  </r>
  <r>
    <x v="5"/>
    <x v="5"/>
    <x v="37"/>
    <n v="3000000"/>
    <x v="2"/>
  </r>
  <r>
    <x v="5"/>
    <x v="5"/>
    <x v="37"/>
    <n v="210000"/>
    <x v="3"/>
  </r>
  <r>
    <x v="93"/>
    <x v="88"/>
    <x v="42"/>
    <n v="10000000"/>
    <x v="2"/>
  </r>
  <r>
    <x v="93"/>
    <x v="88"/>
    <x v="42"/>
    <n v="1000000"/>
    <x v="3"/>
  </r>
  <r>
    <x v="112"/>
    <x v="105"/>
    <x v="43"/>
    <n v="-53558333"/>
    <x v="1"/>
  </r>
  <r>
    <x v="112"/>
    <x v="105"/>
    <x v="43"/>
    <n v="183330"/>
    <x v="1"/>
  </r>
  <r>
    <x v="112"/>
    <x v="105"/>
    <x v="43"/>
    <n v="65000000"/>
    <x v="2"/>
  </r>
  <r>
    <x v="112"/>
    <x v="105"/>
    <x v="43"/>
    <n v="20400000"/>
    <x v="3"/>
  </r>
  <r>
    <x v="58"/>
    <x v="56"/>
    <x v="44"/>
    <n v="5000000"/>
    <x v="2"/>
  </r>
  <r>
    <x v="58"/>
    <x v="56"/>
    <x v="44"/>
    <n v="500000"/>
    <x v="3"/>
  </r>
  <r>
    <x v="20"/>
    <x v="20"/>
    <x v="45"/>
    <n v="17000000"/>
    <x v="2"/>
  </r>
  <r>
    <x v="20"/>
    <x v="20"/>
    <x v="45"/>
    <n v="3400000"/>
    <x v="3"/>
  </r>
  <r>
    <x v="123"/>
    <x v="115"/>
    <x v="44"/>
    <n v="-4659340"/>
    <x v="1"/>
  </r>
  <r>
    <x v="123"/>
    <x v="115"/>
    <x v="44"/>
    <n v="35000000"/>
    <x v="2"/>
  </r>
  <r>
    <x v="123"/>
    <x v="115"/>
    <x v="44"/>
    <n v="4800000"/>
    <x v="3"/>
  </r>
  <r>
    <x v="61"/>
    <x v="59"/>
    <x v="46"/>
    <n v="-4390912"/>
    <x v="1"/>
  </r>
  <r>
    <x v="61"/>
    <x v="59"/>
    <x v="46"/>
    <n v="15000000"/>
    <x v="2"/>
  </r>
  <r>
    <x v="61"/>
    <x v="59"/>
    <x v="46"/>
    <n v="1500000"/>
    <x v="3"/>
  </r>
  <r>
    <x v="86"/>
    <x v="81"/>
    <x v="46"/>
    <n v="1500000"/>
    <x v="2"/>
  </r>
  <r>
    <x v="86"/>
    <x v="81"/>
    <x v="46"/>
    <n v="150000"/>
    <x v="3"/>
  </r>
  <r>
    <x v="114"/>
    <x v="107"/>
    <x v="47"/>
    <n v="7000000"/>
    <x v="2"/>
  </r>
  <r>
    <x v="114"/>
    <x v="107"/>
    <x v="47"/>
    <n v="840000"/>
    <x v="3"/>
  </r>
  <r>
    <x v="140"/>
    <x v="129"/>
    <x v="48"/>
    <n v="2250000"/>
    <x v="2"/>
  </r>
  <r>
    <x v="140"/>
    <x v="129"/>
    <x v="48"/>
    <n v="135000"/>
    <x v="3"/>
  </r>
  <r>
    <x v="141"/>
    <x v="130"/>
    <x v="48"/>
    <n v="5000000"/>
    <x v="2"/>
  </r>
  <r>
    <x v="141"/>
    <x v="130"/>
    <x v="48"/>
    <n v="500000"/>
    <x v="3"/>
  </r>
  <r>
    <x v="67"/>
    <x v="63"/>
    <x v="49"/>
    <n v="40000000"/>
    <x v="2"/>
  </r>
  <r>
    <x v="67"/>
    <x v="63"/>
    <x v="49"/>
    <n v="9500000"/>
    <x v="3"/>
  </r>
  <r>
    <x v="142"/>
    <x v="131"/>
    <x v="48"/>
    <n v="20000000"/>
    <x v="2"/>
  </r>
  <r>
    <x v="142"/>
    <x v="131"/>
    <x v="48"/>
    <n v="4800000"/>
    <x v="3"/>
  </r>
  <r>
    <x v="107"/>
    <x v="100"/>
    <x v="48"/>
    <n v="-2650001"/>
    <x v="1"/>
  </r>
  <r>
    <x v="107"/>
    <x v="100"/>
    <x v="48"/>
    <n v="7000000"/>
    <x v="2"/>
  </r>
  <r>
    <x v="107"/>
    <x v="100"/>
    <x v="48"/>
    <n v="560000"/>
    <x v="3"/>
  </r>
  <r>
    <x v="14"/>
    <x v="14"/>
    <x v="48"/>
    <n v="-10850003"/>
    <x v="1"/>
  </r>
  <r>
    <x v="14"/>
    <x v="14"/>
    <x v="48"/>
    <n v="20000000"/>
    <x v="2"/>
  </r>
  <r>
    <x v="14"/>
    <x v="14"/>
    <x v="48"/>
    <n v="4800000"/>
    <x v="3"/>
  </r>
  <r>
    <x v="108"/>
    <x v="101"/>
    <x v="50"/>
    <n v="-3808333"/>
    <x v="1"/>
  </r>
  <r>
    <x v="101"/>
    <x v="95"/>
    <x v="50"/>
    <n v="-3841667"/>
    <x v="1"/>
  </r>
  <r>
    <x v="81"/>
    <x v="77"/>
    <x v="50"/>
    <n v="-3958333"/>
    <x v="1"/>
  </r>
  <r>
    <x v="87"/>
    <x v="82"/>
    <x v="50"/>
    <n v="-2900000"/>
    <x v="1"/>
  </r>
  <r>
    <x v="29"/>
    <x v="29"/>
    <x v="50"/>
    <n v="-6424608"/>
    <x v="1"/>
  </r>
  <r>
    <x v="97"/>
    <x v="91"/>
    <x v="50"/>
    <n v="-2325000"/>
    <x v="1"/>
  </r>
  <r>
    <x v="106"/>
    <x v="99"/>
    <x v="50"/>
    <n v="-3105000"/>
    <x v="1"/>
  </r>
  <r>
    <x v="64"/>
    <x v="61"/>
    <x v="50"/>
    <n v="-2325000"/>
    <x v="1"/>
  </r>
  <r>
    <x v="72"/>
    <x v="68"/>
    <x v="50"/>
    <n v="-3275000"/>
    <x v="1"/>
  </r>
  <r>
    <x v="6"/>
    <x v="6"/>
    <x v="50"/>
    <n v="-1812500"/>
    <x v="1"/>
  </r>
  <r>
    <x v="63"/>
    <x v="60"/>
    <x v="50"/>
    <n v="-3955000"/>
    <x v="1"/>
  </r>
  <r>
    <x v="59"/>
    <x v="57"/>
    <x v="50"/>
    <n v="-1741112"/>
    <x v="1"/>
  </r>
  <r>
    <x v="109"/>
    <x v="102"/>
    <x v="50"/>
    <n v="-1866667"/>
    <x v="1"/>
  </r>
  <r>
    <x v="57"/>
    <x v="55"/>
    <x v="50"/>
    <n v="-4475000"/>
    <x v="1"/>
  </r>
  <r>
    <x v="74"/>
    <x v="70"/>
    <x v="50"/>
    <n v="-2120000"/>
    <x v="1"/>
  </r>
  <r>
    <x v="30"/>
    <x v="30"/>
    <x v="50"/>
    <n v="-2325000"/>
    <x v="1"/>
  </r>
  <r>
    <x v="90"/>
    <x v="85"/>
    <x v="50"/>
    <n v="-1400000"/>
    <x v="1"/>
  </r>
  <r>
    <x v="21"/>
    <x v="21"/>
    <x v="50"/>
    <n v="-5920000"/>
    <x v="1"/>
  </r>
  <r>
    <x v="60"/>
    <x v="58"/>
    <x v="50"/>
    <n v="-2708333"/>
    <x v="1"/>
  </r>
  <r>
    <x v="114"/>
    <x v="107"/>
    <x v="50"/>
    <n v="-653333"/>
    <x v="1"/>
  </r>
  <r>
    <x v="137"/>
    <x v="126"/>
    <x v="50"/>
    <n v="-1291667"/>
    <x v="1"/>
  </r>
  <r>
    <x v="85"/>
    <x v="80"/>
    <x v="50"/>
    <n v="-2708333"/>
    <x v="1"/>
  </r>
  <r>
    <x v="68"/>
    <x v="64"/>
    <x v="50"/>
    <n v="-933334"/>
    <x v="1"/>
  </r>
  <r>
    <x v="115"/>
    <x v="108"/>
    <x v="50"/>
    <n v="-1825000"/>
    <x v="1"/>
  </r>
  <r>
    <x v="82"/>
    <x v="78"/>
    <x v="50"/>
    <n v="-383333"/>
    <x v="1"/>
  </r>
  <r>
    <x v="41"/>
    <x v="39"/>
    <x v="50"/>
    <n v="-232500"/>
    <x v="1"/>
  </r>
  <r>
    <x v="31"/>
    <x v="31"/>
    <x v="50"/>
    <n v="-1650000"/>
    <x v="1"/>
  </r>
  <r>
    <x v="76"/>
    <x v="72"/>
    <x v="50"/>
    <n v="-4791667"/>
    <x v="1"/>
  </r>
  <r>
    <x v="84"/>
    <x v="79"/>
    <x v="50"/>
    <n v="-2333333"/>
    <x v="1"/>
  </r>
  <r>
    <x v="50"/>
    <x v="48"/>
    <x v="50"/>
    <n v="-3331667"/>
    <x v="1"/>
  </r>
  <r>
    <x v="88"/>
    <x v="83"/>
    <x v="50"/>
    <n v="-2708333"/>
    <x v="1"/>
  </r>
  <r>
    <x v="120"/>
    <x v="112"/>
    <x v="50"/>
    <n v="-2425000"/>
    <x v="1"/>
  </r>
  <r>
    <x v="52"/>
    <x v="50"/>
    <x v="50"/>
    <n v="0"/>
    <x v="1"/>
  </r>
  <r>
    <x v="91"/>
    <x v="86"/>
    <x v="50"/>
    <n v="-3558333"/>
    <x v="1"/>
  </r>
  <r>
    <x v="69"/>
    <x v="65"/>
    <x v="50"/>
    <n v="-440000"/>
    <x v="1"/>
  </r>
  <r>
    <x v="95"/>
    <x v="90"/>
    <x v="50"/>
    <n v="-3826111"/>
    <x v="1"/>
  </r>
  <r>
    <x v="16"/>
    <x v="16"/>
    <x v="50"/>
    <n v="-3275000"/>
    <x v="1"/>
  </r>
  <r>
    <x v="45"/>
    <x v="43"/>
    <x v="50"/>
    <n v="-1858333"/>
    <x v="1"/>
  </r>
  <r>
    <x v="2"/>
    <x v="2"/>
    <x v="50"/>
    <n v="-597333"/>
    <x v="1"/>
  </r>
  <r>
    <x v="43"/>
    <x v="41"/>
    <x v="50"/>
    <n v="-2708333"/>
    <x v="1"/>
  </r>
  <r>
    <x v="25"/>
    <x v="25"/>
    <x v="50"/>
    <n v="-775000"/>
    <x v="1"/>
  </r>
  <r>
    <x v="42"/>
    <x v="40"/>
    <x v="50"/>
    <n v="-4125000"/>
    <x v="1"/>
  </r>
  <r>
    <x v="13"/>
    <x v="13"/>
    <x v="50"/>
    <n v="-1575000"/>
    <x v="1"/>
  </r>
  <r>
    <x v="48"/>
    <x v="46"/>
    <x v="50"/>
    <n v="-3173333"/>
    <x v="1"/>
  </r>
  <r>
    <x v="125"/>
    <x v="116"/>
    <x v="50"/>
    <n v="-1348333"/>
    <x v="1"/>
  </r>
  <r>
    <x v="8"/>
    <x v="8"/>
    <x v="50"/>
    <n v="-4408333"/>
    <x v="1"/>
  </r>
  <r>
    <x v="0"/>
    <x v="0"/>
    <x v="50"/>
    <n v="-3690000"/>
    <x v="1"/>
  </r>
  <r>
    <x v="54"/>
    <x v="52"/>
    <x v="50"/>
    <n v="-530000"/>
    <x v="1"/>
  </r>
  <r>
    <x v="117"/>
    <x v="109"/>
    <x v="50"/>
    <n v="-1341667"/>
    <x v="1"/>
  </r>
  <r>
    <x v="37"/>
    <x v="36"/>
    <x v="50"/>
    <n v="-2708333"/>
    <x v="1"/>
  </r>
  <r>
    <x v="118"/>
    <x v="110"/>
    <x v="50"/>
    <n v="-1291667"/>
    <x v="1"/>
  </r>
  <r>
    <x v="35"/>
    <x v="34"/>
    <x v="50"/>
    <n v="-3125000"/>
    <x v="1"/>
  </r>
  <r>
    <x v="73"/>
    <x v="69"/>
    <x v="50"/>
    <n v="-1085000"/>
    <x v="1"/>
  </r>
  <r>
    <x v="12"/>
    <x v="12"/>
    <x v="50"/>
    <n v="-1858333"/>
    <x v="1"/>
  </r>
  <r>
    <x v="18"/>
    <x v="18"/>
    <x v="50"/>
    <n v="-1603333"/>
    <x v="1"/>
  </r>
  <r>
    <x v="44"/>
    <x v="42"/>
    <x v="50"/>
    <n v="-981667"/>
    <x v="1"/>
  </r>
  <r>
    <x v="17"/>
    <x v="17"/>
    <x v="50"/>
    <n v="-767000"/>
    <x v="1"/>
  </r>
  <r>
    <x v="100"/>
    <x v="94"/>
    <x v="50"/>
    <n v="-1120000"/>
    <x v="1"/>
  </r>
  <r>
    <x v="127"/>
    <x v="118"/>
    <x v="50"/>
    <n v="-2708333"/>
    <x v="1"/>
  </r>
  <r>
    <x v="40"/>
    <x v="38"/>
    <x v="50"/>
    <n v="-600000"/>
    <x v="1"/>
  </r>
  <r>
    <x v="77"/>
    <x v="73"/>
    <x v="50"/>
    <n v="-1033333"/>
    <x v="1"/>
  </r>
  <r>
    <x v="126"/>
    <x v="117"/>
    <x v="50"/>
    <n v="-671667"/>
    <x v="1"/>
  </r>
  <r>
    <x v="22"/>
    <x v="22"/>
    <x v="50"/>
    <n v="-1866667"/>
    <x v="1"/>
  </r>
  <r>
    <x v="89"/>
    <x v="84"/>
    <x v="50"/>
    <n v="-653333"/>
    <x v="1"/>
  </r>
  <r>
    <x v="130"/>
    <x v="120"/>
    <x v="50"/>
    <n v="-1916667"/>
    <x v="1"/>
  </r>
  <r>
    <x v="10"/>
    <x v="10"/>
    <x v="50"/>
    <n v="-2200000"/>
    <x v="1"/>
  </r>
  <r>
    <x v="65"/>
    <x v="62"/>
    <x v="50"/>
    <n v="-1680000"/>
    <x v="1"/>
  </r>
  <r>
    <x v="113"/>
    <x v="106"/>
    <x v="50"/>
    <n v="-1760000"/>
    <x v="1"/>
  </r>
  <r>
    <x v="61"/>
    <x v="59"/>
    <x v="50"/>
    <n v="-1650000"/>
    <x v="1"/>
  </r>
  <r>
    <x v="79"/>
    <x v="75"/>
    <x v="50"/>
    <n v="-1430000"/>
    <x v="1"/>
  </r>
  <r>
    <x v="86"/>
    <x v="81"/>
    <x v="50"/>
    <n v="-165000"/>
    <x v="1"/>
  </r>
  <r>
    <x v="7"/>
    <x v="7"/>
    <x v="50"/>
    <n v="-618333"/>
    <x v="1"/>
  </r>
  <r>
    <x v="75"/>
    <x v="71"/>
    <x v="50"/>
    <n v="-530000"/>
    <x v="1"/>
  </r>
  <r>
    <x v="135"/>
    <x v="124"/>
    <x v="50"/>
    <n v="-540000"/>
    <x v="1"/>
  </r>
  <r>
    <x v="136"/>
    <x v="125"/>
    <x v="50"/>
    <n v="-540000"/>
    <x v="1"/>
  </r>
  <r>
    <x v="134"/>
    <x v="123"/>
    <x v="50"/>
    <n v="-405000"/>
    <x v="1"/>
  </r>
  <r>
    <x v="98"/>
    <x v="92"/>
    <x v="50"/>
    <n v="-1100000"/>
    <x v="1"/>
  </r>
  <r>
    <x v="132"/>
    <x v="121"/>
    <x v="50"/>
    <n v="-540000"/>
    <x v="1"/>
  </r>
  <r>
    <x v="133"/>
    <x v="122"/>
    <x v="50"/>
    <n v="-337500"/>
    <x v="1"/>
  </r>
  <r>
    <x v="96"/>
    <x v="24"/>
    <x v="50"/>
    <n v="-901000"/>
    <x v="1"/>
  </r>
  <r>
    <x v="131"/>
    <x v="24"/>
    <x v="50"/>
    <n v="-330000"/>
    <x v="1"/>
  </r>
  <r>
    <x v="62"/>
    <x v="24"/>
    <x v="50"/>
    <n v="-770000"/>
    <x v="1"/>
  </r>
  <r>
    <x v="102"/>
    <x v="24"/>
    <x v="50"/>
    <n v="-1650000"/>
    <x v="1"/>
  </r>
  <r>
    <x v="143"/>
    <x v="132"/>
    <x v="48"/>
    <n v="15000000"/>
    <x v="2"/>
  </r>
  <r>
    <x v="143"/>
    <x v="132"/>
    <x v="48"/>
    <n v="1800000"/>
    <x v="3"/>
  </r>
  <r>
    <x v="16"/>
    <x v="16"/>
    <x v="51"/>
    <n v="76000000"/>
    <x v="2"/>
  </r>
  <r>
    <x v="16"/>
    <x v="16"/>
    <x v="51"/>
    <n v="24360000"/>
    <x v="3"/>
  </r>
  <r>
    <x v="16"/>
    <x v="16"/>
    <x v="51"/>
    <n v="-42575000"/>
    <x v="1"/>
  </r>
  <r>
    <x v="79"/>
    <x v="75"/>
    <x v="52"/>
    <n v="20000000"/>
    <x v="2"/>
  </r>
  <r>
    <x v="79"/>
    <x v="75"/>
    <x v="52"/>
    <n v="2400000"/>
    <x v="3"/>
  </r>
  <r>
    <x v="79"/>
    <x v="75"/>
    <x v="52"/>
    <n v="-7150000"/>
    <x v="1"/>
  </r>
  <r>
    <x v="59"/>
    <x v="57"/>
    <x v="53"/>
    <n v="1000000"/>
    <x v="2"/>
  </r>
  <r>
    <x v="59"/>
    <x v="57"/>
    <x v="53"/>
    <n v="180000"/>
    <x v="3"/>
  </r>
  <r>
    <x v="27"/>
    <x v="27"/>
    <x v="53"/>
    <n v="8000000"/>
    <x v="2"/>
  </r>
  <r>
    <x v="27"/>
    <x v="27"/>
    <x v="53"/>
    <n v="960000"/>
    <x v="3"/>
  </r>
  <r>
    <x v="144"/>
    <x v="133"/>
    <x v="52"/>
    <n v="3000000"/>
    <x v="2"/>
  </r>
  <r>
    <x v="144"/>
    <x v="133"/>
    <x v="52"/>
    <n v="90000"/>
    <x v="3"/>
  </r>
  <r>
    <x v="96"/>
    <x v="24"/>
    <x v="54"/>
    <n v="5500000"/>
    <x v="2"/>
  </r>
  <r>
    <x v="96"/>
    <x v="24"/>
    <x v="54"/>
    <n v="660000"/>
    <x v="3"/>
  </r>
  <r>
    <x v="96"/>
    <x v="24"/>
    <x v="54"/>
    <n v="-2703000"/>
    <x v="1"/>
  </r>
  <r>
    <x v="57"/>
    <x v="55"/>
    <x v="54"/>
    <n v="50000000"/>
    <x v="2"/>
  </r>
  <r>
    <x v="57"/>
    <x v="55"/>
    <x v="54"/>
    <n v="6250000"/>
    <x v="3"/>
  </r>
  <r>
    <x v="127"/>
    <x v="118"/>
    <x v="54"/>
    <n v="62000000"/>
    <x v="2"/>
  </r>
  <r>
    <x v="127"/>
    <x v="118"/>
    <x v="54"/>
    <n v="19320000"/>
    <x v="3"/>
  </r>
  <r>
    <x v="127"/>
    <x v="118"/>
    <x v="54"/>
    <n v="-32500004"/>
    <x v="1"/>
  </r>
  <r>
    <x v="74"/>
    <x v="70"/>
    <x v="54"/>
    <n v="15000000"/>
    <x v="2"/>
  </r>
  <r>
    <x v="74"/>
    <x v="70"/>
    <x v="54"/>
    <n v="1500000"/>
    <x v="3"/>
  </r>
  <r>
    <x v="74"/>
    <x v="70"/>
    <x v="54"/>
    <n v="-2480000"/>
    <x v="1"/>
  </r>
  <r>
    <x v="129"/>
    <x v="24"/>
    <x v="54"/>
    <n v="3000000"/>
    <x v="2"/>
  </r>
  <r>
    <x v="129"/>
    <x v="24"/>
    <x v="54"/>
    <n v="300000"/>
    <x v="3"/>
  </r>
  <r>
    <x v="113"/>
    <x v="106"/>
    <x v="54"/>
    <n v="15000000"/>
    <x v="2"/>
  </r>
  <r>
    <x v="113"/>
    <x v="106"/>
    <x v="54"/>
    <n v="1500000"/>
    <x v="3"/>
  </r>
  <r>
    <x v="113"/>
    <x v="106"/>
    <x v="54"/>
    <n v="-1760000"/>
    <x v="1"/>
  </r>
  <r>
    <x v="65"/>
    <x v="62"/>
    <x v="54"/>
    <n v="20000000"/>
    <x v="2"/>
  </r>
  <r>
    <x v="65"/>
    <x v="62"/>
    <x v="54"/>
    <n v="2240000"/>
    <x v="3"/>
  </r>
  <r>
    <x v="65"/>
    <x v="62"/>
    <x v="54"/>
    <n v="-1680000"/>
    <x v="1"/>
  </r>
  <r>
    <x v="91"/>
    <x v="86"/>
    <x v="52"/>
    <n v="15000000"/>
    <x v="2"/>
  </r>
  <r>
    <x v="91"/>
    <x v="86"/>
    <x v="52"/>
    <n v="5400000"/>
    <x v="3"/>
  </r>
  <r>
    <x v="38"/>
    <x v="4"/>
    <x v="19"/>
    <n v="-1867000"/>
    <x v="1"/>
  </r>
  <r>
    <x v="71"/>
    <x v="67"/>
    <x v="41"/>
    <n v="25000000"/>
    <x v="4"/>
  </r>
  <r>
    <x v="71"/>
    <x v="67"/>
    <x v="41"/>
    <n v="3000000"/>
    <x v="4"/>
  </r>
  <r>
    <x v="38"/>
    <x v="4"/>
    <x v="55"/>
    <n v="-1867000"/>
    <x v="1"/>
  </r>
  <r>
    <x v="50"/>
    <x v="48"/>
    <x v="56"/>
    <n v="10000000"/>
    <x v="2"/>
  </r>
  <r>
    <x v="50"/>
    <x v="48"/>
    <x v="56"/>
    <n v="1500000"/>
    <x v="3"/>
  </r>
  <r>
    <x v="52"/>
    <x v="50"/>
    <x v="56"/>
    <n v="26000000"/>
    <x v="2"/>
  </r>
  <r>
    <x v="52"/>
    <x v="50"/>
    <x v="56"/>
    <n v="6360000"/>
    <x v="3"/>
  </r>
  <r>
    <x v="52"/>
    <x v="50"/>
    <x v="56"/>
    <n v="-16099999"/>
    <x v="1"/>
  </r>
  <r>
    <x v="87"/>
    <x v="82"/>
    <x v="57"/>
    <n v="15000000"/>
    <x v="2"/>
  </r>
  <r>
    <x v="87"/>
    <x v="82"/>
    <x v="57"/>
    <n v="1500000"/>
    <x v="3"/>
  </r>
  <r>
    <x v="133"/>
    <x v="122"/>
    <x v="58"/>
    <n v="-337500"/>
    <x v="1"/>
  </r>
  <r>
    <x v="0"/>
    <x v="0"/>
    <x v="58"/>
    <n v="-660000"/>
    <x v="1"/>
  </r>
  <r>
    <x v="1"/>
    <x v="1"/>
    <x v="58"/>
    <n v="-550000"/>
    <x v="1"/>
  </r>
  <r>
    <x v="2"/>
    <x v="2"/>
    <x v="58"/>
    <n v="-597333"/>
    <x v="1"/>
  </r>
  <r>
    <x v="5"/>
    <x v="5"/>
    <x v="58"/>
    <n v="-458571"/>
    <x v="1"/>
  </r>
  <r>
    <x v="6"/>
    <x v="6"/>
    <x v="58"/>
    <n v="-1812500"/>
    <x v="1"/>
  </r>
  <r>
    <x v="7"/>
    <x v="7"/>
    <x v="58"/>
    <n v="-618333"/>
    <x v="1"/>
  </r>
  <r>
    <x v="8"/>
    <x v="8"/>
    <x v="58"/>
    <n v="-4408333"/>
    <x v="1"/>
  </r>
  <r>
    <x v="131"/>
    <x v="24"/>
    <x v="58"/>
    <n v="-330000"/>
    <x v="1"/>
  </r>
  <r>
    <x v="10"/>
    <x v="10"/>
    <x v="58"/>
    <n v="-2200000"/>
    <x v="1"/>
  </r>
  <r>
    <x v="135"/>
    <x v="124"/>
    <x v="58"/>
    <n v="-540000"/>
    <x v="1"/>
  </r>
  <r>
    <x v="12"/>
    <x v="12"/>
    <x v="58"/>
    <n v="-1858333"/>
    <x v="1"/>
  </r>
  <r>
    <x v="13"/>
    <x v="13"/>
    <x v="58"/>
    <n v="-1575000"/>
    <x v="1"/>
  </r>
  <r>
    <x v="137"/>
    <x v="126"/>
    <x v="58"/>
    <n v="-1291667"/>
    <x v="1"/>
  </r>
  <r>
    <x v="14"/>
    <x v="14"/>
    <x v="58"/>
    <n v="-723333"/>
    <x v="1"/>
  </r>
  <r>
    <x v="16"/>
    <x v="16"/>
    <x v="58"/>
    <n v="-3275000"/>
    <x v="1"/>
  </r>
  <r>
    <x v="17"/>
    <x v="17"/>
    <x v="58"/>
    <n v="-767000"/>
    <x v="1"/>
  </r>
  <r>
    <x v="18"/>
    <x v="18"/>
    <x v="58"/>
    <n v="-1603333"/>
    <x v="1"/>
  </r>
  <r>
    <x v="20"/>
    <x v="20"/>
    <x v="58"/>
    <n v="-1020000"/>
    <x v="1"/>
  </r>
  <r>
    <x v="21"/>
    <x v="21"/>
    <x v="58"/>
    <n v="-5920000"/>
    <x v="1"/>
  </r>
  <r>
    <x v="22"/>
    <x v="22"/>
    <x v="58"/>
    <n v="-1866667"/>
    <x v="1"/>
  </r>
  <r>
    <x v="25"/>
    <x v="25"/>
    <x v="58"/>
    <n v="-775000"/>
    <x v="1"/>
  </r>
  <r>
    <x v="29"/>
    <x v="29"/>
    <x v="58"/>
    <n v="-6424608"/>
    <x v="1"/>
  </r>
  <r>
    <x v="30"/>
    <x v="30"/>
    <x v="58"/>
    <n v="-2325000"/>
    <x v="1"/>
  </r>
  <r>
    <x v="31"/>
    <x v="31"/>
    <x v="58"/>
    <n v="-1650000"/>
    <x v="1"/>
  </r>
  <r>
    <x v="32"/>
    <x v="32"/>
    <x v="58"/>
    <n v="-660000"/>
    <x v="1"/>
  </r>
  <r>
    <x v="134"/>
    <x v="123"/>
    <x v="58"/>
    <n v="-405000"/>
    <x v="1"/>
  </r>
  <r>
    <x v="35"/>
    <x v="34"/>
    <x v="58"/>
    <n v="-3125000"/>
    <x v="1"/>
  </r>
  <r>
    <x v="37"/>
    <x v="36"/>
    <x v="58"/>
    <n v="-2708333"/>
    <x v="1"/>
  </r>
  <r>
    <x v="39"/>
    <x v="37"/>
    <x v="58"/>
    <n v="-1033333"/>
    <x v="1"/>
  </r>
  <r>
    <x v="40"/>
    <x v="38"/>
    <x v="58"/>
    <n v="-600000"/>
    <x v="1"/>
  </r>
  <r>
    <x v="41"/>
    <x v="39"/>
    <x v="58"/>
    <n v="-232500"/>
    <x v="1"/>
  </r>
  <r>
    <x v="42"/>
    <x v="40"/>
    <x v="58"/>
    <n v="-4125000"/>
    <x v="1"/>
  </r>
  <r>
    <x v="43"/>
    <x v="41"/>
    <x v="58"/>
    <n v="-2708333"/>
    <x v="1"/>
  </r>
  <r>
    <x v="44"/>
    <x v="42"/>
    <x v="58"/>
    <n v="-981667"/>
    <x v="1"/>
  </r>
  <r>
    <x v="45"/>
    <x v="43"/>
    <x v="58"/>
    <n v="-1858333"/>
    <x v="1"/>
  </r>
  <r>
    <x v="46"/>
    <x v="44"/>
    <x v="58"/>
    <n v="-550000"/>
    <x v="1"/>
  </r>
  <r>
    <x v="48"/>
    <x v="46"/>
    <x v="58"/>
    <n v="-3173333"/>
    <x v="1"/>
  </r>
  <r>
    <x v="50"/>
    <x v="48"/>
    <x v="58"/>
    <n v="-3331667"/>
    <x v="1"/>
  </r>
  <r>
    <x v="132"/>
    <x v="121"/>
    <x v="58"/>
    <n v="-540000"/>
    <x v="1"/>
  </r>
  <r>
    <x v="57"/>
    <x v="55"/>
    <x v="58"/>
    <n v="-4475000"/>
    <x v="1"/>
  </r>
  <r>
    <x v="58"/>
    <x v="56"/>
    <x v="58"/>
    <n v="-550000"/>
    <x v="1"/>
  </r>
  <r>
    <x v="59"/>
    <x v="57"/>
    <x v="58"/>
    <n v="-1741112"/>
    <x v="1"/>
  </r>
  <r>
    <x v="60"/>
    <x v="58"/>
    <x v="58"/>
    <n v="-2708333"/>
    <x v="1"/>
  </r>
  <r>
    <x v="61"/>
    <x v="59"/>
    <x v="58"/>
    <n v="-1650000"/>
    <x v="1"/>
  </r>
  <r>
    <x v="62"/>
    <x v="24"/>
    <x v="58"/>
    <n v="-770000"/>
    <x v="1"/>
  </r>
  <r>
    <x v="63"/>
    <x v="60"/>
    <x v="58"/>
    <n v="-3955000"/>
    <x v="1"/>
  </r>
  <r>
    <x v="64"/>
    <x v="61"/>
    <x v="58"/>
    <n v="-2325000"/>
    <x v="1"/>
  </r>
  <r>
    <x v="65"/>
    <x v="62"/>
    <x v="58"/>
    <n v="-1680000"/>
    <x v="1"/>
  </r>
  <r>
    <x v="68"/>
    <x v="64"/>
    <x v="58"/>
    <n v="-933326"/>
    <x v="1"/>
  </r>
  <r>
    <x v="69"/>
    <x v="65"/>
    <x v="58"/>
    <n v="-440000"/>
    <x v="1"/>
  </r>
  <r>
    <x v="72"/>
    <x v="68"/>
    <x v="58"/>
    <n v="-3275000"/>
    <x v="1"/>
  </r>
  <r>
    <x v="73"/>
    <x v="69"/>
    <x v="58"/>
    <n v="-1085000"/>
    <x v="1"/>
  </r>
  <r>
    <x v="75"/>
    <x v="71"/>
    <x v="58"/>
    <n v="-530000"/>
    <x v="1"/>
  </r>
  <r>
    <x v="76"/>
    <x v="72"/>
    <x v="58"/>
    <n v="-4791667"/>
    <x v="1"/>
  </r>
  <r>
    <x v="77"/>
    <x v="73"/>
    <x v="58"/>
    <n v="-1033333"/>
    <x v="1"/>
  </r>
  <r>
    <x v="81"/>
    <x v="77"/>
    <x v="58"/>
    <n v="-3958333"/>
    <x v="1"/>
  </r>
  <r>
    <x v="82"/>
    <x v="78"/>
    <x v="58"/>
    <n v="-383333"/>
    <x v="1"/>
  </r>
  <r>
    <x v="84"/>
    <x v="79"/>
    <x v="58"/>
    <n v="-2333333"/>
    <x v="1"/>
  </r>
  <r>
    <x v="85"/>
    <x v="80"/>
    <x v="58"/>
    <n v="-2708333"/>
    <x v="1"/>
  </r>
  <r>
    <x v="86"/>
    <x v="81"/>
    <x v="58"/>
    <n v="-165000"/>
    <x v="1"/>
  </r>
  <r>
    <x v="87"/>
    <x v="82"/>
    <x v="58"/>
    <n v="-2900000"/>
    <x v="1"/>
  </r>
  <r>
    <x v="88"/>
    <x v="83"/>
    <x v="58"/>
    <n v="-2708333"/>
    <x v="1"/>
  </r>
  <r>
    <x v="89"/>
    <x v="84"/>
    <x v="58"/>
    <n v="-653333"/>
    <x v="1"/>
  </r>
  <r>
    <x v="90"/>
    <x v="85"/>
    <x v="58"/>
    <n v="-1400000"/>
    <x v="1"/>
  </r>
  <r>
    <x v="91"/>
    <x v="86"/>
    <x v="58"/>
    <n v="-3558333"/>
    <x v="1"/>
  </r>
  <r>
    <x v="92"/>
    <x v="87"/>
    <x v="58"/>
    <n v="-1413333"/>
    <x v="1"/>
  </r>
  <r>
    <x v="93"/>
    <x v="88"/>
    <x v="58"/>
    <n v="-1100000"/>
    <x v="1"/>
  </r>
  <r>
    <x v="95"/>
    <x v="90"/>
    <x v="58"/>
    <n v="-3826111"/>
    <x v="1"/>
  </r>
  <r>
    <x v="97"/>
    <x v="91"/>
    <x v="58"/>
    <n v="-2325000"/>
    <x v="1"/>
  </r>
  <r>
    <x v="98"/>
    <x v="92"/>
    <x v="58"/>
    <n v="-1100000"/>
    <x v="1"/>
  </r>
  <r>
    <x v="99"/>
    <x v="93"/>
    <x v="58"/>
    <n v="-3161667"/>
    <x v="1"/>
  </r>
  <r>
    <x v="100"/>
    <x v="94"/>
    <x v="58"/>
    <n v="-1120000"/>
    <x v="1"/>
  </r>
  <r>
    <x v="101"/>
    <x v="95"/>
    <x v="58"/>
    <n v="-3841667"/>
    <x v="1"/>
  </r>
  <r>
    <x v="102"/>
    <x v="24"/>
    <x v="58"/>
    <n v="-1650000"/>
    <x v="1"/>
  </r>
  <r>
    <x v="104"/>
    <x v="97"/>
    <x v="58"/>
    <n v="-3841667"/>
    <x v="1"/>
  </r>
  <r>
    <x v="130"/>
    <x v="120"/>
    <x v="58"/>
    <n v="-1916667"/>
    <x v="1"/>
  </r>
  <r>
    <x v="106"/>
    <x v="99"/>
    <x v="58"/>
    <n v="-3105000"/>
    <x v="1"/>
  </r>
  <r>
    <x v="107"/>
    <x v="100"/>
    <x v="58"/>
    <n v="-883333"/>
    <x v="1"/>
  </r>
  <r>
    <x v="108"/>
    <x v="101"/>
    <x v="58"/>
    <n v="-3808333"/>
    <x v="1"/>
  </r>
  <r>
    <x v="109"/>
    <x v="102"/>
    <x v="58"/>
    <n v="-1866663"/>
    <x v="1"/>
  </r>
  <r>
    <x v="111"/>
    <x v="104"/>
    <x v="58"/>
    <n v="-280000"/>
    <x v="1"/>
  </r>
  <r>
    <x v="112"/>
    <x v="105"/>
    <x v="58"/>
    <n v="-3558333"/>
    <x v="1"/>
  </r>
  <r>
    <x v="114"/>
    <x v="107"/>
    <x v="58"/>
    <n v="-653333"/>
    <x v="1"/>
  </r>
  <r>
    <x v="115"/>
    <x v="108"/>
    <x v="58"/>
    <n v="-1825000"/>
    <x v="1"/>
  </r>
  <r>
    <x v="117"/>
    <x v="109"/>
    <x v="58"/>
    <n v="-1341667"/>
    <x v="1"/>
  </r>
  <r>
    <x v="118"/>
    <x v="110"/>
    <x v="58"/>
    <n v="-1291667"/>
    <x v="1"/>
  </r>
  <r>
    <x v="120"/>
    <x v="112"/>
    <x v="58"/>
    <n v="-2425000"/>
    <x v="1"/>
  </r>
  <r>
    <x v="122"/>
    <x v="114"/>
    <x v="58"/>
    <n v="-1801667"/>
    <x v="1"/>
  </r>
  <r>
    <x v="123"/>
    <x v="115"/>
    <x v="58"/>
    <n v="-3316667"/>
    <x v="1"/>
  </r>
  <r>
    <x v="139"/>
    <x v="128"/>
    <x v="58"/>
    <n v="-220000"/>
    <x v="1"/>
  </r>
  <r>
    <x v="125"/>
    <x v="116"/>
    <x v="58"/>
    <n v="-1348333"/>
    <x v="1"/>
  </r>
  <r>
    <x v="126"/>
    <x v="117"/>
    <x v="58"/>
    <n v="-671667"/>
    <x v="1"/>
  </r>
  <r>
    <x v="136"/>
    <x v="125"/>
    <x v="58"/>
    <n v="-540000"/>
    <x v="1"/>
  </r>
  <r>
    <x v="128"/>
    <x v="119"/>
    <x v="58"/>
    <n v="-1303846"/>
    <x v="1"/>
  </r>
  <r>
    <x v="113"/>
    <x v="106"/>
    <x v="57"/>
    <n v="3520000"/>
    <x v="1"/>
  </r>
  <r>
    <x v="109"/>
    <x v="102"/>
    <x v="59"/>
    <n v="25000000"/>
    <x v="2"/>
  </r>
  <r>
    <x v="109"/>
    <x v="102"/>
    <x v="59"/>
    <n v="3000000"/>
    <x v="3"/>
  </r>
  <r>
    <x v="7"/>
    <x v="7"/>
    <x v="59"/>
    <n v="5000000"/>
    <x v="2"/>
  </r>
  <r>
    <x v="7"/>
    <x v="7"/>
    <x v="59"/>
    <n v="400000"/>
    <x v="3"/>
  </r>
  <r>
    <x v="47"/>
    <x v="45"/>
    <x v="60"/>
    <n v="5000000"/>
    <x v="2"/>
  </r>
  <r>
    <x v="47"/>
    <x v="45"/>
    <x v="60"/>
    <n v="150000"/>
    <x v="3"/>
  </r>
  <r>
    <x v="108"/>
    <x v="101"/>
    <x v="60"/>
    <n v="60000000"/>
    <x v="2"/>
  </r>
  <r>
    <x v="108"/>
    <x v="101"/>
    <x v="60"/>
    <n v="5400000"/>
    <x v="3"/>
  </r>
  <r>
    <x v="138"/>
    <x v="127"/>
    <x v="50"/>
    <n v="-200000"/>
    <x v="1"/>
  </r>
  <r>
    <x v="145"/>
    <x v="129"/>
    <x v="61"/>
    <n v="10000000"/>
    <x v="2"/>
  </r>
  <r>
    <x v="145"/>
    <x v="129"/>
    <x v="61"/>
    <n v="1200000"/>
    <x v="3"/>
  </r>
  <r>
    <x v="81"/>
    <x v="77"/>
    <x v="62"/>
    <n v="60000000"/>
    <x v="2"/>
  </r>
  <r>
    <x v="81"/>
    <x v="77"/>
    <x v="62"/>
    <n v="11625000"/>
    <x v="3"/>
  </r>
  <r>
    <x v="16"/>
    <x v="16"/>
    <x v="63"/>
    <n v="3275000"/>
    <x v="1"/>
  </r>
  <r>
    <x v="125"/>
    <x v="116"/>
    <x v="64"/>
    <n v="25000000"/>
    <x v="2"/>
  </r>
  <r>
    <x v="125"/>
    <x v="116"/>
    <x v="64"/>
    <n v="6000000"/>
    <x v="3"/>
  </r>
  <r>
    <x v="125"/>
    <x v="116"/>
    <x v="64"/>
    <n v="-17528337"/>
    <x v="1"/>
  </r>
  <r>
    <x v="118"/>
    <x v="110"/>
    <x v="65"/>
    <n v="20000000"/>
    <x v="2"/>
  </r>
  <r>
    <x v="118"/>
    <x v="110"/>
    <x v="65"/>
    <n v="4800000"/>
    <x v="3"/>
  </r>
  <r>
    <x v="118"/>
    <x v="110"/>
    <x v="65"/>
    <n v="-16791663"/>
    <x v="1"/>
  </r>
  <r>
    <x v="146"/>
    <x v="134"/>
    <x v="65"/>
    <n v="8000000"/>
    <x v="4"/>
  </r>
  <r>
    <x v="146"/>
    <x v="134"/>
    <x v="65"/>
    <m/>
    <x v="4"/>
  </r>
  <r>
    <x v="62"/>
    <x v="24"/>
    <x v="65"/>
    <n v="5000000"/>
    <x v="2"/>
  </r>
  <r>
    <x v="62"/>
    <x v="24"/>
    <x v="65"/>
    <n v="600000"/>
    <x v="3"/>
  </r>
  <r>
    <x v="22"/>
    <x v="22"/>
    <x v="65"/>
    <n v="63000000"/>
    <x v="2"/>
  </r>
  <r>
    <x v="22"/>
    <x v="22"/>
    <x v="65"/>
    <n v="19680000"/>
    <x v="3"/>
  </r>
  <r>
    <x v="22"/>
    <x v="22"/>
    <x v="65"/>
    <n v="-13066665"/>
    <x v="1"/>
  </r>
  <r>
    <x v="75"/>
    <x v="71"/>
    <x v="65"/>
    <n v="4000000"/>
    <x v="2"/>
  </r>
  <r>
    <x v="75"/>
    <x v="71"/>
    <x v="65"/>
    <n v="240000"/>
    <x v="3"/>
  </r>
  <r>
    <x v="37"/>
    <x v="36"/>
    <x v="65"/>
    <n v="12000000"/>
    <x v="2"/>
  </r>
  <r>
    <x v="37"/>
    <x v="36"/>
    <x v="65"/>
    <n v="4320000"/>
    <x v="3"/>
  </r>
  <r>
    <x v="81"/>
    <x v="77"/>
    <x v="62"/>
    <n v="-27708336"/>
    <x v="1"/>
  </r>
  <r>
    <x v="27"/>
    <x v="27"/>
    <x v="66"/>
    <n v="8500000"/>
    <x v="2"/>
  </r>
  <r>
    <x v="27"/>
    <x v="27"/>
    <x v="66"/>
    <n v="1530000"/>
    <x v="3"/>
  </r>
  <r>
    <x v="108"/>
    <x v="101"/>
    <x v="67"/>
    <n v="-3808333"/>
    <x v="4"/>
  </r>
  <r>
    <x v="101"/>
    <x v="95"/>
    <x v="67"/>
    <n v="-3841667"/>
    <x v="4"/>
  </r>
  <r>
    <x v="81"/>
    <x v="77"/>
    <x v="67"/>
    <n v="-3958333"/>
    <x v="4"/>
  </r>
  <r>
    <x v="87"/>
    <x v="82"/>
    <x v="67"/>
    <n v="-2770000"/>
    <x v="4"/>
  </r>
  <r>
    <x v="29"/>
    <x v="29"/>
    <x v="67"/>
    <n v="-6424608"/>
    <x v="4"/>
  </r>
  <r>
    <x v="97"/>
    <x v="91"/>
    <x v="67"/>
    <n v="-2325000"/>
    <x v="4"/>
  </r>
  <r>
    <x v="106"/>
    <x v="99"/>
    <x v="67"/>
    <n v="-3105000"/>
    <x v="4"/>
  </r>
  <r>
    <x v="64"/>
    <x v="61"/>
    <x v="67"/>
    <n v="-2325000"/>
    <x v="4"/>
  </r>
  <r>
    <x v="123"/>
    <x v="115"/>
    <x v="67"/>
    <n v="-3316667"/>
    <x v="4"/>
  </r>
  <r>
    <x v="72"/>
    <x v="68"/>
    <x v="67"/>
    <n v="-3275000"/>
    <x v="4"/>
  </r>
  <r>
    <x v="63"/>
    <x v="60"/>
    <x v="67"/>
    <n v="-3955000"/>
    <x v="4"/>
  </r>
  <r>
    <x v="112"/>
    <x v="105"/>
    <x v="67"/>
    <n v="-3558333"/>
    <x v="4"/>
  </r>
  <r>
    <x v="59"/>
    <x v="57"/>
    <x v="67"/>
    <n v="-1839445"/>
    <x v="4"/>
  </r>
  <r>
    <x v="109"/>
    <x v="102"/>
    <x v="67"/>
    <n v="-2333334"/>
    <x v="4"/>
  </r>
  <r>
    <x v="57"/>
    <x v="55"/>
    <x v="67"/>
    <n v="-6250000"/>
    <x v="4"/>
  </r>
  <r>
    <x v="74"/>
    <x v="70"/>
    <x v="67"/>
    <n v="-1650000"/>
    <x v="4"/>
  </r>
  <r>
    <x v="30"/>
    <x v="30"/>
    <x v="67"/>
    <n v="-2325000"/>
    <x v="4"/>
  </r>
  <r>
    <x v="90"/>
    <x v="85"/>
    <x v="67"/>
    <n v="-1400000"/>
    <x v="4"/>
  </r>
  <r>
    <x v="21"/>
    <x v="21"/>
    <x v="67"/>
    <n v="-5920000"/>
    <x v="1"/>
  </r>
  <r>
    <x v="128"/>
    <x v="119"/>
    <x v="67"/>
    <n v="-1303846"/>
    <x v="4"/>
  </r>
  <r>
    <x v="60"/>
    <x v="58"/>
    <x v="67"/>
    <n v="-2708333"/>
    <x v="4"/>
  </r>
  <r>
    <x v="114"/>
    <x v="107"/>
    <x v="67"/>
    <n v="-653333"/>
    <x v="4"/>
  </r>
  <r>
    <x v="137"/>
    <x v="126"/>
    <x v="67"/>
    <n v="-1291667"/>
    <x v="4"/>
  </r>
  <r>
    <x v="39"/>
    <x v="37"/>
    <x v="67"/>
    <n v="0"/>
    <x v="4"/>
  </r>
  <r>
    <x v="85"/>
    <x v="80"/>
    <x v="67"/>
    <n v="-2708333"/>
    <x v="4"/>
  </r>
  <r>
    <x v="115"/>
    <x v="108"/>
    <x v="67"/>
    <n v="-1825000"/>
    <x v="4"/>
  </r>
  <r>
    <x v="82"/>
    <x v="78"/>
    <x v="67"/>
    <n v="-383333"/>
    <x v="4"/>
  </r>
  <r>
    <x v="41"/>
    <x v="39"/>
    <x v="67"/>
    <n v="-232500"/>
    <x v="4"/>
  </r>
  <r>
    <x v="31"/>
    <x v="31"/>
    <x v="67"/>
    <n v="-1650000"/>
    <x v="4"/>
  </r>
  <r>
    <x v="76"/>
    <x v="72"/>
    <x v="67"/>
    <n v="-4791667"/>
    <x v="4"/>
  </r>
  <r>
    <x v="84"/>
    <x v="79"/>
    <x v="67"/>
    <n v="-2333333"/>
    <x v="4"/>
  </r>
  <r>
    <x v="104"/>
    <x v="97"/>
    <x v="67"/>
    <n v="-3841667"/>
    <x v="4"/>
  </r>
  <r>
    <x v="50"/>
    <x v="48"/>
    <x v="67"/>
    <n v="-4481667"/>
    <x v="4"/>
  </r>
  <r>
    <x v="88"/>
    <x v="83"/>
    <x v="67"/>
    <n v="-2708333"/>
    <x v="4"/>
  </r>
  <r>
    <x v="120"/>
    <x v="112"/>
    <x v="67"/>
    <n v="-2425000"/>
    <x v="4"/>
  </r>
  <r>
    <x v="52"/>
    <x v="50"/>
    <x v="67"/>
    <n v="-1348333"/>
    <x v="4"/>
  </r>
  <r>
    <x v="91"/>
    <x v="86"/>
    <x v="67"/>
    <n v="-4408333"/>
    <x v="1"/>
  </r>
  <r>
    <x v="69"/>
    <x v="65"/>
    <x v="67"/>
    <n v="-440000"/>
    <x v="4"/>
  </r>
  <r>
    <x v="95"/>
    <x v="90"/>
    <x v="67"/>
    <n v="-3826111"/>
    <x v="4"/>
  </r>
  <r>
    <x v="16"/>
    <x v="16"/>
    <x v="67"/>
    <n v="-3275000"/>
    <x v="4"/>
  </r>
  <r>
    <x v="45"/>
    <x v="43"/>
    <x v="67"/>
    <n v="-1858333"/>
    <x v="4"/>
  </r>
  <r>
    <x v="2"/>
    <x v="2"/>
    <x v="67"/>
    <n v="-597333"/>
    <x v="4"/>
  </r>
  <r>
    <x v="43"/>
    <x v="41"/>
    <x v="67"/>
    <n v="-2708333"/>
    <x v="4"/>
  </r>
  <r>
    <x v="25"/>
    <x v="25"/>
    <x v="67"/>
    <n v="-775000"/>
    <x v="4"/>
  </r>
  <r>
    <x v="42"/>
    <x v="40"/>
    <x v="67"/>
    <n v="-4125000"/>
    <x v="4"/>
  </r>
  <r>
    <x v="13"/>
    <x v="13"/>
    <x v="67"/>
    <n v="-1575000"/>
    <x v="4"/>
  </r>
  <r>
    <x v="48"/>
    <x v="46"/>
    <x v="67"/>
    <n v="-3173333"/>
    <x v="4"/>
  </r>
  <r>
    <x v="125"/>
    <x v="116"/>
    <x v="67"/>
    <n v="0"/>
    <x v="4"/>
  </r>
  <r>
    <x v="142"/>
    <x v="131"/>
    <x v="67"/>
    <n v="-1033333"/>
    <x v="4"/>
  </r>
  <r>
    <x v="8"/>
    <x v="8"/>
    <x v="67"/>
    <n v="-4408333"/>
    <x v="4"/>
  </r>
  <r>
    <x v="0"/>
    <x v="0"/>
    <x v="67"/>
    <n v="-660000"/>
    <x v="4"/>
  </r>
  <r>
    <x v="117"/>
    <x v="109"/>
    <x v="67"/>
    <n v="-1341667"/>
    <x v="4"/>
  </r>
  <r>
    <x v="37"/>
    <x v="36"/>
    <x v="67"/>
    <n v="-2708333"/>
    <x v="4"/>
  </r>
  <r>
    <x v="118"/>
    <x v="110"/>
    <x v="67"/>
    <n v="-1291667"/>
    <x v="4"/>
  </r>
  <r>
    <x v="35"/>
    <x v="34"/>
    <x v="67"/>
    <n v="-3125000"/>
    <x v="4"/>
  </r>
  <r>
    <x v="73"/>
    <x v="69"/>
    <x v="67"/>
    <n v="-1085000"/>
    <x v="4"/>
  </r>
  <r>
    <x v="99"/>
    <x v="93"/>
    <x v="67"/>
    <n v="-3161667"/>
    <x v="4"/>
  </r>
  <r>
    <x v="67"/>
    <x v="63"/>
    <x v="67"/>
    <n v="-2475000"/>
    <x v="4"/>
  </r>
  <r>
    <x v="12"/>
    <x v="12"/>
    <x v="67"/>
    <n v="-1858333"/>
    <x v="4"/>
  </r>
  <r>
    <x v="18"/>
    <x v="18"/>
    <x v="67"/>
    <n v="-1603333"/>
    <x v="4"/>
  </r>
  <r>
    <x v="44"/>
    <x v="42"/>
    <x v="67"/>
    <n v="-981667"/>
    <x v="4"/>
  </r>
  <r>
    <x v="17"/>
    <x v="17"/>
    <x v="67"/>
    <n v="-767000"/>
    <x v="4"/>
  </r>
  <r>
    <x v="127"/>
    <x v="118"/>
    <x v="67"/>
    <n v="-3388333"/>
    <x v="4"/>
  </r>
  <r>
    <x v="40"/>
    <x v="38"/>
    <x v="67"/>
    <n v="-600000"/>
    <x v="4"/>
  </r>
  <r>
    <x v="27"/>
    <x v="27"/>
    <x v="67"/>
    <n v="-746667"/>
    <x v="4"/>
  </r>
  <r>
    <x v="77"/>
    <x v="73"/>
    <x v="67"/>
    <n v="-1033333"/>
    <x v="4"/>
  </r>
  <r>
    <x v="126"/>
    <x v="117"/>
    <x v="67"/>
    <n v="-671667"/>
    <x v="4"/>
  </r>
  <r>
    <x v="22"/>
    <x v="22"/>
    <x v="67"/>
    <n v="0"/>
    <x v="4"/>
  </r>
  <r>
    <x v="89"/>
    <x v="84"/>
    <x v="67"/>
    <n v="-653333"/>
    <x v="4"/>
  </r>
  <r>
    <x v="143"/>
    <x v="132"/>
    <x v="67"/>
    <n v="-1400000"/>
    <x v="4"/>
  </r>
  <r>
    <x v="14"/>
    <x v="14"/>
    <x v="67"/>
    <n v="-1033333"/>
    <x v="4"/>
  </r>
  <r>
    <x v="122"/>
    <x v="114"/>
    <x v="67"/>
    <n v="-1801667"/>
    <x v="4"/>
  </r>
  <r>
    <x v="130"/>
    <x v="120"/>
    <x v="67"/>
    <n v="-1916667"/>
    <x v="4"/>
  </r>
  <r>
    <x v="10"/>
    <x v="10"/>
    <x v="67"/>
    <n v="-2200000"/>
    <x v="4"/>
  </r>
  <r>
    <x v="65"/>
    <x v="62"/>
    <x v="67"/>
    <n v="-1866667"/>
    <x v="4"/>
  </r>
  <r>
    <x v="113"/>
    <x v="106"/>
    <x v="67"/>
    <n v="-1650000"/>
    <x v="4"/>
  </r>
  <r>
    <x v="61"/>
    <x v="59"/>
    <x v="67"/>
    <n v="-1650000"/>
    <x v="4"/>
  </r>
  <r>
    <x v="111"/>
    <x v="104"/>
    <x v="67"/>
    <n v="-280000"/>
    <x v="4"/>
  </r>
  <r>
    <x v="79"/>
    <x v="75"/>
    <x v="67"/>
    <n v="-1866667"/>
    <x v="4"/>
  </r>
  <r>
    <x v="86"/>
    <x v="81"/>
    <x v="67"/>
    <n v="-165000"/>
    <x v="4"/>
  </r>
  <r>
    <x v="141"/>
    <x v="130"/>
    <x v="67"/>
    <n v="-550000"/>
    <x v="4"/>
  </r>
  <r>
    <x v="58"/>
    <x v="56"/>
    <x v="67"/>
    <n v="-550000"/>
    <x v="4"/>
  </r>
  <r>
    <x v="107"/>
    <x v="100"/>
    <x v="67"/>
    <n v="-945000"/>
    <x v="4"/>
  </r>
  <r>
    <x v="93"/>
    <x v="88"/>
    <x v="67"/>
    <n v="-1100000"/>
    <x v="4"/>
  </r>
  <r>
    <x v="1"/>
    <x v="1"/>
    <x v="67"/>
    <n v="-550000"/>
    <x v="4"/>
  </r>
  <r>
    <x v="7"/>
    <x v="7"/>
    <x v="67"/>
    <n v="-618335"/>
    <x v="4"/>
  </r>
  <r>
    <x v="75"/>
    <x v="71"/>
    <x v="67"/>
    <n v="-530000"/>
    <x v="4"/>
  </r>
  <r>
    <x v="46"/>
    <x v="44"/>
    <x v="67"/>
    <n v="-550000"/>
    <x v="4"/>
  </r>
  <r>
    <x v="20"/>
    <x v="20"/>
    <x v="67"/>
    <n v="-1020000"/>
    <x v="4"/>
  </r>
  <r>
    <x v="92"/>
    <x v="87"/>
    <x v="67"/>
    <n v="-1413333"/>
    <x v="4"/>
  </r>
  <r>
    <x v="32"/>
    <x v="32"/>
    <x v="67"/>
    <n v="-660000"/>
    <x v="4"/>
  </r>
  <r>
    <x v="135"/>
    <x v="124"/>
    <x v="67"/>
    <n v="-540000"/>
    <x v="4"/>
  </r>
  <r>
    <x v="136"/>
    <x v="125"/>
    <x v="67"/>
    <n v="-540000"/>
    <x v="4"/>
  </r>
  <r>
    <x v="134"/>
    <x v="123"/>
    <x v="67"/>
    <n v="-405000"/>
    <x v="4"/>
  </r>
  <r>
    <x v="5"/>
    <x v="5"/>
    <x v="67"/>
    <n v="-458571"/>
    <x v="4"/>
  </r>
  <r>
    <x v="98"/>
    <x v="92"/>
    <x v="67"/>
    <n v="-1100000"/>
    <x v="4"/>
  </r>
  <r>
    <x v="132"/>
    <x v="121"/>
    <x v="67"/>
    <n v="-540000"/>
    <x v="4"/>
  </r>
  <r>
    <x v="133"/>
    <x v="122"/>
    <x v="67"/>
    <n v="-337500"/>
    <x v="4"/>
  </r>
  <r>
    <x v="139"/>
    <x v="128"/>
    <x v="67"/>
    <n v="-220000"/>
    <x v="4"/>
  </r>
  <r>
    <x v="96"/>
    <x v="24"/>
    <x v="67"/>
    <n v="-513333"/>
    <x v="4"/>
  </r>
  <r>
    <x v="131"/>
    <x v="24"/>
    <x v="67"/>
    <n v="-330000"/>
    <x v="4"/>
  </r>
  <r>
    <x v="62"/>
    <x v="24"/>
    <x v="67"/>
    <n v="-770000"/>
    <x v="4"/>
  </r>
  <r>
    <x v="102"/>
    <x v="24"/>
    <x v="67"/>
    <n v="-1650000"/>
    <x v="4"/>
  </r>
  <r>
    <x v="38"/>
    <x v="4"/>
    <x v="46"/>
    <n v="-1867000"/>
    <x v="1"/>
  </r>
  <r>
    <x v="38"/>
    <x v="4"/>
    <x v="56"/>
    <n v="-1867000"/>
    <x v="1"/>
  </r>
  <r>
    <x v="38"/>
    <x v="4"/>
    <x v="64"/>
    <n v="-1867000"/>
    <x v="1"/>
  </r>
  <r>
    <x v="38"/>
    <x v="4"/>
    <x v="67"/>
    <n v="30000000"/>
    <x v="4"/>
  </r>
  <r>
    <x v="38"/>
    <x v="4"/>
    <x v="67"/>
    <m/>
    <x v="4"/>
  </r>
  <r>
    <x v="38"/>
    <x v="4"/>
    <x v="67"/>
    <m/>
    <x v="4"/>
  </r>
  <r>
    <x v="123"/>
    <x v="115"/>
    <x v="68"/>
    <n v="7000000"/>
    <x v="4"/>
  </r>
  <r>
    <x v="106"/>
    <x v="99"/>
    <x v="69"/>
    <n v="55000000"/>
    <x v="4"/>
  </r>
  <r>
    <x v="106"/>
    <x v="99"/>
    <x v="69"/>
    <m/>
    <x v="4"/>
  </r>
  <r>
    <x v="106"/>
    <x v="99"/>
    <x v="69"/>
    <m/>
    <x v="4"/>
  </r>
  <r>
    <x v="23"/>
    <x v="23"/>
    <x v="70"/>
    <n v="10000000"/>
    <x v="2"/>
  </r>
  <r>
    <x v="23"/>
    <x v="23"/>
    <x v="70"/>
    <n v="1500000"/>
    <x v="3"/>
  </r>
  <r>
    <x v="107"/>
    <x v="100"/>
    <x v="68"/>
    <n v="883333"/>
    <x v="1"/>
  </r>
  <r>
    <x v="65"/>
    <x v="62"/>
    <x v="60"/>
    <n v="1680000"/>
    <x v="1"/>
  </r>
  <r>
    <x v="14"/>
    <x v="14"/>
    <x v="68"/>
    <n v="723333"/>
    <x v="1"/>
  </r>
  <r>
    <x v="100"/>
    <x v="94"/>
    <x v="58"/>
    <n v="1120000"/>
    <x v="1"/>
  </r>
  <r>
    <x v="81"/>
    <x v="77"/>
    <x v="68"/>
    <n v="3958333"/>
    <x v="4"/>
  </r>
  <r>
    <x v="118"/>
    <x v="110"/>
    <x v="68"/>
    <n v="1291667"/>
    <x v="1"/>
  </r>
  <r>
    <x v="123"/>
    <x v="115"/>
    <x v="68"/>
    <n v="1050000"/>
    <x v="4"/>
  </r>
  <r>
    <x v="35"/>
    <x v="34"/>
    <x v="68"/>
    <n v="-37500000"/>
    <x v="1"/>
  </r>
  <r>
    <x v="35"/>
    <x v="34"/>
    <x v="68"/>
    <n v="56000000"/>
    <x v="2"/>
  </r>
  <r>
    <x v="35"/>
    <x v="34"/>
    <x v="68"/>
    <n v="17160000"/>
    <x v="3"/>
  </r>
  <r>
    <x v="147"/>
    <x v="135"/>
    <x v="71"/>
    <n v="20000000"/>
    <x v="4"/>
  </r>
  <r>
    <x v="147"/>
    <x v="135"/>
    <x v="71"/>
    <m/>
    <x v="4"/>
  </r>
  <r>
    <x v="120"/>
    <x v="112"/>
    <x v="71"/>
    <n v="90000000"/>
    <x v="4"/>
  </r>
  <r>
    <x v="120"/>
    <x v="112"/>
    <x v="71"/>
    <m/>
    <x v="4"/>
  </r>
  <r>
    <x v="148"/>
    <x v="127"/>
    <x v="71"/>
    <n v="1000000"/>
    <x v="4"/>
  </r>
  <r>
    <x v="148"/>
    <x v="127"/>
    <x v="71"/>
    <m/>
    <x v="4"/>
  </r>
  <r>
    <x v="149"/>
    <x v="136"/>
    <x v="69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5874B-1D33-954C-B4C5-32D3787098A1}" name="PivotTable1" cacheId="17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>
  <location ref="A3:K13" firstHeaderRow="0" firstDataRow="1" firstDataCol="5" rowPageCount="1" colPageCount="1"/>
  <pivotFields count="15">
    <pivotField compact="0" outline="0" subtotalTop="0" showAll="0" defaultSubtotal="0"/>
    <pivotField axis="axisRow" compact="0" outline="0" subtotalTop="0" showAll="0" defaultSubtotal="0">
      <items count="21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198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199"/>
        <item h="1" x="200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201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x="202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210"/>
        <item h="1" x="203"/>
        <item h="1" x="204"/>
        <item h="1" x="205"/>
        <item h="1" x="206"/>
        <item h="1" x="207"/>
        <item h="1" x="208"/>
        <item h="1" x="209"/>
      </items>
    </pivotField>
    <pivotField axis="axisPage" compact="0" outline="0" subtotalTop="0" multipleItemSelectionAllowed="1" showAll="0" defaultSubtotal="0">
      <items count="6">
        <item x="0"/>
        <item x="3"/>
        <item h="1" x="2"/>
        <item h="1" x="1"/>
        <item x="4"/>
        <item m="1" x="5"/>
      </items>
    </pivotField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87">
        <item x="152"/>
        <item sd="0" x="96"/>
        <item x="142"/>
        <item x="147"/>
        <item sd="0" x="139"/>
        <item x="113"/>
        <item x="119"/>
        <item x="71"/>
        <item x="41"/>
        <item x="52"/>
        <item sd="0" x="75"/>
        <item sd="0" x="165"/>
        <item sd="0" x="140"/>
        <item sd="0" x="130"/>
        <item sd="0" x="27"/>
        <item x="145"/>
        <item x="28"/>
        <item sd="0" x="89"/>
        <item sd="0" x="87"/>
        <item x="166"/>
        <item x="81"/>
        <item sd="0" x="97"/>
        <item sd="0" x="12"/>
        <item sd="0" x="172"/>
        <item x="88"/>
        <item sd="0" x="137"/>
        <item x="150"/>
        <item sd="0" x="49"/>
        <item x="84"/>
        <item x="148"/>
        <item sd="0" x="78"/>
        <item sd="0" x="135"/>
        <item x="82"/>
        <item x="99"/>
        <item x="132"/>
        <item x="53"/>
        <item x="61"/>
        <item x="124"/>
        <item x="36"/>
        <item x="173"/>
        <item sd="0" x="85"/>
        <item sd="0" x="154"/>
        <item sd="0" x="25"/>
        <item x="63"/>
        <item x="116"/>
        <item sd="0" x="92"/>
        <item x="155"/>
        <item x="114"/>
        <item x="65"/>
        <item sd="0" x="50"/>
        <item sd="0" x="38"/>
        <item x="54"/>
        <item sd="0" x="104"/>
        <item sd="0" x="115"/>
        <item x="141"/>
        <item x="74"/>
        <item x="120"/>
        <item x="161"/>
        <item sd="0" x="153"/>
        <item x="77"/>
        <item x="126"/>
        <item x="94"/>
        <item x="129"/>
        <item x="29"/>
        <item x="69"/>
        <item x="8"/>
        <item x="67"/>
        <item x="46"/>
        <item x="43"/>
        <item x="66"/>
        <item x="112"/>
        <item x="42"/>
        <item x="125"/>
        <item x="134"/>
        <item x="24"/>
        <item x="72"/>
        <item x="168"/>
        <item x="10"/>
        <item x="101"/>
        <item x="16"/>
        <item x="2"/>
        <item x="80"/>
        <item x="57"/>
        <item x="105"/>
        <item x="158"/>
        <item x="163"/>
        <item x="62"/>
        <item x="159"/>
        <item x="60"/>
        <item x="33"/>
        <item x="13"/>
        <item x="98"/>
        <item x="133"/>
        <item x="91"/>
        <item x="79"/>
        <item x="47"/>
        <item x="23"/>
        <item x="31"/>
        <item x="68"/>
        <item x="30"/>
        <item x="106"/>
        <item x="95"/>
        <item x="7"/>
        <item x="138"/>
        <item x="170"/>
        <item x="64"/>
        <item x="15"/>
        <item x="32"/>
        <item x="93"/>
        <item x="48"/>
        <item x="160"/>
        <item x="108"/>
        <item x="144"/>
        <item x="17"/>
        <item x="169"/>
        <item x="40"/>
        <item x="121"/>
        <item x="156"/>
        <item x="26"/>
        <item x="6"/>
        <item x="107"/>
        <item x="37"/>
        <item x="164"/>
        <item x="35"/>
        <item x="109"/>
        <item x="143"/>
        <item x="122"/>
        <item x="174"/>
        <item x="44"/>
        <item x="19"/>
        <item x="136"/>
        <item x="177"/>
        <item x="90"/>
        <item x="151"/>
        <item x="176"/>
        <item x="86"/>
        <item x="149"/>
        <item x="111"/>
        <item x="117"/>
        <item x="73"/>
        <item x="103"/>
        <item x="39"/>
        <item x="83"/>
        <item x="146"/>
        <item x="175"/>
        <item x="128"/>
        <item x="123"/>
        <item x="5"/>
        <item x="157"/>
        <item x="14"/>
        <item x="100"/>
        <item x="102"/>
        <item x="51"/>
        <item x="162"/>
        <item x="110"/>
        <item x="70"/>
        <item x="34"/>
        <item x="20"/>
        <item x="127"/>
        <item x="55"/>
        <item x="45"/>
        <item x="21"/>
        <item x="171"/>
        <item x="59"/>
        <item x="1"/>
        <item x="9"/>
        <item x="11"/>
        <item sd="0" x="131"/>
        <item x="76"/>
        <item sd="0" x="0"/>
        <item x="118"/>
        <item x="167"/>
        <item x="56"/>
        <item x="58"/>
        <item x="18"/>
        <item x="3"/>
        <item x="22"/>
        <item x="4"/>
        <item x="185"/>
        <item m="1" x="186"/>
        <item x="178"/>
        <item x="179"/>
        <item x="180"/>
        <item x="181"/>
        <item x="182"/>
        <item x="183"/>
        <item x="184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outline="0" subtotalTop="0" showAll="0" defaultSubtotal="0">
      <items count="12">
        <item sd="0" x="0"/>
        <item x="1"/>
        <item x="3"/>
        <item x="4"/>
        <item x="2"/>
        <item x="11"/>
        <item x="5"/>
        <item x="6"/>
        <item x="7"/>
        <item x="8"/>
        <item x="9"/>
        <item x="10"/>
      </items>
    </pivotField>
    <pivotField axis="axisRow" compact="0" outline="0" subtotalTop="0" showAll="0" sortType="ascending" defaultSubtotal="0">
      <items count="75">
        <item x="30"/>
        <item x="0"/>
        <item x="22"/>
        <item x="8"/>
        <item x="14"/>
        <item x="12"/>
        <item x="10"/>
        <item x="6"/>
        <item x="1"/>
        <item x="2"/>
        <item x="11"/>
        <item x="4"/>
        <item x="5"/>
        <item x="3"/>
        <item x="17"/>
        <item x="9"/>
        <item x="7"/>
        <item x="16"/>
        <item x="13"/>
        <item x="50"/>
        <item x="20"/>
        <item x="15"/>
        <item x="31"/>
        <item x="18"/>
        <item x="49"/>
        <item x="19"/>
        <item x="26"/>
        <item x="21"/>
        <item x="25"/>
        <item x="23"/>
        <item x="32"/>
        <item x="24"/>
        <item x="27"/>
        <item x="28"/>
        <item x="33"/>
        <item x="29"/>
        <item x="34"/>
        <item x="53"/>
        <item x="38"/>
        <item x="35"/>
        <item m="1" x="70"/>
        <item x="37"/>
        <item x="40"/>
        <item x="36"/>
        <item x="58"/>
        <item x="39"/>
        <item x="41"/>
        <item x="52"/>
        <item x="42"/>
        <item x="45"/>
        <item m="1" x="74"/>
        <item x="46"/>
        <item x="44"/>
        <item x="64"/>
        <item x="47"/>
        <item x="61"/>
        <item x="43"/>
        <item m="1" x="73"/>
        <item x="51"/>
        <item x="48"/>
        <item x="54"/>
        <item x="57"/>
        <item m="1" x="72"/>
        <item x="55"/>
        <item x="62"/>
        <item x="56"/>
        <item m="1" x="71"/>
        <item x="59"/>
        <item x="60"/>
        <item x="68"/>
        <item x="63"/>
        <item x="66"/>
        <item x="65"/>
        <item x="67"/>
        <item x="69"/>
      </items>
    </pivotField>
    <pivotField axis="axisRow" compact="0" outline="0" subtotalTop="0" showAll="0" defaultSubtotal="0">
      <items count="14">
        <item x="2"/>
        <item m="1" x="13"/>
        <item x="9"/>
        <item m="1" x="12"/>
        <item x="1"/>
        <item x="5"/>
        <item x="0"/>
        <item x="3"/>
        <item x="11"/>
        <item x="8"/>
        <item x="6"/>
        <item x="7"/>
        <item x="4"/>
        <item x="10"/>
      </items>
    </pivotField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</pivotFields>
  <rowFields count="5">
    <field x="5"/>
    <field x="1"/>
    <field x="10"/>
    <field x="12"/>
    <field x="11"/>
  </rowFields>
  <rowItems count="10">
    <i>
      <x v="174"/>
      <x v="163"/>
      <x/>
    </i>
    <i r="2">
      <x v="1"/>
      <x v="7"/>
      <x v="9"/>
    </i>
    <i r="2">
      <x v="2"/>
      <x v="7"/>
      <x v="18"/>
    </i>
    <i r="2">
      <x v="3"/>
      <x v="7"/>
      <x v="25"/>
    </i>
    <i r="2">
      <x v="6"/>
      <x v="7"/>
      <x v="32"/>
    </i>
    <i r="2">
      <x v="7"/>
      <x v="7"/>
      <x v="39"/>
    </i>
    <i r="2">
      <x v="8"/>
      <x v="7"/>
      <x v="51"/>
    </i>
    <i r="2">
      <x v="9"/>
      <x v="7"/>
      <x v="61"/>
    </i>
    <i r="2">
      <x v="10"/>
      <x v="7"/>
      <x v="7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hier="-1"/>
  </pageFields>
  <dataFields count="6">
    <dataField name="Sum of SHU" fld="7" baseField="0" baseItem="0" numFmtId="41"/>
    <dataField name="Sum of Khusus" fld="6" baseField="0" baseItem="0" numFmtId="41"/>
    <dataField name="Sum of SIMPANAN WAJIB" fld="8" baseField="0" baseItem="0" numFmtId="41"/>
    <dataField name="Sum of SIMPANAN MANASUKA" fld="9" baseField="0" baseItem="0" numFmtId="41"/>
    <dataField name="Simpanan + Manasuka" fld="13" baseField="0" baseItem="0" numFmtId="41"/>
    <dataField name="Total" fld="14" baseField="0" baseItem="0" numFmtId="41"/>
  </dataFields>
  <formats count="4"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1A555-5340-3D43-8317-BECF1BC4FC1B}" name="PivotTable1" cacheId="1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4:G17" firstHeaderRow="1" firstDataRow="2" firstDataCol="2" rowPageCount="1" colPageCount="1"/>
  <pivotFields count="5">
    <pivotField axis="axisRow" compact="0" outline="0" subtotalTop="0" showAll="0" insertBlankRow="1">
      <items count="1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30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49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t="default"/>
      </items>
    </pivotField>
    <pivotField axis="axisPage" compact="0" outline="0" subtotalTop="0" showAll="0" insertBlankRow="1">
      <items count="138">
        <item x="67"/>
        <item x="98"/>
        <item x="101"/>
        <item x="103"/>
        <item x="95"/>
        <item x="77"/>
        <item x="11"/>
        <item x="82"/>
        <item x="45"/>
        <item x="89"/>
        <item x="23"/>
        <item x="29"/>
        <item x="49"/>
        <item x="96"/>
        <item x="91"/>
        <item x="99"/>
        <item x="15"/>
        <item x="74"/>
        <item x="61"/>
        <item x="115"/>
        <item x="54"/>
        <item x="68"/>
        <item x="6"/>
        <item x="60"/>
        <item x="105"/>
        <item x="28"/>
        <item x="57"/>
        <item x="102"/>
        <item x="55"/>
        <item x="70"/>
        <item x="30"/>
        <item x="35"/>
        <item x="85"/>
        <item x="21"/>
        <item x="119"/>
        <item x="58"/>
        <item x="107"/>
        <item x="37"/>
        <item x="80"/>
        <item x="64"/>
        <item x="108"/>
        <item x="78"/>
        <item x="39"/>
        <item x="31"/>
        <item x="72"/>
        <item x="79"/>
        <item x="97"/>
        <item x="48"/>
        <item x="83"/>
        <item x="112"/>
        <item x="50"/>
        <item x="86"/>
        <item x="65"/>
        <item x="90"/>
        <item x="16"/>
        <item x="43"/>
        <item x="2"/>
        <item x="41"/>
        <item x="25"/>
        <item x="40"/>
        <item x="76"/>
        <item x="13"/>
        <item x="46"/>
        <item x="116"/>
        <item x="8"/>
        <item x="0"/>
        <item x="52"/>
        <item x="33"/>
        <item x="109"/>
        <item x="113"/>
        <item x="36"/>
        <item x="110"/>
        <item x="34"/>
        <item x="19"/>
        <item x="69"/>
        <item x="93"/>
        <item x="63"/>
        <item x="51"/>
        <item x="12"/>
        <item x="18"/>
        <item x="42"/>
        <item x="17"/>
        <item x="66"/>
        <item x="94"/>
        <item x="118"/>
        <item x="38"/>
        <item x="27"/>
        <item x="111"/>
        <item x="73"/>
        <item x="9"/>
        <item x="117"/>
        <item x="22"/>
        <item x="84"/>
        <item x="14"/>
        <item x="114"/>
        <item x="120"/>
        <item x="10"/>
        <item x="62"/>
        <item x="106"/>
        <item x="26"/>
        <item x="59"/>
        <item x="104"/>
        <item x="75"/>
        <item x="81"/>
        <item x="47"/>
        <item x="56"/>
        <item x="100"/>
        <item x="88"/>
        <item x="1"/>
        <item x="7"/>
        <item x="71"/>
        <item x="44"/>
        <item x="20"/>
        <item x="53"/>
        <item x="87"/>
        <item x="32"/>
        <item x="3"/>
        <item x="5"/>
        <item x="92"/>
        <item x="4"/>
        <item x="24"/>
        <item x="136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axis="axisRow" compact="0" outline="0" subtotalTop="0" showAll="0" insertBlankRow="1" sortType="ascending">
      <items count="78">
        <item x="33"/>
        <item x="0"/>
        <item x="6"/>
        <item x="2"/>
        <item x="1"/>
        <item x="14"/>
        <item x="3"/>
        <item x="12"/>
        <item x="4"/>
        <item x="5"/>
        <item x="8"/>
        <item x="7"/>
        <item x="9"/>
        <item x="10"/>
        <item x="11"/>
        <item x="18"/>
        <item x="13"/>
        <item x="15"/>
        <item x="16"/>
        <item x="17"/>
        <item x="21"/>
        <item x="19"/>
        <item x="20"/>
        <item x="22"/>
        <item x="23"/>
        <item x="24"/>
        <item x="28"/>
        <item x="25"/>
        <item x="26"/>
        <item x="27"/>
        <item x="35"/>
        <item x="34"/>
        <item x="29"/>
        <item x="30"/>
        <item x="31"/>
        <item x="32"/>
        <item x="47"/>
        <item x="36"/>
        <item x="46"/>
        <item x="41"/>
        <item x="38"/>
        <item x="39"/>
        <item x="43"/>
        <item x="42"/>
        <item x="37"/>
        <item x="45"/>
        <item x="40"/>
        <item m="1" x="75"/>
        <item x="44"/>
        <item m="1" x="76"/>
        <item x="49"/>
        <item x="50"/>
        <item x="48"/>
        <item x="55"/>
        <item x="53"/>
        <item m="1" x="74"/>
        <item x="51"/>
        <item x="54"/>
        <item x="52"/>
        <item m="1" x="72"/>
        <item x="56"/>
        <item m="1" x="73"/>
        <item x="57"/>
        <item x="58"/>
        <item x="60"/>
        <item x="59"/>
        <item x="61"/>
        <item x="63"/>
        <item x="62"/>
        <item x="65"/>
        <item x="64"/>
        <item x="66"/>
        <item x="70"/>
        <item x="67"/>
        <item x="68"/>
        <item x="71"/>
        <item x="69"/>
        <item t="default"/>
      </items>
    </pivotField>
    <pivotField dataField="1" compact="0" outline="0" subtotalTop="0" showAll="0" insertBlankRow="1"/>
    <pivotField axis="axisCol" compact="0" outline="0" subtotalTop="0" showAll="0" insertBlankRow="1" sortType="ascending">
      <items count="6">
        <item x="0"/>
        <item x="2"/>
        <item x="3"/>
        <item x="1"/>
        <item x="4"/>
        <item t="default"/>
      </items>
    </pivotField>
  </pivotFields>
  <rowFields count="2">
    <field x="0"/>
    <field x="2"/>
  </rowFields>
  <rowItems count="12">
    <i>
      <x v="21"/>
      <x v="1"/>
    </i>
    <i r="1">
      <x v="8"/>
    </i>
    <i r="1">
      <x v="18"/>
    </i>
    <i r="1">
      <x v="22"/>
    </i>
    <i r="1">
      <x v="32"/>
    </i>
    <i r="1">
      <x v="40"/>
    </i>
    <i r="1">
      <x v="51"/>
    </i>
    <i r="1">
      <x v="63"/>
    </i>
    <i r="1">
      <x v="73"/>
    </i>
    <i t="default">
      <x v="21"/>
    </i>
    <i t="blank">
      <x v="2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Sum of Nilai" fld="3" baseField="0" baseItem="0" numFmtId="41"/>
  </dataFields>
  <formats count="3">
    <format dxfId="6">
      <pivotArea outline="0" fieldPosition="0">
        <references count="1">
          <reference field="4" count="1" selected="0">
            <x v="4"/>
          </reference>
        </references>
      </pivotArea>
    </format>
    <format dxfId="5">
      <pivotArea dataOnly="0" labelOnly="1" outline="0" fieldPosition="0">
        <references count="1">
          <reference field="4" count="1">
            <x v="4"/>
          </reference>
        </references>
      </pivotArea>
    </format>
    <format dxfId="4">
      <pivotArea type="topRight" dataOnly="0" labelOnly="1" outline="0" offset="B1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FF2EE-A229-724F-ABB2-407F581E5A37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2:C215" firstHeaderRow="1" firstDataRow="1" firstDataCol="1"/>
  <pivotFields count="4">
    <pivotField showAll="0"/>
    <pivotField axis="axisRow" showAll="0">
      <items count="103">
        <item x="73"/>
        <item x="11"/>
        <item x="87"/>
        <item x="12"/>
        <item x="93"/>
        <item x="13"/>
        <item x="4"/>
        <item x="14"/>
        <item x="15"/>
        <item x="3"/>
        <item x="16"/>
        <item x="69"/>
        <item x="17"/>
        <item x="18"/>
        <item x="81"/>
        <item x="19"/>
        <item x="20"/>
        <item x="21"/>
        <item x="22"/>
        <item x="97"/>
        <item x="0"/>
        <item x="65"/>
        <item x="80"/>
        <item x="2"/>
        <item x="23"/>
        <item x="70"/>
        <item x="24"/>
        <item x="89"/>
        <item x="68"/>
        <item x="25"/>
        <item x="9"/>
        <item x="26"/>
        <item x="92"/>
        <item x="27"/>
        <item x="77"/>
        <item x="28"/>
        <item x="29"/>
        <item x="76"/>
        <item x="72"/>
        <item x="88"/>
        <item x="30"/>
        <item x="31"/>
        <item x="71"/>
        <item x="66"/>
        <item x="32"/>
        <item x="96"/>
        <item x="33"/>
        <item x="34"/>
        <item x="99"/>
        <item x="35"/>
        <item x="36"/>
        <item x="37"/>
        <item x="38"/>
        <item x="39"/>
        <item x="64"/>
        <item x="40"/>
        <item x="41"/>
        <item x="42"/>
        <item x="8"/>
        <item x="78"/>
        <item x="43"/>
        <item x="44"/>
        <item x="45"/>
        <item x="5"/>
        <item x="46"/>
        <item x="100"/>
        <item x="47"/>
        <item x="1"/>
        <item x="48"/>
        <item x="49"/>
        <item x="50"/>
        <item x="86"/>
        <item x="94"/>
        <item x="75"/>
        <item x="7"/>
        <item x="51"/>
        <item x="52"/>
        <item x="84"/>
        <item x="53"/>
        <item x="54"/>
        <item x="67"/>
        <item x="82"/>
        <item x="10"/>
        <item x="55"/>
        <item x="6"/>
        <item x="56"/>
        <item x="57"/>
        <item x="83"/>
        <item x="95"/>
        <item x="101"/>
        <item x="58"/>
        <item x="59"/>
        <item x="60"/>
        <item x="79"/>
        <item x="85"/>
        <item x="98"/>
        <item x="90"/>
        <item x="61"/>
        <item x="62"/>
        <item x="63"/>
        <item x="74"/>
        <item x="91"/>
        <item t="default"/>
      </items>
    </pivotField>
    <pivotField showAll="0"/>
    <pivotField dataField="1" numFmtId="41" showAll="0"/>
  </pivotFields>
  <rowFields count="1">
    <field x="1"/>
  </rowFields>
  <rowItems count="1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 t="grand">
      <x/>
    </i>
  </rowItems>
  <colItems count="1">
    <i/>
  </colItems>
  <dataFields count="1">
    <dataField name="Sum of Cicilan" fld="3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F79DB-D583-5E42-B792-35CD042D6B0F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9:D224" firstHeaderRow="1" firstDataRow="1" firstDataCol="1"/>
  <pivotFields count="2">
    <pivotField axis="axisRow" showAll="0">
      <items count="105">
        <item x="63"/>
        <item x="10"/>
        <item x="92"/>
        <item x="77"/>
        <item x="11"/>
        <item x="95"/>
        <item x="83"/>
        <item x="4"/>
        <item x="12"/>
        <item x="3"/>
        <item x="13"/>
        <item x="59"/>
        <item x="14"/>
        <item x="15"/>
        <item x="71"/>
        <item x="16"/>
        <item x="17"/>
        <item x="18"/>
        <item x="19"/>
        <item x="87"/>
        <item x="0"/>
        <item x="56"/>
        <item x="70"/>
        <item x="2"/>
        <item x="99"/>
        <item x="20"/>
        <item x="60"/>
        <item x="21"/>
        <item x="79"/>
        <item x="100"/>
        <item x="58"/>
        <item x="22"/>
        <item x="8"/>
        <item x="23"/>
        <item x="82"/>
        <item x="24"/>
        <item x="67"/>
        <item x="25"/>
        <item x="26"/>
        <item x="66"/>
        <item x="62"/>
        <item x="78"/>
        <item x="27"/>
        <item x="28"/>
        <item x="61"/>
        <item x="101"/>
        <item x="86"/>
        <item x="29"/>
        <item x="30"/>
        <item x="89"/>
        <item x="31"/>
        <item x="32"/>
        <item x="94"/>
        <item x="55"/>
        <item x="33"/>
        <item x="34"/>
        <item x="35"/>
        <item x="7"/>
        <item x="93"/>
        <item x="68"/>
        <item x="36"/>
        <item x="98"/>
        <item x="37"/>
        <item x="38"/>
        <item x="5"/>
        <item x="39"/>
        <item x="90"/>
        <item x="40"/>
        <item x="1"/>
        <item x="41"/>
        <item x="42"/>
        <item x="43"/>
        <item x="76"/>
        <item x="84"/>
        <item x="65"/>
        <item x="6"/>
        <item x="44"/>
        <item x="45"/>
        <item x="74"/>
        <item x="46"/>
        <item x="57"/>
        <item x="72"/>
        <item x="9"/>
        <item x="47"/>
        <item x="96"/>
        <item x="48"/>
        <item x="103"/>
        <item x="73"/>
        <item x="85"/>
        <item x="102"/>
        <item x="91"/>
        <item x="49"/>
        <item x="97"/>
        <item x="50"/>
        <item x="51"/>
        <item x="69"/>
        <item x="75"/>
        <item x="88"/>
        <item x="80"/>
        <item x="52"/>
        <item x="53"/>
        <item x="54"/>
        <item x="64"/>
        <item x="81"/>
        <item t="default"/>
      </items>
    </pivotField>
    <pivotField dataField="1" numFmtId="41" showAll="0"/>
  </pivotFields>
  <rowFields count="1">
    <field x="0"/>
  </rowFields>
  <rowItems count="1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 t="grand">
      <x/>
    </i>
  </rowItems>
  <colItems count="1">
    <i/>
  </colItems>
  <dataFields count="1">
    <dataField name="Sum of Cicilan" fld="1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3" dT="2026-06-19T14:10:01.02" personId="{D0CF22AE-DE21-CD42-8885-7C49DFFD1130}" id="{EB6D04E8-0681-F34A-9FB5-9B39BC802642}">
    <text xml:space="preserve">Ada koreksi dari data indra tahun 2024
200.001
</text>
  </threadedComment>
  <threadedComment ref="E91" dT="2026-08-19T07:42:51.22" personId="{D0CF22AE-DE21-CD42-8885-7C49DFFD1130}" id="{9B1DD3A8-2E35-824E-BD04-E4BD359191AF}">
    <text>koreksi saldo utang</text>
  </threadedComment>
  <threadedComment ref="E133" dT="2026-07-07T08:20:17.58" personId="{D0CF22AE-DE21-CD42-8885-7C49DFFD1130}" id="{AB8B8522-9AEC-D947-B80E-BC50D9FD7FA6}">
    <text>Info Lita sudah lunas</text>
  </threadedComment>
  <threadedComment ref="E559" dT="2026-06-11T08:45:27.11" personId="{D0CF22AE-DE21-CD42-8885-7C49DFFD1130}" id="{6F11F2CE-4E7D-7643-89FF-5A0FC2EAAB0A}">
    <text xml:space="preserve">kepotong cicilan lama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0F2C-A2E9-564C-81FD-6462EC922ED9}">
  <sheetPr>
    <tabColor theme="0"/>
  </sheetPr>
  <dimension ref="B2:S296"/>
  <sheetViews>
    <sheetView tabSelected="1" zoomScaleNormal="100" workbookViewId="0">
      <pane xSplit="5" ySplit="2" topLeftCell="F264" activePane="bottomRight" state="frozen"/>
      <selection pane="topRight" activeCell="D1" sqref="D1"/>
      <selection pane="bottomLeft" activeCell="A3" sqref="A3"/>
      <selection pane="bottomRight" activeCell="E288" sqref="E288"/>
    </sheetView>
  </sheetViews>
  <sheetFormatPr baseColWidth="10" defaultColWidth="10.83203125" defaultRowHeight="16" x14ac:dyDescent="0.2"/>
  <cols>
    <col min="5" max="5" width="35.1640625" bestFit="1" customWidth="1"/>
    <col min="6" max="6" width="17.5" bestFit="1" customWidth="1"/>
    <col min="7" max="7" width="19.33203125" customWidth="1"/>
    <col min="9" max="9" width="13.33203125" bestFit="1" customWidth="1"/>
    <col min="11" max="11" width="19.6640625" customWidth="1"/>
    <col min="12" max="12" width="11.83203125" bestFit="1" customWidth="1"/>
    <col min="13" max="13" width="11.6640625" bestFit="1" customWidth="1"/>
    <col min="18" max="18" width="20.6640625" customWidth="1"/>
    <col min="19" max="19" width="21.83203125" bestFit="1" customWidth="1"/>
  </cols>
  <sheetData>
    <row r="2" spans="2:19" ht="36" x14ac:dyDescent="0.2">
      <c r="B2" s="1" t="s">
        <v>0</v>
      </c>
      <c r="C2" s="1" t="s">
        <v>5</v>
      </c>
      <c r="D2" s="1" t="s">
        <v>675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17</v>
      </c>
      <c r="R2" s="5" t="s">
        <v>18</v>
      </c>
      <c r="S2" s="5" t="s">
        <v>18</v>
      </c>
    </row>
    <row r="3" spans="2:19" ht="17" x14ac:dyDescent="0.2">
      <c r="B3">
        <v>1</v>
      </c>
      <c r="C3" s="11" t="s">
        <v>22</v>
      </c>
      <c r="D3" s="11" t="str">
        <f>VLOOKUP(E3,[1]Mei!$E$6:$F$173,2,0)</f>
        <v>00553</v>
      </c>
      <c r="E3" s="2" t="s">
        <v>8</v>
      </c>
      <c r="F3" s="3" t="s">
        <v>9</v>
      </c>
      <c r="G3" s="3"/>
      <c r="H3" s="3" t="s">
        <v>10</v>
      </c>
      <c r="I3" s="11" t="s">
        <v>22</v>
      </c>
      <c r="J3" s="4" t="str">
        <f t="shared" ref="J3" si="0">IF(LEFT(I3,2)="00","Tetap","Dilayani")</f>
        <v>Tetap</v>
      </c>
      <c r="K3" s="29" t="s">
        <v>12</v>
      </c>
      <c r="L3" s="6">
        <v>100000</v>
      </c>
      <c r="M3" s="6">
        <v>150000</v>
      </c>
      <c r="N3" s="6"/>
      <c r="O3" s="6">
        <v>20000</v>
      </c>
      <c r="Q3" s="6">
        <v>20000</v>
      </c>
      <c r="R3" s="13" t="s">
        <v>24</v>
      </c>
    </row>
    <row r="4" spans="2:19" ht="17" x14ac:dyDescent="0.2">
      <c r="B4">
        <v>2</v>
      </c>
      <c r="C4" s="37" t="s">
        <v>470</v>
      </c>
      <c r="D4" s="11" t="e">
        <f>VLOOKUP(E4,[1]Mei!$E$6:$F$173,2,0)</f>
        <v>#N/A</v>
      </c>
      <c r="E4" s="36" t="s">
        <v>303</v>
      </c>
      <c r="F4" s="54" t="s">
        <v>556</v>
      </c>
      <c r="G4" s="54"/>
      <c r="H4" s="31" t="s">
        <v>10</v>
      </c>
      <c r="I4" s="37" t="s">
        <v>470</v>
      </c>
      <c r="J4" s="33" t="str">
        <f>IF(LEFT(I4,2)="00","Tetap","Dilayani")</f>
        <v>Dilayani</v>
      </c>
      <c r="K4" s="38" t="s">
        <v>33</v>
      </c>
      <c r="L4" s="39">
        <v>100000</v>
      </c>
      <c r="M4" s="39">
        <v>100000</v>
      </c>
      <c r="N4" s="39"/>
      <c r="O4" s="39">
        <v>50000</v>
      </c>
      <c r="P4" s="103"/>
      <c r="Q4" s="39">
        <v>50000</v>
      </c>
      <c r="R4" s="13" t="s">
        <v>24</v>
      </c>
    </row>
    <row r="5" spans="2:19" ht="17" x14ac:dyDescent="0.2">
      <c r="B5">
        <v>3</v>
      </c>
      <c r="C5" s="11" t="s">
        <v>23</v>
      </c>
      <c r="D5" s="11" t="str">
        <f>VLOOKUP(E5,[1]Mei!$E$6:$F$173,2,0)</f>
        <v>00549</v>
      </c>
      <c r="E5" s="2" t="s">
        <v>525</v>
      </c>
      <c r="F5" s="3" t="s">
        <v>9</v>
      </c>
      <c r="G5" s="3"/>
      <c r="H5" s="3" t="s">
        <v>10</v>
      </c>
      <c r="I5" s="11" t="s">
        <v>23</v>
      </c>
      <c r="J5" s="4" t="str">
        <f>IF(LEFT(I5,2)="00","Tetap","Dilayani")</f>
        <v>Tetap</v>
      </c>
      <c r="K5" s="4" t="s">
        <v>21</v>
      </c>
      <c r="L5" s="6">
        <v>100000</v>
      </c>
      <c r="M5" s="6">
        <v>100000</v>
      </c>
      <c r="N5" s="6"/>
      <c r="O5" s="6">
        <v>50000</v>
      </c>
      <c r="P5" s="6"/>
      <c r="Q5" s="6">
        <v>50000</v>
      </c>
      <c r="R5" s="13" t="s">
        <v>24</v>
      </c>
    </row>
    <row r="6" spans="2:19" ht="17" x14ac:dyDescent="0.2">
      <c r="B6">
        <v>4</v>
      </c>
      <c r="C6" s="22" t="s">
        <v>503</v>
      </c>
      <c r="D6" s="11" t="e">
        <f>VLOOKUP(E6,[1]Mei!$E$6:$F$173,2,0)</f>
        <v>#N/A</v>
      </c>
      <c r="E6" s="2" t="s">
        <v>502</v>
      </c>
      <c r="F6" s="3" t="s">
        <v>556</v>
      </c>
      <c r="G6" s="28">
        <v>45909</v>
      </c>
      <c r="H6" s="20"/>
      <c r="I6" s="22" t="s">
        <v>503</v>
      </c>
      <c r="J6" s="4" t="str">
        <f>IF(LEFT(I6,2)="00","Tetap","Dilayani")</f>
        <v>Dilayani</v>
      </c>
      <c r="K6" s="47" t="s">
        <v>504</v>
      </c>
      <c r="L6" s="6">
        <v>100000</v>
      </c>
      <c r="M6" s="6">
        <v>300000</v>
      </c>
      <c r="N6" s="20"/>
      <c r="O6" s="20"/>
      <c r="P6" s="87"/>
      <c r="Q6" s="20"/>
    </row>
    <row r="7" spans="2:19" ht="17" x14ac:dyDescent="0.2">
      <c r="B7">
        <v>5</v>
      </c>
      <c r="C7" s="4" t="s">
        <v>528</v>
      </c>
      <c r="D7" s="11" t="e">
        <f>VLOOKUP(E7,[1]Mei!$E$6:$F$173,2,0)</f>
        <v>#N/A</v>
      </c>
      <c r="E7" s="20" t="s">
        <v>544</v>
      </c>
      <c r="F7" s="3" t="s">
        <v>163</v>
      </c>
      <c r="G7" s="20"/>
      <c r="H7" s="20"/>
      <c r="I7" s="4" t="s">
        <v>528</v>
      </c>
      <c r="J7" s="4" t="s">
        <v>528</v>
      </c>
      <c r="K7" s="20"/>
      <c r="L7" s="20"/>
      <c r="M7" s="20"/>
      <c r="N7" s="20"/>
      <c r="O7" s="20"/>
      <c r="P7" s="20"/>
      <c r="Q7" s="20"/>
    </row>
    <row r="8" spans="2:19" ht="17" x14ac:dyDescent="0.2">
      <c r="B8">
        <v>6</v>
      </c>
      <c r="C8" s="21" t="s">
        <v>164</v>
      </c>
      <c r="D8" s="11" t="e">
        <f>VLOOKUP(E8,[1]Mei!$E$6:$F$173,2,0)</f>
        <v>#N/A</v>
      </c>
      <c r="E8" s="7" t="s">
        <v>162</v>
      </c>
      <c r="F8" s="8" t="s">
        <v>163</v>
      </c>
      <c r="G8" s="8"/>
      <c r="H8" s="3" t="s">
        <v>10</v>
      </c>
      <c r="I8" s="21" t="s">
        <v>164</v>
      </c>
      <c r="J8" s="4" t="str">
        <f>IF(LEFT(I8,2)="00","Tetap","Dilayani")</f>
        <v>Dilayani</v>
      </c>
      <c r="K8" s="9" t="s">
        <v>126</v>
      </c>
      <c r="L8" s="10">
        <v>100000</v>
      </c>
      <c r="M8" s="10">
        <v>100000</v>
      </c>
      <c r="N8" s="10"/>
      <c r="O8" s="10">
        <v>20000</v>
      </c>
      <c r="P8" s="10"/>
      <c r="Q8" s="10">
        <f>O8+P8</f>
        <v>20000</v>
      </c>
      <c r="R8" s="13" t="s">
        <v>24</v>
      </c>
    </row>
    <row r="9" spans="2:19" ht="17" x14ac:dyDescent="0.2">
      <c r="B9">
        <v>7</v>
      </c>
      <c r="C9" s="16" t="s">
        <v>166</v>
      </c>
      <c r="D9" s="11" t="e">
        <f>VLOOKUP(E9,[1]Mei!$E$6:$F$173,2,0)</f>
        <v>#N/A</v>
      </c>
      <c r="E9" s="15" t="s">
        <v>165</v>
      </c>
      <c r="F9" s="8" t="s">
        <v>163</v>
      </c>
      <c r="G9" s="8"/>
      <c r="H9" s="3" t="s">
        <v>10</v>
      </c>
      <c r="I9" s="16" t="s">
        <v>166</v>
      </c>
      <c r="J9" s="4" t="str">
        <f>IF(LEFT(I9,2)="00","Tetap","Dilayani")</f>
        <v>Dilayani</v>
      </c>
      <c r="K9" s="17" t="s">
        <v>126</v>
      </c>
      <c r="L9" s="18">
        <v>100000</v>
      </c>
      <c r="M9" s="18">
        <v>100000</v>
      </c>
      <c r="N9" s="18"/>
      <c r="O9" s="18">
        <v>20000</v>
      </c>
      <c r="P9" s="18"/>
      <c r="Q9" s="18">
        <f>O9+P9</f>
        <v>20000</v>
      </c>
      <c r="R9" s="13" t="s">
        <v>24</v>
      </c>
    </row>
    <row r="10" spans="2:19" ht="17" x14ac:dyDescent="0.2">
      <c r="B10">
        <v>8</v>
      </c>
      <c r="C10" s="17" t="s">
        <v>331</v>
      </c>
      <c r="D10" s="11" t="e">
        <f>VLOOKUP(E10,[1]Mei!$E$6:$F$173,2,0)</f>
        <v>#N/A</v>
      </c>
      <c r="E10" s="15" t="s">
        <v>330</v>
      </c>
      <c r="F10" s="8" t="s">
        <v>163</v>
      </c>
      <c r="G10" s="8"/>
      <c r="H10" s="3" t="s">
        <v>10</v>
      </c>
      <c r="I10" s="17" t="s">
        <v>331</v>
      </c>
      <c r="J10" s="4" t="s">
        <v>11</v>
      </c>
      <c r="K10" s="17" t="s">
        <v>26</v>
      </c>
      <c r="L10" s="18">
        <v>100000</v>
      </c>
      <c r="M10" s="18">
        <v>75000</v>
      </c>
      <c r="N10" s="18">
        <v>200</v>
      </c>
      <c r="O10" s="18">
        <v>5000</v>
      </c>
      <c r="P10" s="18"/>
      <c r="Q10" s="18">
        <v>505000</v>
      </c>
      <c r="R10" s="13" t="s">
        <v>24</v>
      </c>
    </row>
    <row r="11" spans="2:19" ht="17" x14ac:dyDescent="0.2">
      <c r="B11">
        <v>9</v>
      </c>
      <c r="C11" s="11" t="s">
        <v>36</v>
      </c>
      <c r="D11" s="11" t="str">
        <f>VLOOKUP(E11,[1]Mei!$E$6:$F$173,2,0)</f>
        <v>00546</v>
      </c>
      <c r="E11" s="2" t="s">
        <v>35</v>
      </c>
      <c r="F11" s="3" t="s">
        <v>9</v>
      </c>
      <c r="G11" s="3"/>
      <c r="H11" s="3" t="s">
        <v>10</v>
      </c>
      <c r="I11" s="11" t="s">
        <v>36</v>
      </c>
      <c r="J11" s="4" t="str">
        <f t="shared" ref="J11:J23" si="1">IF(LEFT(I11,2)="00","Tetap","Dilayani")</f>
        <v>Tetap</v>
      </c>
      <c r="K11" s="4" t="s">
        <v>33</v>
      </c>
      <c r="L11" s="6">
        <v>100000</v>
      </c>
      <c r="M11" s="6">
        <v>50000</v>
      </c>
      <c r="N11" s="6"/>
      <c r="O11" s="6">
        <v>20000</v>
      </c>
      <c r="P11" s="14"/>
      <c r="Q11" s="6"/>
      <c r="R11" s="13" t="s">
        <v>24</v>
      </c>
    </row>
    <row r="12" spans="2:19" ht="17" x14ac:dyDescent="0.2">
      <c r="B12">
        <v>10</v>
      </c>
      <c r="C12" s="19" t="s">
        <v>38</v>
      </c>
      <c r="D12" s="11" t="str">
        <f>VLOOKUP(E12,[1]Mei!$E$6:$F$173,2,0)</f>
        <v>00511</v>
      </c>
      <c r="E12" s="2" t="s">
        <v>37</v>
      </c>
      <c r="F12" s="3" t="s">
        <v>9</v>
      </c>
      <c r="G12" s="3"/>
      <c r="H12" s="3" t="s">
        <v>10</v>
      </c>
      <c r="I12" s="19" t="s">
        <v>38</v>
      </c>
      <c r="J12" s="4" t="str">
        <f t="shared" si="1"/>
        <v>Tetap</v>
      </c>
      <c r="K12" s="4" t="s">
        <v>21</v>
      </c>
      <c r="L12" s="6">
        <v>100000</v>
      </c>
      <c r="M12" s="6">
        <v>50000</v>
      </c>
      <c r="N12" s="6"/>
      <c r="O12" s="6">
        <v>5000</v>
      </c>
      <c r="P12" s="14"/>
      <c r="Q12" s="6"/>
      <c r="R12" s="13" t="s">
        <v>24</v>
      </c>
    </row>
    <row r="13" spans="2:19" ht="17" x14ac:dyDescent="0.2">
      <c r="B13">
        <v>11</v>
      </c>
      <c r="C13" s="4" t="s">
        <v>40</v>
      </c>
      <c r="D13" s="11" t="str">
        <f>VLOOKUP(E13,[1]Mei!$E$6:$F$173,2,0)</f>
        <v>00340</v>
      </c>
      <c r="E13" s="2" t="s">
        <v>39</v>
      </c>
      <c r="F13" s="3" t="s">
        <v>9</v>
      </c>
      <c r="G13" s="3"/>
      <c r="H13" s="3" t="s">
        <v>10</v>
      </c>
      <c r="I13" s="4" t="s">
        <v>40</v>
      </c>
      <c r="J13" s="4" t="str">
        <f t="shared" si="1"/>
        <v>Tetap</v>
      </c>
      <c r="K13" s="4" t="s">
        <v>21</v>
      </c>
      <c r="L13" s="6">
        <v>100000</v>
      </c>
      <c r="M13" s="6">
        <v>275000</v>
      </c>
      <c r="N13" s="6">
        <v>200</v>
      </c>
      <c r="O13" s="6">
        <v>5000</v>
      </c>
      <c r="P13" s="14"/>
      <c r="Q13" s="6"/>
      <c r="R13" s="13" t="s">
        <v>24</v>
      </c>
    </row>
    <row r="14" spans="2:19" ht="17" x14ac:dyDescent="0.2">
      <c r="B14">
        <v>12</v>
      </c>
      <c r="C14" s="4" t="s">
        <v>42</v>
      </c>
      <c r="D14" s="11" t="e">
        <f>VLOOKUP(E14,[1]Mei!$E$6:$F$173,2,0)</f>
        <v>#N/A</v>
      </c>
      <c r="E14" s="2" t="s">
        <v>41</v>
      </c>
      <c r="F14" s="3" t="s">
        <v>614</v>
      </c>
      <c r="G14" s="3"/>
      <c r="H14" s="3" t="s">
        <v>10</v>
      </c>
      <c r="I14" s="4" t="s">
        <v>42</v>
      </c>
      <c r="J14" s="4" t="str">
        <f t="shared" si="1"/>
        <v>Tetap</v>
      </c>
      <c r="K14" s="4" t="s">
        <v>26</v>
      </c>
      <c r="L14" s="6">
        <v>100000</v>
      </c>
      <c r="M14" s="6">
        <v>275000</v>
      </c>
      <c r="N14" s="6">
        <v>200</v>
      </c>
      <c r="O14" s="6">
        <v>5000</v>
      </c>
      <c r="P14" s="14"/>
      <c r="Q14" s="6"/>
      <c r="R14" s="13" t="s">
        <v>24</v>
      </c>
    </row>
    <row r="15" spans="2:19" ht="17" x14ac:dyDescent="0.2">
      <c r="B15">
        <v>13</v>
      </c>
      <c r="C15" s="88" t="s">
        <v>512</v>
      </c>
      <c r="D15" s="11" t="e">
        <f>VLOOKUP(E15,[1]Mei!$E$6:$F$173,2,0)</f>
        <v>#N/A</v>
      </c>
      <c r="E15" s="92" t="s">
        <v>496</v>
      </c>
      <c r="F15" s="8" t="s">
        <v>556</v>
      </c>
      <c r="G15" s="73">
        <v>45896</v>
      </c>
      <c r="I15" s="88" t="s">
        <v>512</v>
      </c>
      <c r="J15" s="4" t="str">
        <f t="shared" si="1"/>
        <v>Dilayani</v>
      </c>
      <c r="K15" s="98" t="s">
        <v>504</v>
      </c>
      <c r="L15" s="10">
        <v>100000</v>
      </c>
      <c r="M15" s="10">
        <v>100000</v>
      </c>
      <c r="N15" s="100"/>
      <c r="O15" s="100"/>
      <c r="P15" s="100"/>
      <c r="Q15" s="100"/>
    </row>
    <row r="16" spans="2:19" ht="17" x14ac:dyDescent="0.2">
      <c r="B16">
        <v>14</v>
      </c>
      <c r="C16" s="4" t="s">
        <v>47</v>
      </c>
      <c r="D16" s="11" t="str">
        <f>VLOOKUP(E16,[1]Mei!$E$6:$F$173,2,0)</f>
        <v>00519</v>
      </c>
      <c r="E16" s="2" t="s">
        <v>46</v>
      </c>
      <c r="F16" s="3" t="s">
        <v>9</v>
      </c>
      <c r="G16" s="3"/>
      <c r="H16" s="3" t="s">
        <v>10</v>
      </c>
      <c r="I16" s="4" t="s">
        <v>47</v>
      </c>
      <c r="J16" s="4" t="str">
        <f t="shared" si="1"/>
        <v>Tetap</v>
      </c>
      <c r="K16" s="4" t="s">
        <v>33</v>
      </c>
      <c r="L16" s="6">
        <v>100000</v>
      </c>
      <c r="M16" s="6">
        <v>125000</v>
      </c>
      <c r="N16" s="6">
        <v>0</v>
      </c>
      <c r="O16" s="6">
        <v>5000</v>
      </c>
      <c r="P16" s="14"/>
      <c r="Q16" s="6"/>
      <c r="R16" s="13" t="s">
        <v>24</v>
      </c>
    </row>
    <row r="17" spans="2:18" ht="17" x14ac:dyDescent="0.2">
      <c r="B17">
        <v>15</v>
      </c>
      <c r="C17" s="4" t="s">
        <v>50</v>
      </c>
      <c r="D17" s="11" t="str">
        <f>VLOOKUP(E17,[1]Mei!$E$6:$F$173,2,0)</f>
        <v>00325</v>
      </c>
      <c r="E17" s="2" t="s">
        <v>48</v>
      </c>
      <c r="F17" s="3" t="s">
        <v>9</v>
      </c>
      <c r="G17" s="3"/>
      <c r="H17" s="3" t="s">
        <v>49</v>
      </c>
      <c r="I17" s="4" t="s">
        <v>50</v>
      </c>
      <c r="J17" s="4" t="str">
        <f t="shared" si="1"/>
        <v>Tetap</v>
      </c>
      <c r="K17" s="4" t="s">
        <v>45</v>
      </c>
      <c r="L17" s="6">
        <v>100000</v>
      </c>
      <c r="M17" s="6">
        <v>75000</v>
      </c>
      <c r="N17" s="6">
        <v>200</v>
      </c>
      <c r="O17" s="6">
        <v>5000</v>
      </c>
      <c r="P17" s="14"/>
      <c r="Q17" s="6"/>
      <c r="R17" s="13" t="s">
        <v>24</v>
      </c>
    </row>
    <row r="18" spans="2:18" ht="17" x14ac:dyDescent="0.2">
      <c r="B18">
        <v>16</v>
      </c>
      <c r="C18" s="11" t="s">
        <v>52</v>
      </c>
      <c r="D18" s="11" t="str">
        <f>VLOOKUP(E18,[1]Mei!$E$6:$F$173,2,0)</f>
        <v>00543</v>
      </c>
      <c r="E18" s="2" t="s">
        <v>51</v>
      </c>
      <c r="F18" s="3" t="s">
        <v>9</v>
      </c>
      <c r="G18" s="3"/>
      <c r="H18" s="3" t="s">
        <v>10</v>
      </c>
      <c r="I18" s="11" t="s">
        <v>52</v>
      </c>
      <c r="J18" s="4" t="str">
        <f t="shared" si="1"/>
        <v>Tetap</v>
      </c>
      <c r="K18" s="4" t="s">
        <v>33</v>
      </c>
      <c r="L18" s="6">
        <v>100000</v>
      </c>
      <c r="M18" s="6">
        <v>100000</v>
      </c>
      <c r="N18" s="6"/>
      <c r="O18" s="6">
        <v>20000</v>
      </c>
      <c r="P18" s="14"/>
      <c r="Q18" s="6"/>
      <c r="R18" s="13" t="s">
        <v>24</v>
      </c>
    </row>
    <row r="19" spans="2:18" ht="17" x14ac:dyDescent="0.2">
      <c r="B19">
        <v>17</v>
      </c>
      <c r="C19" s="19" t="s">
        <v>54</v>
      </c>
      <c r="D19" s="11" t="str">
        <f>VLOOKUP(E19,[1]Mei!$E$6:$F$173,2,0)</f>
        <v>00540</v>
      </c>
      <c r="E19" s="2" t="s">
        <v>53</v>
      </c>
      <c r="F19" s="3" t="s">
        <v>9</v>
      </c>
      <c r="G19" s="3"/>
      <c r="H19" s="3" t="s">
        <v>10</v>
      </c>
      <c r="I19" s="19" t="s">
        <v>54</v>
      </c>
      <c r="J19" s="4" t="str">
        <f t="shared" si="1"/>
        <v>Tetap</v>
      </c>
      <c r="K19" s="4" t="s">
        <v>33</v>
      </c>
      <c r="L19" s="6">
        <v>100000</v>
      </c>
      <c r="M19" s="6">
        <v>125000</v>
      </c>
      <c r="N19" s="6"/>
      <c r="O19" s="6">
        <v>5000</v>
      </c>
      <c r="P19" s="14"/>
      <c r="Q19" s="6"/>
      <c r="R19" s="13" t="s">
        <v>24</v>
      </c>
    </row>
    <row r="20" spans="2:18" ht="17" x14ac:dyDescent="0.2">
      <c r="B20">
        <v>18</v>
      </c>
      <c r="C20" s="19" t="s">
        <v>56</v>
      </c>
      <c r="D20" s="11" t="str">
        <f>VLOOKUP(E20,[1]Mei!$E$6:$F$173,2,0)</f>
        <v>00539</v>
      </c>
      <c r="E20" s="2" t="s">
        <v>55</v>
      </c>
      <c r="F20" s="3" t="s">
        <v>9</v>
      </c>
      <c r="G20" s="3"/>
      <c r="H20" s="3" t="s">
        <v>10</v>
      </c>
      <c r="I20" s="19" t="s">
        <v>56</v>
      </c>
      <c r="J20" s="4" t="str">
        <f t="shared" si="1"/>
        <v>Tetap</v>
      </c>
      <c r="K20" s="4" t="s">
        <v>30</v>
      </c>
      <c r="L20" s="6">
        <v>100000</v>
      </c>
      <c r="M20" s="6">
        <v>50000</v>
      </c>
      <c r="N20" s="6">
        <v>0</v>
      </c>
      <c r="O20" s="6">
        <v>20000</v>
      </c>
      <c r="P20" s="14"/>
      <c r="Q20" s="6"/>
      <c r="R20" s="13" t="s">
        <v>24</v>
      </c>
    </row>
    <row r="21" spans="2:18" ht="17" x14ac:dyDescent="0.2">
      <c r="B21">
        <v>19</v>
      </c>
      <c r="C21" s="9" t="s">
        <v>528</v>
      </c>
      <c r="D21" s="11" t="e">
        <f>VLOOKUP(E21,[1]Mei!$E$6:$F$173,2,0)</f>
        <v>#N/A</v>
      </c>
      <c r="E21" s="93" t="s">
        <v>535</v>
      </c>
      <c r="F21" s="8" t="s">
        <v>556</v>
      </c>
      <c r="G21" s="73">
        <v>45919</v>
      </c>
      <c r="H21" s="20" t="s">
        <v>190</v>
      </c>
      <c r="I21" s="9" t="s">
        <v>528</v>
      </c>
      <c r="J21" s="4" t="str">
        <f t="shared" si="1"/>
        <v>Dilayani</v>
      </c>
      <c r="K21" s="98" t="s">
        <v>538</v>
      </c>
      <c r="L21" s="100"/>
      <c r="M21" s="100"/>
      <c r="N21" s="100"/>
      <c r="O21" s="100"/>
      <c r="P21" s="100"/>
      <c r="Q21" s="100"/>
    </row>
    <row r="22" spans="2:18" ht="17" x14ac:dyDescent="0.2">
      <c r="B22">
        <v>20</v>
      </c>
      <c r="C22" s="4" t="s">
        <v>60</v>
      </c>
      <c r="D22" s="11" t="e">
        <f>VLOOKUP(E22,[1]Mei!$E$6:$F$173,2,0)</f>
        <v>#N/A</v>
      </c>
      <c r="E22" s="2" t="s">
        <v>59</v>
      </c>
      <c r="F22" s="3" t="s">
        <v>556</v>
      </c>
      <c r="G22" s="3"/>
      <c r="H22" s="3" t="s">
        <v>10</v>
      </c>
      <c r="I22" s="4" t="s">
        <v>60</v>
      </c>
      <c r="J22" s="4" t="str">
        <f t="shared" si="1"/>
        <v>Tetap</v>
      </c>
      <c r="K22" s="4" t="s">
        <v>61</v>
      </c>
      <c r="L22" s="6">
        <v>100000</v>
      </c>
      <c r="M22" s="6">
        <v>175000</v>
      </c>
      <c r="N22" s="6">
        <v>200</v>
      </c>
      <c r="O22" s="6">
        <v>5000</v>
      </c>
      <c r="P22" s="14"/>
      <c r="Q22" s="6"/>
      <c r="R22" s="13" t="s">
        <v>24</v>
      </c>
    </row>
    <row r="23" spans="2:18" ht="17" x14ac:dyDescent="0.2">
      <c r="B23">
        <v>21</v>
      </c>
      <c r="C23" s="11" t="s">
        <v>373</v>
      </c>
      <c r="D23" s="11" t="str">
        <f>VLOOKUP(E23,[1]Mei!$E$6:$F$173,2,0)</f>
        <v>00518</v>
      </c>
      <c r="E23" s="2" t="s">
        <v>62</v>
      </c>
      <c r="F23" s="3" t="s">
        <v>9</v>
      </c>
      <c r="G23" s="3"/>
      <c r="H23" s="3" t="s">
        <v>10</v>
      </c>
      <c r="I23" s="11" t="s">
        <v>373</v>
      </c>
      <c r="J23" s="4" t="str">
        <f t="shared" si="1"/>
        <v>Tetap</v>
      </c>
      <c r="K23" s="4" t="s">
        <v>45</v>
      </c>
      <c r="L23" s="6">
        <v>150000</v>
      </c>
      <c r="M23" s="6">
        <v>100000</v>
      </c>
      <c r="N23" s="6"/>
      <c r="O23" s="6">
        <v>50000</v>
      </c>
      <c r="P23" s="14"/>
      <c r="Q23" s="6"/>
      <c r="R23" s="13" t="s">
        <v>24</v>
      </c>
    </row>
    <row r="24" spans="2:18" ht="17" x14ac:dyDescent="0.2">
      <c r="B24">
        <v>22</v>
      </c>
      <c r="C24" s="9" t="s">
        <v>528</v>
      </c>
      <c r="D24" s="11" t="e">
        <f>VLOOKUP(E24,[1]Mei!$E$6:$F$173,2,0)</f>
        <v>#N/A</v>
      </c>
      <c r="E24" s="80" t="s">
        <v>543</v>
      </c>
      <c r="F24" s="8" t="s">
        <v>556</v>
      </c>
      <c r="G24" s="73">
        <v>45919</v>
      </c>
      <c r="I24" s="9" t="s">
        <v>528</v>
      </c>
      <c r="J24" s="20" t="s">
        <v>528</v>
      </c>
      <c r="K24" s="80"/>
      <c r="L24" s="100"/>
      <c r="M24" s="100"/>
      <c r="N24" s="100"/>
      <c r="O24" s="100"/>
      <c r="P24" s="100"/>
      <c r="Q24" s="100"/>
    </row>
    <row r="25" spans="2:18" ht="17" x14ac:dyDescent="0.2">
      <c r="B25">
        <v>23</v>
      </c>
      <c r="C25" s="4" t="s">
        <v>66</v>
      </c>
      <c r="D25" s="11" t="str">
        <f>VLOOKUP(E25,[1]Mei!$E$6:$F$173,2,0)</f>
        <v>00490</v>
      </c>
      <c r="E25" s="2" t="s">
        <v>65</v>
      </c>
      <c r="F25" s="3" t="s">
        <v>9</v>
      </c>
      <c r="G25" s="3"/>
      <c r="H25" s="3" t="s">
        <v>10</v>
      </c>
      <c r="I25" s="4" t="s">
        <v>66</v>
      </c>
      <c r="J25" s="4" t="str">
        <f>IF(LEFT(I25,2)="00","Tetap","Dilayani")</f>
        <v>Tetap</v>
      </c>
      <c r="K25" s="4" t="s">
        <v>26</v>
      </c>
      <c r="L25" s="6">
        <v>100000</v>
      </c>
      <c r="M25" s="6">
        <v>75000</v>
      </c>
      <c r="N25" s="6">
        <v>200</v>
      </c>
      <c r="O25" s="6">
        <v>5000</v>
      </c>
      <c r="P25" s="14"/>
      <c r="Q25" s="6"/>
      <c r="R25" s="13" t="s">
        <v>24</v>
      </c>
    </row>
    <row r="26" spans="2:18" ht="17" x14ac:dyDescent="0.2">
      <c r="B26">
        <v>24</v>
      </c>
      <c r="C26" s="9" t="s">
        <v>528</v>
      </c>
      <c r="D26" s="11" t="e">
        <f>VLOOKUP(E26,[1]Mei!$E$6:$F$173,2,0)</f>
        <v>#N/A</v>
      </c>
      <c r="E26" s="80" t="s">
        <v>537</v>
      </c>
      <c r="F26" s="8" t="s">
        <v>556</v>
      </c>
      <c r="G26" s="73">
        <v>45919</v>
      </c>
      <c r="I26" s="9" t="s">
        <v>528</v>
      </c>
      <c r="J26" s="4" t="s">
        <v>528</v>
      </c>
      <c r="K26" s="80"/>
      <c r="L26" s="100"/>
      <c r="M26" s="100"/>
      <c r="N26" s="100"/>
      <c r="O26" s="100"/>
      <c r="P26" s="100"/>
      <c r="Q26" s="100"/>
    </row>
    <row r="27" spans="2:18" ht="17" x14ac:dyDescent="0.2">
      <c r="B27">
        <v>25</v>
      </c>
      <c r="C27" s="4" t="s">
        <v>70</v>
      </c>
      <c r="D27" s="11" t="str">
        <f>VLOOKUP(E27,[1]Mei!$E$6:$F$173,2,0)</f>
        <v>00496</v>
      </c>
      <c r="E27" s="2" t="s">
        <v>69</v>
      </c>
      <c r="F27" s="3" t="s">
        <v>9</v>
      </c>
      <c r="G27" s="3"/>
      <c r="H27" s="3" t="s">
        <v>10</v>
      </c>
      <c r="I27" s="4" t="s">
        <v>70</v>
      </c>
      <c r="J27" s="4" t="str">
        <f>IF(LEFT(I27,2)="00","Tetap","Dilayani")</f>
        <v>Tetap</v>
      </c>
      <c r="K27" s="4" t="s">
        <v>30</v>
      </c>
      <c r="L27" s="6">
        <v>100000</v>
      </c>
      <c r="M27" s="6">
        <v>150000</v>
      </c>
      <c r="N27" s="6">
        <v>200</v>
      </c>
      <c r="O27" s="6">
        <v>5000</v>
      </c>
      <c r="P27" s="14"/>
      <c r="Q27" s="6"/>
      <c r="R27" s="13" t="s">
        <v>24</v>
      </c>
    </row>
    <row r="28" spans="2:18" ht="17" x14ac:dyDescent="0.2">
      <c r="B28">
        <v>26</v>
      </c>
      <c r="C28" s="4" t="s">
        <v>72</v>
      </c>
      <c r="D28" s="11" t="str">
        <f>VLOOKUP(E28,[1]Mei!$E$6:$F$173,2,0)</f>
        <v>00517</v>
      </c>
      <c r="E28" s="2" t="s">
        <v>71</v>
      </c>
      <c r="F28" s="3" t="s">
        <v>9</v>
      </c>
      <c r="G28" s="3"/>
      <c r="H28" s="3" t="s">
        <v>10</v>
      </c>
      <c r="I28" s="4" t="s">
        <v>72</v>
      </c>
      <c r="J28" s="4" t="str">
        <f>IF(LEFT(I28,2)="00","Tetap","Dilayani")</f>
        <v>Tetap</v>
      </c>
      <c r="K28" s="4" t="s">
        <v>73</v>
      </c>
      <c r="L28" s="6">
        <v>100000</v>
      </c>
      <c r="M28" s="6">
        <v>300000</v>
      </c>
      <c r="N28" s="6">
        <v>200</v>
      </c>
      <c r="O28" s="6">
        <v>5000</v>
      </c>
      <c r="P28" s="14"/>
      <c r="Q28" s="6"/>
      <c r="R28" s="13" t="s">
        <v>24</v>
      </c>
    </row>
    <row r="29" spans="2:18" ht="17" x14ac:dyDescent="0.2">
      <c r="B29">
        <v>27</v>
      </c>
      <c r="C29" s="11" t="s">
        <v>74</v>
      </c>
      <c r="D29" s="11" t="str">
        <f>VLOOKUP(E29,[1]Mei!$E$6:$F$173,2,0)</f>
        <v>00552</v>
      </c>
      <c r="E29" s="20" t="s">
        <v>484</v>
      </c>
      <c r="F29" s="3" t="s">
        <v>9</v>
      </c>
      <c r="G29" s="3"/>
      <c r="H29" s="3" t="s">
        <v>10</v>
      </c>
      <c r="I29" s="11" t="s">
        <v>74</v>
      </c>
      <c r="J29" s="4" t="str">
        <f>IF(LEFT(I29,2)="00","Tetap","Dilayani")</f>
        <v>Tetap</v>
      </c>
      <c r="K29" s="4" t="s">
        <v>26</v>
      </c>
      <c r="L29" s="6">
        <v>200000</v>
      </c>
      <c r="M29" s="6">
        <v>100000</v>
      </c>
      <c r="N29" s="6"/>
      <c r="O29" s="6">
        <v>20000</v>
      </c>
      <c r="P29" s="14"/>
      <c r="Q29" s="6"/>
      <c r="R29" s="13" t="s">
        <v>24</v>
      </c>
    </row>
    <row r="30" spans="2:18" ht="17" x14ac:dyDescent="0.2">
      <c r="B30">
        <v>28</v>
      </c>
      <c r="C30" s="53" t="s">
        <v>528</v>
      </c>
      <c r="D30" s="11" t="e">
        <f>VLOOKUP(E30,[1]Mei!$E$6:$F$173,2,0)</f>
        <v>#N/A</v>
      </c>
      <c r="E30" t="s">
        <v>545</v>
      </c>
      <c r="F30" s="8" t="s">
        <v>556</v>
      </c>
      <c r="G30" s="73">
        <v>45919</v>
      </c>
      <c r="H30" s="20"/>
      <c r="I30" s="53" t="s">
        <v>528</v>
      </c>
      <c r="J30" s="4" t="s">
        <v>528</v>
      </c>
    </row>
    <row r="31" spans="2:18" ht="17" x14ac:dyDescent="0.2">
      <c r="B31">
        <v>29</v>
      </c>
      <c r="C31" s="17" t="s">
        <v>528</v>
      </c>
      <c r="D31" s="11" t="e">
        <f>VLOOKUP(E31,[1]Mei!$E$6:$F$173,2,0)</f>
        <v>#N/A</v>
      </c>
      <c r="E31" s="95" t="s">
        <v>552</v>
      </c>
      <c r="F31" s="8" t="s">
        <v>556</v>
      </c>
      <c r="G31" s="73">
        <v>45895</v>
      </c>
      <c r="I31" s="17" t="s">
        <v>528</v>
      </c>
      <c r="J31" s="4" t="s">
        <v>528</v>
      </c>
      <c r="K31" s="95" t="s">
        <v>190</v>
      </c>
      <c r="L31" s="102"/>
      <c r="M31" s="102"/>
      <c r="N31" s="102"/>
      <c r="O31" s="102"/>
      <c r="P31" s="102"/>
      <c r="Q31" s="102"/>
    </row>
    <row r="32" spans="2:18" ht="17" x14ac:dyDescent="0.2">
      <c r="B32">
        <v>30</v>
      </c>
      <c r="C32" s="11" t="s">
        <v>80</v>
      </c>
      <c r="D32" s="11" t="str">
        <f>VLOOKUP(E32,[1]Mei!$E$6:$F$173,2,0)</f>
        <v>00541</v>
      </c>
      <c r="E32" s="2" t="s">
        <v>79</v>
      </c>
      <c r="F32" s="3" t="s">
        <v>9</v>
      </c>
      <c r="G32" s="3"/>
      <c r="H32" s="3" t="s">
        <v>10</v>
      </c>
      <c r="I32" s="11" t="s">
        <v>80</v>
      </c>
      <c r="J32" s="4" t="str">
        <f t="shared" ref="J32:J52" si="2">IF(LEFT(I32,2)="00","Tetap","Dilayani")</f>
        <v>Tetap</v>
      </c>
      <c r="K32" s="4" t="s">
        <v>33</v>
      </c>
      <c r="L32" s="6">
        <v>100000</v>
      </c>
      <c r="M32" s="6">
        <v>150000</v>
      </c>
      <c r="N32" s="6"/>
      <c r="O32" s="6">
        <v>20000</v>
      </c>
      <c r="P32" s="14"/>
      <c r="Q32" s="6"/>
      <c r="R32" s="13" t="s">
        <v>24</v>
      </c>
    </row>
    <row r="33" spans="2:18" ht="17" x14ac:dyDescent="0.2">
      <c r="B33">
        <v>31</v>
      </c>
      <c r="C33" s="4" t="s">
        <v>82</v>
      </c>
      <c r="D33" s="11" t="str">
        <f>VLOOKUP(E33,[1]Mei!$E$6:$F$173,2,0)</f>
        <v>00537</v>
      </c>
      <c r="E33" s="2" t="s">
        <v>81</v>
      </c>
      <c r="F33" s="3" t="s">
        <v>9</v>
      </c>
      <c r="G33" s="3"/>
      <c r="H33" s="3" t="s">
        <v>10</v>
      </c>
      <c r="I33" s="4" t="s">
        <v>82</v>
      </c>
      <c r="J33" s="4" t="str">
        <f t="shared" si="2"/>
        <v>Tetap</v>
      </c>
      <c r="K33" s="4" t="s">
        <v>30</v>
      </c>
      <c r="L33" s="6">
        <v>100000</v>
      </c>
      <c r="M33" s="6">
        <v>100000</v>
      </c>
      <c r="N33" s="6">
        <v>0</v>
      </c>
      <c r="O33" s="6">
        <v>20000</v>
      </c>
      <c r="P33" s="14"/>
      <c r="Q33" s="6"/>
      <c r="R33" s="13" t="s">
        <v>24</v>
      </c>
    </row>
    <row r="34" spans="2:18" ht="17" x14ac:dyDescent="0.2">
      <c r="B34">
        <v>32</v>
      </c>
      <c r="C34" s="19" t="s">
        <v>84</v>
      </c>
      <c r="D34" s="11" t="str">
        <f>VLOOKUP(E34,[1]Mei!$E$6:$F$173,2,0)</f>
        <v>00322</v>
      </c>
      <c r="E34" s="2" t="s">
        <v>83</v>
      </c>
      <c r="F34" s="3" t="s">
        <v>9</v>
      </c>
      <c r="G34" s="3"/>
      <c r="H34" s="3" t="s">
        <v>10</v>
      </c>
      <c r="I34" s="19" t="s">
        <v>84</v>
      </c>
      <c r="J34" s="4" t="str">
        <f t="shared" si="2"/>
        <v>Tetap</v>
      </c>
      <c r="K34" s="4" t="s">
        <v>45</v>
      </c>
      <c r="L34" s="6">
        <v>100000</v>
      </c>
      <c r="M34" s="6">
        <v>20000</v>
      </c>
      <c r="N34" s="6">
        <v>200</v>
      </c>
      <c r="O34" s="6">
        <v>5000</v>
      </c>
      <c r="P34" s="14"/>
      <c r="Q34" s="6"/>
      <c r="R34" s="13" t="s">
        <v>24</v>
      </c>
    </row>
    <row r="35" spans="2:18" ht="17" x14ac:dyDescent="0.2">
      <c r="B35">
        <v>33</v>
      </c>
      <c r="C35" s="11" t="s">
        <v>86</v>
      </c>
      <c r="D35" s="11" t="str">
        <f>VLOOKUP(E35,[1]Mei!$E$6:$F$173,2,0)</f>
        <v>00547</v>
      </c>
      <c r="E35" s="2" t="s">
        <v>85</v>
      </c>
      <c r="F35" s="3" t="s">
        <v>9</v>
      </c>
      <c r="G35" s="3"/>
      <c r="H35" s="3" t="s">
        <v>10</v>
      </c>
      <c r="I35" s="11" t="s">
        <v>86</v>
      </c>
      <c r="J35" s="4" t="str">
        <f t="shared" si="2"/>
        <v>Tetap</v>
      </c>
      <c r="K35" s="4" t="s">
        <v>30</v>
      </c>
      <c r="L35" s="6">
        <v>100000</v>
      </c>
      <c r="M35" s="6">
        <v>100000</v>
      </c>
      <c r="N35" s="6"/>
      <c r="O35" s="6">
        <v>20000</v>
      </c>
      <c r="P35" s="14"/>
      <c r="Q35" s="6"/>
      <c r="R35" s="13" t="s">
        <v>24</v>
      </c>
    </row>
    <row r="36" spans="2:18" ht="17" x14ac:dyDescent="0.2">
      <c r="B36">
        <v>34</v>
      </c>
      <c r="C36" s="11" t="s">
        <v>374</v>
      </c>
      <c r="D36" s="11" t="str">
        <f>VLOOKUP(E36,[1]Mei!$E$6:$F$173,2,0)</f>
        <v>00554</v>
      </c>
      <c r="E36" s="2" t="s">
        <v>87</v>
      </c>
      <c r="F36" s="3" t="s">
        <v>9</v>
      </c>
      <c r="G36" s="3"/>
      <c r="H36" s="3" t="s">
        <v>10</v>
      </c>
      <c r="I36" s="11" t="s">
        <v>374</v>
      </c>
      <c r="J36" s="4" t="str">
        <f t="shared" si="2"/>
        <v>Tetap</v>
      </c>
      <c r="K36" s="4" t="s">
        <v>21</v>
      </c>
      <c r="L36" s="6">
        <v>100000</v>
      </c>
      <c r="M36" s="6">
        <v>100000</v>
      </c>
      <c r="N36" s="6"/>
      <c r="O36" s="6">
        <v>20000</v>
      </c>
      <c r="P36" s="14"/>
      <c r="Q36" s="6">
        <f>O36+P36</f>
        <v>20000</v>
      </c>
      <c r="R36" s="13" t="s">
        <v>24</v>
      </c>
    </row>
    <row r="37" spans="2:18" ht="17" x14ac:dyDescent="0.2">
      <c r="B37">
        <v>35</v>
      </c>
      <c r="C37" s="12" t="s">
        <v>20</v>
      </c>
      <c r="D37" s="11" t="e">
        <f>VLOOKUP(E37,[1]Mei!$E$6:$F$173,2,0)</f>
        <v>#N/A</v>
      </c>
      <c r="E37" s="7" t="s">
        <v>19</v>
      </c>
      <c r="F37" s="8" t="s">
        <v>581</v>
      </c>
      <c r="G37" s="8"/>
      <c r="H37" s="3" t="s">
        <v>10</v>
      </c>
      <c r="I37" s="12" t="s">
        <v>20</v>
      </c>
      <c r="J37" s="4" t="str">
        <f t="shared" si="2"/>
        <v>Tetap</v>
      </c>
      <c r="K37" s="9" t="s">
        <v>21</v>
      </c>
      <c r="L37" s="10">
        <f>25000+25000+50000</f>
        <v>100000</v>
      </c>
      <c r="M37" s="10">
        <f>25000+25000+100000</f>
        <v>150000</v>
      </c>
      <c r="N37" s="10">
        <v>200</v>
      </c>
      <c r="O37" s="10">
        <v>5000</v>
      </c>
      <c r="P37" s="100"/>
      <c r="Q37" s="10">
        <v>5000</v>
      </c>
      <c r="R37" s="13" t="s">
        <v>24</v>
      </c>
    </row>
    <row r="38" spans="2:18" ht="17" x14ac:dyDescent="0.2">
      <c r="B38">
        <v>36</v>
      </c>
      <c r="C38" s="19" t="s">
        <v>91</v>
      </c>
      <c r="D38" s="11" t="str">
        <f>VLOOKUP(E38,[1]Mei!$E$6:$F$173,2,0)</f>
        <v>00363</v>
      </c>
      <c r="E38" s="2" t="s">
        <v>90</v>
      </c>
      <c r="F38" s="3" t="s">
        <v>9</v>
      </c>
      <c r="G38" s="3"/>
      <c r="H38" s="3" t="s">
        <v>10</v>
      </c>
      <c r="I38" s="19" t="s">
        <v>91</v>
      </c>
      <c r="J38" s="4" t="str">
        <f t="shared" si="2"/>
        <v>Tetap</v>
      </c>
      <c r="K38" s="4" t="s">
        <v>61</v>
      </c>
      <c r="L38" s="6">
        <v>150000</v>
      </c>
      <c r="M38" s="6">
        <v>10000</v>
      </c>
      <c r="N38" s="6">
        <v>200</v>
      </c>
      <c r="O38" s="6">
        <v>5000</v>
      </c>
      <c r="P38" s="14"/>
      <c r="Q38" s="6"/>
      <c r="R38" s="13" t="s">
        <v>24</v>
      </c>
    </row>
    <row r="39" spans="2:18" ht="17" x14ac:dyDescent="0.2">
      <c r="B39">
        <v>37</v>
      </c>
      <c r="C39" s="19" t="s">
        <v>93</v>
      </c>
      <c r="D39" s="11" t="str">
        <f>VLOOKUP(E39,[1]Mei!$E$6:$F$173,2,0)</f>
        <v>00396</v>
      </c>
      <c r="E39" s="2" t="s">
        <v>92</v>
      </c>
      <c r="F39" s="3" t="s">
        <v>9</v>
      </c>
      <c r="G39" s="3"/>
      <c r="H39" s="3" t="s">
        <v>10</v>
      </c>
      <c r="I39" s="19" t="s">
        <v>93</v>
      </c>
      <c r="J39" s="4" t="str">
        <f t="shared" si="2"/>
        <v>Tetap</v>
      </c>
      <c r="K39" s="4" t="s">
        <v>33</v>
      </c>
      <c r="L39" s="6">
        <v>150000</v>
      </c>
      <c r="M39" s="6">
        <v>200000</v>
      </c>
      <c r="N39" s="6">
        <v>200</v>
      </c>
      <c r="O39" s="6">
        <v>5000</v>
      </c>
      <c r="P39" s="14"/>
      <c r="Q39" s="6"/>
      <c r="R39" s="13" t="s">
        <v>24</v>
      </c>
    </row>
    <row r="40" spans="2:18" ht="17" x14ac:dyDescent="0.2">
      <c r="B40">
        <v>38</v>
      </c>
      <c r="C40" s="19" t="s">
        <v>95</v>
      </c>
      <c r="D40" s="11" t="str">
        <f>VLOOKUP(E40,[1]Mei!$E$6:$F$173,2,0)</f>
        <v>00387</v>
      </c>
      <c r="E40" s="2" t="s">
        <v>94</v>
      </c>
      <c r="F40" s="3" t="s">
        <v>9</v>
      </c>
      <c r="G40" s="3"/>
      <c r="H40" s="3" t="s">
        <v>10</v>
      </c>
      <c r="I40" s="19" t="s">
        <v>95</v>
      </c>
      <c r="J40" s="4" t="str">
        <f t="shared" si="2"/>
        <v>Tetap</v>
      </c>
      <c r="K40" s="4" t="s">
        <v>33</v>
      </c>
      <c r="L40" s="6">
        <v>100000</v>
      </c>
      <c r="M40" s="6">
        <v>10000</v>
      </c>
      <c r="N40" s="6">
        <v>200</v>
      </c>
      <c r="O40" s="6">
        <v>5000</v>
      </c>
      <c r="P40" s="14"/>
      <c r="Q40" s="6"/>
      <c r="R40" s="13" t="s">
        <v>24</v>
      </c>
    </row>
    <row r="41" spans="2:18" ht="17" x14ac:dyDescent="0.2">
      <c r="B41">
        <v>39</v>
      </c>
      <c r="C41" s="19" t="s">
        <v>97</v>
      </c>
      <c r="D41" s="11" t="str">
        <f>VLOOKUP(E41,[1]Mei!$E$6:$F$173,2,0)</f>
        <v>00508</v>
      </c>
      <c r="E41" s="2" t="s">
        <v>96</v>
      </c>
      <c r="F41" s="3" t="s">
        <v>9</v>
      </c>
      <c r="G41" s="3"/>
      <c r="H41" s="3" t="s">
        <v>10</v>
      </c>
      <c r="I41" s="19" t="s">
        <v>97</v>
      </c>
      <c r="J41" s="4" t="str">
        <f t="shared" si="2"/>
        <v>Tetap</v>
      </c>
      <c r="K41" s="4" t="s">
        <v>21</v>
      </c>
      <c r="L41" s="6">
        <v>100000</v>
      </c>
      <c r="M41" s="6">
        <v>50000</v>
      </c>
      <c r="N41" s="6">
        <v>200</v>
      </c>
      <c r="O41" s="6">
        <v>5000</v>
      </c>
      <c r="P41" s="14"/>
      <c r="Q41" s="6"/>
      <c r="R41" s="13" t="s">
        <v>24</v>
      </c>
    </row>
    <row r="42" spans="2:18" ht="17" x14ac:dyDescent="0.2">
      <c r="B42">
        <v>40</v>
      </c>
      <c r="C42" s="11" t="s">
        <v>98</v>
      </c>
      <c r="D42" s="11" t="str">
        <f>VLOOKUP(E42,[1]Mei!$E$6:$F$173,2,0)</f>
        <v>00351</v>
      </c>
      <c r="E42" s="2" t="s">
        <v>480</v>
      </c>
      <c r="F42" s="3" t="s">
        <v>9</v>
      </c>
      <c r="G42" s="3"/>
      <c r="H42" s="3" t="s">
        <v>49</v>
      </c>
      <c r="I42" s="11" t="s">
        <v>98</v>
      </c>
      <c r="J42" s="4" t="str">
        <f t="shared" si="2"/>
        <v>Tetap</v>
      </c>
      <c r="K42" s="4" t="s">
        <v>45</v>
      </c>
      <c r="L42" s="6">
        <v>100000</v>
      </c>
      <c r="M42" s="6">
        <v>100000</v>
      </c>
      <c r="N42" s="6">
        <v>200</v>
      </c>
      <c r="O42" s="6">
        <v>5000</v>
      </c>
      <c r="P42" s="14"/>
      <c r="Q42" s="6"/>
      <c r="R42" s="13" t="s">
        <v>24</v>
      </c>
    </row>
    <row r="43" spans="2:18" ht="17" x14ac:dyDescent="0.2">
      <c r="B43">
        <v>41</v>
      </c>
      <c r="C43" s="4" t="s">
        <v>100</v>
      </c>
      <c r="D43" s="11" t="e">
        <f>VLOOKUP(E43,[1]Mei!$E$6:$F$173,2,0)</f>
        <v>#N/A</v>
      </c>
      <c r="E43" s="2" t="s">
        <v>99</v>
      </c>
      <c r="F43" s="3" t="s">
        <v>614</v>
      </c>
      <c r="G43" s="3"/>
      <c r="H43" s="3" t="s">
        <v>10</v>
      </c>
      <c r="I43" s="4" t="s">
        <v>100</v>
      </c>
      <c r="J43" s="4" t="str">
        <f t="shared" si="2"/>
        <v>Tetap</v>
      </c>
      <c r="K43" s="4" t="s">
        <v>30</v>
      </c>
      <c r="L43" s="6">
        <v>150000</v>
      </c>
      <c r="M43" s="6">
        <v>25000</v>
      </c>
      <c r="N43" s="6">
        <v>200</v>
      </c>
      <c r="O43" s="6">
        <v>5000</v>
      </c>
      <c r="P43" s="14"/>
      <c r="Q43" s="6"/>
      <c r="R43" s="13" t="s">
        <v>24</v>
      </c>
    </row>
    <row r="44" spans="2:18" ht="17" x14ac:dyDescent="0.2">
      <c r="B44">
        <v>42</v>
      </c>
      <c r="C44" s="4" t="s">
        <v>101</v>
      </c>
      <c r="D44" s="11" t="str">
        <f>VLOOKUP(E44,[1]Mei!$E$6:$F$173,2,0)</f>
        <v>00281</v>
      </c>
      <c r="E44" s="2" t="s">
        <v>486</v>
      </c>
      <c r="F44" s="3" t="s">
        <v>9</v>
      </c>
      <c r="G44" s="3"/>
      <c r="H44" s="3" t="s">
        <v>10</v>
      </c>
      <c r="I44" s="4" t="s">
        <v>101</v>
      </c>
      <c r="J44" s="4" t="str">
        <f t="shared" si="2"/>
        <v>Tetap</v>
      </c>
      <c r="K44" s="4" t="s">
        <v>30</v>
      </c>
      <c r="L44" s="6">
        <v>100000</v>
      </c>
      <c r="M44" s="6">
        <v>150000</v>
      </c>
      <c r="N44" s="6">
        <v>200</v>
      </c>
      <c r="O44" s="6">
        <v>5000</v>
      </c>
      <c r="P44" s="14"/>
      <c r="Q44" s="6"/>
      <c r="R44" s="13" t="s">
        <v>24</v>
      </c>
    </row>
    <row r="45" spans="2:18" ht="17" x14ac:dyDescent="0.2">
      <c r="B45">
        <v>43</v>
      </c>
      <c r="C45" s="4" t="s">
        <v>101</v>
      </c>
      <c r="D45" s="11" t="e">
        <f>VLOOKUP(E45,[1]Mei!$E$6:$F$173,2,0)</f>
        <v>#N/A</v>
      </c>
      <c r="E45" s="2" t="s">
        <v>487</v>
      </c>
      <c r="F45" s="3" t="s">
        <v>614</v>
      </c>
      <c r="G45" s="3"/>
      <c r="H45" s="3" t="s">
        <v>10</v>
      </c>
      <c r="I45" s="4" t="s">
        <v>101</v>
      </c>
      <c r="J45" s="4" t="str">
        <f t="shared" si="2"/>
        <v>Tetap</v>
      </c>
      <c r="K45" s="4" t="s">
        <v>30</v>
      </c>
      <c r="L45" s="6">
        <v>100000</v>
      </c>
      <c r="M45" s="6">
        <v>50000</v>
      </c>
      <c r="N45" s="6"/>
      <c r="O45" s="6">
        <v>5000</v>
      </c>
      <c r="P45" s="14"/>
      <c r="Q45" s="6"/>
      <c r="R45" s="13" t="s">
        <v>24</v>
      </c>
    </row>
    <row r="46" spans="2:18" ht="17" x14ac:dyDescent="0.2">
      <c r="B46">
        <v>44</v>
      </c>
      <c r="C46" s="4" t="s">
        <v>102</v>
      </c>
      <c r="D46" s="11" t="str">
        <f>VLOOKUP(E46,[1]Mei!$E$6:$F$173,2,0)</f>
        <v>00368</v>
      </c>
      <c r="E46" s="2" t="s">
        <v>483</v>
      </c>
      <c r="F46" s="3" t="s">
        <v>9</v>
      </c>
      <c r="G46" s="3"/>
      <c r="H46" s="3" t="s">
        <v>10</v>
      </c>
      <c r="I46" s="4" t="s">
        <v>102</v>
      </c>
      <c r="J46" s="4" t="str">
        <f t="shared" si="2"/>
        <v>Tetap</v>
      </c>
      <c r="K46" s="4" t="s">
        <v>45</v>
      </c>
      <c r="L46" s="6">
        <v>100000</v>
      </c>
      <c r="M46" s="6">
        <v>100000</v>
      </c>
      <c r="N46" s="6">
        <v>200</v>
      </c>
      <c r="O46" s="6">
        <v>5000</v>
      </c>
      <c r="P46" s="14"/>
      <c r="Q46" s="6"/>
      <c r="R46" s="13" t="s">
        <v>24</v>
      </c>
    </row>
    <row r="47" spans="2:18" ht="17" x14ac:dyDescent="0.2">
      <c r="B47">
        <v>45</v>
      </c>
      <c r="C47" s="19" t="s">
        <v>104</v>
      </c>
      <c r="D47" s="11" t="str">
        <f>VLOOKUP(E47,[1]Mei!$E$6:$F$173,2,0)</f>
        <v>00401</v>
      </c>
      <c r="E47" s="2" t="s">
        <v>103</v>
      </c>
      <c r="F47" s="3" t="s">
        <v>9</v>
      </c>
      <c r="G47" s="3"/>
      <c r="H47" s="3" t="s">
        <v>10</v>
      </c>
      <c r="I47" s="19" t="s">
        <v>104</v>
      </c>
      <c r="J47" s="4" t="str">
        <f t="shared" si="2"/>
        <v>Tetap</v>
      </c>
      <c r="K47" s="4" t="s">
        <v>33</v>
      </c>
      <c r="L47" s="6">
        <v>150000</v>
      </c>
      <c r="M47" s="6">
        <v>175000</v>
      </c>
      <c r="N47" s="6">
        <v>200</v>
      </c>
      <c r="O47" s="6">
        <v>5000</v>
      </c>
      <c r="P47" s="14"/>
      <c r="Q47" s="6"/>
      <c r="R47" s="13" t="s">
        <v>24</v>
      </c>
    </row>
    <row r="48" spans="2:18" ht="17" x14ac:dyDescent="0.2">
      <c r="B48">
        <v>46</v>
      </c>
      <c r="C48" s="22" t="s">
        <v>106</v>
      </c>
      <c r="D48" s="11" t="str">
        <f>VLOOKUP(E48,[1]Mei!$E$6:$F$173,2,0)</f>
        <v>00551</v>
      </c>
      <c r="E48" s="2" t="s">
        <v>105</v>
      </c>
      <c r="F48" s="3" t="s">
        <v>9</v>
      </c>
      <c r="G48" s="3"/>
      <c r="H48" s="3" t="s">
        <v>10</v>
      </c>
      <c r="I48" s="22" t="s">
        <v>106</v>
      </c>
      <c r="J48" s="4" t="str">
        <f t="shared" si="2"/>
        <v>Tetap</v>
      </c>
      <c r="K48" s="4" t="s">
        <v>30</v>
      </c>
      <c r="L48" s="6">
        <v>100000</v>
      </c>
      <c r="M48" s="6">
        <v>50000</v>
      </c>
      <c r="N48" s="6">
        <v>0</v>
      </c>
      <c r="O48" s="6">
        <v>150000</v>
      </c>
      <c r="P48" s="14"/>
      <c r="Q48" s="6">
        <v>650000</v>
      </c>
      <c r="R48" s="13" t="s">
        <v>24</v>
      </c>
    </row>
    <row r="49" spans="2:19" ht="17" x14ac:dyDescent="0.2">
      <c r="B49">
        <v>47</v>
      </c>
      <c r="C49" s="19" t="s">
        <v>108</v>
      </c>
      <c r="D49" s="11" t="str">
        <f>VLOOKUP(E49,[1]Mei!$E$6:$F$173,2,0)</f>
        <v>00521</v>
      </c>
      <c r="E49" s="2" t="s">
        <v>107</v>
      </c>
      <c r="F49" s="3" t="s">
        <v>9</v>
      </c>
      <c r="G49" s="3"/>
      <c r="H49" s="3" t="s">
        <v>10</v>
      </c>
      <c r="I49" s="19" t="s">
        <v>108</v>
      </c>
      <c r="J49" s="4" t="str">
        <f t="shared" si="2"/>
        <v>Tetap</v>
      </c>
      <c r="K49" s="4" t="s">
        <v>26</v>
      </c>
      <c r="L49" s="6">
        <v>100000</v>
      </c>
      <c r="M49" s="6">
        <v>200000</v>
      </c>
      <c r="N49" s="6">
        <v>0</v>
      </c>
      <c r="O49" s="6">
        <v>20000</v>
      </c>
      <c r="P49" s="14"/>
      <c r="Q49" s="6"/>
      <c r="R49" s="13" t="s">
        <v>24</v>
      </c>
    </row>
    <row r="50" spans="2:19" ht="17" x14ac:dyDescent="0.2">
      <c r="B50">
        <v>48</v>
      </c>
      <c r="C50" s="11" t="s">
        <v>375</v>
      </c>
      <c r="D50" s="11" t="str">
        <f>VLOOKUP(E50,[1]Mei!$E$6:$F$173,2,0)</f>
        <v>00557</v>
      </c>
      <c r="E50" s="2" t="s">
        <v>109</v>
      </c>
      <c r="F50" s="3" t="s">
        <v>9</v>
      </c>
      <c r="G50" s="3"/>
      <c r="H50" s="3" t="s">
        <v>10</v>
      </c>
      <c r="I50" s="11" t="s">
        <v>375</v>
      </c>
      <c r="J50" s="4" t="str">
        <f t="shared" si="2"/>
        <v>Tetap</v>
      </c>
      <c r="K50" s="4" t="s">
        <v>12</v>
      </c>
      <c r="L50" s="6">
        <v>150000</v>
      </c>
      <c r="M50" s="6">
        <v>25000</v>
      </c>
      <c r="N50" s="6">
        <v>0</v>
      </c>
      <c r="O50" s="6">
        <v>50000</v>
      </c>
      <c r="P50" s="6"/>
      <c r="Q50" s="6">
        <v>50000</v>
      </c>
      <c r="R50" s="13" t="s">
        <v>24</v>
      </c>
    </row>
    <row r="51" spans="2:19" ht="17" x14ac:dyDescent="0.2">
      <c r="B51">
        <v>49</v>
      </c>
      <c r="C51" s="11" t="s">
        <v>376</v>
      </c>
      <c r="D51" s="11" t="str">
        <f>VLOOKUP(E51,[1]Mei!$E$6:$F$173,2,0)</f>
        <v>00580</v>
      </c>
      <c r="E51" s="2" t="s">
        <v>110</v>
      </c>
      <c r="F51" s="3" t="s">
        <v>9</v>
      </c>
      <c r="G51" s="3"/>
      <c r="H51" s="3" t="s">
        <v>10</v>
      </c>
      <c r="I51" s="11" t="s">
        <v>376</v>
      </c>
      <c r="J51" s="4" t="str">
        <f t="shared" si="2"/>
        <v>Tetap</v>
      </c>
      <c r="K51" s="4" t="s">
        <v>30</v>
      </c>
      <c r="L51" s="58">
        <v>100000</v>
      </c>
      <c r="M51" s="59">
        <v>50000</v>
      </c>
      <c r="N51" s="6"/>
      <c r="O51" s="6">
        <v>50000</v>
      </c>
      <c r="P51" s="6"/>
      <c r="Q51" s="6">
        <v>50000</v>
      </c>
      <c r="R51" s="13" t="s">
        <v>24</v>
      </c>
    </row>
    <row r="52" spans="2:19" s="62" customFormat="1" ht="17" x14ac:dyDescent="0.2">
      <c r="B52">
        <v>50</v>
      </c>
      <c r="C52" s="63" t="s">
        <v>112</v>
      </c>
      <c r="D52" s="11" t="e">
        <f>VLOOKUP(E52,[1]Mei!$E$6:$F$173,2,0)</f>
        <v>#N/A</v>
      </c>
      <c r="E52" s="27" t="s">
        <v>111</v>
      </c>
      <c r="F52" s="23" t="s">
        <v>556</v>
      </c>
      <c r="G52" s="23"/>
      <c r="H52" s="23" t="s">
        <v>10</v>
      </c>
      <c r="I52" s="63" t="s">
        <v>112</v>
      </c>
      <c r="J52" s="24" t="str">
        <f t="shared" si="2"/>
        <v>Tetap</v>
      </c>
      <c r="K52" s="24" t="s">
        <v>33</v>
      </c>
      <c r="L52" s="25">
        <v>100000</v>
      </c>
      <c r="M52" s="25">
        <v>475000</v>
      </c>
      <c r="N52" s="25">
        <v>200</v>
      </c>
      <c r="O52" s="25">
        <v>5000</v>
      </c>
      <c r="P52" s="26"/>
      <c r="Q52" s="25"/>
      <c r="R52" s="64" t="s">
        <v>24</v>
      </c>
      <c r="S52" s="62" t="s">
        <v>488</v>
      </c>
    </row>
    <row r="53" spans="2:19" ht="17" x14ac:dyDescent="0.2">
      <c r="B53">
        <v>51</v>
      </c>
      <c r="C53" s="19" t="s">
        <v>114</v>
      </c>
      <c r="D53" s="11" t="str">
        <f>VLOOKUP(E53,[1]Mei!$E$6:$F$173,2,0)</f>
        <v>00317</v>
      </c>
      <c r="E53" s="2" t="s">
        <v>113</v>
      </c>
      <c r="F53" s="3" t="s">
        <v>9</v>
      </c>
      <c r="G53" s="3"/>
      <c r="H53" s="3" t="s">
        <v>49</v>
      </c>
      <c r="I53" s="19" t="s">
        <v>114</v>
      </c>
      <c r="J53" s="4" t="s">
        <v>11</v>
      </c>
      <c r="K53" s="4" t="s">
        <v>33</v>
      </c>
      <c r="L53" s="6">
        <v>100000</v>
      </c>
      <c r="M53" s="6">
        <v>15000</v>
      </c>
      <c r="N53" s="6">
        <v>200</v>
      </c>
      <c r="O53" s="6">
        <v>5000</v>
      </c>
      <c r="P53" s="14"/>
      <c r="Q53" s="6"/>
      <c r="R53" s="13" t="s">
        <v>24</v>
      </c>
    </row>
    <row r="54" spans="2:19" ht="17" x14ac:dyDescent="0.2">
      <c r="B54">
        <v>52</v>
      </c>
      <c r="C54" s="4" t="s">
        <v>116</v>
      </c>
      <c r="D54" s="11" t="str">
        <f>VLOOKUP(E54,[1]Mei!$E$6:$F$173,2,0)</f>
        <v>00497</v>
      </c>
      <c r="E54" s="2" t="s">
        <v>115</v>
      </c>
      <c r="F54" s="3" t="s">
        <v>9</v>
      </c>
      <c r="G54" s="3"/>
      <c r="H54" s="3" t="s">
        <v>10</v>
      </c>
      <c r="I54" s="4" t="s">
        <v>116</v>
      </c>
      <c r="J54" s="4" t="s">
        <v>11</v>
      </c>
      <c r="K54" s="4" t="s">
        <v>61</v>
      </c>
      <c r="L54" s="6">
        <v>100000</v>
      </c>
      <c r="M54" s="6">
        <v>500000</v>
      </c>
      <c r="N54" s="6">
        <v>200</v>
      </c>
      <c r="O54" s="6">
        <v>5000</v>
      </c>
      <c r="P54" s="14"/>
      <c r="Q54" s="6"/>
      <c r="R54" s="13" t="s">
        <v>24</v>
      </c>
    </row>
    <row r="55" spans="2:19" ht="17" x14ac:dyDescent="0.2">
      <c r="B55">
        <v>53</v>
      </c>
      <c r="C55" s="4" t="s">
        <v>116</v>
      </c>
      <c r="D55" s="11">
        <f>VLOOKUP(E55,[1]Mei!$E$6:$F$173,2,0)</f>
        <v>0</v>
      </c>
      <c r="E55" s="2" t="s">
        <v>117</v>
      </c>
      <c r="F55" s="3" t="s">
        <v>9</v>
      </c>
      <c r="G55" s="3"/>
      <c r="H55" s="3" t="s">
        <v>10</v>
      </c>
      <c r="I55" s="4" t="s">
        <v>116</v>
      </c>
      <c r="J55" s="4" t="s">
        <v>11</v>
      </c>
      <c r="K55" s="4" t="s">
        <v>61</v>
      </c>
      <c r="L55" s="6">
        <v>100000</v>
      </c>
      <c r="M55" s="6">
        <v>100000</v>
      </c>
      <c r="N55" s="6">
        <v>200</v>
      </c>
      <c r="O55" s="6">
        <v>5000</v>
      </c>
      <c r="P55" s="14"/>
      <c r="Q55" s="6"/>
      <c r="R55" s="13" t="s">
        <v>24</v>
      </c>
    </row>
    <row r="56" spans="2:19" ht="17" x14ac:dyDescent="0.2">
      <c r="B56">
        <v>54</v>
      </c>
      <c r="C56" s="11" t="s">
        <v>119</v>
      </c>
      <c r="D56" s="11" t="str">
        <f>VLOOKUP(E56,[1]Mei!$E$6:$F$173,2,0)</f>
        <v>00544</v>
      </c>
      <c r="E56" s="2" t="s">
        <v>118</v>
      </c>
      <c r="F56" s="3" t="s">
        <v>9</v>
      </c>
      <c r="G56" s="3"/>
      <c r="H56" s="3" t="s">
        <v>10</v>
      </c>
      <c r="I56" s="11" t="s">
        <v>119</v>
      </c>
      <c r="J56" s="4" t="s">
        <v>11</v>
      </c>
      <c r="K56" s="4" t="s">
        <v>30</v>
      </c>
      <c r="L56" s="6">
        <v>100000</v>
      </c>
      <c r="M56" s="6">
        <v>50000</v>
      </c>
      <c r="N56" s="6"/>
      <c r="O56" s="6">
        <v>50000</v>
      </c>
      <c r="P56" s="14"/>
      <c r="Q56" s="6">
        <v>550000</v>
      </c>
      <c r="R56" s="13" t="s">
        <v>24</v>
      </c>
    </row>
    <row r="57" spans="2:19" ht="17" x14ac:dyDescent="0.2">
      <c r="B57">
        <v>55</v>
      </c>
      <c r="C57" s="9" t="s">
        <v>29</v>
      </c>
      <c r="D57" s="11" t="e">
        <f>VLOOKUP(E57,[1]Mei!$E$6:$F$173,2,0)</f>
        <v>#N/A</v>
      </c>
      <c r="E57" s="7" t="s">
        <v>28</v>
      </c>
      <c r="F57" s="8" t="s">
        <v>581</v>
      </c>
      <c r="G57" s="8"/>
      <c r="H57" s="3" t="s">
        <v>10</v>
      </c>
      <c r="I57" s="9" t="s">
        <v>29</v>
      </c>
      <c r="J57" s="9" t="str">
        <f>IF(LEFT(I57,2)="00","Tetap","Dilayani")</f>
        <v>Tetap</v>
      </c>
      <c r="K57" s="9" t="s">
        <v>30</v>
      </c>
      <c r="L57" s="10">
        <f>25000+25000+50000</f>
        <v>100000</v>
      </c>
      <c r="M57" s="10">
        <f>7500+2500+40000</f>
        <v>50000</v>
      </c>
      <c r="N57" s="10">
        <v>200</v>
      </c>
      <c r="O57" s="10">
        <v>5000</v>
      </c>
      <c r="P57" s="10"/>
      <c r="Q57" s="10">
        <f>O57+P57</f>
        <v>5000</v>
      </c>
      <c r="R57" s="13" t="s">
        <v>24</v>
      </c>
    </row>
    <row r="58" spans="2:19" ht="17" x14ac:dyDescent="0.2">
      <c r="B58">
        <v>56</v>
      </c>
      <c r="C58" s="19" t="s">
        <v>123</v>
      </c>
      <c r="D58" s="11" t="str">
        <f>VLOOKUP(E58,[1]Mei!$E$6:$F$173,2,0)</f>
        <v>00485</v>
      </c>
      <c r="E58" s="2" t="s">
        <v>122</v>
      </c>
      <c r="F58" s="3" t="s">
        <v>9</v>
      </c>
      <c r="G58" s="3"/>
      <c r="H58" s="3" t="s">
        <v>10</v>
      </c>
      <c r="I58" s="19" t="s">
        <v>123</v>
      </c>
      <c r="J58" s="4" t="s">
        <v>11</v>
      </c>
      <c r="K58" s="4" t="s">
        <v>21</v>
      </c>
      <c r="L58" s="6">
        <v>100000</v>
      </c>
      <c r="M58" s="6">
        <v>500000</v>
      </c>
      <c r="N58" s="6">
        <v>200</v>
      </c>
      <c r="O58" s="6">
        <v>5000</v>
      </c>
      <c r="P58" s="14"/>
      <c r="Q58" s="6">
        <v>505000</v>
      </c>
      <c r="R58" s="13" t="s">
        <v>24</v>
      </c>
    </row>
    <row r="59" spans="2:19" ht="17" x14ac:dyDescent="0.2">
      <c r="B59">
        <v>57</v>
      </c>
      <c r="C59" s="19" t="s">
        <v>32</v>
      </c>
      <c r="D59" s="11" t="e">
        <f>VLOOKUP(E59,[1]Mei!$E$6:$F$173,2,0)</f>
        <v>#N/A</v>
      </c>
      <c r="E59" s="2" t="s">
        <v>31</v>
      </c>
      <c r="F59" s="8" t="s">
        <v>581</v>
      </c>
      <c r="G59" s="3"/>
      <c r="H59" s="3" t="s">
        <v>10</v>
      </c>
      <c r="I59" s="19" t="s">
        <v>32</v>
      </c>
      <c r="J59" s="4" t="str">
        <f>IF(LEFT(I59,2)="00","Tetap","Dilayani")</f>
        <v>Tetap</v>
      </c>
      <c r="K59" s="4" t="s">
        <v>33</v>
      </c>
      <c r="L59" s="6">
        <v>100000</v>
      </c>
      <c r="M59" s="6">
        <v>200000</v>
      </c>
      <c r="N59" s="6">
        <v>200</v>
      </c>
      <c r="O59" s="6">
        <v>5000</v>
      </c>
      <c r="P59" s="106"/>
      <c r="Q59" s="6">
        <v>5000</v>
      </c>
      <c r="R59" s="13" t="s">
        <v>24</v>
      </c>
    </row>
    <row r="60" spans="2:19" ht="17" x14ac:dyDescent="0.2">
      <c r="B60">
        <v>58</v>
      </c>
      <c r="C60" s="19" t="s">
        <v>32</v>
      </c>
      <c r="D60" s="11" t="e">
        <f>VLOOKUP(E60,[1]Mei!$E$6:$F$173,2,0)</f>
        <v>#N/A</v>
      </c>
      <c r="E60" s="2" t="s">
        <v>34</v>
      </c>
      <c r="F60" s="8" t="s">
        <v>581</v>
      </c>
      <c r="G60" s="3"/>
      <c r="H60" s="3" t="s">
        <v>10</v>
      </c>
      <c r="I60" s="19" t="s">
        <v>32</v>
      </c>
      <c r="J60" s="4" t="str">
        <f>IF(LEFT(I60,2)="00","Tetap","Dilayani")</f>
        <v>Tetap</v>
      </c>
      <c r="K60" s="4" t="s">
        <v>33</v>
      </c>
      <c r="L60" s="6">
        <v>100000</v>
      </c>
      <c r="M60" s="6">
        <v>100000</v>
      </c>
      <c r="N60" s="6"/>
      <c r="O60" s="6"/>
      <c r="P60" s="6"/>
      <c r="Q60" s="6">
        <v>0</v>
      </c>
      <c r="R60" s="13" t="s">
        <v>24</v>
      </c>
    </row>
    <row r="61" spans="2:19" ht="17" x14ac:dyDescent="0.2">
      <c r="B61">
        <v>59</v>
      </c>
      <c r="C61" s="19" t="s">
        <v>130</v>
      </c>
      <c r="D61" s="11" t="str">
        <f>VLOOKUP(E61,[1]Mei!$E$6:$F$173,2,0)</f>
        <v>00343</v>
      </c>
      <c r="E61" s="2" t="s">
        <v>129</v>
      </c>
      <c r="F61" s="3" t="s">
        <v>9</v>
      </c>
      <c r="G61" s="3"/>
      <c r="H61" s="3" t="s">
        <v>10</v>
      </c>
      <c r="I61" s="19" t="s">
        <v>130</v>
      </c>
      <c r="J61" s="4" t="s">
        <v>11</v>
      </c>
      <c r="K61" s="4" t="s">
        <v>61</v>
      </c>
      <c r="L61" s="6">
        <v>100000</v>
      </c>
      <c r="M61" s="6">
        <v>150000</v>
      </c>
      <c r="N61" s="6">
        <v>200</v>
      </c>
      <c r="O61" s="6">
        <v>5000</v>
      </c>
      <c r="P61" s="14"/>
      <c r="Q61" s="6"/>
      <c r="R61" s="13" t="s">
        <v>24</v>
      </c>
    </row>
    <row r="62" spans="2:19" ht="17" x14ac:dyDescent="0.2">
      <c r="B62">
        <v>60</v>
      </c>
      <c r="C62" s="4" t="s">
        <v>132</v>
      </c>
      <c r="D62" s="11" t="e">
        <f>VLOOKUP(E62,[1]Mei!$E$6:$F$173,2,0)</f>
        <v>#N/A</v>
      </c>
      <c r="E62" s="2" t="s">
        <v>131</v>
      </c>
      <c r="F62" s="3" t="s">
        <v>556</v>
      </c>
      <c r="G62" s="3"/>
      <c r="H62" s="3" t="s">
        <v>10</v>
      </c>
      <c r="I62" s="4" t="s">
        <v>132</v>
      </c>
      <c r="J62" s="4" t="s">
        <v>11</v>
      </c>
      <c r="K62" s="4" t="s">
        <v>30</v>
      </c>
      <c r="L62" s="6">
        <v>100000</v>
      </c>
      <c r="M62" s="6">
        <v>17500</v>
      </c>
      <c r="N62" s="6">
        <v>200</v>
      </c>
      <c r="O62" s="6">
        <v>5000</v>
      </c>
      <c r="P62" s="14"/>
      <c r="Q62" s="6"/>
      <c r="R62" s="13" t="s">
        <v>24</v>
      </c>
    </row>
    <row r="63" spans="2:19" ht="17" x14ac:dyDescent="0.2">
      <c r="B63">
        <v>61</v>
      </c>
      <c r="C63" s="9" t="s">
        <v>58</v>
      </c>
      <c r="D63" s="11" t="e">
        <f>VLOOKUP(E63,[1]Mei!$E$6:$F$173,2,0)</f>
        <v>#N/A</v>
      </c>
      <c r="E63" s="7" t="s">
        <v>57</v>
      </c>
      <c r="F63" s="8" t="s">
        <v>581</v>
      </c>
      <c r="G63" s="8"/>
      <c r="H63" s="8" t="s">
        <v>10</v>
      </c>
      <c r="I63" s="9" t="s">
        <v>58</v>
      </c>
      <c r="J63" s="9" t="str">
        <f>IF(LEFT(I63,2)="00","Tetap","Dilayani")</f>
        <v>Tetap</v>
      </c>
      <c r="K63" s="9" t="s">
        <v>12</v>
      </c>
      <c r="L63" s="10">
        <v>150000</v>
      </c>
      <c r="M63" s="10">
        <v>10000</v>
      </c>
      <c r="N63" s="10">
        <v>200</v>
      </c>
      <c r="O63" s="10">
        <v>5000</v>
      </c>
      <c r="P63" s="10"/>
      <c r="Q63" s="10">
        <v>5000</v>
      </c>
      <c r="R63" s="13" t="s">
        <v>24</v>
      </c>
    </row>
    <row r="64" spans="2:19" ht="17" x14ac:dyDescent="0.2">
      <c r="B64">
        <v>62</v>
      </c>
      <c r="C64" s="4" t="s">
        <v>136</v>
      </c>
      <c r="D64" s="11" t="str">
        <f>VLOOKUP(E64,[1]Mei!$E$6:$F$173,2,0)</f>
        <v>00293</v>
      </c>
      <c r="E64" s="2" t="s">
        <v>135</v>
      </c>
      <c r="F64" s="3" t="s">
        <v>9</v>
      </c>
      <c r="G64" s="3"/>
      <c r="H64" s="3" t="s">
        <v>10</v>
      </c>
      <c r="I64" s="4" t="s">
        <v>136</v>
      </c>
      <c r="J64" s="4" t="s">
        <v>11</v>
      </c>
      <c r="K64" s="4" t="s">
        <v>45</v>
      </c>
      <c r="L64" s="6">
        <v>100000</v>
      </c>
      <c r="M64" s="6">
        <v>75000</v>
      </c>
      <c r="N64" s="6">
        <v>200</v>
      </c>
      <c r="O64" s="6">
        <v>5000</v>
      </c>
      <c r="P64" s="14"/>
      <c r="Q64" s="6"/>
      <c r="R64" s="13" t="s">
        <v>24</v>
      </c>
    </row>
    <row r="65" spans="2:18" ht="17" x14ac:dyDescent="0.2">
      <c r="B65">
        <v>63</v>
      </c>
      <c r="C65" s="9" t="s">
        <v>144</v>
      </c>
      <c r="D65" s="11" t="e">
        <f>VLOOKUP(E65,[1]Mei!$E$6:$F$173,2,0)</f>
        <v>#N/A</v>
      </c>
      <c r="E65" s="7" t="s">
        <v>143</v>
      </c>
      <c r="F65" s="8" t="s">
        <v>581</v>
      </c>
      <c r="G65" s="8"/>
      <c r="H65" s="8" t="s">
        <v>10</v>
      </c>
      <c r="I65" s="9" t="s">
        <v>144</v>
      </c>
      <c r="J65" s="9" t="s">
        <v>11</v>
      </c>
      <c r="K65" s="9" t="s">
        <v>12</v>
      </c>
      <c r="L65" s="10">
        <v>200000</v>
      </c>
      <c r="M65" s="10">
        <v>500000</v>
      </c>
      <c r="N65" s="10">
        <v>200</v>
      </c>
      <c r="O65" s="10">
        <v>5000</v>
      </c>
      <c r="P65" s="10"/>
      <c r="Q65" s="10">
        <v>5000</v>
      </c>
      <c r="R65" s="13" t="s">
        <v>24</v>
      </c>
    </row>
    <row r="66" spans="2:18" ht="17" x14ac:dyDescent="0.2">
      <c r="B66">
        <v>64</v>
      </c>
      <c r="C66" s="16" t="s">
        <v>506</v>
      </c>
      <c r="D66" s="11" t="e">
        <f>VLOOKUP(E66,[1]Mei!$E$6:$F$173,2,0)</f>
        <v>#N/A</v>
      </c>
      <c r="E66" s="15" t="s">
        <v>179</v>
      </c>
      <c r="F66" s="8" t="s">
        <v>581</v>
      </c>
      <c r="G66" s="8"/>
      <c r="H66" s="8" t="s">
        <v>10</v>
      </c>
      <c r="I66" s="16">
        <v>0</v>
      </c>
      <c r="J66" s="17" t="str">
        <f>IF(LEFT(I66,2)="00","Tetap","Dilayani")</f>
        <v>Dilayani</v>
      </c>
      <c r="K66" s="17"/>
      <c r="L66" s="18">
        <v>150000</v>
      </c>
      <c r="M66" s="18">
        <v>50000</v>
      </c>
      <c r="N66" s="18"/>
      <c r="O66" s="18">
        <v>0</v>
      </c>
      <c r="P66" s="18"/>
      <c r="Q66" s="18">
        <v>50000</v>
      </c>
      <c r="R66" s="13" t="s">
        <v>24</v>
      </c>
    </row>
    <row r="67" spans="2:18" ht="17" x14ac:dyDescent="0.2">
      <c r="B67">
        <v>65</v>
      </c>
      <c r="C67" s="4" t="s">
        <v>142</v>
      </c>
      <c r="D67" s="11" t="e">
        <f>VLOOKUP(E67,[1]Mei!$E$6:$F$173,2,0)</f>
        <v>#N/A</v>
      </c>
      <c r="E67" s="2" t="s">
        <v>141</v>
      </c>
      <c r="F67" s="3" t="s">
        <v>556</v>
      </c>
      <c r="G67" s="3"/>
      <c r="H67" s="3" t="s">
        <v>10</v>
      </c>
      <c r="I67" s="4" t="s">
        <v>142</v>
      </c>
      <c r="J67" s="4" t="s">
        <v>11</v>
      </c>
      <c r="K67" s="4" t="s">
        <v>26</v>
      </c>
      <c r="L67" s="6">
        <v>200000</v>
      </c>
      <c r="M67" s="6">
        <v>20000</v>
      </c>
      <c r="N67" s="6">
        <v>200</v>
      </c>
      <c r="O67" s="6">
        <v>5000</v>
      </c>
      <c r="P67" s="14"/>
      <c r="Q67" s="14">
        <v>0</v>
      </c>
      <c r="R67" s="13" t="s">
        <v>24</v>
      </c>
    </row>
    <row r="68" spans="2:18" ht="17" x14ac:dyDescent="0.2">
      <c r="B68">
        <v>66</v>
      </c>
      <c r="C68" s="21" t="s">
        <v>185</v>
      </c>
      <c r="D68" s="11" t="e">
        <f>VLOOKUP(E68,[1]Mei!$E$6:$F$173,2,0)</f>
        <v>#N/A</v>
      </c>
      <c r="E68" s="7" t="s">
        <v>184</v>
      </c>
      <c r="F68" s="8" t="s">
        <v>581</v>
      </c>
      <c r="G68" s="8"/>
      <c r="H68" s="3" t="s">
        <v>10</v>
      </c>
      <c r="I68" s="21" t="s">
        <v>185</v>
      </c>
      <c r="J68" s="9" t="str">
        <f>IF(LEFT(I68,2)="00","Tetap","Dilayani")</f>
        <v>Tetap</v>
      </c>
      <c r="K68" s="9" t="s">
        <v>33</v>
      </c>
      <c r="L68" s="10">
        <v>100000</v>
      </c>
      <c r="M68" s="10">
        <v>50000</v>
      </c>
      <c r="N68" s="10">
        <v>200</v>
      </c>
      <c r="O68" s="10">
        <v>5000</v>
      </c>
      <c r="P68" s="10"/>
      <c r="Q68" s="10">
        <v>5000</v>
      </c>
      <c r="R68" s="13" t="s">
        <v>24</v>
      </c>
    </row>
    <row r="69" spans="2:18" ht="17" x14ac:dyDescent="0.2">
      <c r="B69">
        <v>67</v>
      </c>
      <c r="C69" s="16" t="s">
        <v>213</v>
      </c>
      <c r="D69" s="11" t="e">
        <f>VLOOKUP(E69,[1]Mei!$E$6:$F$173,2,0)</f>
        <v>#N/A</v>
      </c>
      <c r="E69" s="15" t="s">
        <v>212</v>
      </c>
      <c r="F69" s="8" t="s">
        <v>581</v>
      </c>
      <c r="G69" s="8"/>
      <c r="H69" s="3" t="s">
        <v>190</v>
      </c>
      <c r="I69" s="16" t="s">
        <v>213</v>
      </c>
      <c r="J69" s="17" t="s">
        <v>11</v>
      </c>
      <c r="K69" s="17" t="s">
        <v>193</v>
      </c>
      <c r="L69" s="18">
        <v>150000</v>
      </c>
      <c r="M69" s="18">
        <v>50000</v>
      </c>
      <c r="N69" s="18">
        <v>200</v>
      </c>
      <c r="O69" s="18">
        <v>5000</v>
      </c>
      <c r="P69" s="18"/>
      <c r="Q69" s="18">
        <v>5000</v>
      </c>
      <c r="R69" s="13" t="s">
        <v>24</v>
      </c>
    </row>
    <row r="70" spans="2:18" ht="17" x14ac:dyDescent="0.2">
      <c r="B70">
        <v>68</v>
      </c>
      <c r="C70" s="19" t="s">
        <v>148</v>
      </c>
      <c r="D70" s="11" t="str">
        <f>VLOOKUP(E70,[1]Mei!$E$6:$F$173,2,0)</f>
        <v>00527</v>
      </c>
      <c r="E70" s="2" t="s">
        <v>147</v>
      </c>
      <c r="F70" s="3" t="s">
        <v>9</v>
      </c>
      <c r="G70" s="3"/>
      <c r="H70" s="3" t="s">
        <v>10</v>
      </c>
      <c r="I70" s="19" t="s">
        <v>148</v>
      </c>
      <c r="J70" s="4" t="s">
        <v>11</v>
      </c>
      <c r="K70" s="4" t="s">
        <v>61</v>
      </c>
      <c r="L70" s="6">
        <v>100000</v>
      </c>
      <c r="M70" s="6">
        <v>50000</v>
      </c>
      <c r="N70" s="6"/>
      <c r="O70" s="6">
        <v>5000</v>
      </c>
      <c r="P70" s="14"/>
      <c r="Q70" s="6"/>
      <c r="R70" s="13" t="s">
        <v>24</v>
      </c>
    </row>
    <row r="71" spans="2:18" ht="17" x14ac:dyDescent="0.2">
      <c r="B71">
        <v>69</v>
      </c>
      <c r="C71" s="9" t="s">
        <v>222</v>
      </c>
      <c r="D71" s="11" t="e">
        <f>VLOOKUP(E71,[1]Mei!$E$6:$F$173,2,0)</f>
        <v>#N/A</v>
      </c>
      <c r="E71" s="7" t="s">
        <v>520</v>
      </c>
      <c r="F71" s="8" t="s">
        <v>581</v>
      </c>
      <c r="G71" s="8"/>
      <c r="H71" s="8" t="s">
        <v>10</v>
      </c>
      <c r="I71" s="9" t="s">
        <v>222</v>
      </c>
      <c r="J71" s="9" t="s">
        <v>11</v>
      </c>
      <c r="K71" s="9" t="s">
        <v>26</v>
      </c>
      <c r="L71" s="10">
        <v>100000</v>
      </c>
      <c r="M71" s="10">
        <v>400000</v>
      </c>
      <c r="N71" s="10">
        <v>200</v>
      </c>
      <c r="O71" s="10">
        <v>5000</v>
      </c>
      <c r="P71" s="10"/>
      <c r="Q71" s="10">
        <v>5000</v>
      </c>
      <c r="R71" s="13" t="s">
        <v>24</v>
      </c>
    </row>
    <row r="72" spans="2:18" ht="17" x14ac:dyDescent="0.2">
      <c r="B72">
        <v>70</v>
      </c>
      <c r="C72" s="4" t="s">
        <v>152</v>
      </c>
      <c r="D72" s="11" t="str">
        <f>VLOOKUP(E72,[1]Mei!$E$6:$F$173,2,0)</f>
        <v>00362</v>
      </c>
      <c r="E72" s="2" t="s">
        <v>151</v>
      </c>
      <c r="F72" s="3" t="s">
        <v>9</v>
      </c>
      <c r="G72" s="3"/>
      <c r="H72" s="3" t="s">
        <v>10</v>
      </c>
      <c r="I72" s="4" t="s">
        <v>152</v>
      </c>
      <c r="J72" s="4" t="s">
        <v>11</v>
      </c>
      <c r="K72" s="4" t="s">
        <v>73</v>
      </c>
      <c r="L72" s="6">
        <v>100000</v>
      </c>
      <c r="M72" s="6">
        <v>300000</v>
      </c>
      <c r="N72" s="6"/>
      <c r="O72" s="6">
        <v>5000</v>
      </c>
      <c r="P72" s="14"/>
      <c r="Q72" s="6"/>
      <c r="R72" s="13" t="s">
        <v>24</v>
      </c>
    </row>
    <row r="73" spans="2:18" ht="17" x14ac:dyDescent="0.2">
      <c r="B73">
        <v>71</v>
      </c>
      <c r="C73" s="11" t="s">
        <v>154</v>
      </c>
      <c r="D73" s="11" t="str">
        <f>VLOOKUP(E73,[1]Mei!$E$6:$F$173,2,0)</f>
        <v>00548</v>
      </c>
      <c r="E73" s="2" t="s">
        <v>153</v>
      </c>
      <c r="F73" s="3" t="s">
        <v>9</v>
      </c>
      <c r="G73" s="3"/>
      <c r="H73" s="3" t="s">
        <v>10</v>
      </c>
      <c r="I73" s="11" t="s">
        <v>154</v>
      </c>
      <c r="J73" s="4" t="s">
        <v>11</v>
      </c>
      <c r="K73" s="4" t="s">
        <v>33</v>
      </c>
      <c r="L73" s="6">
        <v>100000</v>
      </c>
      <c r="M73" s="6">
        <v>75000</v>
      </c>
      <c r="N73" s="6"/>
      <c r="O73" s="6">
        <v>5000</v>
      </c>
      <c r="P73" s="14"/>
      <c r="Q73" s="6"/>
      <c r="R73" s="13" t="s">
        <v>24</v>
      </c>
    </row>
    <row r="74" spans="2:18" ht="17" x14ac:dyDescent="0.2">
      <c r="B74">
        <v>72</v>
      </c>
      <c r="C74" s="4" t="s">
        <v>156</v>
      </c>
      <c r="D74" s="11" t="str">
        <f>VLOOKUP(E74,[1]Mei!$E$6:$F$173,2,0)</f>
        <v>00499</v>
      </c>
      <c r="E74" s="2" t="s">
        <v>155</v>
      </c>
      <c r="F74" s="3" t="s">
        <v>9</v>
      </c>
      <c r="G74" s="3"/>
      <c r="H74" s="3" t="s">
        <v>10</v>
      </c>
      <c r="I74" s="4" t="s">
        <v>156</v>
      </c>
      <c r="J74" s="4" t="s">
        <v>11</v>
      </c>
      <c r="K74" s="4" t="s">
        <v>26</v>
      </c>
      <c r="L74" s="6">
        <v>100000</v>
      </c>
      <c r="M74" s="6">
        <v>75000</v>
      </c>
      <c r="N74" s="6">
        <v>200</v>
      </c>
      <c r="O74" s="6">
        <v>5000</v>
      </c>
      <c r="P74" s="14"/>
      <c r="Q74" s="6"/>
      <c r="R74" s="13" t="s">
        <v>24</v>
      </c>
    </row>
    <row r="75" spans="2:18" ht="17" x14ac:dyDescent="0.2">
      <c r="B75">
        <v>73</v>
      </c>
      <c r="C75" s="4" t="s">
        <v>541</v>
      </c>
      <c r="D75" s="11" t="str">
        <f>VLOOKUP(E75,[1]Mei!$E$6:$F$173,2,0)</f>
        <v>00633</v>
      </c>
      <c r="E75" s="2" t="s">
        <v>157</v>
      </c>
      <c r="F75" s="3" t="s">
        <v>9</v>
      </c>
      <c r="G75" s="3"/>
      <c r="H75" s="3" t="s">
        <v>10</v>
      </c>
      <c r="I75" s="4" t="s">
        <v>541</v>
      </c>
      <c r="J75" s="4" t="s">
        <v>158</v>
      </c>
      <c r="K75" s="4" t="s">
        <v>26</v>
      </c>
      <c r="L75" s="6">
        <v>100000</v>
      </c>
      <c r="M75" s="6">
        <v>12500</v>
      </c>
      <c r="N75" s="6">
        <v>200</v>
      </c>
      <c r="O75" s="6">
        <v>5000</v>
      </c>
      <c r="P75" s="14"/>
      <c r="Q75" s="6"/>
      <c r="R75" s="13" t="s">
        <v>24</v>
      </c>
    </row>
    <row r="76" spans="2:18" ht="17" x14ac:dyDescent="0.2">
      <c r="B76">
        <v>74</v>
      </c>
      <c r="C76" s="4" t="s">
        <v>542</v>
      </c>
      <c r="D76" s="11" t="e">
        <f>VLOOKUP(E76,[1]Mei!$E$6:$F$173,2,0)</f>
        <v>#N/A</v>
      </c>
      <c r="E76" s="2" t="s">
        <v>159</v>
      </c>
      <c r="F76" s="3" t="s">
        <v>614</v>
      </c>
      <c r="G76" s="3"/>
      <c r="H76" s="3" t="s">
        <v>10</v>
      </c>
      <c r="I76" s="4" t="s">
        <v>542</v>
      </c>
      <c r="J76" s="4" t="s">
        <v>11</v>
      </c>
      <c r="K76" s="4" t="s">
        <v>45</v>
      </c>
      <c r="L76" s="6">
        <f>50000+50000</f>
        <v>100000</v>
      </c>
      <c r="M76" s="6">
        <f>25000+25000</f>
        <v>50000</v>
      </c>
      <c r="N76" s="6"/>
      <c r="O76" s="6">
        <v>20000</v>
      </c>
      <c r="P76" s="14"/>
      <c r="Q76" s="6">
        <f>O76+P76</f>
        <v>20000</v>
      </c>
      <c r="R76" s="13" t="s">
        <v>24</v>
      </c>
    </row>
    <row r="77" spans="2:18" ht="17" x14ac:dyDescent="0.2">
      <c r="B77">
        <v>75</v>
      </c>
      <c r="C77" s="19" t="s">
        <v>161</v>
      </c>
      <c r="D77" s="11" t="str">
        <f>VLOOKUP(E77,[1]Mei!$E$6:$F$173,2,0)</f>
        <v>00642</v>
      </c>
      <c r="E77" s="2" t="s">
        <v>160</v>
      </c>
      <c r="F77" s="3" t="s">
        <v>9</v>
      </c>
      <c r="G77" s="3"/>
      <c r="H77" s="3" t="s">
        <v>10</v>
      </c>
      <c r="I77" s="19" t="s">
        <v>161</v>
      </c>
      <c r="J77" s="4" t="str">
        <f>IF(LEFT(I77,2)="00","Tetap","Dilayani")</f>
        <v>Dilayani</v>
      </c>
      <c r="K77" s="4" t="s">
        <v>26</v>
      </c>
      <c r="L77" s="6">
        <f>25000+25000+50000</f>
        <v>100000</v>
      </c>
      <c r="M77" s="6">
        <f>10000+15000+50000</f>
        <v>75000</v>
      </c>
      <c r="N77" s="6"/>
      <c r="O77" s="6">
        <v>5000</v>
      </c>
      <c r="P77" s="14"/>
      <c r="Q77" s="6">
        <f>O77+P77</f>
        <v>5000</v>
      </c>
      <c r="R77" s="13" t="s">
        <v>24</v>
      </c>
    </row>
    <row r="78" spans="2:18" ht="17" x14ac:dyDescent="0.2">
      <c r="B78">
        <v>76</v>
      </c>
      <c r="C78" s="4" t="s">
        <v>238</v>
      </c>
      <c r="D78" s="11" t="e">
        <f>VLOOKUP(E78,[1]Mei!$E$6:$F$173,2,0)</f>
        <v>#N/A</v>
      </c>
      <c r="E78" s="2" t="s">
        <v>237</v>
      </c>
      <c r="F78" s="8" t="s">
        <v>581</v>
      </c>
      <c r="G78" s="3"/>
      <c r="H78" s="51" t="s">
        <v>473</v>
      </c>
      <c r="I78" s="4" t="s">
        <v>238</v>
      </c>
      <c r="J78" s="4" t="s">
        <v>11</v>
      </c>
      <c r="K78" s="4" t="s">
        <v>26</v>
      </c>
      <c r="L78" s="6">
        <v>100000</v>
      </c>
      <c r="M78" s="6">
        <v>75000</v>
      </c>
      <c r="N78" s="6">
        <v>200</v>
      </c>
      <c r="O78" s="6">
        <v>5000</v>
      </c>
      <c r="P78" s="6"/>
      <c r="Q78" s="6">
        <v>5000</v>
      </c>
      <c r="R78" s="13" t="s">
        <v>24</v>
      </c>
    </row>
    <row r="79" spans="2:18" ht="17" x14ac:dyDescent="0.2">
      <c r="B79">
        <v>77</v>
      </c>
      <c r="C79" s="19" t="s">
        <v>261</v>
      </c>
      <c r="D79" s="11" t="e">
        <f>VLOOKUP(E79,[1]Mei!$E$6:$F$173,2,0)</f>
        <v>#N/A</v>
      </c>
      <c r="E79" s="2" t="s">
        <v>260</v>
      </c>
      <c r="F79" s="8" t="s">
        <v>581</v>
      </c>
      <c r="G79" s="3"/>
      <c r="H79" s="3" t="s">
        <v>190</v>
      </c>
      <c r="I79" s="19" t="s">
        <v>261</v>
      </c>
      <c r="J79" s="4" t="s">
        <v>158</v>
      </c>
      <c r="K79" s="4" t="s">
        <v>193</v>
      </c>
      <c r="L79" s="6">
        <v>100000</v>
      </c>
      <c r="M79" s="6">
        <v>50000</v>
      </c>
      <c r="N79" s="6"/>
      <c r="O79" s="6">
        <v>5000</v>
      </c>
      <c r="P79" s="6"/>
      <c r="Q79" s="6">
        <v>5000</v>
      </c>
      <c r="R79" s="13" t="s">
        <v>24</v>
      </c>
    </row>
    <row r="80" spans="2:18" ht="17" x14ac:dyDescent="0.2">
      <c r="B80">
        <v>78</v>
      </c>
      <c r="C80" s="21" t="s">
        <v>265</v>
      </c>
      <c r="D80" s="11" t="e">
        <f>VLOOKUP(E80,[1]Mei!$E$6:$F$173,2,0)</f>
        <v>#N/A</v>
      </c>
      <c r="E80" s="7" t="s">
        <v>264</v>
      </c>
      <c r="F80" s="8" t="s">
        <v>581</v>
      </c>
      <c r="G80" s="8"/>
      <c r="H80" s="3" t="s">
        <v>190</v>
      </c>
      <c r="I80" s="21" t="s">
        <v>265</v>
      </c>
      <c r="J80" s="9" t="str">
        <f t="shared" ref="J80:J101" si="3">IF(LEFT(I80,2)="00","Tetap","Dilayani")</f>
        <v>Dilayani</v>
      </c>
      <c r="K80" s="9" t="s">
        <v>193</v>
      </c>
      <c r="L80" s="10">
        <f>50000+50000</f>
        <v>100000</v>
      </c>
      <c r="M80" s="10">
        <v>50000</v>
      </c>
      <c r="N80" s="10"/>
      <c r="O80" s="10">
        <v>20000</v>
      </c>
      <c r="P80" s="10"/>
      <c r="Q80" s="10">
        <f t="shared" ref="Q80:Q86" si="4">O80+P80</f>
        <v>20000</v>
      </c>
      <c r="R80" s="13" t="s">
        <v>24</v>
      </c>
    </row>
    <row r="81" spans="2:18" ht="17" x14ac:dyDescent="0.2">
      <c r="B81">
        <v>79</v>
      </c>
      <c r="C81" s="19" t="s">
        <v>170</v>
      </c>
      <c r="D81" s="11" t="str">
        <f>VLOOKUP(E81,[1]Mei!$E$6:$F$173,2,0)</f>
        <v>K637</v>
      </c>
      <c r="E81" s="2" t="s">
        <v>169</v>
      </c>
      <c r="F81" s="3" t="s">
        <v>9</v>
      </c>
      <c r="G81" s="3"/>
      <c r="H81" s="3" t="s">
        <v>10</v>
      </c>
      <c r="I81" s="19" t="s">
        <v>170</v>
      </c>
      <c r="J81" s="4" t="str">
        <f t="shared" si="3"/>
        <v>Dilayani</v>
      </c>
      <c r="K81" s="4" t="s">
        <v>126</v>
      </c>
      <c r="L81" s="6">
        <f>50000+50000</f>
        <v>100000</v>
      </c>
      <c r="M81" s="6">
        <f>50000+50000</f>
        <v>100000</v>
      </c>
      <c r="N81" s="6"/>
      <c r="O81" s="6">
        <v>20000</v>
      </c>
      <c r="P81" s="14"/>
      <c r="Q81" s="6">
        <f t="shared" si="4"/>
        <v>20000</v>
      </c>
      <c r="R81" s="13" t="s">
        <v>24</v>
      </c>
    </row>
    <row r="82" spans="2:18" ht="17" x14ac:dyDescent="0.2">
      <c r="B82">
        <v>80</v>
      </c>
      <c r="C82" s="11" t="s">
        <v>377</v>
      </c>
      <c r="D82" s="11" t="str">
        <f>VLOOKUP(E82,[1]Mei!$E$6:$F$173,2,0)</f>
        <v>00560</v>
      </c>
      <c r="E82" s="2" t="s">
        <v>171</v>
      </c>
      <c r="F82" s="3" t="s">
        <v>9</v>
      </c>
      <c r="G82" s="3"/>
      <c r="H82" s="3" t="s">
        <v>10</v>
      </c>
      <c r="I82" s="11" t="s">
        <v>377</v>
      </c>
      <c r="J82" s="4" t="str">
        <f t="shared" si="3"/>
        <v>Tetap</v>
      </c>
      <c r="K82" s="4" t="s">
        <v>26</v>
      </c>
      <c r="L82" s="6">
        <f>50000+50000</f>
        <v>100000</v>
      </c>
      <c r="M82" s="6">
        <v>100000</v>
      </c>
      <c r="N82" s="6"/>
      <c r="O82" s="6">
        <v>20000</v>
      </c>
      <c r="P82" s="14"/>
      <c r="Q82" s="6">
        <f t="shared" si="4"/>
        <v>20000</v>
      </c>
      <c r="R82" s="13" t="s">
        <v>24</v>
      </c>
    </row>
    <row r="83" spans="2:18" ht="17" x14ac:dyDescent="0.2">
      <c r="B83">
        <v>81</v>
      </c>
      <c r="C83" s="11" t="s">
        <v>378</v>
      </c>
      <c r="D83" s="11" t="str">
        <f>VLOOKUP(E83,[1]Mei!$E$6:$F$173,2,0)</f>
        <v>00584</v>
      </c>
      <c r="E83" s="2" t="s">
        <v>172</v>
      </c>
      <c r="F83" s="3" t="s">
        <v>9</v>
      </c>
      <c r="G83" s="3"/>
      <c r="H83" s="3" t="s">
        <v>10</v>
      </c>
      <c r="I83" s="11" t="s">
        <v>378</v>
      </c>
      <c r="J83" s="4" t="str">
        <f t="shared" si="3"/>
        <v>Tetap</v>
      </c>
      <c r="K83" s="4" t="s">
        <v>26</v>
      </c>
      <c r="L83" s="6">
        <v>100000</v>
      </c>
      <c r="M83" s="6">
        <v>100000</v>
      </c>
      <c r="N83" s="6"/>
      <c r="O83" s="6">
        <v>20000</v>
      </c>
      <c r="P83" s="14"/>
      <c r="Q83" s="6">
        <f t="shared" si="4"/>
        <v>20000</v>
      </c>
      <c r="R83" s="13" t="s">
        <v>24</v>
      </c>
    </row>
    <row r="84" spans="2:18" ht="17" x14ac:dyDescent="0.2">
      <c r="B84">
        <v>82</v>
      </c>
      <c r="C84" s="11" t="s">
        <v>379</v>
      </c>
      <c r="D84" s="11" t="str">
        <f>VLOOKUP(E84,[1]Mei!$E$6:$F$173,2,0)</f>
        <v>00583</v>
      </c>
      <c r="E84" s="61" t="s">
        <v>173</v>
      </c>
      <c r="F84" s="3" t="s">
        <v>9</v>
      </c>
      <c r="G84" s="3"/>
      <c r="H84" s="3" t="s">
        <v>10</v>
      </c>
      <c r="I84" s="11" t="s">
        <v>379</v>
      </c>
      <c r="J84" s="4" t="str">
        <f t="shared" si="3"/>
        <v>Tetap</v>
      </c>
      <c r="K84" s="4" t="s">
        <v>33</v>
      </c>
      <c r="L84" s="6">
        <v>100000</v>
      </c>
      <c r="M84" s="6">
        <v>100000</v>
      </c>
      <c r="N84" s="6"/>
      <c r="O84" s="6">
        <v>5000</v>
      </c>
      <c r="P84" s="49"/>
      <c r="Q84" s="6">
        <f t="shared" si="4"/>
        <v>5000</v>
      </c>
      <c r="R84" s="13" t="s">
        <v>24</v>
      </c>
    </row>
    <row r="85" spans="2:18" ht="17" x14ac:dyDescent="0.2">
      <c r="B85">
        <v>83</v>
      </c>
      <c r="C85" s="11" t="s">
        <v>380</v>
      </c>
      <c r="D85" s="11" t="str">
        <f>VLOOKUP(E85,[1]Mei!$E$6:$F$173,2,0)</f>
        <v>00556</v>
      </c>
      <c r="E85" s="2" t="s">
        <v>174</v>
      </c>
      <c r="F85" s="3" t="s">
        <v>9</v>
      </c>
      <c r="G85" s="3"/>
      <c r="H85" s="3" t="s">
        <v>10</v>
      </c>
      <c r="I85" s="11" t="s">
        <v>380</v>
      </c>
      <c r="J85" s="4" t="str">
        <f t="shared" si="3"/>
        <v>Tetap</v>
      </c>
      <c r="K85" s="4" t="s">
        <v>26</v>
      </c>
      <c r="L85" s="6">
        <f>50000+50000</f>
        <v>100000</v>
      </c>
      <c r="M85" s="6">
        <v>100000</v>
      </c>
      <c r="N85" s="6"/>
      <c r="O85" s="6">
        <v>20000</v>
      </c>
      <c r="P85" s="49"/>
      <c r="Q85" s="6">
        <f t="shared" si="4"/>
        <v>20000</v>
      </c>
      <c r="R85" s="13" t="s">
        <v>24</v>
      </c>
    </row>
    <row r="86" spans="2:18" ht="17" x14ac:dyDescent="0.2">
      <c r="B86">
        <v>84</v>
      </c>
      <c r="C86" s="11" t="s">
        <v>381</v>
      </c>
      <c r="D86" s="11" t="str">
        <f>VLOOKUP(E86,[1]Mei!$E$6:$F$173,2,0)</f>
        <v>00563</v>
      </c>
      <c r="E86" s="2" t="s">
        <v>175</v>
      </c>
      <c r="F86" s="3" t="s">
        <v>9</v>
      </c>
      <c r="G86" s="3"/>
      <c r="H86" s="3" t="s">
        <v>10</v>
      </c>
      <c r="I86" s="11" t="s">
        <v>381</v>
      </c>
      <c r="J86" s="4" t="str">
        <f t="shared" si="3"/>
        <v>Tetap</v>
      </c>
      <c r="K86" s="4" t="s">
        <v>33</v>
      </c>
      <c r="L86" s="6">
        <f>50000+50000</f>
        <v>100000</v>
      </c>
      <c r="M86" s="6">
        <v>150000</v>
      </c>
      <c r="N86" s="6"/>
      <c r="O86" s="6">
        <v>20000</v>
      </c>
      <c r="P86" s="49"/>
      <c r="Q86" s="6">
        <f t="shared" si="4"/>
        <v>20000</v>
      </c>
      <c r="R86" s="13" t="s">
        <v>24</v>
      </c>
    </row>
    <row r="87" spans="2:18" ht="17" x14ac:dyDescent="0.2">
      <c r="B87">
        <v>85</v>
      </c>
      <c r="C87" s="11" t="s">
        <v>382</v>
      </c>
      <c r="D87" s="11" t="str">
        <f>VLOOKUP(E87,[1]Mei!$E$6:$F$173,2,0)</f>
        <v>00568</v>
      </c>
      <c r="E87" s="2" t="s">
        <v>176</v>
      </c>
      <c r="F87" s="3" t="s">
        <v>9</v>
      </c>
      <c r="G87" s="3"/>
      <c r="H87" s="3" t="s">
        <v>10</v>
      </c>
      <c r="I87" s="11" t="s">
        <v>382</v>
      </c>
      <c r="J87" s="4" t="str">
        <f t="shared" si="3"/>
        <v>Tetap</v>
      </c>
      <c r="K87" s="4" t="s">
        <v>33</v>
      </c>
      <c r="L87" s="6">
        <v>100000</v>
      </c>
      <c r="M87" s="6">
        <v>100000</v>
      </c>
      <c r="N87" s="6"/>
      <c r="O87" s="6">
        <v>50000</v>
      </c>
      <c r="P87" s="6"/>
      <c r="Q87" s="6">
        <v>50000</v>
      </c>
      <c r="R87" s="13" t="s">
        <v>24</v>
      </c>
    </row>
    <row r="88" spans="2:18" ht="17" x14ac:dyDescent="0.2">
      <c r="B88">
        <v>86</v>
      </c>
      <c r="C88" s="11" t="s">
        <v>383</v>
      </c>
      <c r="D88" s="11" t="str">
        <f>VLOOKUP(E88,[1]Mei!$E$6:$F$173,2,0)</f>
        <v>00569</v>
      </c>
      <c r="E88" s="2" t="s">
        <v>177</v>
      </c>
      <c r="F88" s="3" t="s">
        <v>9</v>
      </c>
      <c r="G88" s="3"/>
      <c r="H88" s="3" t="s">
        <v>10</v>
      </c>
      <c r="I88" s="11" t="s">
        <v>383</v>
      </c>
      <c r="J88" s="4" t="str">
        <f t="shared" si="3"/>
        <v>Tetap</v>
      </c>
      <c r="K88" s="4" t="s">
        <v>33</v>
      </c>
      <c r="L88" s="6">
        <f>50000+50000</f>
        <v>100000</v>
      </c>
      <c r="M88" s="6">
        <v>150000</v>
      </c>
      <c r="N88" s="6"/>
      <c r="O88" s="6">
        <v>20000</v>
      </c>
      <c r="P88" s="49"/>
      <c r="Q88" s="6">
        <f>O88+P88</f>
        <v>20000</v>
      </c>
      <c r="R88" s="13" t="s">
        <v>24</v>
      </c>
    </row>
    <row r="89" spans="2:18" ht="17" x14ac:dyDescent="0.2">
      <c r="B89">
        <v>87</v>
      </c>
      <c r="C89" s="11" t="s">
        <v>385</v>
      </c>
      <c r="D89" s="11" t="str">
        <f>VLOOKUP(E89,[1]Mei!$E$6:$F$173,2,0)</f>
        <v>00566</v>
      </c>
      <c r="E89" s="2" t="s">
        <v>178</v>
      </c>
      <c r="F89" s="3" t="s">
        <v>9</v>
      </c>
      <c r="G89" s="3"/>
      <c r="H89" s="3" t="s">
        <v>10</v>
      </c>
      <c r="I89" s="11" t="s">
        <v>385</v>
      </c>
      <c r="J89" s="4" t="str">
        <f t="shared" si="3"/>
        <v>Tetap</v>
      </c>
      <c r="K89" s="4" t="s">
        <v>26</v>
      </c>
      <c r="L89" s="6">
        <f>50000+50000</f>
        <v>100000</v>
      </c>
      <c r="M89" s="6">
        <v>150000</v>
      </c>
      <c r="N89" s="6"/>
      <c r="O89" s="6">
        <v>20000</v>
      </c>
      <c r="P89" s="49"/>
      <c r="Q89" s="6">
        <f>O89+P89</f>
        <v>20000</v>
      </c>
      <c r="R89" s="13" t="s">
        <v>24</v>
      </c>
    </row>
    <row r="90" spans="2:18" ht="17" x14ac:dyDescent="0.2">
      <c r="B90">
        <v>88</v>
      </c>
      <c r="C90" s="11" t="s">
        <v>468</v>
      </c>
      <c r="D90" s="11" t="str">
        <f>VLOOKUP(E90,[1]Mei!$E$6:$F$173,2,0)</f>
        <v>00577</v>
      </c>
      <c r="E90" s="2" t="s">
        <v>467</v>
      </c>
      <c r="F90" s="3" t="s">
        <v>9</v>
      </c>
      <c r="G90" s="3"/>
      <c r="H90" s="3" t="s">
        <v>10</v>
      </c>
      <c r="I90" s="11" t="s">
        <v>468</v>
      </c>
      <c r="J90" s="4" t="str">
        <f t="shared" si="3"/>
        <v>Tetap</v>
      </c>
      <c r="K90" s="4" t="s">
        <v>469</v>
      </c>
      <c r="L90" s="6">
        <v>100000</v>
      </c>
      <c r="M90" s="6">
        <v>150000</v>
      </c>
      <c r="N90" s="6"/>
      <c r="O90" s="6">
        <v>50000</v>
      </c>
      <c r="P90" s="49"/>
      <c r="Q90" s="6">
        <v>50000</v>
      </c>
      <c r="R90" s="13" t="s">
        <v>24</v>
      </c>
    </row>
    <row r="91" spans="2:18" ht="17" x14ac:dyDescent="0.2">
      <c r="B91">
        <v>89</v>
      </c>
      <c r="C91" s="21" t="s">
        <v>273</v>
      </c>
      <c r="D91" s="11" t="e">
        <f>VLOOKUP(E91,[1]Mei!$E$6:$F$173,2,0)</f>
        <v>#N/A</v>
      </c>
      <c r="E91" s="7" t="s">
        <v>272</v>
      </c>
      <c r="F91" s="8" t="s">
        <v>581</v>
      </c>
      <c r="G91" s="8"/>
      <c r="H91" s="8" t="s">
        <v>190</v>
      </c>
      <c r="I91" s="21" t="s">
        <v>273</v>
      </c>
      <c r="J91" s="4" t="str">
        <f t="shared" si="3"/>
        <v>Dilayani</v>
      </c>
      <c r="K91" s="9" t="s">
        <v>193</v>
      </c>
      <c r="L91" s="10">
        <f>25000+25000+50000</f>
        <v>100000</v>
      </c>
      <c r="M91" s="10">
        <v>70000</v>
      </c>
      <c r="N91" s="10"/>
      <c r="O91" s="10">
        <v>5000</v>
      </c>
      <c r="P91" s="10"/>
      <c r="Q91" s="10">
        <f>O91+P91</f>
        <v>5000</v>
      </c>
      <c r="R91" s="13" t="s">
        <v>24</v>
      </c>
    </row>
    <row r="92" spans="2:18" ht="17" x14ac:dyDescent="0.2">
      <c r="B92">
        <v>90</v>
      </c>
      <c r="C92" s="11" t="s">
        <v>384</v>
      </c>
      <c r="D92" s="11" t="str">
        <f>VLOOKUP(E92,[1]Mei!$E$6:$F$173,2,0)</f>
        <v>00581</v>
      </c>
      <c r="E92" s="2" t="s">
        <v>180</v>
      </c>
      <c r="F92" s="3" t="s">
        <v>614</v>
      </c>
      <c r="G92" s="3"/>
      <c r="H92" s="3" t="s">
        <v>10</v>
      </c>
      <c r="I92" s="11" t="s">
        <v>384</v>
      </c>
      <c r="J92" s="4" t="str">
        <f t="shared" si="3"/>
        <v>Tetap</v>
      </c>
      <c r="K92" s="4" t="s">
        <v>30</v>
      </c>
      <c r="L92" s="6">
        <v>100000</v>
      </c>
      <c r="M92" s="6">
        <v>200000</v>
      </c>
      <c r="N92" s="6"/>
      <c r="O92" s="6">
        <v>50000</v>
      </c>
      <c r="P92" s="49"/>
      <c r="Q92" s="6">
        <v>50000</v>
      </c>
      <c r="R92" s="13" t="s">
        <v>24</v>
      </c>
    </row>
    <row r="93" spans="2:18" ht="17" x14ac:dyDescent="0.2">
      <c r="B93">
        <v>91</v>
      </c>
      <c r="C93" s="19" t="s">
        <v>286</v>
      </c>
      <c r="D93" s="11" t="e">
        <f>VLOOKUP(E93,[1]Mei!$E$6:$F$173,2,0)</f>
        <v>#N/A</v>
      </c>
      <c r="E93" s="2" t="s">
        <v>285</v>
      </c>
      <c r="F93" s="8" t="s">
        <v>581</v>
      </c>
      <c r="G93" s="3"/>
      <c r="H93" s="3" t="s">
        <v>190</v>
      </c>
      <c r="I93" s="19" t="s">
        <v>286</v>
      </c>
      <c r="J93" s="4" t="str">
        <f t="shared" si="3"/>
        <v>Dilayani</v>
      </c>
      <c r="K93" s="4" t="s">
        <v>193</v>
      </c>
      <c r="L93" s="6">
        <f>25000+25000+50000</f>
        <v>100000</v>
      </c>
      <c r="M93" s="6">
        <v>75000</v>
      </c>
      <c r="N93" s="6">
        <v>0</v>
      </c>
      <c r="O93" s="6">
        <v>5000</v>
      </c>
      <c r="P93" s="6"/>
      <c r="Q93" s="6">
        <f>O93+P93</f>
        <v>5000</v>
      </c>
      <c r="R93" s="13" t="s">
        <v>24</v>
      </c>
    </row>
    <row r="94" spans="2:18" ht="17" x14ac:dyDescent="0.2">
      <c r="B94">
        <v>92</v>
      </c>
      <c r="C94" s="11" t="s">
        <v>387</v>
      </c>
      <c r="D94" s="11" t="str">
        <f>VLOOKUP(E94,[1]Mei!$E$6:$F$173,2,0)</f>
        <v>00565</v>
      </c>
      <c r="E94" s="2" t="s">
        <v>182</v>
      </c>
      <c r="F94" s="3" t="s">
        <v>9</v>
      </c>
      <c r="G94" s="3"/>
      <c r="H94" s="3" t="s">
        <v>10</v>
      </c>
      <c r="I94" s="11" t="s">
        <v>387</v>
      </c>
      <c r="J94" s="4" t="str">
        <f t="shared" si="3"/>
        <v>Tetap</v>
      </c>
      <c r="K94" s="4" t="s">
        <v>26</v>
      </c>
      <c r="L94" s="6">
        <f>50000+50000</f>
        <v>100000</v>
      </c>
      <c r="M94" s="6">
        <f>250000+150000</f>
        <v>400000</v>
      </c>
      <c r="N94" s="6"/>
      <c r="O94" s="6">
        <v>20000</v>
      </c>
      <c r="P94" s="14"/>
      <c r="Q94" s="6">
        <f>O94+P94</f>
        <v>20000</v>
      </c>
      <c r="R94" s="13" t="s">
        <v>24</v>
      </c>
    </row>
    <row r="95" spans="2:18" ht="17" x14ac:dyDescent="0.2">
      <c r="B95">
        <v>93</v>
      </c>
      <c r="C95" s="11" t="s">
        <v>388</v>
      </c>
      <c r="D95" s="11" t="str">
        <f>VLOOKUP(E95,[1]Mei!$E$6:$F$173,2,0)</f>
        <v>00567</v>
      </c>
      <c r="E95" s="2" t="s">
        <v>183</v>
      </c>
      <c r="F95" s="3" t="s">
        <v>9</v>
      </c>
      <c r="G95" s="3"/>
      <c r="H95" s="3" t="s">
        <v>10</v>
      </c>
      <c r="I95" s="11" t="s">
        <v>388</v>
      </c>
      <c r="J95" s="4" t="str">
        <f t="shared" si="3"/>
        <v>Tetap</v>
      </c>
      <c r="K95" s="4" t="s">
        <v>12</v>
      </c>
      <c r="L95" s="6">
        <v>100000</v>
      </c>
      <c r="M95" s="6">
        <v>400000</v>
      </c>
      <c r="N95" s="6"/>
      <c r="O95" s="6">
        <v>50000</v>
      </c>
      <c r="P95" s="6"/>
      <c r="Q95" s="6">
        <v>0</v>
      </c>
      <c r="R95" s="13" t="s">
        <v>24</v>
      </c>
    </row>
    <row r="96" spans="2:18" ht="17" x14ac:dyDescent="0.2">
      <c r="B96">
        <v>94</v>
      </c>
      <c r="C96" s="37" t="s">
        <v>299</v>
      </c>
      <c r="D96" s="11" t="e">
        <f>VLOOKUP(E96,[1]Mei!$E$6:$F$173,2,0)</f>
        <v>#N/A</v>
      </c>
      <c r="E96" s="36" t="s">
        <v>298</v>
      </c>
      <c r="F96" s="54" t="s">
        <v>581</v>
      </c>
      <c r="G96" s="54"/>
      <c r="H96" s="31" t="s">
        <v>190</v>
      </c>
      <c r="I96" s="37" t="s">
        <v>299</v>
      </c>
      <c r="J96" s="33" t="str">
        <f t="shared" si="3"/>
        <v>Dilayani</v>
      </c>
      <c r="K96" s="38" t="s">
        <v>193</v>
      </c>
      <c r="L96" s="39">
        <f>50000+50000</f>
        <v>100000</v>
      </c>
      <c r="M96" s="39">
        <f>50000+50000</f>
        <v>100000</v>
      </c>
      <c r="N96" s="39"/>
      <c r="O96" s="39">
        <v>20000</v>
      </c>
      <c r="P96" s="39"/>
      <c r="Q96" s="39">
        <f>O96+P96</f>
        <v>20000</v>
      </c>
      <c r="R96" s="13" t="s">
        <v>24</v>
      </c>
    </row>
    <row r="97" spans="2:18" ht="17" x14ac:dyDescent="0.2">
      <c r="B97">
        <v>95</v>
      </c>
      <c r="C97" s="11" t="s">
        <v>390</v>
      </c>
      <c r="D97" s="11" t="str">
        <f>VLOOKUP(E97,[1]Mei!$E$6:$F$173,2,0)</f>
        <v>00593</v>
      </c>
      <c r="E97" s="2" t="s">
        <v>389</v>
      </c>
      <c r="F97" s="3" t="s">
        <v>9</v>
      </c>
      <c r="G97" s="3"/>
      <c r="H97" s="3" t="s">
        <v>10</v>
      </c>
      <c r="I97" s="11" t="s">
        <v>390</v>
      </c>
      <c r="J97" s="4" t="str">
        <f t="shared" si="3"/>
        <v>Tetap</v>
      </c>
      <c r="K97" s="4" t="s">
        <v>21</v>
      </c>
      <c r="L97" s="6">
        <v>100000</v>
      </c>
      <c r="M97" s="6">
        <v>250000</v>
      </c>
      <c r="N97" s="6"/>
      <c r="O97" s="6">
        <v>0</v>
      </c>
      <c r="P97" s="6"/>
      <c r="Q97" s="6"/>
      <c r="R97" s="13" t="s">
        <v>24</v>
      </c>
    </row>
    <row r="98" spans="2:18" ht="17" x14ac:dyDescent="0.2">
      <c r="B98">
        <v>96</v>
      </c>
      <c r="C98" s="11" t="s">
        <v>391</v>
      </c>
      <c r="D98" s="11" t="str">
        <f>VLOOKUP(E98,[1]Mei!$E$6:$F$173,2,0)</f>
        <v>00588</v>
      </c>
      <c r="E98" s="2" t="s">
        <v>186</v>
      </c>
      <c r="F98" s="3" t="s">
        <v>9</v>
      </c>
      <c r="G98" s="3"/>
      <c r="H98" s="3" t="s">
        <v>10</v>
      </c>
      <c r="I98" s="11" t="s">
        <v>391</v>
      </c>
      <c r="J98" s="4" t="str">
        <f t="shared" si="3"/>
        <v>Tetap</v>
      </c>
      <c r="K98" s="4" t="s">
        <v>30</v>
      </c>
      <c r="L98" s="6">
        <v>100000</v>
      </c>
      <c r="M98" s="6">
        <v>200000</v>
      </c>
      <c r="N98" s="6"/>
      <c r="O98" s="6">
        <v>50000</v>
      </c>
      <c r="P98" s="6"/>
      <c r="Q98" s="6">
        <v>50000</v>
      </c>
      <c r="R98" s="13" t="s">
        <v>24</v>
      </c>
    </row>
    <row r="99" spans="2:18" ht="17" x14ac:dyDescent="0.2">
      <c r="B99">
        <v>97</v>
      </c>
      <c r="C99" s="11" t="s">
        <v>392</v>
      </c>
      <c r="D99" s="11" t="str">
        <f>VLOOKUP(E99,[1]Mei!$E$6:$F$173,2,0)</f>
        <v>00582</v>
      </c>
      <c r="E99" s="2" t="s">
        <v>187</v>
      </c>
      <c r="F99" s="3" t="s">
        <v>9</v>
      </c>
      <c r="G99" s="3"/>
      <c r="H99" s="3" t="s">
        <v>10</v>
      </c>
      <c r="I99" s="11" t="s">
        <v>392</v>
      </c>
      <c r="J99" s="4" t="str">
        <f t="shared" si="3"/>
        <v>Tetap</v>
      </c>
      <c r="K99" s="4" t="s">
        <v>73</v>
      </c>
      <c r="L99" s="6">
        <v>200000</v>
      </c>
      <c r="M99" s="6">
        <v>250000</v>
      </c>
      <c r="N99" s="6"/>
      <c r="O99" s="6">
        <v>50000</v>
      </c>
      <c r="P99" s="6"/>
      <c r="Q99" s="6">
        <v>50000</v>
      </c>
      <c r="R99" s="13" t="s">
        <v>24</v>
      </c>
    </row>
    <row r="100" spans="2:18" ht="17" x14ac:dyDescent="0.2">
      <c r="B100">
        <v>98</v>
      </c>
      <c r="C100" s="11" t="s">
        <v>393</v>
      </c>
      <c r="D100" s="11" t="str">
        <f>VLOOKUP(E100,[1]Mei!$E$6:$F$173,2,0)</f>
        <v>00596</v>
      </c>
      <c r="E100" s="2" t="s">
        <v>188</v>
      </c>
      <c r="F100" s="3" t="s">
        <v>9</v>
      </c>
      <c r="G100" s="3"/>
      <c r="H100" s="3" t="s">
        <v>10</v>
      </c>
      <c r="I100" s="11" t="s">
        <v>393</v>
      </c>
      <c r="J100" s="4" t="str">
        <f t="shared" si="3"/>
        <v>Tetap</v>
      </c>
      <c r="K100" s="4" t="s">
        <v>26</v>
      </c>
      <c r="L100" s="6">
        <v>100000</v>
      </c>
      <c r="M100" s="6">
        <v>500000</v>
      </c>
      <c r="N100" s="6"/>
      <c r="O100" s="6">
        <v>50000</v>
      </c>
      <c r="P100" s="14"/>
      <c r="Q100" s="6"/>
      <c r="R100" s="13" t="s">
        <v>24</v>
      </c>
    </row>
    <row r="101" spans="2:18" ht="17" x14ac:dyDescent="0.2">
      <c r="B101">
        <v>99</v>
      </c>
      <c r="C101" s="4" t="s">
        <v>191</v>
      </c>
      <c r="D101" s="11" t="str">
        <f>VLOOKUP(E101,[1]Mei!$E$6:$F$173,2,0)</f>
        <v>00535</v>
      </c>
      <c r="E101" s="2" t="s">
        <v>189</v>
      </c>
      <c r="F101" s="3" t="s">
        <v>9</v>
      </c>
      <c r="G101" s="3"/>
      <c r="H101" s="3" t="s">
        <v>190</v>
      </c>
      <c r="I101" s="4" t="s">
        <v>191</v>
      </c>
      <c r="J101" s="4" t="str">
        <f t="shared" si="3"/>
        <v>Tetap</v>
      </c>
      <c r="K101" s="4" t="s">
        <v>126</v>
      </c>
      <c r="L101" s="6">
        <f>25000+25000+50000</f>
        <v>100000</v>
      </c>
      <c r="M101" s="6">
        <f>270000-120000</f>
        <v>150000</v>
      </c>
      <c r="N101" s="6"/>
      <c r="O101" s="6">
        <v>5000</v>
      </c>
      <c r="P101" s="14"/>
      <c r="Q101" s="6">
        <f>O101+P101</f>
        <v>5000</v>
      </c>
      <c r="R101" s="13" t="s">
        <v>24</v>
      </c>
    </row>
    <row r="102" spans="2:18" ht="17" x14ac:dyDescent="0.2">
      <c r="B102">
        <v>100</v>
      </c>
      <c r="C102" s="4" t="s">
        <v>192</v>
      </c>
      <c r="D102" s="11" t="str">
        <f>VLOOKUP(E102,[1]Mei!$E$6:$F$173,2,0)</f>
        <v>00533</v>
      </c>
      <c r="E102" s="2" t="s">
        <v>522</v>
      </c>
      <c r="F102" s="3" t="s">
        <v>9</v>
      </c>
      <c r="G102" s="83"/>
      <c r="H102" s="83" t="s">
        <v>553</v>
      </c>
      <c r="I102" s="4" t="s">
        <v>192</v>
      </c>
      <c r="J102" s="4" t="s">
        <v>11</v>
      </c>
      <c r="K102" s="4" t="s">
        <v>193</v>
      </c>
      <c r="L102" s="6">
        <v>100000</v>
      </c>
      <c r="M102" s="6">
        <v>100000</v>
      </c>
      <c r="N102" s="6"/>
      <c r="O102" s="6">
        <v>5000</v>
      </c>
      <c r="P102" s="14"/>
      <c r="Q102" s="6"/>
      <c r="R102" s="13" t="s">
        <v>24</v>
      </c>
    </row>
    <row r="103" spans="2:18" ht="17" x14ac:dyDescent="0.2">
      <c r="B103">
        <v>101</v>
      </c>
      <c r="C103" s="4" t="s">
        <v>195</v>
      </c>
      <c r="D103" s="11" t="str">
        <f>VLOOKUP(E103,[1]Mei!$E$6:$F$173,2,0)</f>
        <v>00498</v>
      </c>
      <c r="E103" s="2" t="s">
        <v>194</v>
      </c>
      <c r="F103" s="3" t="s">
        <v>9</v>
      </c>
      <c r="G103" s="3"/>
      <c r="H103" s="3" t="s">
        <v>190</v>
      </c>
      <c r="I103" s="4" t="s">
        <v>195</v>
      </c>
      <c r="J103" s="4" t="s">
        <v>11</v>
      </c>
      <c r="K103" s="4" t="s">
        <v>33</v>
      </c>
      <c r="L103" s="6">
        <v>100000</v>
      </c>
      <c r="M103" s="6">
        <v>350000</v>
      </c>
      <c r="N103" s="6">
        <v>200</v>
      </c>
      <c r="O103" s="6">
        <v>5000</v>
      </c>
      <c r="P103" s="14"/>
      <c r="Q103" s="6"/>
      <c r="R103" s="13" t="s">
        <v>24</v>
      </c>
    </row>
    <row r="104" spans="2:18" ht="17" x14ac:dyDescent="0.2">
      <c r="B104">
        <v>102</v>
      </c>
      <c r="C104" s="21" t="s">
        <v>344</v>
      </c>
      <c r="D104" s="11" t="e">
        <f>VLOOKUP(E104,[1]Mei!$E$6:$F$173,2,0)</f>
        <v>#N/A</v>
      </c>
      <c r="E104" s="7" t="s">
        <v>343</v>
      </c>
      <c r="F104" s="8" t="s">
        <v>581</v>
      </c>
      <c r="G104" s="8"/>
      <c r="H104" s="8" t="s">
        <v>190</v>
      </c>
      <c r="I104" s="21" t="s">
        <v>344</v>
      </c>
      <c r="J104" s="9" t="s">
        <v>158</v>
      </c>
      <c r="K104" s="9" t="s">
        <v>193</v>
      </c>
      <c r="L104" s="10">
        <v>100000</v>
      </c>
      <c r="M104" s="10">
        <v>175000</v>
      </c>
      <c r="N104" s="10"/>
      <c r="O104" s="10">
        <v>5000</v>
      </c>
      <c r="P104" s="10"/>
      <c r="Q104" s="10">
        <v>5000</v>
      </c>
      <c r="R104" s="13" t="s">
        <v>24</v>
      </c>
    </row>
    <row r="105" spans="2:18" ht="17" x14ac:dyDescent="0.2">
      <c r="B105">
        <v>103</v>
      </c>
      <c r="C105" s="19" t="s">
        <v>199</v>
      </c>
      <c r="D105" s="11" t="str">
        <f>VLOOKUP(E105,[1]Mei!$E$6:$F$173,2,0)</f>
        <v>00327</v>
      </c>
      <c r="E105" s="2" t="s">
        <v>198</v>
      </c>
      <c r="F105" s="3" t="s">
        <v>9</v>
      </c>
      <c r="G105" s="3"/>
      <c r="H105" s="3" t="s">
        <v>190</v>
      </c>
      <c r="I105" s="19" t="s">
        <v>199</v>
      </c>
      <c r="J105" s="4" t="s">
        <v>11</v>
      </c>
      <c r="K105" s="4" t="s">
        <v>193</v>
      </c>
      <c r="L105" s="6">
        <v>100000</v>
      </c>
      <c r="M105" s="6">
        <v>200000</v>
      </c>
      <c r="N105" s="6">
        <v>200</v>
      </c>
      <c r="O105" s="6">
        <v>5000</v>
      </c>
      <c r="P105" s="14"/>
      <c r="Q105" s="6"/>
      <c r="R105" s="13" t="s">
        <v>24</v>
      </c>
    </row>
    <row r="106" spans="2:18" ht="17" x14ac:dyDescent="0.2">
      <c r="B106">
        <v>104</v>
      </c>
      <c r="C106" s="19" t="s">
        <v>201</v>
      </c>
      <c r="D106" s="11" t="str">
        <f>VLOOKUP(E106,[1]Mei!$E$6:$F$173,2,0)</f>
        <v>00520</v>
      </c>
      <c r="E106" s="2" t="s">
        <v>200</v>
      </c>
      <c r="F106" s="3" t="s">
        <v>9</v>
      </c>
      <c r="G106" s="3"/>
      <c r="H106" s="3" t="s">
        <v>190</v>
      </c>
      <c r="I106" s="19" t="s">
        <v>201</v>
      </c>
      <c r="J106" s="4" t="s">
        <v>11</v>
      </c>
      <c r="K106" s="4" t="s">
        <v>193</v>
      </c>
      <c r="L106" s="6">
        <v>100000</v>
      </c>
      <c r="M106" s="6">
        <v>100000</v>
      </c>
      <c r="N106" s="6"/>
      <c r="O106" s="6">
        <v>5000</v>
      </c>
      <c r="P106" s="14"/>
      <c r="Q106" s="6"/>
      <c r="R106" s="13" t="s">
        <v>24</v>
      </c>
    </row>
    <row r="107" spans="2:18" ht="17" x14ac:dyDescent="0.2">
      <c r="B107">
        <v>105</v>
      </c>
      <c r="C107" s="19" t="s">
        <v>203</v>
      </c>
      <c r="D107" s="11" t="str">
        <f>VLOOKUP(E107,[1]Mei!$E$6:$F$173,2,0)</f>
        <v>00512</v>
      </c>
      <c r="E107" s="2" t="s">
        <v>202</v>
      </c>
      <c r="F107" s="3" t="s">
        <v>9</v>
      </c>
      <c r="G107" s="3"/>
      <c r="H107" s="3" t="s">
        <v>190</v>
      </c>
      <c r="I107" s="19" t="s">
        <v>203</v>
      </c>
      <c r="J107" s="4" t="s">
        <v>11</v>
      </c>
      <c r="K107" s="4" t="s">
        <v>193</v>
      </c>
      <c r="L107" s="6">
        <v>100000</v>
      </c>
      <c r="M107" s="6">
        <v>175000</v>
      </c>
      <c r="N107" s="6"/>
      <c r="O107" s="6">
        <v>5000</v>
      </c>
      <c r="P107" s="14"/>
      <c r="Q107" s="6"/>
      <c r="R107" s="13" t="s">
        <v>24</v>
      </c>
    </row>
    <row r="108" spans="2:18" ht="17" x14ac:dyDescent="0.2">
      <c r="B108">
        <v>106</v>
      </c>
      <c r="C108" s="19" t="s">
        <v>205</v>
      </c>
      <c r="D108" s="11" t="str">
        <f>VLOOKUP(E108,[1]Mei!$E$6:$F$173,2,0)</f>
        <v>00534</v>
      </c>
      <c r="E108" s="2" t="s">
        <v>204</v>
      </c>
      <c r="F108" s="3" t="s">
        <v>9</v>
      </c>
      <c r="G108" s="3"/>
      <c r="H108" s="3" t="s">
        <v>190</v>
      </c>
      <c r="I108" s="19" t="s">
        <v>205</v>
      </c>
      <c r="J108" s="4" t="s">
        <v>11</v>
      </c>
      <c r="K108" s="4" t="s">
        <v>193</v>
      </c>
      <c r="L108" s="6">
        <v>100000</v>
      </c>
      <c r="M108" s="6">
        <v>125000</v>
      </c>
      <c r="N108" s="6"/>
      <c r="O108" s="6">
        <v>5000</v>
      </c>
      <c r="P108" s="14"/>
      <c r="Q108" s="6"/>
      <c r="R108" s="13" t="s">
        <v>24</v>
      </c>
    </row>
    <row r="109" spans="2:18" ht="17" x14ac:dyDescent="0.2">
      <c r="B109">
        <v>107</v>
      </c>
      <c r="C109" s="19" t="s">
        <v>207</v>
      </c>
      <c r="D109" s="11" t="str">
        <f>VLOOKUP(E109,[1]Mei!$E$6:$F$173,2,0)</f>
        <v>00525</v>
      </c>
      <c r="E109" s="2" t="s">
        <v>206</v>
      </c>
      <c r="F109" s="3" t="s">
        <v>9</v>
      </c>
      <c r="G109" s="3"/>
      <c r="H109" s="3" t="s">
        <v>190</v>
      </c>
      <c r="I109" s="19" t="s">
        <v>207</v>
      </c>
      <c r="J109" s="4" t="s">
        <v>11</v>
      </c>
      <c r="K109" s="4" t="s">
        <v>193</v>
      </c>
      <c r="L109" s="6">
        <v>100000</v>
      </c>
      <c r="M109" s="6">
        <v>100000</v>
      </c>
      <c r="N109" s="6"/>
      <c r="O109" s="6">
        <v>5000</v>
      </c>
      <c r="P109" s="14"/>
      <c r="Q109" s="6"/>
      <c r="R109" s="13" t="s">
        <v>24</v>
      </c>
    </row>
    <row r="110" spans="2:18" ht="17" x14ac:dyDescent="0.2">
      <c r="B110">
        <v>108</v>
      </c>
      <c r="C110" s="19" t="s">
        <v>209</v>
      </c>
      <c r="D110" s="11" t="str">
        <f>VLOOKUP(E110,[1]Mei!$E$6:$F$173,2,0)</f>
        <v>00328</v>
      </c>
      <c r="E110" s="2" t="s">
        <v>208</v>
      </c>
      <c r="F110" s="3" t="s">
        <v>9</v>
      </c>
      <c r="G110" s="3"/>
      <c r="H110" s="3" t="s">
        <v>190</v>
      </c>
      <c r="I110" s="19" t="s">
        <v>209</v>
      </c>
      <c r="J110" s="4" t="s">
        <v>11</v>
      </c>
      <c r="K110" s="4" t="s">
        <v>193</v>
      </c>
      <c r="L110" s="6">
        <v>100000</v>
      </c>
      <c r="M110" s="6">
        <v>250000</v>
      </c>
      <c r="N110" s="6">
        <v>200</v>
      </c>
      <c r="O110" s="6">
        <v>5000</v>
      </c>
      <c r="P110" s="14"/>
      <c r="Q110" s="6"/>
      <c r="R110" s="13" t="s">
        <v>24</v>
      </c>
    </row>
    <row r="111" spans="2:18" ht="17" x14ac:dyDescent="0.2">
      <c r="B111">
        <v>109</v>
      </c>
      <c r="C111" s="21" t="s">
        <v>357</v>
      </c>
      <c r="D111" s="11" t="e">
        <f>VLOOKUP(E111,[1]Mei!$E$6:$F$173,2,0)</f>
        <v>#N/A</v>
      </c>
      <c r="E111" s="7" t="s">
        <v>356</v>
      </c>
      <c r="F111" s="8" t="s">
        <v>581</v>
      </c>
      <c r="G111" s="8"/>
      <c r="H111" s="8" t="s">
        <v>346</v>
      </c>
      <c r="I111" s="21" t="s">
        <v>357</v>
      </c>
      <c r="J111" s="9" t="str">
        <f>IF(LEFT(I111,2)="00","Tetap","Dilayani")</f>
        <v>Dilayani</v>
      </c>
      <c r="K111" s="9" t="s">
        <v>126</v>
      </c>
      <c r="L111" s="10">
        <f>50000+50000</f>
        <v>100000</v>
      </c>
      <c r="M111" s="10">
        <f>200000+200000</f>
        <v>400000</v>
      </c>
      <c r="N111" s="10"/>
      <c r="O111" s="10">
        <v>20000</v>
      </c>
      <c r="P111" s="10"/>
      <c r="Q111" s="10">
        <f>O111+P111</f>
        <v>20000</v>
      </c>
      <c r="R111" s="13" t="s">
        <v>24</v>
      </c>
    </row>
    <row r="112" spans="2:18" ht="17" x14ac:dyDescent="0.2">
      <c r="B112">
        <v>110</v>
      </c>
      <c r="C112" s="17" t="s">
        <v>44</v>
      </c>
      <c r="D112" s="11" t="e">
        <f>VLOOKUP(E112,[1]Mei!$E$6:$F$173,2,0)</f>
        <v>#N/A</v>
      </c>
      <c r="E112" s="15" t="s">
        <v>43</v>
      </c>
      <c r="F112" s="8" t="s">
        <v>582</v>
      </c>
      <c r="G112" s="8"/>
      <c r="H112" s="8" t="s">
        <v>10</v>
      </c>
      <c r="I112" s="17" t="s">
        <v>44</v>
      </c>
      <c r="J112" s="17" t="str">
        <f>IF(LEFT(I112,2)="00","Tetap","Dilayani")</f>
        <v>Tetap</v>
      </c>
      <c r="K112" s="17" t="s">
        <v>45</v>
      </c>
      <c r="L112" s="18">
        <v>100000</v>
      </c>
      <c r="M112" s="18">
        <v>62500</v>
      </c>
      <c r="N112" s="18">
        <v>200</v>
      </c>
      <c r="O112" s="18">
        <v>5000</v>
      </c>
      <c r="P112" s="18">
        <v>0</v>
      </c>
      <c r="Q112" s="18">
        <v>5000</v>
      </c>
      <c r="R112" s="13" t="s">
        <v>24</v>
      </c>
    </row>
    <row r="113" spans="2:18" ht="17" x14ac:dyDescent="0.2">
      <c r="B113">
        <v>111</v>
      </c>
      <c r="C113" s="19" t="s">
        <v>215</v>
      </c>
      <c r="D113" s="11" t="str">
        <f>VLOOKUP(E113,[1]Mei!$E$6:$F$173,2,0)</f>
        <v>00529</v>
      </c>
      <c r="E113" s="2" t="s">
        <v>214</v>
      </c>
      <c r="F113" s="3" t="s">
        <v>9</v>
      </c>
      <c r="G113" s="3"/>
      <c r="H113" s="3" t="s">
        <v>190</v>
      </c>
      <c r="I113" s="19" t="s">
        <v>215</v>
      </c>
      <c r="J113" s="4" t="s">
        <v>11</v>
      </c>
      <c r="K113" s="4" t="s">
        <v>193</v>
      </c>
      <c r="L113" s="6">
        <v>100000</v>
      </c>
      <c r="M113" s="6">
        <v>100000</v>
      </c>
      <c r="N113" s="6"/>
      <c r="O113" s="6">
        <v>5000</v>
      </c>
      <c r="P113" s="14"/>
      <c r="Q113" s="6"/>
      <c r="R113" s="13" t="s">
        <v>24</v>
      </c>
    </row>
    <row r="114" spans="2:18" ht="17" x14ac:dyDescent="0.2">
      <c r="B114">
        <v>112</v>
      </c>
      <c r="C114" s="4" t="s">
        <v>217</v>
      </c>
      <c r="D114" s="11" t="e">
        <f>VLOOKUP(E114,[1]Mei!$E$6:$F$173,2,0)</f>
        <v>#N/A</v>
      </c>
      <c r="E114" s="2" t="s">
        <v>216</v>
      </c>
      <c r="F114" s="3" t="s">
        <v>556</v>
      </c>
      <c r="G114" s="3"/>
      <c r="H114" s="3" t="s">
        <v>10</v>
      </c>
      <c r="I114" s="4" t="s">
        <v>217</v>
      </c>
      <c r="J114" s="4" t="s">
        <v>11</v>
      </c>
      <c r="K114" s="4" t="s">
        <v>26</v>
      </c>
      <c r="L114" s="6">
        <v>100000</v>
      </c>
      <c r="M114" s="6">
        <v>10000</v>
      </c>
      <c r="N114" s="6">
        <v>200</v>
      </c>
      <c r="O114" s="6">
        <v>5000</v>
      </c>
      <c r="P114" s="6"/>
      <c r="Q114" s="6"/>
      <c r="R114" s="13" t="s">
        <v>24</v>
      </c>
    </row>
    <row r="115" spans="2:18" ht="17" x14ac:dyDescent="0.2">
      <c r="B115">
        <v>113</v>
      </c>
      <c r="C115" s="9" t="s">
        <v>76</v>
      </c>
      <c r="D115" s="11" t="e">
        <f>VLOOKUP(E115,[1]Mei!$E$6:$F$173,2,0)</f>
        <v>#N/A</v>
      </c>
      <c r="E115" s="7" t="s">
        <v>75</v>
      </c>
      <c r="F115" s="8" t="s">
        <v>582</v>
      </c>
      <c r="G115" s="8"/>
      <c r="H115" s="8" t="s">
        <v>10</v>
      </c>
      <c r="I115" s="9" t="s">
        <v>76</v>
      </c>
      <c r="J115" s="9" t="str">
        <f>IF(LEFT(I115,2)="00","Tetap","Dilayani")</f>
        <v>Tetap</v>
      </c>
      <c r="K115" s="9" t="s">
        <v>73</v>
      </c>
      <c r="L115" s="10">
        <v>200000</v>
      </c>
      <c r="M115" s="10">
        <v>10000</v>
      </c>
      <c r="N115" s="10">
        <v>200</v>
      </c>
      <c r="O115" s="10">
        <v>5000</v>
      </c>
      <c r="P115" s="10"/>
      <c r="Q115" s="10">
        <v>5000</v>
      </c>
      <c r="R115" s="13" t="s">
        <v>24</v>
      </c>
    </row>
    <row r="116" spans="2:18" ht="17" x14ac:dyDescent="0.2">
      <c r="B116">
        <v>114</v>
      </c>
      <c r="C116" s="16" t="s">
        <v>78</v>
      </c>
      <c r="D116" s="11" t="e">
        <f>VLOOKUP(E116,[1]Mei!$E$6:$F$173,2,0)</f>
        <v>#N/A</v>
      </c>
      <c r="E116" s="15" t="s">
        <v>77</v>
      </c>
      <c r="F116" s="8" t="s">
        <v>582</v>
      </c>
      <c r="G116" s="8"/>
      <c r="H116" s="8" t="s">
        <v>10</v>
      </c>
      <c r="I116" s="16" t="s">
        <v>78</v>
      </c>
      <c r="J116" s="17" t="str">
        <f>IF(LEFT(I116,2)="00","Tetap","Dilayani")</f>
        <v>Tetap</v>
      </c>
      <c r="K116" s="17" t="s">
        <v>33</v>
      </c>
      <c r="L116" s="18">
        <v>100000</v>
      </c>
      <c r="M116" s="18">
        <v>300000</v>
      </c>
      <c r="N116" s="18">
        <v>200</v>
      </c>
      <c r="O116" s="18">
        <v>5000</v>
      </c>
      <c r="P116" s="18">
        <v>0</v>
      </c>
      <c r="Q116" s="18">
        <v>5000</v>
      </c>
      <c r="R116" s="13" t="s">
        <v>24</v>
      </c>
    </row>
    <row r="117" spans="2:18" ht="17" x14ac:dyDescent="0.2">
      <c r="B117">
        <v>115</v>
      </c>
      <c r="C117" s="16" t="s">
        <v>89</v>
      </c>
      <c r="D117" s="11" t="e">
        <f>VLOOKUP(E117,[1]Mei!$E$6:$F$173,2,0)</f>
        <v>#N/A</v>
      </c>
      <c r="E117" s="15" t="s">
        <v>88</v>
      </c>
      <c r="F117" s="8" t="s">
        <v>582</v>
      </c>
      <c r="G117" s="8"/>
      <c r="H117" s="3" t="s">
        <v>10</v>
      </c>
      <c r="I117" s="16" t="s">
        <v>89</v>
      </c>
      <c r="J117" s="17" t="str">
        <f>IF(LEFT(I117,2)="00","Tetap","Dilayani")</f>
        <v>Tetap</v>
      </c>
      <c r="K117" s="17" t="s">
        <v>33</v>
      </c>
      <c r="L117" s="18">
        <v>100000</v>
      </c>
      <c r="M117" s="18">
        <v>75000</v>
      </c>
      <c r="N117" s="18">
        <v>200</v>
      </c>
      <c r="O117" s="18">
        <v>5000</v>
      </c>
      <c r="P117" s="18">
        <v>0</v>
      </c>
      <c r="Q117" s="18">
        <v>5000</v>
      </c>
      <c r="R117" s="13" t="s">
        <v>24</v>
      </c>
    </row>
    <row r="118" spans="2:18" ht="17" x14ac:dyDescent="0.2">
      <c r="B118">
        <v>116</v>
      </c>
      <c r="C118" s="19" t="s">
        <v>224</v>
      </c>
      <c r="D118" s="11" t="str">
        <f>VLOOKUP(E118,[1]Mei!$E$6:$F$173,2,0)</f>
        <v>00514</v>
      </c>
      <c r="E118" s="2" t="s">
        <v>223</v>
      </c>
      <c r="F118" s="3" t="s">
        <v>9</v>
      </c>
      <c r="G118" s="3"/>
      <c r="H118" s="3" t="s">
        <v>190</v>
      </c>
      <c r="I118" s="19" t="s">
        <v>224</v>
      </c>
      <c r="J118" s="4" t="s">
        <v>11</v>
      </c>
      <c r="K118" s="4" t="s">
        <v>193</v>
      </c>
      <c r="L118" s="6">
        <v>100000</v>
      </c>
      <c r="M118" s="6">
        <v>300000</v>
      </c>
      <c r="N118" s="6">
        <v>0</v>
      </c>
      <c r="O118" s="6">
        <v>5000</v>
      </c>
      <c r="P118" s="14"/>
      <c r="Q118" s="6"/>
      <c r="R118" s="13" t="s">
        <v>24</v>
      </c>
    </row>
    <row r="119" spans="2:18" ht="17" x14ac:dyDescent="0.2">
      <c r="B119">
        <v>117</v>
      </c>
      <c r="C119" s="19" t="s">
        <v>226</v>
      </c>
      <c r="D119" s="11" t="str">
        <f>VLOOKUP(E119,[1]Mei!$E$6:$F$173,2,0)</f>
        <v>00531</v>
      </c>
      <c r="E119" s="2" t="s">
        <v>225</v>
      </c>
      <c r="F119" s="3" t="s">
        <v>9</v>
      </c>
      <c r="G119" s="3"/>
      <c r="H119" s="3" t="s">
        <v>190</v>
      </c>
      <c r="I119" s="19" t="s">
        <v>226</v>
      </c>
      <c r="J119" s="4" t="s">
        <v>11</v>
      </c>
      <c r="K119" s="4" t="s">
        <v>193</v>
      </c>
      <c r="L119" s="6">
        <v>100000</v>
      </c>
      <c r="M119" s="6">
        <v>15000</v>
      </c>
      <c r="N119" s="6"/>
      <c r="O119" s="6">
        <v>5000</v>
      </c>
      <c r="P119" s="14"/>
      <c r="Q119" s="6"/>
      <c r="R119" s="13" t="s">
        <v>24</v>
      </c>
    </row>
    <row r="120" spans="2:18" ht="17" x14ac:dyDescent="0.2">
      <c r="B120">
        <v>118</v>
      </c>
      <c r="C120" s="4" t="s">
        <v>121</v>
      </c>
      <c r="D120" s="11" t="e">
        <f>VLOOKUP(E120,[1]Mei!$E$6:$F$173,2,0)</f>
        <v>#N/A</v>
      </c>
      <c r="E120" s="2" t="s">
        <v>120</v>
      </c>
      <c r="F120" s="8" t="s">
        <v>582</v>
      </c>
      <c r="G120" s="3"/>
      <c r="H120" s="3" t="s">
        <v>10</v>
      </c>
      <c r="I120" s="4" t="s">
        <v>121</v>
      </c>
      <c r="J120" s="4" t="s">
        <v>11</v>
      </c>
      <c r="K120" s="4" t="s">
        <v>26</v>
      </c>
      <c r="L120" s="6">
        <v>100000</v>
      </c>
      <c r="M120" s="6">
        <v>25000</v>
      </c>
      <c r="N120" s="6">
        <v>200</v>
      </c>
      <c r="O120" s="6">
        <v>5000</v>
      </c>
      <c r="P120" s="6">
        <v>0</v>
      </c>
      <c r="Q120" s="6">
        <v>5000</v>
      </c>
      <c r="R120" s="13" t="s">
        <v>24</v>
      </c>
    </row>
    <row r="121" spans="2:18" ht="17" x14ac:dyDescent="0.2">
      <c r="B121">
        <v>119</v>
      </c>
      <c r="C121" s="19" t="s">
        <v>230</v>
      </c>
      <c r="D121" s="11" t="e">
        <f>VLOOKUP(E121,[1]Mei!$E$6:$F$173,2,0)</f>
        <v>#N/A</v>
      </c>
      <c r="E121" s="2" t="s">
        <v>229</v>
      </c>
      <c r="F121" s="8" t="s">
        <v>582</v>
      </c>
      <c r="G121" s="3"/>
      <c r="H121" s="3" t="s">
        <v>190</v>
      </c>
      <c r="I121" s="19" t="s">
        <v>230</v>
      </c>
      <c r="J121" s="4" t="s">
        <v>11</v>
      </c>
      <c r="K121" s="4" t="s">
        <v>193</v>
      </c>
      <c r="L121" s="6">
        <v>100000</v>
      </c>
      <c r="M121" s="6">
        <v>10000</v>
      </c>
      <c r="N121" s="6"/>
      <c r="O121" s="6">
        <v>5000</v>
      </c>
      <c r="P121" s="14"/>
      <c r="Q121" s="6"/>
      <c r="R121" s="13" t="s">
        <v>24</v>
      </c>
    </row>
    <row r="122" spans="2:18" ht="17" x14ac:dyDescent="0.2">
      <c r="B122">
        <v>120</v>
      </c>
      <c r="C122" s="11" t="s">
        <v>232</v>
      </c>
      <c r="D122" s="11" t="str">
        <f>VLOOKUP(E122,[1]Mei!$E$6:$F$173,2,0)</f>
        <v>00542</v>
      </c>
      <c r="E122" s="2" t="s">
        <v>231</v>
      </c>
      <c r="F122" s="3" t="s">
        <v>9</v>
      </c>
      <c r="G122" s="3"/>
      <c r="H122" s="3" t="s">
        <v>190</v>
      </c>
      <c r="I122" s="11" t="s">
        <v>232</v>
      </c>
      <c r="J122" s="4" t="s">
        <v>11</v>
      </c>
      <c r="K122" s="4" t="s">
        <v>193</v>
      </c>
      <c r="L122" s="6">
        <v>100000</v>
      </c>
      <c r="M122" s="6">
        <v>100000</v>
      </c>
      <c r="N122" s="6"/>
      <c r="O122" s="6">
        <v>20000</v>
      </c>
      <c r="P122" s="14"/>
      <c r="Q122" s="6"/>
      <c r="R122" s="13" t="s">
        <v>24</v>
      </c>
    </row>
    <row r="123" spans="2:18" ht="17" x14ac:dyDescent="0.2">
      <c r="B123">
        <v>121</v>
      </c>
      <c r="C123" s="19" t="s">
        <v>234</v>
      </c>
      <c r="D123" s="11" t="str">
        <f>VLOOKUP(E123,[1]Mei!$E$6:$F$173,2,0)</f>
        <v>00516</v>
      </c>
      <c r="E123" s="2" t="s">
        <v>233</v>
      </c>
      <c r="F123" s="3" t="s">
        <v>9</v>
      </c>
      <c r="G123" s="3"/>
      <c r="H123" s="3" t="s">
        <v>190</v>
      </c>
      <c r="I123" s="19" t="s">
        <v>234</v>
      </c>
      <c r="J123" s="4" t="s">
        <v>11</v>
      </c>
      <c r="K123" s="4" t="s">
        <v>193</v>
      </c>
      <c r="L123" s="6">
        <v>100000</v>
      </c>
      <c r="M123" s="6">
        <v>25000</v>
      </c>
      <c r="N123" s="6"/>
      <c r="O123" s="6">
        <v>5000</v>
      </c>
      <c r="P123" s="14"/>
      <c r="Q123" s="6"/>
      <c r="R123" s="13" t="s">
        <v>24</v>
      </c>
    </row>
    <row r="124" spans="2:18" ht="17" x14ac:dyDescent="0.2">
      <c r="B124">
        <v>122</v>
      </c>
      <c r="C124" s="19" t="s">
        <v>236</v>
      </c>
      <c r="D124" s="11" t="str">
        <f>VLOOKUP(E124,[1]Mei!$E$6:$F$173,2,0)</f>
        <v>00523</v>
      </c>
      <c r="E124" s="2" t="s">
        <v>235</v>
      </c>
      <c r="F124" s="3" t="s">
        <v>9</v>
      </c>
      <c r="G124" s="3"/>
      <c r="H124" s="3" t="s">
        <v>190</v>
      </c>
      <c r="I124" s="19" t="s">
        <v>236</v>
      </c>
      <c r="J124" s="4" t="s">
        <v>11</v>
      </c>
      <c r="K124" s="4" t="s">
        <v>193</v>
      </c>
      <c r="L124" s="6">
        <v>100000</v>
      </c>
      <c r="M124" s="6">
        <v>100000</v>
      </c>
      <c r="N124" s="6"/>
      <c r="O124" s="6">
        <v>5000</v>
      </c>
      <c r="P124" s="14"/>
      <c r="Q124" s="6"/>
      <c r="R124" s="13" t="s">
        <v>24</v>
      </c>
    </row>
    <row r="125" spans="2:18" ht="17" x14ac:dyDescent="0.2">
      <c r="B125">
        <v>123</v>
      </c>
      <c r="C125" s="9" t="s">
        <v>146</v>
      </c>
      <c r="D125" s="11" t="e">
        <f>VLOOKUP(E125,[1]Mei!$E$6:$F$173,2,0)</f>
        <v>#N/A</v>
      </c>
      <c r="E125" s="7" t="s">
        <v>145</v>
      </c>
      <c r="F125" s="8" t="s">
        <v>582</v>
      </c>
      <c r="G125" s="8"/>
      <c r="H125" s="3" t="s">
        <v>10</v>
      </c>
      <c r="I125" s="9" t="s">
        <v>146</v>
      </c>
      <c r="J125" s="9" t="s">
        <v>11</v>
      </c>
      <c r="K125" s="9" t="s">
        <v>21</v>
      </c>
      <c r="L125" s="10">
        <v>100000</v>
      </c>
      <c r="M125" s="10">
        <v>10000</v>
      </c>
      <c r="N125" s="10">
        <v>200</v>
      </c>
      <c r="O125" s="10">
        <v>5000</v>
      </c>
      <c r="P125" s="10"/>
      <c r="Q125" s="10">
        <v>5000</v>
      </c>
      <c r="R125" s="13" t="s">
        <v>24</v>
      </c>
    </row>
    <row r="126" spans="2:18" ht="17" x14ac:dyDescent="0.2">
      <c r="B126">
        <v>124</v>
      </c>
      <c r="C126" s="19" t="s">
        <v>240</v>
      </c>
      <c r="D126" s="11" t="str">
        <f>VLOOKUP(E126,[1]Mei!$E$6:$F$173,2,0)</f>
        <v>00513</v>
      </c>
      <c r="E126" s="2" t="s">
        <v>239</v>
      </c>
      <c r="F126" s="3" t="s">
        <v>9</v>
      </c>
      <c r="G126" s="3"/>
      <c r="H126" s="3" t="s">
        <v>190</v>
      </c>
      <c r="I126" s="19" t="s">
        <v>240</v>
      </c>
      <c r="J126" s="4" t="s">
        <v>11</v>
      </c>
      <c r="K126" s="4" t="s">
        <v>193</v>
      </c>
      <c r="L126" s="6">
        <v>100000</v>
      </c>
      <c r="M126" s="6">
        <v>125000</v>
      </c>
      <c r="N126" s="6"/>
      <c r="O126" s="6">
        <v>5000</v>
      </c>
      <c r="P126" s="14"/>
      <c r="Q126" s="6"/>
      <c r="R126" s="13" t="s">
        <v>24</v>
      </c>
    </row>
    <row r="127" spans="2:18" ht="17" x14ac:dyDescent="0.2">
      <c r="B127">
        <v>125</v>
      </c>
      <c r="C127" s="19" t="s">
        <v>242</v>
      </c>
      <c r="D127" s="11" t="str">
        <f>VLOOKUP(E127,[1]Mei!$E$6:$F$173,2,0)</f>
        <v>00526</v>
      </c>
      <c r="E127" s="2" t="s">
        <v>241</v>
      </c>
      <c r="F127" s="3" t="s">
        <v>9</v>
      </c>
      <c r="G127" s="3"/>
      <c r="H127" s="3" t="s">
        <v>190</v>
      </c>
      <c r="I127" s="19" t="s">
        <v>242</v>
      </c>
      <c r="J127" s="4" t="s">
        <v>11</v>
      </c>
      <c r="K127" s="4" t="s">
        <v>193</v>
      </c>
      <c r="L127" s="6">
        <v>100000</v>
      </c>
      <c r="M127" s="6">
        <v>100000</v>
      </c>
      <c r="N127" s="6"/>
      <c r="O127" s="6">
        <v>5000</v>
      </c>
      <c r="P127" s="14"/>
      <c r="Q127" s="6"/>
      <c r="R127" s="13" t="s">
        <v>24</v>
      </c>
    </row>
    <row r="128" spans="2:18" ht="17" x14ac:dyDescent="0.2">
      <c r="B128">
        <v>126</v>
      </c>
      <c r="C128" s="19" t="s">
        <v>244</v>
      </c>
      <c r="D128" s="11" t="str">
        <f>VLOOKUP(E128,[1]Mei!$E$6:$F$173,2,0)</f>
        <v>00530</v>
      </c>
      <c r="E128" s="2" t="s">
        <v>243</v>
      </c>
      <c r="F128" s="3" t="s">
        <v>9</v>
      </c>
      <c r="G128" s="3"/>
      <c r="H128" s="3" t="s">
        <v>190</v>
      </c>
      <c r="I128" s="19" t="s">
        <v>244</v>
      </c>
      <c r="J128" s="4" t="s">
        <v>11</v>
      </c>
      <c r="K128" s="4" t="s">
        <v>193</v>
      </c>
      <c r="L128" s="6">
        <v>100000</v>
      </c>
      <c r="M128" s="6">
        <v>250000</v>
      </c>
      <c r="N128" s="6"/>
      <c r="O128" s="6">
        <v>5000</v>
      </c>
      <c r="P128" s="14"/>
      <c r="Q128" s="6"/>
      <c r="R128" s="13" t="s">
        <v>24</v>
      </c>
    </row>
    <row r="129" spans="2:18" ht="17" x14ac:dyDescent="0.2">
      <c r="B129">
        <v>127</v>
      </c>
      <c r="C129" s="19" t="s">
        <v>246</v>
      </c>
      <c r="D129" s="11" t="str">
        <f>VLOOKUP(E129,[1]Mei!$E$6:$F$173,2,0)</f>
        <v>00532</v>
      </c>
      <c r="E129" s="2" t="s">
        <v>245</v>
      </c>
      <c r="F129" s="3" t="s">
        <v>9</v>
      </c>
      <c r="G129" s="3"/>
      <c r="H129" s="3" t="s">
        <v>190</v>
      </c>
      <c r="I129" s="19" t="s">
        <v>246</v>
      </c>
      <c r="J129" s="4" t="s">
        <v>11</v>
      </c>
      <c r="K129" s="4" t="s">
        <v>193</v>
      </c>
      <c r="L129" s="6">
        <v>100000</v>
      </c>
      <c r="M129" s="6">
        <v>100000</v>
      </c>
      <c r="N129" s="6"/>
      <c r="O129" s="6">
        <v>5000</v>
      </c>
      <c r="P129" s="14"/>
      <c r="Q129" s="6"/>
      <c r="R129" s="13" t="s">
        <v>24</v>
      </c>
    </row>
    <row r="130" spans="2:18" ht="17" x14ac:dyDescent="0.2">
      <c r="B130">
        <v>128</v>
      </c>
      <c r="C130" s="19" t="s">
        <v>247</v>
      </c>
      <c r="D130" s="11" t="str">
        <f>VLOOKUP(E130,[1]Mei!$E$6:$F$173,2,0)</f>
        <v>00376</v>
      </c>
      <c r="E130" s="2" t="s">
        <v>521</v>
      </c>
      <c r="F130" s="3" t="s">
        <v>9</v>
      </c>
      <c r="G130" s="3"/>
      <c r="H130" s="3" t="s">
        <v>190</v>
      </c>
      <c r="I130" s="19" t="s">
        <v>247</v>
      </c>
      <c r="J130" s="4" t="s">
        <v>11</v>
      </c>
      <c r="K130" s="4" t="s">
        <v>193</v>
      </c>
      <c r="L130" s="6">
        <v>100000</v>
      </c>
      <c r="M130" s="6">
        <v>110000</v>
      </c>
      <c r="N130" s="6">
        <v>200</v>
      </c>
      <c r="O130" s="6">
        <v>5000</v>
      </c>
      <c r="P130" s="14"/>
      <c r="Q130" s="6"/>
      <c r="R130" s="13" t="s">
        <v>24</v>
      </c>
    </row>
    <row r="131" spans="2:18" ht="17" x14ac:dyDescent="0.2">
      <c r="B131">
        <v>129</v>
      </c>
      <c r="C131" s="19" t="s">
        <v>249</v>
      </c>
      <c r="D131" s="11" t="str">
        <f>VLOOKUP(E131,[1]Mei!$E$6:$F$173,2,0)</f>
        <v>00302</v>
      </c>
      <c r="E131" s="2" t="s">
        <v>248</v>
      </c>
      <c r="F131" s="3" t="s">
        <v>9</v>
      </c>
      <c r="G131" s="3"/>
      <c r="H131" s="3" t="s">
        <v>190</v>
      </c>
      <c r="I131" s="19" t="s">
        <v>249</v>
      </c>
      <c r="J131" s="4" t="s">
        <v>11</v>
      </c>
      <c r="K131" s="4" t="s">
        <v>193</v>
      </c>
      <c r="L131" s="6">
        <v>100000</v>
      </c>
      <c r="M131" s="6">
        <v>10000</v>
      </c>
      <c r="N131" s="6">
        <v>200</v>
      </c>
      <c r="O131" s="6">
        <v>5000</v>
      </c>
      <c r="P131" s="14"/>
      <c r="Q131" s="6"/>
      <c r="R131" s="13" t="s">
        <v>24</v>
      </c>
    </row>
    <row r="132" spans="2:18" ht="17" x14ac:dyDescent="0.2">
      <c r="B132">
        <v>130</v>
      </c>
      <c r="C132" s="4" t="s">
        <v>251</v>
      </c>
      <c r="D132" s="11" t="str">
        <f>VLOOKUP(E132,[1]Mei!$E$6:$F$173,2,0)</f>
        <v>00337</v>
      </c>
      <c r="E132" s="2" t="s">
        <v>250</v>
      </c>
      <c r="F132" s="3" t="s">
        <v>9</v>
      </c>
      <c r="G132" s="3"/>
      <c r="H132" s="3" t="s">
        <v>190</v>
      </c>
      <c r="I132" s="4" t="s">
        <v>251</v>
      </c>
      <c r="J132" s="4" t="s">
        <v>11</v>
      </c>
      <c r="K132" s="4" t="s">
        <v>45</v>
      </c>
      <c r="L132" s="6">
        <v>100000</v>
      </c>
      <c r="M132" s="6">
        <v>50000</v>
      </c>
      <c r="N132" s="6">
        <v>200</v>
      </c>
      <c r="O132" s="6">
        <v>5000</v>
      </c>
      <c r="P132" s="14"/>
      <c r="Q132" s="6"/>
      <c r="R132" s="13" t="s">
        <v>24</v>
      </c>
    </row>
    <row r="133" spans="2:18" ht="17" x14ac:dyDescent="0.2">
      <c r="B133">
        <v>131</v>
      </c>
      <c r="C133" s="19" t="s">
        <v>253</v>
      </c>
      <c r="D133" s="11" t="str">
        <f>VLOOKUP(E133,[1]Mei!$E$6:$F$173,2,0)</f>
        <v>00524</v>
      </c>
      <c r="E133" s="2" t="s">
        <v>252</v>
      </c>
      <c r="F133" s="3" t="s">
        <v>9</v>
      </c>
      <c r="G133" s="3"/>
      <c r="H133" s="3" t="s">
        <v>190</v>
      </c>
      <c r="I133" s="19" t="s">
        <v>253</v>
      </c>
      <c r="J133" s="4" t="s">
        <v>11</v>
      </c>
      <c r="K133" s="4" t="s">
        <v>193</v>
      </c>
      <c r="L133" s="6">
        <v>100000</v>
      </c>
      <c r="M133" s="6">
        <v>200000</v>
      </c>
      <c r="N133" s="6"/>
      <c r="O133" s="6">
        <v>5000</v>
      </c>
      <c r="P133" s="14"/>
      <c r="Q133" s="6"/>
      <c r="R133" s="13" t="s">
        <v>24</v>
      </c>
    </row>
    <row r="134" spans="2:18" ht="17" x14ac:dyDescent="0.2">
      <c r="B134">
        <v>132</v>
      </c>
      <c r="C134" s="4" t="s">
        <v>255</v>
      </c>
      <c r="D134" s="11" t="e">
        <f>VLOOKUP(E134,[1]Mei!$E$6:$F$173,2,0)</f>
        <v>#N/A</v>
      </c>
      <c r="E134" s="2" t="s">
        <v>254</v>
      </c>
      <c r="F134" s="3" t="s">
        <v>614</v>
      </c>
      <c r="G134" s="3"/>
      <c r="H134" s="3" t="s">
        <v>190</v>
      </c>
      <c r="I134" s="4" t="s">
        <v>255</v>
      </c>
      <c r="J134" s="4" t="s">
        <v>11</v>
      </c>
      <c r="K134" s="4" t="s">
        <v>193</v>
      </c>
      <c r="L134" s="6">
        <v>100000</v>
      </c>
      <c r="M134" s="6">
        <v>100000</v>
      </c>
      <c r="N134" s="6">
        <v>200</v>
      </c>
      <c r="O134" s="6">
        <v>5000</v>
      </c>
      <c r="P134" s="14"/>
      <c r="Q134" s="6"/>
      <c r="R134" s="13" t="s">
        <v>24</v>
      </c>
    </row>
    <row r="135" spans="2:18" ht="17" x14ac:dyDescent="0.2">
      <c r="B135">
        <v>133</v>
      </c>
      <c r="C135" s="9" t="s">
        <v>168</v>
      </c>
      <c r="D135" s="11" t="e">
        <f>VLOOKUP(E135,[1]Mei!$E$6:$F$173,2,0)</f>
        <v>#N/A</v>
      </c>
      <c r="E135" s="7" t="s">
        <v>167</v>
      </c>
      <c r="F135" s="8" t="s">
        <v>582</v>
      </c>
      <c r="G135" s="8"/>
      <c r="H135" s="8" t="s">
        <v>10</v>
      </c>
      <c r="I135" s="9" t="s">
        <v>168</v>
      </c>
      <c r="J135" s="9" t="s">
        <v>11</v>
      </c>
      <c r="K135" s="9" t="s">
        <v>26</v>
      </c>
      <c r="L135" s="10">
        <v>100000</v>
      </c>
      <c r="M135" s="10">
        <v>200000</v>
      </c>
      <c r="N135" s="10">
        <v>200</v>
      </c>
      <c r="O135" s="10">
        <v>5000</v>
      </c>
      <c r="P135" s="10"/>
      <c r="Q135" s="10">
        <v>5000</v>
      </c>
      <c r="R135" s="13" t="s">
        <v>24</v>
      </c>
    </row>
    <row r="136" spans="2:18" ht="17" x14ac:dyDescent="0.2">
      <c r="B136">
        <v>134</v>
      </c>
      <c r="C136" s="4" t="s">
        <v>259</v>
      </c>
      <c r="D136" s="11" t="str">
        <f>VLOOKUP(E136,[1]Mei!$E$6:$F$173,2,0)</f>
        <v>00390</v>
      </c>
      <c r="E136" s="2" t="s">
        <v>258</v>
      </c>
      <c r="F136" s="3" t="s">
        <v>9</v>
      </c>
      <c r="G136" s="3"/>
      <c r="H136" s="3" t="s">
        <v>190</v>
      </c>
      <c r="I136" s="4" t="s">
        <v>259</v>
      </c>
      <c r="J136" s="4" t="s">
        <v>11</v>
      </c>
      <c r="K136" s="4" t="s">
        <v>45</v>
      </c>
      <c r="L136" s="6">
        <v>100000</v>
      </c>
      <c r="M136" s="6">
        <v>10000</v>
      </c>
      <c r="N136" s="6">
        <v>200</v>
      </c>
      <c r="O136" s="6">
        <v>5000</v>
      </c>
      <c r="P136" s="14"/>
      <c r="Q136" s="6"/>
      <c r="R136" s="13" t="s">
        <v>24</v>
      </c>
    </row>
    <row r="137" spans="2:18" ht="17" x14ac:dyDescent="0.2">
      <c r="B137">
        <v>135</v>
      </c>
      <c r="C137" s="21" t="s">
        <v>197</v>
      </c>
      <c r="D137" s="11" t="e">
        <f>VLOOKUP(E137,[1]Mei!$E$6:$F$173,2,0)</f>
        <v>#N/A</v>
      </c>
      <c r="E137" s="7" t="s">
        <v>196</v>
      </c>
      <c r="F137" s="8" t="s">
        <v>582</v>
      </c>
      <c r="G137" s="8"/>
      <c r="H137" s="8" t="s">
        <v>190</v>
      </c>
      <c r="I137" s="21" t="s">
        <v>197</v>
      </c>
      <c r="J137" s="9" t="s">
        <v>11</v>
      </c>
      <c r="K137" s="9" t="s">
        <v>193</v>
      </c>
      <c r="L137" s="10">
        <v>100000</v>
      </c>
      <c r="M137" s="10">
        <v>65000</v>
      </c>
      <c r="N137" s="10">
        <v>200</v>
      </c>
      <c r="O137" s="10">
        <v>5000</v>
      </c>
      <c r="P137" s="10">
        <v>0</v>
      </c>
      <c r="Q137" s="10">
        <v>5000</v>
      </c>
      <c r="R137" s="13" t="s">
        <v>24</v>
      </c>
    </row>
    <row r="138" spans="2:18" ht="17" x14ac:dyDescent="0.2">
      <c r="B138">
        <v>136</v>
      </c>
      <c r="C138" s="19" t="s">
        <v>257</v>
      </c>
      <c r="D138" s="11" t="e">
        <f>VLOOKUP(E138,[1]Mei!$E$6:$F$173,2,0)</f>
        <v>#N/A</v>
      </c>
      <c r="E138" s="2" t="s">
        <v>256</v>
      </c>
      <c r="F138" s="8" t="s">
        <v>582</v>
      </c>
      <c r="G138" s="3"/>
      <c r="H138" s="3" t="s">
        <v>190</v>
      </c>
      <c r="I138" s="19" t="s">
        <v>257</v>
      </c>
      <c r="J138" s="4" t="s">
        <v>11</v>
      </c>
      <c r="K138" s="4" t="s">
        <v>193</v>
      </c>
      <c r="L138" s="6">
        <v>100000</v>
      </c>
      <c r="M138" s="6">
        <v>75000</v>
      </c>
      <c r="N138" s="6">
        <v>200</v>
      </c>
      <c r="O138" s="6">
        <v>5000</v>
      </c>
      <c r="P138" s="106"/>
      <c r="Q138" s="6">
        <v>5000</v>
      </c>
      <c r="R138" s="13" t="s">
        <v>24</v>
      </c>
    </row>
    <row r="139" spans="2:18" ht="17" x14ac:dyDescent="0.2">
      <c r="B139">
        <v>137</v>
      </c>
      <c r="C139" s="21" t="s">
        <v>284</v>
      </c>
      <c r="D139" s="11" t="e">
        <f>VLOOKUP(E139,[1]Mei!$E$6:$F$173,2,0)</f>
        <v>#N/A</v>
      </c>
      <c r="E139" s="7" t="s">
        <v>283</v>
      </c>
      <c r="F139" s="8" t="s">
        <v>582</v>
      </c>
      <c r="G139" s="8"/>
      <c r="H139" s="8" t="s">
        <v>190</v>
      </c>
      <c r="I139" s="21" t="s">
        <v>284</v>
      </c>
      <c r="J139" s="9" t="str">
        <f>IF(LEFT(I139,2)="00","Tetap","Dilayani")</f>
        <v>Dilayani</v>
      </c>
      <c r="K139" s="9" t="s">
        <v>193</v>
      </c>
      <c r="L139" s="10">
        <f>25000+25000+50000</f>
        <v>100000</v>
      </c>
      <c r="M139" s="10">
        <f>10000+65000</f>
        <v>75000</v>
      </c>
      <c r="N139" s="10"/>
      <c r="O139" s="10">
        <v>5000</v>
      </c>
      <c r="P139" s="10"/>
      <c r="Q139" s="10">
        <f>O139+P139</f>
        <v>5000</v>
      </c>
      <c r="R139" s="13" t="s">
        <v>24</v>
      </c>
    </row>
    <row r="140" spans="2:18" ht="17" x14ac:dyDescent="0.2">
      <c r="B140">
        <v>138</v>
      </c>
      <c r="C140" s="19" t="s">
        <v>293</v>
      </c>
      <c r="D140" s="11" t="e">
        <f>VLOOKUP(E140,[1]Mei!$E$6:$F$173,2,0)</f>
        <v>#N/A</v>
      </c>
      <c r="E140" s="2" t="s">
        <v>292</v>
      </c>
      <c r="F140" s="8" t="s">
        <v>582</v>
      </c>
      <c r="G140" s="3"/>
      <c r="H140" s="3" t="s">
        <v>190</v>
      </c>
      <c r="I140" s="19" t="s">
        <v>293</v>
      </c>
      <c r="J140" s="4" t="str">
        <f>IF(LEFT(I140,2)="00","Tetap","Dilayani")</f>
        <v>Dilayani</v>
      </c>
      <c r="K140" s="4" t="s">
        <v>193</v>
      </c>
      <c r="L140" s="6">
        <f>50000+50000</f>
        <v>100000</v>
      </c>
      <c r="M140" s="6">
        <v>75000</v>
      </c>
      <c r="N140" s="6"/>
      <c r="O140" s="6">
        <v>5000</v>
      </c>
      <c r="P140" s="6">
        <v>0</v>
      </c>
      <c r="Q140" s="6">
        <f>O140+P140</f>
        <v>5000</v>
      </c>
      <c r="R140" s="13" t="s">
        <v>24</v>
      </c>
    </row>
    <row r="141" spans="2:18" ht="17" x14ac:dyDescent="0.2">
      <c r="B141">
        <v>139</v>
      </c>
      <c r="C141" s="19" t="s">
        <v>269</v>
      </c>
      <c r="D141" s="11" t="str">
        <f>VLOOKUP(E141,[1]Mei!$E$6:$F$173,2,0)</f>
        <v>00528</v>
      </c>
      <c r="E141" s="2" t="s">
        <v>268</v>
      </c>
      <c r="F141" s="3" t="s">
        <v>9</v>
      </c>
      <c r="G141" s="3"/>
      <c r="H141" s="3" t="s">
        <v>190</v>
      </c>
      <c r="I141" s="19" t="s">
        <v>269</v>
      </c>
      <c r="J141" s="4" t="s">
        <v>11</v>
      </c>
      <c r="K141" s="4" t="s">
        <v>193</v>
      </c>
      <c r="L141" s="6">
        <v>100000</v>
      </c>
      <c r="M141" s="6">
        <v>100000</v>
      </c>
      <c r="N141" s="6"/>
      <c r="O141" s="6">
        <v>5000</v>
      </c>
      <c r="P141" s="14"/>
      <c r="Q141" s="6"/>
      <c r="R141" s="13" t="s">
        <v>24</v>
      </c>
    </row>
    <row r="142" spans="2:18" ht="17" x14ac:dyDescent="0.2">
      <c r="B142">
        <v>140</v>
      </c>
      <c r="C142" s="19" t="s">
        <v>271</v>
      </c>
      <c r="D142" s="11" t="str">
        <f>VLOOKUP(E142,[1]Mei!$E$6:$F$173,2,0)</f>
        <v>00509</v>
      </c>
      <c r="E142" s="2" t="s">
        <v>270</v>
      </c>
      <c r="F142" s="3" t="s">
        <v>9</v>
      </c>
      <c r="G142" s="3"/>
      <c r="H142" s="3" t="s">
        <v>190</v>
      </c>
      <c r="I142" s="19" t="s">
        <v>271</v>
      </c>
      <c r="J142" s="4" t="s">
        <v>11</v>
      </c>
      <c r="K142" s="4" t="s">
        <v>45</v>
      </c>
      <c r="L142" s="6">
        <v>100000</v>
      </c>
      <c r="M142" s="6">
        <v>175000</v>
      </c>
      <c r="N142" s="6"/>
      <c r="O142" s="6">
        <v>5000</v>
      </c>
      <c r="P142" s="14"/>
      <c r="Q142" s="6"/>
      <c r="R142" s="13" t="s">
        <v>24</v>
      </c>
    </row>
    <row r="143" spans="2:18" ht="17" x14ac:dyDescent="0.2">
      <c r="B143">
        <v>141</v>
      </c>
      <c r="C143" s="37" t="s">
        <v>297</v>
      </c>
      <c r="D143" s="11" t="e">
        <f>VLOOKUP(E143,[1]Mei!$E$6:$F$173,2,0)</f>
        <v>#N/A</v>
      </c>
      <c r="E143" s="36" t="s">
        <v>296</v>
      </c>
      <c r="F143" s="54" t="s">
        <v>582</v>
      </c>
      <c r="G143" s="54"/>
      <c r="H143" s="54" t="s">
        <v>190</v>
      </c>
      <c r="I143" s="37" t="s">
        <v>297</v>
      </c>
      <c r="J143" s="38" t="str">
        <f>IF(LEFT(I143,2)="00","Tetap","Dilayani")</f>
        <v>Dilayani</v>
      </c>
      <c r="K143" s="38" t="s">
        <v>193</v>
      </c>
      <c r="L143" s="39">
        <v>100000</v>
      </c>
      <c r="M143" s="39">
        <v>100000</v>
      </c>
      <c r="N143" s="39"/>
      <c r="O143" s="39">
        <v>20000</v>
      </c>
      <c r="P143" s="39"/>
      <c r="Q143" s="39">
        <f>O143+P143</f>
        <v>20000</v>
      </c>
      <c r="R143" s="13" t="s">
        <v>24</v>
      </c>
    </row>
    <row r="144" spans="2:18" ht="17" x14ac:dyDescent="0.2">
      <c r="B144">
        <v>142</v>
      </c>
      <c r="C144" s="19" t="s">
        <v>275</v>
      </c>
      <c r="D144" s="11" t="str">
        <f>VLOOKUP(E144,[1]Mei!$E$6:$F$173,2,0)</f>
        <v>00515</v>
      </c>
      <c r="E144" s="2" t="s">
        <v>274</v>
      </c>
      <c r="F144" s="3" t="s">
        <v>9</v>
      </c>
      <c r="G144" s="3"/>
      <c r="H144" s="3" t="s">
        <v>190</v>
      </c>
      <c r="I144" s="19" t="s">
        <v>275</v>
      </c>
      <c r="J144" s="9" t="str">
        <f>IF(LEFT(I144,2)="00","Tetap","Dilayani")</f>
        <v>Tetap</v>
      </c>
      <c r="K144" s="4" t="s">
        <v>193</v>
      </c>
      <c r="L144" s="6">
        <v>100000</v>
      </c>
      <c r="M144" s="6">
        <v>100000</v>
      </c>
      <c r="N144" s="6"/>
      <c r="O144" s="6">
        <v>5000</v>
      </c>
      <c r="P144" s="14"/>
      <c r="Q144" s="6"/>
      <c r="R144" s="13" t="s">
        <v>24</v>
      </c>
    </row>
    <row r="145" spans="2:18" ht="17" x14ac:dyDescent="0.2">
      <c r="B145">
        <v>143</v>
      </c>
      <c r="C145" s="11" t="s">
        <v>394</v>
      </c>
      <c r="D145" s="11" t="str">
        <f>VLOOKUP(E145,[1]Mei!$E$6:$F$173,2,0)</f>
        <v>00558</v>
      </c>
      <c r="E145" s="2" t="s">
        <v>276</v>
      </c>
      <c r="F145" s="3" t="s">
        <v>9</v>
      </c>
      <c r="G145" s="3"/>
      <c r="H145" s="3" t="s">
        <v>10</v>
      </c>
      <c r="I145" s="11" t="s">
        <v>394</v>
      </c>
      <c r="J145" s="9" t="str">
        <f>IF(LEFT(I145,2)="00","Tetap","Dilayani")</f>
        <v>Tetap</v>
      </c>
      <c r="K145" s="4" t="s">
        <v>26</v>
      </c>
      <c r="L145" s="6">
        <v>200000</v>
      </c>
      <c r="M145" s="6">
        <v>350000</v>
      </c>
      <c r="N145" s="6"/>
      <c r="O145" s="6">
        <v>50000</v>
      </c>
      <c r="P145" s="6"/>
      <c r="Q145" s="6">
        <v>50000</v>
      </c>
      <c r="R145" s="13" t="s">
        <v>24</v>
      </c>
    </row>
    <row r="146" spans="2:18" ht="17" x14ac:dyDescent="0.2">
      <c r="B146">
        <v>144</v>
      </c>
      <c r="C146" s="11" t="s">
        <v>395</v>
      </c>
      <c r="D146" s="11" t="str">
        <f>VLOOKUP(E146,[1]Mei!$E$6:$F$173,2,0)</f>
        <v>00564</v>
      </c>
      <c r="E146" s="2" t="s">
        <v>277</v>
      </c>
      <c r="F146" s="3" t="s">
        <v>9</v>
      </c>
      <c r="G146" s="3"/>
      <c r="H146" s="3" t="s">
        <v>10</v>
      </c>
      <c r="I146" s="11" t="s">
        <v>395</v>
      </c>
      <c r="J146" s="9" t="str">
        <f>IF(LEFT(I146,2)="00","Tetap","Dilayani")</f>
        <v>Tetap</v>
      </c>
      <c r="K146" s="4" t="s">
        <v>45</v>
      </c>
      <c r="L146" s="6">
        <v>100000</v>
      </c>
      <c r="M146" s="6">
        <v>500000</v>
      </c>
      <c r="N146" s="6"/>
      <c r="O146" s="6">
        <v>50000</v>
      </c>
      <c r="P146" s="6"/>
      <c r="Q146" s="6">
        <v>50000</v>
      </c>
      <c r="R146" s="13" t="s">
        <v>24</v>
      </c>
    </row>
    <row r="147" spans="2:18" ht="17" x14ac:dyDescent="0.2">
      <c r="B147">
        <v>145</v>
      </c>
      <c r="C147" s="19">
        <v>0</v>
      </c>
      <c r="D147" s="11" t="e">
        <f>VLOOKUP(E147,[1]Mei!$E$6:$F$173,2,0)</f>
        <v>#N/A</v>
      </c>
      <c r="E147" s="2" t="s">
        <v>305</v>
      </c>
      <c r="F147" s="8" t="s">
        <v>582</v>
      </c>
      <c r="G147" s="3"/>
      <c r="H147" s="3" t="s">
        <v>190</v>
      </c>
      <c r="I147" s="19">
        <v>0</v>
      </c>
      <c r="J147" s="4" t="str">
        <f>IF(LEFT(I147,2)="00","Tetap","Dilayani")</f>
        <v>Dilayani</v>
      </c>
      <c r="K147" s="4" t="s">
        <v>193</v>
      </c>
      <c r="L147" s="6">
        <v>150000</v>
      </c>
      <c r="M147" s="6">
        <v>100000</v>
      </c>
      <c r="N147" s="6"/>
      <c r="O147" s="6">
        <v>50000</v>
      </c>
      <c r="P147" s="106"/>
      <c r="Q147" s="6">
        <v>50000</v>
      </c>
      <c r="R147" s="13" t="s">
        <v>24</v>
      </c>
    </row>
    <row r="148" spans="2:18" ht="17" x14ac:dyDescent="0.2">
      <c r="B148">
        <v>146</v>
      </c>
      <c r="C148" s="19" t="s">
        <v>280</v>
      </c>
      <c r="D148" s="11" t="str">
        <f>VLOOKUP(E148,[1]Mei!$E$6:$F$173,2,0)</f>
        <v>K879</v>
      </c>
      <c r="E148" s="2" t="s">
        <v>279</v>
      </c>
      <c r="F148" s="3" t="s">
        <v>9</v>
      </c>
      <c r="G148" s="3"/>
      <c r="H148" s="3" t="s">
        <v>190</v>
      </c>
      <c r="I148" s="19" t="s">
        <v>280</v>
      </c>
      <c r="J148" s="4" t="s">
        <v>158</v>
      </c>
      <c r="K148" s="4" t="s">
        <v>45</v>
      </c>
      <c r="L148" s="6">
        <v>100000</v>
      </c>
      <c r="M148" s="6">
        <v>50000</v>
      </c>
      <c r="N148" s="6"/>
      <c r="O148" s="6">
        <v>20000</v>
      </c>
      <c r="P148" s="14"/>
      <c r="Q148" s="6"/>
      <c r="R148" s="13" t="s">
        <v>24</v>
      </c>
    </row>
    <row r="149" spans="2:18" ht="17" x14ac:dyDescent="0.2">
      <c r="B149">
        <v>147</v>
      </c>
      <c r="C149" s="9" t="s">
        <v>64</v>
      </c>
      <c r="D149" s="11" t="e">
        <f>VLOOKUP(E149,[1]Mei!$E$6:$F$173,2,0)</f>
        <v>#N/A</v>
      </c>
      <c r="E149" s="7" t="s">
        <v>63</v>
      </c>
      <c r="F149" s="8" t="s">
        <v>583</v>
      </c>
      <c r="G149" s="8"/>
      <c r="H149" s="8" t="s">
        <v>10</v>
      </c>
      <c r="I149" s="9" t="s">
        <v>64</v>
      </c>
      <c r="J149" s="9" t="str">
        <f>IF(LEFT(I149,2)="00","Tetap","Dilayani")</f>
        <v>Tetap</v>
      </c>
      <c r="K149" s="9" t="s">
        <v>21</v>
      </c>
      <c r="L149" s="10">
        <v>200000</v>
      </c>
      <c r="M149" s="10">
        <v>100000</v>
      </c>
      <c r="N149" s="10">
        <v>200</v>
      </c>
      <c r="O149" s="10">
        <v>5000</v>
      </c>
      <c r="P149" s="10"/>
      <c r="Q149" s="10">
        <v>5000</v>
      </c>
      <c r="R149" s="13" t="s">
        <v>24</v>
      </c>
    </row>
    <row r="150" spans="2:18" ht="17" x14ac:dyDescent="0.2">
      <c r="B150">
        <v>148</v>
      </c>
      <c r="C150" s="17" t="s">
        <v>68</v>
      </c>
      <c r="D150" s="11" t="e">
        <f>VLOOKUP(E150,[1]Mei!$E$6:$F$173,2,0)</f>
        <v>#N/A</v>
      </c>
      <c r="E150" s="15" t="s">
        <v>67</v>
      </c>
      <c r="F150" s="8" t="s">
        <v>583</v>
      </c>
      <c r="G150" s="8"/>
      <c r="H150" s="8" t="s">
        <v>10</v>
      </c>
      <c r="I150" s="17" t="s">
        <v>68</v>
      </c>
      <c r="J150" s="17" t="str">
        <f>IF(LEFT(I150,2)="00","Tetap","Dilayani")</f>
        <v>Tetap</v>
      </c>
      <c r="K150" s="17" t="s">
        <v>26</v>
      </c>
      <c r="L150" s="18">
        <v>150000</v>
      </c>
      <c r="M150" s="18">
        <v>100000</v>
      </c>
      <c r="N150" s="18">
        <v>200</v>
      </c>
      <c r="O150" s="18">
        <v>5000</v>
      </c>
      <c r="P150" s="18"/>
      <c r="Q150" s="18">
        <v>5000</v>
      </c>
      <c r="R150" s="13" t="s">
        <v>24</v>
      </c>
    </row>
    <row r="151" spans="2:18" ht="17" x14ac:dyDescent="0.2">
      <c r="B151">
        <v>149</v>
      </c>
      <c r="C151" s="17" t="s">
        <v>134</v>
      </c>
      <c r="D151" s="11" t="e">
        <f>VLOOKUP(E151,[1]Mei!$E$6:$F$173,2,0)</f>
        <v>#N/A</v>
      </c>
      <c r="E151" s="15" t="s">
        <v>133</v>
      </c>
      <c r="F151" s="8" t="s">
        <v>583</v>
      </c>
      <c r="G151" s="8"/>
      <c r="H151" s="8" t="s">
        <v>10</v>
      </c>
      <c r="I151" s="17" t="s">
        <v>134</v>
      </c>
      <c r="J151" s="17" t="s">
        <v>11</v>
      </c>
      <c r="K151" s="17" t="s">
        <v>12</v>
      </c>
      <c r="L151" s="18">
        <v>150000</v>
      </c>
      <c r="M151" s="18">
        <v>150000</v>
      </c>
      <c r="N151" s="18">
        <v>200</v>
      </c>
      <c r="O151" s="18">
        <v>5000</v>
      </c>
      <c r="P151" s="18"/>
      <c r="Q151" s="18">
        <v>5000</v>
      </c>
      <c r="R151" s="13" t="s">
        <v>24</v>
      </c>
    </row>
    <row r="152" spans="2:18" ht="17" x14ac:dyDescent="0.2">
      <c r="B152">
        <v>150</v>
      </c>
      <c r="C152" s="32" t="s">
        <v>288</v>
      </c>
      <c r="D152" s="11">
        <f>VLOOKUP(E152,[1]Mei!$E$6:$F$173,2,0)</f>
        <v>0</v>
      </c>
      <c r="E152" s="30" t="s">
        <v>287</v>
      </c>
      <c r="F152" s="31" t="s">
        <v>470</v>
      </c>
      <c r="G152" s="31"/>
      <c r="H152" s="31" t="s">
        <v>190</v>
      </c>
      <c r="I152" s="32" t="s">
        <v>288</v>
      </c>
      <c r="J152" s="33" t="str">
        <f>IF(LEFT(I152,2)="00","Tetap","Dilayani")</f>
        <v>Dilayani</v>
      </c>
      <c r="K152" s="33" t="s">
        <v>193</v>
      </c>
      <c r="L152" s="34">
        <f>25000+25000+50000</f>
        <v>100000</v>
      </c>
      <c r="M152" s="34">
        <v>75000</v>
      </c>
      <c r="N152" s="34"/>
      <c r="O152" s="34">
        <v>5000</v>
      </c>
      <c r="P152" s="35"/>
      <c r="Q152" s="34">
        <f>O152+P152</f>
        <v>5000</v>
      </c>
      <c r="R152" s="13" t="s">
        <v>24</v>
      </c>
    </row>
    <row r="153" spans="2:18" ht="17" x14ac:dyDescent="0.2">
      <c r="B153">
        <v>151</v>
      </c>
      <c r="C153" s="19" t="s">
        <v>290</v>
      </c>
      <c r="D153" s="11" t="str">
        <f>VLOOKUP(E153,[1]Mei!$E$6:$F$173,2,0)</f>
        <v>K598</v>
      </c>
      <c r="E153" s="2" t="s">
        <v>289</v>
      </c>
      <c r="F153" s="3" t="s">
        <v>9</v>
      </c>
      <c r="G153" s="3"/>
      <c r="H153" s="3" t="s">
        <v>190</v>
      </c>
      <c r="I153" s="19" t="s">
        <v>290</v>
      </c>
      <c r="J153" s="4" t="str">
        <f>IF(LEFT(I153,2)="00","Tetap","Dilayani")</f>
        <v>Dilayani</v>
      </c>
      <c r="K153" s="4" t="s">
        <v>193</v>
      </c>
      <c r="L153" s="6">
        <f>25000+25000+50000</f>
        <v>100000</v>
      </c>
      <c r="M153" s="6">
        <v>75000</v>
      </c>
      <c r="N153" s="6"/>
      <c r="O153" s="6">
        <v>5000</v>
      </c>
      <c r="P153" s="14"/>
      <c r="Q153" s="6">
        <f>O153+P153</f>
        <v>5000</v>
      </c>
      <c r="R153" s="13" t="s">
        <v>24</v>
      </c>
    </row>
    <row r="154" spans="2:18" ht="17" x14ac:dyDescent="0.2">
      <c r="B154">
        <v>152</v>
      </c>
      <c r="C154" s="11" t="s">
        <v>396</v>
      </c>
      <c r="D154" s="11" t="str">
        <f>VLOOKUP(E154,[1]Mei!$E$6:$F$173,2,0)</f>
        <v>00574</v>
      </c>
      <c r="E154" s="2" t="s">
        <v>291</v>
      </c>
      <c r="F154" s="3" t="s">
        <v>9</v>
      </c>
      <c r="G154" s="3"/>
      <c r="H154" s="3" t="s">
        <v>190</v>
      </c>
      <c r="I154" s="11" t="s">
        <v>396</v>
      </c>
      <c r="J154" s="4" t="str">
        <f>IF(LEFT(I154,2)="00","Tetap","Dilayani")</f>
        <v>Tetap</v>
      </c>
      <c r="K154" s="4" t="s">
        <v>193</v>
      </c>
      <c r="L154" s="6">
        <f>25000+25000+50000</f>
        <v>100000</v>
      </c>
      <c r="M154" s="6">
        <v>75000</v>
      </c>
      <c r="N154" s="6"/>
      <c r="O154" s="6">
        <v>5000</v>
      </c>
      <c r="P154" s="14"/>
      <c r="Q154" s="6">
        <f>O154+P154</f>
        <v>5000</v>
      </c>
      <c r="R154" s="13" t="s">
        <v>24</v>
      </c>
    </row>
    <row r="155" spans="2:18" ht="17" x14ac:dyDescent="0.2">
      <c r="B155">
        <v>153</v>
      </c>
      <c r="C155" s="21" t="s">
        <v>138</v>
      </c>
      <c r="D155" s="11" t="e">
        <f>VLOOKUP(E155,[1]Mei!$E$6:$F$173,2,0)</f>
        <v>#N/A</v>
      </c>
      <c r="E155" s="7" t="s">
        <v>137</v>
      </c>
      <c r="F155" s="8" t="s">
        <v>583</v>
      </c>
      <c r="G155" s="8"/>
      <c r="H155" s="8" t="s">
        <v>10</v>
      </c>
      <c r="I155" s="21" t="s">
        <v>138</v>
      </c>
      <c r="J155" s="9" t="s">
        <v>11</v>
      </c>
      <c r="K155" s="9" t="s">
        <v>33</v>
      </c>
      <c r="L155" s="10">
        <v>100000</v>
      </c>
      <c r="M155" s="10">
        <v>100000</v>
      </c>
      <c r="N155" s="10">
        <v>200</v>
      </c>
      <c r="O155" s="10">
        <v>5000</v>
      </c>
      <c r="P155" s="10">
        <v>0</v>
      </c>
      <c r="Q155" s="10">
        <v>5000</v>
      </c>
      <c r="R155" s="13" t="s">
        <v>24</v>
      </c>
    </row>
    <row r="156" spans="2:18" ht="17" x14ac:dyDescent="0.2">
      <c r="B156">
        <v>154</v>
      </c>
      <c r="C156" s="32" t="s">
        <v>470</v>
      </c>
      <c r="D156" s="11" t="e">
        <f>VLOOKUP(E156,[1]Mei!$E$6:$F$173,2,0)</f>
        <v>#N/A</v>
      </c>
      <c r="E156" s="30" t="s">
        <v>294</v>
      </c>
      <c r="F156" s="31" t="s">
        <v>614</v>
      </c>
      <c r="G156" s="31"/>
      <c r="H156" s="31" t="s">
        <v>190</v>
      </c>
      <c r="I156" s="32" t="s">
        <v>470</v>
      </c>
      <c r="J156" s="33" t="str">
        <f>IF(LEFT(I156,2)="00","Tetap","Dilayani")</f>
        <v>Dilayani</v>
      </c>
      <c r="K156" s="33" t="s">
        <v>193</v>
      </c>
      <c r="L156" s="34">
        <f>25000+25000+50000</f>
        <v>100000</v>
      </c>
      <c r="M156" s="34">
        <v>100000</v>
      </c>
      <c r="N156" s="34"/>
      <c r="O156" s="34">
        <v>5000</v>
      </c>
      <c r="P156" s="35"/>
      <c r="Q156" s="34">
        <f>O156+P156</f>
        <v>5000</v>
      </c>
      <c r="R156" s="13" t="s">
        <v>24</v>
      </c>
    </row>
    <row r="157" spans="2:18" ht="17" x14ac:dyDescent="0.2">
      <c r="B157">
        <v>155</v>
      </c>
      <c r="C157" s="32" t="s">
        <v>470</v>
      </c>
      <c r="D157" s="11">
        <f>VLOOKUP(E157,[1]Mei!$E$6:$F$173,2,0)</f>
        <v>0</v>
      </c>
      <c r="E157" s="30" t="s">
        <v>295</v>
      </c>
      <c r="F157" s="31" t="s">
        <v>470</v>
      </c>
      <c r="G157" s="31"/>
      <c r="H157" s="31" t="s">
        <v>190</v>
      </c>
      <c r="I157" s="32" t="s">
        <v>470</v>
      </c>
      <c r="J157" s="33" t="str">
        <f>IF(LEFT(I157,2)="00","Tetap","Dilayani")</f>
        <v>Dilayani</v>
      </c>
      <c r="K157" s="33" t="s">
        <v>193</v>
      </c>
      <c r="L157" s="34">
        <f>25000+25000+50000</f>
        <v>100000</v>
      </c>
      <c r="M157" s="34">
        <v>100000</v>
      </c>
      <c r="N157" s="34"/>
      <c r="O157" s="34">
        <v>5000</v>
      </c>
      <c r="P157" s="35"/>
      <c r="Q157" s="34">
        <f>O157+P157</f>
        <v>5000</v>
      </c>
      <c r="R157" s="13" t="s">
        <v>24</v>
      </c>
    </row>
    <row r="158" spans="2:18" ht="17" x14ac:dyDescent="0.2">
      <c r="B158">
        <v>156</v>
      </c>
      <c r="C158" s="9" t="s">
        <v>140</v>
      </c>
      <c r="D158" s="11" t="e">
        <f>VLOOKUP(E158,[1]Mei!$E$6:$F$173,2,0)</f>
        <v>#N/A</v>
      </c>
      <c r="E158" s="7" t="s">
        <v>139</v>
      </c>
      <c r="F158" s="8" t="s">
        <v>583</v>
      </c>
      <c r="G158" s="8"/>
      <c r="H158" s="8" t="s">
        <v>10</v>
      </c>
      <c r="I158" s="9" t="s">
        <v>140</v>
      </c>
      <c r="J158" s="9" t="s">
        <v>11</v>
      </c>
      <c r="K158" s="9" t="s">
        <v>26</v>
      </c>
      <c r="L158" s="10">
        <v>100000</v>
      </c>
      <c r="M158" s="10">
        <v>75000</v>
      </c>
      <c r="N158" s="10">
        <v>200</v>
      </c>
      <c r="O158" s="10">
        <v>5000</v>
      </c>
      <c r="P158" s="10"/>
      <c r="Q158" s="10">
        <v>5000</v>
      </c>
      <c r="R158" s="13" t="s">
        <v>24</v>
      </c>
    </row>
    <row r="159" spans="2:18" ht="17" x14ac:dyDescent="0.2">
      <c r="B159">
        <v>157</v>
      </c>
      <c r="C159" s="11" t="s">
        <v>397</v>
      </c>
      <c r="D159" s="11" t="str">
        <f>VLOOKUP(E159,[1]Mei!$E$6:$F$173,2,0)</f>
        <v>K1563</v>
      </c>
      <c r="E159" s="2" t="s">
        <v>482</v>
      </c>
      <c r="F159" s="3" t="s">
        <v>9</v>
      </c>
      <c r="G159" s="3"/>
      <c r="H159" s="3" t="s">
        <v>190</v>
      </c>
      <c r="I159" s="11" t="s">
        <v>397</v>
      </c>
      <c r="J159" s="9" t="str">
        <f>IF(LEFT(I159,2)="00","Tetap","Dilayani")</f>
        <v>Dilayani</v>
      </c>
      <c r="K159" s="9" t="s">
        <v>193</v>
      </c>
      <c r="L159" s="6">
        <v>100000</v>
      </c>
      <c r="M159" s="6">
        <v>100000</v>
      </c>
      <c r="N159" s="6"/>
      <c r="O159" s="6">
        <v>50000</v>
      </c>
      <c r="P159" s="14"/>
      <c r="Q159" s="6"/>
      <c r="R159" s="13" t="s">
        <v>24</v>
      </c>
    </row>
    <row r="160" spans="2:18" ht="17" x14ac:dyDescent="0.2">
      <c r="B160">
        <v>158</v>
      </c>
      <c r="C160" s="21" t="s">
        <v>150</v>
      </c>
      <c r="D160" s="11" t="e">
        <f>VLOOKUP(E160,[1]Mei!$E$6:$F$173,2,0)</f>
        <v>#N/A</v>
      </c>
      <c r="E160" s="7" t="s">
        <v>149</v>
      </c>
      <c r="F160" s="8" t="s">
        <v>583</v>
      </c>
      <c r="G160" s="8"/>
      <c r="H160" s="8" t="s">
        <v>10</v>
      </c>
      <c r="I160" s="21" t="s">
        <v>150</v>
      </c>
      <c r="J160" s="9" t="s">
        <v>11</v>
      </c>
      <c r="K160" s="9" t="s">
        <v>33</v>
      </c>
      <c r="L160" s="10">
        <v>100000</v>
      </c>
      <c r="M160" s="10">
        <v>100000</v>
      </c>
      <c r="N160" s="10">
        <v>200</v>
      </c>
      <c r="O160" s="10">
        <v>5000</v>
      </c>
      <c r="P160" s="10"/>
      <c r="Q160" s="10">
        <v>5000</v>
      </c>
      <c r="R160" s="13" t="s">
        <v>24</v>
      </c>
    </row>
    <row r="161" spans="2:18" ht="17" x14ac:dyDescent="0.2">
      <c r="B161">
        <v>159</v>
      </c>
      <c r="C161" s="11" t="s">
        <v>398</v>
      </c>
      <c r="D161" s="11" t="str">
        <f>VLOOKUP(E161,[1]Mei!$E$6:$F$173,2,0)</f>
        <v>00585</v>
      </c>
      <c r="E161" s="2" t="s">
        <v>300</v>
      </c>
      <c r="F161" s="3" t="s">
        <v>9</v>
      </c>
      <c r="G161" s="3"/>
      <c r="H161" s="3" t="s">
        <v>190</v>
      </c>
      <c r="I161" s="11" t="s">
        <v>398</v>
      </c>
      <c r="J161" s="4" t="str">
        <f>IF(LEFT(I161,2)="00","Tetap","Dilayani")</f>
        <v>Tetap</v>
      </c>
      <c r="K161" s="4" t="s">
        <v>193</v>
      </c>
      <c r="L161" s="6">
        <f>25000+25000+50000</f>
        <v>100000</v>
      </c>
      <c r="M161" s="6">
        <v>125000</v>
      </c>
      <c r="N161" s="6">
        <v>0</v>
      </c>
      <c r="O161" s="6">
        <v>5000</v>
      </c>
      <c r="P161" s="14"/>
      <c r="Q161" s="6"/>
      <c r="R161" s="13" t="s">
        <v>24</v>
      </c>
    </row>
    <row r="162" spans="2:18" ht="17" x14ac:dyDescent="0.2">
      <c r="B162">
        <v>160</v>
      </c>
      <c r="C162" s="32" t="s">
        <v>302</v>
      </c>
      <c r="D162" s="11" t="e">
        <f>VLOOKUP(E162,[1]Mei!$E$6:$F$173,2,0)</f>
        <v>#N/A</v>
      </c>
      <c r="E162" s="30" t="s">
        <v>301</v>
      </c>
      <c r="F162" s="31" t="s">
        <v>470</v>
      </c>
      <c r="G162" s="31"/>
      <c r="H162" s="31" t="s">
        <v>190</v>
      </c>
      <c r="I162" s="32" t="s">
        <v>302</v>
      </c>
      <c r="J162" s="33" t="str">
        <f>IF(LEFT(I162,2)="00","Tetap","Dilayani")</f>
        <v>Dilayani</v>
      </c>
      <c r="K162" s="33" t="s">
        <v>193</v>
      </c>
      <c r="L162" s="34">
        <v>100000</v>
      </c>
      <c r="M162" s="34">
        <v>80000</v>
      </c>
      <c r="N162" s="34"/>
      <c r="O162" s="34">
        <v>20000</v>
      </c>
      <c r="P162" s="35"/>
      <c r="Q162" s="34">
        <f>O162+P162</f>
        <v>20000</v>
      </c>
      <c r="R162" s="13" t="s">
        <v>24</v>
      </c>
    </row>
    <row r="163" spans="2:18" ht="17" x14ac:dyDescent="0.2">
      <c r="B163">
        <v>161</v>
      </c>
      <c r="C163" s="11" t="s">
        <v>399</v>
      </c>
      <c r="D163" s="11" t="str">
        <f>VLOOKUP(E163,[1]Mei!$E$6:$F$173,2,0)</f>
        <v>00611</v>
      </c>
      <c r="E163" s="2" t="s">
        <v>519</v>
      </c>
      <c r="F163" s="3" t="s">
        <v>9</v>
      </c>
      <c r="G163" s="3"/>
      <c r="H163" s="3" t="s">
        <v>10</v>
      </c>
      <c r="I163" s="11" t="s">
        <v>399</v>
      </c>
      <c r="J163" s="4" t="str">
        <f>IF(LEFT(I163,2)="00","Tetap","Dilayani")</f>
        <v>Tetap</v>
      </c>
      <c r="K163" s="4"/>
      <c r="L163" s="58">
        <v>100000</v>
      </c>
      <c r="M163" s="59">
        <v>100000</v>
      </c>
      <c r="N163" s="6"/>
      <c r="O163" s="6">
        <v>50000</v>
      </c>
      <c r="P163" s="6"/>
      <c r="Q163" s="6">
        <v>50000</v>
      </c>
      <c r="R163" s="13" t="s">
        <v>24</v>
      </c>
    </row>
    <row r="164" spans="2:18" ht="17" x14ac:dyDescent="0.2">
      <c r="B164">
        <v>162</v>
      </c>
      <c r="C164" s="11" t="s">
        <v>401</v>
      </c>
      <c r="D164" s="11" t="str">
        <f>VLOOKUP(E164,[1]Mei!$E$6:$F$173,2,0)</f>
        <v>00614</v>
      </c>
      <c r="E164" s="2" t="s">
        <v>400</v>
      </c>
      <c r="F164" s="3" t="s">
        <v>9</v>
      </c>
      <c r="G164" s="3"/>
      <c r="H164" s="3" t="s">
        <v>10</v>
      </c>
      <c r="I164" s="11" t="s">
        <v>401</v>
      </c>
      <c r="J164" s="4" t="str">
        <f>IF(LEFT(I164,2)="00","Tetap","Dilayani")</f>
        <v>Tetap</v>
      </c>
      <c r="K164" s="4"/>
      <c r="L164" s="58">
        <v>100000</v>
      </c>
      <c r="M164" s="59">
        <v>100000</v>
      </c>
      <c r="N164" s="6"/>
      <c r="O164" s="6">
        <v>50000</v>
      </c>
      <c r="P164" s="6"/>
      <c r="Q164" s="6">
        <v>50000</v>
      </c>
      <c r="R164" s="13" t="s">
        <v>24</v>
      </c>
    </row>
    <row r="165" spans="2:18" ht="17" x14ac:dyDescent="0.2">
      <c r="B165">
        <v>163</v>
      </c>
      <c r="C165" s="19" t="s">
        <v>211</v>
      </c>
      <c r="D165" s="11" t="e">
        <f>VLOOKUP(E165,[1]Mei!$E$6:$F$173,2,0)</f>
        <v>#N/A</v>
      </c>
      <c r="E165" s="2" t="s">
        <v>210</v>
      </c>
      <c r="F165" s="8" t="s">
        <v>583</v>
      </c>
      <c r="G165" s="3"/>
      <c r="H165" s="3" t="s">
        <v>190</v>
      </c>
      <c r="I165" s="19" t="s">
        <v>211</v>
      </c>
      <c r="J165" s="4" t="s">
        <v>11</v>
      </c>
      <c r="K165" s="4" t="s">
        <v>193</v>
      </c>
      <c r="L165" s="6">
        <v>100000</v>
      </c>
      <c r="M165" s="6">
        <v>10000</v>
      </c>
      <c r="N165" s="6">
        <v>200</v>
      </c>
      <c r="O165" s="6">
        <v>5000</v>
      </c>
      <c r="P165" s="6"/>
      <c r="Q165" s="6">
        <v>5000</v>
      </c>
      <c r="R165" s="13" t="s">
        <v>24</v>
      </c>
    </row>
    <row r="166" spans="2:18" ht="17" x14ac:dyDescent="0.2">
      <c r="B166">
        <v>164</v>
      </c>
      <c r="C166" s="11" t="s">
        <v>402</v>
      </c>
      <c r="D166" s="11" t="str">
        <f>VLOOKUP(E166,[1]Mei!$E$6:$F$173,2,0)</f>
        <v>K936</v>
      </c>
      <c r="E166" s="2" t="s">
        <v>304</v>
      </c>
      <c r="F166" s="3" t="s">
        <v>9</v>
      </c>
      <c r="G166" s="3"/>
      <c r="H166" s="3" t="s">
        <v>190</v>
      </c>
      <c r="I166" s="11" t="s">
        <v>402</v>
      </c>
      <c r="J166" s="4" t="str">
        <f>IF(LEFT(I166,2)="00","Tetap","Dilayani")</f>
        <v>Dilayani</v>
      </c>
      <c r="K166" s="4" t="s">
        <v>193</v>
      </c>
      <c r="L166" s="6">
        <v>150000</v>
      </c>
      <c r="M166" s="6">
        <v>100000</v>
      </c>
      <c r="N166" s="6"/>
      <c r="O166" s="6">
        <v>50000</v>
      </c>
      <c r="P166" s="14"/>
      <c r="Q166" s="6"/>
      <c r="R166" s="13" t="s">
        <v>24</v>
      </c>
    </row>
    <row r="167" spans="2:18" ht="17" x14ac:dyDescent="0.2">
      <c r="B167">
        <v>165</v>
      </c>
      <c r="C167" s="9" t="s">
        <v>219</v>
      </c>
      <c r="D167" s="11" t="e">
        <f>VLOOKUP(E167,[1]Mei!$E$6:$F$173,2,0)</f>
        <v>#N/A</v>
      </c>
      <c r="E167" s="7" t="s">
        <v>218</v>
      </c>
      <c r="F167" s="8" t="s">
        <v>583</v>
      </c>
      <c r="G167" s="8"/>
      <c r="H167" s="8" t="s">
        <v>190</v>
      </c>
      <c r="I167" s="9" t="s">
        <v>219</v>
      </c>
      <c r="J167" s="9" t="s">
        <v>11</v>
      </c>
      <c r="K167" s="9" t="s">
        <v>26</v>
      </c>
      <c r="L167" s="10">
        <v>100000</v>
      </c>
      <c r="M167" s="10">
        <v>10000</v>
      </c>
      <c r="N167" s="10">
        <v>200</v>
      </c>
      <c r="O167" s="10">
        <v>5000</v>
      </c>
      <c r="P167" s="10"/>
      <c r="Q167" s="10">
        <v>5000</v>
      </c>
      <c r="R167" s="13" t="s">
        <v>24</v>
      </c>
    </row>
    <row r="168" spans="2:18" ht="17" x14ac:dyDescent="0.2">
      <c r="B168">
        <v>166</v>
      </c>
      <c r="C168" s="11" t="s">
        <v>403</v>
      </c>
      <c r="D168" s="11" t="str">
        <f>VLOOKUP(E168,[1]Mei!$E$6:$F$173,2,0)</f>
        <v>00589</v>
      </c>
      <c r="E168" s="2" t="s">
        <v>306</v>
      </c>
      <c r="F168" s="3" t="s">
        <v>9</v>
      </c>
      <c r="G168" s="3"/>
      <c r="H168" s="3" t="s">
        <v>10</v>
      </c>
      <c r="I168" s="11" t="s">
        <v>403</v>
      </c>
      <c r="J168" s="9" t="str">
        <f t="shared" ref="J168:J181" si="5">IF(LEFT(I168,2)="00","Tetap","Dilayani")</f>
        <v>Tetap</v>
      </c>
      <c r="K168" s="4" t="s">
        <v>30</v>
      </c>
      <c r="L168" s="6">
        <v>100000</v>
      </c>
      <c r="M168" s="6">
        <v>100000</v>
      </c>
      <c r="N168" s="6"/>
      <c r="O168" s="6">
        <v>50000</v>
      </c>
      <c r="P168" s="6"/>
      <c r="Q168" s="6">
        <v>50000</v>
      </c>
      <c r="R168" s="13" t="s">
        <v>24</v>
      </c>
    </row>
    <row r="169" spans="2:18" ht="17" x14ac:dyDescent="0.2">
      <c r="B169">
        <v>167</v>
      </c>
      <c r="C169" s="11" t="s">
        <v>404</v>
      </c>
      <c r="D169" s="11" t="str">
        <f>VLOOKUP(E169,[1]Mei!$E$6:$F$173,2,0)</f>
        <v>00591</v>
      </c>
      <c r="E169" s="2" t="s">
        <v>307</v>
      </c>
      <c r="F169" s="3" t="s">
        <v>9</v>
      </c>
      <c r="G169" s="3"/>
      <c r="H169" s="3" t="s">
        <v>10</v>
      </c>
      <c r="I169" s="11" t="s">
        <v>404</v>
      </c>
      <c r="J169" s="9" t="str">
        <f t="shared" si="5"/>
        <v>Tetap</v>
      </c>
      <c r="K169" s="4" t="s">
        <v>26</v>
      </c>
      <c r="L169" s="6">
        <v>100000</v>
      </c>
      <c r="M169" s="6">
        <v>100000</v>
      </c>
      <c r="N169" s="6"/>
      <c r="O169" s="6">
        <v>50000</v>
      </c>
      <c r="P169" s="6"/>
      <c r="Q169" s="6">
        <v>50000</v>
      </c>
      <c r="R169" s="13" t="s">
        <v>24</v>
      </c>
    </row>
    <row r="170" spans="2:18" ht="17" x14ac:dyDescent="0.2">
      <c r="B170">
        <v>168</v>
      </c>
      <c r="C170" s="11" t="s">
        <v>405</v>
      </c>
      <c r="D170" s="11" t="str">
        <f>VLOOKUP(E170,[1]Mei!$E$6:$F$173,2,0)</f>
        <v>K1612</v>
      </c>
      <c r="E170" s="2" t="s">
        <v>308</v>
      </c>
      <c r="F170" s="3" t="s">
        <v>9</v>
      </c>
      <c r="G170" s="3"/>
      <c r="H170" s="3" t="s">
        <v>10</v>
      </c>
      <c r="I170" s="11" t="s">
        <v>405</v>
      </c>
      <c r="J170" s="9" t="str">
        <f t="shared" si="5"/>
        <v>Dilayani</v>
      </c>
      <c r="K170" s="4" t="s">
        <v>26</v>
      </c>
      <c r="L170" s="6">
        <v>100000</v>
      </c>
      <c r="M170" s="6">
        <v>100000</v>
      </c>
      <c r="N170" s="6"/>
      <c r="O170" s="6">
        <v>50000</v>
      </c>
      <c r="P170" s="6"/>
      <c r="Q170" s="6">
        <v>50000</v>
      </c>
      <c r="R170" s="13" t="s">
        <v>24</v>
      </c>
    </row>
    <row r="171" spans="2:18" ht="17" x14ac:dyDescent="0.2">
      <c r="B171">
        <v>169</v>
      </c>
      <c r="C171" s="11" t="s">
        <v>406</v>
      </c>
      <c r="D171" s="11" t="str">
        <f>VLOOKUP(E171,[1]Mei!$E$6:$F$173,2,0)</f>
        <v>00602</v>
      </c>
      <c r="E171" s="2" t="s">
        <v>309</v>
      </c>
      <c r="F171" s="3" t="s">
        <v>9</v>
      </c>
      <c r="G171" s="3"/>
      <c r="H171" s="3" t="s">
        <v>10</v>
      </c>
      <c r="I171" s="11" t="s">
        <v>406</v>
      </c>
      <c r="J171" s="9" t="str">
        <f t="shared" si="5"/>
        <v>Tetap</v>
      </c>
      <c r="K171" s="4" t="s">
        <v>33</v>
      </c>
      <c r="L171" s="25">
        <v>100000</v>
      </c>
      <c r="M171" s="25">
        <v>50000</v>
      </c>
      <c r="N171" s="6"/>
      <c r="O171" s="6">
        <v>50000</v>
      </c>
      <c r="P171" s="6"/>
      <c r="Q171" s="6">
        <v>50000</v>
      </c>
      <c r="R171" s="13" t="s">
        <v>24</v>
      </c>
    </row>
    <row r="172" spans="2:18" ht="17" x14ac:dyDescent="0.2">
      <c r="B172">
        <v>170</v>
      </c>
      <c r="C172" s="11" t="s">
        <v>407</v>
      </c>
      <c r="D172" s="11" t="str">
        <f>VLOOKUP(E172,[1]Mei!$E$6:$F$173,2,0)</f>
        <v>K944</v>
      </c>
      <c r="E172" s="2" t="s">
        <v>310</v>
      </c>
      <c r="F172" s="3" t="s">
        <v>9</v>
      </c>
      <c r="G172" s="3"/>
      <c r="H172" s="3" t="s">
        <v>190</v>
      </c>
      <c r="I172" s="11" t="s">
        <v>407</v>
      </c>
      <c r="J172" s="9" t="str">
        <f t="shared" si="5"/>
        <v>Dilayani</v>
      </c>
      <c r="K172" s="4" t="s">
        <v>193</v>
      </c>
      <c r="L172" s="6">
        <v>150000</v>
      </c>
      <c r="M172" s="6">
        <v>100000</v>
      </c>
      <c r="N172" s="6"/>
      <c r="O172" s="6">
        <v>50000</v>
      </c>
      <c r="P172" s="14"/>
      <c r="Q172" s="6"/>
      <c r="R172" s="13" t="s">
        <v>24</v>
      </c>
    </row>
    <row r="173" spans="2:18" ht="17" x14ac:dyDescent="0.2">
      <c r="B173">
        <v>171</v>
      </c>
      <c r="C173" s="11" t="s">
        <v>408</v>
      </c>
      <c r="D173" s="11" t="str">
        <f>VLOOKUP(E173,[1]Mei!$E$6:$F$173,2,0)</f>
        <v>K1610</v>
      </c>
      <c r="E173" s="2" t="s">
        <v>311</v>
      </c>
      <c r="F173" s="3" t="s">
        <v>9</v>
      </c>
      <c r="G173" s="3"/>
      <c r="H173" s="3" t="s">
        <v>10</v>
      </c>
      <c r="I173" s="11" t="s">
        <v>408</v>
      </c>
      <c r="J173" s="9" t="str">
        <f t="shared" si="5"/>
        <v>Dilayani</v>
      </c>
      <c r="K173" s="4" t="s">
        <v>21</v>
      </c>
      <c r="L173" s="25">
        <v>100000</v>
      </c>
      <c r="M173" s="25">
        <v>100000</v>
      </c>
      <c r="N173" s="6"/>
      <c r="O173" s="6">
        <v>50000</v>
      </c>
      <c r="P173" s="6"/>
      <c r="Q173" s="6">
        <v>50000</v>
      </c>
      <c r="R173" s="13" t="s">
        <v>24</v>
      </c>
    </row>
    <row r="174" spans="2:18" ht="17" x14ac:dyDescent="0.2">
      <c r="B174">
        <v>172</v>
      </c>
      <c r="C174" s="11" t="s">
        <v>409</v>
      </c>
      <c r="D174" s="11" t="str">
        <f>VLOOKUP(E174,[1]Mei!$E$6:$F$173,2,0)</f>
        <v>00621</v>
      </c>
      <c r="E174" s="2" t="s">
        <v>312</v>
      </c>
      <c r="F174" s="3" t="s">
        <v>9</v>
      </c>
      <c r="G174" s="3"/>
      <c r="H174" s="3" t="s">
        <v>10</v>
      </c>
      <c r="I174" s="11" t="s">
        <v>409</v>
      </c>
      <c r="J174" s="9" t="str">
        <f t="shared" si="5"/>
        <v>Tetap</v>
      </c>
      <c r="K174" s="4" t="s">
        <v>26</v>
      </c>
      <c r="L174" s="25">
        <v>100000</v>
      </c>
      <c r="M174" s="25">
        <v>100000</v>
      </c>
      <c r="N174" s="6"/>
      <c r="O174" s="6">
        <v>50000</v>
      </c>
      <c r="P174" s="6"/>
      <c r="Q174" s="6">
        <v>50000</v>
      </c>
      <c r="R174" s="13" t="s">
        <v>24</v>
      </c>
    </row>
    <row r="175" spans="2:18" ht="17" x14ac:dyDescent="0.2">
      <c r="B175">
        <v>173</v>
      </c>
      <c r="C175" s="11" t="s">
        <v>410</v>
      </c>
      <c r="D175" s="11" t="str">
        <f>VLOOKUP(E175,[1]Mei!$E$6:$F$173,2,0)</f>
        <v>K1602</v>
      </c>
      <c r="E175" s="2" t="s">
        <v>313</v>
      </c>
      <c r="F175" s="3" t="s">
        <v>9</v>
      </c>
      <c r="G175" s="3"/>
      <c r="H175" s="3" t="s">
        <v>10</v>
      </c>
      <c r="I175" s="11" t="s">
        <v>410</v>
      </c>
      <c r="J175" s="9" t="str">
        <f t="shared" si="5"/>
        <v>Dilayani</v>
      </c>
      <c r="K175" s="4" t="s">
        <v>33</v>
      </c>
      <c r="L175" s="25">
        <v>100000</v>
      </c>
      <c r="M175" s="25">
        <v>50000</v>
      </c>
      <c r="N175" s="6"/>
      <c r="O175" s="6">
        <v>50000</v>
      </c>
      <c r="P175" s="6"/>
      <c r="Q175" s="6">
        <v>50000</v>
      </c>
      <c r="R175" s="13" t="s">
        <v>24</v>
      </c>
    </row>
    <row r="176" spans="2:18" ht="17" x14ac:dyDescent="0.2">
      <c r="B176">
        <v>174</v>
      </c>
      <c r="C176" s="11" t="s">
        <v>411</v>
      </c>
      <c r="D176" s="11" t="str">
        <f>VLOOKUP(E176,[1]Mei!$E$6:$F$173,2,0)</f>
        <v>00587</v>
      </c>
      <c r="E176" s="2" t="s">
        <v>314</v>
      </c>
      <c r="F176" s="3" t="s">
        <v>614</v>
      </c>
      <c r="G176" s="3"/>
      <c r="H176" s="3" t="s">
        <v>10</v>
      </c>
      <c r="I176" s="11" t="s">
        <v>411</v>
      </c>
      <c r="J176" s="9" t="str">
        <f t="shared" si="5"/>
        <v>Tetap</v>
      </c>
      <c r="K176" s="4" t="s">
        <v>315</v>
      </c>
      <c r="L176" s="6">
        <v>100000</v>
      </c>
      <c r="M176" s="6">
        <v>100000</v>
      </c>
      <c r="N176" s="6"/>
      <c r="O176" s="6">
        <v>50000</v>
      </c>
      <c r="P176" s="6"/>
      <c r="Q176" s="6"/>
      <c r="R176" s="13" t="s">
        <v>24</v>
      </c>
    </row>
    <row r="177" spans="2:18" ht="17" x14ac:dyDescent="0.2">
      <c r="B177">
        <v>175</v>
      </c>
      <c r="C177" s="11" t="s">
        <v>412</v>
      </c>
      <c r="D177" s="11" t="str">
        <f>VLOOKUP(E177,[1]Mei!$E$6:$F$173,2,0)</f>
        <v>K945</v>
      </c>
      <c r="E177" s="2" t="s">
        <v>316</v>
      </c>
      <c r="F177" s="3" t="s">
        <v>9</v>
      </c>
      <c r="G177" s="3"/>
      <c r="H177" s="3" t="s">
        <v>190</v>
      </c>
      <c r="I177" s="11" t="s">
        <v>412</v>
      </c>
      <c r="J177" s="9" t="str">
        <f t="shared" si="5"/>
        <v>Dilayani</v>
      </c>
      <c r="K177" s="4" t="s">
        <v>193</v>
      </c>
      <c r="L177" s="6">
        <v>150000</v>
      </c>
      <c r="M177" s="6">
        <v>50000</v>
      </c>
      <c r="N177" s="6"/>
      <c r="O177" s="6">
        <v>50000</v>
      </c>
      <c r="P177" s="14"/>
      <c r="Q177" s="6">
        <v>50000</v>
      </c>
      <c r="R177" s="13" t="s">
        <v>24</v>
      </c>
    </row>
    <row r="178" spans="2:18" ht="17" x14ac:dyDescent="0.2">
      <c r="B178">
        <v>176</v>
      </c>
      <c r="C178" s="11" t="s">
        <v>413</v>
      </c>
      <c r="D178" s="11" t="str">
        <f>VLOOKUP(E178,[1]Mei!$E$6:$F$173,2,0)</f>
        <v>K1581</v>
      </c>
      <c r="E178" s="2" t="s">
        <v>317</v>
      </c>
      <c r="F178" s="3" t="s">
        <v>9</v>
      </c>
      <c r="G178" s="3"/>
      <c r="H178" s="3" t="s">
        <v>190</v>
      </c>
      <c r="I178" s="11" t="s">
        <v>413</v>
      </c>
      <c r="J178" s="9" t="str">
        <f t="shared" si="5"/>
        <v>Dilayani</v>
      </c>
      <c r="K178" s="4" t="s">
        <v>193</v>
      </c>
      <c r="L178" s="6">
        <v>100000</v>
      </c>
      <c r="M178" s="6">
        <v>400000</v>
      </c>
      <c r="N178" s="6"/>
      <c r="O178" s="6">
        <v>50000</v>
      </c>
      <c r="P178" s="6"/>
      <c r="Q178" s="6"/>
      <c r="R178" s="13" t="s">
        <v>24</v>
      </c>
    </row>
    <row r="179" spans="2:18" ht="17" x14ac:dyDescent="0.2">
      <c r="B179">
        <v>177</v>
      </c>
      <c r="C179" s="11" t="s">
        <v>414</v>
      </c>
      <c r="D179" s="11" t="str">
        <f>VLOOKUP(E179,[1]Mei!$E$6:$F$173,2,0)</f>
        <v>K1663</v>
      </c>
      <c r="E179" s="2" t="s">
        <v>318</v>
      </c>
      <c r="F179" s="3" t="s">
        <v>9</v>
      </c>
      <c r="G179" s="3"/>
      <c r="H179" s="3" t="s">
        <v>49</v>
      </c>
      <c r="I179" s="11" t="s">
        <v>414</v>
      </c>
      <c r="J179" s="9" t="str">
        <f t="shared" si="5"/>
        <v>Dilayani</v>
      </c>
      <c r="K179" s="4" t="s">
        <v>45</v>
      </c>
      <c r="L179" s="6">
        <v>100000</v>
      </c>
      <c r="M179" s="6">
        <v>100000</v>
      </c>
      <c r="N179" s="6"/>
      <c r="O179" s="6">
        <v>50000</v>
      </c>
      <c r="P179" s="6"/>
      <c r="Q179" s="6">
        <v>50000</v>
      </c>
      <c r="R179" s="13" t="s">
        <v>24</v>
      </c>
    </row>
    <row r="180" spans="2:18" ht="17" x14ac:dyDescent="0.2">
      <c r="B180">
        <v>178</v>
      </c>
      <c r="C180" s="19" t="s">
        <v>320</v>
      </c>
      <c r="D180" s="11" t="str">
        <f>VLOOKUP(E180,[1]Mei!$E$6:$F$173,2,0)</f>
        <v>K539</v>
      </c>
      <c r="E180" s="2" t="s">
        <v>319</v>
      </c>
      <c r="F180" s="3" t="s">
        <v>9</v>
      </c>
      <c r="G180" s="3"/>
      <c r="H180" s="3" t="s">
        <v>49</v>
      </c>
      <c r="I180" s="19" t="s">
        <v>320</v>
      </c>
      <c r="J180" s="9" t="str">
        <f t="shared" si="5"/>
        <v>Dilayani</v>
      </c>
      <c r="K180" s="4" t="s">
        <v>45</v>
      </c>
      <c r="L180" s="6">
        <v>100000</v>
      </c>
      <c r="M180" s="6">
        <v>175000</v>
      </c>
      <c r="N180" s="6"/>
      <c r="O180" s="6">
        <v>5000</v>
      </c>
      <c r="P180" s="14"/>
      <c r="Q180" s="6"/>
      <c r="R180" s="13" t="s">
        <v>24</v>
      </c>
    </row>
    <row r="181" spans="2:18" ht="17" x14ac:dyDescent="0.2">
      <c r="B181">
        <v>179</v>
      </c>
      <c r="C181" s="11" t="s">
        <v>479</v>
      </c>
      <c r="D181" s="11" t="str">
        <f>VLOOKUP(E181,[1]Mei!$E$6:$F$173,2,0)</f>
        <v>00579</v>
      </c>
      <c r="E181" s="2" t="s">
        <v>523</v>
      </c>
      <c r="F181" s="3" t="s">
        <v>9</v>
      </c>
      <c r="G181" s="3" t="s">
        <v>554</v>
      </c>
      <c r="H181" s="3" t="s">
        <v>190</v>
      </c>
      <c r="I181" s="11" t="s">
        <v>479</v>
      </c>
      <c r="J181" s="9" t="str">
        <f t="shared" si="5"/>
        <v>Tetap</v>
      </c>
      <c r="K181" s="4" t="s">
        <v>193</v>
      </c>
      <c r="L181" s="6">
        <v>100000</v>
      </c>
      <c r="M181" s="6">
        <v>200000</v>
      </c>
      <c r="N181" s="6"/>
      <c r="O181" s="6">
        <v>20000</v>
      </c>
      <c r="P181" s="14"/>
      <c r="Q181" s="6"/>
      <c r="R181" s="13" t="s">
        <v>24</v>
      </c>
    </row>
    <row r="182" spans="2:18" ht="17" x14ac:dyDescent="0.2">
      <c r="B182">
        <v>180</v>
      </c>
      <c r="C182" s="19" t="s">
        <v>221</v>
      </c>
      <c r="D182" s="11" t="e">
        <f>VLOOKUP(E182,[1]Mei!$E$6:$F$173,2,0)</f>
        <v>#N/A</v>
      </c>
      <c r="E182" s="2" t="s">
        <v>220</v>
      </c>
      <c r="F182" s="8" t="s">
        <v>583</v>
      </c>
      <c r="G182" s="3"/>
      <c r="H182" s="3" t="s">
        <v>190</v>
      </c>
      <c r="I182" s="19" t="s">
        <v>221</v>
      </c>
      <c r="J182" s="9" t="s">
        <v>11</v>
      </c>
      <c r="K182" s="4" t="s">
        <v>193</v>
      </c>
      <c r="L182" s="6">
        <v>100000</v>
      </c>
      <c r="M182" s="6">
        <v>500000</v>
      </c>
      <c r="N182" s="6">
        <v>200</v>
      </c>
      <c r="O182" s="6">
        <v>5000</v>
      </c>
      <c r="P182" s="106"/>
      <c r="Q182" s="6">
        <v>5000</v>
      </c>
      <c r="R182" s="13" t="s">
        <v>24</v>
      </c>
    </row>
    <row r="183" spans="2:18" ht="17" x14ac:dyDescent="0.2">
      <c r="B183">
        <v>181</v>
      </c>
      <c r="C183" s="11" t="s">
        <v>415</v>
      </c>
      <c r="D183" s="11" t="str">
        <f>VLOOKUP(E183,[1]Mei!$E$6:$F$173,2,0)</f>
        <v>K1609</v>
      </c>
      <c r="E183" s="2" t="s">
        <v>323</v>
      </c>
      <c r="F183" s="3" t="s">
        <v>9</v>
      </c>
      <c r="G183" s="3"/>
      <c r="H183" s="3" t="s">
        <v>10</v>
      </c>
      <c r="I183" s="11" t="s">
        <v>415</v>
      </c>
      <c r="J183" s="4" t="str">
        <f t="shared" ref="J183:J188" si="6">IF(LEFT(I183,2)="00","Tetap","Dilayani")</f>
        <v>Dilayani</v>
      </c>
      <c r="K183" s="4" t="s">
        <v>416</v>
      </c>
      <c r="L183" s="25">
        <v>100000</v>
      </c>
      <c r="M183" s="25">
        <v>150000</v>
      </c>
      <c r="N183" s="6"/>
      <c r="O183" s="6">
        <v>50000</v>
      </c>
      <c r="P183" s="6"/>
      <c r="Q183" s="6">
        <v>50000</v>
      </c>
      <c r="R183" s="13" t="s">
        <v>24</v>
      </c>
    </row>
    <row r="184" spans="2:18" ht="17" x14ac:dyDescent="0.2">
      <c r="B184">
        <v>182</v>
      </c>
      <c r="C184" s="11" t="s">
        <v>417</v>
      </c>
      <c r="D184" s="11" t="str">
        <f>VLOOKUP(E184,[1]Mei!$E$6:$F$173,2,0)</f>
        <v>00626</v>
      </c>
      <c r="E184" s="2" t="s">
        <v>324</v>
      </c>
      <c r="F184" s="3" t="s">
        <v>9</v>
      </c>
      <c r="G184" s="3"/>
      <c r="H184" s="3" t="s">
        <v>10</v>
      </c>
      <c r="I184" s="11" t="s">
        <v>417</v>
      </c>
      <c r="J184" s="4" t="str">
        <f t="shared" si="6"/>
        <v>Tetap</v>
      </c>
      <c r="K184" s="4" t="s">
        <v>33</v>
      </c>
      <c r="L184" s="25">
        <v>100000</v>
      </c>
      <c r="M184" s="25">
        <v>200000</v>
      </c>
      <c r="N184" s="6"/>
      <c r="O184" s="6">
        <v>50000</v>
      </c>
      <c r="P184" s="6"/>
      <c r="Q184" s="6">
        <v>50000</v>
      </c>
      <c r="R184" s="13" t="s">
        <v>24</v>
      </c>
    </row>
    <row r="185" spans="2:18" ht="17" x14ac:dyDescent="0.2">
      <c r="B185">
        <v>183</v>
      </c>
      <c r="C185" s="11" t="s">
        <v>418</v>
      </c>
      <c r="D185" s="11" t="e">
        <f>VLOOKUP(E185,[1]Mei!$E$6:$F$173,2,0)</f>
        <v>#N/A</v>
      </c>
      <c r="E185" s="2" t="s">
        <v>325</v>
      </c>
      <c r="F185" s="3" t="s">
        <v>614</v>
      </c>
      <c r="G185" s="3"/>
      <c r="H185" s="3" t="s">
        <v>10</v>
      </c>
      <c r="I185" s="11" t="s">
        <v>418</v>
      </c>
      <c r="J185" s="4" t="str">
        <f t="shared" si="6"/>
        <v>Tetap</v>
      </c>
      <c r="K185" s="4" t="s">
        <v>26</v>
      </c>
      <c r="L185" s="25">
        <v>100000</v>
      </c>
      <c r="M185" s="25">
        <v>150000</v>
      </c>
      <c r="N185" s="6"/>
      <c r="O185" s="6">
        <v>50000</v>
      </c>
      <c r="P185" s="6"/>
      <c r="Q185" s="6">
        <v>50000</v>
      </c>
      <c r="R185" s="13" t="s">
        <v>24</v>
      </c>
    </row>
    <row r="186" spans="2:18" ht="17" x14ac:dyDescent="0.2">
      <c r="B186">
        <v>184</v>
      </c>
      <c r="C186" s="11" t="s">
        <v>419</v>
      </c>
      <c r="D186" s="11" t="str">
        <f>VLOOKUP(E186,[1]Mei!$E$6:$F$173,2,0)</f>
        <v>00608</v>
      </c>
      <c r="E186" s="2" t="s">
        <v>326</v>
      </c>
      <c r="F186" s="3" t="s">
        <v>9</v>
      </c>
      <c r="G186" s="3"/>
      <c r="H186" s="3" t="s">
        <v>10</v>
      </c>
      <c r="I186" s="11" t="s">
        <v>419</v>
      </c>
      <c r="J186" s="4" t="str">
        <f t="shared" si="6"/>
        <v>Tetap</v>
      </c>
      <c r="K186" s="4" t="s">
        <v>26</v>
      </c>
      <c r="L186" s="25">
        <v>100000</v>
      </c>
      <c r="M186" s="25">
        <v>100000</v>
      </c>
      <c r="N186" s="6"/>
      <c r="O186" s="6">
        <v>50000</v>
      </c>
      <c r="P186" s="6"/>
      <c r="Q186" s="6">
        <v>50000</v>
      </c>
      <c r="R186" s="13" t="s">
        <v>24</v>
      </c>
    </row>
    <row r="187" spans="2:18" ht="17" x14ac:dyDescent="0.2">
      <c r="B187">
        <v>185</v>
      </c>
      <c r="C187" s="11" t="s">
        <v>420</v>
      </c>
      <c r="D187" s="11" t="str">
        <f>VLOOKUP(E187,[1]Mei!$E$6:$F$173,2,0)</f>
        <v>K1677</v>
      </c>
      <c r="E187" s="2" t="s">
        <v>327</v>
      </c>
      <c r="F187" s="3" t="s">
        <v>9</v>
      </c>
      <c r="G187" s="3"/>
      <c r="H187" s="3" t="s">
        <v>10</v>
      </c>
      <c r="I187" s="11" t="s">
        <v>420</v>
      </c>
      <c r="J187" s="4" t="str">
        <f t="shared" si="6"/>
        <v>Dilayani</v>
      </c>
      <c r="K187" s="4" t="s">
        <v>61</v>
      </c>
      <c r="L187" s="6">
        <v>100000</v>
      </c>
      <c r="M187" s="6">
        <v>50000</v>
      </c>
      <c r="N187" s="6"/>
      <c r="O187" s="6">
        <v>50000</v>
      </c>
      <c r="P187" s="6"/>
      <c r="Q187" s="6">
        <v>50000</v>
      </c>
      <c r="R187" s="13" t="s">
        <v>24</v>
      </c>
    </row>
    <row r="188" spans="2:18" ht="17" x14ac:dyDescent="0.2">
      <c r="B188">
        <v>186</v>
      </c>
      <c r="C188" s="11" t="s">
        <v>422</v>
      </c>
      <c r="D188" s="11" t="str">
        <f>VLOOKUP(E188,[1]Mei!$E$6:$F$173,2,0)</f>
        <v>K1562</v>
      </c>
      <c r="E188" s="2" t="s">
        <v>421</v>
      </c>
      <c r="F188" s="3" t="s">
        <v>9</v>
      </c>
      <c r="G188" s="3"/>
      <c r="H188" s="3" t="s">
        <v>190</v>
      </c>
      <c r="I188" s="11" t="s">
        <v>422</v>
      </c>
      <c r="J188" s="4" t="str">
        <f t="shared" si="6"/>
        <v>Dilayani</v>
      </c>
      <c r="K188" s="4" t="s">
        <v>193</v>
      </c>
      <c r="L188" s="6">
        <v>100000</v>
      </c>
      <c r="M188" s="6">
        <v>250000</v>
      </c>
      <c r="N188" s="6"/>
      <c r="O188" s="6">
        <v>50000</v>
      </c>
      <c r="P188" s="14"/>
      <c r="Q188" s="6"/>
      <c r="R188" s="13" t="s">
        <v>24</v>
      </c>
    </row>
    <row r="189" spans="2:18" ht="17" x14ac:dyDescent="0.2">
      <c r="B189">
        <v>187</v>
      </c>
      <c r="C189" s="19" t="s">
        <v>329</v>
      </c>
      <c r="D189" s="11" t="str">
        <f>VLOOKUP(E189,[1]Mei!$E$6:$F$173,2,0)</f>
        <v>00369</v>
      </c>
      <c r="E189" s="2" t="s">
        <v>328</v>
      </c>
      <c r="F189" s="3" t="s">
        <v>9</v>
      </c>
      <c r="G189" s="3"/>
      <c r="H189" s="3" t="s">
        <v>49</v>
      </c>
      <c r="I189" s="19" t="s">
        <v>329</v>
      </c>
      <c r="J189" s="4" t="s">
        <v>11</v>
      </c>
      <c r="K189" s="4" t="s">
        <v>45</v>
      </c>
      <c r="L189" s="6">
        <v>100000</v>
      </c>
      <c r="M189" s="6">
        <v>50000</v>
      </c>
      <c r="N189" s="6">
        <v>200</v>
      </c>
      <c r="O189" s="6">
        <v>5000</v>
      </c>
      <c r="P189" s="14"/>
      <c r="Q189" s="6"/>
      <c r="R189" s="13" t="s">
        <v>24</v>
      </c>
    </row>
    <row r="190" spans="2:18" ht="17" x14ac:dyDescent="0.2">
      <c r="B190">
        <v>188</v>
      </c>
      <c r="C190" s="19" t="s">
        <v>282</v>
      </c>
      <c r="D190" s="11" t="e">
        <f>VLOOKUP(E190,[1]Mei!$E$6:$F$173,2,0)</f>
        <v>#N/A</v>
      </c>
      <c r="E190" s="2" t="s">
        <v>281</v>
      </c>
      <c r="F190" s="8" t="s">
        <v>583</v>
      </c>
      <c r="G190" s="3"/>
      <c r="H190" s="3" t="s">
        <v>190</v>
      </c>
      <c r="I190" s="19" t="s">
        <v>282</v>
      </c>
      <c r="J190" s="4" t="s">
        <v>158</v>
      </c>
      <c r="K190" s="4" t="s">
        <v>193</v>
      </c>
      <c r="L190" s="6">
        <v>100000</v>
      </c>
      <c r="M190" s="6">
        <v>50000</v>
      </c>
      <c r="N190" s="6"/>
      <c r="O190" s="6">
        <v>20000</v>
      </c>
      <c r="P190" s="6"/>
      <c r="Q190" s="6">
        <v>20000</v>
      </c>
      <c r="R190" s="13" t="s">
        <v>24</v>
      </c>
    </row>
    <row r="191" spans="2:18" ht="17" x14ac:dyDescent="0.2">
      <c r="B191">
        <v>189</v>
      </c>
      <c r="C191" s="4" t="s">
        <v>332</v>
      </c>
      <c r="D191" s="11" t="str">
        <f>VLOOKUP(E191,[1]Mei!$E$6:$F$173,2,0)</f>
        <v>00371</v>
      </c>
      <c r="E191" s="2" t="s">
        <v>481</v>
      </c>
      <c r="F191" s="3" t="s">
        <v>9</v>
      </c>
      <c r="G191" s="3"/>
      <c r="H191" s="3" t="s">
        <v>10</v>
      </c>
      <c r="I191" s="4" t="s">
        <v>332</v>
      </c>
      <c r="J191" s="4" t="s">
        <v>11</v>
      </c>
      <c r="K191" s="4" t="s">
        <v>26</v>
      </c>
      <c r="L191" s="6">
        <v>100000</v>
      </c>
      <c r="M191" s="6">
        <v>50000</v>
      </c>
      <c r="N191" s="6">
        <v>200</v>
      </c>
      <c r="O191" s="6">
        <v>5000</v>
      </c>
      <c r="P191" s="14"/>
      <c r="Q191" s="6"/>
      <c r="R191" s="13" t="s">
        <v>24</v>
      </c>
    </row>
    <row r="192" spans="2:18" ht="17" x14ac:dyDescent="0.2">
      <c r="B192">
        <v>190</v>
      </c>
      <c r="C192" s="9" t="s">
        <v>334</v>
      </c>
      <c r="D192" s="11" t="e">
        <f>VLOOKUP(E192,[1]Mei!$E$6:$F$173,2,0)</f>
        <v>#N/A</v>
      </c>
      <c r="E192" s="7" t="s">
        <v>333</v>
      </c>
      <c r="F192" s="8" t="s">
        <v>583</v>
      </c>
      <c r="G192" s="8"/>
      <c r="H192" s="8" t="s">
        <v>49</v>
      </c>
      <c r="I192" s="9" t="s">
        <v>334</v>
      </c>
      <c r="J192" s="9" t="s">
        <v>11</v>
      </c>
      <c r="K192" s="9" t="s">
        <v>45</v>
      </c>
      <c r="L192" s="10">
        <v>100000</v>
      </c>
      <c r="M192" s="10">
        <v>10000</v>
      </c>
      <c r="N192" s="10">
        <v>200</v>
      </c>
      <c r="O192" s="10">
        <v>5000</v>
      </c>
      <c r="P192" s="10"/>
      <c r="Q192" s="10">
        <v>5000</v>
      </c>
      <c r="R192" s="13" t="s">
        <v>24</v>
      </c>
    </row>
    <row r="193" spans="2:18" ht="17" x14ac:dyDescent="0.2">
      <c r="B193">
        <v>191</v>
      </c>
      <c r="C193" s="4" t="s">
        <v>336</v>
      </c>
      <c r="D193" s="11" t="str">
        <f>VLOOKUP(E193,[1]Mei!$E$6:$F$173,2,0)</f>
        <v>00311</v>
      </c>
      <c r="E193" s="2" t="s">
        <v>335</v>
      </c>
      <c r="F193" s="3" t="s">
        <v>9</v>
      </c>
      <c r="G193" s="3"/>
      <c r="H193" s="3" t="s">
        <v>10</v>
      </c>
      <c r="I193" s="4" t="s">
        <v>336</v>
      </c>
      <c r="J193" s="4" t="s">
        <v>11</v>
      </c>
      <c r="K193" s="4" t="s">
        <v>26</v>
      </c>
      <c r="L193" s="6">
        <v>100000</v>
      </c>
      <c r="M193" s="6">
        <v>75000</v>
      </c>
      <c r="N193" s="6">
        <v>200</v>
      </c>
      <c r="O193" s="6">
        <v>5000</v>
      </c>
      <c r="P193" s="14"/>
      <c r="Q193" s="6"/>
      <c r="R193" s="13" t="s">
        <v>24</v>
      </c>
    </row>
    <row r="194" spans="2:18" ht="17" x14ac:dyDescent="0.2">
      <c r="B194">
        <v>192</v>
      </c>
      <c r="C194" s="21" t="s">
        <v>338</v>
      </c>
      <c r="D194" s="11" t="e">
        <f>VLOOKUP(E194,[1]Mei!$E$6:$F$173,2,0)</f>
        <v>#N/A</v>
      </c>
      <c r="E194" s="7" t="s">
        <v>337</v>
      </c>
      <c r="F194" s="8" t="s">
        <v>583</v>
      </c>
      <c r="G194" s="8"/>
      <c r="H194" s="8" t="s">
        <v>49</v>
      </c>
      <c r="I194" s="21" t="s">
        <v>338</v>
      </c>
      <c r="J194" s="9" t="s">
        <v>11</v>
      </c>
      <c r="K194" s="9" t="s">
        <v>45</v>
      </c>
      <c r="L194" s="10">
        <v>100000</v>
      </c>
      <c r="M194" s="10">
        <v>175000</v>
      </c>
      <c r="N194" s="10">
        <v>200</v>
      </c>
      <c r="O194" s="10">
        <v>5000</v>
      </c>
      <c r="P194" s="10"/>
      <c r="Q194" s="10">
        <v>5000</v>
      </c>
      <c r="R194" s="13" t="s">
        <v>24</v>
      </c>
    </row>
    <row r="195" spans="2:18" ht="17" x14ac:dyDescent="0.2">
      <c r="B195">
        <v>193</v>
      </c>
      <c r="C195" s="19" t="s">
        <v>128</v>
      </c>
      <c r="D195" s="11" t="e">
        <f>VLOOKUP(E195,[1]Mei!$E$6:$F$173,2,0)</f>
        <v>#N/A</v>
      </c>
      <c r="E195" s="2" t="s">
        <v>127</v>
      </c>
      <c r="F195" s="3" t="s">
        <v>163</v>
      </c>
      <c r="G195" s="3"/>
      <c r="H195" s="3" t="s">
        <v>10</v>
      </c>
      <c r="I195" s="19" t="s">
        <v>128</v>
      </c>
      <c r="J195" s="4" t="s">
        <v>11</v>
      </c>
      <c r="K195" s="4" t="s">
        <v>126</v>
      </c>
      <c r="L195" s="6">
        <v>100000</v>
      </c>
      <c r="M195" s="6">
        <v>400000</v>
      </c>
      <c r="N195" s="6">
        <v>200</v>
      </c>
      <c r="O195" s="6">
        <v>5000</v>
      </c>
      <c r="P195" s="106"/>
      <c r="Q195" s="6">
        <v>5000</v>
      </c>
      <c r="R195" s="13" t="s">
        <v>24</v>
      </c>
    </row>
    <row r="196" spans="2:18" ht="17" x14ac:dyDescent="0.2">
      <c r="B196">
        <v>194</v>
      </c>
      <c r="C196" s="19" t="s">
        <v>342</v>
      </c>
      <c r="D196" s="11" t="str">
        <f>VLOOKUP(E196,[1]Mei!$E$6:$F$173,2,0)</f>
        <v>00339</v>
      </c>
      <c r="E196" s="2" t="s">
        <v>341</v>
      </c>
      <c r="F196" s="3" t="s">
        <v>9</v>
      </c>
      <c r="G196" s="3"/>
      <c r="H196" s="3" t="s">
        <v>49</v>
      </c>
      <c r="I196" s="19" t="s">
        <v>342</v>
      </c>
      <c r="J196" s="4" t="s">
        <v>11</v>
      </c>
      <c r="K196" s="4" t="s">
        <v>193</v>
      </c>
      <c r="L196" s="6">
        <v>100000</v>
      </c>
      <c r="M196" s="6">
        <v>50000</v>
      </c>
      <c r="N196" s="6">
        <v>200</v>
      </c>
      <c r="O196" s="6">
        <v>5000</v>
      </c>
      <c r="P196" s="14"/>
      <c r="Q196" s="6"/>
      <c r="R196" s="13" t="s">
        <v>24</v>
      </c>
    </row>
    <row r="197" spans="2:18" ht="17" x14ac:dyDescent="0.2">
      <c r="B197">
        <v>195</v>
      </c>
      <c r="C197" s="21" t="s">
        <v>181</v>
      </c>
      <c r="D197" s="11" t="e">
        <f>VLOOKUP(E197,[1]Mei!$E$6:$F$173,2,0)</f>
        <v>#N/A</v>
      </c>
      <c r="E197" s="7" t="s">
        <v>386</v>
      </c>
      <c r="F197" s="3" t="s">
        <v>163</v>
      </c>
      <c r="G197" s="8"/>
      <c r="H197" s="8" t="s">
        <v>10</v>
      </c>
      <c r="I197" s="21" t="s">
        <v>181</v>
      </c>
      <c r="J197" s="9" t="str">
        <f>IF(LEFT(I197,2)="00","Tetap","Dilayani")</f>
        <v>Dilayani</v>
      </c>
      <c r="K197" s="9" t="s">
        <v>21</v>
      </c>
      <c r="L197" s="10">
        <v>100000</v>
      </c>
      <c r="M197" s="10">
        <f>150000+100000</f>
        <v>250000</v>
      </c>
      <c r="N197" s="10"/>
      <c r="O197" s="10">
        <v>20000</v>
      </c>
      <c r="P197" s="10"/>
      <c r="Q197" s="10">
        <f>O197+P197</f>
        <v>20000</v>
      </c>
      <c r="R197" s="13" t="s">
        <v>24</v>
      </c>
    </row>
    <row r="198" spans="2:18" ht="17" x14ac:dyDescent="0.2">
      <c r="B198">
        <v>196</v>
      </c>
      <c r="C198" s="19" t="s">
        <v>347</v>
      </c>
      <c r="D198" s="11" t="str">
        <f>VLOOKUP(E198,[1]Mei!$E$6:$F$173,2,0)</f>
        <v>00372</v>
      </c>
      <c r="E198" s="2" t="s">
        <v>345</v>
      </c>
      <c r="F198" s="3" t="s">
        <v>9</v>
      </c>
      <c r="G198" s="3"/>
      <c r="H198" s="3" t="s">
        <v>346</v>
      </c>
      <c r="I198" s="19" t="s">
        <v>347</v>
      </c>
      <c r="J198" s="4" t="s">
        <v>11</v>
      </c>
      <c r="K198" s="4" t="s">
        <v>126</v>
      </c>
      <c r="L198" s="6">
        <v>100000</v>
      </c>
      <c r="M198" s="6">
        <v>12500</v>
      </c>
      <c r="N198" s="6">
        <v>200</v>
      </c>
      <c r="O198" s="6">
        <v>5000</v>
      </c>
      <c r="P198" s="14"/>
      <c r="Q198" s="6"/>
      <c r="R198" s="13" t="s">
        <v>24</v>
      </c>
    </row>
    <row r="199" spans="2:18" ht="17" x14ac:dyDescent="0.2">
      <c r="B199">
        <v>197</v>
      </c>
      <c r="C199" s="19" t="s">
        <v>349</v>
      </c>
      <c r="D199" s="11" t="str">
        <f>VLOOKUP(E199,[1]Mei!$E$6:$F$173,2,0)</f>
        <v>00334</v>
      </c>
      <c r="E199" s="2" t="s">
        <v>348</v>
      </c>
      <c r="F199" s="3" t="s">
        <v>9</v>
      </c>
      <c r="G199" s="3"/>
      <c r="H199" s="3" t="s">
        <v>49</v>
      </c>
      <c r="I199" s="19" t="s">
        <v>349</v>
      </c>
      <c r="J199" s="4" t="s">
        <v>11</v>
      </c>
      <c r="K199" s="4" t="s">
        <v>193</v>
      </c>
      <c r="L199" s="6">
        <v>100000</v>
      </c>
      <c r="M199" s="6">
        <v>10000</v>
      </c>
      <c r="N199" s="6">
        <v>200</v>
      </c>
      <c r="O199" s="6">
        <v>5000</v>
      </c>
      <c r="P199" s="14"/>
      <c r="Q199" s="6"/>
      <c r="R199" s="13" t="s">
        <v>24</v>
      </c>
    </row>
    <row r="200" spans="2:18" ht="17" x14ac:dyDescent="0.2">
      <c r="B200">
        <v>198</v>
      </c>
      <c r="C200" s="4" t="s">
        <v>228</v>
      </c>
      <c r="D200" s="11" t="e">
        <f>VLOOKUP(E200,[1]Mei!$E$6:$F$173,2,0)</f>
        <v>#N/A</v>
      </c>
      <c r="E200" s="2" t="s">
        <v>227</v>
      </c>
      <c r="F200" s="3" t="s">
        <v>163</v>
      </c>
      <c r="G200" s="3"/>
      <c r="H200" s="3" t="s">
        <v>190</v>
      </c>
      <c r="I200" s="4" t="s">
        <v>228</v>
      </c>
      <c r="J200" s="4" t="s">
        <v>11</v>
      </c>
      <c r="K200" s="4" t="s">
        <v>193</v>
      </c>
      <c r="L200" s="6">
        <v>100000</v>
      </c>
      <c r="M200" s="6">
        <v>100000</v>
      </c>
      <c r="N200" s="6">
        <v>200</v>
      </c>
      <c r="O200" s="6">
        <v>5000</v>
      </c>
      <c r="P200" s="6"/>
      <c r="Q200" s="6">
        <v>5000</v>
      </c>
      <c r="R200" s="13" t="s">
        <v>24</v>
      </c>
    </row>
    <row r="201" spans="2:18" ht="17" x14ac:dyDescent="0.2">
      <c r="B201">
        <v>199</v>
      </c>
      <c r="C201" s="4" t="s">
        <v>353</v>
      </c>
      <c r="D201" s="11" t="str">
        <f>VLOOKUP(E201,[1]Mei!$E$6:$F$173,2,0)</f>
        <v>00370</v>
      </c>
      <c r="E201" s="2" t="s">
        <v>352</v>
      </c>
      <c r="F201" s="3" t="s">
        <v>9</v>
      </c>
      <c r="G201" s="3"/>
      <c r="H201" s="3" t="s">
        <v>49</v>
      </c>
      <c r="I201" s="4" t="s">
        <v>353</v>
      </c>
      <c r="J201" s="4" t="s">
        <v>11</v>
      </c>
      <c r="K201" s="4" t="s">
        <v>26</v>
      </c>
      <c r="L201" s="6">
        <v>100000</v>
      </c>
      <c r="M201" s="6">
        <v>10000</v>
      </c>
      <c r="N201" s="6">
        <v>200</v>
      </c>
      <c r="O201" s="6">
        <v>5000</v>
      </c>
      <c r="P201" s="14"/>
      <c r="Q201" s="6"/>
      <c r="R201" s="13" t="s">
        <v>24</v>
      </c>
    </row>
    <row r="202" spans="2:18" ht="17" x14ac:dyDescent="0.2">
      <c r="B202">
        <v>200</v>
      </c>
      <c r="C202" s="4" t="s">
        <v>351</v>
      </c>
      <c r="D202" s="11" t="e">
        <f>VLOOKUP(E202,[1]Mei!$E$6:$F$173,2,0)</f>
        <v>#N/A</v>
      </c>
      <c r="E202" s="2" t="s">
        <v>350</v>
      </c>
      <c r="F202" s="3" t="s">
        <v>163</v>
      </c>
      <c r="G202" s="3"/>
      <c r="H202" s="3" t="s">
        <v>49</v>
      </c>
      <c r="I202" s="4" t="s">
        <v>351</v>
      </c>
      <c r="J202" s="4" t="s">
        <v>11</v>
      </c>
      <c r="K202" s="4" t="s">
        <v>193</v>
      </c>
      <c r="L202" s="6">
        <v>100000</v>
      </c>
      <c r="M202" s="6">
        <v>52000</v>
      </c>
      <c r="N202" s="6">
        <v>200</v>
      </c>
      <c r="O202" s="6">
        <v>5000</v>
      </c>
      <c r="P202" s="6"/>
      <c r="Q202" s="6">
        <v>5000</v>
      </c>
      <c r="R202" s="13" t="s">
        <v>24</v>
      </c>
    </row>
    <row r="203" spans="2:18" ht="17" x14ac:dyDescent="0.2">
      <c r="B203">
        <v>201</v>
      </c>
      <c r="C203" s="21" t="s">
        <v>355</v>
      </c>
      <c r="D203" s="11" t="e">
        <f>VLOOKUP(E203,[1]Mei!$E$6:$F$173,2,0)</f>
        <v>#N/A</v>
      </c>
      <c r="E203" s="7" t="s">
        <v>354</v>
      </c>
      <c r="F203" s="3" t="s">
        <v>163</v>
      </c>
      <c r="G203" s="8"/>
      <c r="H203" s="8" t="s">
        <v>49</v>
      </c>
      <c r="I203" s="21" t="s">
        <v>355</v>
      </c>
      <c r="J203" s="9" t="s">
        <v>11</v>
      </c>
      <c r="K203" s="9" t="s">
        <v>45</v>
      </c>
      <c r="L203" s="10">
        <v>100000</v>
      </c>
      <c r="M203" s="10">
        <v>250000</v>
      </c>
      <c r="N203" s="10">
        <v>200</v>
      </c>
      <c r="O203" s="10">
        <v>5000</v>
      </c>
      <c r="P203" s="10"/>
      <c r="Q203" s="10">
        <v>505000</v>
      </c>
      <c r="R203" s="13" t="s">
        <v>24</v>
      </c>
    </row>
    <row r="204" spans="2:18" ht="17" x14ac:dyDescent="0.2">
      <c r="B204">
        <v>202</v>
      </c>
      <c r="C204" s="19" t="s">
        <v>359</v>
      </c>
      <c r="D204" s="11" t="str">
        <f>VLOOKUP(E204,[1]Mei!$E$6:$F$173,2,0)</f>
        <v>K884</v>
      </c>
      <c r="E204" s="2" t="s">
        <v>358</v>
      </c>
      <c r="F204" s="3" t="s">
        <v>9</v>
      </c>
      <c r="G204" s="3"/>
      <c r="H204" s="3" t="s">
        <v>49</v>
      </c>
      <c r="I204" s="19" t="s">
        <v>359</v>
      </c>
      <c r="J204" s="4" t="s">
        <v>158</v>
      </c>
      <c r="K204" s="4" t="s">
        <v>193</v>
      </c>
      <c r="L204" s="6">
        <v>100000</v>
      </c>
      <c r="M204" s="6">
        <v>50000</v>
      </c>
      <c r="N204" s="6"/>
      <c r="O204" s="6">
        <v>20000</v>
      </c>
      <c r="P204" s="14"/>
      <c r="Q204" s="6"/>
      <c r="R204" s="13" t="s">
        <v>24</v>
      </c>
    </row>
    <row r="205" spans="2:18" ht="17" x14ac:dyDescent="0.2">
      <c r="B205">
        <v>203</v>
      </c>
      <c r="C205" s="19" t="s">
        <v>361</v>
      </c>
      <c r="D205" s="11" t="e">
        <f>VLOOKUP(E205,[1]Mei!$E$6:$F$173,2,0)</f>
        <v>#N/A</v>
      </c>
      <c r="E205" s="2" t="s">
        <v>360</v>
      </c>
      <c r="F205" s="3" t="s">
        <v>163</v>
      </c>
      <c r="G205" s="3"/>
      <c r="H205" s="3" t="s">
        <v>10</v>
      </c>
      <c r="I205" s="19" t="s">
        <v>361</v>
      </c>
      <c r="J205" s="4" t="str">
        <f t="shared" ref="J205:J220" si="7">IF(LEFT(I205,2)="00","Tetap","Dilayani")</f>
        <v>Dilayani</v>
      </c>
      <c r="K205" s="4" t="s">
        <v>126</v>
      </c>
      <c r="L205" s="6">
        <f>25000+25000+50000</f>
        <v>100000</v>
      </c>
      <c r="M205" s="6">
        <f>10000+65000</f>
        <v>75000</v>
      </c>
      <c r="N205" s="6"/>
      <c r="O205" s="6">
        <v>5000</v>
      </c>
      <c r="P205" s="6"/>
      <c r="Q205" s="6">
        <f>O205+P205</f>
        <v>5000</v>
      </c>
      <c r="R205" s="13" t="s">
        <v>24</v>
      </c>
    </row>
    <row r="206" spans="2:18" ht="17" x14ac:dyDescent="0.2">
      <c r="B206">
        <v>204</v>
      </c>
      <c r="C206" s="11" t="s">
        <v>423</v>
      </c>
      <c r="D206" s="11" t="str">
        <f>VLOOKUP(E206,[1]Mei!$E$6:$F$173,2,0)</f>
        <v>00570</v>
      </c>
      <c r="E206" s="2" t="s">
        <v>362</v>
      </c>
      <c r="F206" s="3" t="s">
        <v>9</v>
      </c>
      <c r="G206" s="3"/>
      <c r="H206" s="3" t="s">
        <v>10</v>
      </c>
      <c r="I206" s="11" t="s">
        <v>423</v>
      </c>
      <c r="J206" s="4" t="str">
        <f t="shared" si="7"/>
        <v>Tetap</v>
      </c>
      <c r="K206" s="4" t="s">
        <v>26</v>
      </c>
      <c r="L206" s="6">
        <v>100000</v>
      </c>
      <c r="M206" s="6">
        <v>150000</v>
      </c>
      <c r="N206" s="6"/>
      <c r="O206" s="6">
        <v>50000</v>
      </c>
      <c r="P206" s="6"/>
      <c r="Q206" s="6">
        <v>50000</v>
      </c>
      <c r="R206" s="13" t="s">
        <v>24</v>
      </c>
    </row>
    <row r="207" spans="2:18" ht="17" x14ac:dyDescent="0.2">
      <c r="B207">
        <v>205</v>
      </c>
      <c r="C207" s="11" t="s">
        <v>471</v>
      </c>
      <c r="D207" s="11" t="str">
        <f>VLOOKUP(E207,[1]Mei!$E$6:$F$173,2,0)</f>
        <v>00576</v>
      </c>
      <c r="E207" s="2" t="s">
        <v>363</v>
      </c>
      <c r="F207" s="3" t="s">
        <v>9</v>
      </c>
      <c r="G207" s="3"/>
      <c r="H207" s="3" t="s">
        <v>49</v>
      </c>
      <c r="I207" s="11" t="s">
        <v>471</v>
      </c>
      <c r="J207" s="4" t="str">
        <f t="shared" si="7"/>
        <v>Tetap</v>
      </c>
      <c r="K207" s="4" t="s">
        <v>45</v>
      </c>
      <c r="L207" s="6">
        <f>50000+50000</f>
        <v>100000</v>
      </c>
      <c r="M207" s="6">
        <v>100000</v>
      </c>
      <c r="N207" s="6"/>
      <c r="O207" s="6">
        <v>20000</v>
      </c>
      <c r="P207" s="14"/>
      <c r="Q207" s="6">
        <f>O207+P207</f>
        <v>20000</v>
      </c>
      <c r="R207" s="13" t="s">
        <v>24</v>
      </c>
    </row>
    <row r="208" spans="2:18" ht="17" x14ac:dyDescent="0.2">
      <c r="B208">
        <v>206</v>
      </c>
      <c r="C208" s="11" t="s">
        <v>466</v>
      </c>
      <c r="D208" s="11" t="str">
        <f>VLOOKUP(E208,[1]Mei!$E$6:$F$173,2,0)</f>
        <v>00578</v>
      </c>
      <c r="E208" s="2" t="s">
        <v>364</v>
      </c>
      <c r="F208" s="3" t="s">
        <v>9</v>
      </c>
      <c r="G208" s="3"/>
      <c r="H208" s="3" t="s">
        <v>10</v>
      </c>
      <c r="I208" s="11" t="s">
        <v>466</v>
      </c>
      <c r="J208" s="4" t="str">
        <f t="shared" si="7"/>
        <v>Tetap</v>
      </c>
      <c r="K208" s="4" t="s">
        <v>30</v>
      </c>
      <c r="L208" s="6">
        <v>100000</v>
      </c>
      <c r="M208" s="6">
        <v>200000</v>
      </c>
      <c r="N208" s="6"/>
      <c r="O208" s="6">
        <v>50000</v>
      </c>
      <c r="P208" s="6"/>
      <c r="Q208" s="6">
        <v>50000</v>
      </c>
      <c r="R208" s="13" t="s">
        <v>24</v>
      </c>
    </row>
    <row r="209" spans="2:18" ht="17" x14ac:dyDescent="0.2">
      <c r="B209">
        <v>207</v>
      </c>
      <c r="C209" s="11" t="s">
        <v>471</v>
      </c>
      <c r="D209" s="11">
        <f>VLOOKUP(E209,[1]Mei!$E$6:$F$173,2,0)</f>
        <v>0</v>
      </c>
      <c r="E209" s="2" t="s">
        <v>365</v>
      </c>
      <c r="F209" s="3" t="s">
        <v>9</v>
      </c>
      <c r="G209" s="50"/>
      <c r="H209" s="3" t="s">
        <v>49</v>
      </c>
      <c r="I209" s="11" t="s">
        <v>471</v>
      </c>
      <c r="J209" s="4" t="str">
        <f t="shared" si="7"/>
        <v>Tetap</v>
      </c>
      <c r="K209" s="4"/>
      <c r="L209" s="6">
        <v>100000</v>
      </c>
      <c r="M209" s="6">
        <v>50000</v>
      </c>
      <c r="N209" s="6"/>
      <c r="O209" s="6">
        <v>50000</v>
      </c>
      <c r="P209" s="6"/>
      <c r="Q209" s="6">
        <v>50000</v>
      </c>
      <c r="R209" s="13" t="s">
        <v>24</v>
      </c>
    </row>
    <row r="210" spans="2:18" ht="17" x14ac:dyDescent="0.2">
      <c r="B210">
        <v>208</v>
      </c>
      <c r="C210" s="22" t="s">
        <v>424</v>
      </c>
      <c r="D210" s="11" t="str">
        <f>VLOOKUP(E210,[1]Mei!$E$6:$F$173,2,0)</f>
        <v>00545</v>
      </c>
      <c r="E210" s="2" t="s">
        <v>366</v>
      </c>
      <c r="F210" s="3" t="s">
        <v>9</v>
      </c>
      <c r="G210" s="3"/>
      <c r="H210" s="3" t="s">
        <v>10</v>
      </c>
      <c r="I210" s="22" t="s">
        <v>424</v>
      </c>
      <c r="J210" s="4" t="str">
        <f t="shared" si="7"/>
        <v>Tetap</v>
      </c>
      <c r="K210" s="4" t="s">
        <v>21</v>
      </c>
      <c r="L210" s="6">
        <v>100000</v>
      </c>
      <c r="M210" s="6">
        <v>50000</v>
      </c>
      <c r="N210" s="6"/>
      <c r="O210" s="6">
        <v>50000</v>
      </c>
      <c r="P210" s="6"/>
      <c r="Q210" s="6">
        <v>50000</v>
      </c>
      <c r="R210" s="13" t="s">
        <v>24</v>
      </c>
    </row>
    <row r="211" spans="2:18" ht="17" x14ac:dyDescent="0.2">
      <c r="B211">
        <v>209</v>
      </c>
      <c r="C211" s="22" t="s">
        <v>426</v>
      </c>
      <c r="D211" s="11" t="str">
        <f>VLOOKUP(E211,[1]Mei!$E$6:$F$173,2,0)</f>
        <v>00629</v>
      </c>
      <c r="E211" s="2" t="s">
        <v>425</v>
      </c>
      <c r="F211" s="3" t="s">
        <v>9</v>
      </c>
      <c r="G211" s="28">
        <v>45526</v>
      </c>
      <c r="H211" s="3" t="s">
        <v>10</v>
      </c>
      <c r="I211" s="22" t="s">
        <v>426</v>
      </c>
      <c r="J211" s="4" t="str">
        <f t="shared" si="7"/>
        <v>Tetap</v>
      </c>
      <c r="K211" s="4" t="s">
        <v>30</v>
      </c>
      <c r="L211" s="6">
        <v>100000</v>
      </c>
      <c r="M211" s="6">
        <v>50000</v>
      </c>
      <c r="N211" s="6"/>
      <c r="O211" s="6">
        <v>50000</v>
      </c>
      <c r="P211" s="6"/>
      <c r="Q211" s="6"/>
      <c r="R211" s="13" t="s">
        <v>24</v>
      </c>
    </row>
    <row r="212" spans="2:18" ht="17" x14ac:dyDescent="0.2">
      <c r="B212">
        <v>210</v>
      </c>
      <c r="C212" s="22" t="s">
        <v>427</v>
      </c>
      <c r="D212" s="11" t="str">
        <f>VLOOKUP(E212,[1]Mei!$E$6:$F$173,2,0)</f>
        <v>K1691</v>
      </c>
      <c r="E212" s="2" t="s">
        <v>367</v>
      </c>
      <c r="F212" s="3" t="s">
        <v>9</v>
      </c>
      <c r="G212" s="28">
        <v>45523</v>
      </c>
      <c r="H212" s="3" t="s">
        <v>10</v>
      </c>
      <c r="I212" s="22" t="s">
        <v>427</v>
      </c>
      <c r="J212" s="4" t="str">
        <f t="shared" si="7"/>
        <v>Dilayani</v>
      </c>
      <c r="K212" s="4" t="s">
        <v>428</v>
      </c>
      <c r="L212" s="6">
        <v>100000</v>
      </c>
      <c r="M212" s="6">
        <v>100000</v>
      </c>
      <c r="N212" s="6"/>
      <c r="O212" s="6">
        <v>50000</v>
      </c>
      <c r="P212" s="6"/>
      <c r="Q212" s="6"/>
      <c r="R212" s="13" t="s">
        <v>24</v>
      </c>
    </row>
    <row r="213" spans="2:18" ht="17" x14ac:dyDescent="0.2">
      <c r="B213">
        <v>211</v>
      </c>
      <c r="C213" s="22" t="s">
        <v>472</v>
      </c>
      <c r="D213" s="11" t="str">
        <f>VLOOKUP(E213,[1]Mei!$E$6:$F$173,2,0)</f>
        <v>K1757</v>
      </c>
      <c r="E213" s="2" t="s">
        <v>524</v>
      </c>
      <c r="F213" s="3" t="s">
        <v>9</v>
      </c>
      <c r="G213" s="28">
        <v>45538</v>
      </c>
      <c r="H213" s="3" t="s">
        <v>49</v>
      </c>
      <c r="I213" s="22" t="s">
        <v>472</v>
      </c>
      <c r="J213" s="4" t="str">
        <f t="shared" si="7"/>
        <v>Dilayani</v>
      </c>
      <c r="K213" s="4" t="s">
        <v>45</v>
      </c>
      <c r="L213" s="6">
        <v>100000</v>
      </c>
      <c r="M213" s="6">
        <v>100000</v>
      </c>
      <c r="N213" s="6"/>
      <c r="O213" s="6">
        <v>50000</v>
      </c>
      <c r="P213" s="6"/>
      <c r="Q213" s="6"/>
      <c r="R213" s="13" t="s">
        <v>24</v>
      </c>
    </row>
    <row r="214" spans="2:18" ht="17" x14ac:dyDescent="0.2">
      <c r="B214">
        <v>212</v>
      </c>
      <c r="C214" s="22" t="s">
        <v>429</v>
      </c>
      <c r="D214" s="11" t="str">
        <f>VLOOKUP(E214,[1]Mei!$E$6:$F$173,2,0)</f>
        <v>K1715</v>
      </c>
      <c r="E214" s="2" t="s">
        <v>368</v>
      </c>
      <c r="F214" s="3" t="s">
        <v>9</v>
      </c>
      <c r="G214" s="28">
        <v>45589</v>
      </c>
      <c r="H214" s="3" t="s">
        <v>10</v>
      </c>
      <c r="I214" s="22" t="s">
        <v>429</v>
      </c>
      <c r="J214" s="4" t="str">
        <f t="shared" si="7"/>
        <v>Dilayani</v>
      </c>
      <c r="K214" s="4" t="s">
        <v>430</v>
      </c>
      <c r="L214" s="6">
        <v>100000</v>
      </c>
      <c r="M214" s="6">
        <v>100000</v>
      </c>
      <c r="N214" s="6"/>
      <c r="O214" s="6">
        <v>50000</v>
      </c>
      <c r="P214" s="6"/>
      <c r="Q214" s="6"/>
      <c r="R214" s="13" t="s">
        <v>24</v>
      </c>
    </row>
    <row r="215" spans="2:18" ht="17" x14ac:dyDescent="0.2">
      <c r="B215">
        <v>213</v>
      </c>
      <c r="C215" s="22" t="s">
        <v>431</v>
      </c>
      <c r="D215" s="11" t="str">
        <f>VLOOKUP(E215,[1]Mei!$E$6:$F$173,2,0)</f>
        <v>K1666</v>
      </c>
      <c r="E215" s="2" t="s">
        <v>369</v>
      </c>
      <c r="F215" s="3" t="s">
        <v>9</v>
      </c>
      <c r="G215" s="28">
        <v>45588</v>
      </c>
      <c r="H215" s="3" t="s">
        <v>10</v>
      </c>
      <c r="I215" s="22" t="s">
        <v>431</v>
      </c>
      <c r="J215" s="4" t="str">
        <f t="shared" si="7"/>
        <v>Dilayani</v>
      </c>
      <c r="K215" s="4" t="s">
        <v>430</v>
      </c>
      <c r="L215" s="6">
        <v>100000</v>
      </c>
      <c r="M215" s="6">
        <v>100000</v>
      </c>
      <c r="N215" s="6"/>
      <c r="O215" s="6">
        <v>50000</v>
      </c>
      <c r="P215" s="6"/>
      <c r="Q215" s="6"/>
      <c r="R215" s="13" t="s">
        <v>24</v>
      </c>
    </row>
    <row r="216" spans="2:18" ht="17" x14ac:dyDescent="0.2">
      <c r="B216">
        <v>214</v>
      </c>
      <c r="C216" s="22" t="s">
        <v>432</v>
      </c>
      <c r="D216" s="11" t="str">
        <f>VLOOKUP(E216,[1]Mei!$E$6:$F$173,2,0)</f>
        <v>00610</v>
      </c>
      <c r="E216" s="2" t="s">
        <v>370</v>
      </c>
      <c r="F216" s="3" t="s">
        <v>9</v>
      </c>
      <c r="G216" s="28">
        <v>45595</v>
      </c>
      <c r="H216" s="3" t="s">
        <v>10</v>
      </c>
      <c r="I216" s="22" t="s">
        <v>432</v>
      </c>
      <c r="J216" s="4" t="str">
        <f t="shared" si="7"/>
        <v>Tetap</v>
      </c>
      <c r="K216" s="4" t="s">
        <v>30</v>
      </c>
      <c r="L216" s="6">
        <v>100000</v>
      </c>
      <c r="M216" s="6">
        <v>500000</v>
      </c>
      <c r="N216" s="6"/>
      <c r="O216" s="6">
        <v>50000</v>
      </c>
      <c r="P216" s="6"/>
      <c r="Q216" s="6"/>
      <c r="R216" s="13" t="s">
        <v>24</v>
      </c>
    </row>
    <row r="217" spans="2:18" ht="17" x14ac:dyDescent="0.2">
      <c r="B217">
        <v>215</v>
      </c>
      <c r="C217" s="22" t="s">
        <v>433</v>
      </c>
      <c r="D217" s="11" t="e">
        <f>VLOOKUP(E217,[1]Mei!$E$6:$F$173,2,0)</f>
        <v>#N/A</v>
      </c>
      <c r="E217" s="2" t="s">
        <v>371</v>
      </c>
      <c r="F217" s="3" t="s">
        <v>556</v>
      </c>
      <c r="G217" s="28">
        <v>45576</v>
      </c>
      <c r="H217" s="3" t="s">
        <v>10</v>
      </c>
      <c r="I217" s="22" t="s">
        <v>433</v>
      </c>
      <c r="J217" s="4" t="str">
        <f t="shared" si="7"/>
        <v>Dilayani</v>
      </c>
      <c r="K217" s="4" t="s">
        <v>430</v>
      </c>
      <c r="L217" s="6">
        <v>100000</v>
      </c>
      <c r="M217" s="6">
        <v>250000</v>
      </c>
      <c r="N217" s="6"/>
      <c r="O217" s="6">
        <v>50000</v>
      </c>
      <c r="P217" s="6"/>
      <c r="Q217" s="6"/>
      <c r="R217" s="13" t="s">
        <v>24</v>
      </c>
    </row>
    <row r="218" spans="2:18" ht="17" x14ac:dyDescent="0.2">
      <c r="B218">
        <v>216</v>
      </c>
      <c r="C218" s="22" t="s">
        <v>434</v>
      </c>
      <c r="D218" s="11" t="e">
        <f>VLOOKUP(E218,[1]Mei!$E$6:$F$173,2,0)</f>
        <v>#N/A</v>
      </c>
      <c r="E218" s="2" t="s">
        <v>372</v>
      </c>
      <c r="F218" s="3" t="s">
        <v>614</v>
      </c>
      <c r="G218" s="28">
        <v>45576</v>
      </c>
      <c r="H218" s="3" t="s">
        <v>10</v>
      </c>
      <c r="I218" s="22" t="s">
        <v>434</v>
      </c>
      <c r="J218" s="4" t="str">
        <f t="shared" si="7"/>
        <v>Dilayani</v>
      </c>
      <c r="K218" s="4" t="s">
        <v>430</v>
      </c>
      <c r="L218" s="6">
        <v>100000</v>
      </c>
      <c r="M218" s="6">
        <v>150000</v>
      </c>
      <c r="N218" s="6"/>
      <c r="O218" s="6">
        <v>50000</v>
      </c>
      <c r="P218" s="6"/>
      <c r="Q218" s="6"/>
      <c r="R218" s="13" t="s">
        <v>24</v>
      </c>
    </row>
    <row r="219" spans="2:18" ht="17" x14ac:dyDescent="0.2">
      <c r="B219">
        <v>217</v>
      </c>
      <c r="C219" s="85" t="s">
        <v>557</v>
      </c>
      <c r="D219" s="11" t="str">
        <f>VLOOKUP(E219,[1]Mei!$E$6:$F$173,2,0)</f>
        <v>00637</v>
      </c>
      <c r="E219" s="2" t="s">
        <v>435</v>
      </c>
      <c r="F219" s="40" t="s">
        <v>9</v>
      </c>
      <c r="G219" s="41">
        <v>45701</v>
      </c>
      <c r="H219" s="40" t="s">
        <v>10</v>
      </c>
      <c r="I219" s="85" t="s">
        <v>557</v>
      </c>
      <c r="J219" s="42" t="str">
        <f t="shared" si="7"/>
        <v>Tetap</v>
      </c>
      <c r="K219" s="42" t="s">
        <v>26</v>
      </c>
      <c r="L219" s="6">
        <v>100000</v>
      </c>
      <c r="M219" s="6">
        <v>100000</v>
      </c>
      <c r="N219" s="43"/>
      <c r="O219" s="44">
        <v>50000</v>
      </c>
      <c r="R219" s="13" t="s">
        <v>24</v>
      </c>
    </row>
    <row r="220" spans="2:18" ht="17" x14ac:dyDescent="0.2">
      <c r="B220">
        <v>218</v>
      </c>
      <c r="C220" s="22" t="s">
        <v>573</v>
      </c>
      <c r="D220" s="11" t="str">
        <f>VLOOKUP(E220,[1]Mei!$E$6:$F$173,2,0)</f>
        <v>00638</v>
      </c>
      <c r="E220" s="2" t="s">
        <v>436</v>
      </c>
      <c r="F220" s="3" t="s">
        <v>9</v>
      </c>
      <c r="G220" s="28">
        <v>45707</v>
      </c>
      <c r="H220" s="3" t="s">
        <v>10</v>
      </c>
      <c r="I220" s="22" t="s">
        <v>454</v>
      </c>
      <c r="J220" s="4" t="str">
        <f t="shared" si="7"/>
        <v>Dilayani</v>
      </c>
      <c r="K220" s="4" t="s">
        <v>437</v>
      </c>
      <c r="L220" s="6">
        <v>100000</v>
      </c>
      <c r="M220" s="6">
        <v>100000</v>
      </c>
      <c r="N220" s="45"/>
      <c r="O220" s="6">
        <v>50000</v>
      </c>
      <c r="R220" s="13" t="s">
        <v>24</v>
      </c>
    </row>
    <row r="221" spans="2:18" ht="17" x14ac:dyDescent="0.2">
      <c r="B221">
        <v>219</v>
      </c>
      <c r="C221" s="22" t="s">
        <v>455</v>
      </c>
      <c r="D221" s="11" t="str">
        <f>VLOOKUP(E221,[1]Mei!$E$6:$F$173,2,0)</f>
        <v>00616</v>
      </c>
      <c r="E221" s="2" t="s">
        <v>438</v>
      </c>
      <c r="F221" s="3" t="s">
        <v>9</v>
      </c>
      <c r="G221" s="28">
        <v>45707</v>
      </c>
      <c r="H221" s="3" t="s">
        <v>10</v>
      </c>
      <c r="I221" s="22" t="s">
        <v>455</v>
      </c>
      <c r="J221" s="4" t="s">
        <v>11</v>
      </c>
      <c r="K221" s="4" t="s">
        <v>416</v>
      </c>
      <c r="L221" s="6">
        <v>100000</v>
      </c>
      <c r="M221" s="6">
        <v>250000</v>
      </c>
      <c r="N221" s="45"/>
      <c r="O221" s="6">
        <v>50000</v>
      </c>
      <c r="R221" s="13" t="s">
        <v>24</v>
      </c>
    </row>
    <row r="222" spans="2:18" ht="17" x14ac:dyDescent="0.2">
      <c r="B222">
        <v>220</v>
      </c>
      <c r="C222" s="22" t="s">
        <v>456</v>
      </c>
      <c r="D222" s="11" t="str">
        <f>VLOOKUP(E222,[1]Mei!$E$6:$F$173,2,0)</f>
        <v>K1744</v>
      </c>
      <c r="E222" s="2" t="s">
        <v>439</v>
      </c>
      <c r="F222" s="3" t="s">
        <v>9</v>
      </c>
      <c r="G222" s="28">
        <v>45713</v>
      </c>
      <c r="H222" s="3" t="s">
        <v>10</v>
      </c>
      <c r="I222" s="22" t="s">
        <v>456</v>
      </c>
      <c r="J222" s="4" t="str">
        <f t="shared" ref="J222:J231" si="8">IF(LEFT(I222,2)="00","Tetap","Dilayani")</f>
        <v>Dilayani</v>
      </c>
      <c r="K222" s="4" t="s">
        <v>440</v>
      </c>
      <c r="L222" s="6">
        <v>100000</v>
      </c>
      <c r="M222" s="6">
        <v>300000</v>
      </c>
      <c r="N222" s="45"/>
      <c r="O222" s="6">
        <v>50000</v>
      </c>
      <c r="R222" s="13" t="s">
        <v>24</v>
      </c>
    </row>
    <row r="223" spans="2:18" ht="17" x14ac:dyDescent="0.2">
      <c r="B223">
        <v>221</v>
      </c>
      <c r="C223" s="4" t="s">
        <v>25</v>
      </c>
      <c r="D223" s="11" t="e">
        <f>VLOOKUP(E223,[1]Mei!$E$6:$F$173,2,0)</f>
        <v>#N/A</v>
      </c>
      <c r="E223" s="2" t="s">
        <v>485</v>
      </c>
      <c r="F223" s="3" t="s">
        <v>556</v>
      </c>
      <c r="G223" s="3"/>
      <c r="H223" s="3" t="s">
        <v>10</v>
      </c>
      <c r="I223" s="4" t="s">
        <v>25</v>
      </c>
      <c r="J223" s="4" t="str">
        <f t="shared" si="8"/>
        <v>Tetap</v>
      </c>
      <c r="K223" s="4" t="s">
        <v>26</v>
      </c>
      <c r="L223" s="6">
        <v>150000</v>
      </c>
      <c r="M223" s="6">
        <v>75000</v>
      </c>
      <c r="N223" s="6">
        <v>200</v>
      </c>
      <c r="O223" s="6">
        <v>5000</v>
      </c>
      <c r="P223" s="105"/>
      <c r="Q223" s="101"/>
      <c r="R223" s="13" t="s">
        <v>24</v>
      </c>
    </row>
    <row r="224" spans="2:18" ht="17" x14ac:dyDescent="0.2">
      <c r="B224">
        <v>222</v>
      </c>
      <c r="C224" s="22" t="s">
        <v>458</v>
      </c>
      <c r="D224" s="11" t="str">
        <f>VLOOKUP(E224,[1]Mei!$E$6:$F$173,2,0)</f>
        <v>00613</v>
      </c>
      <c r="E224" s="2" t="s">
        <v>442</v>
      </c>
      <c r="F224" s="3" t="s">
        <v>9</v>
      </c>
      <c r="G224" s="28">
        <v>45713</v>
      </c>
      <c r="H224" s="3" t="s">
        <v>10</v>
      </c>
      <c r="I224" s="22" t="s">
        <v>458</v>
      </c>
      <c r="J224" s="4" t="str">
        <f t="shared" si="8"/>
        <v>Tetap</v>
      </c>
      <c r="K224" s="4" t="s">
        <v>443</v>
      </c>
      <c r="L224" s="6">
        <v>100000</v>
      </c>
      <c r="M224" s="6">
        <v>150000</v>
      </c>
      <c r="N224" s="45"/>
      <c r="O224" s="6">
        <v>50000</v>
      </c>
      <c r="R224" s="13" t="s">
        <v>24</v>
      </c>
    </row>
    <row r="225" spans="2:19" ht="17" x14ac:dyDescent="0.2">
      <c r="B225">
        <v>223</v>
      </c>
      <c r="C225" s="22" t="s">
        <v>459</v>
      </c>
      <c r="D225" s="11" t="str">
        <f>VLOOKUP(E225,[1]Mei!$E$6:$F$173,2,0)</f>
        <v>K1725</v>
      </c>
      <c r="E225" s="2" t="s">
        <v>444</v>
      </c>
      <c r="F225" s="3" t="s">
        <v>9</v>
      </c>
      <c r="G225" s="28">
        <v>45713</v>
      </c>
      <c r="H225" s="3" t="s">
        <v>10</v>
      </c>
      <c r="I225" s="22" t="s">
        <v>459</v>
      </c>
      <c r="J225" s="4" t="str">
        <f t="shared" si="8"/>
        <v>Dilayani</v>
      </c>
      <c r="K225" s="4" t="s">
        <v>443</v>
      </c>
      <c r="L225" s="6">
        <v>100000</v>
      </c>
      <c r="M225" s="6">
        <v>150000</v>
      </c>
      <c r="N225" s="45"/>
      <c r="O225" s="6">
        <v>50000</v>
      </c>
      <c r="R225" s="13" t="s">
        <v>24</v>
      </c>
    </row>
    <row r="226" spans="2:19" ht="17" x14ac:dyDescent="0.2">
      <c r="B226">
        <v>224</v>
      </c>
      <c r="C226" s="22" t="s">
        <v>460</v>
      </c>
      <c r="D226" s="11" t="str">
        <f>VLOOKUP(E226,[1]Mei!$E$6:$F$173,2,0)</f>
        <v>00628</v>
      </c>
      <c r="E226" s="2" t="s">
        <v>445</v>
      </c>
      <c r="F226" s="3" t="s">
        <v>9</v>
      </c>
      <c r="G226" s="28">
        <v>45713</v>
      </c>
      <c r="H226" s="3" t="s">
        <v>10</v>
      </c>
      <c r="I226" s="22" t="s">
        <v>460</v>
      </c>
      <c r="J226" s="4" t="str">
        <f t="shared" si="8"/>
        <v>Tetap</v>
      </c>
      <c r="K226" s="4" t="s">
        <v>443</v>
      </c>
      <c r="L226" s="6">
        <v>100000</v>
      </c>
      <c r="M226" s="6">
        <v>150000</v>
      </c>
      <c r="N226" s="46"/>
      <c r="O226" s="6">
        <v>50000</v>
      </c>
      <c r="R226" s="13" t="s">
        <v>24</v>
      </c>
    </row>
    <row r="227" spans="2:19" ht="17" x14ac:dyDescent="0.2">
      <c r="B227">
        <v>225</v>
      </c>
      <c r="C227" s="22" t="s">
        <v>461</v>
      </c>
      <c r="D227" s="11" t="str">
        <f>VLOOKUP(E227,[1]Mei!$E$6:$F$173,2,0)</f>
        <v>K1754</v>
      </c>
      <c r="E227" s="2" t="s">
        <v>446</v>
      </c>
      <c r="F227" s="3" t="s">
        <v>9</v>
      </c>
      <c r="G227" s="28">
        <v>45693</v>
      </c>
      <c r="H227" s="3" t="s">
        <v>10</v>
      </c>
      <c r="I227" s="22" t="s">
        <v>461</v>
      </c>
      <c r="J227" s="4" t="str">
        <f t="shared" si="8"/>
        <v>Dilayani</v>
      </c>
      <c r="K227" s="47" t="s">
        <v>447</v>
      </c>
      <c r="L227" s="6">
        <v>100000</v>
      </c>
      <c r="M227" s="6">
        <v>100000</v>
      </c>
      <c r="N227" s="46"/>
      <c r="O227" s="48">
        <v>50000</v>
      </c>
      <c r="R227" s="13" t="s">
        <v>24</v>
      </c>
    </row>
    <row r="228" spans="2:19" ht="17" x14ac:dyDescent="0.2">
      <c r="B228">
        <v>226</v>
      </c>
      <c r="C228" s="22" t="s">
        <v>462</v>
      </c>
      <c r="D228" s="11" t="str">
        <f>VLOOKUP(E228,[1]Mei!$E$6:$F$173,2,0)</f>
        <v>K1751</v>
      </c>
      <c r="E228" s="2" t="s">
        <v>448</v>
      </c>
      <c r="F228" s="3" t="s">
        <v>9</v>
      </c>
      <c r="G228" s="28">
        <v>45693</v>
      </c>
      <c r="H228" s="3" t="s">
        <v>10</v>
      </c>
      <c r="I228" s="22" t="s">
        <v>462</v>
      </c>
      <c r="J228" s="4" t="str">
        <f t="shared" si="8"/>
        <v>Dilayani</v>
      </c>
      <c r="K228" s="47" t="s">
        <v>447</v>
      </c>
      <c r="L228" s="6">
        <v>100000</v>
      </c>
      <c r="M228" s="6">
        <v>200000</v>
      </c>
      <c r="N228" s="46"/>
      <c r="O228" s="48">
        <v>50000</v>
      </c>
      <c r="R228" s="13" t="s">
        <v>24</v>
      </c>
    </row>
    <row r="229" spans="2:19" ht="17" x14ac:dyDescent="0.2">
      <c r="B229">
        <v>227</v>
      </c>
      <c r="C229" s="22" t="s">
        <v>463</v>
      </c>
      <c r="D229" s="11" t="str">
        <f>VLOOKUP(E229,[1]Mei!$E$6:$F$173,2,0)</f>
        <v>K1753</v>
      </c>
      <c r="E229" s="2" t="s">
        <v>449</v>
      </c>
      <c r="F229" s="3" t="s">
        <v>9</v>
      </c>
      <c r="G229" s="28">
        <v>45693</v>
      </c>
      <c r="H229" s="3" t="s">
        <v>10</v>
      </c>
      <c r="I229" s="22" t="s">
        <v>463</v>
      </c>
      <c r="J229" s="4" t="str">
        <f t="shared" si="8"/>
        <v>Dilayani</v>
      </c>
      <c r="K229" s="47" t="s">
        <v>447</v>
      </c>
      <c r="L229" s="6">
        <v>100000</v>
      </c>
      <c r="M229" s="6">
        <v>200000</v>
      </c>
      <c r="N229" s="46"/>
      <c r="O229" s="48">
        <v>50000</v>
      </c>
      <c r="R229" s="13" t="s">
        <v>24</v>
      </c>
    </row>
    <row r="230" spans="2:19" ht="17" x14ac:dyDescent="0.2">
      <c r="B230">
        <v>228</v>
      </c>
      <c r="C230" s="22" t="s">
        <v>464</v>
      </c>
      <c r="D230" s="11" t="str">
        <f>VLOOKUP(E230,[1]Mei!$E$6:$F$173,2,0)</f>
        <v>K1752</v>
      </c>
      <c r="E230" s="2" t="s">
        <v>450</v>
      </c>
      <c r="F230" s="3" t="s">
        <v>9</v>
      </c>
      <c r="G230" s="28">
        <v>45693</v>
      </c>
      <c r="H230" s="3" t="s">
        <v>10</v>
      </c>
      <c r="I230" s="22" t="s">
        <v>464</v>
      </c>
      <c r="J230" s="4" t="str">
        <f t="shared" si="8"/>
        <v>Dilayani</v>
      </c>
      <c r="K230" s="47" t="s">
        <v>447</v>
      </c>
      <c r="L230" s="6">
        <v>100000</v>
      </c>
      <c r="M230" s="6">
        <v>100000</v>
      </c>
      <c r="N230" s="46"/>
      <c r="O230" s="48">
        <v>50000</v>
      </c>
      <c r="R230" s="13" t="s">
        <v>24</v>
      </c>
    </row>
    <row r="231" spans="2:19" ht="17" x14ac:dyDescent="0.2">
      <c r="B231">
        <v>229</v>
      </c>
      <c r="C231" s="22" t="s">
        <v>465</v>
      </c>
      <c r="D231" s="11" t="str">
        <f>VLOOKUP(E231,[1]Mei!$E$6:$F$173,2,0)</f>
        <v>K1749</v>
      </c>
      <c r="E231" s="2" t="s">
        <v>451</v>
      </c>
      <c r="F231" s="3" t="s">
        <v>9</v>
      </c>
      <c r="G231" s="28">
        <v>45692</v>
      </c>
      <c r="H231" s="3" t="s">
        <v>10</v>
      </c>
      <c r="I231" s="22" t="s">
        <v>465</v>
      </c>
      <c r="J231" s="4" t="str">
        <f t="shared" si="8"/>
        <v>Dilayani</v>
      </c>
      <c r="K231" s="4" t="s">
        <v>440</v>
      </c>
      <c r="L231" s="6">
        <v>100000</v>
      </c>
      <c r="M231" s="6">
        <v>200000</v>
      </c>
      <c r="N231" s="46"/>
      <c r="O231" s="48">
        <v>50000</v>
      </c>
      <c r="R231" s="13" t="s">
        <v>24</v>
      </c>
    </row>
    <row r="232" spans="2:19" ht="17" x14ac:dyDescent="0.2">
      <c r="B232">
        <v>230</v>
      </c>
      <c r="C232" s="22" t="s">
        <v>453</v>
      </c>
      <c r="D232" s="11" t="str">
        <f>VLOOKUP(E232,[1]Mei!$E$6:$F$173,2,0)</f>
        <v>00623</v>
      </c>
      <c r="E232" s="27" t="s">
        <v>452</v>
      </c>
      <c r="F232" s="3" t="s">
        <v>9</v>
      </c>
      <c r="G232" s="28">
        <v>45838</v>
      </c>
      <c r="H232" s="3" t="s">
        <v>10</v>
      </c>
      <c r="I232" s="22" t="s">
        <v>453</v>
      </c>
      <c r="J232" s="4" t="s">
        <v>11</v>
      </c>
      <c r="K232" s="4" t="s">
        <v>33</v>
      </c>
      <c r="L232" s="6">
        <v>100000</v>
      </c>
      <c r="M232" s="6">
        <v>900000</v>
      </c>
      <c r="N232" s="6"/>
      <c r="O232" s="6">
        <v>50000</v>
      </c>
      <c r="R232" s="13" t="s">
        <v>24</v>
      </c>
    </row>
    <row r="233" spans="2:19" ht="17" x14ac:dyDescent="0.2">
      <c r="B233">
        <v>231</v>
      </c>
      <c r="C233" s="70" t="s">
        <v>25</v>
      </c>
      <c r="D233" s="11" t="e">
        <f>VLOOKUP(E233,[1]Mei!$E$6:$F$173,2,0)</f>
        <v>#N/A</v>
      </c>
      <c r="E233" s="65" t="s">
        <v>27</v>
      </c>
      <c r="F233" s="3" t="s">
        <v>556</v>
      </c>
      <c r="G233" s="3"/>
      <c r="H233" s="8" t="s">
        <v>10</v>
      </c>
      <c r="I233" s="70" t="s">
        <v>25</v>
      </c>
      <c r="J233" s="4" t="str">
        <f t="shared" ref="J233:J239" si="9">IF(LEFT(I233,2)="00","Tetap","Dilayani")</f>
        <v>Tetap</v>
      </c>
      <c r="K233" s="70" t="s">
        <v>26</v>
      </c>
      <c r="L233" s="69">
        <v>100000</v>
      </c>
      <c r="M233" s="69">
        <v>50000</v>
      </c>
      <c r="N233" s="101"/>
      <c r="O233" s="101">
        <v>50000</v>
      </c>
      <c r="P233" s="101"/>
      <c r="Q233" s="101">
        <v>50000</v>
      </c>
      <c r="R233" s="13" t="s">
        <v>24</v>
      </c>
    </row>
    <row r="234" spans="2:19" ht="17" x14ac:dyDescent="0.2">
      <c r="B234">
        <v>232</v>
      </c>
      <c r="C234" s="67" t="s">
        <v>505</v>
      </c>
      <c r="D234" s="11" t="e">
        <f>VLOOKUP(E234,[1]Mei!$E$6:$F$173,2,0)</f>
        <v>#N/A</v>
      </c>
      <c r="E234" s="65" t="s">
        <v>501</v>
      </c>
      <c r="F234" s="3" t="s">
        <v>614</v>
      </c>
      <c r="I234" s="67" t="s">
        <v>505</v>
      </c>
      <c r="J234" s="70" t="str">
        <f t="shared" si="9"/>
        <v>Dilayani</v>
      </c>
      <c r="K234" s="68" t="s">
        <v>504</v>
      </c>
      <c r="L234" s="69">
        <v>100000</v>
      </c>
      <c r="M234" s="69">
        <v>200000</v>
      </c>
    </row>
    <row r="235" spans="2:19" ht="17" x14ac:dyDescent="0.2">
      <c r="B235">
        <v>233</v>
      </c>
      <c r="C235" s="67" t="s">
        <v>507</v>
      </c>
      <c r="D235" s="11" t="str">
        <f>VLOOKUP(E235,[1]Mei!$E$6:$F$173,2,0)</f>
        <v>K1733</v>
      </c>
      <c r="E235" s="46" t="s">
        <v>497</v>
      </c>
      <c r="F235" s="3" t="s">
        <v>9</v>
      </c>
      <c r="I235" s="67" t="s">
        <v>507</v>
      </c>
      <c r="J235" s="70" t="str">
        <f t="shared" si="9"/>
        <v>Dilayani</v>
      </c>
      <c r="K235" s="68" t="s">
        <v>504</v>
      </c>
      <c r="L235" s="69">
        <v>100000</v>
      </c>
      <c r="M235" s="69">
        <v>200000</v>
      </c>
    </row>
    <row r="236" spans="2:19" ht="17" x14ac:dyDescent="0.2">
      <c r="B236">
        <v>234</v>
      </c>
      <c r="C236" s="67" t="s">
        <v>508</v>
      </c>
      <c r="D236" s="11" t="str">
        <f>VLOOKUP(E236,[1]Mei!$E$6:$F$173,2,0)</f>
        <v>K1735</v>
      </c>
      <c r="E236" s="46" t="s">
        <v>498</v>
      </c>
      <c r="F236" s="3" t="s">
        <v>9</v>
      </c>
      <c r="I236" s="67" t="s">
        <v>508</v>
      </c>
      <c r="J236" s="70" t="str">
        <f t="shared" si="9"/>
        <v>Dilayani</v>
      </c>
      <c r="K236" s="68" t="s">
        <v>504</v>
      </c>
      <c r="L236" s="69">
        <v>100000</v>
      </c>
      <c r="M236" s="69">
        <v>200000</v>
      </c>
    </row>
    <row r="237" spans="2:19" ht="17" x14ac:dyDescent="0.2">
      <c r="B237">
        <v>235</v>
      </c>
      <c r="C237" s="67" t="s">
        <v>509</v>
      </c>
      <c r="D237" s="11" t="str">
        <f>VLOOKUP(E237,[1]Mei!$E$6:$F$173,2,0)</f>
        <v>K1789</v>
      </c>
      <c r="E237" s="46" t="s">
        <v>499</v>
      </c>
      <c r="F237" s="3" t="s">
        <v>9</v>
      </c>
      <c r="H237" t="s">
        <v>190</v>
      </c>
      <c r="I237" s="67" t="s">
        <v>509</v>
      </c>
      <c r="J237" s="70" t="str">
        <f t="shared" si="9"/>
        <v>Dilayani</v>
      </c>
      <c r="K237" s="68" t="s">
        <v>504</v>
      </c>
      <c r="L237" s="69">
        <v>100000</v>
      </c>
      <c r="M237" s="69">
        <v>200000</v>
      </c>
    </row>
    <row r="238" spans="2:19" ht="17" x14ac:dyDescent="0.2">
      <c r="B238">
        <v>236</v>
      </c>
      <c r="C238" s="67" t="s">
        <v>510</v>
      </c>
      <c r="D238" s="11" t="str">
        <f>VLOOKUP(E238,[1]Mei!$E$6:$F$173,2,0)</f>
        <v>K1790</v>
      </c>
      <c r="E238" s="46" t="s">
        <v>500</v>
      </c>
      <c r="F238" s="3" t="s">
        <v>9</v>
      </c>
      <c r="I238" s="67" t="s">
        <v>510</v>
      </c>
      <c r="J238" s="70" t="str">
        <f t="shared" si="9"/>
        <v>Dilayani</v>
      </c>
      <c r="K238" s="68" t="s">
        <v>504</v>
      </c>
      <c r="L238" s="69">
        <v>100000</v>
      </c>
      <c r="M238" s="69">
        <v>200000</v>
      </c>
    </row>
    <row r="239" spans="2:19" ht="17" x14ac:dyDescent="0.2">
      <c r="B239">
        <v>237</v>
      </c>
      <c r="C239" s="67" t="s">
        <v>574</v>
      </c>
      <c r="D239" s="11" t="str">
        <f>VLOOKUP(E239,[1]Mei!$E$6:$F$173,2,0)</f>
        <v>K1778</v>
      </c>
      <c r="E239" s="46" t="s">
        <v>495</v>
      </c>
      <c r="F239" s="3" t="s">
        <v>9</v>
      </c>
      <c r="I239" s="67" t="s">
        <v>511</v>
      </c>
      <c r="J239" s="70" t="str">
        <f t="shared" si="9"/>
        <v>Dilayani</v>
      </c>
      <c r="K239" s="68" t="s">
        <v>504</v>
      </c>
      <c r="L239" s="69">
        <v>100000</v>
      </c>
      <c r="M239" s="69">
        <v>100000</v>
      </c>
    </row>
    <row r="240" spans="2:19" ht="17" x14ac:dyDescent="0.2">
      <c r="B240">
        <v>238</v>
      </c>
      <c r="C240" s="70" t="s">
        <v>125</v>
      </c>
      <c r="D240" s="11" t="e">
        <f>VLOOKUP(E240,[1]Mei!$E$6:$F$173,2,0)</f>
        <v>#N/A</v>
      </c>
      <c r="E240" s="2" t="s">
        <v>124</v>
      </c>
      <c r="F240" s="3" t="s">
        <v>556</v>
      </c>
      <c r="G240" s="8"/>
      <c r="H240" s="8" t="s">
        <v>10</v>
      </c>
      <c r="I240" s="70" t="s">
        <v>125</v>
      </c>
      <c r="J240" s="70" t="s">
        <v>11</v>
      </c>
      <c r="K240" s="70" t="s">
        <v>126</v>
      </c>
      <c r="L240" s="69">
        <v>200000</v>
      </c>
      <c r="M240" s="69">
        <v>150000</v>
      </c>
      <c r="N240" s="101">
        <v>200</v>
      </c>
      <c r="O240" s="101">
        <v>5000</v>
      </c>
      <c r="P240" s="105"/>
      <c r="Q240" s="101"/>
      <c r="R240" s="13" t="s">
        <v>24</v>
      </c>
      <c r="S240" t="s">
        <v>578</v>
      </c>
    </row>
    <row r="241" spans="2:19" ht="17" x14ac:dyDescent="0.2">
      <c r="B241">
        <v>239</v>
      </c>
      <c r="C241" s="67" t="s">
        <v>513</v>
      </c>
      <c r="D241" s="11" t="str">
        <f>VLOOKUP(E241,[1]Mei!$E$6:$F$173,2,0)</f>
        <v>K1734</v>
      </c>
      <c r="E241" s="46" t="s">
        <v>491</v>
      </c>
      <c r="F241" s="3" t="s">
        <v>9</v>
      </c>
      <c r="I241" s="67" t="s">
        <v>513</v>
      </c>
      <c r="J241" s="70" t="str">
        <f>IF(LEFT(I241,2)="00","Tetap","Dilayani")</f>
        <v>Dilayani</v>
      </c>
      <c r="K241" s="68" t="s">
        <v>504</v>
      </c>
      <c r="L241" s="69">
        <v>100000</v>
      </c>
      <c r="M241" s="69">
        <v>100000</v>
      </c>
    </row>
    <row r="242" spans="2:19" ht="17" x14ac:dyDescent="0.2">
      <c r="B242">
        <v>240</v>
      </c>
      <c r="C242" s="67" t="s">
        <v>514</v>
      </c>
      <c r="D242" s="11" t="str">
        <f>VLOOKUP(E242,[1]Mei!$E$6:$F$173,2,0)</f>
        <v>K1742</v>
      </c>
      <c r="E242" s="46" t="s">
        <v>492</v>
      </c>
      <c r="F242" s="3" t="s">
        <v>9</v>
      </c>
      <c r="I242" s="67" t="s">
        <v>514</v>
      </c>
      <c r="J242" s="70" t="str">
        <f>IF(LEFT(I242,2)="00","Tetap","Dilayani")</f>
        <v>Dilayani</v>
      </c>
      <c r="K242" s="68" t="s">
        <v>504</v>
      </c>
      <c r="L242" s="69">
        <v>100000</v>
      </c>
      <c r="M242" s="69">
        <v>100000</v>
      </c>
    </row>
    <row r="243" spans="2:19" ht="17" x14ac:dyDescent="0.2">
      <c r="B243">
        <v>241</v>
      </c>
      <c r="C243" s="67" t="s">
        <v>515</v>
      </c>
      <c r="D243" s="11" t="str">
        <f>VLOOKUP(E243,[1]Mei!$E$6:$F$173,2,0)</f>
        <v>K1745</v>
      </c>
      <c r="E243" s="46" t="s">
        <v>493</v>
      </c>
      <c r="F243" s="3" t="s">
        <v>9</v>
      </c>
      <c r="I243" s="67" t="s">
        <v>515</v>
      </c>
      <c r="J243" s="70" t="str">
        <f>IF(LEFT(I243,2)="00","Tetap","Dilayani")</f>
        <v>Dilayani</v>
      </c>
      <c r="K243" s="68" t="s">
        <v>504</v>
      </c>
      <c r="L243" s="69">
        <v>100000</v>
      </c>
      <c r="M243" s="69">
        <v>100000</v>
      </c>
    </row>
    <row r="244" spans="2:19" ht="17" x14ac:dyDescent="0.2">
      <c r="B244">
        <v>242</v>
      </c>
      <c r="C244" s="91" t="s">
        <v>263</v>
      </c>
      <c r="D244" s="11" t="e">
        <f>VLOOKUP(E244,[1]Mei!$E$6:$F$173,2,0)</f>
        <v>#N/A</v>
      </c>
      <c r="E244" s="2" t="s">
        <v>262</v>
      </c>
      <c r="F244" s="3" t="s">
        <v>556</v>
      </c>
      <c r="G244" s="8"/>
      <c r="H244" s="8" t="s">
        <v>190</v>
      </c>
      <c r="I244" s="91" t="s">
        <v>263</v>
      </c>
      <c r="J244" s="70" t="s">
        <v>11</v>
      </c>
      <c r="K244" s="70" t="s">
        <v>193</v>
      </c>
      <c r="L244" s="69">
        <v>100000</v>
      </c>
      <c r="M244" s="69">
        <v>175000</v>
      </c>
      <c r="N244" s="101">
        <v>200</v>
      </c>
      <c r="O244" s="101">
        <v>5000</v>
      </c>
      <c r="P244" s="105"/>
      <c r="Q244" s="101"/>
      <c r="R244" s="13" t="s">
        <v>24</v>
      </c>
      <c r="S244" t="s">
        <v>577</v>
      </c>
    </row>
    <row r="245" spans="2:19" ht="17" x14ac:dyDescent="0.2">
      <c r="B245">
        <v>243</v>
      </c>
      <c r="C245" s="67" t="s">
        <v>517</v>
      </c>
      <c r="D245" s="11" t="str">
        <f>VLOOKUP(E245,[1]Mei!$E$6:$F$173,2,0)</f>
        <v>K1718</v>
      </c>
      <c r="E245" s="46" t="s">
        <v>490</v>
      </c>
      <c r="F245" s="3" t="s">
        <v>9</v>
      </c>
      <c r="I245" s="67" t="s">
        <v>517</v>
      </c>
      <c r="J245" s="70" t="str">
        <f>IF(LEFT(I245,2)="00","Tetap","Dilayani")</f>
        <v>Dilayani</v>
      </c>
      <c r="K245" s="68" t="s">
        <v>518</v>
      </c>
      <c r="L245" s="69">
        <v>100000</v>
      </c>
      <c r="M245" s="69">
        <v>100000</v>
      </c>
    </row>
    <row r="246" spans="2:19" ht="17" x14ac:dyDescent="0.2">
      <c r="B246">
        <v>244</v>
      </c>
      <c r="C246" s="70" t="s">
        <v>470</v>
      </c>
      <c r="D246" s="11">
        <f>VLOOKUP(E246,[1]Mei!$E$6:$F$173,2,0)</f>
        <v>0</v>
      </c>
      <c r="E246" s="72" t="s">
        <v>526</v>
      </c>
      <c r="F246" s="3" t="s">
        <v>9</v>
      </c>
      <c r="I246" s="66" t="s">
        <v>470</v>
      </c>
      <c r="J246" s="70" t="str">
        <f>IF(LEFT(I246,2)="00","Tetap","Dilayani")</f>
        <v>Dilayani</v>
      </c>
      <c r="K246" s="77" t="s">
        <v>190</v>
      </c>
      <c r="L246" s="69">
        <v>100000</v>
      </c>
      <c r="M246" s="69">
        <v>200000</v>
      </c>
    </row>
    <row r="247" spans="2:19" ht="17" x14ac:dyDescent="0.2">
      <c r="B247">
        <v>245</v>
      </c>
      <c r="C247" s="70" t="s">
        <v>470</v>
      </c>
      <c r="D247" s="11">
        <f>VLOOKUP(E247,[1]Mei!$E$6:$F$173,2,0)</f>
        <v>0</v>
      </c>
      <c r="E247" s="72" t="s">
        <v>527</v>
      </c>
      <c r="F247" s="3" t="s">
        <v>9</v>
      </c>
      <c r="I247" s="66" t="s">
        <v>470</v>
      </c>
      <c r="J247" s="70" t="str">
        <f>IF(LEFT(I247,2)="00","Tetap","Dilayani")</f>
        <v>Dilayani</v>
      </c>
      <c r="K247" s="77" t="s">
        <v>190</v>
      </c>
      <c r="L247" s="69">
        <v>100000</v>
      </c>
      <c r="M247" s="69">
        <v>200000</v>
      </c>
    </row>
    <row r="248" spans="2:19" ht="17" x14ac:dyDescent="0.2">
      <c r="B248">
        <v>246</v>
      </c>
      <c r="C248" s="81" t="s">
        <v>267</v>
      </c>
      <c r="D248" s="11" t="e">
        <f>VLOOKUP(E248,[1]Mei!$E$6:$F$173,2,0)</f>
        <v>#N/A</v>
      </c>
      <c r="E248" s="94" t="s">
        <v>266</v>
      </c>
      <c r="F248" s="3" t="s">
        <v>556</v>
      </c>
      <c r="G248" s="8"/>
      <c r="H248" s="8" t="s">
        <v>10</v>
      </c>
      <c r="I248" s="81" t="s">
        <v>267</v>
      </c>
      <c r="J248" s="70" t="s">
        <v>11</v>
      </c>
      <c r="K248" s="99" t="s">
        <v>30</v>
      </c>
      <c r="L248" s="101">
        <v>100000</v>
      </c>
      <c r="M248" s="101">
        <v>200000</v>
      </c>
      <c r="N248" s="101">
        <v>200</v>
      </c>
      <c r="O248" s="101">
        <v>5000</v>
      </c>
      <c r="P248" s="101"/>
      <c r="Q248" s="101"/>
      <c r="R248" s="13" t="s">
        <v>24</v>
      </c>
    </row>
    <row r="249" spans="2:19" ht="17" x14ac:dyDescent="0.2">
      <c r="B249">
        <v>247</v>
      </c>
      <c r="C249" s="81" t="s">
        <v>528</v>
      </c>
      <c r="D249" s="11">
        <v>0</v>
      </c>
      <c r="E249" s="74" t="s">
        <v>533</v>
      </c>
      <c r="F249" s="3" t="s">
        <v>9</v>
      </c>
      <c r="H249" t="s">
        <v>49</v>
      </c>
      <c r="I249" s="81" t="s">
        <v>528</v>
      </c>
      <c r="J249" t="s">
        <v>528</v>
      </c>
      <c r="K249" s="77" t="s">
        <v>49</v>
      </c>
    </row>
    <row r="250" spans="2:19" ht="17" x14ac:dyDescent="0.2">
      <c r="B250">
        <v>248</v>
      </c>
      <c r="C250" s="81" t="s">
        <v>528</v>
      </c>
      <c r="D250" s="11" t="e">
        <f>VLOOKUP(E250,[1]Mei!$E$6:$F$173,2,0)</f>
        <v>#N/A</v>
      </c>
      <c r="E250" s="74" t="s">
        <v>530</v>
      </c>
      <c r="F250" s="3" t="s">
        <v>614</v>
      </c>
      <c r="I250" s="81" t="s">
        <v>528</v>
      </c>
      <c r="J250" t="s">
        <v>528</v>
      </c>
      <c r="K250" t="s">
        <v>49</v>
      </c>
    </row>
    <row r="251" spans="2:19" ht="17" x14ac:dyDescent="0.2">
      <c r="B251">
        <v>249</v>
      </c>
      <c r="C251" s="13" t="s">
        <v>540</v>
      </c>
      <c r="D251" s="11" t="str">
        <f>VLOOKUP(E251,[1]Mei!$E$6:$F$173,2,0)</f>
        <v>K1813</v>
      </c>
      <c r="E251" t="s">
        <v>539</v>
      </c>
      <c r="F251" s="8" t="s">
        <v>9</v>
      </c>
      <c r="G251" s="73">
        <v>45884</v>
      </c>
      <c r="I251" s="13" t="s">
        <v>540</v>
      </c>
      <c r="J251" s="70" t="str">
        <f>IF(LEFT(I251,2)="00","Tetap","Dilayani")</f>
        <v>Dilayani</v>
      </c>
      <c r="L251" s="69">
        <v>100000</v>
      </c>
      <c r="M251" s="69">
        <v>50000</v>
      </c>
    </row>
    <row r="252" spans="2:19" ht="17" x14ac:dyDescent="0.2">
      <c r="B252">
        <v>250</v>
      </c>
      <c r="C252" s="89" t="s">
        <v>470</v>
      </c>
      <c r="D252" s="11">
        <f>VLOOKUP(E252,[1]Mei!$E$6:$F$173,2,0)</f>
        <v>0</v>
      </c>
      <c r="E252" s="52" t="s">
        <v>278</v>
      </c>
      <c r="F252" s="3" t="s">
        <v>9</v>
      </c>
      <c r="G252" s="8"/>
      <c r="H252" s="8" t="s">
        <v>190</v>
      </c>
      <c r="I252" s="89" t="s">
        <v>470</v>
      </c>
      <c r="J252" s="53" t="s">
        <v>158</v>
      </c>
      <c r="K252" s="53" t="s">
        <v>193</v>
      </c>
      <c r="L252" s="101">
        <v>100000</v>
      </c>
      <c r="M252" s="101">
        <v>10000</v>
      </c>
      <c r="N252" s="101"/>
      <c r="O252" s="101">
        <v>5000</v>
      </c>
      <c r="P252" s="118"/>
      <c r="Q252" s="101"/>
      <c r="R252" s="13" t="s">
        <v>24</v>
      </c>
    </row>
    <row r="253" spans="2:19" ht="17" x14ac:dyDescent="0.2">
      <c r="B253">
        <v>251</v>
      </c>
      <c r="C253" s="53" t="s">
        <v>528</v>
      </c>
      <c r="D253" s="11">
        <v>0</v>
      </c>
      <c r="E253" t="s">
        <v>532</v>
      </c>
      <c r="F253" s="8" t="s">
        <v>9</v>
      </c>
      <c r="I253" s="53" t="s">
        <v>528</v>
      </c>
      <c r="J253" s="53" t="s">
        <v>528</v>
      </c>
    </row>
    <row r="254" spans="2:19" ht="17" x14ac:dyDescent="0.2">
      <c r="B254">
        <v>252</v>
      </c>
      <c r="C254" s="89" t="s">
        <v>322</v>
      </c>
      <c r="D254" s="11" t="e">
        <f>VLOOKUP(E254,[1]Mei!$E$6:$F$173,2,0)</f>
        <v>#N/A</v>
      </c>
      <c r="E254" s="52" t="s">
        <v>321</v>
      </c>
      <c r="F254" s="3" t="s">
        <v>556</v>
      </c>
      <c r="G254" s="97">
        <v>45925</v>
      </c>
      <c r="H254" s="8" t="s">
        <v>190</v>
      </c>
      <c r="I254" s="89" t="s">
        <v>322</v>
      </c>
      <c r="J254" s="53" t="str">
        <f>IF(LEFT(I254,2)="00","Tetap","Dilayani")</f>
        <v>Dilayani</v>
      </c>
      <c r="K254" s="53" t="s">
        <v>193</v>
      </c>
      <c r="L254" s="101">
        <f>50000+50000</f>
        <v>100000</v>
      </c>
      <c r="M254" s="101">
        <v>200000</v>
      </c>
      <c r="N254" s="101"/>
      <c r="O254" s="101">
        <v>20000</v>
      </c>
      <c r="P254" s="105"/>
      <c r="Q254" s="101">
        <f>O254+P254</f>
        <v>20000</v>
      </c>
      <c r="R254" s="13" t="s">
        <v>24</v>
      </c>
    </row>
    <row r="255" spans="2:19" ht="17" x14ac:dyDescent="0.2">
      <c r="B255">
        <v>253</v>
      </c>
      <c r="C255" s="53" t="s">
        <v>340</v>
      </c>
      <c r="D255" s="11" t="e">
        <f>VLOOKUP(E255,[1]Mei!$E$6:$F$173,2,0)</f>
        <v>#N/A</v>
      </c>
      <c r="E255" s="52" t="s">
        <v>339</v>
      </c>
      <c r="F255" s="3" t="s">
        <v>556</v>
      </c>
      <c r="G255" s="8"/>
      <c r="H255" s="8" t="s">
        <v>49</v>
      </c>
      <c r="I255" s="53" t="s">
        <v>340</v>
      </c>
      <c r="J255" s="53" t="s">
        <v>11</v>
      </c>
      <c r="K255" s="53" t="s">
        <v>45</v>
      </c>
      <c r="L255" s="101">
        <v>100000</v>
      </c>
      <c r="M255" s="101">
        <v>50000</v>
      </c>
      <c r="N255" s="101">
        <v>200</v>
      </c>
      <c r="O255" s="101">
        <v>5000</v>
      </c>
      <c r="P255" s="105"/>
      <c r="Q255" s="101"/>
      <c r="R255" s="13" t="s">
        <v>24</v>
      </c>
      <c r="S255" t="s">
        <v>578</v>
      </c>
    </row>
    <row r="256" spans="2:19" ht="17" x14ac:dyDescent="0.2">
      <c r="B256">
        <v>254</v>
      </c>
      <c r="C256" s="53" t="s">
        <v>528</v>
      </c>
      <c r="D256" s="11">
        <v>0</v>
      </c>
      <c r="E256" t="s">
        <v>529</v>
      </c>
      <c r="F256" s="8" t="s">
        <v>614</v>
      </c>
      <c r="I256" s="53" t="s">
        <v>528</v>
      </c>
      <c r="J256" s="53" t="s">
        <v>528</v>
      </c>
    </row>
    <row r="257" spans="2:19" ht="17" x14ac:dyDescent="0.2">
      <c r="B257">
        <v>255</v>
      </c>
      <c r="C257" s="90" t="s">
        <v>457</v>
      </c>
      <c r="D257" s="11" t="e">
        <f>VLOOKUP(E257,[1]Mei!$E$6:$F$173,2,0)</f>
        <v>#N/A</v>
      </c>
      <c r="E257" s="52" t="s">
        <v>441</v>
      </c>
      <c r="F257" s="3" t="s">
        <v>556</v>
      </c>
      <c r="G257" s="79">
        <v>45712</v>
      </c>
      <c r="H257" s="8" t="s">
        <v>10</v>
      </c>
      <c r="I257" s="90" t="s">
        <v>457</v>
      </c>
      <c r="J257" s="53" t="str">
        <f>IF(LEFT(I257,2)="00","Tetap","Dilayani")</f>
        <v>Dilayani</v>
      </c>
      <c r="K257" s="53" t="s">
        <v>440</v>
      </c>
      <c r="L257" s="101">
        <v>100000</v>
      </c>
      <c r="M257" s="101">
        <v>150000</v>
      </c>
      <c r="N257" s="104"/>
      <c r="O257" s="101">
        <v>50000</v>
      </c>
      <c r="R257" s="13" t="s">
        <v>24</v>
      </c>
      <c r="S257" t="s">
        <v>578</v>
      </c>
    </row>
    <row r="258" spans="2:19" ht="17" x14ac:dyDescent="0.2">
      <c r="B258">
        <v>256</v>
      </c>
      <c r="C258" s="90" t="s">
        <v>516</v>
      </c>
      <c r="D258" s="11" t="e">
        <f>VLOOKUP(E258,[1]Mei!$E$6:$F$173,2,0)</f>
        <v>#N/A</v>
      </c>
      <c r="E258" s="96" t="s">
        <v>494</v>
      </c>
      <c r="F258" s="3" t="s">
        <v>556</v>
      </c>
      <c r="I258" s="90" t="s">
        <v>516</v>
      </c>
      <c r="J258" s="53" t="str">
        <f>IF(LEFT(I258,2)="00","Tetap","Dilayani")</f>
        <v>Dilayani</v>
      </c>
      <c r="K258" s="84" t="s">
        <v>504</v>
      </c>
      <c r="L258" s="101">
        <v>100000</v>
      </c>
      <c r="M258" s="101">
        <v>100000</v>
      </c>
    </row>
    <row r="259" spans="2:19" ht="17" x14ac:dyDescent="0.2">
      <c r="B259">
        <v>257</v>
      </c>
      <c r="C259" s="53" t="s">
        <v>470</v>
      </c>
      <c r="D259" s="11">
        <v>0</v>
      </c>
      <c r="E259" s="74" t="s">
        <v>531</v>
      </c>
      <c r="F259" s="8" t="s">
        <v>9</v>
      </c>
      <c r="G259" s="73">
        <v>45717</v>
      </c>
      <c r="I259" s="53" t="s">
        <v>470</v>
      </c>
      <c r="J259" s="53" t="s">
        <v>470</v>
      </c>
    </row>
    <row r="260" spans="2:19" ht="17" x14ac:dyDescent="0.2">
      <c r="B260">
        <v>258</v>
      </c>
      <c r="C260" s="53" t="s">
        <v>470</v>
      </c>
      <c r="D260" s="11" t="e">
        <f>VLOOKUP(E260,[1]Mei!$E$6:$F$173,2,0)</f>
        <v>#N/A</v>
      </c>
      <c r="E260" s="74" t="s">
        <v>536</v>
      </c>
      <c r="F260" s="3" t="s">
        <v>556</v>
      </c>
      <c r="G260" s="73">
        <v>45717</v>
      </c>
      <c r="I260" s="53" t="s">
        <v>470</v>
      </c>
      <c r="J260" s="53" t="s">
        <v>470</v>
      </c>
      <c r="S260" t="s">
        <v>578</v>
      </c>
    </row>
    <row r="261" spans="2:19" ht="17" x14ac:dyDescent="0.2">
      <c r="B261">
        <v>259</v>
      </c>
      <c r="C261" s="53" t="s">
        <v>470</v>
      </c>
      <c r="D261" s="11">
        <v>0</v>
      </c>
      <c r="E261" t="s">
        <v>546</v>
      </c>
      <c r="F261" s="8" t="s">
        <v>9</v>
      </c>
      <c r="G261" s="73">
        <v>45717</v>
      </c>
      <c r="I261" s="53" t="s">
        <v>608</v>
      </c>
      <c r="J261" s="53" t="s">
        <v>470</v>
      </c>
      <c r="K261" t="s">
        <v>416</v>
      </c>
    </row>
    <row r="262" spans="2:19" ht="17" x14ac:dyDescent="0.2">
      <c r="B262">
        <v>260</v>
      </c>
      <c r="C262" s="53" t="s">
        <v>470</v>
      </c>
      <c r="D262" s="11">
        <v>0</v>
      </c>
      <c r="E262" t="s">
        <v>547</v>
      </c>
      <c r="F262" s="8" t="s">
        <v>9</v>
      </c>
      <c r="G262" s="73">
        <v>45717</v>
      </c>
      <c r="I262" s="53" t="s">
        <v>608</v>
      </c>
      <c r="J262" s="53" t="s">
        <v>470</v>
      </c>
      <c r="K262" t="s">
        <v>416</v>
      </c>
    </row>
    <row r="263" spans="2:19" ht="17" x14ac:dyDescent="0.2">
      <c r="B263">
        <v>261</v>
      </c>
      <c r="C263" s="53" t="s">
        <v>470</v>
      </c>
      <c r="D263" s="11">
        <v>0</v>
      </c>
      <c r="E263" t="s">
        <v>548</v>
      </c>
      <c r="F263" s="8" t="s">
        <v>9</v>
      </c>
      <c r="G263" s="73">
        <v>45717</v>
      </c>
      <c r="I263" s="53" t="s">
        <v>608</v>
      </c>
      <c r="J263" s="53" t="s">
        <v>470</v>
      </c>
      <c r="K263" t="s">
        <v>416</v>
      </c>
    </row>
    <row r="264" spans="2:19" ht="17" x14ac:dyDescent="0.2">
      <c r="B264">
        <v>262</v>
      </c>
      <c r="C264" s="53" t="s">
        <v>470</v>
      </c>
      <c r="D264" s="11">
        <v>0</v>
      </c>
      <c r="E264" t="s">
        <v>549</v>
      </c>
      <c r="F264" s="8" t="s">
        <v>9</v>
      </c>
      <c r="G264" s="73">
        <v>45717</v>
      </c>
      <c r="I264" s="53" t="s">
        <v>608</v>
      </c>
      <c r="J264" s="53" t="s">
        <v>470</v>
      </c>
      <c r="K264" t="s">
        <v>416</v>
      </c>
    </row>
    <row r="265" spans="2:19" ht="17" x14ac:dyDescent="0.2">
      <c r="B265">
        <v>263</v>
      </c>
      <c r="C265" s="53" t="s">
        <v>470</v>
      </c>
      <c r="D265" s="11">
        <v>0</v>
      </c>
      <c r="E265" t="s">
        <v>550</v>
      </c>
      <c r="F265" s="8" t="s">
        <v>9</v>
      </c>
      <c r="G265" s="73">
        <v>45717</v>
      </c>
      <c r="I265" s="53" t="s">
        <v>608</v>
      </c>
      <c r="J265" s="53" t="s">
        <v>470</v>
      </c>
      <c r="K265" t="s">
        <v>416</v>
      </c>
    </row>
    <row r="266" spans="2:19" ht="17" x14ac:dyDescent="0.2">
      <c r="B266">
        <v>264</v>
      </c>
      <c r="C266" s="53" t="s">
        <v>470</v>
      </c>
      <c r="D266" s="11">
        <v>0</v>
      </c>
      <c r="E266" t="s">
        <v>551</v>
      </c>
      <c r="F266" s="8" t="s">
        <v>9</v>
      </c>
      <c r="G266" s="73">
        <v>45717</v>
      </c>
      <c r="I266" s="53" t="s">
        <v>608</v>
      </c>
      <c r="J266" s="53" t="s">
        <v>470</v>
      </c>
      <c r="K266" t="s">
        <v>416</v>
      </c>
    </row>
    <row r="267" spans="2:19" ht="17" x14ac:dyDescent="0.2">
      <c r="B267">
        <v>265</v>
      </c>
      <c r="C267" s="53" t="s">
        <v>558</v>
      </c>
      <c r="D267" s="11">
        <v>0</v>
      </c>
      <c r="E267" s="20" t="s">
        <v>534</v>
      </c>
      <c r="F267" s="8" t="s">
        <v>9</v>
      </c>
      <c r="G267" s="73">
        <v>45717</v>
      </c>
      <c r="I267" s="53" t="s">
        <v>558</v>
      </c>
      <c r="J267" s="53" t="s">
        <v>158</v>
      </c>
    </row>
    <row r="268" spans="2:19" ht="17" x14ac:dyDescent="0.2">
      <c r="B268">
        <v>266</v>
      </c>
      <c r="C268" s="67" t="s">
        <v>559</v>
      </c>
      <c r="D268" s="11" t="str">
        <f>VLOOKUP(E268,[1]Mei!$E$6:$F$173,2,0)</f>
        <v>K1611</v>
      </c>
      <c r="E268" t="s">
        <v>560</v>
      </c>
      <c r="F268" s="8" t="s">
        <v>9</v>
      </c>
      <c r="G268" s="73">
        <v>45955</v>
      </c>
      <c r="H268" t="s">
        <v>10</v>
      </c>
      <c r="I268" s="67" t="s">
        <v>559</v>
      </c>
      <c r="J268" s="53" t="s">
        <v>158</v>
      </c>
      <c r="K268" t="s">
        <v>428</v>
      </c>
    </row>
    <row r="269" spans="2:19" ht="17" x14ac:dyDescent="0.2">
      <c r="B269">
        <v>267</v>
      </c>
      <c r="D269" s="11">
        <v>0</v>
      </c>
      <c r="E269" t="s">
        <v>561</v>
      </c>
      <c r="F269" s="8" t="s">
        <v>9</v>
      </c>
      <c r="G269" s="73">
        <v>45717</v>
      </c>
      <c r="I269" s="53" t="s">
        <v>609</v>
      </c>
      <c r="J269" s="53" t="s">
        <v>470</v>
      </c>
      <c r="K269" t="s">
        <v>564</v>
      </c>
    </row>
    <row r="270" spans="2:19" ht="17" x14ac:dyDescent="0.2">
      <c r="B270">
        <v>268</v>
      </c>
      <c r="D270" s="11">
        <v>0</v>
      </c>
      <c r="E270" t="s">
        <v>562</v>
      </c>
      <c r="F270" s="8" t="s">
        <v>9</v>
      </c>
      <c r="G270" s="73">
        <v>45717</v>
      </c>
      <c r="I270" s="53" t="s">
        <v>609</v>
      </c>
      <c r="J270" s="53" t="s">
        <v>470</v>
      </c>
      <c r="K270" t="s">
        <v>564</v>
      </c>
    </row>
    <row r="271" spans="2:19" ht="17" x14ac:dyDescent="0.2">
      <c r="B271">
        <v>269</v>
      </c>
      <c r="D271" s="11">
        <v>0</v>
      </c>
      <c r="E271" t="s">
        <v>563</v>
      </c>
      <c r="F271" s="8" t="s">
        <v>9</v>
      </c>
      <c r="G271" s="73">
        <v>45717</v>
      </c>
      <c r="I271" s="53" t="s">
        <v>609</v>
      </c>
      <c r="J271" s="53" t="s">
        <v>470</v>
      </c>
      <c r="K271" t="s">
        <v>564</v>
      </c>
    </row>
    <row r="272" spans="2:19" ht="17" x14ac:dyDescent="0.2">
      <c r="B272">
        <v>270</v>
      </c>
      <c r="D272" s="11">
        <v>0</v>
      </c>
      <c r="E272" t="s">
        <v>565</v>
      </c>
      <c r="F272" s="8" t="s">
        <v>9</v>
      </c>
      <c r="G272" s="73">
        <v>45717</v>
      </c>
      <c r="I272" s="53" t="s">
        <v>610</v>
      </c>
      <c r="J272" s="53" t="s">
        <v>470</v>
      </c>
    </row>
    <row r="273" spans="2:13" ht="17" x14ac:dyDescent="0.2">
      <c r="B273">
        <v>271</v>
      </c>
      <c r="D273" s="11">
        <v>0</v>
      </c>
      <c r="E273" t="s">
        <v>566</v>
      </c>
      <c r="F273" s="8" t="s">
        <v>9</v>
      </c>
      <c r="G273" s="73">
        <v>45717</v>
      </c>
      <c r="I273" s="53" t="s">
        <v>610</v>
      </c>
      <c r="J273" s="53" t="s">
        <v>470</v>
      </c>
    </row>
    <row r="274" spans="2:13" ht="17" x14ac:dyDescent="0.2">
      <c r="B274">
        <v>272</v>
      </c>
      <c r="D274" s="11">
        <v>0</v>
      </c>
      <c r="E274" t="s">
        <v>567</v>
      </c>
      <c r="F274" s="8" t="s">
        <v>9</v>
      </c>
      <c r="G274" s="73">
        <v>45717</v>
      </c>
      <c r="I274" s="53" t="s">
        <v>610</v>
      </c>
      <c r="J274" s="53" t="s">
        <v>470</v>
      </c>
    </row>
    <row r="275" spans="2:13" ht="17" x14ac:dyDescent="0.2">
      <c r="B275">
        <v>273</v>
      </c>
      <c r="D275" s="11">
        <v>0</v>
      </c>
      <c r="E275" t="s">
        <v>568</v>
      </c>
      <c r="F275" s="8" t="s">
        <v>9</v>
      </c>
      <c r="G275" s="73">
        <v>45717</v>
      </c>
      <c r="I275" s="53" t="s">
        <v>610</v>
      </c>
      <c r="J275" s="53" t="s">
        <v>470</v>
      </c>
    </row>
    <row r="276" spans="2:13" ht="17" x14ac:dyDescent="0.2">
      <c r="B276">
        <v>274</v>
      </c>
      <c r="D276" s="11">
        <v>0</v>
      </c>
      <c r="E276" t="s">
        <v>569</v>
      </c>
      <c r="F276" s="8" t="s">
        <v>9</v>
      </c>
      <c r="G276" s="73">
        <v>45717</v>
      </c>
      <c r="I276" s="53" t="s">
        <v>610</v>
      </c>
      <c r="J276" s="53" t="s">
        <v>470</v>
      </c>
    </row>
    <row r="277" spans="2:13" ht="17" x14ac:dyDescent="0.2">
      <c r="B277">
        <v>275</v>
      </c>
      <c r="D277" s="11">
        <v>0</v>
      </c>
      <c r="E277" t="s">
        <v>570</v>
      </c>
      <c r="F277" s="8" t="s">
        <v>9</v>
      </c>
      <c r="G277" s="73">
        <v>45717</v>
      </c>
      <c r="I277" s="53" t="s">
        <v>610</v>
      </c>
      <c r="J277" s="53" t="s">
        <v>470</v>
      </c>
    </row>
    <row r="278" spans="2:13" ht="17" x14ac:dyDescent="0.2">
      <c r="B278">
        <v>276</v>
      </c>
      <c r="D278" s="11">
        <v>0</v>
      </c>
      <c r="E278" t="s">
        <v>571</v>
      </c>
      <c r="F278" s="8" t="s">
        <v>9</v>
      </c>
      <c r="G278" s="73">
        <v>45717</v>
      </c>
      <c r="I278" s="53" t="s">
        <v>610</v>
      </c>
      <c r="J278" s="53" t="s">
        <v>470</v>
      </c>
    </row>
    <row r="279" spans="2:13" ht="17" x14ac:dyDescent="0.2">
      <c r="B279">
        <v>277</v>
      </c>
      <c r="D279" s="11">
        <v>0</v>
      </c>
      <c r="E279" t="s">
        <v>572</v>
      </c>
      <c r="F279" s="8" t="s">
        <v>9</v>
      </c>
      <c r="G279" s="73">
        <v>45717</v>
      </c>
      <c r="I279" s="53" t="s">
        <v>610</v>
      </c>
      <c r="J279" s="53" t="s">
        <v>470</v>
      </c>
    </row>
    <row r="280" spans="2:13" ht="17" x14ac:dyDescent="0.2">
      <c r="B280">
        <v>278</v>
      </c>
      <c r="D280" s="11" t="s">
        <v>698</v>
      </c>
      <c r="E280" t="s">
        <v>713</v>
      </c>
      <c r="F280" s="8" t="s">
        <v>9</v>
      </c>
      <c r="G280" s="73">
        <v>46228</v>
      </c>
      <c r="I280" s="53" t="s">
        <v>698</v>
      </c>
      <c r="J280" s="53" t="s">
        <v>158</v>
      </c>
      <c r="K280" t="s">
        <v>699</v>
      </c>
    </row>
    <row r="281" spans="2:13" ht="17" x14ac:dyDescent="0.2">
      <c r="B281">
        <v>279</v>
      </c>
      <c r="D281" s="11" t="s">
        <v>701</v>
      </c>
      <c r="E281" t="s">
        <v>676</v>
      </c>
      <c r="F281" s="8" t="s">
        <v>9</v>
      </c>
      <c r="G281" s="73">
        <v>46198</v>
      </c>
      <c r="I281" s="53" t="s">
        <v>701</v>
      </c>
      <c r="J281" s="53" t="s">
        <v>11</v>
      </c>
      <c r="K281" t="s">
        <v>700</v>
      </c>
    </row>
    <row r="282" spans="2:13" ht="17" x14ac:dyDescent="0.2">
      <c r="B282">
        <v>280</v>
      </c>
      <c r="D282" s="11" t="s">
        <v>702</v>
      </c>
      <c r="E282" t="s">
        <v>677</v>
      </c>
      <c r="F282" s="8" t="s">
        <v>9</v>
      </c>
      <c r="G282" s="73">
        <v>46198</v>
      </c>
      <c r="I282" s="53" t="s">
        <v>702</v>
      </c>
      <c r="J282" s="53" t="s">
        <v>158</v>
      </c>
      <c r="K282" t="s">
        <v>703</v>
      </c>
    </row>
    <row r="283" spans="2:13" ht="17" x14ac:dyDescent="0.2">
      <c r="B283">
        <v>281</v>
      </c>
      <c r="D283" s="11" t="s">
        <v>708</v>
      </c>
      <c r="E283" t="s">
        <v>704</v>
      </c>
      <c r="F283" s="8" t="s">
        <v>9</v>
      </c>
      <c r="G283" s="73">
        <v>46228</v>
      </c>
      <c r="I283" s="53" t="s">
        <v>708</v>
      </c>
      <c r="J283" s="53" t="s">
        <v>11</v>
      </c>
      <c r="K283" t="s">
        <v>700</v>
      </c>
    </row>
    <row r="284" spans="2:13" ht="17" x14ac:dyDescent="0.2">
      <c r="B284">
        <v>282</v>
      </c>
      <c r="D284" s="11" t="s">
        <v>709</v>
      </c>
      <c r="E284" t="s">
        <v>705</v>
      </c>
      <c r="F284" s="8" t="s">
        <v>9</v>
      </c>
      <c r="G284" s="73">
        <v>46228</v>
      </c>
      <c r="I284" s="53" t="s">
        <v>709</v>
      </c>
      <c r="J284" s="53" t="s">
        <v>11</v>
      </c>
      <c r="K284" t="s">
        <v>12</v>
      </c>
    </row>
    <row r="285" spans="2:13" ht="17" x14ac:dyDescent="0.2">
      <c r="B285">
        <v>283</v>
      </c>
      <c r="D285" s="11" t="s">
        <v>710</v>
      </c>
      <c r="E285" t="s">
        <v>706</v>
      </c>
      <c r="F285" s="8" t="s">
        <v>9</v>
      </c>
      <c r="G285" s="73">
        <v>46228</v>
      </c>
      <c r="I285" s="53" t="s">
        <v>710</v>
      </c>
      <c r="J285" s="53" t="s">
        <v>11</v>
      </c>
      <c r="K285" t="s">
        <v>700</v>
      </c>
    </row>
    <row r="286" spans="2:13" ht="17" x14ac:dyDescent="0.2">
      <c r="B286">
        <v>284</v>
      </c>
      <c r="D286" s="11" t="s">
        <v>711</v>
      </c>
      <c r="E286" t="s">
        <v>707</v>
      </c>
      <c r="F286" s="8" t="s">
        <v>9</v>
      </c>
      <c r="G286" s="73">
        <v>46228</v>
      </c>
      <c r="I286" s="53" t="s">
        <v>711</v>
      </c>
      <c r="J286" s="53" t="s">
        <v>11</v>
      </c>
      <c r="K286" t="s">
        <v>712</v>
      </c>
    </row>
    <row r="287" spans="2:13" ht="17" x14ac:dyDescent="0.2">
      <c r="B287">
        <v>285</v>
      </c>
      <c r="D287" s="91" t="s">
        <v>716</v>
      </c>
      <c r="E287" t="s">
        <v>714</v>
      </c>
      <c r="F287" s="8" t="s">
        <v>9</v>
      </c>
      <c r="G287" s="73">
        <v>46259</v>
      </c>
      <c r="I287" s="53" t="s">
        <v>716</v>
      </c>
      <c r="J287" s="53" t="s">
        <v>158</v>
      </c>
      <c r="K287" t="s">
        <v>715</v>
      </c>
    </row>
    <row r="288" spans="2:13" ht="17" x14ac:dyDescent="0.2">
      <c r="B288">
        <v>286</v>
      </c>
      <c r="D288" s="91" t="s">
        <v>748</v>
      </c>
      <c r="E288" t="s">
        <v>749</v>
      </c>
      <c r="F288" s="8" t="s">
        <v>750</v>
      </c>
      <c r="G288" s="73">
        <v>46290</v>
      </c>
      <c r="I288" s="53" t="s">
        <v>748</v>
      </c>
      <c r="J288" s="53" t="s">
        <v>158</v>
      </c>
      <c r="K288" t="s">
        <v>45</v>
      </c>
      <c r="L288">
        <v>100000</v>
      </c>
      <c r="M288">
        <v>100000</v>
      </c>
    </row>
    <row r="289" spans="2:2" x14ac:dyDescent="0.2">
      <c r="B289">
        <v>287</v>
      </c>
    </row>
    <row r="290" spans="2:2" x14ac:dyDescent="0.2">
      <c r="B290">
        <v>288</v>
      </c>
    </row>
    <row r="291" spans="2:2" x14ac:dyDescent="0.2">
      <c r="B291">
        <v>289</v>
      </c>
    </row>
    <row r="292" spans="2:2" x14ac:dyDescent="0.2">
      <c r="B292">
        <v>290</v>
      </c>
    </row>
    <row r="293" spans="2:2" x14ac:dyDescent="0.2">
      <c r="B293">
        <v>291</v>
      </c>
    </row>
    <row r="294" spans="2:2" x14ac:dyDescent="0.2">
      <c r="B294">
        <v>292</v>
      </c>
    </row>
    <row r="295" spans="2:2" x14ac:dyDescent="0.2">
      <c r="B295">
        <v>293</v>
      </c>
    </row>
    <row r="296" spans="2:2" x14ac:dyDescent="0.2">
      <c r="B296">
        <v>294</v>
      </c>
    </row>
  </sheetData>
  <autoFilter ref="B2:S279" xr:uid="{DAFF0F2C-A2E9-564C-81FD-6462EC922ED9}">
    <sortState xmlns:xlrd2="http://schemas.microsoft.com/office/spreadsheetml/2017/richdata2" ref="B4:S260">
      <sortCondition ref="F2:F279"/>
    </sortState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CA83-1912-184E-BFD5-5BB8F5B1E956}">
  <sheetPr>
    <tabColor rgb="FF00B050"/>
    <pageSetUpPr fitToPage="1"/>
  </sheetPr>
  <dimension ref="A1:K2877"/>
  <sheetViews>
    <sheetView zoomScale="114" workbookViewId="0">
      <selection activeCell="B4" sqref="B4"/>
    </sheetView>
  </sheetViews>
  <sheetFormatPr baseColWidth="10" defaultColWidth="10.83203125" defaultRowHeight="16" x14ac:dyDescent="0.2"/>
  <cols>
    <col min="1" max="1" width="15.1640625" bestFit="1" customWidth="1"/>
    <col min="2" max="2" width="22" bestFit="1" customWidth="1"/>
    <col min="3" max="3" width="21.83203125" bestFit="1" customWidth="1"/>
    <col min="4" max="4" width="23" bestFit="1" customWidth="1"/>
    <col min="5" max="5" width="13.1640625" style="56" bestFit="1" customWidth="1"/>
    <col min="6" max="6" width="11.83203125" style="122" bestFit="1" customWidth="1"/>
    <col min="7" max="7" width="9.83203125" style="122" bestFit="1" customWidth="1"/>
    <col min="8" max="8" width="13.33203125" style="122" bestFit="1" customWidth="1"/>
    <col min="9" max="9" width="11.83203125" style="120" bestFit="1" customWidth="1"/>
    <col min="10" max="10" width="13.33203125" style="120" bestFit="1" customWidth="1"/>
    <col min="11" max="11" width="13.33203125" bestFit="1" customWidth="1"/>
  </cols>
  <sheetData>
    <row r="1" spans="1:11" x14ac:dyDescent="0.2">
      <c r="A1" s="57" t="s">
        <v>2</v>
      </c>
      <c r="B1" t="s">
        <v>744</v>
      </c>
    </row>
    <row r="2" spans="1:11" x14ac:dyDescent="0.2">
      <c r="A2" s="120"/>
    </row>
    <row r="3" spans="1:11" ht="51" x14ac:dyDescent="0.2">
      <c r="A3" s="57" t="s">
        <v>5</v>
      </c>
      <c r="B3" s="57" t="s">
        <v>1</v>
      </c>
      <c r="C3" s="57" t="s">
        <v>489</v>
      </c>
      <c r="D3" s="57" t="s">
        <v>575</v>
      </c>
      <c r="E3" s="57" t="s">
        <v>18</v>
      </c>
      <c r="F3" s="120" t="s">
        <v>580</v>
      </c>
      <c r="G3" s="120" t="s">
        <v>478</v>
      </c>
      <c r="H3" s="120" t="s">
        <v>646</v>
      </c>
      <c r="I3" s="120" t="s">
        <v>647</v>
      </c>
      <c r="J3" s="120" t="s">
        <v>650</v>
      </c>
      <c r="K3" s="84" t="s">
        <v>651</v>
      </c>
    </row>
    <row r="4" spans="1:11" x14ac:dyDescent="0.2">
      <c r="A4" t="s">
        <v>470</v>
      </c>
      <c r="B4" t="s">
        <v>278</v>
      </c>
      <c r="C4" t="s">
        <v>584</v>
      </c>
      <c r="E4"/>
      <c r="F4" s="121">
        <v>7510261</v>
      </c>
      <c r="G4" s="121">
        <v>0</v>
      </c>
      <c r="H4" s="121">
        <v>15436622</v>
      </c>
      <c r="I4" s="121">
        <v>1360000</v>
      </c>
      <c r="J4" s="121">
        <v>16796622</v>
      </c>
      <c r="K4" s="121">
        <v>24306883</v>
      </c>
    </row>
    <row r="5" spans="1:11" x14ac:dyDescent="0.2">
      <c r="C5" t="s">
        <v>607</v>
      </c>
      <c r="D5" t="s">
        <v>576</v>
      </c>
      <c r="E5" s="73">
        <v>46045</v>
      </c>
      <c r="F5" s="121">
        <v>0</v>
      </c>
      <c r="G5" s="121">
        <v>0</v>
      </c>
      <c r="H5" s="121">
        <v>0</v>
      </c>
      <c r="I5" s="121">
        <v>0</v>
      </c>
      <c r="J5" s="121">
        <v>0</v>
      </c>
      <c r="K5" s="121">
        <v>0</v>
      </c>
    </row>
    <row r="6" spans="1:11" x14ac:dyDescent="0.2">
      <c r="C6" t="s">
        <v>612</v>
      </c>
      <c r="D6" t="s">
        <v>576</v>
      </c>
      <c r="E6" s="73">
        <v>46078</v>
      </c>
      <c r="F6" s="121">
        <v>0</v>
      </c>
      <c r="G6" s="121">
        <v>0</v>
      </c>
      <c r="H6" s="121">
        <v>100000</v>
      </c>
      <c r="I6" s="121">
        <v>10000</v>
      </c>
      <c r="J6" s="121">
        <v>110000</v>
      </c>
      <c r="K6" s="121">
        <v>110000</v>
      </c>
    </row>
    <row r="7" spans="1:11" x14ac:dyDescent="0.2">
      <c r="C7" t="s">
        <v>644</v>
      </c>
      <c r="D7" t="s">
        <v>576</v>
      </c>
      <c r="E7" s="73">
        <v>46106</v>
      </c>
      <c r="F7" s="121">
        <v>0</v>
      </c>
      <c r="G7" s="121">
        <v>0</v>
      </c>
      <c r="H7" s="121">
        <v>100000</v>
      </c>
      <c r="I7" s="121">
        <v>10000</v>
      </c>
      <c r="J7" s="121">
        <v>110000</v>
      </c>
      <c r="K7" s="121">
        <v>110000</v>
      </c>
    </row>
    <row r="8" spans="1:11" x14ac:dyDescent="0.2">
      <c r="C8" t="s">
        <v>659</v>
      </c>
      <c r="D8" t="s">
        <v>576</v>
      </c>
      <c r="E8" s="73">
        <v>46136</v>
      </c>
      <c r="F8" s="121">
        <v>0</v>
      </c>
      <c r="G8" s="121">
        <v>0</v>
      </c>
      <c r="H8" s="121">
        <v>100000</v>
      </c>
      <c r="I8" s="121">
        <v>10000</v>
      </c>
      <c r="J8" s="121">
        <v>110000</v>
      </c>
      <c r="K8" s="121">
        <v>110000</v>
      </c>
    </row>
    <row r="9" spans="1:11" x14ac:dyDescent="0.2">
      <c r="C9" t="s">
        <v>663</v>
      </c>
      <c r="D9" t="s">
        <v>576</v>
      </c>
      <c r="E9" s="73">
        <v>46167</v>
      </c>
      <c r="F9" s="121">
        <v>0</v>
      </c>
      <c r="G9" s="121">
        <v>0</v>
      </c>
      <c r="H9" s="121">
        <v>100000</v>
      </c>
      <c r="I9" s="121">
        <v>10000</v>
      </c>
      <c r="J9" s="121">
        <v>110000</v>
      </c>
      <c r="K9" s="121">
        <v>110000</v>
      </c>
    </row>
    <row r="10" spans="1:11" x14ac:dyDescent="0.2">
      <c r="C10" t="s">
        <v>680</v>
      </c>
      <c r="D10" t="s">
        <v>576</v>
      </c>
      <c r="E10" s="73">
        <v>46198</v>
      </c>
      <c r="F10" s="121">
        <v>0</v>
      </c>
      <c r="G10" s="121">
        <v>0</v>
      </c>
      <c r="H10" s="121">
        <v>100000</v>
      </c>
      <c r="I10" s="121">
        <v>10000</v>
      </c>
      <c r="J10" s="121">
        <v>110000</v>
      </c>
      <c r="K10" s="121">
        <v>110000</v>
      </c>
    </row>
    <row r="11" spans="1:11" x14ac:dyDescent="0.2">
      <c r="C11" t="s">
        <v>717</v>
      </c>
      <c r="D11" t="s">
        <v>576</v>
      </c>
      <c r="E11" s="73">
        <v>46227</v>
      </c>
      <c r="F11" s="121">
        <v>0</v>
      </c>
      <c r="G11" s="121">
        <v>0</v>
      </c>
      <c r="H11" s="121">
        <v>100000</v>
      </c>
      <c r="I11" s="121">
        <v>10000</v>
      </c>
      <c r="J11" s="121">
        <v>110000</v>
      </c>
      <c r="K11" s="121">
        <v>110000</v>
      </c>
    </row>
    <row r="12" spans="1:11" x14ac:dyDescent="0.2">
      <c r="C12" t="s">
        <v>732</v>
      </c>
      <c r="D12" t="s">
        <v>576</v>
      </c>
      <c r="E12" s="73">
        <v>46258</v>
      </c>
      <c r="F12" s="121">
        <v>0</v>
      </c>
      <c r="G12" s="121">
        <v>0</v>
      </c>
      <c r="H12" s="121">
        <v>100000</v>
      </c>
      <c r="I12" s="121">
        <v>10000</v>
      </c>
      <c r="J12" s="121">
        <v>110000</v>
      </c>
      <c r="K12" s="121">
        <v>110000</v>
      </c>
    </row>
    <row r="13" spans="1:11" x14ac:dyDescent="0.2">
      <c r="A13" t="s">
        <v>476</v>
      </c>
      <c r="E13"/>
      <c r="F13" s="121">
        <v>7510261</v>
      </c>
      <c r="G13" s="121">
        <v>0</v>
      </c>
      <c r="H13" s="121">
        <v>16136622</v>
      </c>
      <c r="I13" s="121">
        <v>1430000</v>
      </c>
      <c r="J13" s="121">
        <v>17566622</v>
      </c>
      <c r="K13" s="121">
        <v>25076883</v>
      </c>
    </row>
    <row r="14" spans="1:11" x14ac:dyDescent="0.2">
      <c r="E14"/>
      <c r="F14"/>
      <c r="G14"/>
      <c r="H14"/>
      <c r="I14"/>
      <c r="J14"/>
    </row>
    <row r="15" spans="1:11" x14ac:dyDescent="0.2">
      <c r="E15"/>
      <c r="F15"/>
      <c r="G15"/>
      <c r="H15"/>
      <c r="I15"/>
      <c r="J15"/>
    </row>
    <row r="16" spans="1:11" x14ac:dyDescent="0.2">
      <c r="E16"/>
      <c r="F16"/>
      <c r="G16"/>
      <c r="H16"/>
      <c r="I16"/>
      <c r="J16">
        <f>GETPIVOTDATA("Simpanan + Manasuka",$A$3)*4</f>
        <v>70266488</v>
      </c>
      <c r="K16" s="60"/>
    </row>
    <row r="17" spans="5:10" x14ac:dyDescent="0.2">
      <c r="E17"/>
      <c r="F17"/>
      <c r="G17"/>
      <c r="H17"/>
      <c r="I17"/>
      <c r="J17"/>
    </row>
    <row r="18" spans="5:10" x14ac:dyDescent="0.2">
      <c r="E18"/>
      <c r="F18"/>
      <c r="G18"/>
      <c r="H18"/>
      <c r="I18"/>
      <c r="J18"/>
    </row>
    <row r="19" spans="5:10" x14ac:dyDescent="0.2">
      <c r="E19"/>
      <c r="F19"/>
      <c r="G19"/>
      <c r="H19"/>
      <c r="I19"/>
      <c r="J19" s="56"/>
    </row>
    <row r="20" spans="5:10" x14ac:dyDescent="0.2">
      <c r="E20"/>
      <c r="F20"/>
      <c r="G20"/>
      <c r="H20"/>
      <c r="I20"/>
      <c r="J20" s="56"/>
    </row>
    <row r="21" spans="5:10" x14ac:dyDescent="0.2">
      <c r="E21"/>
      <c r="F21" s="56"/>
      <c r="G21"/>
      <c r="H21"/>
      <c r="I21"/>
      <c r="J21" s="56"/>
    </row>
    <row r="22" spans="5:10" x14ac:dyDescent="0.2">
      <c r="E22"/>
      <c r="F22" s="56"/>
      <c r="G22"/>
      <c r="H22"/>
      <c r="I22"/>
      <c r="J22" s="60"/>
    </row>
    <row r="23" spans="5:10" x14ac:dyDescent="0.2">
      <c r="E23"/>
      <c r="F23" s="56"/>
      <c r="G23"/>
      <c r="H23"/>
      <c r="I23"/>
      <c r="J23"/>
    </row>
    <row r="24" spans="5:10" x14ac:dyDescent="0.2">
      <c r="E24"/>
      <c r="F24"/>
      <c r="G24"/>
      <c r="H24"/>
      <c r="I24"/>
      <c r="J24"/>
    </row>
    <row r="25" spans="5:10" x14ac:dyDescent="0.2">
      <c r="E25"/>
      <c r="F25"/>
      <c r="G25"/>
      <c r="H25"/>
      <c r="I25"/>
      <c r="J25"/>
    </row>
    <row r="26" spans="5:10" x14ac:dyDescent="0.2">
      <c r="E26"/>
      <c r="F26"/>
      <c r="G26"/>
      <c r="H26"/>
      <c r="I26"/>
      <c r="J26"/>
    </row>
    <row r="27" spans="5:10" x14ac:dyDescent="0.2">
      <c r="E27"/>
      <c r="F27"/>
      <c r="G27"/>
      <c r="H27"/>
      <c r="I27"/>
      <c r="J27"/>
    </row>
    <row r="28" spans="5:10" x14ac:dyDescent="0.2">
      <c r="E28"/>
      <c r="F28"/>
      <c r="G28"/>
      <c r="H28"/>
      <c r="I28"/>
      <c r="J28"/>
    </row>
    <row r="29" spans="5:10" x14ac:dyDescent="0.2">
      <c r="E29"/>
      <c r="F29"/>
      <c r="G29"/>
      <c r="H29"/>
      <c r="I29"/>
      <c r="J29"/>
    </row>
    <row r="30" spans="5:10" x14ac:dyDescent="0.2">
      <c r="E30"/>
      <c r="F30"/>
      <c r="G30"/>
      <c r="H30"/>
      <c r="I30"/>
      <c r="J30"/>
    </row>
    <row r="31" spans="5:10" x14ac:dyDescent="0.2">
      <c r="E31"/>
      <c r="F31"/>
      <c r="G31"/>
      <c r="H31"/>
      <c r="I31"/>
      <c r="J31"/>
    </row>
    <row r="32" spans="5:10" x14ac:dyDescent="0.2">
      <c r="E32"/>
      <c r="F32"/>
      <c r="G32"/>
      <c r="H32"/>
      <c r="I32"/>
      <c r="J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  <row r="1314" customFormat="1" x14ac:dyDescent="0.2"/>
    <row r="1315" customFormat="1" x14ac:dyDescent="0.2"/>
    <row r="1316" customFormat="1" x14ac:dyDescent="0.2"/>
    <row r="1317" customFormat="1" x14ac:dyDescent="0.2"/>
    <row r="1318" customFormat="1" x14ac:dyDescent="0.2"/>
    <row r="1319" customFormat="1" x14ac:dyDescent="0.2"/>
    <row r="1320" customFormat="1" x14ac:dyDescent="0.2"/>
    <row r="1321" customFormat="1" x14ac:dyDescent="0.2"/>
    <row r="1322" customFormat="1" x14ac:dyDescent="0.2"/>
    <row r="1323" customFormat="1" x14ac:dyDescent="0.2"/>
    <row r="1324" customFormat="1" x14ac:dyDescent="0.2"/>
    <row r="1325" customFormat="1" x14ac:dyDescent="0.2"/>
    <row r="1326" customFormat="1" x14ac:dyDescent="0.2"/>
    <row r="1327" customFormat="1" x14ac:dyDescent="0.2"/>
    <row r="1328" customFormat="1" x14ac:dyDescent="0.2"/>
    <row r="1329" customFormat="1" x14ac:dyDescent="0.2"/>
    <row r="1330" customFormat="1" x14ac:dyDescent="0.2"/>
    <row r="1331" customFormat="1" x14ac:dyDescent="0.2"/>
    <row r="1332" customFormat="1" x14ac:dyDescent="0.2"/>
    <row r="1333" customFormat="1" x14ac:dyDescent="0.2"/>
    <row r="1334" customFormat="1" x14ac:dyDescent="0.2"/>
    <row r="1335" customFormat="1" x14ac:dyDescent="0.2"/>
    <row r="1336" customFormat="1" x14ac:dyDescent="0.2"/>
    <row r="1337" customFormat="1" x14ac:dyDescent="0.2"/>
    <row r="1338" customFormat="1" x14ac:dyDescent="0.2"/>
    <row r="1339" customFormat="1" x14ac:dyDescent="0.2"/>
    <row r="1340" customFormat="1" x14ac:dyDescent="0.2"/>
    <row r="1341" customFormat="1" x14ac:dyDescent="0.2"/>
    <row r="1342" customFormat="1" x14ac:dyDescent="0.2"/>
    <row r="1343" customFormat="1" x14ac:dyDescent="0.2"/>
    <row r="1344" customFormat="1" x14ac:dyDescent="0.2"/>
    <row r="1345" customFormat="1" x14ac:dyDescent="0.2"/>
    <row r="1346" customFormat="1" x14ac:dyDescent="0.2"/>
    <row r="1347" customFormat="1" x14ac:dyDescent="0.2"/>
    <row r="1348" customFormat="1" x14ac:dyDescent="0.2"/>
    <row r="1349" customFormat="1" x14ac:dyDescent="0.2"/>
    <row r="1350" customFormat="1" x14ac:dyDescent="0.2"/>
    <row r="1351" customFormat="1" x14ac:dyDescent="0.2"/>
    <row r="1352" customFormat="1" x14ac:dyDescent="0.2"/>
    <row r="1353" customFormat="1" x14ac:dyDescent="0.2"/>
    <row r="1354" customFormat="1" x14ac:dyDescent="0.2"/>
    <row r="1355" customFormat="1" x14ac:dyDescent="0.2"/>
    <row r="1356" customFormat="1" x14ac:dyDescent="0.2"/>
    <row r="1357" customFormat="1" x14ac:dyDescent="0.2"/>
    <row r="1358" customFormat="1" x14ac:dyDescent="0.2"/>
    <row r="1359" customFormat="1" x14ac:dyDescent="0.2"/>
    <row r="1360" customFormat="1" x14ac:dyDescent="0.2"/>
    <row r="1361" customFormat="1" x14ac:dyDescent="0.2"/>
    <row r="1362" customFormat="1" x14ac:dyDescent="0.2"/>
    <row r="1363" customFormat="1" x14ac:dyDescent="0.2"/>
    <row r="1364" customFormat="1" x14ac:dyDescent="0.2"/>
    <row r="1365" customFormat="1" x14ac:dyDescent="0.2"/>
    <row r="1366" customFormat="1" x14ac:dyDescent="0.2"/>
    <row r="1367" customFormat="1" x14ac:dyDescent="0.2"/>
    <row r="1368" customFormat="1" x14ac:dyDescent="0.2"/>
    <row r="1369" customFormat="1" x14ac:dyDescent="0.2"/>
    <row r="1370" customFormat="1" x14ac:dyDescent="0.2"/>
    <row r="1371" customFormat="1" x14ac:dyDescent="0.2"/>
    <row r="1372" customFormat="1" x14ac:dyDescent="0.2"/>
    <row r="1373" customFormat="1" x14ac:dyDescent="0.2"/>
    <row r="1374" customFormat="1" x14ac:dyDescent="0.2"/>
    <row r="1375" customFormat="1" x14ac:dyDescent="0.2"/>
    <row r="1376" customFormat="1" x14ac:dyDescent="0.2"/>
    <row r="1377" customFormat="1" x14ac:dyDescent="0.2"/>
    <row r="1378" customFormat="1" x14ac:dyDescent="0.2"/>
    <row r="1379" customFormat="1" x14ac:dyDescent="0.2"/>
    <row r="1380" customFormat="1" x14ac:dyDescent="0.2"/>
    <row r="1381" customFormat="1" x14ac:dyDescent="0.2"/>
    <row r="1382" customFormat="1" x14ac:dyDescent="0.2"/>
    <row r="1383" customFormat="1" x14ac:dyDescent="0.2"/>
    <row r="1384" customFormat="1" x14ac:dyDescent="0.2"/>
    <row r="1385" customFormat="1" x14ac:dyDescent="0.2"/>
    <row r="1386" customFormat="1" x14ac:dyDescent="0.2"/>
    <row r="1387" customFormat="1" x14ac:dyDescent="0.2"/>
    <row r="1388" customFormat="1" x14ac:dyDescent="0.2"/>
    <row r="1389" customFormat="1" x14ac:dyDescent="0.2"/>
    <row r="1390" customFormat="1" x14ac:dyDescent="0.2"/>
    <row r="1391" customFormat="1" x14ac:dyDescent="0.2"/>
    <row r="1392" customFormat="1" x14ac:dyDescent="0.2"/>
    <row r="1393" customFormat="1" x14ac:dyDescent="0.2"/>
    <row r="1394" customFormat="1" x14ac:dyDescent="0.2"/>
    <row r="1395" customFormat="1" x14ac:dyDescent="0.2"/>
    <row r="1396" customFormat="1" x14ac:dyDescent="0.2"/>
    <row r="1397" customFormat="1" x14ac:dyDescent="0.2"/>
    <row r="1398" customFormat="1" x14ac:dyDescent="0.2"/>
    <row r="1399" customFormat="1" x14ac:dyDescent="0.2"/>
    <row r="1400" customFormat="1" x14ac:dyDescent="0.2"/>
    <row r="1401" customFormat="1" x14ac:dyDescent="0.2"/>
    <row r="1402" customFormat="1" x14ac:dyDescent="0.2"/>
    <row r="1403" customFormat="1" x14ac:dyDescent="0.2"/>
    <row r="1404" customFormat="1" x14ac:dyDescent="0.2"/>
    <row r="1405" customFormat="1" x14ac:dyDescent="0.2"/>
    <row r="1406" customFormat="1" x14ac:dyDescent="0.2"/>
    <row r="1407" customFormat="1" x14ac:dyDescent="0.2"/>
    <row r="1408" customFormat="1" x14ac:dyDescent="0.2"/>
    <row r="1409" customFormat="1" x14ac:dyDescent="0.2"/>
    <row r="1410" customFormat="1" x14ac:dyDescent="0.2"/>
    <row r="1411" customFormat="1" x14ac:dyDescent="0.2"/>
    <row r="1412" customFormat="1" x14ac:dyDescent="0.2"/>
    <row r="1413" customFormat="1" x14ac:dyDescent="0.2"/>
    <row r="1414" customFormat="1" x14ac:dyDescent="0.2"/>
    <row r="1415" customFormat="1" x14ac:dyDescent="0.2"/>
    <row r="1416" customFormat="1" x14ac:dyDescent="0.2"/>
    <row r="1417" customFormat="1" x14ac:dyDescent="0.2"/>
    <row r="1418" customFormat="1" x14ac:dyDescent="0.2"/>
    <row r="1419" customFormat="1" x14ac:dyDescent="0.2"/>
    <row r="1420" customFormat="1" x14ac:dyDescent="0.2"/>
    <row r="1421" customFormat="1" x14ac:dyDescent="0.2"/>
    <row r="1422" customFormat="1" x14ac:dyDescent="0.2"/>
    <row r="1423" customFormat="1" x14ac:dyDescent="0.2"/>
    <row r="1424" customFormat="1" x14ac:dyDescent="0.2"/>
    <row r="1425" customFormat="1" x14ac:dyDescent="0.2"/>
    <row r="1426" customFormat="1" x14ac:dyDescent="0.2"/>
    <row r="1427" customFormat="1" x14ac:dyDescent="0.2"/>
    <row r="1428" customFormat="1" x14ac:dyDescent="0.2"/>
    <row r="1429" customFormat="1" x14ac:dyDescent="0.2"/>
    <row r="1430" customFormat="1" x14ac:dyDescent="0.2"/>
    <row r="1431" customFormat="1" x14ac:dyDescent="0.2"/>
    <row r="1432" customFormat="1" x14ac:dyDescent="0.2"/>
    <row r="1433" customFormat="1" x14ac:dyDescent="0.2"/>
    <row r="1434" customFormat="1" x14ac:dyDescent="0.2"/>
    <row r="1435" customFormat="1" x14ac:dyDescent="0.2"/>
    <row r="1436" customFormat="1" x14ac:dyDescent="0.2"/>
    <row r="1437" customFormat="1" x14ac:dyDescent="0.2"/>
    <row r="1438" customFormat="1" x14ac:dyDescent="0.2"/>
    <row r="1439" customFormat="1" x14ac:dyDescent="0.2"/>
    <row r="1440" customFormat="1" x14ac:dyDescent="0.2"/>
    <row r="1441" customFormat="1" x14ac:dyDescent="0.2"/>
    <row r="1442" customFormat="1" x14ac:dyDescent="0.2"/>
    <row r="1443" customFormat="1" x14ac:dyDescent="0.2"/>
    <row r="1444" customFormat="1" x14ac:dyDescent="0.2"/>
    <row r="1445" customFormat="1" x14ac:dyDescent="0.2"/>
    <row r="1446" customFormat="1" x14ac:dyDescent="0.2"/>
    <row r="1447" customFormat="1" x14ac:dyDescent="0.2"/>
    <row r="1448" customFormat="1" x14ac:dyDescent="0.2"/>
    <row r="1449" customFormat="1" x14ac:dyDescent="0.2"/>
    <row r="1450" customFormat="1" x14ac:dyDescent="0.2"/>
    <row r="1451" customFormat="1" x14ac:dyDescent="0.2"/>
    <row r="1452" customFormat="1" x14ac:dyDescent="0.2"/>
    <row r="1453" customFormat="1" x14ac:dyDescent="0.2"/>
    <row r="1454" customFormat="1" x14ac:dyDescent="0.2"/>
    <row r="1455" customFormat="1" x14ac:dyDescent="0.2"/>
    <row r="1456" customFormat="1" x14ac:dyDescent="0.2"/>
    <row r="1457" customFormat="1" x14ac:dyDescent="0.2"/>
    <row r="1458" customFormat="1" x14ac:dyDescent="0.2"/>
    <row r="1459" customFormat="1" x14ac:dyDescent="0.2"/>
    <row r="1460" customFormat="1" x14ac:dyDescent="0.2"/>
    <row r="1461" customFormat="1" x14ac:dyDescent="0.2"/>
    <row r="1462" customFormat="1" x14ac:dyDescent="0.2"/>
    <row r="1463" customFormat="1" x14ac:dyDescent="0.2"/>
    <row r="1464" customFormat="1" x14ac:dyDescent="0.2"/>
    <row r="1465" customFormat="1" x14ac:dyDescent="0.2"/>
    <row r="1466" customFormat="1" x14ac:dyDescent="0.2"/>
    <row r="1467" customFormat="1" x14ac:dyDescent="0.2"/>
    <row r="1468" customFormat="1" x14ac:dyDescent="0.2"/>
    <row r="1469" customFormat="1" x14ac:dyDescent="0.2"/>
    <row r="1470" customFormat="1" x14ac:dyDescent="0.2"/>
    <row r="1471" customFormat="1" x14ac:dyDescent="0.2"/>
    <row r="1472" customFormat="1" x14ac:dyDescent="0.2"/>
    <row r="1473" customFormat="1" x14ac:dyDescent="0.2"/>
    <row r="1474" customFormat="1" x14ac:dyDescent="0.2"/>
    <row r="1475" customFormat="1" x14ac:dyDescent="0.2"/>
    <row r="1476" customFormat="1" x14ac:dyDescent="0.2"/>
    <row r="1477" customFormat="1" x14ac:dyDescent="0.2"/>
    <row r="1478" customFormat="1" x14ac:dyDescent="0.2"/>
    <row r="1479" customFormat="1" x14ac:dyDescent="0.2"/>
    <row r="1480" customFormat="1" x14ac:dyDescent="0.2"/>
    <row r="1481" customFormat="1" x14ac:dyDescent="0.2"/>
    <row r="1482" customFormat="1" x14ac:dyDescent="0.2"/>
    <row r="1483" customFormat="1" x14ac:dyDescent="0.2"/>
    <row r="1484" customFormat="1" x14ac:dyDescent="0.2"/>
    <row r="1485" customFormat="1" x14ac:dyDescent="0.2"/>
    <row r="1486" customFormat="1" x14ac:dyDescent="0.2"/>
    <row r="1487" customFormat="1" x14ac:dyDescent="0.2"/>
    <row r="1488" customFormat="1" x14ac:dyDescent="0.2"/>
    <row r="1489" customFormat="1" x14ac:dyDescent="0.2"/>
    <row r="1490" customFormat="1" x14ac:dyDescent="0.2"/>
    <row r="1491" customFormat="1" x14ac:dyDescent="0.2"/>
    <row r="1492" customFormat="1" x14ac:dyDescent="0.2"/>
    <row r="1493" customFormat="1" x14ac:dyDescent="0.2"/>
    <row r="1494" customFormat="1" x14ac:dyDescent="0.2"/>
    <row r="1495" customFormat="1" x14ac:dyDescent="0.2"/>
    <row r="1496" customFormat="1" x14ac:dyDescent="0.2"/>
    <row r="1497" customFormat="1" x14ac:dyDescent="0.2"/>
    <row r="1498" customFormat="1" x14ac:dyDescent="0.2"/>
    <row r="1499" customFormat="1" x14ac:dyDescent="0.2"/>
    <row r="1500" customFormat="1" x14ac:dyDescent="0.2"/>
    <row r="1501" customFormat="1" x14ac:dyDescent="0.2"/>
    <row r="1502" customFormat="1" x14ac:dyDescent="0.2"/>
    <row r="1503" customFormat="1" x14ac:dyDescent="0.2"/>
    <row r="1504" customFormat="1" x14ac:dyDescent="0.2"/>
    <row r="1505" customFormat="1" x14ac:dyDescent="0.2"/>
    <row r="1506" customFormat="1" x14ac:dyDescent="0.2"/>
    <row r="1507" customFormat="1" x14ac:dyDescent="0.2"/>
    <row r="1508" customFormat="1" x14ac:dyDescent="0.2"/>
    <row r="1509" customFormat="1" x14ac:dyDescent="0.2"/>
    <row r="1510" customFormat="1" x14ac:dyDescent="0.2"/>
    <row r="1511" customFormat="1" x14ac:dyDescent="0.2"/>
    <row r="1512" customFormat="1" x14ac:dyDescent="0.2"/>
    <row r="1513" customFormat="1" x14ac:dyDescent="0.2"/>
    <row r="1514" customFormat="1" x14ac:dyDescent="0.2"/>
    <row r="1515" customFormat="1" x14ac:dyDescent="0.2"/>
    <row r="1516" customFormat="1" x14ac:dyDescent="0.2"/>
    <row r="1517" customFormat="1" x14ac:dyDescent="0.2"/>
    <row r="1518" customFormat="1" x14ac:dyDescent="0.2"/>
    <row r="1519" customFormat="1" x14ac:dyDescent="0.2"/>
    <row r="1520" customFormat="1" x14ac:dyDescent="0.2"/>
    <row r="1521" customFormat="1" x14ac:dyDescent="0.2"/>
    <row r="1522" customFormat="1" x14ac:dyDescent="0.2"/>
    <row r="1523" customFormat="1" x14ac:dyDescent="0.2"/>
    <row r="1524" customFormat="1" x14ac:dyDescent="0.2"/>
    <row r="1525" customFormat="1" x14ac:dyDescent="0.2"/>
    <row r="1526" customFormat="1" x14ac:dyDescent="0.2"/>
    <row r="1527" customFormat="1" x14ac:dyDescent="0.2"/>
    <row r="1528" customFormat="1" x14ac:dyDescent="0.2"/>
    <row r="1529" customFormat="1" x14ac:dyDescent="0.2"/>
    <row r="1530" customFormat="1" x14ac:dyDescent="0.2"/>
    <row r="1531" customFormat="1" x14ac:dyDescent="0.2"/>
    <row r="1532" customFormat="1" x14ac:dyDescent="0.2"/>
    <row r="1533" customFormat="1" x14ac:dyDescent="0.2"/>
    <row r="1534" customFormat="1" x14ac:dyDescent="0.2"/>
    <row r="1535" customFormat="1" x14ac:dyDescent="0.2"/>
    <row r="1536" customFormat="1" x14ac:dyDescent="0.2"/>
    <row r="1537" customFormat="1" x14ac:dyDescent="0.2"/>
    <row r="1538" customFormat="1" x14ac:dyDescent="0.2"/>
    <row r="1539" customFormat="1" x14ac:dyDescent="0.2"/>
    <row r="1540" customFormat="1" x14ac:dyDescent="0.2"/>
    <row r="1541" customFormat="1" x14ac:dyDescent="0.2"/>
    <row r="1542" customFormat="1" x14ac:dyDescent="0.2"/>
    <row r="1543" customFormat="1" x14ac:dyDescent="0.2"/>
    <row r="1544" customFormat="1" x14ac:dyDescent="0.2"/>
    <row r="1545" customFormat="1" x14ac:dyDescent="0.2"/>
    <row r="1546" customFormat="1" x14ac:dyDescent="0.2"/>
    <row r="1547" customFormat="1" x14ac:dyDescent="0.2"/>
    <row r="1548" customFormat="1" x14ac:dyDescent="0.2"/>
    <row r="1549" customFormat="1" x14ac:dyDescent="0.2"/>
    <row r="1550" customFormat="1" x14ac:dyDescent="0.2"/>
    <row r="1551" customFormat="1" x14ac:dyDescent="0.2"/>
    <row r="1552" customFormat="1" x14ac:dyDescent="0.2"/>
    <row r="1553" customFormat="1" x14ac:dyDescent="0.2"/>
    <row r="1554" customFormat="1" x14ac:dyDescent="0.2"/>
    <row r="1555" customFormat="1" x14ac:dyDescent="0.2"/>
    <row r="1556" customFormat="1" x14ac:dyDescent="0.2"/>
    <row r="1557" customFormat="1" x14ac:dyDescent="0.2"/>
    <row r="1558" customFormat="1" x14ac:dyDescent="0.2"/>
    <row r="1559" customFormat="1" x14ac:dyDescent="0.2"/>
    <row r="1560" customFormat="1" x14ac:dyDescent="0.2"/>
    <row r="1561" customFormat="1" x14ac:dyDescent="0.2"/>
    <row r="1562" customFormat="1" x14ac:dyDescent="0.2"/>
    <row r="1563" customFormat="1" x14ac:dyDescent="0.2"/>
    <row r="1564" customFormat="1" x14ac:dyDescent="0.2"/>
    <row r="1565" customFormat="1" x14ac:dyDescent="0.2"/>
    <row r="1566" customFormat="1" x14ac:dyDescent="0.2"/>
    <row r="1567" customFormat="1" x14ac:dyDescent="0.2"/>
    <row r="1568" customFormat="1" x14ac:dyDescent="0.2"/>
    <row r="1569" customFormat="1" x14ac:dyDescent="0.2"/>
    <row r="1570" customFormat="1" x14ac:dyDescent="0.2"/>
    <row r="1571" customFormat="1" x14ac:dyDescent="0.2"/>
    <row r="1572" customFormat="1" x14ac:dyDescent="0.2"/>
    <row r="1573" customFormat="1" x14ac:dyDescent="0.2"/>
    <row r="1574" customFormat="1" x14ac:dyDescent="0.2"/>
    <row r="1575" customFormat="1" x14ac:dyDescent="0.2"/>
    <row r="1576" customFormat="1" x14ac:dyDescent="0.2"/>
    <row r="1577" customFormat="1" x14ac:dyDescent="0.2"/>
    <row r="1578" customFormat="1" x14ac:dyDescent="0.2"/>
    <row r="1579" customFormat="1" x14ac:dyDescent="0.2"/>
    <row r="1580" customFormat="1" x14ac:dyDescent="0.2"/>
    <row r="1581" customFormat="1" x14ac:dyDescent="0.2"/>
    <row r="1582" customFormat="1" x14ac:dyDescent="0.2"/>
    <row r="1583" customFormat="1" x14ac:dyDescent="0.2"/>
    <row r="1584" customFormat="1" x14ac:dyDescent="0.2"/>
    <row r="1585" customFormat="1" x14ac:dyDescent="0.2"/>
    <row r="1586" customFormat="1" x14ac:dyDescent="0.2"/>
    <row r="1587" customFormat="1" x14ac:dyDescent="0.2"/>
    <row r="1588" customFormat="1" x14ac:dyDescent="0.2"/>
    <row r="1589" customFormat="1" x14ac:dyDescent="0.2"/>
    <row r="1590" customFormat="1" x14ac:dyDescent="0.2"/>
    <row r="1591" customFormat="1" x14ac:dyDescent="0.2"/>
    <row r="1592" customFormat="1" x14ac:dyDescent="0.2"/>
    <row r="1593" customFormat="1" x14ac:dyDescent="0.2"/>
    <row r="1594" customFormat="1" x14ac:dyDescent="0.2"/>
    <row r="1595" customFormat="1" x14ac:dyDescent="0.2"/>
    <row r="1596" customFormat="1" x14ac:dyDescent="0.2"/>
    <row r="1597" customFormat="1" x14ac:dyDescent="0.2"/>
    <row r="1598" customFormat="1" x14ac:dyDescent="0.2"/>
    <row r="1599" customFormat="1" x14ac:dyDescent="0.2"/>
    <row r="1600" customFormat="1" x14ac:dyDescent="0.2"/>
    <row r="1601" customFormat="1" x14ac:dyDescent="0.2"/>
    <row r="1602" customFormat="1" x14ac:dyDescent="0.2"/>
    <row r="1603" customFormat="1" x14ac:dyDescent="0.2"/>
    <row r="1604" customFormat="1" x14ac:dyDescent="0.2"/>
    <row r="1605" customFormat="1" x14ac:dyDescent="0.2"/>
    <row r="1606" customFormat="1" x14ac:dyDescent="0.2"/>
    <row r="1607" customFormat="1" x14ac:dyDescent="0.2"/>
    <row r="1608" customFormat="1" x14ac:dyDescent="0.2"/>
    <row r="1609" customFormat="1" x14ac:dyDescent="0.2"/>
    <row r="1610" customFormat="1" x14ac:dyDescent="0.2"/>
    <row r="1611" customFormat="1" x14ac:dyDescent="0.2"/>
    <row r="1612" customFormat="1" x14ac:dyDescent="0.2"/>
    <row r="1613" customFormat="1" x14ac:dyDescent="0.2"/>
    <row r="1614" customFormat="1" x14ac:dyDescent="0.2"/>
    <row r="1615" customFormat="1" x14ac:dyDescent="0.2"/>
    <row r="1616" customFormat="1" x14ac:dyDescent="0.2"/>
    <row r="1617" customFormat="1" x14ac:dyDescent="0.2"/>
    <row r="1618" customFormat="1" x14ac:dyDescent="0.2"/>
    <row r="1619" customFormat="1" x14ac:dyDescent="0.2"/>
    <row r="1620" customFormat="1" x14ac:dyDescent="0.2"/>
    <row r="1621" customFormat="1" x14ac:dyDescent="0.2"/>
    <row r="1622" customFormat="1" x14ac:dyDescent="0.2"/>
    <row r="1623" customFormat="1" x14ac:dyDescent="0.2"/>
    <row r="1624" customFormat="1" x14ac:dyDescent="0.2"/>
    <row r="1625" customFormat="1" x14ac:dyDescent="0.2"/>
    <row r="1626" customFormat="1" x14ac:dyDescent="0.2"/>
    <row r="1627" customFormat="1" x14ac:dyDescent="0.2"/>
    <row r="1628" customFormat="1" x14ac:dyDescent="0.2"/>
    <row r="1629" customFormat="1" x14ac:dyDescent="0.2"/>
    <row r="1630" customFormat="1" x14ac:dyDescent="0.2"/>
    <row r="1631" customFormat="1" x14ac:dyDescent="0.2"/>
    <row r="1632" customFormat="1" x14ac:dyDescent="0.2"/>
    <row r="1633" customFormat="1" x14ac:dyDescent="0.2"/>
    <row r="1634" customFormat="1" x14ac:dyDescent="0.2"/>
    <row r="1635" customFormat="1" x14ac:dyDescent="0.2"/>
    <row r="1636" customFormat="1" x14ac:dyDescent="0.2"/>
    <row r="1637" customFormat="1" x14ac:dyDescent="0.2"/>
    <row r="1638" customFormat="1" x14ac:dyDescent="0.2"/>
    <row r="1639" customFormat="1" x14ac:dyDescent="0.2"/>
    <row r="1640" customFormat="1" x14ac:dyDescent="0.2"/>
    <row r="1641" customFormat="1" x14ac:dyDescent="0.2"/>
    <row r="1642" customFormat="1" x14ac:dyDescent="0.2"/>
    <row r="1643" customFormat="1" x14ac:dyDescent="0.2"/>
    <row r="1644" customFormat="1" x14ac:dyDescent="0.2"/>
    <row r="1645" customFormat="1" x14ac:dyDescent="0.2"/>
    <row r="1646" customFormat="1" x14ac:dyDescent="0.2"/>
    <row r="1647" customFormat="1" x14ac:dyDescent="0.2"/>
    <row r="1648" customFormat="1" x14ac:dyDescent="0.2"/>
    <row r="1649" customFormat="1" x14ac:dyDescent="0.2"/>
    <row r="1650" customFormat="1" x14ac:dyDescent="0.2"/>
    <row r="1651" customFormat="1" x14ac:dyDescent="0.2"/>
    <row r="1652" customFormat="1" x14ac:dyDescent="0.2"/>
    <row r="1653" customFormat="1" x14ac:dyDescent="0.2"/>
    <row r="1654" customFormat="1" x14ac:dyDescent="0.2"/>
    <row r="1655" customFormat="1" x14ac:dyDescent="0.2"/>
    <row r="1656" customFormat="1" x14ac:dyDescent="0.2"/>
    <row r="1657" customFormat="1" x14ac:dyDescent="0.2"/>
    <row r="1658" customFormat="1" x14ac:dyDescent="0.2"/>
    <row r="1659" customFormat="1" x14ac:dyDescent="0.2"/>
    <row r="1660" customFormat="1" x14ac:dyDescent="0.2"/>
    <row r="1661" customFormat="1" x14ac:dyDescent="0.2"/>
    <row r="1662" customFormat="1" x14ac:dyDescent="0.2"/>
    <row r="1663" customFormat="1" x14ac:dyDescent="0.2"/>
    <row r="1664" customFormat="1" x14ac:dyDescent="0.2"/>
    <row r="1665" customFormat="1" x14ac:dyDescent="0.2"/>
    <row r="1666" customFormat="1" x14ac:dyDescent="0.2"/>
    <row r="1667" customFormat="1" x14ac:dyDescent="0.2"/>
    <row r="1668" customFormat="1" x14ac:dyDescent="0.2"/>
    <row r="1669" customFormat="1" x14ac:dyDescent="0.2"/>
    <row r="1670" customFormat="1" x14ac:dyDescent="0.2"/>
    <row r="1671" customFormat="1" x14ac:dyDescent="0.2"/>
    <row r="1672" customFormat="1" x14ac:dyDescent="0.2"/>
    <row r="1673" customFormat="1" x14ac:dyDescent="0.2"/>
    <row r="1674" customFormat="1" x14ac:dyDescent="0.2"/>
    <row r="1675" customFormat="1" x14ac:dyDescent="0.2"/>
    <row r="1676" customFormat="1" x14ac:dyDescent="0.2"/>
    <row r="1677" customFormat="1" x14ac:dyDescent="0.2"/>
    <row r="1678" customFormat="1" x14ac:dyDescent="0.2"/>
    <row r="1679" customFormat="1" x14ac:dyDescent="0.2"/>
    <row r="1680" customFormat="1" x14ac:dyDescent="0.2"/>
    <row r="1681" customFormat="1" x14ac:dyDescent="0.2"/>
    <row r="1682" customFormat="1" x14ac:dyDescent="0.2"/>
    <row r="1683" customFormat="1" x14ac:dyDescent="0.2"/>
    <row r="1684" customFormat="1" x14ac:dyDescent="0.2"/>
    <row r="1685" customFormat="1" x14ac:dyDescent="0.2"/>
    <row r="1686" customFormat="1" x14ac:dyDescent="0.2"/>
    <row r="1687" customFormat="1" x14ac:dyDescent="0.2"/>
    <row r="1688" customFormat="1" x14ac:dyDescent="0.2"/>
    <row r="1689" customFormat="1" x14ac:dyDescent="0.2"/>
    <row r="1690" customFormat="1" x14ac:dyDescent="0.2"/>
    <row r="1691" customFormat="1" x14ac:dyDescent="0.2"/>
    <row r="1692" customFormat="1" x14ac:dyDescent="0.2"/>
    <row r="1693" customFormat="1" x14ac:dyDescent="0.2"/>
    <row r="1694" customFormat="1" x14ac:dyDescent="0.2"/>
    <row r="1695" customFormat="1" x14ac:dyDescent="0.2"/>
    <row r="1696" customFormat="1" x14ac:dyDescent="0.2"/>
    <row r="1697" customFormat="1" x14ac:dyDescent="0.2"/>
    <row r="1698" customFormat="1" x14ac:dyDescent="0.2"/>
    <row r="1699" customFormat="1" x14ac:dyDescent="0.2"/>
    <row r="1700" customFormat="1" x14ac:dyDescent="0.2"/>
    <row r="1701" customFormat="1" x14ac:dyDescent="0.2"/>
    <row r="1702" customFormat="1" x14ac:dyDescent="0.2"/>
    <row r="1703" customFormat="1" x14ac:dyDescent="0.2"/>
    <row r="1704" customFormat="1" x14ac:dyDescent="0.2"/>
    <row r="1705" customFormat="1" x14ac:dyDescent="0.2"/>
    <row r="1706" customFormat="1" x14ac:dyDescent="0.2"/>
    <row r="1707" customFormat="1" x14ac:dyDescent="0.2"/>
    <row r="1708" customFormat="1" x14ac:dyDescent="0.2"/>
    <row r="1709" customFormat="1" x14ac:dyDescent="0.2"/>
    <row r="1710" customFormat="1" x14ac:dyDescent="0.2"/>
    <row r="1711" customFormat="1" x14ac:dyDescent="0.2"/>
    <row r="1712" customFormat="1" x14ac:dyDescent="0.2"/>
    <row r="1713" customFormat="1" x14ac:dyDescent="0.2"/>
    <row r="1714" customFormat="1" x14ac:dyDescent="0.2"/>
    <row r="1715" customFormat="1" x14ac:dyDescent="0.2"/>
    <row r="1716" customFormat="1" x14ac:dyDescent="0.2"/>
    <row r="1717" customFormat="1" x14ac:dyDescent="0.2"/>
    <row r="1718" customFormat="1" x14ac:dyDescent="0.2"/>
    <row r="1719" customFormat="1" x14ac:dyDescent="0.2"/>
    <row r="1720" customFormat="1" x14ac:dyDescent="0.2"/>
    <row r="1721" customFormat="1" x14ac:dyDescent="0.2"/>
    <row r="1722" customFormat="1" x14ac:dyDescent="0.2"/>
    <row r="1723" customFormat="1" x14ac:dyDescent="0.2"/>
    <row r="1724" customFormat="1" x14ac:dyDescent="0.2"/>
    <row r="1725" customFormat="1" x14ac:dyDescent="0.2"/>
    <row r="1726" customFormat="1" x14ac:dyDescent="0.2"/>
    <row r="1727" customFormat="1" x14ac:dyDescent="0.2"/>
    <row r="1728" customFormat="1" x14ac:dyDescent="0.2"/>
    <row r="1729" customFormat="1" x14ac:dyDescent="0.2"/>
    <row r="1730" customFormat="1" x14ac:dyDescent="0.2"/>
    <row r="1731" customFormat="1" x14ac:dyDescent="0.2"/>
    <row r="1732" customFormat="1" x14ac:dyDescent="0.2"/>
    <row r="1733" customFormat="1" x14ac:dyDescent="0.2"/>
    <row r="1734" customFormat="1" x14ac:dyDescent="0.2"/>
    <row r="1735" customFormat="1" x14ac:dyDescent="0.2"/>
    <row r="1736" customFormat="1" x14ac:dyDescent="0.2"/>
    <row r="1737" customFormat="1" x14ac:dyDescent="0.2"/>
    <row r="1738" customFormat="1" x14ac:dyDescent="0.2"/>
    <row r="1739" customFormat="1" x14ac:dyDescent="0.2"/>
    <row r="1740" customFormat="1" x14ac:dyDescent="0.2"/>
    <row r="1741" customFormat="1" x14ac:dyDescent="0.2"/>
    <row r="1742" customFormat="1" x14ac:dyDescent="0.2"/>
    <row r="1743" customFormat="1" x14ac:dyDescent="0.2"/>
    <row r="1744" customFormat="1" x14ac:dyDescent="0.2"/>
    <row r="1745" customFormat="1" x14ac:dyDescent="0.2"/>
    <row r="1746" customFormat="1" x14ac:dyDescent="0.2"/>
    <row r="1747" customFormat="1" x14ac:dyDescent="0.2"/>
    <row r="1748" customFormat="1" x14ac:dyDescent="0.2"/>
    <row r="1749" customFormat="1" x14ac:dyDescent="0.2"/>
    <row r="1750" customFormat="1" x14ac:dyDescent="0.2"/>
    <row r="1751" customFormat="1" x14ac:dyDescent="0.2"/>
    <row r="1752" customFormat="1" x14ac:dyDescent="0.2"/>
    <row r="1753" customFormat="1" x14ac:dyDescent="0.2"/>
    <row r="1754" customFormat="1" x14ac:dyDescent="0.2"/>
    <row r="1755" customFormat="1" x14ac:dyDescent="0.2"/>
    <row r="1756" customFormat="1" x14ac:dyDescent="0.2"/>
    <row r="1757" customFormat="1" x14ac:dyDescent="0.2"/>
    <row r="1758" customFormat="1" x14ac:dyDescent="0.2"/>
    <row r="1759" customFormat="1" x14ac:dyDescent="0.2"/>
    <row r="1760" customFormat="1" x14ac:dyDescent="0.2"/>
    <row r="1761" customFormat="1" x14ac:dyDescent="0.2"/>
    <row r="1762" customFormat="1" x14ac:dyDescent="0.2"/>
    <row r="1763" customFormat="1" x14ac:dyDescent="0.2"/>
    <row r="1764" customFormat="1" x14ac:dyDescent="0.2"/>
    <row r="1765" customFormat="1" x14ac:dyDescent="0.2"/>
    <row r="1766" customFormat="1" x14ac:dyDescent="0.2"/>
    <row r="1767" customFormat="1" x14ac:dyDescent="0.2"/>
    <row r="1768" customFormat="1" x14ac:dyDescent="0.2"/>
    <row r="1769" customFormat="1" x14ac:dyDescent="0.2"/>
    <row r="1770" customFormat="1" x14ac:dyDescent="0.2"/>
    <row r="1771" customFormat="1" x14ac:dyDescent="0.2"/>
    <row r="1772" customFormat="1" x14ac:dyDescent="0.2"/>
    <row r="1773" customFormat="1" x14ac:dyDescent="0.2"/>
    <row r="1774" customFormat="1" x14ac:dyDescent="0.2"/>
    <row r="1775" customFormat="1" x14ac:dyDescent="0.2"/>
    <row r="1776" customFormat="1" x14ac:dyDescent="0.2"/>
    <row r="1777" customFormat="1" x14ac:dyDescent="0.2"/>
    <row r="1778" customFormat="1" x14ac:dyDescent="0.2"/>
    <row r="1779" customFormat="1" x14ac:dyDescent="0.2"/>
    <row r="1780" customFormat="1" x14ac:dyDescent="0.2"/>
    <row r="1781" customFormat="1" x14ac:dyDescent="0.2"/>
    <row r="1782" customFormat="1" x14ac:dyDescent="0.2"/>
    <row r="1783" customFormat="1" x14ac:dyDescent="0.2"/>
    <row r="1784" customFormat="1" x14ac:dyDescent="0.2"/>
    <row r="1785" customFormat="1" x14ac:dyDescent="0.2"/>
    <row r="1786" customFormat="1" x14ac:dyDescent="0.2"/>
    <row r="1787" customFormat="1" x14ac:dyDescent="0.2"/>
    <row r="1788" customFormat="1" x14ac:dyDescent="0.2"/>
    <row r="1789" customFormat="1" x14ac:dyDescent="0.2"/>
    <row r="1790" customFormat="1" x14ac:dyDescent="0.2"/>
    <row r="1791" customFormat="1" x14ac:dyDescent="0.2"/>
    <row r="1792" customFormat="1" x14ac:dyDescent="0.2"/>
    <row r="1793" customFormat="1" x14ac:dyDescent="0.2"/>
    <row r="1794" customFormat="1" x14ac:dyDescent="0.2"/>
    <row r="1795" customFormat="1" x14ac:dyDescent="0.2"/>
    <row r="1796" customFormat="1" x14ac:dyDescent="0.2"/>
    <row r="1797" customFormat="1" x14ac:dyDescent="0.2"/>
    <row r="1798" customFormat="1" x14ac:dyDescent="0.2"/>
    <row r="1799" customFormat="1" x14ac:dyDescent="0.2"/>
    <row r="1800" customFormat="1" x14ac:dyDescent="0.2"/>
    <row r="1801" customFormat="1" x14ac:dyDescent="0.2"/>
    <row r="1802" customFormat="1" x14ac:dyDescent="0.2"/>
    <row r="1803" customFormat="1" x14ac:dyDescent="0.2"/>
    <row r="1804" customFormat="1" x14ac:dyDescent="0.2"/>
    <row r="1805" customFormat="1" x14ac:dyDescent="0.2"/>
    <row r="1806" customFormat="1" x14ac:dyDescent="0.2"/>
    <row r="1807" customFormat="1" x14ac:dyDescent="0.2"/>
    <row r="1808" customFormat="1" x14ac:dyDescent="0.2"/>
    <row r="1809" customFormat="1" x14ac:dyDescent="0.2"/>
    <row r="1810" customFormat="1" x14ac:dyDescent="0.2"/>
    <row r="1811" customFormat="1" x14ac:dyDescent="0.2"/>
    <row r="1812" customFormat="1" x14ac:dyDescent="0.2"/>
    <row r="1813" customFormat="1" x14ac:dyDescent="0.2"/>
    <row r="1814" customFormat="1" x14ac:dyDescent="0.2"/>
    <row r="1815" customFormat="1" x14ac:dyDescent="0.2"/>
    <row r="1816" customFormat="1" x14ac:dyDescent="0.2"/>
    <row r="1817" customFormat="1" x14ac:dyDescent="0.2"/>
    <row r="1818" customFormat="1" x14ac:dyDescent="0.2"/>
    <row r="1819" customFormat="1" x14ac:dyDescent="0.2"/>
    <row r="1820" customFormat="1" x14ac:dyDescent="0.2"/>
    <row r="1821" customFormat="1" x14ac:dyDescent="0.2"/>
    <row r="1822" customFormat="1" x14ac:dyDescent="0.2"/>
    <row r="1823" customFormat="1" x14ac:dyDescent="0.2"/>
    <row r="1824" customFormat="1" x14ac:dyDescent="0.2"/>
    <row r="1825" customFormat="1" x14ac:dyDescent="0.2"/>
    <row r="1826" customFormat="1" x14ac:dyDescent="0.2"/>
    <row r="1827" customFormat="1" x14ac:dyDescent="0.2"/>
    <row r="1828" customFormat="1" x14ac:dyDescent="0.2"/>
    <row r="1829" customFormat="1" x14ac:dyDescent="0.2"/>
    <row r="1830" customFormat="1" x14ac:dyDescent="0.2"/>
    <row r="1831" customFormat="1" x14ac:dyDescent="0.2"/>
    <row r="1832" customFormat="1" x14ac:dyDescent="0.2"/>
    <row r="1833" customFormat="1" x14ac:dyDescent="0.2"/>
    <row r="1834" customFormat="1" x14ac:dyDescent="0.2"/>
    <row r="1835" customFormat="1" x14ac:dyDescent="0.2"/>
    <row r="1836" customFormat="1" x14ac:dyDescent="0.2"/>
    <row r="1837" customFormat="1" x14ac:dyDescent="0.2"/>
    <row r="1838" customFormat="1" x14ac:dyDescent="0.2"/>
    <row r="1839" customFormat="1" x14ac:dyDescent="0.2"/>
    <row r="1840" customFormat="1" x14ac:dyDescent="0.2"/>
    <row r="1841" customFormat="1" x14ac:dyDescent="0.2"/>
    <row r="1842" customFormat="1" x14ac:dyDescent="0.2"/>
    <row r="1843" customFormat="1" x14ac:dyDescent="0.2"/>
    <row r="1844" customFormat="1" x14ac:dyDescent="0.2"/>
    <row r="1845" customFormat="1" x14ac:dyDescent="0.2"/>
    <row r="1846" customFormat="1" x14ac:dyDescent="0.2"/>
    <row r="1847" customFormat="1" x14ac:dyDescent="0.2"/>
    <row r="1848" customFormat="1" x14ac:dyDescent="0.2"/>
    <row r="1849" customFormat="1" x14ac:dyDescent="0.2"/>
    <row r="1850" customFormat="1" x14ac:dyDescent="0.2"/>
    <row r="1851" customFormat="1" x14ac:dyDescent="0.2"/>
    <row r="1852" customFormat="1" x14ac:dyDescent="0.2"/>
    <row r="1853" customFormat="1" x14ac:dyDescent="0.2"/>
    <row r="1854" customFormat="1" x14ac:dyDescent="0.2"/>
    <row r="1855" customFormat="1" x14ac:dyDescent="0.2"/>
    <row r="1856" customFormat="1" x14ac:dyDescent="0.2"/>
    <row r="1857" customFormat="1" x14ac:dyDescent="0.2"/>
    <row r="1858" customFormat="1" x14ac:dyDescent="0.2"/>
    <row r="1859" customFormat="1" x14ac:dyDescent="0.2"/>
    <row r="1860" customFormat="1" x14ac:dyDescent="0.2"/>
    <row r="1861" customFormat="1" x14ac:dyDescent="0.2"/>
    <row r="1862" customFormat="1" x14ac:dyDescent="0.2"/>
    <row r="1863" customFormat="1" x14ac:dyDescent="0.2"/>
    <row r="1864" customFormat="1" x14ac:dyDescent="0.2"/>
    <row r="1865" customFormat="1" x14ac:dyDescent="0.2"/>
    <row r="1866" customFormat="1" x14ac:dyDescent="0.2"/>
    <row r="1867" customFormat="1" x14ac:dyDescent="0.2"/>
    <row r="1868" customFormat="1" x14ac:dyDescent="0.2"/>
    <row r="1869" customFormat="1" x14ac:dyDescent="0.2"/>
    <row r="1870" customFormat="1" x14ac:dyDescent="0.2"/>
    <row r="1871" customFormat="1" x14ac:dyDescent="0.2"/>
    <row r="1872" customFormat="1" x14ac:dyDescent="0.2"/>
    <row r="1873" customFormat="1" x14ac:dyDescent="0.2"/>
    <row r="1874" customFormat="1" x14ac:dyDescent="0.2"/>
    <row r="1875" customFormat="1" x14ac:dyDescent="0.2"/>
    <row r="1876" customFormat="1" x14ac:dyDescent="0.2"/>
    <row r="1877" customFormat="1" x14ac:dyDescent="0.2"/>
    <row r="1878" customFormat="1" x14ac:dyDescent="0.2"/>
    <row r="1879" customFormat="1" x14ac:dyDescent="0.2"/>
    <row r="1880" customFormat="1" x14ac:dyDescent="0.2"/>
    <row r="1881" customFormat="1" x14ac:dyDescent="0.2"/>
    <row r="1882" customFormat="1" x14ac:dyDescent="0.2"/>
    <row r="1883" customFormat="1" x14ac:dyDescent="0.2"/>
    <row r="1884" customFormat="1" x14ac:dyDescent="0.2"/>
    <row r="1885" customFormat="1" x14ac:dyDescent="0.2"/>
    <row r="1886" customFormat="1" x14ac:dyDescent="0.2"/>
    <row r="1887" customFormat="1" x14ac:dyDescent="0.2"/>
    <row r="1888" customFormat="1" x14ac:dyDescent="0.2"/>
    <row r="1889" customFormat="1" x14ac:dyDescent="0.2"/>
    <row r="1890" customFormat="1" x14ac:dyDescent="0.2"/>
    <row r="1891" customFormat="1" x14ac:dyDescent="0.2"/>
    <row r="1892" customFormat="1" x14ac:dyDescent="0.2"/>
    <row r="1893" customFormat="1" x14ac:dyDescent="0.2"/>
    <row r="1894" customFormat="1" x14ac:dyDescent="0.2"/>
    <row r="1895" customFormat="1" x14ac:dyDescent="0.2"/>
    <row r="1896" customFormat="1" x14ac:dyDescent="0.2"/>
    <row r="1897" customFormat="1" x14ac:dyDescent="0.2"/>
    <row r="1898" customFormat="1" x14ac:dyDescent="0.2"/>
    <row r="1899" customFormat="1" x14ac:dyDescent="0.2"/>
    <row r="1900" customFormat="1" x14ac:dyDescent="0.2"/>
    <row r="1901" customFormat="1" x14ac:dyDescent="0.2"/>
    <row r="1902" customFormat="1" x14ac:dyDescent="0.2"/>
    <row r="1903" customFormat="1" x14ac:dyDescent="0.2"/>
    <row r="1904" customFormat="1" x14ac:dyDescent="0.2"/>
    <row r="1905" customFormat="1" x14ac:dyDescent="0.2"/>
    <row r="1906" customFormat="1" x14ac:dyDescent="0.2"/>
    <row r="1907" customFormat="1" x14ac:dyDescent="0.2"/>
    <row r="1908" customFormat="1" x14ac:dyDescent="0.2"/>
    <row r="1909" customFormat="1" x14ac:dyDescent="0.2"/>
    <row r="1910" customFormat="1" x14ac:dyDescent="0.2"/>
    <row r="1911" customFormat="1" x14ac:dyDescent="0.2"/>
    <row r="1912" customFormat="1" x14ac:dyDescent="0.2"/>
    <row r="1913" customFormat="1" x14ac:dyDescent="0.2"/>
    <row r="1914" customFormat="1" x14ac:dyDescent="0.2"/>
    <row r="1915" customFormat="1" x14ac:dyDescent="0.2"/>
    <row r="1916" customFormat="1" x14ac:dyDescent="0.2"/>
    <row r="1917" customFormat="1" x14ac:dyDescent="0.2"/>
    <row r="1918" customFormat="1" x14ac:dyDescent="0.2"/>
    <row r="1919" customFormat="1" x14ac:dyDescent="0.2"/>
    <row r="1920" customFormat="1" x14ac:dyDescent="0.2"/>
    <row r="1921" customFormat="1" x14ac:dyDescent="0.2"/>
    <row r="1922" customFormat="1" x14ac:dyDescent="0.2"/>
    <row r="1923" customFormat="1" x14ac:dyDescent="0.2"/>
    <row r="1924" customFormat="1" x14ac:dyDescent="0.2"/>
    <row r="1925" customFormat="1" x14ac:dyDescent="0.2"/>
    <row r="1926" customFormat="1" x14ac:dyDescent="0.2"/>
    <row r="1927" customFormat="1" x14ac:dyDescent="0.2"/>
    <row r="1928" customFormat="1" x14ac:dyDescent="0.2"/>
    <row r="1929" customFormat="1" x14ac:dyDescent="0.2"/>
    <row r="1930" customFormat="1" x14ac:dyDescent="0.2"/>
    <row r="1931" customFormat="1" x14ac:dyDescent="0.2"/>
    <row r="1932" customFormat="1" x14ac:dyDescent="0.2"/>
    <row r="1933" customFormat="1" x14ac:dyDescent="0.2"/>
    <row r="1934" customFormat="1" x14ac:dyDescent="0.2"/>
    <row r="1935" customFormat="1" x14ac:dyDescent="0.2"/>
    <row r="1936" customFormat="1" x14ac:dyDescent="0.2"/>
    <row r="1937" customFormat="1" x14ac:dyDescent="0.2"/>
    <row r="1938" customFormat="1" x14ac:dyDescent="0.2"/>
    <row r="1939" customFormat="1" x14ac:dyDescent="0.2"/>
    <row r="1940" customFormat="1" x14ac:dyDescent="0.2"/>
    <row r="1941" customFormat="1" x14ac:dyDescent="0.2"/>
    <row r="1942" customFormat="1" x14ac:dyDescent="0.2"/>
    <row r="1943" customFormat="1" x14ac:dyDescent="0.2"/>
    <row r="1944" customFormat="1" x14ac:dyDescent="0.2"/>
    <row r="1945" customFormat="1" x14ac:dyDescent="0.2"/>
    <row r="1946" customFormat="1" x14ac:dyDescent="0.2"/>
    <row r="1947" customFormat="1" x14ac:dyDescent="0.2"/>
    <row r="1948" customFormat="1" x14ac:dyDescent="0.2"/>
    <row r="1949" customFormat="1" x14ac:dyDescent="0.2"/>
    <row r="1950" customFormat="1" x14ac:dyDescent="0.2"/>
    <row r="1951" customFormat="1" x14ac:dyDescent="0.2"/>
    <row r="1952" customFormat="1" x14ac:dyDescent="0.2"/>
    <row r="1953" customFormat="1" x14ac:dyDescent="0.2"/>
    <row r="1954" customFormat="1" x14ac:dyDescent="0.2"/>
    <row r="1955" customFormat="1" x14ac:dyDescent="0.2"/>
    <row r="1956" customFormat="1" x14ac:dyDescent="0.2"/>
    <row r="1957" customFormat="1" x14ac:dyDescent="0.2"/>
    <row r="1958" customFormat="1" x14ac:dyDescent="0.2"/>
    <row r="1959" customFormat="1" x14ac:dyDescent="0.2"/>
    <row r="1960" customFormat="1" x14ac:dyDescent="0.2"/>
    <row r="1961" customFormat="1" x14ac:dyDescent="0.2"/>
    <row r="1962" customFormat="1" x14ac:dyDescent="0.2"/>
    <row r="1963" customFormat="1" x14ac:dyDescent="0.2"/>
    <row r="1964" customFormat="1" x14ac:dyDescent="0.2"/>
    <row r="1965" customFormat="1" x14ac:dyDescent="0.2"/>
    <row r="1966" customFormat="1" x14ac:dyDescent="0.2"/>
    <row r="1967" customFormat="1" x14ac:dyDescent="0.2"/>
    <row r="1968" customFormat="1" x14ac:dyDescent="0.2"/>
    <row r="1969" customFormat="1" x14ac:dyDescent="0.2"/>
    <row r="1970" customFormat="1" x14ac:dyDescent="0.2"/>
    <row r="1971" customFormat="1" x14ac:dyDescent="0.2"/>
    <row r="1972" customFormat="1" x14ac:dyDescent="0.2"/>
    <row r="1973" customFormat="1" x14ac:dyDescent="0.2"/>
    <row r="1974" customFormat="1" x14ac:dyDescent="0.2"/>
    <row r="1975" customFormat="1" x14ac:dyDescent="0.2"/>
    <row r="1976" customFormat="1" x14ac:dyDescent="0.2"/>
    <row r="1977" customFormat="1" x14ac:dyDescent="0.2"/>
    <row r="1978" customFormat="1" x14ac:dyDescent="0.2"/>
    <row r="1979" customFormat="1" x14ac:dyDescent="0.2"/>
    <row r="1980" customFormat="1" x14ac:dyDescent="0.2"/>
    <row r="1981" customFormat="1" x14ac:dyDescent="0.2"/>
    <row r="1982" customFormat="1" x14ac:dyDescent="0.2"/>
    <row r="1983" customFormat="1" x14ac:dyDescent="0.2"/>
    <row r="1984" customFormat="1" x14ac:dyDescent="0.2"/>
    <row r="1985" customFormat="1" x14ac:dyDescent="0.2"/>
    <row r="1986" customFormat="1" x14ac:dyDescent="0.2"/>
    <row r="1987" customFormat="1" x14ac:dyDescent="0.2"/>
    <row r="1988" customFormat="1" x14ac:dyDescent="0.2"/>
    <row r="1989" customFormat="1" x14ac:dyDescent="0.2"/>
    <row r="1990" customFormat="1" x14ac:dyDescent="0.2"/>
    <row r="1991" customFormat="1" x14ac:dyDescent="0.2"/>
    <row r="1992" customFormat="1" x14ac:dyDescent="0.2"/>
    <row r="1993" customFormat="1" x14ac:dyDescent="0.2"/>
    <row r="1994" customFormat="1" x14ac:dyDescent="0.2"/>
    <row r="1995" customFormat="1" x14ac:dyDescent="0.2"/>
    <row r="1996" customFormat="1" x14ac:dyDescent="0.2"/>
    <row r="1997" customFormat="1" x14ac:dyDescent="0.2"/>
    <row r="1998" customFormat="1" x14ac:dyDescent="0.2"/>
    <row r="1999" customFormat="1" x14ac:dyDescent="0.2"/>
    <row r="2000" customFormat="1" x14ac:dyDescent="0.2"/>
    <row r="2001" customFormat="1" x14ac:dyDescent="0.2"/>
    <row r="2002" customFormat="1" x14ac:dyDescent="0.2"/>
    <row r="2003" customFormat="1" x14ac:dyDescent="0.2"/>
    <row r="2004" customFormat="1" x14ac:dyDescent="0.2"/>
    <row r="2005" customFormat="1" x14ac:dyDescent="0.2"/>
    <row r="2006" customFormat="1" x14ac:dyDescent="0.2"/>
    <row r="2007" customFormat="1" x14ac:dyDescent="0.2"/>
    <row r="2008" customFormat="1" x14ac:dyDescent="0.2"/>
    <row r="2009" customFormat="1" x14ac:dyDescent="0.2"/>
    <row r="2010" customFormat="1" x14ac:dyDescent="0.2"/>
    <row r="2011" customFormat="1" x14ac:dyDescent="0.2"/>
    <row r="2012" customFormat="1" x14ac:dyDescent="0.2"/>
    <row r="2013" customFormat="1" x14ac:dyDescent="0.2"/>
    <row r="2014" customFormat="1" x14ac:dyDescent="0.2"/>
    <row r="2015" customFormat="1" x14ac:dyDescent="0.2"/>
    <row r="2016" customFormat="1" x14ac:dyDescent="0.2"/>
    <row r="2017" customFormat="1" x14ac:dyDescent="0.2"/>
    <row r="2018" customFormat="1" x14ac:dyDescent="0.2"/>
    <row r="2019" customFormat="1" x14ac:dyDescent="0.2"/>
    <row r="2020" customFormat="1" x14ac:dyDescent="0.2"/>
    <row r="2021" customFormat="1" x14ac:dyDescent="0.2"/>
    <row r="2022" customFormat="1" x14ac:dyDescent="0.2"/>
    <row r="2023" customFormat="1" x14ac:dyDescent="0.2"/>
    <row r="2024" customFormat="1" x14ac:dyDescent="0.2"/>
    <row r="2025" customFormat="1" x14ac:dyDescent="0.2"/>
    <row r="2026" customFormat="1" x14ac:dyDescent="0.2"/>
    <row r="2027" customFormat="1" x14ac:dyDescent="0.2"/>
    <row r="2028" customFormat="1" x14ac:dyDescent="0.2"/>
    <row r="2029" customFormat="1" x14ac:dyDescent="0.2"/>
    <row r="2030" customFormat="1" x14ac:dyDescent="0.2"/>
    <row r="2031" customFormat="1" x14ac:dyDescent="0.2"/>
    <row r="2032" customFormat="1" x14ac:dyDescent="0.2"/>
    <row r="2033" customFormat="1" x14ac:dyDescent="0.2"/>
    <row r="2034" customFormat="1" x14ac:dyDescent="0.2"/>
    <row r="2035" customFormat="1" x14ac:dyDescent="0.2"/>
    <row r="2036" customFormat="1" x14ac:dyDescent="0.2"/>
    <row r="2037" customFormat="1" x14ac:dyDescent="0.2"/>
    <row r="2038" customFormat="1" x14ac:dyDescent="0.2"/>
    <row r="2039" customFormat="1" x14ac:dyDescent="0.2"/>
    <row r="2040" customFormat="1" x14ac:dyDescent="0.2"/>
    <row r="2041" customFormat="1" x14ac:dyDescent="0.2"/>
    <row r="2042" customFormat="1" x14ac:dyDescent="0.2"/>
    <row r="2043" customFormat="1" x14ac:dyDescent="0.2"/>
    <row r="2044" customFormat="1" x14ac:dyDescent="0.2"/>
    <row r="2045" customFormat="1" x14ac:dyDescent="0.2"/>
    <row r="2046" customFormat="1" x14ac:dyDescent="0.2"/>
    <row r="2047" customFormat="1" x14ac:dyDescent="0.2"/>
    <row r="2048" customFormat="1" x14ac:dyDescent="0.2"/>
    <row r="2049" customFormat="1" x14ac:dyDescent="0.2"/>
    <row r="2050" customFormat="1" x14ac:dyDescent="0.2"/>
    <row r="2051" customFormat="1" x14ac:dyDescent="0.2"/>
    <row r="2052" customFormat="1" x14ac:dyDescent="0.2"/>
    <row r="2053" customFormat="1" x14ac:dyDescent="0.2"/>
    <row r="2054" customFormat="1" x14ac:dyDescent="0.2"/>
    <row r="2055" customFormat="1" x14ac:dyDescent="0.2"/>
    <row r="2056" customFormat="1" x14ac:dyDescent="0.2"/>
    <row r="2057" customFormat="1" x14ac:dyDescent="0.2"/>
    <row r="2058" customFormat="1" x14ac:dyDescent="0.2"/>
    <row r="2059" customFormat="1" x14ac:dyDescent="0.2"/>
    <row r="2060" customFormat="1" x14ac:dyDescent="0.2"/>
    <row r="2061" customFormat="1" x14ac:dyDescent="0.2"/>
    <row r="2062" customFormat="1" x14ac:dyDescent="0.2"/>
    <row r="2063" customFormat="1" x14ac:dyDescent="0.2"/>
    <row r="2064" customFormat="1" x14ac:dyDescent="0.2"/>
    <row r="2065" customFormat="1" x14ac:dyDescent="0.2"/>
    <row r="2066" customFormat="1" x14ac:dyDescent="0.2"/>
    <row r="2067" customFormat="1" x14ac:dyDescent="0.2"/>
    <row r="2068" customFormat="1" x14ac:dyDescent="0.2"/>
    <row r="2069" customFormat="1" x14ac:dyDescent="0.2"/>
    <row r="2070" customFormat="1" x14ac:dyDescent="0.2"/>
    <row r="2071" customFormat="1" x14ac:dyDescent="0.2"/>
    <row r="2072" customFormat="1" x14ac:dyDescent="0.2"/>
    <row r="2073" customFormat="1" x14ac:dyDescent="0.2"/>
    <row r="2074" customFormat="1" x14ac:dyDescent="0.2"/>
    <row r="2075" customFormat="1" x14ac:dyDescent="0.2"/>
    <row r="2076" customFormat="1" x14ac:dyDescent="0.2"/>
    <row r="2077" customFormat="1" x14ac:dyDescent="0.2"/>
    <row r="2078" customFormat="1" x14ac:dyDescent="0.2"/>
    <row r="2079" customFormat="1" x14ac:dyDescent="0.2"/>
    <row r="2080" customFormat="1" x14ac:dyDescent="0.2"/>
    <row r="2081" customFormat="1" x14ac:dyDescent="0.2"/>
    <row r="2082" customFormat="1" x14ac:dyDescent="0.2"/>
    <row r="2083" customFormat="1" x14ac:dyDescent="0.2"/>
    <row r="2084" customFormat="1" x14ac:dyDescent="0.2"/>
    <row r="2085" customFormat="1" x14ac:dyDescent="0.2"/>
    <row r="2086" customFormat="1" x14ac:dyDescent="0.2"/>
    <row r="2087" customFormat="1" x14ac:dyDescent="0.2"/>
    <row r="2088" customFormat="1" x14ac:dyDescent="0.2"/>
    <row r="2089" customFormat="1" x14ac:dyDescent="0.2"/>
    <row r="2090" customFormat="1" x14ac:dyDescent="0.2"/>
    <row r="2091" customFormat="1" x14ac:dyDescent="0.2"/>
    <row r="2092" customFormat="1" x14ac:dyDescent="0.2"/>
    <row r="2093" customFormat="1" x14ac:dyDescent="0.2"/>
    <row r="2094" customFormat="1" x14ac:dyDescent="0.2"/>
    <row r="2095" customFormat="1" x14ac:dyDescent="0.2"/>
    <row r="2096" customFormat="1" x14ac:dyDescent="0.2"/>
    <row r="2097" customFormat="1" x14ac:dyDescent="0.2"/>
    <row r="2098" customFormat="1" x14ac:dyDescent="0.2"/>
    <row r="2099" customFormat="1" x14ac:dyDescent="0.2"/>
    <row r="2100" customFormat="1" x14ac:dyDescent="0.2"/>
    <row r="2101" customFormat="1" x14ac:dyDescent="0.2"/>
    <row r="2102" customFormat="1" x14ac:dyDescent="0.2"/>
    <row r="2103" customFormat="1" x14ac:dyDescent="0.2"/>
    <row r="2104" customFormat="1" x14ac:dyDescent="0.2"/>
    <row r="2105" customFormat="1" x14ac:dyDescent="0.2"/>
    <row r="2106" customFormat="1" x14ac:dyDescent="0.2"/>
    <row r="2107" customFormat="1" x14ac:dyDescent="0.2"/>
    <row r="2108" customFormat="1" x14ac:dyDescent="0.2"/>
    <row r="2109" customFormat="1" x14ac:dyDescent="0.2"/>
    <row r="2110" customFormat="1" x14ac:dyDescent="0.2"/>
    <row r="2111" customFormat="1" x14ac:dyDescent="0.2"/>
    <row r="2112" customFormat="1" x14ac:dyDescent="0.2"/>
    <row r="2113" customFormat="1" x14ac:dyDescent="0.2"/>
    <row r="2114" customFormat="1" x14ac:dyDescent="0.2"/>
    <row r="2115" customFormat="1" x14ac:dyDescent="0.2"/>
    <row r="2116" customFormat="1" x14ac:dyDescent="0.2"/>
    <row r="2117" customFormat="1" x14ac:dyDescent="0.2"/>
    <row r="2118" customFormat="1" x14ac:dyDescent="0.2"/>
    <row r="2119" customFormat="1" x14ac:dyDescent="0.2"/>
    <row r="2120" customFormat="1" x14ac:dyDescent="0.2"/>
    <row r="2121" customFormat="1" x14ac:dyDescent="0.2"/>
    <row r="2122" customFormat="1" x14ac:dyDescent="0.2"/>
    <row r="2123" customFormat="1" x14ac:dyDescent="0.2"/>
    <row r="2124" customFormat="1" x14ac:dyDescent="0.2"/>
    <row r="2125" customFormat="1" x14ac:dyDescent="0.2"/>
    <row r="2126" customFormat="1" x14ac:dyDescent="0.2"/>
    <row r="2127" customFormat="1" x14ac:dyDescent="0.2"/>
    <row r="2128" customFormat="1" x14ac:dyDescent="0.2"/>
    <row r="2129" customFormat="1" x14ac:dyDescent="0.2"/>
    <row r="2130" customFormat="1" x14ac:dyDescent="0.2"/>
    <row r="2131" customFormat="1" x14ac:dyDescent="0.2"/>
    <row r="2132" customFormat="1" x14ac:dyDescent="0.2"/>
    <row r="2133" customFormat="1" x14ac:dyDescent="0.2"/>
    <row r="2134" customFormat="1" x14ac:dyDescent="0.2"/>
    <row r="2135" customFormat="1" x14ac:dyDescent="0.2"/>
    <row r="2136" customFormat="1" x14ac:dyDescent="0.2"/>
    <row r="2137" customFormat="1" x14ac:dyDescent="0.2"/>
    <row r="2138" customFormat="1" x14ac:dyDescent="0.2"/>
    <row r="2139" customFormat="1" x14ac:dyDescent="0.2"/>
    <row r="2140" customFormat="1" x14ac:dyDescent="0.2"/>
    <row r="2141" customFormat="1" x14ac:dyDescent="0.2"/>
    <row r="2142" customFormat="1" x14ac:dyDescent="0.2"/>
    <row r="2143" customFormat="1" x14ac:dyDescent="0.2"/>
    <row r="2144" customFormat="1" x14ac:dyDescent="0.2"/>
    <row r="2145" customFormat="1" x14ac:dyDescent="0.2"/>
    <row r="2146" customFormat="1" x14ac:dyDescent="0.2"/>
    <row r="2147" customFormat="1" x14ac:dyDescent="0.2"/>
    <row r="2148" customFormat="1" x14ac:dyDescent="0.2"/>
    <row r="2149" customFormat="1" x14ac:dyDescent="0.2"/>
    <row r="2150" customFormat="1" x14ac:dyDescent="0.2"/>
    <row r="2151" customFormat="1" x14ac:dyDescent="0.2"/>
    <row r="2152" customFormat="1" x14ac:dyDescent="0.2"/>
    <row r="2153" customFormat="1" x14ac:dyDescent="0.2"/>
    <row r="2154" customFormat="1" x14ac:dyDescent="0.2"/>
    <row r="2155" customFormat="1" x14ac:dyDescent="0.2"/>
    <row r="2156" customFormat="1" x14ac:dyDescent="0.2"/>
    <row r="2157" customFormat="1" x14ac:dyDescent="0.2"/>
    <row r="2158" customFormat="1" x14ac:dyDescent="0.2"/>
    <row r="2159" customFormat="1" x14ac:dyDescent="0.2"/>
    <row r="2160" customFormat="1" x14ac:dyDescent="0.2"/>
    <row r="2161" customFormat="1" x14ac:dyDescent="0.2"/>
    <row r="2162" customFormat="1" x14ac:dyDescent="0.2"/>
    <row r="2163" customFormat="1" x14ac:dyDescent="0.2"/>
    <row r="2164" customFormat="1" x14ac:dyDescent="0.2"/>
    <row r="2165" customFormat="1" x14ac:dyDescent="0.2"/>
    <row r="2166" customFormat="1" x14ac:dyDescent="0.2"/>
    <row r="2167" customFormat="1" x14ac:dyDescent="0.2"/>
    <row r="2168" customFormat="1" x14ac:dyDescent="0.2"/>
    <row r="2169" customFormat="1" x14ac:dyDescent="0.2"/>
    <row r="2170" customFormat="1" x14ac:dyDescent="0.2"/>
    <row r="2171" customFormat="1" x14ac:dyDescent="0.2"/>
    <row r="2172" customFormat="1" x14ac:dyDescent="0.2"/>
    <row r="2173" customFormat="1" x14ac:dyDescent="0.2"/>
    <row r="2174" customFormat="1" x14ac:dyDescent="0.2"/>
    <row r="2175" customFormat="1" x14ac:dyDescent="0.2"/>
    <row r="2176" customFormat="1" x14ac:dyDescent="0.2"/>
    <row r="2177" customFormat="1" x14ac:dyDescent="0.2"/>
    <row r="2178" customFormat="1" x14ac:dyDescent="0.2"/>
    <row r="2179" customFormat="1" x14ac:dyDescent="0.2"/>
    <row r="2180" customFormat="1" x14ac:dyDescent="0.2"/>
    <row r="2181" customFormat="1" x14ac:dyDescent="0.2"/>
    <row r="2182" customFormat="1" x14ac:dyDescent="0.2"/>
    <row r="2183" customFormat="1" x14ac:dyDescent="0.2"/>
    <row r="2184" customFormat="1" x14ac:dyDescent="0.2"/>
    <row r="2185" customFormat="1" x14ac:dyDescent="0.2"/>
    <row r="2186" customFormat="1" x14ac:dyDescent="0.2"/>
    <row r="2187" customFormat="1" x14ac:dyDescent="0.2"/>
    <row r="2188" customFormat="1" x14ac:dyDescent="0.2"/>
    <row r="2189" customFormat="1" x14ac:dyDescent="0.2"/>
    <row r="2190" customFormat="1" x14ac:dyDescent="0.2"/>
    <row r="2191" customFormat="1" x14ac:dyDescent="0.2"/>
    <row r="2192" customFormat="1" x14ac:dyDescent="0.2"/>
    <row r="2193" customFormat="1" x14ac:dyDescent="0.2"/>
    <row r="2194" customFormat="1" x14ac:dyDescent="0.2"/>
    <row r="2195" customFormat="1" x14ac:dyDescent="0.2"/>
    <row r="2196" customFormat="1" x14ac:dyDescent="0.2"/>
    <row r="2197" customFormat="1" x14ac:dyDescent="0.2"/>
    <row r="2198" customFormat="1" x14ac:dyDescent="0.2"/>
    <row r="2199" customFormat="1" x14ac:dyDescent="0.2"/>
    <row r="2200" customFormat="1" x14ac:dyDescent="0.2"/>
    <row r="2201" customFormat="1" x14ac:dyDescent="0.2"/>
    <row r="2202" customFormat="1" x14ac:dyDescent="0.2"/>
    <row r="2203" customFormat="1" x14ac:dyDescent="0.2"/>
    <row r="2204" customFormat="1" x14ac:dyDescent="0.2"/>
    <row r="2205" customFormat="1" x14ac:dyDescent="0.2"/>
    <row r="2206" customFormat="1" x14ac:dyDescent="0.2"/>
    <row r="2207" customFormat="1" x14ac:dyDescent="0.2"/>
    <row r="2208" customFormat="1" x14ac:dyDescent="0.2"/>
    <row r="2209" customFormat="1" x14ac:dyDescent="0.2"/>
    <row r="2210" customFormat="1" x14ac:dyDescent="0.2"/>
    <row r="2211" customFormat="1" x14ac:dyDescent="0.2"/>
    <row r="2212" customFormat="1" x14ac:dyDescent="0.2"/>
    <row r="2213" customFormat="1" x14ac:dyDescent="0.2"/>
    <row r="2214" customFormat="1" x14ac:dyDescent="0.2"/>
    <row r="2215" customFormat="1" x14ac:dyDescent="0.2"/>
    <row r="2216" customFormat="1" x14ac:dyDescent="0.2"/>
    <row r="2217" customFormat="1" x14ac:dyDescent="0.2"/>
    <row r="2218" customFormat="1" x14ac:dyDescent="0.2"/>
    <row r="2219" customFormat="1" x14ac:dyDescent="0.2"/>
    <row r="2220" customFormat="1" x14ac:dyDescent="0.2"/>
    <row r="2221" customFormat="1" x14ac:dyDescent="0.2"/>
    <row r="2222" customFormat="1" x14ac:dyDescent="0.2"/>
    <row r="2223" customFormat="1" x14ac:dyDescent="0.2"/>
    <row r="2224" customFormat="1" x14ac:dyDescent="0.2"/>
    <row r="2225" customFormat="1" x14ac:dyDescent="0.2"/>
    <row r="2226" customFormat="1" x14ac:dyDescent="0.2"/>
    <row r="2227" customFormat="1" x14ac:dyDescent="0.2"/>
    <row r="2228" customFormat="1" x14ac:dyDescent="0.2"/>
    <row r="2229" customFormat="1" x14ac:dyDescent="0.2"/>
    <row r="2230" customFormat="1" x14ac:dyDescent="0.2"/>
    <row r="2231" customFormat="1" x14ac:dyDescent="0.2"/>
    <row r="2232" customFormat="1" x14ac:dyDescent="0.2"/>
    <row r="2233" customFormat="1" x14ac:dyDescent="0.2"/>
    <row r="2234" customFormat="1" x14ac:dyDescent="0.2"/>
    <row r="2235" customFormat="1" x14ac:dyDescent="0.2"/>
    <row r="2236" customFormat="1" x14ac:dyDescent="0.2"/>
    <row r="2237" customFormat="1" x14ac:dyDescent="0.2"/>
    <row r="2238" customFormat="1" x14ac:dyDescent="0.2"/>
    <row r="2239" customFormat="1" x14ac:dyDescent="0.2"/>
    <row r="2240" customFormat="1" x14ac:dyDescent="0.2"/>
    <row r="2241" customFormat="1" x14ac:dyDescent="0.2"/>
    <row r="2242" customFormat="1" x14ac:dyDescent="0.2"/>
    <row r="2243" customFormat="1" x14ac:dyDescent="0.2"/>
    <row r="2244" customFormat="1" x14ac:dyDescent="0.2"/>
    <row r="2245" customFormat="1" x14ac:dyDescent="0.2"/>
    <row r="2246" customFormat="1" x14ac:dyDescent="0.2"/>
    <row r="2247" customFormat="1" x14ac:dyDescent="0.2"/>
    <row r="2248" customFormat="1" x14ac:dyDescent="0.2"/>
    <row r="2249" customFormat="1" x14ac:dyDescent="0.2"/>
    <row r="2250" customFormat="1" x14ac:dyDescent="0.2"/>
    <row r="2251" customFormat="1" x14ac:dyDescent="0.2"/>
    <row r="2252" customFormat="1" x14ac:dyDescent="0.2"/>
    <row r="2253" customFormat="1" x14ac:dyDescent="0.2"/>
    <row r="2254" customFormat="1" x14ac:dyDescent="0.2"/>
    <row r="2255" customFormat="1" x14ac:dyDescent="0.2"/>
    <row r="2256" customFormat="1" x14ac:dyDescent="0.2"/>
    <row r="2257" customFormat="1" x14ac:dyDescent="0.2"/>
    <row r="2258" customFormat="1" x14ac:dyDescent="0.2"/>
    <row r="2259" customFormat="1" x14ac:dyDescent="0.2"/>
    <row r="2260" customFormat="1" x14ac:dyDescent="0.2"/>
    <row r="2261" customFormat="1" x14ac:dyDescent="0.2"/>
    <row r="2262" customFormat="1" x14ac:dyDescent="0.2"/>
    <row r="2263" customFormat="1" x14ac:dyDescent="0.2"/>
    <row r="2264" customFormat="1" x14ac:dyDescent="0.2"/>
    <row r="2265" customFormat="1" x14ac:dyDescent="0.2"/>
    <row r="2266" customFormat="1" x14ac:dyDescent="0.2"/>
    <row r="2267" customFormat="1" x14ac:dyDescent="0.2"/>
    <row r="2268" customFormat="1" x14ac:dyDescent="0.2"/>
    <row r="2269" customFormat="1" x14ac:dyDescent="0.2"/>
    <row r="2270" customFormat="1" x14ac:dyDescent="0.2"/>
    <row r="2271" customFormat="1" x14ac:dyDescent="0.2"/>
    <row r="2272" customFormat="1" x14ac:dyDescent="0.2"/>
    <row r="2273" customFormat="1" x14ac:dyDescent="0.2"/>
    <row r="2274" customFormat="1" x14ac:dyDescent="0.2"/>
    <row r="2275" customFormat="1" x14ac:dyDescent="0.2"/>
    <row r="2276" customFormat="1" x14ac:dyDescent="0.2"/>
    <row r="2277" customFormat="1" x14ac:dyDescent="0.2"/>
    <row r="2278" customFormat="1" x14ac:dyDescent="0.2"/>
    <row r="2279" customFormat="1" x14ac:dyDescent="0.2"/>
    <row r="2280" customFormat="1" x14ac:dyDescent="0.2"/>
    <row r="2281" customFormat="1" x14ac:dyDescent="0.2"/>
    <row r="2282" customFormat="1" x14ac:dyDescent="0.2"/>
    <row r="2283" customFormat="1" x14ac:dyDescent="0.2"/>
    <row r="2284" customFormat="1" x14ac:dyDescent="0.2"/>
    <row r="2285" customFormat="1" x14ac:dyDescent="0.2"/>
    <row r="2286" customFormat="1" x14ac:dyDescent="0.2"/>
    <row r="2287" customFormat="1" x14ac:dyDescent="0.2"/>
    <row r="2288" customFormat="1" x14ac:dyDescent="0.2"/>
    <row r="2289" customFormat="1" x14ac:dyDescent="0.2"/>
    <row r="2290" customFormat="1" x14ac:dyDescent="0.2"/>
    <row r="2291" customFormat="1" x14ac:dyDescent="0.2"/>
    <row r="2292" customFormat="1" x14ac:dyDescent="0.2"/>
    <row r="2293" customFormat="1" x14ac:dyDescent="0.2"/>
    <row r="2294" customFormat="1" x14ac:dyDescent="0.2"/>
    <row r="2295" customFormat="1" x14ac:dyDescent="0.2"/>
    <row r="2296" customFormat="1" x14ac:dyDescent="0.2"/>
    <row r="2297" customFormat="1" x14ac:dyDescent="0.2"/>
    <row r="2298" customFormat="1" x14ac:dyDescent="0.2"/>
    <row r="2299" customFormat="1" x14ac:dyDescent="0.2"/>
    <row r="2300" customFormat="1" x14ac:dyDescent="0.2"/>
    <row r="2301" customFormat="1" x14ac:dyDescent="0.2"/>
    <row r="2302" customFormat="1" x14ac:dyDescent="0.2"/>
    <row r="2303" customFormat="1" x14ac:dyDescent="0.2"/>
    <row r="2304" customFormat="1" x14ac:dyDescent="0.2"/>
    <row r="2305" customFormat="1" x14ac:dyDescent="0.2"/>
    <row r="2306" customFormat="1" x14ac:dyDescent="0.2"/>
    <row r="2307" customFormat="1" x14ac:dyDescent="0.2"/>
    <row r="2308" customFormat="1" x14ac:dyDescent="0.2"/>
    <row r="2309" customFormat="1" x14ac:dyDescent="0.2"/>
    <row r="2310" customFormat="1" x14ac:dyDescent="0.2"/>
    <row r="2311" customFormat="1" x14ac:dyDescent="0.2"/>
    <row r="2312" customFormat="1" x14ac:dyDescent="0.2"/>
    <row r="2313" customFormat="1" x14ac:dyDescent="0.2"/>
    <row r="2314" customFormat="1" x14ac:dyDescent="0.2"/>
    <row r="2315" customFormat="1" x14ac:dyDescent="0.2"/>
    <row r="2316" customFormat="1" x14ac:dyDescent="0.2"/>
    <row r="2317" customFormat="1" x14ac:dyDescent="0.2"/>
    <row r="2318" customFormat="1" x14ac:dyDescent="0.2"/>
    <row r="2319" customFormat="1" x14ac:dyDescent="0.2"/>
    <row r="2320" customFormat="1" x14ac:dyDescent="0.2"/>
    <row r="2321" customFormat="1" x14ac:dyDescent="0.2"/>
    <row r="2322" customFormat="1" x14ac:dyDescent="0.2"/>
    <row r="2323" customFormat="1" x14ac:dyDescent="0.2"/>
    <row r="2324" customFormat="1" x14ac:dyDescent="0.2"/>
    <row r="2325" customFormat="1" x14ac:dyDescent="0.2"/>
    <row r="2326" customFormat="1" x14ac:dyDescent="0.2"/>
    <row r="2327" customFormat="1" x14ac:dyDescent="0.2"/>
    <row r="2328" customFormat="1" x14ac:dyDescent="0.2"/>
    <row r="2329" customFormat="1" x14ac:dyDescent="0.2"/>
    <row r="2330" customFormat="1" x14ac:dyDescent="0.2"/>
    <row r="2331" customFormat="1" x14ac:dyDescent="0.2"/>
    <row r="2332" customFormat="1" x14ac:dyDescent="0.2"/>
    <row r="2333" customFormat="1" x14ac:dyDescent="0.2"/>
    <row r="2334" customFormat="1" x14ac:dyDescent="0.2"/>
    <row r="2335" customFormat="1" x14ac:dyDescent="0.2"/>
    <row r="2336" customFormat="1" x14ac:dyDescent="0.2"/>
    <row r="2337" customFormat="1" x14ac:dyDescent="0.2"/>
    <row r="2338" customFormat="1" x14ac:dyDescent="0.2"/>
    <row r="2339" customFormat="1" x14ac:dyDescent="0.2"/>
    <row r="2340" customFormat="1" x14ac:dyDescent="0.2"/>
    <row r="2341" customFormat="1" x14ac:dyDescent="0.2"/>
    <row r="2342" customFormat="1" x14ac:dyDescent="0.2"/>
    <row r="2343" customFormat="1" x14ac:dyDescent="0.2"/>
    <row r="2344" customFormat="1" x14ac:dyDescent="0.2"/>
    <row r="2345" customFormat="1" x14ac:dyDescent="0.2"/>
    <row r="2346" customFormat="1" x14ac:dyDescent="0.2"/>
    <row r="2347" customFormat="1" x14ac:dyDescent="0.2"/>
    <row r="2348" customFormat="1" x14ac:dyDescent="0.2"/>
    <row r="2349" customFormat="1" x14ac:dyDescent="0.2"/>
    <row r="2350" customFormat="1" x14ac:dyDescent="0.2"/>
    <row r="2351" customFormat="1" x14ac:dyDescent="0.2"/>
    <row r="2352" customFormat="1" x14ac:dyDescent="0.2"/>
    <row r="2353" customFormat="1" x14ac:dyDescent="0.2"/>
    <row r="2354" customFormat="1" x14ac:dyDescent="0.2"/>
    <row r="2355" customFormat="1" x14ac:dyDescent="0.2"/>
    <row r="2356" customFormat="1" x14ac:dyDescent="0.2"/>
    <row r="2357" customFormat="1" x14ac:dyDescent="0.2"/>
    <row r="2358" customFormat="1" x14ac:dyDescent="0.2"/>
    <row r="2359" customFormat="1" x14ac:dyDescent="0.2"/>
    <row r="2360" customFormat="1" x14ac:dyDescent="0.2"/>
    <row r="2361" customFormat="1" x14ac:dyDescent="0.2"/>
    <row r="2362" customFormat="1" x14ac:dyDescent="0.2"/>
    <row r="2363" customFormat="1" x14ac:dyDescent="0.2"/>
    <row r="2364" customFormat="1" x14ac:dyDescent="0.2"/>
    <row r="2365" customFormat="1" x14ac:dyDescent="0.2"/>
    <row r="2366" customFormat="1" x14ac:dyDescent="0.2"/>
    <row r="2367" customFormat="1" x14ac:dyDescent="0.2"/>
    <row r="2368" customFormat="1" x14ac:dyDescent="0.2"/>
    <row r="2369" customFormat="1" x14ac:dyDescent="0.2"/>
    <row r="2370" customFormat="1" x14ac:dyDescent="0.2"/>
    <row r="2371" customFormat="1" x14ac:dyDescent="0.2"/>
    <row r="2372" customFormat="1" x14ac:dyDescent="0.2"/>
    <row r="2373" customFormat="1" x14ac:dyDescent="0.2"/>
    <row r="2374" customFormat="1" x14ac:dyDescent="0.2"/>
    <row r="2375" customFormat="1" x14ac:dyDescent="0.2"/>
    <row r="2376" customFormat="1" x14ac:dyDescent="0.2"/>
    <row r="2377" customFormat="1" x14ac:dyDescent="0.2"/>
    <row r="2378" customFormat="1" x14ac:dyDescent="0.2"/>
    <row r="2379" customFormat="1" x14ac:dyDescent="0.2"/>
    <row r="2380" customFormat="1" x14ac:dyDescent="0.2"/>
    <row r="2381" customFormat="1" x14ac:dyDescent="0.2"/>
    <row r="2382" customFormat="1" x14ac:dyDescent="0.2"/>
    <row r="2383" customFormat="1" x14ac:dyDescent="0.2"/>
    <row r="2384" customFormat="1" x14ac:dyDescent="0.2"/>
    <row r="2385" customFormat="1" x14ac:dyDescent="0.2"/>
    <row r="2386" customFormat="1" x14ac:dyDescent="0.2"/>
    <row r="2387" customFormat="1" x14ac:dyDescent="0.2"/>
    <row r="2388" customFormat="1" x14ac:dyDescent="0.2"/>
    <row r="2389" customFormat="1" x14ac:dyDescent="0.2"/>
    <row r="2390" customFormat="1" x14ac:dyDescent="0.2"/>
    <row r="2391" customFormat="1" x14ac:dyDescent="0.2"/>
    <row r="2392" customFormat="1" x14ac:dyDescent="0.2"/>
    <row r="2393" customFormat="1" x14ac:dyDescent="0.2"/>
    <row r="2394" customFormat="1" x14ac:dyDescent="0.2"/>
    <row r="2395" customFormat="1" x14ac:dyDescent="0.2"/>
    <row r="2396" customFormat="1" x14ac:dyDescent="0.2"/>
    <row r="2397" customFormat="1" x14ac:dyDescent="0.2"/>
    <row r="2398" customFormat="1" x14ac:dyDescent="0.2"/>
    <row r="2399" customFormat="1" x14ac:dyDescent="0.2"/>
    <row r="2400" customFormat="1" x14ac:dyDescent="0.2"/>
    <row r="2401" customFormat="1" x14ac:dyDescent="0.2"/>
    <row r="2402" customFormat="1" x14ac:dyDescent="0.2"/>
    <row r="2403" customFormat="1" x14ac:dyDescent="0.2"/>
    <row r="2404" customFormat="1" x14ac:dyDescent="0.2"/>
    <row r="2405" customFormat="1" x14ac:dyDescent="0.2"/>
    <row r="2406" customFormat="1" x14ac:dyDescent="0.2"/>
    <row r="2407" customFormat="1" x14ac:dyDescent="0.2"/>
    <row r="2408" customFormat="1" x14ac:dyDescent="0.2"/>
    <row r="2409" customFormat="1" x14ac:dyDescent="0.2"/>
    <row r="2410" customFormat="1" x14ac:dyDescent="0.2"/>
    <row r="2411" customFormat="1" x14ac:dyDescent="0.2"/>
    <row r="2412" customFormat="1" x14ac:dyDescent="0.2"/>
    <row r="2413" customFormat="1" x14ac:dyDescent="0.2"/>
    <row r="2414" customFormat="1" x14ac:dyDescent="0.2"/>
    <row r="2415" customFormat="1" x14ac:dyDescent="0.2"/>
    <row r="2416" customFormat="1" x14ac:dyDescent="0.2"/>
    <row r="2417" customFormat="1" x14ac:dyDescent="0.2"/>
    <row r="2418" customFormat="1" x14ac:dyDescent="0.2"/>
    <row r="2419" customFormat="1" x14ac:dyDescent="0.2"/>
    <row r="2420" customFormat="1" x14ac:dyDescent="0.2"/>
    <row r="2421" customFormat="1" x14ac:dyDescent="0.2"/>
    <row r="2422" customFormat="1" x14ac:dyDescent="0.2"/>
    <row r="2423" customFormat="1" x14ac:dyDescent="0.2"/>
    <row r="2424" customFormat="1" x14ac:dyDescent="0.2"/>
    <row r="2425" customFormat="1" x14ac:dyDescent="0.2"/>
    <row r="2426" customFormat="1" x14ac:dyDescent="0.2"/>
    <row r="2427" customFormat="1" x14ac:dyDescent="0.2"/>
    <row r="2428" customFormat="1" x14ac:dyDescent="0.2"/>
    <row r="2429" customFormat="1" x14ac:dyDescent="0.2"/>
    <row r="2430" customFormat="1" x14ac:dyDescent="0.2"/>
    <row r="2431" customFormat="1" x14ac:dyDescent="0.2"/>
    <row r="2432" customFormat="1" x14ac:dyDescent="0.2"/>
    <row r="2433" customFormat="1" x14ac:dyDescent="0.2"/>
    <row r="2434" customFormat="1" x14ac:dyDescent="0.2"/>
    <row r="2435" customFormat="1" x14ac:dyDescent="0.2"/>
    <row r="2436" customFormat="1" x14ac:dyDescent="0.2"/>
    <row r="2437" customFormat="1" x14ac:dyDescent="0.2"/>
    <row r="2438" customFormat="1" x14ac:dyDescent="0.2"/>
    <row r="2439" customFormat="1" x14ac:dyDescent="0.2"/>
    <row r="2440" customFormat="1" x14ac:dyDescent="0.2"/>
    <row r="2441" customFormat="1" x14ac:dyDescent="0.2"/>
    <row r="2442" customFormat="1" x14ac:dyDescent="0.2"/>
    <row r="2443" customFormat="1" x14ac:dyDescent="0.2"/>
    <row r="2444" customFormat="1" x14ac:dyDescent="0.2"/>
    <row r="2445" customFormat="1" x14ac:dyDescent="0.2"/>
    <row r="2446" customFormat="1" x14ac:dyDescent="0.2"/>
    <row r="2447" customFormat="1" x14ac:dyDescent="0.2"/>
    <row r="2448" customFormat="1" x14ac:dyDescent="0.2"/>
    <row r="2449" customFormat="1" x14ac:dyDescent="0.2"/>
    <row r="2450" customFormat="1" x14ac:dyDescent="0.2"/>
    <row r="2451" customFormat="1" x14ac:dyDescent="0.2"/>
    <row r="2452" customFormat="1" x14ac:dyDescent="0.2"/>
    <row r="2453" customFormat="1" x14ac:dyDescent="0.2"/>
    <row r="2454" customFormat="1" x14ac:dyDescent="0.2"/>
    <row r="2455" customFormat="1" x14ac:dyDescent="0.2"/>
    <row r="2456" customFormat="1" x14ac:dyDescent="0.2"/>
    <row r="2457" customFormat="1" x14ac:dyDescent="0.2"/>
    <row r="2458" customFormat="1" x14ac:dyDescent="0.2"/>
    <row r="2459" customFormat="1" x14ac:dyDescent="0.2"/>
    <row r="2460" customFormat="1" x14ac:dyDescent="0.2"/>
    <row r="2461" customFormat="1" x14ac:dyDescent="0.2"/>
    <row r="2462" customFormat="1" x14ac:dyDescent="0.2"/>
    <row r="2463" customFormat="1" x14ac:dyDescent="0.2"/>
    <row r="2464" customFormat="1" x14ac:dyDescent="0.2"/>
    <row r="2465" customFormat="1" x14ac:dyDescent="0.2"/>
    <row r="2466" customFormat="1" x14ac:dyDescent="0.2"/>
    <row r="2467" customFormat="1" x14ac:dyDescent="0.2"/>
    <row r="2468" customFormat="1" x14ac:dyDescent="0.2"/>
    <row r="2469" customFormat="1" x14ac:dyDescent="0.2"/>
    <row r="2470" customFormat="1" x14ac:dyDescent="0.2"/>
    <row r="2471" customFormat="1" x14ac:dyDescent="0.2"/>
    <row r="2472" customFormat="1" x14ac:dyDescent="0.2"/>
    <row r="2473" customFormat="1" x14ac:dyDescent="0.2"/>
    <row r="2474" customFormat="1" x14ac:dyDescent="0.2"/>
    <row r="2475" customFormat="1" x14ac:dyDescent="0.2"/>
    <row r="2476" customFormat="1" x14ac:dyDescent="0.2"/>
    <row r="2477" customFormat="1" x14ac:dyDescent="0.2"/>
    <row r="2478" customFormat="1" x14ac:dyDescent="0.2"/>
    <row r="2479" customFormat="1" x14ac:dyDescent="0.2"/>
    <row r="2480" customFormat="1" x14ac:dyDescent="0.2"/>
    <row r="2481" customFormat="1" x14ac:dyDescent="0.2"/>
    <row r="2482" customFormat="1" x14ac:dyDescent="0.2"/>
    <row r="2483" customFormat="1" x14ac:dyDescent="0.2"/>
    <row r="2484" customFormat="1" x14ac:dyDescent="0.2"/>
    <row r="2485" customFormat="1" x14ac:dyDescent="0.2"/>
    <row r="2486" customFormat="1" x14ac:dyDescent="0.2"/>
    <row r="2487" customFormat="1" x14ac:dyDescent="0.2"/>
    <row r="2488" customFormat="1" x14ac:dyDescent="0.2"/>
    <row r="2489" customFormat="1" x14ac:dyDescent="0.2"/>
    <row r="2490" customFormat="1" x14ac:dyDescent="0.2"/>
    <row r="2491" customFormat="1" x14ac:dyDescent="0.2"/>
    <row r="2492" customFormat="1" x14ac:dyDescent="0.2"/>
    <row r="2493" customFormat="1" x14ac:dyDescent="0.2"/>
    <row r="2494" customFormat="1" x14ac:dyDescent="0.2"/>
    <row r="2495" customFormat="1" x14ac:dyDescent="0.2"/>
    <row r="2496" customFormat="1" x14ac:dyDescent="0.2"/>
    <row r="2497" customFormat="1" x14ac:dyDescent="0.2"/>
    <row r="2498" customFormat="1" x14ac:dyDescent="0.2"/>
    <row r="2499" customFormat="1" x14ac:dyDescent="0.2"/>
    <row r="2500" customFormat="1" x14ac:dyDescent="0.2"/>
    <row r="2501" customFormat="1" x14ac:dyDescent="0.2"/>
    <row r="2502" customFormat="1" x14ac:dyDescent="0.2"/>
    <row r="2503" customFormat="1" x14ac:dyDescent="0.2"/>
    <row r="2504" customFormat="1" x14ac:dyDescent="0.2"/>
    <row r="2505" customFormat="1" x14ac:dyDescent="0.2"/>
    <row r="2506" customFormat="1" x14ac:dyDescent="0.2"/>
    <row r="2507" customFormat="1" x14ac:dyDescent="0.2"/>
    <row r="2508" customFormat="1" x14ac:dyDescent="0.2"/>
    <row r="2509" customFormat="1" x14ac:dyDescent="0.2"/>
    <row r="2510" customFormat="1" x14ac:dyDescent="0.2"/>
    <row r="2511" customFormat="1" x14ac:dyDescent="0.2"/>
    <row r="2512" customFormat="1" x14ac:dyDescent="0.2"/>
    <row r="2513" customFormat="1" x14ac:dyDescent="0.2"/>
    <row r="2514" customFormat="1" x14ac:dyDescent="0.2"/>
    <row r="2515" customFormat="1" x14ac:dyDescent="0.2"/>
    <row r="2516" customFormat="1" x14ac:dyDescent="0.2"/>
    <row r="2517" customFormat="1" x14ac:dyDescent="0.2"/>
    <row r="2518" customFormat="1" x14ac:dyDescent="0.2"/>
    <row r="2519" customFormat="1" x14ac:dyDescent="0.2"/>
    <row r="2520" customFormat="1" x14ac:dyDescent="0.2"/>
    <row r="2521" customFormat="1" x14ac:dyDescent="0.2"/>
    <row r="2522" customFormat="1" x14ac:dyDescent="0.2"/>
    <row r="2523" customFormat="1" x14ac:dyDescent="0.2"/>
    <row r="2524" customFormat="1" x14ac:dyDescent="0.2"/>
    <row r="2525" customFormat="1" x14ac:dyDescent="0.2"/>
    <row r="2526" customFormat="1" x14ac:dyDescent="0.2"/>
    <row r="2527" customFormat="1" x14ac:dyDescent="0.2"/>
    <row r="2528" customFormat="1" x14ac:dyDescent="0.2"/>
    <row r="2529" customFormat="1" x14ac:dyDescent="0.2"/>
    <row r="2530" customFormat="1" x14ac:dyDescent="0.2"/>
    <row r="2531" customFormat="1" x14ac:dyDescent="0.2"/>
    <row r="2532" customFormat="1" x14ac:dyDescent="0.2"/>
    <row r="2533" customFormat="1" x14ac:dyDescent="0.2"/>
    <row r="2534" customFormat="1" x14ac:dyDescent="0.2"/>
    <row r="2535" customFormat="1" x14ac:dyDescent="0.2"/>
    <row r="2536" customFormat="1" x14ac:dyDescent="0.2"/>
    <row r="2537" customFormat="1" x14ac:dyDescent="0.2"/>
    <row r="2538" customFormat="1" x14ac:dyDescent="0.2"/>
    <row r="2539" customFormat="1" x14ac:dyDescent="0.2"/>
    <row r="2540" customFormat="1" x14ac:dyDescent="0.2"/>
    <row r="2541" customFormat="1" x14ac:dyDescent="0.2"/>
    <row r="2542" customFormat="1" x14ac:dyDescent="0.2"/>
    <row r="2543" customFormat="1" x14ac:dyDescent="0.2"/>
    <row r="2544" customFormat="1" x14ac:dyDescent="0.2"/>
    <row r="2545" customFormat="1" x14ac:dyDescent="0.2"/>
    <row r="2546" customFormat="1" x14ac:dyDescent="0.2"/>
    <row r="2547" customFormat="1" x14ac:dyDescent="0.2"/>
    <row r="2548" customFormat="1" x14ac:dyDescent="0.2"/>
    <row r="2549" customFormat="1" x14ac:dyDescent="0.2"/>
    <row r="2550" customFormat="1" x14ac:dyDescent="0.2"/>
    <row r="2551" customFormat="1" x14ac:dyDescent="0.2"/>
    <row r="2552" customFormat="1" x14ac:dyDescent="0.2"/>
    <row r="2553" customFormat="1" x14ac:dyDescent="0.2"/>
    <row r="2554" customFormat="1" x14ac:dyDescent="0.2"/>
    <row r="2555" customFormat="1" x14ac:dyDescent="0.2"/>
    <row r="2556" customFormat="1" x14ac:dyDescent="0.2"/>
    <row r="2557" customFormat="1" x14ac:dyDescent="0.2"/>
    <row r="2558" customFormat="1" x14ac:dyDescent="0.2"/>
    <row r="2559" customFormat="1" x14ac:dyDescent="0.2"/>
    <row r="2560" customFormat="1" x14ac:dyDescent="0.2"/>
    <row r="2561" customFormat="1" x14ac:dyDescent="0.2"/>
    <row r="2562" customFormat="1" x14ac:dyDescent="0.2"/>
    <row r="2563" customFormat="1" x14ac:dyDescent="0.2"/>
    <row r="2564" customFormat="1" x14ac:dyDescent="0.2"/>
    <row r="2565" customFormat="1" x14ac:dyDescent="0.2"/>
    <row r="2566" customFormat="1" x14ac:dyDescent="0.2"/>
    <row r="2567" customFormat="1" x14ac:dyDescent="0.2"/>
    <row r="2568" customFormat="1" x14ac:dyDescent="0.2"/>
    <row r="2569" customFormat="1" x14ac:dyDescent="0.2"/>
    <row r="2570" customFormat="1" x14ac:dyDescent="0.2"/>
    <row r="2571" customFormat="1" x14ac:dyDescent="0.2"/>
    <row r="2572" customFormat="1" x14ac:dyDescent="0.2"/>
    <row r="2573" customFormat="1" x14ac:dyDescent="0.2"/>
    <row r="2574" customFormat="1" x14ac:dyDescent="0.2"/>
    <row r="2575" customFormat="1" x14ac:dyDescent="0.2"/>
    <row r="2576" customFormat="1" x14ac:dyDescent="0.2"/>
    <row r="2577" customFormat="1" x14ac:dyDescent="0.2"/>
    <row r="2578" customFormat="1" x14ac:dyDescent="0.2"/>
    <row r="2579" customFormat="1" x14ac:dyDescent="0.2"/>
    <row r="2580" customFormat="1" x14ac:dyDescent="0.2"/>
    <row r="2581" customFormat="1" x14ac:dyDescent="0.2"/>
    <row r="2582" customFormat="1" x14ac:dyDescent="0.2"/>
    <row r="2583" customFormat="1" x14ac:dyDescent="0.2"/>
    <row r="2584" customFormat="1" x14ac:dyDescent="0.2"/>
    <row r="2585" customFormat="1" x14ac:dyDescent="0.2"/>
    <row r="2586" customFormat="1" x14ac:dyDescent="0.2"/>
    <row r="2587" customFormat="1" x14ac:dyDescent="0.2"/>
    <row r="2588" customFormat="1" x14ac:dyDescent="0.2"/>
    <row r="2589" customFormat="1" x14ac:dyDescent="0.2"/>
    <row r="2590" customFormat="1" x14ac:dyDescent="0.2"/>
    <row r="2591" customFormat="1" x14ac:dyDescent="0.2"/>
    <row r="2592" customFormat="1" x14ac:dyDescent="0.2"/>
    <row r="2593" customFormat="1" x14ac:dyDescent="0.2"/>
    <row r="2594" customFormat="1" x14ac:dyDescent="0.2"/>
    <row r="2595" customFormat="1" x14ac:dyDescent="0.2"/>
    <row r="2596" customFormat="1" x14ac:dyDescent="0.2"/>
    <row r="2597" customFormat="1" x14ac:dyDescent="0.2"/>
    <row r="2598" customFormat="1" x14ac:dyDescent="0.2"/>
    <row r="2599" customFormat="1" x14ac:dyDescent="0.2"/>
    <row r="2600" customFormat="1" x14ac:dyDescent="0.2"/>
    <row r="2601" customFormat="1" x14ac:dyDescent="0.2"/>
    <row r="2602" customFormat="1" x14ac:dyDescent="0.2"/>
    <row r="2603" customFormat="1" x14ac:dyDescent="0.2"/>
    <row r="2604" customFormat="1" x14ac:dyDescent="0.2"/>
    <row r="2605" customFormat="1" x14ac:dyDescent="0.2"/>
    <row r="2606" customFormat="1" x14ac:dyDescent="0.2"/>
    <row r="2607" customFormat="1" x14ac:dyDescent="0.2"/>
    <row r="2608" customFormat="1" x14ac:dyDescent="0.2"/>
    <row r="2609" customFormat="1" x14ac:dyDescent="0.2"/>
    <row r="2610" customFormat="1" x14ac:dyDescent="0.2"/>
    <row r="2611" customFormat="1" x14ac:dyDescent="0.2"/>
    <row r="2612" customFormat="1" x14ac:dyDescent="0.2"/>
    <row r="2613" customFormat="1" x14ac:dyDescent="0.2"/>
    <row r="2614" customFormat="1" x14ac:dyDescent="0.2"/>
    <row r="2615" customFormat="1" x14ac:dyDescent="0.2"/>
    <row r="2616" customFormat="1" x14ac:dyDescent="0.2"/>
    <row r="2617" customFormat="1" x14ac:dyDescent="0.2"/>
    <row r="2618" customFormat="1" x14ac:dyDescent="0.2"/>
    <row r="2619" customFormat="1" x14ac:dyDescent="0.2"/>
    <row r="2620" customFormat="1" x14ac:dyDescent="0.2"/>
    <row r="2621" customFormat="1" x14ac:dyDescent="0.2"/>
    <row r="2622" customFormat="1" x14ac:dyDescent="0.2"/>
    <row r="2623" customFormat="1" x14ac:dyDescent="0.2"/>
    <row r="2624" customFormat="1" x14ac:dyDescent="0.2"/>
    <row r="2625" customFormat="1" x14ac:dyDescent="0.2"/>
    <row r="2626" customFormat="1" x14ac:dyDescent="0.2"/>
    <row r="2627" customFormat="1" x14ac:dyDescent="0.2"/>
    <row r="2628" customFormat="1" x14ac:dyDescent="0.2"/>
    <row r="2629" customFormat="1" x14ac:dyDescent="0.2"/>
    <row r="2630" customFormat="1" x14ac:dyDescent="0.2"/>
    <row r="2631" customFormat="1" x14ac:dyDescent="0.2"/>
    <row r="2632" customFormat="1" x14ac:dyDescent="0.2"/>
    <row r="2633" customFormat="1" x14ac:dyDescent="0.2"/>
    <row r="2634" customFormat="1" x14ac:dyDescent="0.2"/>
    <row r="2635" customFormat="1" x14ac:dyDescent="0.2"/>
    <row r="2636" customFormat="1" x14ac:dyDescent="0.2"/>
    <row r="2637" customFormat="1" x14ac:dyDescent="0.2"/>
    <row r="2638" customFormat="1" x14ac:dyDescent="0.2"/>
    <row r="2639" customFormat="1" x14ac:dyDescent="0.2"/>
    <row r="2640" customFormat="1" x14ac:dyDescent="0.2"/>
    <row r="2641" customFormat="1" x14ac:dyDescent="0.2"/>
    <row r="2642" customFormat="1" x14ac:dyDescent="0.2"/>
    <row r="2643" customFormat="1" x14ac:dyDescent="0.2"/>
    <row r="2644" customFormat="1" x14ac:dyDescent="0.2"/>
    <row r="2645" customFormat="1" x14ac:dyDescent="0.2"/>
    <row r="2646" customFormat="1" x14ac:dyDescent="0.2"/>
    <row r="2647" customFormat="1" x14ac:dyDescent="0.2"/>
    <row r="2648" customFormat="1" x14ac:dyDescent="0.2"/>
    <row r="2649" customFormat="1" x14ac:dyDescent="0.2"/>
    <row r="2650" customFormat="1" x14ac:dyDescent="0.2"/>
    <row r="2651" customFormat="1" x14ac:dyDescent="0.2"/>
    <row r="2652" customFormat="1" x14ac:dyDescent="0.2"/>
    <row r="2653" customFormat="1" x14ac:dyDescent="0.2"/>
    <row r="2654" customFormat="1" x14ac:dyDescent="0.2"/>
    <row r="2655" customFormat="1" x14ac:dyDescent="0.2"/>
    <row r="2656" customFormat="1" x14ac:dyDescent="0.2"/>
    <row r="2657" customFormat="1" x14ac:dyDescent="0.2"/>
    <row r="2658" customFormat="1" x14ac:dyDescent="0.2"/>
    <row r="2659" customFormat="1" x14ac:dyDescent="0.2"/>
    <row r="2660" customFormat="1" x14ac:dyDescent="0.2"/>
    <row r="2661" customFormat="1" x14ac:dyDescent="0.2"/>
    <row r="2662" customFormat="1" x14ac:dyDescent="0.2"/>
    <row r="2663" customFormat="1" x14ac:dyDescent="0.2"/>
    <row r="2664" customFormat="1" x14ac:dyDescent="0.2"/>
    <row r="2665" customFormat="1" x14ac:dyDescent="0.2"/>
    <row r="2666" customFormat="1" x14ac:dyDescent="0.2"/>
    <row r="2667" customFormat="1" x14ac:dyDescent="0.2"/>
    <row r="2668" customFormat="1" x14ac:dyDescent="0.2"/>
    <row r="2669" customFormat="1" x14ac:dyDescent="0.2"/>
    <row r="2670" customFormat="1" x14ac:dyDescent="0.2"/>
    <row r="2671" customFormat="1" x14ac:dyDescent="0.2"/>
    <row r="2672" customFormat="1" x14ac:dyDescent="0.2"/>
    <row r="2673" customFormat="1" x14ac:dyDescent="0.2"/>
    <row r="2674" customFormat="1" x14ac:dyDescent="0.2"/>
    <row r="2675" customFormat="1" x14ac:dyDescent="0.2"/>
    <row r="2676" customFormat="1" x14ac:dyDescent="0.2"/>
    <row r="2677" customFormat="1" x14ac:dyDescent="0.2"/>
    <row r="2678" customFormat="1" x14ac:dyDescent="0.2"/>
    <row r="2679" customFormat="1" x14ac:dyDescent="0.2"/>
    <row r="2680" customFormat="1" x14ac:dyDescent="0.2"/>
    <row r="2681" customFormat="1" x14ac:dyDescent="0.2"/>
    <row r="2682" customFormat="1" x14ac:dyDescent="0.2"/>
    <row r="2683" customFormat="1" x14ac:dyDescent="0.2"/>
    <row r="2684" customFormat="1" x14ac:dyDescent="0.2"/>
    <row r="2685" customFormat="1" x14ac:dyDescent="0.2"/>
    <row r="2686" customFormat="1" x14ac:dyDescent="0.2"/>
    <row r="2687" customFormat="1" x14ac:dyDescent="0.2"/>
    <row r="2688" customFormat="1" x14ac:dyDescent="0.2"/>
    <row r="2689" customFormat="1" x14ac:dyDescent="0.2"/>
    <row r="2690" customFormat="1" x14ac:dyDescent="0.2"/>
    <row r="2691" customFormat="1" x14ac:dyDescent="0.2"/>
    <row r="2692" customFormat="1" x14ac:dyDescent="0.2"/>
    <row r="2693" customFormat="1" x14ac:dyDescent="0.2"/>
    <row r="2694" customFormat="1" x14ac:dyDescent="0.2"/>
    <row r="2695" customFormat="1" x14ac:dyDescent="0.2"/>
    <row r="2696" customFormat="1" x14ac:dyDescent="0.2"/>
    <row r="2697" customFormat="1" x14ac:dyDescent="0.2"/>
    <row r="2698" customFormat="1" x14ac:dyDescent="0.2"/>
    <row r="2699" customFormat="1" x14ac:dyDescent="0.2"/>
    <row r="2700" customFormat="1" x14ac:dyDescent="0.2"/>
    <row r="2701" customFormat="1" x14ac:dyDescent="0.2"/>
    <row r="2702" customFormat="1" x14ac:dyDescent="0.2"/>
    <row r="2703" customFormat="1" x14ac:dyDescent="0.2"/>
    <row r="2704" customFormat="1" x14ac:dyDescent="0.2"/>
    <row r="2705" customFormat="1" x14ac:dyDescent="0.2"/>
    <row r="2706" customFormat="1" x14ac:dyDescent="0.2"/>
    <row r="2707" customFormat="1" x14ac:dyDescent="0.2"/>
    <row r="2708" customFormat="1" x14ac:dyDescent="0.2"/>
    <row r="2709" customFormat="1" x14ac:dyDescent="0.2"/>
    <row r="2710" customFormat="1" x14ac:dyDescent="0.2"/>
    <row r="2711" customFormat="1" x14ac:dyDescent="0.2"/>
    <row r="2712" customFormat="1" x14ac:dyDescent="0.2"/>
    <row r="2713" customFormat="1" x14ac:dyDescent="0.2"/>
    <row r="2714" customFormat="1" x14ac:dyDescent="0.2"/>
    <row r="2715" customFormat="1" x14ac:dyDescent="0.2"/>
    <row r="2716" customFormat="1" x14ac:dyDescent="0.2"/>
    <row r="2717" customFormat="1" x14ac:dyDescent="0.2"/>
    <row r="2718" customFormat="1" x14ac:dyDescent="0.2"/>
    <row r="2719" customFormat="1" x14ac:dyDescent="0.2"/>
    <row r="2720" customFormat="1" x14ac:dyDescent="0.2"/>
    <row r="2721" customFormat="1" x14ac:dyDescent="0.2"/>
    <row r="2722" customFormat="1" x14ac:dyDescent="0.2"/>
    <row r="2723" customFormat="1" x14ac:dyDescent="0.2"/>
    <row r="2724" customFormat="1" x14ac:dyDescent="0.2"/>
    <row r="2725" customFormat="1" x14ac:dyDescent="0.2"/>
    <row r="2726" customFormat="1" x14ac:dyDescent="0.2"/>
    <row r="2727" customFormat="1" x14ac:dyDescent="0.2"/>
    <row r="2728" customFormat="1" x14ac:dyDescent="0.2"/>
    <row r="2729" customFormat="1" x14ac:dyDescent="0.2"/>
    <row r="2730" customFormat="1" x14ac:dyDescent="0.2"/>
    <row r="2731" customFormat="1" x14ac:dyDescent="0.2"/>
    <row r="2732" customFormat="1" x14ac:dyDescent="0.2"/>
    <row r="2733" customFormat="1" x14ac:dyDescent="0.2"/>
    <row r="2734" customFormat="1" x14ac:dyDescent="0.2"/>
    <row r="2735" customFormat="1" x14ac:dyDescent="0.2"/>
    <row r="2736" customFormat="1" x14ac:dyDescent="0.2"/>
    <row r="2737" customFormat="1" x14ac:dyDescent="0.2"/>
    <row r="2738" customFormat="1" x14ac:dyDescent="0.2"/>
    <row r="2739" customFormat="1" x14ac:dyDescent="0.2"/>
    <row r="2740" customFormat="1" x14ac:dyDescent="0.2"/>
    <row r="2741" customFormat="1" x14ac:dyDescent="0.2"/>
    <row r="2742" customFormat="1" x14ac:dyDescent="0.2"/>
    <row r="2743" customFormat="1" x14ac:dyDescent="0.2"/>
    <row r="2744" customFormat="1" x14ac:dyDescent="0.2"/>
    <row r="2745" customFormat="1" x14ac:dyDescent="0.2"/>
    <row r="2746" customFormat="1" x14ac:dyDescent="0.2"/>
    <row r="2747" customFormat="1" x14ac:dyDescent="0.2"/>
    <row r="2748" customFormat="1" x14ac:dyDescent="0.2"/>
    <row r="2749" customFormat="1" x14ac:dyDescent="0.2"/>
    <row r="2750" customFormat="1" x14ac:dyDescent="0.2"/>
    <row r="2751" customFormat="1" x14ac:dyDescent="0.2"/>
    <row r="2752" customFormat="1" x14ac:dyDescent="0.2"/>
    <row r="2753" customFormat="1" x14ac:dyDescent="0.2"/>
    <row r="2754" customFormat="1" x14ac:dyDescent="0.2"/>
    <row r="2755" customFormat="1" x14ac:dyDescent="0.2"/>
    <row r="2756" customFormat="1" x14ac:dyDescent="0.2"/>
    <row r="2757" customFormat="1" x14ac:dyDescent="0.2"/>
    <row r="2758" customFormat="1" x14ac:dyDescent="0.2"/>
    <row r="2759" customFormat="1" x14ac:dyDescent="0.2"/>
    <row r="2760" customFormat="1" x14ac:dyDescent="0.2"/>
    <row r="2761" customFormat="1" x14ac:dyDescent="0.2"/>
    <row r="2762" customFormat="1" x14ac:dyDescent="0.2"/>
    <row r="2763" customFormat="1" x14ac:dyDescent="0.2"/>
    <row r="2764" customFormat="1" x14ac:dyDescent="0.2"/>
    <row r="2765" customFormat="1" x14ac:dyDescent="0.2"/>
    <row r="2766" customFormat="1" x14ac:dyDescent="0.2"/>
    <row r="2767" customFormat="1" x14ac:dyDescent="0.2"/>
    <row r="2768" customFormat="1" x14ac:dyDescent="0.2"/>
    <row r="2769" customFormat="1" x14ac:dyDescent="0.2"/>
    <row r="2770" customFormat="1" x14ac:dyDescent="0.2"/>
    <row r="2771" customFormat="1" x14ac:dyDescent="0.2"/>
    <row r="2772" customFormat="1" x14ac:dyDescent="0.2"/>
    <row r="2773" customFormat="1" x14ac:dyDescent="0.2"/>
    <row r="2774" customFormat="1" x14ac:dyDescent="0.2"/>
    <row r="2775" customFormat="1" x14ac:dyDescent="0.2"/>
    <row r="2776" customFormat="1" x14ac:dyDescent="0.2"/>
    <row r="2777" customFormat="1" x14ac:dyDescent="0.2"/>
    <row r="2778" customFormat="1" x14ac:dyDescent="0.2"/>
    <row r="2779" customFormat="1" x14ac:dyDescent="0.2"/>
    <row r="2780" customFormat="1" x14ac:dyDescent="0.2"/>
    <row r="2781" customFormat="1" x14ac:dyDescent="0.2"/>
    <row r="2782" customFormat="1" x14ac:dyDescent="0.2"/>
    <row r="2783" customFormat="1" x14ac:dyDescent="0.2"/>
    <row r="2784" customFormat="1" x14ac:dyDescent="0.2"/>
    <row r="2785" customFormat="1" x14ac:dyDescent="0.2"/>
    <row r="2786" customFormat="1" x14ac:dyDescent="0.2"/>
    <row r="2787" customFormat="1" x14ac:dyDescent="0.2"/>
    <row r="2788" customFormat="1" x14ac:dyDescent="0.2"/>
    <row r="2789" customFormat="1" x14ac:dyDescent="0.2"/>
    <row r="2790" customFormat="1" x14ac:dyDescent="0.2"/>
    <row r="2791" customFormat="1" x14ac:dyDescent="0.2"/>
    <row r="2792" customFormat="1" x14ac:dyDescent="0.2"/>
    <row r="2793" customFormat="1" x14ac:dyDescent="0.2"/>
    <row r="2794" customFormat="1" x14ac:dyDescent="0.2"/>
    <row r="2795" customFormat="1" x14ac:dyDescent="0.2"/>
    <row r="2796" customFormat="1" x14ac:dyDescent="0.2"/>
    <row r="2797" customFormat="1" x14ac:dyDescent="0.2"/>
    <row r="2798" customFormat="1" x14ac:dyDescent="0.2"/>
    <row r="2799" customFormat="1" x14ac:dyDescent="0.2"/>
    <row r="2800" customFormat="1" x14ac:dyDescent="0.2"/>
    <row r="2801" customFormat="1" x14ac:dyDescent="0.2"/>
    <row r="2802" customFormat="1" x14ac:dyDescent="0.2"/>
    <row r="2803" customFormat="1" x14ac:dyDescent="0.2"/>
    <row r="2804" customFormat="1" x14ac:dyDescent="0.2"/>
    <row r="2805" customFormat="1" x14ac:dyDescent="0.2"/>
    <row r="2806" customFormat="1" x14ac:dyDescent="0.2"/>
    <row r="2807" customFormat="1" x14ac:dyDescent="0.2"/>
    <row r="2808" customFormat="1" x14ac:dyDescent="0.2"/>
    <row r="2809" customFormat="1" x14ac:dyDescent="0.2"/>
    <row r="2810" customFormat="1" x14ac:dyDescent="0.2"/>
    <row r="2811" customFormat="1" x14ac:dyDescent="0.2"/>
    <row r="2812" customFormat="1" x14ac:dyDescent="0.2"/>
    <row r="2813" customFormat="1" x14ac:dyDescent="0.2"/>
    <row r="2814" customFormat="1" x14ac:dyDescent="0.2"/>
    <row r="2815" customFormat="1" x14ac:dyDescent="0.2"/>
    <row r="2816" customFormat="1" x14ac:dyDescent="0.2"/>
    <row r="2817" customFormat="1" x14ac:dyDescent="0.2"/>
    <row r="2818" customFormat="1" x14ac:dyDescent="0.2"/>
    <row r="2819" customFormat="1" x14ac:dyDescent="0.2"/>
    <row r="2820" customFormat="1" x14ac:dyDescent="0.2"/>
    <row r="2821" customFormat="1" x14ac:dyDescent="0.2"/>
    <row r="2822" customFormat="1" x14ac:dyDescent="0.2"/>
    <row r="2823" customFormat="1" x14ac:dyDescent="0.2"/>
    <row r="2824" customFormat="1" x14ac:dyDescent="0.2"/>
    <row r="2825" customFormat="1" x14ac:dyDescent="0.2"/>
    <row r="2826" customFormat="1" x14ac:dyDescent="0.2"/>
    <row r="2827" customFormat="1" x14ac:dyDescent="0.2"/>
    <row r="2828" customFormat="1" x14ac:dyDescent="0.2"/>
    <row r="2829" customFormat="1" x14ac:dyDescent="0.2"/>
    <row r="2830" customFormat="1" x14ac:dyDescent="0.2"/>
    <row r="2831" customFormat="1" x14ac:dyDescent="0.2"/>
    <row r="2832" customFormat="1" x14ac:dyDescent="0.2"/>
    <row r="2833" customFormat="1" x14ac:dyDescent="0.2"/>
    <row r="2834" customFormat="1" x14ac:dyDescent="0.2"/>
    <row r="2835" customFormat="1" x14ac:dyDescent="0.2"/>
    <row r="2836" customFormat="1" x14ac:dyDescent="0.2"/>
    <row r="2837" customFormat="1" x14ac:dyDescent="0.2"/>
    <row r="2838" customFormat="1" x14ac:dyDescent="0.2"/>
    <row r="2839" customFormat="1" x14ac:dyDescent="0.2"/>
    <row r="2840" customFormat="1" x14ac:dyDescent="0.2"/>
    <row r="2841" customFormat="1" x14ac:dyDescent="0.2"/>
    <row r="2842" customFormat="1" x14ac:dyDescent="0.2"/>
    <row r="2843" customFormat="1" x14ac:dyDescent="0.2"/>
    <row r="2844" customFormat="1" x14ac:dyDescent="0.2"/>
    <row r="2845" customFormat="1" x14ac:dyDescent="0.2"/>
    <row r="2846" customFormat="1" x14ac:dyDescent="0.2"/>
    <row r="2847" customFormat="1" x14ac:dyDescent="0.2"/>
    <row r="2848" customFormat="1" x14ac:dyDescent="0.2"/>
    <row r="2849" customFormat="1" x14ac:dyDescent="0.2"/>
    <row r="2850" customFormat="1" x14ac:dyDescent="0.2"/>
    <row r="2851" customFormat="1" x14ac:dyDescent="0.2"/>
    <row r="2852" customFormat="1" x14ac:dyDescent="0.2"/>
    <row r="2853" customFormat="1" x14ac:dyDescent="0.2"/>
    <row r="2854" customFormat="1" x14ac:dyDescent="0.2"/>
    <row r="2855" customFormat="1" x14ac:dyDescent="0.2"/>
    <row r="2856" customFormat="1" x14ac:dyDescent="0.2"/>
    <row r="2857" customFormat="1" x14ac:dyDescent="0.2"/>
    <row r="2858" customFormat="1" x14ac:dyDescent="0.2"/>
    <row r="2859" customFormat="1" x14ac:dyDescent="0.2"/>
    <row r="2860" customFormat="1" x14ac:dyDescent="0.2"/>
    <row r="2861" customFormat="1" x14ac:dyDescent="0.2"/>
    <row r="2862" customFormat="1" x14ac:dyDescent="0.2"/>
    <row r="2863" customFormat="1" x14ac:dyDescent="0.2"/>
    <row r="2864" customFormat="1" x14ac:dyDescent="0.2"/>
    <row r="2865" customFormat="1" x14ac:dyDescent="0.2"/>
    <row r="2866" customFormat="1" x14ac:dyDescent="0.2"/>
    <row r="2867" customFormat="1" x14ac:dyDescent="0.2"/>
    <row r="2868" customFormat="1" x14ac:dyDescent="0.2"/>
    <row r="2869" customFormat="1" x14ac:dyDescent="0.2"/>
    <row r="2870" customFormat="1" x14ac:dyDescent="0.2"/>
    <row r="2871" customFormat="1" x14ac:dyDescent="0.2"/>
    <row r="2872" customFormat="1" x14ac:dyDescent="0.2"/>
    <row r="2873" customFormat="1" x14ac:dyDescent="0.2"/>
    <row r="2874" customFormat="1" x14ac:dyDescent="0.2"/>
    <row r="2875" customFormat="1" x14ac:dyDescent="0.2"/>
    <row r="2876" customFormat="1" x14ac:dyDescent="0.2"/>
    <row r="2877" customFormat="1" x14ac:dyDescent="0.2"/>
  </sheetData>
  <pageMargins left="0.7" right="0.7" top="0.75" bottom="0.75" header="0.3" footer="0.3"/>
  <pageSetup paperSize="9" scale="48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3A56-1275-354B-AF9B-C0B2A59C3E6D}">
  <sheetPr filterMode="1"/>
  <dimension ref="B1:N1742"/>
  <sheetViews>
    <sheetView zoomScale="92" workbookViewId="0">
      <selection activeCell="C1" sqref="C1"/>
    </sheetView>
  </sheetViews>
  <sheetFormatPr baseColWidth="10" defaultColWidth="10.83203125" defaultRowHeight="16" x14ac:dyDescent="0.2"/>
  <cols>
    <col min="3" max="3" width="31.1640625" bestFit="1" customWidth="1"/>
    <col min="4" max="4" width="14.83203125" bestFit="1" customWidth="1"/>
    <col min="5" max="6" width="10.83203125" customWidth="1"/>
    <col min="8" max="8" width="11" style="56" customWidth="1"/>
    <col min="9" max="9" width="12.1640625" style="56" customWidth="1"/>
    <col min="10" max="10" width="17.6640625" style="56" bestFit="1" customWidth="1"/>
    <col min="11" max="11" width="13" style="56" customWidth="1"/>
    <col min="12" max="12" width="17.33203125" bestFit="1" customWidth="1"/>
    <col min="13" max="13" width="15.6640625" customWidth="1"/>
    <col min="14" max="14" width="38.5" bestFit="1" customWidth="1"/>
    <col min="15" max="15" width="18.83203125" bestFit="1" customWidth="1"/>
  </cols>
  <sheetData>
    <row r="1" spans="2:14" ht="3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5" t="s">
        <v>477</v>
      </c>
      <c r="I1" s="55" t="s">
        <v>555</v>
      </c>
      <c r="J1" s="55" t="s">
        <v>474</v>
      </c>
      <c r="K1" s="55" t="s">
        <v>475</v>
      </c>
      <c r="L1" s="5" t="s">
        <v>489</v>
      </c>
      <c r="M1" s="5" t="s">
        <v>18</v>
      </c>
      <c r="N1" s="86" t="s">
        <v>575</v>
      </c>
    </row>
    <row r="2" spans="2:14" hidden="1" x14ac:dyDescent="0.2">
      <c r="B2">
        <v>1</v>
      </c>
      <c r="C2" t="s">
        <v>500</v>
      </c>
      <c r="D2" t="str">
        <f>VLOOKUP(C2,'Master Anggota'!$E$2:$J$678,2,0)</f>
        <v>Aktif</v>
      </c>
      <c r="G2" t="str">
        <f>VLOOKUP(C2,'Master Anggota'!$E$2:$J$678,5,0)</f>
        <v>01776</v>
      </c>
      <c r="H2" s="56">
        <v>0</v>
      </c>
      <c r="I2" s="56">
        <v>0</v>
      </c>
      <c r="J2" s="56">
        <v>800000</v>
      </c>
      <c r="K2" s="56">
        <v>1600000</v>
      </c>
      <c r="L2" t="s">
        <v>584</v>
      </c>
      <c r="M2" t="s">
        <v>585</v>
      </c>
      <c r="N2" t="s">
        <v>585</v>
      </c>
    </row>
    <row r="3" spans="2:14" hidden="1" x14ac:dyDescent="0.2">
      <c r="B3">
        <v>2</v>
      </c>
      <c r="C3" t="s">
        <v>449</v>
      </c>
      <c r="D3" t="str">
        <f>VLOOKUP(C3,'Master Anggota'!$E$2:$J$678,2,0)</f>
        <v>Aktif</v>
      </c>
      <c r="G3" t="str">
        <f>VLOOKUP(C3,'Master Anggota'!$E$2:$J$678,5,0)</f>
        <v>01739</v>
      </c>
      <c r="H3" s="56">
        <v>0</v>
      </c>
      <c r="I3" s="56">
        <v>0</v>
      </c>
      <c r="J3" s="56">
        <v>1000000</v>
      </c>
      <c r="K3" s="56">
        <v>1800000</v>
      </c>
      <c r="L3" t="s">
        <v>584</v>
      </c>
      <c r="M3" t="s">
        <v>585</v>
      </c>
      <c r="N3" t="s">
        <v>585</v>
      </c>
    </row>
    <row r="4" spans="2:14" hidden="1" x14ac:dyDescent="0.2">
      <c r="B4">
        <v>3</v>
      </c>
      <c r="C4" t="s">
        <v>8</v>
      </c>
      <c r="D4" t="str">
        <f>VLOOKUP(C4,'Master Anggota'!$E$2:$J$678,2,0)</f>
        <v>Aktif</v>
      </c>
      <c r="G4" t="str">
        <f>VLOOKUP(C4,'Master Anggota'!$E$2:$J$678,5,0)</f>
        <v>00553</v>
      </c>
      <c r="H4" s="56">
        <v>0</v>
      </c>
      <c r="I4" s="56">
        <v>3694115</v>
      </c>
      <c r="J4" s="56">
        <v>10278197</v>
      </c>
      <c r="K4" s="56">
        <v>831668</v>
      </c>
      <c r="L4" t="s">
        <v>584</v>
      </c>
      <c r="M4" t="s">
        <v>585</v>
      </c>
      <c r="N4" t="s">
        <v>585</v>
      </c>
    </row>
    <row r="5" spans="2:14" hidden="1" x14ac:dyDescent="0.2">
      <c r="B5">
        <v>4</v>
      </c>
      <c r="C5" t="s">
        <v>546</v>
      </c>
      <c r="D5" t="str">
        <f>VLOOKUP(C5,'Master Anggota'!$E$2:$J$678,2,0)</f>
        <v>Aktif</v>
      </c>
      <c r="G5" t="str">
        <f>VLOOKUP(C5,'Master Anggota'!$E$2:$J$678,5,0)</f>
        <v>PHL Distribusi</v>
      </c>
      <c r="H5" s="56">
        <v>0</v>
      </c>
      <c r="I5" s="56">
        <v>0</v>
      </c>
      <c r="J5" s="56">
        <v>600000</v>
      </c>
      <c r="K5" s="56">
        <v>900000</v>
      </c>
      <c r="L5" t="s">
        <v>584</v>
      </c>
      <c r="M5" t="s">
        <v>585</v>
      </c>
      <c r="N5" t="s">
        <v>585</v>
      </c>
    </row>
    <row r="6" spans="2:14" hidden="1" x14ac:dyDescent="0.2">
      <c r="B6">
        <v>5</v>
      </c>
      <c r="C6" t="s">
        <v>565</v>
      </c>
      <c r="D6" t="str">
        <f>VLOOKUP(C6,'Master Anggota'!$E$2:$J$678,2,0)</f>
        <v>Aktif</v>
      </c>
      <c r="G6" t="str">
        <f>VLOOKUP(C6,'Master Anggota'!$E$2:$J$678,5,0)</f>
        <v>PHL Produksi</v>
      </c>
      <c r="H6" s="56">
        <v>0</v>
      </c>
      <c r="I6" s="56">
        <v>0</v>
      </c>
      <c r="J6" s="56">
        <v>200000</v>
      </c>
      <c r="K6" s="56">
        <v>100000</v>
      </c>
      <c r="L6" t="s">
        <v>584</v>
      </c>
      <c r="M6" t="s">
        <v>585</v>
      </c>
      <c r="N6" t="s">
        <v>585</v>
      </c>
    </row>
    <row r="7" spans="2:14" hidden="1" x14ac:dyDescent="0.2">
      <c r="B7">
        <v>6</v>
      </c>
      <c r="C7" t="s">
        <v>318</v>
      </c>
      <c r="D7" t="str">
        <f>VLOOKUP(C7,'Master Anggota'!$E$2:$J$678,2,0)</f>
        <v>Aktif</v>
      </c>
      <c r="G7" t="str">
        <f>VLOOKUP(C7,'Master Anggota'!$E$2:$J$678,5,0)</f>
        <v>01651</v>
      </c>
      <c r="H7" s="56">
        <v>0</v>
      </c>
      <c r="I7" s="56">
        <v>413679</v>
      </c>
      <c r="J7" s="56">
        <v>2200000</v>
      </c>
      <c r="K7" s="56">
        <v>1100000</v>
      </c>
      <c r="L7" t="s">
        <v>584</v>
      </c>
      <c r="M7" t="s">
        <v>585</v>
      </c>
      <c r="N7" t="s">
        <v>585</v>
      </c>
    </row>
    <row r="8" spans="2:14" hidden="1" x14ac:dyDescent="0.2">
      <c r="B8">
        <v>7</v>
      </c>
      <c r="C8" t="s">
        <v>438</v>
      </c>
      <c r="D8" t="str">
        <f>VLOOKUP(C8,'Master Anggota'!$E$2:$J$678,2,0)</f>
        <v>Aktif</v>
      </c>
      <c r="G8" t="str">
        <f>VLOOKUP(C8,'Master Anggota'!$E$2:$J$678,5,0)</f>
        <v>00616</v>
      </c>
      <c r="H8" s="56">
        <v>0</v>
      </c>
      <c r="I8" s="56">
        <v>0</v>
      </c>
      <c r="J8" s="56">
        <v>1100000</v>
      </c>
      <c r="K8" s="56">
        <v>2800000</v>
      </c>
      <c r="L8" t="s">
        <v>584</v>
      </c>
      <c r="M8" t="s">
        <v>585</v>
      </c>
      <c r="N8" t="s">
        <v>585</v>
      </c>
    </row>
    <row r="9" spans="2:14" hidden="1" x14ac:dyDescent="0.2">
      <c r="B9">
        <v>8</v>
      </c>
      <c r="C9" t="s">
        <v>567</v>
      </c>
      <c r="D9" t="str">
        <f>VLOOKUP(C9,'Master Anggota'!$E$2:$J$678,2,0)</f>
        <v>Aktif</v>
      </c>
      <c r="G9" t="str">
        <f>VLOOKUP(C9,'Master Anggota'!$E$2:$J$678,5,0)</f>
        <v>PHL Produksi</v>
      </c>
      <c r="H9" s="56">
        <v>0</v>
      </c>
      <c r="I9" s="56">
        <v>0</v>
      </c>
      <c r="J9" s="56">
        <v>200000</v>
      </c>
      <c r="K9" s="56">
        <v>100000</v>
      </c>
      <c r="L9" t="s">
        <v>584</v>
      </c>
      <c r="M9" t="s">
        <v>585</v>
      </c>
      <c r="N9" t="s">
        <v>585</v>
      </c>
    </row>
    <row r="10" spans="2:14" hidden="1" x14ac:dyDescent="0.2">
      <c r="B10">
        <v>9</v>
      </c>
      <c r="C10" t="s">
        <v>187</v>
      </c>
      <c r="D10" t="str">
        <f>VLOOKUP(C10,'Master Anggota'!$E$2:$J$678,2,0)</f>
        <v>Aktif</v>
      </c>
      <c r="G10" t="str">
        <f>VLOOKUP(C10,'Master Anggota'!$E$2:$J$678,5,0)</f>
        <v>00582</v>
      </c>
      <c r="H10" s="56">
        <v>0</v>
      </c>
      <c r="I10" s="56">
        <v>1828753</v>
      </c>
      <c r="J10" s="56">
        <v>6600000</v>
      </c>
      <c r="K10" s="56">
        <v>5150000</v>
      </c>
      <c r="L10" t="s">
        <v>584</v>
      </c>
      <c r="M10" t="s">
        <v>585</v>
      </c>
      <c r="N10" t="s">
        <v>585</v>
      </c>
    </row>
    <row r="11" spans="2:14" hidden="1" x14ac:dyDescent="0.2">
      <c r="B11">
        <v>10</v>
      </c>
      <c r="C11" t="s">
        <v>566</v>
      </c>
      <c r="D11" t="str">
        <f>VLOOKUP(C11,'Master Anggota'!$E$2:$J$678,2,0)</f>
        <v>Aktif</v>
      </c>
      <c r="G11" t="str">
        <f>VLOOKUP(C11,'Master Anggota'!$E$2:$J$678,5,0)</f>
        <v>PHL Produksi</v>
      </c>
      <c r="H11" s="56">
        <v>0</v>
      </c>
      <c r="I11" s="56">
        <v>0</v>
      </c>
      <c r="J11" s="56">
        <v>200000</v>
      </c>
      <c r="K11" s="56">
        <v>100000</v>
      </c>
      <c r="L11" t="s">
        <v>584</v>
      </c>
      <c r="M11" t="s">
        <v>585</v>
      </c>
      <c r="N11" t="s">
        <v>585</v>
      </c>
    </row>
    <row r="12" spans="2:14" hidden="1" x14ac:dyDescent="0.2">
      <c r="B12">
        <v>11</v>
      </c>
      <c r="C12" t="s">
        <v>189</v>
      </c>
      <c r="D12" t="str">
        <f>VLOOKUP(C12,'Master Anggota'!$E$2:$J$678,2,0)</f>
        <v>Aktif</v>
      </c>
      <c r="G12" t="str">
        <f>VLOOKUP(C12,'Master Anggota'!$E$2:$J$678,5,0)</f>
        <v>00535</v>
      </c>
      <c r="H12" s="56">
        <v>0</v>
      </c>
      <c r="I12" s="56">
        <v>4501436</v>
      </c>
      <c r="J12" s="56">
        <v>11232731</v>
      </c>
      <c r="K12" s="56">
        <v>3260000</v>
      </c>
      <c r="L12" t="s">
        <v>584</v>
      </c>
      <c r="M12" t="s">
        <v>585</v>
      </c>
      <c r="N12" t="s">
        <v>585</v>
      </c>
    </row>
    <row r="13" spans="2:14" hidden="1" x14ac:dyDescent="0.2">
      <c r="B13">
        <v>12</v>
      </c>
      <c r="C13" t="s">
        <v>446</v>
      </c>
      <c r="D13" t="str">
        <f>VLOOKUP(C13,'Master Anggota'!$E$2:$J$678,2,0)</f>
        <v>Aktif</v>
      </c>
      <c r="G13" t="str">
        <f>VLOOKUP(C13,'Master Anggota'!$E$2:$J$678,5,0)</f>
        <v>01740</v>
      </c>
      <c r="H13" s="56">
        <v>0</v>
      </c>
      <c r="I13" s="56">
        <v>0</v>
      </c>
      <c r="J13" s="56">
        <v>1000000</v>
      </c>
      <c r="K13" s="56">
        <v>900000</v>
      </c>
      <c r="L13" t="s">
        <v>584</v>
      </c>
      <c r="M13" t="s">
        <v>585</v>
      </c>
      <c r="N13" t="s">
        <v>585</v>
      </c>
    </row>
    <row r="14" spans="2:14" hidden="1" x14ac:dyDescent="0.2">
      <c r="B14">
        <v>13</v>
      </c>
      <c r="C14" t="s">
        <v>572</v>
      </c>
      <c r="D14" t="str">
        <f>VLOOKUP(C14,'Master Anggota'!$E$2:$J$678,2,0)</f>
        <v>Aktif</v>
      </c>
      <c r="G14" t="str">
        <f>VLOOKUP(C14,'Master Anggota'!$E$2:$J$678,5,0)</f>
        <v>PHL Produksi</v>
      </c>
      <c r="H14" s="56">
        <v>0</v>
      </c>
      <c r="I14" s="56">
        <v>0</v>
      </c>
      <c r="J14" s="56">
        <v>100000</v>
      </c>
      <c r="K14" s="56">
        <v>455000</v>
      </c>
      <c r="L14" t="s">
        <v>584</v>
      </c>
      <c r="M14" t="s">
        <v>585</v>
      </c>
      <c r="N14" t="s">
        <v>585</v>
      </c>
    </row>
    <row r="15" spans="2:14" hidden="1" x14ac:dyDescent="0.2">
      <c r="B15">
        <v>14</v>
      </c>
      <c r="C15" t="s">
        <v>525</v>
      </c>
      <c r="D15" t="str">
        <f>VLOOKUP(C15,'Master Anggota'!$E$2:$J$678,2,0)</f>
        <v>Aktif</v>
      </c>
      <c r="G15" t="str">
        <f>VLOOKUP(C15,'Master Anggota'!$E$2:$J$678,5,0)</f>
        <v>00549</v>
      </c>
      <c r="H15" s="56">
        <v>0</v>
      </c>
      <c r="I15" s="56">
        <v>1217271</v>
      </c>
      <c r="J15" s="56">
        <v>3600000</v>
      </c>
      <c r="K15" s="56">
        <v>3600000</v>
      </c>
      <c r="L15" t="s">
        <v>584</v>
      </c>
      <c r="M15" t="s">
        <v>585</v>
      </c>
      <c r="N15" t="s">
        <v>585</v>
      </c>
    </row>
    <row r="16" spans="2:14" hidden="1" x14ac:dyDescent="0.2">
      <c r="B16">
        <v>15</v>
      </c>
      <c r="C16" t="s">
        <v>524</v>
      </c>
      <c r="D16" t="str">
        <f>VLOOKUP(C16,'Master Anggota'!$E$2:$J$678,2,0)</f>
        <v>Aktif</v>
      </c>
      <c r="G16" t="str">
        <f>VLOOKUP(C16,'Master Anggota'!$E$2:$J$678,5,0)</f>
        <v>01743</v>
      </c>
      <c r="H16" s="56">
        <v>0</v>
      </c>
      <c r="I16" s="56">
        <v>202867</v>
      </c>
      <c r="J16" s="56">
        <v>1600000</v>
      </c>
      <c r="K16" s="56">
        <v>1100000</v>
      </c>
      <c r="L16" t="s">
        <v>584</v>
      </c>
      <c r="M16" t="s">
        <v>585</v>
      </c>
      <c r="N16" t="s">
        <v>585</v>
      </c>
    </row>
    <row r="17" spans="2:14" hidden="1" x14ac:dyDescent="0.2">
      <c r="B17">
        <v>16</v>
      </c>
      <c r="C17" t="s">
        <v>551</v>
      </c>
      <c r="D17" t="str">
        <f>VLOOKUP(C17,'Master Anggota'!$E$2:$J$678,2,0)</f>
        <v>Aktif</v>
      </c>
      <c r="G17" t="str">
        <f>VLOOKUP(C17,'Master Anggota'!$E$2:$J$678,5,0)</f>
        <v>PHL Distribusi</v>
      </c>
      <c r="H17" s="56">
        <v>0</v>
      </c>
      <c r="I17" s="56">
        <v>0</v>
      </c>
      <c r="J17" s="56">
        <v>600000</v>
      </c>
      <c r="K17" s="56">
        <v>600000</v>
      </c>
      <c r="L17" t="s">
        <v>584</v>
      </c>
      <c r="M17" t="s">
        <v>585</v>
      </c>
      <c r="N17" t="s">
        <v>585</v>
      </c>
    </row>
    <row r="18" spans="2:14" hidden="1" x14ac:dyDescent="0.2">
      <c r="B18">
        <v>17</v>
      </c>
      <c r="C18" t="s">
        <v>328</v>
      </c>
      <c r="D18" t="str">
        <f>VLOOKUP(C18,'Master Anggota'!$E$2:$J$678,2,0)</f>
        <v>Aktif</v>
      </c>
      <c r="G18" t="str">
        <f>VLOOKUP(C18,'Master Anggota'!$E$2:$J$678,5,0)</f>
        <v>00369</v>
      </c>
      <c r="H18" s="56">
        <v>0</v>
      </c>
      <c r="I18" s="56">
        <v>9229849</v>
      </c>
      <c r="J18" s="56">
        <v>19637613</v>
      </c>
      <c r="K18" s="56">
        <v>3300000</v>
      </c>
      <c r="L18" t="s">
        <v>584</v>
      </c>
      <c r="M18" t="s">
        <v>585</v>
      </c>
      <c r="N18" t="s">
        <v>585</v>
      </c>
    </row>
    <row r="19" spans="2:14" hidden="1" x14ac:dyDescent="0.2">
      <c r="B19">
        <v>18</v>
      </c>
      <c r="C19" t="s">
        <v>183</v>
      </c>
      <c r="D19" t="str">
        <f>VLOOKUP(C19,'Master Anggota'!$E$2:$J$678,2,0)</f>
        <v>Aktif</v>
      </c>
      <c r="G19" t="str">
        <f>VLOOKUP(C19,'Master Anggota'!$E$2:$J$678,5,0)</f>
        <v>00567</v>
      </c>
      <c r="H19" s="56">
        <v>0</v>
      </c>
      <c r="I19" s="56">
        <v>2459332</v>
      </c>
      <c r="J19" s="56">
        <v>4500000</v>
      </c>
      <c r="K19" s="56">
        <v>3100000</v>
      </c>
      <c r="L19" t="s">
        <v>584</v>
      </c>
      <c r="M19" t="s">
        <v>585</v>
      </c>
      <c r="N19" t="s">
        <v>585</v>
      </c>
    </row>
    <row r="20" spans="2:14" hidden="1" x14ac:dyDescent="0.2">
      <c r="B20">
        <v>19</v>
      </c>
      <c r="C20" t="s">
        <v>327</v>
      </c>
      <c r="D20" t="str">
        <f>VLOOKUP(C20,'Master Anggota'!$E$2:$J$678,2,0)</f>
        <v>Aktif</v>
      </c>
      <c r="G20" t="str">
        <f>VLOOKUP(C20,'Master Anggota'!$E$2:$J$678,5,0)</f>
        <v>01665</v>
      </c>
      <c r="H20" s="56">
        <v>0</v>
      </c>
      <c r="I20" s="56">
        <v>380410</v>
      </c>
      <c r="J20" s="56">
        <v>2200000</v>
      </c>
      <c r="K20" s="56">
        <v>1100000</v>
      </c>
      <c r="L20" t="s">
        <v>584</v>
      </c>
      <c r="M20" t="s">
        <v>585</v>
      </c>
      <c r="N20" t="s">
        <v>585</v>
      </c>
    </row>
    <row r="21" spans="2:14" hidden="1" x14ac:dyDescent="0.2">
      <c r="B21">
        <v>20</v>
      </c>
      <c r="C21" t="s">
        <v>314</v>
      </c>
      <c r="D21" t="str">
        <f>VLOOKUP(C21,'Master Anggota'!$E$2:$J$678,2,0)</f>
        <v>Purna Bakti 2026</v>
      </c>
      <c r="G21" t="str">
        <f>VLOOKUP(C21,'Master Anggota'!$E$2:$J$678,5,0)</f>
        <v>00587</v>
      </c>
      <c r="H21" s="56">
        <v>0</v>
      </c>
      <c r="I21" s="56">
        <v>930313</v>
      </c>
      <c r="J21" s="56">
        <v>3400000</v>
      </c>
      <c r="K21" s="56">
        <v>3967593</v>
      </c>
      <c r="L21" t="s">
        <v>584</v>
      </c>
      <c r="M21" t="s">
        <v>585</v>
      </c>
      <c r="N21" t="s">
        <v>585</v>
      </c>
    </row>
    <row r="22" spans="2:14" hidden="1" x14ac:dyDescent="0.2">
      <c r="B22">
        <v>21</v>
      </c>
      <c r="C22" t="s">
        <v>484</v>
      </c>
      <c r="D22" t="str">
        <f>VLOOKUP(C22,'Master Anggota'!$E$2:$J$678,2,0)</f>
        <v>Aktif</v>
      </c>
      <c r="G22" t="str">
        <f>VLOOKUP(C22,'Master Anggota'!$E$2:$J$678,5,0)</f>
        <v>00552</v>
      </c>
      <c r="H22" s="56">
        <v>0</v>
      </c>
      <c r="I22" s="56">
        <v>7825976</v>
      </c>
      <c r="J22" s="56">
        <v>19228346</v>
      </c>
      <c r="K22" s="56">
        <v>5200000</v>
      </c>
      <c r="L22" t="s">
        <v>584</v>
      </c>
      <c r="M22" t="s">
        <v>585</v>
      </c>
      <c r="N22" t="s">
        <v>585</v>
      </c>
    </row>
    <row r="23" spans="2:14" hidden="1" x14ac:dyDescent="0.2">
      <c r="B23">
        <v>22</v>
      </c>
      <c r="C23" t="s">
        <v>325</v>
      </c>
      <c r="D23" t="str">
        <f>VLOOKUP(C23,'Master Anggota'!$E$2:$J$678,2,0)</f>
        <v>Purna Bakti 2026</v>
      </c>
      <c r="G23" t="str">
        <f>VLOOKUP(C23,'Master Anggota'!$E$2:$J$678,5,0)</f>
        <v>00607</v>
      </c>
      <c r="H23" s="56">
        <v>0</v>
      </c>
      <c r="I23" s="56">
        <v>1139362</v>
      </c>
      <c r="J23" s="56">
        <v>2600000</v>
      </c>
      <c r="K23" s="56">
        <v>3900000</v>
      </c>
      <c r="L23" t="s">
        <v>584</v>
      </c>
      <c r="M23" t="s">
        <v>585</v>
      </c>
      <c r="N23" t="s">
        <v>585</v>
      </c>
    </row>
    <row r="24" spans="2:14" hidden="1" x14ac:dyDescent="0.2">
      <c r="B24">
        <v>23</v>
      </c>
      <c r="C24" t="s">
        <v>527</v>
      </c>
      <c r="D24" t="str">
        <f>VLOOKUP(C24,'Master Anggota'!$E$2:$J$678,2,0)</f>
        <v>Aktif</v>
      </c>
      <c r="G24" t="str">
        <f>VLOOKUP(C24,'Master Anggota'!$E$2:$J$678,5,0)</f>
        <v>PHL</v>
      </c>
      <c r="H24" s="56">
        <v>0</v>
      </c>
      <c r="I24" s="56">
        <v>200238</v>
      </c>
      <c r="J24" s="56">
        <v>1700000</v>
      </c>
      <c r="K24" s="56">
        <v>2100000</v>
      </c>
      <c r="L24" t="s">
        <v>584</v>
      </c>
      <c r="M24" t="s">
        <v>585</v>
      </c>
      <c r="N24" t="s">
        <v>585</v>
      </c>
    </row>
    <row r="25" spans="2:14" hidden="1" x14ac:dyDescent="0.2">
      <c r="B25">
        <v>24</v>
      </c>
      <c r="C25" t="s">
        <v>319</v>
      </c>
      <c r="D25" t="str">
        <f>VLOOKUP(C25,'Master Anggota'!$E$2:$J$678,2,0)</f>
        <v>Aktif</v>
      </c>
      <c r="G25" t="str">
        <f>VLOOKUP(C25,'Master Anggota'!$E$2:$J$678,5,0)</f>
        <v>01302</v>
      </c>
      <c r="H25" s="56">
        <v>0</v>
      </c>
      <c r="I25" s="56">
        <v>5418759</v>
      </c>
      <c r="J25" s="56">
        <v>11315734</v>
      </c>
      <c r="K25" s="56">
        <v>13175000</v>
      </c>
      <c r="L25" t="s">
        <v>584</v>
      </c>
      <c r="M25" t="s">
        <v>585</v>
      </c>
      <c r="N25" t="s">
        <v>585</v>
      </c>
    </row>
    <row r="26" spans="2:14" hidden="1" x14ac:dyDescent="0.2">
      <c r="B26">
        <v>25</v>
      </c>
      <c r="C26" t="s">
        <v>498</v>
      </c>
      <c r="D26" t="str">
        <f>VLOOKUP(C26,'Master Anggota'!$E$2:$J$678,2,0)</f>
        <v>Aktif</v>
      </c>
      <c r="G26" t="str">
        <f>VLOOKUP(C26,'Master Anggota'!$E$2:$J$678,5,0)</f>
        <v>01721</v>
      </c>
      <c r="H26" s="56">
        <v>0</v>
      </c>
      <c r="I26" s="56">
        <v>68404</v>
      </c>
      <c r="J26" s="56">
        <v>1300000</v>
      </c>
      <c r="K26" s="56">
        <v>2600000</v>
      </c>
      <c r="L26" t="s">
        <v>584</v>
      </c>
      <c r="M26" t="s">
        <v>585</v>
      </c>
      <c r="N26" t="s">
        <v>585</v>
      </c>
    </row>
    <row r="27" spans="2:14" hidden="1" x14ac:dyDescent="0.2">
      <c r="B27">
        <v>26</v>
      </c>
      <c r="C27" t="s">
        <v>451</v>
      </c>
      <c r="D27" t="str">
        <f>VLOOKUP(C27,'Master Anggota'!$E$2:$J$678,2,0)</f>
        <v>Aktif</v>
      </c>
      <c r="G27" t="str">
        <f>VLOOKUP(C27,'Master Anggota'!$E$2:$J$678,5,0)</f>
        <v>01735</v>
      </c>
      <c r="H27" s="56">
        <v>0</v>
      </c>
      <c r="I27" s="56">
        <v>0</v>
      </c>
      <c r="J27" s="56">
        <v>1000000</v>
      </c>
      <c r="K27" s="56">
        <v>1800000</v>
      </c>
      <c r="L27" t="s">
        <v>584</v>
      </c>
      <c r="M27" t="s">
        <v>585</v>
      </c>
      <c r="N27" t="s">
        <v>585</v>
      </c>
    </row>
    <row r="28" spans="2:14" hidden="1" x14ac:dyDescent="0.2">
      <c r="B28">
        <v>27</v>
      </c>
      <c r="C28" t="s">
        <v>562</v>
      </c>
      <c r="D28" t="str">
        <f>VLOOKUP(C28,'Master Anggota'!$E$2:$J$678,2,0)</f>
        <v>Aktif</v>
      </c>
      <c r="G28" t="str">
        <f>VLOOKUP(C28,'Master Anggota'!$E$2:$J$678,5,0)</f>
        <v>PHL KJP</v>
      </c>
      <c r="H28" s="56">
        <v>0</v>
      </c>
      <c r="I28" s="56">
        <v>0</v>
      </c>
      <c r="J28" s="56">
        <v>400000</v>
      </c>
      <c r="K28" s="56">
        <v>500000</v>
      </c>
      <c r="L28" t="s">
        <v>584</v>
      </c>
      <c r="M28" t="s">
        <v>585</v>
      </c>
      <c r="N28" t="s">
        <v>585</v>
      </c>
    </row>
    <row r="29" spans="2:14" hidden="1" x14ac:dyDescent="0.2">
      <c r="B29">
        <v>28</v>
      </c>
      <c r="C29" t="s">
        <v>363</v>
      </c>
      <c r="D29" t="str">
        <f>VLOOKUP(C29,'Master Anggota'!$E$2:$J$678,2,0)</f>
        <v>Aktif</v>
      </c>
      <c r="G29" t="str">
        <f>VLOOKUP(C29,'Master Anggota'!$E$2:$J$678,5,0)</f>
        <v>00576</v>
      </c>
      <c r="H29" s="56">
        <v>0</v>
      </c>
      <c r="I29" s="56">
        <v>5345080</v>
      </c>
      <c r="J29" s="56">
        <v>10195194</v>
      </c>
      <c r="K29" s="56">
        <v>3300000</v>
      </c>
      <c r="L29" t="s">
        <v>584</v>
      </c>
      <c r="M29" t="s">
        <v>585</v>
      </c>
      <c r="N29" t="s">
        <v>585</v>
      </c>
    </row>
    <row r="30" spans="2:14" hidden="1" x14ac:dyDescent="0.2">
      <c r="B30">
        <v>29</v>
      </c>
      <c r="C30" t="s">
        <v>365</v>
      </c>
      <c r="D30" t="str">
        <f>VLOOKUP(C30,'Master Anggota'!$E$2:$J$678,2,0)</f>
        <v>Aktif</v>
      </c>
      <c r="G30" t="str">
        <f>VLOOKUP(C30,'Master Anggota'!$E$2:$J$678,5,0)</f>
        <v>00576</v>
      </c>
      <c r="H30" s="56">
        <v>0</v>
      </c>
      <c r="I30" s="56">
        <v>1073551</v>
      </c>
      <c r="J30" s="56">
        <v>4000000</v>
      </c>
      <c r="K30" s="56">
        <v>1000000</v>
      </c>
      <c r="L30" t="s">
        <v>584</v>
      </c>
      <c r="M30" t="s">
        <v>585</v>
      </c>
      <c r="N30" t="s">
        <v>585</v>
      </c>
    </row>
    <row r="31" spans="2:14" hidden="1" x14ac:dyDescent="0.2">
      <c r="B31">
        <v>30</v>
      </c>
      <c r="C31" t="s">
        <v>35</v>
      </c>
      <c r="D31" t="str">
        <f>VLOOKUP(C31,'Master Anggota'!$E$2:$J$678,2,0)</f>
        <v>Aktif</v>
      </c>
      <c r="G31" t="str">
        <f>VLOOKUP(C31,'Master Anggota'!$E$2:$J$678,5,0)</f>
        <v>00546</v>
      </c>
      <c r="H31" s="56">
        <v>0</v>
      </c>
      <c r="I31" s="56">
        <v>4682831</v>
      </c>
      <c r="J31" s="56">
        <v>10527206</v>
      </c>
      <c r="K31" s="56">
        <v>4850000</v>
      </c>
      <c r="L31" t="s">
        <v>584</v>
      </c>
      <c r="M31" t="s">
        <v>585</v>
      </c>
      <c r="N31" t="s">
        <v>585</v>
      </c>
    </row>
    <row r="32" spans="2:14" hidden="1" x14ac:dyDescent="0.2">
      <c r="B32">
        <v>31</v>
      </c>
      <c r="C32" t="s">
        <v>37</v>
      </c>
      <c r="D32" t="str">
        <f>VLOOKUP(C32,'Master Anggota'!$E$2:$J$678,2,0)</f>
        <v>Aktif</v>
      </c>
      <c r="G32" t="str">
        <f>VLOOKUP(C32,'Master Anggota'!$E$2:$J$678,5,0)</f>
        <v>00511</v>
      </c>
      <c r="H32" s="56">
        <v>0</v>
      </c>
      <c r="I32" s="56">
        <v>4530258</v>
      </c>
      <c r="J32" s="56">
        <v>16860333</v>
      </c>
      <c r="K32" s="56">
        <v>4845000</v>
      </c>
      <c r="L32" t="s">
        <v>584</v>
      </c>
      <c r="M32" t="s">
        <v>585</v>
      </c>
      <c r="N32" t="s">
        <v>585</v>
      </c>
    </row>
    <row r="33" spans="2:14" hidden="1" x14ac:dyDescent="0.2">
      <c r="B33">
        <v>32</v>
      </c>
      <c r="C33" t="s">
        <v>561</v>
      </c>
      <c r="D33" t="str">
        <f>VLOOKUP(C33,'Master Anggota'!$E$2:$J$678,2,0)</f>
        <v>Aktif</v>
      </c>
      <c r="G33" t="str">
        <f>VLOOKUP(C33,'Master Anggota'!$E$2:$J$678,5,0)</f>
        <v>PHL KJP</v>
      </c>
      <c r="H33" s="56">
        <v>0</v>
      </c>
      <c r="I33" s="56">
        <v>0</v>
      </c>
      <c r="J33" s="56">
        <v>400000</v>
      </c>
      <c r="K33" s="56">
        <v>500000</v>
      </c>
      <c r="L33" t="s">
        <v>584</v>
      </c>
      <c r="M33" t="s">
        <v>585</v>
      </c>
      <c r="N33" t="s">
        <v>585</v>
      </c>
    </row>
    <row r="34" spans="2:14" hidden="1" x14ac:dyDescent="0.2">
      <c r="B34">
        <v>33</v>
      </c>
      <c r="C34" t="s">
        <v>400</v>
      </c>
      <c r="D34" t="str">
        <f>VLOOKUP(C34,'Master Anggota'!$E$2:$J$678,2,0)</f>
        <v>Aktif</v>
      </c>
      <c r="G34" t="str">
        <f>VLOOKUP(C34,'Master Anggota'!$E$2:$J$678,5,0)</f>
        <v>00614</v>
      </c>
      <c r="H34" s="56">
        <v>0</v>
      </c>
      <c r="I34" s="56">
        <v>955050</v>
      </c>
      <c r="J34" s="56">
        <v>3000000</v>
      </c>
      <c r="K34" s="56">
        <v>1500000</v>
      </c>
      <c r="L34" t="s">
        <v>584</v>
      </c>
      <c r="M34" t="s">
        <v>585</v>
      </c>
      <c r="N34" t="s">
        <v>585</v>
      </c>
    </row>
    <row r="35" spans="2:14" hidden="1" x14ac:dyDescent="0.2">
      <c r="B35">
        <v>34</v>
      </c>
      <c r="C35" t="s">
        <v>39</v>
      </c>
      <c r="D35" t="str">
        <f>VLOOKUP(C35,'Master Anggota'!$E$2:$J$678,2,0)</f>
        <v>Aktif</v>
      </c>
      <c r="G35" t="str">
        <f>VLOOKUP(C35,'Master Anggota'!$E$2:$J$678,5,0)</f>
        <v>00340</v>
      </c>
      <c r="H35" s="56">
        <v>0</v>
      </c>
      <c r="I35" s="56">
        <v>18995938</v>
      </c>
      <c r="J35" s="56">
        <v>18038976</v>
      </c>
      <c r="K35" s="56">
        <v>68085000</v>
      </c>
      <c r="L35" t="s">
        <v>584</v>
      </c>
      <c r="M35" t="s">
        <v>585</v>
      </c>
      <c r="N35" t="s">
        <v>585</v>
      </c>
    </row>
    <row r="36" spans="2:14" hidden="1" x14ac:dyDescent="0.2">
      <c r="B36">
        <v>35</v>
      </c>
      <c r="C36" t="s">
        <v>41</v>
      </c>
      <c r="D36" t="str">
        <f>VLOOKUP(C36,'Master Anggota'!$E$2:$J$678,2,0)</f>
        <v>Purna Bakti 2026</v>
      </c>
      <c r="G36" t="str">
        <f>VLOOKUP(C36,'Master Anggota'!$E$2:$J$678,5,0)</f>
        <v>00345</v>
      </c>
      <c r="H36" s="56">
        <v>0</v>
      </c>
      <c r="I36" s="56">
        <v>19495094</v>
      </c>
      <c r="J36" s="56">
        <v>17329845</v>
      </c>
      <c r="K36" s="56">
        <v>14899000</v>
      </c>
      <c r="L36" t="s">
        <v>584</v>
      </c>
      <c r="M36" t="s">
        <v>585</v>
      </c>
      <c r="N36" t="s">
        <v>585</v>
      </c>
    </row>
    <row r="37" spans="2:14" hidden="1" x14ac:dyDescent="0.2">
      <c r="B37">
        <v>36</v>
      </c>
      <c r="C37" t="s">
        <v>522</v>
      </c>
      <c r="D37" t="str">
        <f>VLOOKUP(C37,'Master Anggota'!$E$2:$J$678,2,0)</f>
        <v>Aktif</v>
      </c>
      <c r="G37" t="str">
        <f>VLOOKUP(C37,'Master Anggota'!$E$2:$J$678,5,0)</f>
        <v>00533</v>
      </c>
      <c r="H37" s="56">
        <v>0</v>
      </c>
      <c r="I37" s="56">
        <v>6118167</v>
      </c>
      <c r="J37" s="56">
        <v>12477776</v>
      </c>
      <c r="K37" s="56">
        <v>5400000</v>
      </c>
      <c r="L37" t="s">
        <v>584</v>
      </c>
      <c r="M37" t="s">
        <v>585</v>
      </c>
      <c r="N37" t="s">
        <v>585</v>
      </c>
    </row>
    <row r="38" spans="2:14" hidden="1" x14ac:dyDescent="0.2">
      <c r="B38">
        <v>37</v>
      </c>
      <c r="C38" t="s">
        <v>523</v>
      </c>
      <c r="D38" t="str">
        <f>VLOOKUP(C38,'Master Anggota'!$E$2:$J$678,2,0)</f>
        <v>Aktif</v>
      </c>
      <c r="G38" t="str">
        <f>VLOOKUP(C38,'Master Anggota'!$E$2:$J$678,5,0)</f>
        <v>00579</v>
      </c>
      <c r="H38" s="56">
        <v>0</v>
      </c>
      <c r="I38" s="56">
        <v>6685647</v>
      </c>
      <c r="J38" s="56">
        <v>10693212</v>
      </c>
      <c r="K38" s="56">
        <v>4800000</v>
      </c>
      <c r="L38" t="s">
        <v>584</v>
      </c>
      <c r="M38" t="s">
        <v>585</v>
      </c>
      <c r="N38" t="s">
        <v>585</v>
      </c>
    </row>
    <row r="39" spans="2:14" hidden="1" x14ac:dyDescent="0.2">
      <c r="B39">
        <v>38</v>
      </c>
      <c r="C39" t="s">
        <v>467</v>
      </c>
      <c r="D39" t="str">
        <f>VLOOKUP(C39,'Master Anggota'!$E$2:$J$678,2,0)</f>
        <v>Aktif</v>
      </c>
      <c r="G39" t="str">
        <f>VLOOKUP(C39,'Master Anggota'!$E$2:$J$678,5,0)</f>
        <v>00577</v>
      </c>
      <c r="H39" s="56">
        <v>0</v>
      </c>
      <c r="I39" s="56">
        <v>3343129</v>
      </c>
      <c r="J39" s="56">
        <v>6394054</v>
      </c>
      <c r="K39" s="56">
        <v>2000000</v>
      </c>
      <c r="L39" t="s">
        <v>584</v>
      </c>
      <c r="M39" t="s">
        <v>585</v>
      </c>
      <c r="N39" t="s">
        <v>585</v>
      </c>
    </row>
    <row r="40" spans="2:14" hidden="1" x14ac:dyDescent="0.2">
      <c r="B40">
        <v>39</v>
      </c>
      <c r="C40" t="s">
        <v>186</v>
      </c>
      <c r="D40" t="str">
        <f>VLOOKUP(C40,'Master Anggota'!$E$2:$J$678,2,0)</f>
        <v>Aktif</v>
      </c>
      <c r="G40" t="str">
        <f>VLOOKUP(C40,'Master Anggota'!$E$2:$J$678,5,0)</f>
        <v>00588</v>
      </c>
      <c r="H40" s="56">
        <v>0</v>
      </c>
      <c r="I40" s="56">
        <v>2094883</v>
      </c>
      <c r="J40" s="56">
        <v>3500000</v>
      </c>
      <c r="K40" s="56">
        <v>8750000</v>
      </c>
      <c r="L40" t="s">
        <v>584</v>
      </c>
      <c r="M40" t="s">
        <v>585</v>
      </c>
      <c r="N40" t="s">
        <v>585</v>
      </c>
    </row>
    <row r="41" spans="2:14" hidden="1" x14ac:dyDescent="0.2">
      <c r="B41">
        <v>40</v>
      </c>
      <c r="C41" t="s">
        <v>178</v>
      </c>
      <c r="D41" t="str">
        <f>VLOOKUP(C41,'Master Anggota'!$E$2:$J$678,2,0)</f>
        <v>Aktif</v>
      </c>
      <c r="G41" t="str">
        <f>VLOOKUP(C41,'Master Anggota'!$E$2:$J$678,5,0)</f>
        <v>00566</v>
      </c>
      <c r="H41" s="56">
        <v>0</v>
      </c>
      <c r="I41" s="56">
        <v>4712444</v>
      </c>
      <c r="J41" s="56">
        <v>10610209</v>
      </c>
      <c r="K41" s="56">
        <v>4950000</v>
      </c>
      <c r="L41" t="s">
        <v>584</v>
      </c>
      <c r="M41" t="s">
        <v>585</v>
      </c>
      <c r="N41" t="s">
        <v>585</v>
      </c>
    </row>
    <row r="42" spans="2:14" hidden="1" x14ac:dyDescent="0.2">
      <c r="B42">
        <v>41</v>
      </c>
      <c r="C42" t="s">
        <v>491</v>
      </c>
      <c r="D42" t="str">
        <f>VLOOKUP(C42,'Master Anggota'!$E$2:$J$678,2,0)</f>
        <v>Aktif</v>
      </c>
      <c r="G42" t="str">
        <f>VLOOKUP(C42,'Master Anggota'!$E$2:$J$678,5,0)</f>
        <v>01720</v>
      </c>
      <c r="H42" s="56">
        <v>0</v>
      </c>
      <c r="I42" s="56">
        <v>4223026</v>
      </c>
      <c r="J42" s="56">
        <v>9375000</v>
      </c>
      <c r="K42" s="56">
        <v>6620000</v>
      </c>
      <c r="L42" t="s">
        <v>584</v>
      </c>
      <c r="M42" t="s">
        <v>585</v>
      </c>
      <c r="N42" t="s">
        <v>585</v>
      </c>
    </row>
    <row r="43" spans="2:14" hidden="1" x14ac:dyDescent="0.2">
      <c r="B43">
        <v>42</v>
      </c>
      <c r="C43" t="s">
        <v>547</v>
      </c>
      <c r="D43" t="str">
        <f>VLOOKUP(C43,'Master Anggota'!$E$2:$J$678,2,0)</f>
        <v>Aktif</v>
      </c>
      <c r="G43" t="str">
        <f>VLOOKUP(C43,'Master Anggota'!$E$2:$J$678,5,0)</f>
        <v>PHL Distribusi</v>
      </c>
      <c r="H43" s="56">
        <v>0</v>
      </c>
      <c r="I43" s="56">
        <v>0</v>
      </c>
      <c r="J43" s="56">
        <v>600000</v>
      </c>
      <c r="K43" s="56">
        <v>600000</v>
      </c>
      <c r="L43" t="s">
        <v>584</v>
      </c>
      <c r="M43" t="s">
        <v>585</v>
      </c>
      <c r="N43" t="s">
        <v>585</v>
      </c>
    </row>
    <row r="44" spans="2:14" hidden="1" x14ac:dyDescent="0.2">
      <c r="B44">
        <v>43</v>
      </c>
      <c r="C44" t="s">
        <v>445</v>
      </c>
      <c r="D44" t="str">
        <f>VLOOKUP(C44,'Master Anggota'!$E$2:$J$678,2,0)</f>
        <v>Aktif</v>
      </c>
      <c r="G44" t="str">
        <f>VLOOKUP(C44,'Master Anggota'!$E$2:$J$678,5,0)</f>
        <v>00628</v>
      </c>
      <c r="H44" s="56">
        <v>0</v>
      </c>
      <c r="I44" s="56">
        <v>0</v>
      </c>
      <c r="J44" s="56">
        <v>1000000</v>
      </c>
      <c r="K44" s="56">
        <v>1500000</v>
      </c>
      <c r="L44" t="s">
        <v>584</v>
      </c>
      <c r="M44" t="s">
        <v>585</v>
      </c>
      <c r="N44" t="s">
        <v>585</v>
      </c>
    </row>
    <row r="45" spans="2:14" hidden="1" x14ac:dyDescent="0.2">
      <c r="B45">
        <v>44</v>
      </c>
      <c r="C45" t="s">
        <v>194</v>
      </c>
      <c r="D45" t="str">
        <f>VLOOKUP(C45,'Master Anggota'!$E$2:$J$678,2,0)</f>
        <v>Aktif</v>
      </c>
      <c r="G45" t="str">
        <f>VLOOKUP(C45,'Master Anggota'!$E$2:$J$678,5,0)</f>
        <v>00498</v>
      </c>
      <c r="H45" s="56">
        <v>0</v>
      </c>
      <c r="I45" s="56">
        <v>19513434</v>
      </c>
      <c r="J45" s="56">
        <v>19082459</v>
      </c>
      <c r="K45" s="56">
        <v>3650000</v>
      </c>
      <c r="L45" t="s">
        <v>584</v>
      </c>
      <c r="M45" t="s">
        <v>585</v>
      </c>
      <c r="N45" t="s">
        <v>585</v>
      </c>
    </row>
    <row r="46" spans="2:14" hidden="1" x14ac:dyDescent="0.2">
      <c r="B46">
        <v>45</v>
      </c>
      <c r="C46" t="s">
        <v>452</v>
      </c>
      <c r="D46" t="str">
        <f>VLOOKUP(C46,'Master Anggota'!$E$2:$J$678,2,0)</f>
        <v>Aktif</v>
      </c>
      <c r="G46" t="str">
        <f>VLOOKUP(C46,'Master Anggota'!$E$2:$J$678,5,0)</f>
        <v>00623</v>
      </c>
      <c r="H46" s="56">
        <v>0</v>
      </c>
      <c r="I46" s="56">
        <v>0</v>
      </c>
      <c r="J46" s="56">
        <v>600000</v>
      </c>
      <c r="K46" s="56">
        <v>850000</v>
      </c>
      <c r="L46" t="s">
        <v>584</v>
      </c>
      <c r="M46" t="s">
        <v>585</v>
      </c>
      <c r="N46" t="s">
        <v>585</v>
      </c>
    </row>
    <row r="47" spans="2:14" hidden="1" x14ac:dyDescent="0.2">
      <c r="B47">
        <v>46</v>
      </c>
      <c r="C47" t="s">
        <v>46</v>
      </c>
      <c r="D47" t="str">
        <f>VLOOKUP(C47,'Master Anggota'!$E$2:$J$678,2,0)</f>
        <v>Aktif</v>
      </c>
      <c r="G47" t="str">
        <f>VLOOKUP(C47,'Master Anggota'!$E$2:$J$678,5,0)</f>
        <v>00519</v>
      </c>
      <c r="H47" s="56">
        <v>0</v>
      </c>
      <c r="I47" s="56">
        <v>3615949</v>
      </c>
      <c r="J47" s="56">
        <v>11357236</v>
      </c>
      <c r="K47" s="56">
        <v>2045000</v>
      </c>
      <c r="L47" t="s">
        <v>584</v>
      </c>
      <c r="M47" t="s">
        <v>585</v>
      </c>
      <c r="N47" t="s">
        <v>585</v>
      </c>
    </row>
    <row r="48" spans="2:14" hidden="1" x14ac:dyDescent="0.2">
      <c r="B48">
        <v>47</v>
      </c>
      <c r="C48" t="s">
        <v>313</v>
      </c>
      <c r="D48" t="str">
        <f>VLOOKUP(C48,'Master Anggota'!$E$2:$J$678,2,0)</f>
        <v>Aktif</v>
      </c>
      <c r="G48" t="str">
        <f>VLOOKUP(C48,'Master Anggota'!$E$2:$J$678,5,0)</f>
        <v>01594</v>
      </c>
      <c r="H48" s="56">
        <v>0</v>
      </c>
      <c r="I48" s="56">
        <v>496595</v>
      </c>
      <c r="J48" s="56">
        <v>2400000</v>
      </c>
      <c r="K48" s="56">
        <v>350000</v>
      </c>
      <c r="L48" t="s">
        <v>584</v>
      </c>
      <c r="M48" t="s">
        <v>585</v>
      </c>
      <c r="N48" t="s">
        <v>585</v>
      </c>
    </row>
    <row r="49" spans="2:14" hidden="1" x14ac:dyDescent="0.2">
      <c r="B49">
        <v>48</v>
      </c>
      <c r="C49" t="s">
        <v>370</v>
      </c>
      <c r="D49" t="str">
        <f>VLOOKUP(C49,'Master Anggota'!$E$2:$J$678,2,0)</f>
        <v>Aktif</v>
      </c>
      <c r="G49" t="str">
        <f>VLOOKUP(C49,'Master Anggota'!$E$2:$J$678,5,0)</f>
        <v>00610</v>
      </c>
      <c r="H49" s="56">
        <v>0</v>
      </c>
      <c r="I49" s="56">
        <v>304300</v>
      </c>
      <c r="J49" s="56">
        <v>1400000</v>
      </c>
      <c r="K49" s="56">
        <v>3250000</v>
      </c>
      <c r="L49" t="s">
        <v>584</v>
      </c>
      <c r="M49" t="s">
        <v>585</v>
      </c>
      <c r="N49" t="s">
        <v>585</v>
      </c>
    </row>
    <row r="50" spans="2:14" hidden="1" x14ac:dyDescent="0.2">
      <c r="B50">
        <v>49</v>
      </c>
      <c r="C50" t="s">
        <v>48</v>
      </c>
      <c r="D50" t="str">
        <f>VLOOKUP(C50,'Master Anggota'!$E$2:$J$678,2,0)</f>
        <v>Aktif</v>
      </c>
      <c r="G50" t="str">
        <f>VLOOKUP(C50,'Master Anggota'!$E$2:$J$678,5,0)</f>
        <v>00325</v>
      </c>
      <c r="H50" s="56">
        <v>0</v>
      </c>
      <c r="I50" s="56">
        <v>7810885</v>
      </c>
      <c r="J50" s="56">
        <v>17272028</v>
      </c>
      <c r="K50" s="56">
        <v>3039000</v>
      </c>
      <c r="L50" t="s">
        <v>584</v>
      </c>
      <c r="M50" t="s">
        <v>585</v>
      </c>
      <c r="N50" t="s">
        <v>585</v>
      </c>
    </row>
    <row r="51" spans="2:14" hidden="1" x14ac:dyDescent="0.2">
      <c r="B51">
        <v>50</v>
      </c>
      <c r="C51" t="s">
        <v>51</v>
      </c>
      <c r="D51" t="str">
        <f>VLOOKUP(C51,'Master Anggota'!$E$2:$J$678,2,0)</f>
        <v>Aktif</v>
      </c>
      <c r="G51" t="str">
        <f>VLOOKUP(C51,'Master Anggota'!$E$2:$J$678,5,0)</f>
        <v>00543</v>
      </c>
      <c r="H51" s="56">
        <v>0</v>
      </c>
      <c r="I51" s="56">
        <v>3564663</v>
      </c>
      <c r="J51" s="56">
        <v>9780179</v>
      </c>
      <c r="K51" s="56">
        <v>2300000</v>
      </c>
      <c r="L51" t="s">
        <v>584</v>
      </c>
      <c r="M51" t="s">
        <v>585</v>
      </c>
      <c r="N51" t="s">
        <v>585</v>
      </c>
    </row>
    <row r="52" spans="2:14" hidden="1" x14ac:dyDescent="0.2">
      <c r="B52">
        <v>51</v>
      </c>
      <c r="C52" t="s">
        <v>570</v>
      </c>
      <c r="D52" t="str">
        <f>VLOOKUP(C52,'Master Anggota'!$E$2:$J$678,2,0)</f>
        <v>Aktif</v>
      </c>
      <c r="G52" t="str">
        <f>VLOOKUP(C52,'Master Anggota'!$E$2:$J$678,5,0)</f>
        <v>PHL Produksi</v>
      </c>
      <c r="H52" s="56">
        <v>0</v>
      </c>
      <c r="I52" s="56">
        <v>0</v>
      </c>
      <c r="J52" s="56">
        <v>200000</v>
      </c>
      <c r="K52" s="56">
        <v>0</v>
      </c>
      <c r="L52" t="s">
        <v>584</v>
      </c>
      <c r="M52" t="s">
        <v>585</v>
      </c>
      <c r="N52" t="s">
        <v>585</v>
      </c>
    </row>
    <row r="53" spans="2:14" hidden="1" x14ac:dyDescent="0.2">
      <c r="B53">
        <v>52</v>
      </c>
      <c r="C53" t="s">
        <v>563</v>
      </c>
      <c r="D53" t="str">
        <f>VLOOKUP(C53,'Master Anggota'!$E$2:$J$678,2,0)</f>
        <v>Aktif</v>
      </c>
      <c r="G53" t="str">
        <f>VLOOKUP(C53,'Master Anggota'!$E$2:$J$678,5,0)</f>
        <v>PHL KJP</v>
      </c>
      <c r="H53" s="56">
        <v>0</v>
      </c>
      <c r="I53" s="56">
        <v>0</v>
      </c>
      <c r="J53" s="56">
        <v>400000</v>
      </c>
      <c r="K53" s="56">
        <v>500000</v>
      </c>
      <c r="L53" t="s">
        <v>584</v>
      </c>
      <c r="M53" t="s">
        <v>585</v>
      </c>
      <c r="N53" t="s">
        <v>585</v>
      </c>
    </row>
    <row r="54" spans="2:14" hidden="1" x14ac:dyDescent="0.2">
      <c r="B54">
        <v>53</v>
      </c>
      <c r="C54" t="s">
        <v>53</v>
      </c>
      <c r="D54" t="str">
        <f>VLOOKUP(C54,'Master Anggota'!$E$2:$J$678,2,0)</f>
        <v>Aktif</v>
      </c>
      <c r="G54" t="str">
        <f>VLOOKUP(C54,'Master Anggota'!$E$2:$J$678,5,0)</f>
        <v>00540</v>
      </c>
      <c r="H54" s="56">
        <v>0</v>
      </c>
      <c r="I54" s="56">
        <v>4289241</v>
      </c>
      <c r="J54" s="56">
        <v>10440239</v>
      </c>
      <c r="K54" s="56">
        <v>2859909</v>
      </c>
      <c r="L54" t="s">
        <v>584</v>
      </c>
      <c r="M54" t="s">
        <v>585</v>
      </c>
      <c r="N54" t="s">
        <v>585</v>
      </c>
    </row>
    <row r="55" spans="2:14" hidden="1" x14ac:dyDescent="0.2">
      <c r="B55">
        <v>54</v>
      </c>
      <c r="C55" t="s">
        <v>160</v>
      </c>
      <c r="D55" t="str">
        <f>VLOOKUP(C55,'Master Anggota'!$E$2:$J$678,2,0)</f>
        <v>Aktif</v>
      </c>
      <c r="G55" t="str">
        <f>VLOOKUP(C55,'Master Anggota'!$E$2:$J$678,5,0)</f>
        <v>01166</v>
      </c>
      <c r="H55" s="56">
        <v>0</v>
      </c>
      <c r="I55" s="56">
        <v>7617366</v>
      </c>
      <c r="J55" s="56">
        <v>15914099</v>
      </c>
      <c r="K55" s="56">
        <v>10005000</v>
      </c>
      <c r="L55" t="s">
        <v>584</v>
      </c>
      <c r="M55" t="s">
        <v>585</v>
      </c>
      <c r="N55" t="s">
        <v>585</v>
      </c>
    </row>
    <row r="56" spans="2:14" hidden="1" x14ac:dyDescent="0.2">
      <c r="B56">
        <v>55</v>
      </c>
      <c r="C56" t="s">
        <v>493</v>
      </c>
      <c r="D56" t="str">
        <f>VLOOKUP(C56,'Master Anggota'!$E$2:$J$678,2,0)</f>
        <v>Aktif</v>
      </c>
      <c r="G56" t="str">
        <f>VLOOKUP(C56,'Master Anggota'!$E$2:$J$678,5,0)</f>
        <v>01731</v>
      </c>
      <c r="H56" s="56">
        <v>0</v>
      </c>
      <c r="I56" s="56">
        <v>56934</v>
      </c>
      <c r="J56" s="56">
        <v>1200000</v>
      </c>
      <c r="K56" s="56">
        <v>1200000</v>
      </c>
      <c r="L56" t="s">
        <v>584</v>
      </c>
      <c r="M56" t="s">
        <v>585</v>
      </c>
      <c r="N56" t="s">
        <v>585</v>
      </c>
    </row>
    <row r="57" spans="2:14" hidden="1" x14ac:dyDescent="0.2">
      <c r="B57">
        <v>56</v>
      </c>
      <c r="C57" t="s">
        <v>55</v>
      </c>
      <c r="D57" t="str">
        <f>VLOOKUP(C57,'Master Anggota'!$E$2:$J$678,2,0)</f>
        <v>Aktif</v>
      </c>
      <c r="G57" t="str">
        <f>VLOOKUP(C57,'Master Anggota'!$E$2:$J$678,5,0)</f>
        <v>00539</v>
      </c>
      <c r="H57" s="56">
        <v>0</v>
      </c>
      <c r="I57" s="56">
        <v>2939331</v>
      </c>
      <c r="J57" s="56">
        <v>10278196.839707721</v>
      </c>
      <c r="K57" s="56">
        <v>5928149</v>
      </c>
      <c r="L57" t="s">
        <v>584</v>
      </c>
      <c r="M57" t="s">
        <v>585</v>
      </c>
      <c r="N57" t="s">
        <v>585</v>
      </c>
    </row>
    <row r="58" spans="2:14" hidden="1" x14ac:dyDescent="0.2">
      <c r="B58">
        <v>57</v>
      </c>
      <c r="C58" t="s">
        <v>291</v>
      </c>
      <c r="D58" t="str">
        <f>VLOOKUP(C58,'Master Anggota'!$E$2:$J$678,2,0)</f>
        <v>Aktif</v>
      </c>
      <c r="G58" t="str">
        <f>VLOOKUP(C58,'Master Anggota'!$E$2:$J$678,5,0)</f>
        <v>00574</v>
      </c>
      <c r="H58" s="56">
        <v>0</v>
      </c>
      <c r="I58" s="56">
        <v>5104060</v>
      </c>
      <c r="J58" s="56">
        <v>11066725.17269595</v>
      </c>
      <c r="K58" s="56">
        <v>1450000</v>
      </c>
      <c r="L58" t="s">
        <v>584</v>
      </c>
      <c r="M58" t="s">
        <v>585</v>
      </c>
      <c r="N58" t="s">
        <v>585</v>
      </c>
    </row>
    <row r="59" spans="2:14" hidden="1" x14ac:dyDescent="0.2">
      <c r="B59">
        <v>58</v>
      </c>
      <c r="C59" t="s">
        <v>307</v>
      </c>
      <c r="D59" t="str">
        <f>VLOOKUP(C59,'Master Anggota'!$E$2:$J$678,2,0)</f>
        <v>Aktif</v>
      </c>
      <c r="G59" t="str">
        <f>VLOOKUP(C59,'Master Anggota'!$E$2:$J$678,5,0)</f>
        <v>00591</v>
      </c>
      <c r="H59" s="56">
        <v>0</v>
      </c>
      <c r="I59" s="56">
        <v>1484323</v>
      </c>
      <c r="J59" s="56">
        <v>3200000</v>
      </c>
      <c r="K59" s="56">
        <v>3200000</v>
      </c>
      <c r="L59" t="s">
        <v>584</v>
      </c>
      <c r="M59" t="s">
        <v>585</v>
      </c>
      <c r="N59" t="s">
        <v>585</v>
      </c>
    </row>
    <row r="60" spans="2:14" hidden="1" x14ac:dyDescent="0.2">
      <c r="B60">
        <v>59</v>
      </c>
      <c r="C60" t="s">
        <v>59</v>
      </c>
      <c r="D60" t="str">
        <f>VLOOKUP(C60,'Master Anggota'!$E$2:$J$678,2,0)</f>
        <v>Purna Bakti 2025</v>
      </c>
      <c r="G60" t="str">
        <f>VLOOKUP(C60,'Master Anggota'!$E$2:$J$678,5,0)</f>
        <v>00380</v>
      </c>
      <c r="H60" s="56">
        <v>0</v>
      </c>
      <c r="I60" s="56">
        <v>8361372</v>
      </c>
      <c r="J60" s="56">
        <v>16267444</v>
      </c>
      <c r="K60" s="56">
        <v>6655000</v>
      </c>
      <c r="L60" t="s">
        <v>584</v>
      </c>
      <c r="M60" t="s">
        <v>585</v>
      </c>
      <c r="N60" t="s">
        <v>585</v>
      </c>
    </row>
    <row r="61" spans="2:14" hidden="1" x14ac:dyDescent="0.2">
      <c r="B61">
        <v>60</v>
      </c>
      <c r="C61" t="s">
        <v>62</v>
      </c>
      <c r="D61" t="str">
        <f>VLOOKUP(C61,'Master Anggota'!$E$2:$J$678,2,0)</f>
        <v>Aktif</v>
      </c>
      <c r="G61" t="str">
        <f>VLOOKUP(C61,'Master Anggota'!$E$2:$J$678,5,0)</f>
        <v>00518</v>
      </c>
      <c r="H61" s="56">
        <v>0</v>
      </c>
      <c r="I61" s="56">
        <v>2693715</v>
      </c>
      <c r="J61" s="56">
        <v>9939098.4198538605</v>
      </c>
      <c r="K61" s="56">
        <v>1915000</v>
      </c>
      <c r="L61" t="s">
        <v>584</v>
      </c>
      <c r="M61" t="s">
        <v>585</v>
      </c>
      <c r="N61" t="s">
        <v>585</v>
      </c>
    </row>
    <row r="62" spans="2:14" hidden="1" x14ac:dyDescent="0.2">
      <c r="B62">
        <v>61</v>
      </c>
      <c r="C62" t="s">
        <v>490</v>
      </c>
      <c r="D62" t="str">
        <f>VLOOKUP(C62,'Master Anggota'!$E$2:$J$678,2,0)</f>
        <v>Aktif</v>
      </c>
      <c r="G62" t="str">
        <f>VLOOKUP(C62,'Master Anggota'!$E$2:$J$678,5,0)</f>
        <v>01706</v>
      </c>
      <c r="H62" s="56">
        <v>0</v>
      </c>
      <c r="I62" s="56">
        <v>0</v>
      </c>
      <c r="J62" s="56">
        <v>800000</v>
      </c>
      <c r="K62" s="56">
        <v>800000</v>
      </c>
      <c r="L62" t="s">
        <v>584</v>
      </c>
      <c r="M62" t="s">
        <v>585</v>
      </c>
      <c r="N62" t="s">
        <v>585</v>
      </c>
    </row>
    <row r="63" spans="2:14" hidden="1" x14ac:dyDescent="0.2">
      <c r="B63">
        <v>62</v>
      </c>
      <c r="C63" t="s">
        <v>198</v>
      </c>
      <c r="D63" t="str">
        <f>VLOOKUP(C63,'Master Anggota'!$E$2:$J$678,2,0)</f>
        <v>Aktif</v>
      </c>
      <c r="G63" t="str">
        <f>VLOOKUP(C63,'Master Anggota'!$E$2:$J$678,5,0)</f>
        <v>00327</v>
      </c>
      <c r="H63" s="56">
        <v>0</v>
      </c>
      <c r="I63" s="56">
        <v>9841232</v>
      </c>
      <c r="J63" s="56">
        <v>17459614.878670022</v>
      </c>
      <c r="K63" s="56">
        <v>3813593</v>
      </c>
      <c r="L63" t="s">
        <v>584</v>
      </c>
      <c r="M63" t="s">
        <v>585</v>
      </c>
      <c r="N63" t="s">
        <v>585</v>
      </c>
    </row>
    <row r="64" spans="2:14" hidden="1" x14ac:dyDescent="0.2">
      <c r="B64">
        <v>63</v>
      </c>
      <c r="C64" t="s">
        <v>65</v>
      </c>
      <c r="D64" t="str">
        <f>VLOOKUP(C64,'Master Anggota'!$E$2:$J$678,2,0)</f>
        <v>Aktif</v>
      </c>
      <c r="G64" t="str">
        <f>VLOOKUP(C64,'Master Anggota'!$E$2:$J$678,5,0)</f>
        <v>00490</v>
      </c>
      <c r="H64" s="56">
        <v>0</v>
      </c>
      <c r="I64" s="56">
        <v>10008843</v>
      </c>
      <c r="J64" s="56">
        <v>16856183.196477979</v>
      </c>
      <c r="K64" s="56">
        <v>1425093</v>
      </c>
      <c r="L64" t="s">
        <v>584</v>
      </c>
      <c r="M64" t="s">
        <v>585</v>
      </c>
      <c r="N64" t="s">
        <v>585</v>
      </c>
    </row>
    <row r="65" spans="2:14" hidden="1" x14ac:dyDescent="0.2">
      <c r="B65">
        <v>64</v>
      </c>
      <c r="C65" t="s">
        <v>568</v>
      </c>
      <c r="D65" t="str">
        <f>VLOOKUP(C65,'Master Anggota'!$E$2:$J$678,2,0)</f>
        <v>Aktif</v>
      </c>
      <c r="G65" t="str">
        <f>VLOOKUP(C65,'Master Anggota'!$E$2:$J$678,5,0)</f>
        <v>PHL Produksi</v>
      </c>
      <c r="H65" s="56">
        <v>0</v>
      </c>
      <c r="I65" s="56">
        <v>0</v>
      </c>
      <c r="J65" s="56">
        <v>200000</v>
      </c>
      <c r="K65" s="56">
        <v>0</v>
      </c>
      <c r="L65" t="s">
        <v>584</v>
      </c>
      <c r="M65" t="s">
        <v>585</v>
      </c>
      <c r="N65" t="s">
        <v>585</v>
      </c>
    </row>
    <row r="66" spans="2:14" hidden="1" x14ac:dyDescent="0.2">
      <c r="B66">
        <v>65</v>
      </c>
      <c r="C66" t="s">
        <v>200</v>
      </c>
      <c r="D66" t="str">
        <f>VLOOKUP(C66,'Master Anggota'!$E$2:$J$678,2,0)</f>
        <v>Aktif</v>
      </c>
      <c r="G66" t="str">
        <f>VLOOKUP(C66,'Master Anggota'!$E$2:$J$678,5,0)</f>
        <v>00520</v>
      </c>
      <c r="H66" s="56">
        <v>0</v>
      </c>
      <c r="I66" s="56">
        <v>7099071</v>
      </c>
      <c r="J66" s="56">
        <v>12436274.382622879</v>
      </c>
      <c r="K66" s="56">
        <v>4300000</v>
      </c>
      <c r="L66" t="s">
        <v>584</v>
      </c>
      <c r="M66" t="s">
        <v>585</v>
      </c>
      <c r="N66" t="s">
        <v>585</v>
      </c>
    </row>
    <row r="67" spans="2:14" hidden="1" x14ac:dyDescent="0.2">
      <c r="B67">
        <v>66</v>
      </c>
      <c r="C67" t="s">
        <v>439</v>
      </c>
      <c r="D67" t="str">
        <f>VLOOKUP(C67,'Master Anggota'!$E$2:$J$678,2,0)</f>
        <v>Aktif</v>
      </c>
      <c r="G67" t="str">
        <f>VLOOKUP(C67,'Master Anggota'!$E$2:$J$678,5,0)</f>
        <v>01730</v>
      </c>
      <c r="H67" s="56">
        <v>0</v>
      </c>
      <c r="I67" s="56">
        <v>0</v>
      </c>
      <c r="J67" s="56">
        <v>1100000</v>
      </c>
      <c r="K67" s="56">
        <v>3300000</v>
      </c>
      <c r="L67" t="s">
        <v>584</v>
      </c>
      <c r="M67" t="s">
        <v>585</v>
      </c>
      <c r="N67" t="s">
        <v>585</v>
      </c>
    </row>
    <row r="68" spans="2:14" hidden="1" x14ac:dyDescent="0.2">
      <c r="B68">
        <v>67</v>
      </c>
      <c r="C68" t="s">
        <v>534</v>
      </c>
      <c r="D68" t="str">
        <f>VLOOKUP(C68,'Master Anggota'!$E$2:$J$678,2,0)</f>
        <v>Aktif</v>
      </c>
      <c r="G68" t="str">
        <f>VLOOKUP(C68,'Master Anggota'!$E$2:$J$678,5,0)</f>
        <v>Koka</v>
      </c>
      <c r="H68" s="56">
        <v>0</v>
      </c>
      <c r="I68" s="56">
        <v>0</v>
      </c>
      <c r="J68" s="56">
        <v>900000</v>
      </c>
      <c r="K68" s="56">
        <v>900000</v>
      </c>
      <c r="L68" t="s">
        <v>584</v>
      </c>
      <c r="M68" t="s">
        <v>585</v>
      </c>
      <c r="N68" t="s">
        <v>585</v>
      </c>
    </row>
    <row r="69" spans="2:14" hidden="1" x14ac:dyDescent="0.2">
      <c r="B69">
        <v>68</v>
      </c>
      <c r="C69" t="s">
        <v>174</v>
      </c>
      <c r="D69" t="str">
        <f>VLOOKUP(C69,'Master Anggota'!$E$2:$J$678,2,0)</f>
        <v>Aktif</v>
      </c>
      <c r="G69" t="str">
        <f>VLOOKUP(C69,'Master Anggota'!$E$2:$J$678,5,0)</f>
        <v>00556</v>
      </c>
      <c r="H69" s="56">
        <v>0</v>
      </c>
      <c r="I69" s="56">
        <v>4907156</v>
      </c>
      <c r="J69" s="56">
        <v>8784143.1561510712</v>
      </c>
      <c r="K69" s="56">
        <v>5367593</v>
      </c>
      <c r="L69" t="s">
        <v>584</v>
      </c>
      <c r="M69" t="s">
        <v>585</v>
      </c>
      <c r="N69" t="s">
        <v>585</v>
      </c>
    </row>
    <row r="70" spans="2:14" hidden="1" x14ac:dyDescent="0.2">
      <c r="B70">
        <v>69</v>
      </c>
      <c r="C70" t="s">
        <v>530</v>
      </c>
      <c r="D70" t="str">
        <f>VLOOKUP(C70,'Master Anggota'!$E$2:$J$678,2,0)</f>
        <v>Purna Bakti 2026</v>
      </c>
      <c r="G70" t="str">
        <f>VLOOKUP(C70,'Master Anggota'!$E$2:$J$678,5,0)</f>
        <v>Nasabah</v>
      </c>
      <c r="H70" s="56">
        <v>0</v>
      </c>
      <c r="I70" s="56">
        <v>1265346</v>
      </c>
      <c r="J70" s="56">
        <v>3600000</v>
      </c>
      <c r="K70" s="56">
        <v>900000</v>
      </c>
      <c r="L70" t="s">
        <v>584</v>
      </c>
      <c r="M70" t="s">
        <v>585</v>
      </c>
      <c r="N70" t="s">
        <v>585</v>
      </c>
    </row>
    <row r="71" spans="2:14" hidden="1" x14ac:dyDescent="0.2">
      <c r="B71">
        <v>70</v>
      </c>
      <c r="C71" t="s">
        <v>450</v>
      </c>
      <c r="D71" t="str">
        <f>VLOOKUP(C71,'Master Anggota'!$E$2:$J$678,2,0)</f>
        <v>Aktif</v>
      </c>
      <c r="G71" t="str">
        <f>VLOOKUP(C71,'Master Anggota'!$E$2:$J$678,5,0)</f>
        <v>01738</v>
      </c>
      <c r="H71" s="56">
        <v>0</v>
      </c>
      <c r="I71" s="56">
        <v>0</v>
      </c>
      <c r="J71" s="56">
        <v>1000000</v>
      </c>
      <c r="K71" s="56">
        <v>800000</v>
      </c>
      <c r="L71" t="s">
        <v>584</v>
      </c>
      <c r="M71" t="s">
        <v>585</v>
      </c>
      <c r="N71" t="s">
        <v>585</v>
      </c>
    </row>
    <row r="72" spans="2:14" hidden="1" x14ac:dyDescent="0.2">
      <c r="B72">
        <v>71</v>
      </c>
      <c r="C72" t="s">
        <v>182</v>
      </c>
      <c r="D72" t="str">
        <f>VLOOKUP(C72,'Master Anggota'!$E$2:$J$678,2,0)</f>
        <v>Aktif</v>
      </c>
      <c r="G72" t="str">
        <f>VLOOKUP(C72,'Master Anggota'!$E$2:$J$678,5,0)</f>
        <v>00565</v>
      </c>
      <c r="H72" s="56">
        <v>0</v>
      </c>
      <c r="I72" s="56">
        <v>5331808</v>
      </c>
      <c r="J72" s="56">
        <v>10527205.78696716</v>
      </c>
      <c r="K72" s="56">
        <v>4350000</v>
      </c>
      <c r="L72" t="s">
        <v>584</v>
      </c>
      <c r="M72" t="s">
        <v>585</v>
      </c>
      <c r="N72" t="s">
        <v>585</v>
      </c>
    </row>
    <row r="73" spans="2:14" hidden="1" x14ac:dyDescent="0.2">
      <c r="B73">
        <v>72</v>
      </c>
      <c r="C73" t="s">
        <v>69</v>
      </c>
      <c r="D73" t="str">
        <f>VLOOKUP(C73,'Master Anggota'!$E$2:$J$678,2,0)</f>
        <v>Aktif</v>
      </c>
      <c r="G73" t="str">
        <f>VLOOKUP(C73,'Master Anggota'!$E$2:$J$678,5,0)</f>
        <v>00496</v>
      </c>
      <c r="H73" s="56">
        <v>0</v>
      </c>
      <c r="I73" s="56">
        <v>5917688</v>
      </c>
      <c r="J73" s="56">
        <v>15872597.85480318</v>
      </c>
      <c r="K73" s="56">
        <v>6490000</v>
      </c>
      <c r="L73" t="s">
        <v>584</v>
      </c>
      <c r="M73" t="s">
        <v>585</v>
      </c>
      <c r="N73" t="s">
        <v>585</v>
      </c>
    </row>
    <row r="74" spans="2:14" hidden="1" x14ac:dyDescent="0.2">
      <c r="B74">
        <v>73</v>
      </c>
      <c r="C74" t="s">
        <v>175</v>
      </c>
      <c r="D74" t="str">
        <f>VLOOKUP(C74,'Master Anggota'!$E$2:$J$678,2,0)</f>
        <v>Aktif</v>
      </c>
      <c r="G74" t="str">
        <f>VLOOKUP(C74,'Master Anggota'!$E$2:$J$678,5,0)</f>
        <v>00563</v>
      </c>
      <c r="H74" s="56">
        <v>0</v>
      </c>
      <c r="I74" s="56">
        <v>5739852</v>
      </c>
      <c r="J74" s="56">
        <v>10278196.839707721</v>
      </c>
      <c r="K74" s="56">
        <v>3350000</v>
      </c>
      <c r="L74" t="s">
        <v>584</v>
      </c>
      <c r="M74" t="s">
        <v>585</v>
      </c>
      <c r="N74" t="s">
        <v>585</v>
      </c>
    </row>
    <row r="75" spans="2:14" hidden="1" x14ac:dyDescent="0.2">
      <c r="B75">
        <v>74</v>
      </c>
      <c r="C75" t="s">
        <v>533</v>
      </c>
      <c r="D75" t="str">
        <f>VLOOKUP(C75,'Master Anggota'!$E$2:$J$678,2,0)</f>
        <v>Aktif</v>
      </c>
      <c r="G75" t="str">
        <f>VLOOKUP(C75,'Master Anggota'!$E$2:$J$678,5,0)</f>
        <v>Nasabah</v>
      </c>
      <c r="H75" s="56">
        <v>0</v>
      </c>
      <c r="I75" s="56">
        <v>3713006</v>
      </c>
      <c r="J75" s="56">
        <v>8500000</v>
      </c>
      <c r="K75" s="56">
        <v>12300000</v>
      </c>
      <c r="L75" t="s">
        <v>584</v>
      </c>
      <c r="M75" t="s">
        <v>585</v>
      </c>
      <c r="N75" t="s">
        <v>585</v>
      </c>
    </row>
    <row r="76" spans="2:14" hidden="1" x14ac:dyDescent="0.2">
      <c r="B76">
        <v>75</v>
      </c>
      <c r="C76" t="s">
        <v>202</v>
      </c>
      <c r="D76" t="str">
        <f>VLOOKUP(C76,'Master Anggota'!$E$2:$J$678,2,0)</f>
        <v>Aktif</v>
      </c>
      <c r="G76" t="str">
        <f>VLOOKUP(C76,'Master Anggota'!$E$2:$J$678,5,0)</f>
        <v>00512</v>
      </c>
      <c r="H76" s="56">
        <v>0</v>
      </c>
      <c r="I76" s="56">
        <v>6675050</v>
      </c>
      <c r="J76" s="56">
        <v>16320813.95987018</v>
      </c>
      <c r="K76" s="56">
        <v>2290000</v>
      </c>
      <c r="L76" t="s">
        <v>584</v>
      </c>
      <c r="M76" t="s">
        <v>585</v>
      </c>
      <c r="N76" t="s">
        <v>585</v>
      </c>
    </row>
    <row r="77" spans="2:14" hidden="1" x14ac:dyDescent="0.2">
      <c r="B77">
        <v>76</v>
      </c>
      <c r="C77" t="s">
        <v>300</v>
      </c>
      <c r="D77" t="str">
        <f>VLOOKUP(C77,'Master Anggota'!$E$2:$J$678,2,0)</f>
        <v>Aktif</v>
      </c>
      <c r="G77" t="str">
        <f>VLOOKUP(C77,'Master Anggota'!$E$2:$J$678,5,0)</f>
        <v>00585</v>
      </c>
      <c r="H77" s="56">
        <v>0</v>
      </c>
      <c r="I77" s="56">
        <v>7371044</v>
      </c>
      <c r="J77" s="56">
        <v>11315734.119955391</v>
      </c>
      <c r="K77" s="56">
        <v>5625000</v>
      </c>
      <c r="L77" t="s">
        <v>584</v>
      </c>
      <c r="M77" t="s">
        <v>585</v>
      </c>
      <c r="N77" t="s">
        <v>585</v>
      </c>
    </row>
    <row r="78" spans="2:14" hidden="1" x14ac:dyDescent="0.2">
      <c r="B78">
        <v>77</v>
      </c>
      <c r="C78" t="s">
        <v>71</v>
      </c>
      <c r="D78" t="str">
        <f>VLOOKUP(C78,'Master Anggota'!$E$2:$J$678,2,0)</f>
        <v>Aktif</v>
      </c>
      <c r="G78" t="str">
        <f>VLOOKUP(C78,'Master Anggota'!$E$2:$J$678,5,0)</f>
        <v>00517</v>
      </c>
      <c r="H78" s="56">
        <v>0</v>
      </c>
      <c r="I78" s="56">
        <v>6600785</v>
      </c>
      <c r="J78" s="56">
        <v>13541244.558424741</v>
      </c>
      <c r="K78" s="56">
        <v>2353500</v>
      </c>
      <c r="L78" t="s">
        <v>584</v>
      </c>
      <c r="M78" t="s">
        <v>585</v>
      </c>
      <c r="N78" t="s">
        <v>585</v>
      </c>
    </row>
    <row r="79" spans="2:14" hidden="1" x14ac:dyDescent="0.2">
      <c r="B79">
        <v>78</v>
      </c>
      <c r="C79" t="s">
        <v>79</v>
      </c>
      <c r="D79" t="str">
        <f>VLOOKUP(C79,'Master Anggota'!$E$2:$J$678,2,0)</f>
        <v>Aktif</v>
      </c>
      <c r="G79" t="str">
        <f>VLOOKUP(C79,'Master Anggota'!$E$2:$J$678,5,0)</f>
        <v>00541</v>
      </c>
      <c r="H79" s="56">
        <v>0</v>
      </c>
      <c r="I79" s="56">
        <v>5430056</v>
      </c>
      <c r="J79" s="56">
        <v>10527205.78696716</v>
      </c>
      <c r="K79" s="56">
        <v>4517593</v>
      </c>
      <c r="L79" t="s">
        <v>584</v>
      </c>
      <c r="M79" t="s">
        <v>585</v>
      </c>
      <c r="N79" t="s">
        <v>585</v>
      </c>
    </row>
    <row r="80" spans="2:14" hidden="1" x14ac:dyDescent="0.2">
      <c r="B80">
        <v>79</v>
      </c>
      <c r="C80" t="s">
        <v>81</v>
      </c>
      <c r="D80" t="str">
        <f>VLOOKUP(C80,'Master Anggota'!$E$2:$J$678,2,0)</f>
        <v>Aktif</v>
      </c>
      <c r="G80" t="str">
        <f>VLOOKUP(C80,'Master Anggota'!$E$2:$J$678,5,0)</f>
        <v>00537</v>
      </c>
      <c r="H80" s="56">
        <v>0</v>
      </c>
      <c r="I80" s="56">
        <v>4190452</v>
      </c>
      <c r="J80" s="56">
        <v>10278196.839707721</v>
      </c>
      <c r="K80" s="56">
        <v>5529539</v>
      </c>
      <c r="L80" t="s">
        <v>584</v>
      </c>
      <c r="M80" t="s">
        <v>585</v>
      </c>
      <c r="N80" t="s">
        <v>585</v>
      </c>
    </row>
    <row r="81" spans="2:14" hidden="1" x14ac:dyDescent="0.2">
      <c r="B81">
        <v>80</v>
      </c>
      <c r="C81" t="s">
        <v>364</v>
      </c>
      <c r="D81" t="str">
        <f>VLOOKUP(C81,'Master Anggota'!$E$2:$J$678,2,0)</f>
        <v>Aktif</v>
      </c>
      <c r="G81" t="str">
        <f>VLOOKUP(C81,'Master Anggota'!$E$2:$J$678,5,0)</f>
        <v>00578</v>
      </c>
      <c r="H81" s="56">
        <v>0</v>
      </c>
      <c r="I81" s="56">
        <v>1442591</v>
      </c>
      <c r="J81" s="56">
        <v>3500000</v>
      </c>
      <c r="K81" s="56">
        <v>4200000</v>
      </c>
      <c r="L81" t="s">
        <v>584</v>
      </c>
      <c r="M81" t="s">
        <v>585</v>
      </c>
      <c r="N81" t="s">
        <v>585</v>
      </c>
    </row>
    <row r="82" spans="2:14" hidden="1" x14ac:dyDescent="0.2">
      <c r="B82">
        <v>81</v>
      </c>
      <c r="C82" t="s">
        <v>204</v>
      </c>
      <c r="D82" t="str">
        <f>VLOOKUP(C82,'Master Anggota'!$E$2:$J$678,2,0)</f>
        <v>Aktif</v>
      </c>
      <c r="G82" t="str">
        <f>VLOOKUP(C82,'Master Anggota'!$E$2:$J$678,5,0)</f>
        <v>00534</v>
      </c>
      <c r="H82" s="56">
        <v>0</v>
      </c>
      <c r="I82" s="56">
        <v>6584674</v>
      </c>
      <c r="J82" s="56">
        <v>12477775.87383279</v>
      </c>
      <c r="K82" s="56">
        <v>3825000</v>
      </c>
      <c r="L82" t="s">
        <v>584</v>
      </c>
      <c r="M82" t="s">
        <v>585</v>
      </c>
      <c r="N82" t="s">
        <v>585</v>
      </c>
    </row>
    <row r="83" spans="2:14" hidden="1" x14ac:dyDescent="0.2">
      <c r="B83">
        <v>82</v>
      </c>
      <c r="C83" t="s">
        <v>497</v>
      </c>
      <c r="D83" t="str">
        <f>VLOOKUP(C83,'Master Anggota'!$E$2:$J$678,2,0)</f>
        <v>Aktif</v>
      </c>
      <c r="G83" t="str">
        <f>VLOOKUP(C83,'Master Anggota'!$E$2:$J$678,5,0)</f>
        <v>01719</v>
      </c>
      <c r="H83" s="56">
        <v>0</v>
      </c>
      <c r="I83" s="56">
        <v>0</v>
      </c>
      <c r="J83" s="56">
        <v>1200000</v>
      </c>
      <c r="K83" s="56">
        <v>2200000</v>
      </c>
      <c r="L83" t="s">
        <v>584</v>
      </c>
      <c r="M83" t="s">
        <v>585</v>
      </c>
      <c r="N83" t="s">
        <v>585</v>
      </c>
    </row>
    <row r="84" spans="2:14" hidden="1" x14ac:dyDescent="0.2">
      <c r="B84">
        <v>83</v>
      </c>
      <c r="C84" t="s">
        <v>83</v>
      </c>
      <c r="D84" t="str">
        <f>VLOOKUP(C84,'Master Anggota'!$E$2:$J$678,2,0)</f>
        <v>Aktif</v>
      </c>
      <c r="G84" t="str">
        <f>VLOOKUP(C84,'Master Anggota'!$E$2:$J$678,5,0)</f>
        <v>00322</v>
      </c>
      <c r="H84" s="56">
        <v>0</v>
      </c>
      <c r="I84" s="56">
        <v>6317594</v>
      </c>
      <c r="J84" s="56">
        <v>16860333.34559897</v>
      </c>
      <c r="K84" s="56">
        <v>1498000</v>
      </c>
      <c r="L84" t="s">
        <v>584</v>
      </c>
      <c r="M84" t="s">
        <v>585</v>
      </c>
      <c r="N84" t="s">
        <v>585</v>
      </c>
    </row>
    <row r="85" spans="2:14" hidden="1" x14ac:dyDescent="0.2">
      <c r="B85">
        <v>84</v>
      </c>
      <c r="C85" t="s">
        <v>85</v>
      </c>
      <c r="D85" t="str">
        <f>VLOOKUP(C85,'Master Anggota'!$E$2:$J$678,2,0)</f>
        <v>Aktif</v>
      </c>
      <c r="G85" t="str">
        <f>VLOOKUP(C85,'Master Anggota'!$E$2:$J$678,5,0)</f>
        <v>00547</v>
      </c>
      <c r="H85" s="56">
        <v>0</v>
      </c>
      <c r="I85" s="56">
        <v>4660459</v>
      </c>
      <c r="J85" s="56">
        <v>10693211.75180679</v>
      </c>
      <c r="K85" s="56">
        <v>2550000</v>
      </c>
      <c r="L85" t="s">
        <v>584</v>
      </c>
      <c r="M85" t="s">
        <v>585</v>
      </c>
      <c r="N85" t="s">
        <v>585</v>
      </c>
    </row>
    <row r="86" spans="2:14" hidden="1" x14ac:dyDescent="0.2">
      <c r="B86">
        <v>85</v>
      </c>
      <c r="C86" t="s">
        <v>482</v>
      </c>
      <c r="D86" t="str">
        <f>VLOOKUP(C86,'Master Anggota'!$E$2:$J$678,2,0)</f>
        <v>Aktif</v>
      </c>
      <c r="G86" t="str">
        <f>VLOOKUP(C86,'Master Anggota'!$E$2:$J$678,5,0)</f>
        <v>01561</v>
      </c>
      <c r="H86" s="56">
        <v>0</v>
      </c>
      <c r="I86" s="56">
        <v>3474000</v>
      </c>
      <c r="J86" s="56">
        <v>5630029.8241981389</v>
      </c>
      <c r="K86" s="56">
        <v>2500000</v>
      </c>
      <c r="L86" t="s">
        <v>584</v>
      </c>
      <c r="M86" t="s">
        <v>585</v>
      </c>
      <c r="N86" t="s">
        <v>585</v>
      </c>
    </row>
    <row r="87" spans="2:14" hidden="1" x14ac:dyDescent="0.2">
      <c r="B87">
        <v>86</v>
      </c>
      <c r="C87" t="s">
        <v>206</v>
      </c>
      <c r="D87" t="str">
        <f>VLOOKUP(C87,'Master Anggota'!$E$2:$J$678,2,0)</f>
        <v>Aktif</v>
      </c>
      <c r="G87" t="str">
        <f>VLOOKUP(C87,'Master Anggota'!$E$2:$J$678,5,0)</f>
        <v>00525</v>
      </c>
      <c r="H87" s="56">
        <v>0</v>
      </c>
      <c r="I87" s="56">
        <v>7826414</v>
      </c>
      <c r="J87" s="56">
        <v>12685283.32988232</v>
      </c>
      <c r="K87" s="56">
        <v>3150000</v>
      </c>
      <c r="L87" t="s">
        <v>584</v>
      </c>
      <c r="M87" t="s">
        <v>585</v>
      </c>
      <c r="N87" t="s">
        <v>585</v>
      </c>
    </row>
    <row r="88" spans="2:14" hidden="1" x14ac:dyDescent="0.2">
      <c r="B88">
        <v>87</v>
      </c>
      <c r="C88" t="s">
        <v>208</v>
      </c>
      <c r="D88" t="str">
        <f>VLOOKUP(C88,'Master Anggota'!$E$2:$J$678,2,0)</f>
        <v>Aktif</v>
      </c>
      <c r="G88" t="str">
        <f>VLOOKUP(C88,'Master Anggota'!$E$2:$J$678,5,0)</f>
        <v>00328</v>
      </c>
      <c r="H88" s="56">
        <v>0</v>
      </c>
      <c r="I88" s="56">
        <v>8383390</v>
      </c>
      <c r="J88" s="56">
        <v>17464595.057615209</v>
      </c>
      <c r="K88" s="56">
        <v>10161000</v>
      </c>
      <c r="L88" t="s">
        <v>584</v>
      </c>
      <c r="M88" t="s">
        <v>585</v>
      </c>
      <c r="N88" t="s">
        <v>585</v>
      </c>
    </row>
    <row r="89" spans="2:14" hidden="1" x14ac:dyDescent="0.2">
      <c r="B89">
        <v>88</v>
      </c>
      <c r="C89" t="s">
        <v>499</v>
      </c>
      <c r="D89" t="str">
        <f>VLOOKUP(C89,'Master Anggota'!$E$2:$J$678,2,0)</f>
        <v>Aktif</v>
      </c>
      <c r="G89" t="str">
        <f>VLOOKUP(C89,'Master Anggota'!$E$2:$J$678,5,0)</f>
        <v>01775</v>
      </c>
      <c r="H89" s="56">
        <v>0</v>
      </c>
      <c r="I89" s="56">
        <v>0</v>
      </c>
      <c r="J89" s="56">
        <v>800000</v>
      </c>
      <c r="K89" s="56">
        <v>1600000</v>
      </c>
      <c r="L89" t="s">
        <v>584</v>
      </c>
      <c r="M89" t="s">
        <v>585</v>
      </c>
      <c r="N89" t="s">
        <v>585</v>
      </c>
    </row>
    <row r="90" spans="2:14" x14ac:dyDescent="0.2">
      <c r="B90">
        <v>89</v>
      </c>
      <c r="C90" t="s">
        <v>214</v>
      </c>
      <c r="D90" t="str">
        <f>VLOOKUP(C90,'Master Anggota'!$E$2:$J$678,2,0)</f>
        <v>Aktif</v>
      </c>
      <c r="G90" t="str">
        <f>VLOOKUP(C90,'Master Anggota'!$E$2:$J$678,5,0)</f>
        <v>00529</v>
      </c>
      <c r="H90" s="56">
        <v>0</v>
      </c>
      <c r="I90" s="56">
        <v>5917809</v>
      </c>
      <c r="J90" s="56">
        <v>12477775.87383279</v>
      </c>
      <c r="K90" s="56">
        <v>1925000</v>
      </c>
      <c r="L90" t="s">
        <v>584</v>
      </c>
      <c r="M90" t="s">
        <v>585</v>
      </c>
      <c r="N90" t="s">
        <v>585</v>
      </c>
    </row>
    <row r="91" spans="2:14" hidden="1" x14ac:dyDescent="0.2">
      <c r="B91">
        <v>90</v>
      </c>
      <c r="C91" t="s">
        <v>216</v>
      </c>
      <c r="D91" t="str">
        <f>VLOOKUP(C91,'Master Anggota'!$E$2:$J$678,2,0)</f>
        <v>Purna Bakti 2025</v>
      </c>
      <c r="G91" t="str">
        <f>VLOOKUP(C91,'Master Anggota'!$E$2:$J$678,5,0)</f>
        <v>00391</v>
      </c>
      <c r="H91" s="56">
        <v>0</v>
      </c>
      <c r="I91" s="56">
        <v>6486375</v>
      </c>
      <c r="J91" s="56">
        <v>16540561.38034522</v>
      </c>
      <c r="K91" s="56">
        <v>1747500</v>
      </c>
      <c r="L91" t="s">
        <v>584</v>
      </c>
      <c r="M91" t="s">
        <v>585</v>
      </c>
      <c r="N91" t="s">
        <v>585</v>
      </c>
    </row>
    <row r="92" spans="2:14" hidden="1" x14ac:dyDescent="0.2">
      <c r="B92">
        <v>91</v>
      </c>
      <c r="C92" t="s">
        <v>159</v>
      </c>
      <c r="D92" t="str">
        <f>VLOOKUP(C92,'Master Anggota'!$E$2:$J$678,2,0)</f>
        <v>Purna Bakti 2026</v>
      </c>
      <c r="G92" t="str">
        <f>VLOOKUP(C92,'Master Anggota'!$E$2:$J$678,5,0)</f>
        <v>00571</v>
      </c>
      <c r="H92" s="56">
        <v>0</v>
      </c>
      <c r="I92" s="56">
        <v>3669231</v>
      </c>
      <c r="J92" s="56">
        <v>10029188</v>
      </c>
      <c r="K92" s="56">
        <v>857037</v>
      </c>
      <c r="L92" t="s">
        <v>584</v>
      </c>
      <c r="M92" t="s">
        <v>585</v>
      </c>
      <c r="N92" t="s">
        <v>585</v>
      </c>
    </row>
    <row r="93" spans="2:14" hidden="1" x14ac:dyDescent="0.2">
      <c r="B93">
        <v>92</v>
      </c>
      <c r="C93" t="s">
        <v>87</v>
      </c>
      <c r="D93" t="str">
        <f>VLOOKUP(C93,'Master Anggota'!$E$2:$J$678,2,0)</f>
        <v>Aktif</v>
      </c>
      <c r="G93" t="str">
        <f>VLOOKUP(C93,'Master Anggota'!$E$2:$J$678,5,0)</f>
        <v>00554</v>
      </c>
      <c r="H93" s="56">
        <v>0</v>
      </c>
      <c r="I93" s="56">
        <v>3884624</v>
      </c>
      <c r="J93" s="56">
        <v>9946184.9100284595</v>
      </c>
      <c r="K93" s="56">
        <v>6400000</v>
      </c>
      <c r="L93" t="s">
        <v>584</v>
      </c>
      <c r="M93" t="s">
        <v>585</v>
      </c>
      <c r="N93" t="s">
        <v>585</v>
      </c>
    </row>
    <row r="94" spans="2:14" hidden="1" x14ac:dyDescent="0.2">
      <c r="B94">
        <v>93</v>
      </c>
      <c r="C94" t="s">
        <v>90</v>
      </c>
      <c r="D94" t="str">
        <f>VLOOKUP(C94,'Master Anggota'!$E$2:$J$678,2,0)</f>
        <v>Aktif</v>
      </c>
      <c r="G94" t="str">
        <f>VLOOKUP(C94,'Master Anggota'!$E$2:$J$678,5,0)</f>
        <v>00363</v>
      </c>
      <c r="H94" s="56">
        <v>0</v>
      </c>
      <c r="I94" s="56">
        <v>13254093</v>
      </c>
      <c r="J94" s="56">
        <v>23393881.870105699</v>
      </c>
      <c r="K94" s="56">
        <v>6159892</v>
      </c>
      <c r="L94" t="s">
        <v>584</v>
      </c>
      <c r="M94" t="s">
        <v>585</v>
      </c>
      <c r="N94" t="s">
        <v>585</v>
      </c>
    </row>
    <row r="95" spans="2:14" hidden="1" x14ac:dyDescent="0.2">
      <c r="B95">
        <v>94</v>
      </c>
      <c r="C95" t="s">
        <v>92</v>
      </c>
      <c r="D95" t="str">
        <f>VLOOKUP(C95,'Master Anggota'!$E$2:$J$678,2,0)</f>
        <v>Aktif</v>
      </c>
      <c r="G95" t="str">
        <f>VLOOKUP(C95,'Master Anggota'!$E$2:$J$678,5,0)</f>
        <v>00396</v>
      </c>
      <c r="H95" s="56">
        <v>0</v>
      </c>
      <c r="I95" s="56">
        <v>19859230</v>
      </c>
      <c r="J95" s="56">
        <v>27477628.605160549</v>
      </c>
      <c r="K95" s="56">
        <v>12230224</v>
      </c>
      <c r="L95" t="s">
        <v>584</v>
      </c>
      <c r="M95" t="s">
        <v>585</v>
      </c>
      <c r="N95" t="s">
        <v>585</v>
      </c>
    </row>
    <row r="96" spans="2:14" hidden="1" x14ac:dyDescent="0.2">
      <c r="B96">
        <v>95</v>
      </c>
      <c r="C96" t="s">
        <v>569</v>
      </c>
      <c r="D96" t="str">
        <f>VLOOKUP(C96,'Master Anggota'!$E$2:$J$678,2,0)</f>
        <v>Aktif</v>
      </c>
      <c r="G96" t="str">
        <f>VLOOKUP(C96,'Master Anggota'!$E$2:$J$678,5,0)</f>
        <v>PHL Produksi</v>
      </c>
      <c r="H96" s="56">
        <v>0</v>
      </c>
      <c r="I96" s="56">
        <v>0</v>
      </c>
      <c r="J96" s="56">
        <v>200000</v>
      </c>
      <c r="K96" s="56">
        <v>400000</v>
      </c>
      <c r="L96" t="s">
        <v>584</v>
      </c>
      <c r="M96" t="s">
        <v>585</v>
      </c>
      <c r="N96" t="s">
        <v>585</v>
      </c>
    </row>
    <row r="97" spans="2:14" hidden="1" x14ac:dyDescent="0.2">
      <c r="B97">
        <v>96</v>
      </c>
      <c r="C97" t="s">
        <v>323</v>
      </c>
      <c r="D97" t="str">
        <f>VLOOKUP(C97,'Master Anggota'!$E$2:$J$678,2,0)</f>
        <v>Aktif</v>
      </c>
      <c r="G97" t="str">
        <f>VLOOKUP(C97,'Master Anggota'!$E$2:$J$678,5,0)</f>
        <v>01601</v>
      </c>
      <c r="H97" s="56">
        <v>0</v>
      </c>
      <c r="I97" s="56">
        <v>800896</v>
      </c>
      <c r="J97" s="56">
        <v>2400000</v>
      </c>
      <c r="K97" s="56">
        <v>1200000</v>
      </c>
      <c r="L97" t="s">
        <v>584</v>
      </c>
      <c r="M97" t="s">
        <v>585</v>
      </c>
      <c r="N97" t="s">
        <v>585</v>
      </c>
    </row>
    <row r="98" spans="2:14" hidden="1" x14ac:dyDescent="0.2">
      <c r="B98">
        <v>97</v>
      </c>
      <c r="C98" t="s">
        <v>94</v>
      </c>
      <c r="D98" t="str">
        <f>VLOOKUP(C98,'Master Anggota'!$E$2:$J$678,2,0)</f>
        <v>Aktif</v>
      </c>
      <c r="G98" t="str">
        <f>VLOOKUP(C98,'Master Anggota'!$E$2:$J$678,5,0)</f>
        <v>00387</v>
      </c>
      <c r="H98" s="56">
        <v>0</v>
      </c>
      <c r="I98" s="56">
        <v>7850238</v>
      </c>
      <c r="J98" s="56">
        <v>17639731.350521021</v>
      </c>
      <c r="K98" s="56">
        <v>507500</v>
      </c>
      <c r="L98" t="s">
        <v>584</v>
      </c>
      <c r="M98" t="s">
        <v>585</v>
      </c>
      <c r="N98" t="s">
        <v>585</v>
      </c>
    </row>
    <row r="99" spans="2:14" hidden="1" x14ac:dyDescent="0.2">
      <c r="B99">
        <v>98</v>
      </c>
      <c r="C99" t="s">
        <v>96</v>
      </c>
      <c r="D99" t="str">
        <f>VLOOKUP(C99,'Master Anggota'!$E$2:$J$678,2,0)</f>
        <v>Aktif</v>
      </c>
      <c r="G99" t="str">
        <f>VLOOKUP(C99,'Master Anggota'!$E$2:$J$678,5,0)</f>
        <v>00508</v>
      </c>
      <c r="H99" s="56">
        <v>0</v>
      </c>
      <c r="I99" s="56">
        <v>8509241</v>
      </c>
      <c r="J99" s="56">
        <v>16876933.94208293</v>
      </c>
      <c r="K99" s="56">
        <v>2925000</v>
      </c>
      <c r="L99" t="s">
        <v>584</v>
      </c>
      <c r="M99" t="s">
        <v>585</v>
      </c>
      <c r="N99" t="s">
        <v>585</v>
      </c>
    </row>
    <row r="100" spans="2:14" hidden="1" x14ac:dyDescent="0.2">
      <c r="B100">
        <v>99</v>
      </c>
      <c r="C100" t="s">
        <v>304</v>
      </c>
      <c r="D100" t="str">
        <f>VLOOKUP(C100,'Master Anggota'!$E$2:$J$678,2,0)</f>
        <v>Aktif</v>
      </c>
      <c r="G100" t="str">
        <f>VLOOKUP(C100,'Master Anggota'!$E$2:$J$678,5,0)</f>
        <v>01541</v>
      </c>
      <c r="H100" s="56">
        <v>0</v>
      </c>
      <c r="I100" s="56">
        <v>5391027</v>
      </c>
      <c r="J100" s="56">
        <v>11132161.05066995</v>
      </c>
      <c r="K100" s="56">
        <v>2149999.9999999497</v>
      </c>
      <c r="L100" t="s">
        <v>584</v>
      </c>
      <c r="M100" t="s">
        <v>585</v>
      </c>
      <c r="N100" t="s">
        <v>585</v>
      </c>
    </row>
    <row r="101" spans="2:14" hidden="1" x14ac:dyDescent="0.2">
      <c r="B101">
        <v>100</v>
      </c>
      <c r="C101" t="s">
        <v>99</v>
      </c>
      <c r="D101" t="str">
        <f>VLOOKUP(C101,'Master Anggota'!$E$2:$J$678,2,0)</f>
        <v>Purna Bakti 2026</v>
      </c>
      <c r="G101" t="str">
        <f>VLOOKUP(C101,'Master Anggota'!$E$2:$J$678,5,0)</f>
        <v>00360</v>
      </c>
      <c r="H101" s="56">
        <v>0</v>
      </c>
      <c r="I101" s="56">
        <v>7236336</v>
      </c>
      <c r="J101" s="56">
        <v>33469254.672582399</v>
      </c>
      <c r="K101" s="56">
        <v>5366299</v>
      </c>
      <c r="L101" t="s">
        <v>584</v>
      </c>
      <c r="M101" t="s">
        <v>585</v>
      </c>
      <c r="N101" t="s">
        <v>585</v>
      </c>
    </row>
    <row r="102" spans="2:14" hidden="1" x14ac:dyDescent="0.2">
      <c r="B102">
        <v>101</v>
      </c>
      <c r="C102" t="s">
        <v>481</v>
      </c>
      <c r="D102" t="str">
        <f>VLOOKUP(C102,'Master Anggota'!$E$2:$J$678,2,0)</f>
        <v>Aktif</v>
      </c>
      <c r="G102" t="str">
        <f>VLOOKUP(C102,'Master Anggota'!$E$2:$J$678,5,0)</f>
        <v>00371</v>
      </c>
      <c r="H102" s="56">
        <v>0</v>
      </c>
      <c r="I102" s="56">
        <v>10479089</v>
      </c>
      <c r="J102" s="56">
        <v>18993509.993788179</v>
      </c>
      <c r="K102" s="56">
        <v>2510000</v>
      </c>
      <c r="L102" t="s">
        <v>584</v>
      </c>
      <c r="M102" t="s">
        <v>585</v>
      </c>
      <c r="N102" t="s">
        <v>585</v>
      </c>
    </row>
    <row r="103" spans="2:14" hidden="1" x14ac:dyDescent="0.2">
      <c r="B103">
        <v>102</v>
      </c>
      <c r="C103" t="s">
        <v>480</v>
      </c>
      <c r="D103" t="str">
        <f>VLOOKUP(C103,'Master Anggota'!$E$2:$J$678,2,0)</f>
        <v>Aktif</v>
      </c>
      <c r="G103" t="str">
        <f>VLOOKUP(C103,'Master Anggota'!$E$2:$J$678,5,0)</f>
        <v>00351</v>
      </c>
      <c r="H103" s="56">
        <v>0</v>
      </c>
      <c r="I103" s="56">
        <v>8390411</v>
      </c>
      <c r="J103" s="56">
        <v>17212265.991058979</v>
      </c>
      <c r="K103" s="56">
        <v>9371000</v>
      </c>
      <c r="L103" t="s">
        <v>584</v>
      </c>
      <c r="M103" t="s">
        <v>585</v>
      </c>
      <c r="N103" t="s">
        <v>585</v>
      </c>
    </row>
    <row r="104" spans="2:14" hidden="1" x14ac:dyDescent="0.2">
      <c r="B104">
        <v>103</v>
      </c>
      <c r="C104" t="s">
        <v>289</v>
      </c>
      <c r="D104" t="str">
        <f>VLOOKUP(C104,'Master Anggota'!$E$2:$J$678,2,0)</f>
        <v>Aktif</v>
      </c>
      <c r="G104" t="str">
        <f>VLOOKUP(C104,'Master Anggota'!$E$2:$J$678,5,0)</f>
        <v>01511</v>
      </c>
      <c r="H104" s="56">
        <v>0</v>
      </c>
      <c r="I104" s="56">
        <v>6105486</v>
      </c>
      <c r="J104" s="56">
        <v>11730749.03205446</v>
      </c>
      <c r="K104" s="56">
        <v>1820000</v>
      </c>
      <c r="L104" t="s">
        <v>584</v>
      </c>
      <c r="M104" t="s">
        <v>585</v>
      </c>
      <c r="N104" t="s">
        <v>585</v>
      </c>
    </row>
    <row r="105" spans="2:14" hidden="1" x14ac:dyDescent="0.2">
      <c r="B105">
        <v>104</v>
      </c>
      <c r="C105" t="s">
        <v>362</v>
      </c>
      <c r="D105" t="str">
        <f>VLOOKUP(C105,'Master Anggota'!$E$2:$J$678,2,0)</f>
        <v>Aktif</v>
      </c>
      <c r="G105" t="str">
        <f>VLOOKUP(C105,'Master Anggota'!$E$2:$J$678,5,0)</f>
        <v>00570</v>
      </c>
      <c r="H105" s="56">
        <v>0</v>
      </c>
      <c r="I105" s="56">
        <v>2906440</v>
      </c>
      <c r="J105" s="56">
        <v>3900000</v>
      </c>
      <c r="K105" s="56">
        <v>4450000</v>
      </c>
      <c r="L105" t="s">
        <v>584</v>
      </c>
      <c r="M105" t="s">
        <v>585</v>
      </c>
      <c r="N105" t="s">
        <v>585</v>
      </c>
    </row>
    <row r="106" spans="2:14" hidden="1" x14ac:dyDescent="0.2">
      <c r="B106">
        <v>105</v>
      </c>
      <c r="C106" t="s">
        <v>223</v>
      </c>
      <c r="D106" t="str">
        <f>VLOOKUP(C106,'Master Anggota'!$E$2:$J$678,2,0)</f>
        <v>Aktif</v>
      </c>
      <c r="G106" t="str">
        <f>VLOOKUP(C106,'Master Anggota'!$E$2:$J$678,5,0)</f>
        <v>00514</v>
      </c>
      <c r="H106" s="56">
        <v>0</v>
      </c>
      <c r="I106" s="56">
        <v>5039098</v>
      </c>
      <c r="J106" s="56">
        <v>12685283.32988232</v>
      </c>
      <c r="K106" s="56">
        <v>5100000</v>
      </c>
      <c r="L106" t="s">
        <v>584</v>
      </c>
      <c r="M106" t="s">
        <v>585</v>
      </c>
      <c r="N106" t="s">
        <v>585</v>
      </c>
    </row>
    <row r="107" spans="2:14" hidden="1" x14ac:dyDescent="0.2">
      <c r="B107">
        <v>106</v>
      </c>
      <c r="C107" t="s">
        <v>306</v>
      </c>
      <c r="D107" t="str">
        <f>VLOOKUP(C107,'Master Anggota'!$E$2:$J$678,2,0)</f>
        <v>Aktif</v>
      </c>
      <c r="G107" t="str">
        <f>VLOOKUP(C107,'Master Anggota'!$E$2:$J$678,5,0)</f>
        <v>00589</v>
      </c>
      <c r="H107" s="56">
        <v>0</v>
      </c>
      <c r="I107" s="56">
        <v>1217271</v>
      </c>
      <c r="J107" s="56">
        <v>3500000</v>
      </c>
      <c r="K107" s="56">
        <v>3500000</v>
      </c>
      <c r="L107" t="s">
        <v>584</v>
      </c>
      <c r="M107" t="s">
        <v>585</v>
      </c>
      <c r="N107" t="s">
        <v>585</v>
      </c>
    </row>
    <row r="108" spans="2:14" hidden="1" x14ac:dyDescent="0.2">
      <c r="B108">
        <v>107</v>
      </c>
      <c r="C108" t="s">
        <v>225</v>
      </c>
      <c r="D108" t="str">
        <f>VLOOKUP(C108,'Master Anggota'!$E$2:$J$678,2,0)</f>
        <v>Aktif</v>
      </c>
      <c r="G108" t="str">
        <f>VLOOKUP(C108,'Master Anggota'!$E$2:$J$678,5,0)</f>
        <v>00531</v>
      </c>
      <c r="H108" s="56">
        <v>0</v>
      </c>
      <c r="I108" s="56">
        <v>4306062</v>
      </c>
      <c r="J108" s="56">
        <v>16320813.95987018</v>
      </c>
      <c r="K108" s="56">
        <v>2610000</v>
      </c>
      <c r="L108" t="s">
        <v>584</v>
      </c>
      <c r="M108" t="s">
        <v>585</v>
      </c>
      <c r="N108" t="s">
        <v>585</v>
      </c>
    </row>
    <row r="109" spans="2:14" hidden="1" x14ac:dyDescent="0.2">
      <c r="B109">
        <v>108</v>
      </c>
      <c r="C109" t="s">
        <v>180</v>
      </c>
      <c r="D109" t="str">
        <f>VLOOKUP(C109,'Master Anggota'!$E$2:$J$678,2,0)</f>
        <v>Purna Bakti 2026</v>
      </c>
      <c r="G109" t="str">
        <f>VLOOKUP(C109,'Master Anggota'!$E$2:$J$678,5,0)</f>
        <v>00581</v>
      </c>
      <c r="H109" s="56">
        <v>0</v>
      </c>
      <c r="I109" s="56">
        <v>4736091</v>
      </c>
      <c r="J109" s="56">
        <v>5630030</v>
      </c>
      <c r="K109" s="56">
        <v>13381668</v>
      </c>
      <c r="L109" t="s">
        <v>584</v>
      </c>
      <c r="M109" t="s">
        <v>585</v>
      </c>
      <c r="N109" t="s">
        <v>585</v>
      </c>
    </row>
    <row r="110" spans="2:14" hidden="1" x14ac:dyDescent="0.2">
      <c r="B110">
        <v>109</v>
      </c>
      <c r="C110" t="s">
        <v>571</v>
      </c>
      <c r="D110" t="str">
        <f>VLOOKUP(C110,'Master Anggota'!$E$2:$J$678,2,0)</f>
        <v>Aktif</v>
      </c>
      <c r="G110" t="str">
        <f>VLOOKUP(C110,'Master Anggota'!$E$2:$J$678,5,0)</f>
        <v>PHL Produksi</v>
      </c>
      <c r="H110" s="56">
        <v>0</v>
      </c>
      <c r="I110" s="56">
        <v>0</v>
      </c>
      <c r="J110" s="56">
        <v>200000</v>
      </c>
      <c r="K110" s="56">
        <v>910000</v>
      </c>
      <c r="L110" t="s">
        <v>584</v>
      </c>
      <c r="M110" t="s">
        <v>585</v>
      </c>
      <c r="N110" t="s">
        <v>585</v>
      </c>
    </row>
    <row r="111" spans="2:14" hidden="1" x14ac:dyDescent="0.2">
      <c r="B111">
        <v>110</v>
      </c>
      <c r="C111" t="s">
        <v>486</v>
      </c>
      <c r="D111" t="str">
        <f>VLOOKUP(C111,'Master Anggota'!$E$2:$J$678,2,0)</f>
        <v>Aktif</v>
      </c>
      <c r="G111" t="str">
        <f>VLOOKUP(C111,'Master Anggota'!$E$2:$J$678,5,0)</f>
        <v>00281</v>
      </c>
      <c r="H111" s="56">
        <v>0</v>
      </c>
      <c r="I111" s="56">
        <v>5830118</v>
      </c>
      <c r="J111" s="56">
        <v>17492816.071637951</v>
      </c>
      <c r="K111" s="56">
        <v>2048058</v>
      </c>
      <c r="L111" t="s">
        <v>584</v>
      </c>
      <c r="M111" t="s">
        <v>585</v>
      </c>
      <c r="N111" t="s">
        <v>585</v>
      </c>
    </row>
    <row r="112" spans="2:14" hidden="1" x14ac:dyDescent="0.2">
      <c r="B112">
        <v>111</v>
      </c>
      <c r="C112" t="s">
        <v>483</v>
      </c>
      <c r="D112" t="str">
        <f>VLOOKUP(C112,'Master Anggota'!$E$2:$J$678,2,0)</f>
        <v>Aktif</v>
      </c>
      <c r="G112" t="str">
        <f>VLOOKUP(C112,'Master Anggota'!$E$2:$J$678,5,0)</f>
        <v>00368</v>
      </c>
      <c r="H112" s="56">
        <v>0</v>
      </c>
      <c r="I112" s="56">
        <v>8269623</v>
      </c>
      <c r="J112" s="56">
        <v>17150843.78406832</v>
      </c>
      <c r="K112" s="56">
        <v>3720000</v>
      </c>
      <c r="L112" t="s">
        <v>584</v>
      </c>
      <c r="M112" t="s">
        <v>585</v>
      </c>
      <c r="N112" t="s">
        <v>585</v>
      </c>
    </row>
    <row r="113" spans="2:14" hidden="1" x14ac:dyDescent="0.2">
      <c r="B113">
        <v>112</v>
      </c>
      <c r="C113" t="s">
        <v>487</v>
      </c>
      <c r="D113" t="str">
        <f>VLOOKUP(C113,'Master Anggota'!$E$2:$J$678,2,0)</f>
        <v>Purna Bakti 2026</v>
      </c>
      <c r="G113" t="str">
        <f>VLOOKUP(C113,'Master Anggota'!$E$2:$J$678,5,0)</f>
        <v>00281</v>
      </c>
      <c r="H113" s="56">
        <v>0</v>
      </c>
      <c r="I113" s="56">
        <v>2995908</v>
      </c>
      <c r="J113" s="56">
        <v>11398737.102375209</v>
      </c>
      <c r="K113" s="56">
        <v>5075000</v>
      </c>
      <c r="L113" t="s">
        <v>584</v>
      </c>
      <c r="M113" t="s">
        <v>585</v>
      </c>
      <c r="N113" t="s">
        <v>585</v>
      </c>
    </row>
    <row r="114" spans="2:14" hidden="1" x14ac:dyDescent="0.2">
      <c r="B114">
        <v>113</v>
      </c>
      <c r="C114" t="s">
        <v>176</v>
      </c>
      <c r="D114" t="str">
        <f>VLOOKUP(C114,'Master Anggota'!$E$2:$J$678,2,0)</f>
        <v>Aktif</v>
      </c>
      <c r="G114" t="str">
        <f>VLOOKUP(C114,'Master Anggota'!$E$2:$J$678,5,0)</f>
        <v>00568</v>
      </c>
      <c r="H114" s="56">
        <v>0</v>
      </c>
      <c r="I114" s="56">
        <v>1731515</v>
      </c>
      <c r="J114" s="56">
        <v>4300000</v>
      </c>
      <c r="K114" s="56">
        <v>1300000</v>
      </c>
      <c r="L114" t="s">
        <v>584</v>
      </c>
      <c r="M114" t="s">
        <v>585</v>
      </c>
      <c r="N114" t="s">
        <v>585</v>
      </c>
    </row>
    <row r="115" spans="2:14" hidden="1" x14ac:dyDescent="0.2">
      <c r="B115">
        <v>114</v>
      </c>
      <c r="C115" t="s">
        <v>103</v>
      </c>
      <c r="D115" t="str">
        <f>VLOOKUP(C115,'Master Anggota'!$E$2:$J$678,2,0)</f>
        <v>Aktif</v>
      </c>
      <c r="G115" t="str">
        <f>VLOOKUP(C115,'Master Anggota'!$E$2:$J$678,5,0)</f>
        <v>00401</v>
      </c>
      <c r="H115" s="56">
        <v>0</v>
      </c>
      <c r="I115" s="56">
        <v>11725598</v>
      </c>
      <c r="J115" s="56">
        <v>22468398.616124779</v>
      </c>
      <c r="K115" s="56">
        <v>26880187</v>
      </c>
      <c r="L115" t="s">
        <v>584</v>
      </c>
      <c r="M115" t="s">
        <v>585</v>
      </c>
      <c r="N115" t="s">
        <v>585</v>
      </c>
    </row>
    <row r="116" spans="2:14" hidden="1" x14ac:dyDescent="0.2">
      <c r="B116">
        <v>115</v>
      </c>
      <c r="C116" t="s">
        <v>367</v>
      </c>
      <c r="D116" t="str">
        <f>VLOOKUP(C116,'Master Anggota'!$E$2:$J$678,2,0)</f>
        <v>Aktif</v>
      </c>
      <c r="G116" t="str">
        <f>VLOOKUP(C116,'Master Anggota'!$E$2:$J$678,5,0)</f>
        <v>01679</v>
      </c>
      <c r="H116" s="56">
        <v>0</v>
      </c>
      <c r="I116" s="56">
        <v>152081</v>
      </c>
      <c r="J116" s="56">
        <v>1500000</v>
      </c>
      <c r="K116" s="56">
        <v>1500000</v>
      </c>
      <c r="L116" t="s">
        <v>584</v>
      </c>
      <c r="M116" t="s">
        <v>585</v>
      </c>
      <c r="N116" t="s">
        <v>585</v>
      </c>
    </row>
    <row r="117" spans="2:14" hidden="1" x14ac:dyDescent="0.2">
      <c r="B117">
        <v>116</v>
      </c>
      <c r="C117" t="s">
        <v>105</v>
      </c>
      <c r="D117" t="str">
        <f>VLOOKUP(C117,'Master Anggota'!$E$2:$J$678,2,0)</f>
        <v>Aktif</v>
      </c>
      <c r="G117" t="str">
        <f>VLOOKUP(C117,'Master Anggota'!$E$2:$J$678,5,0)</f>
        <v>00551</v>
      </c>
      <c r="H117" s="56">
        <v>650000</v>
      </c>
      <c r="I117" s="56">
        <v>2800919</v>
      </c>
      <c r="J117" s="56">
        <v>7954113.3319529295</v>
      </c>
      <c r="K117" s="56">
        <v>2083058</v>
      </c>
      <c r="L117" t="s">
        <v>584</v>
      </c>
      <c r="M117" t="s">
        <v>585</v>
      </c>
      <c r="N117" t="s">
        <v>585</v>
      </c>
    </row>
    <row r="118" spans="2:14" hidden="1" x14ac:dyDescent="0.2">
      <c r="B118">
        <v>117</v>
      </c>
      <c r="C118" t="s">
        <v>368</v>
      </c>
      <c r="D118" t="str">
        <f>VLOOKUP(C118,'Master Anggota'!$E$2:$J$678,2,0)</f>
        <v>Aktif</v>
      </c>
      <c r="G118" t="str">
        <f>VLOOKUP(C118,'Master Anggota'!$E$2:$J$678,5,0)</f>
        <v>01703</v>
      </c>
      <c r="H118" s="56">
        <v>0</v>
      </c>
      <c r="I118" s="56">
        <v>152081</v>
      </c>
      <c r="J118" s="56">
        <v>1500000</v>
      </c>
      <c r="K118" s="56">
        <v>1500000</v>
      </c>
      <c r="L118" t="s">
        <v>584</v>
      </c>
      <c r="M118" t="s">
        <v>585</v>
      </c>
      <c r="N118" t="s">
        <v>585</v>
      </c>
    </row>
    <row r="119" spans="2:14" hidden="1" x14ac:dyDescent="0.2">
      <c r="B119">
        <v>118</v>
      </c>
      <c r="C119" t="s">
        <v>317</v>
      </c>
      <c r="D119" t="str">
        <f>VLOOKUP(C119,'Master Anggota'!$E$2:$J$678,2,0)</f>
        <v>Aktif</v>
      </c>
      <c r="G119" t="str">
        <f>VLOOKUP(C119,'Master Anggota'!$E$2:$J$678,5,0)</f>
        <v>01573</v>
      </c>
      <c r="H119" s="56">
        <v>0</v>
      </c>
      <c r="I119" s="56">
        <v>1141370</v>
      </c>
      <c r="J119" s="56">
        <v>2100000</v>
      </c>
      <c r="K119" s="56">
        <v>8400000</v>
      </c>
      <c r="L119" t="s">
        <v>584</v>
      </c>
      <c r="M119" t="s">
        <v>585</v>
      </c>
      <c r="N119" t="s">
        <v>585</v>
      </c>
    </row>
    <row r="120" spans="2:14" hidden="1" x14ac:dyDescent="0.2">
      <c r="B120">
        <v>119</v>
      </c>
      <c r="C120" t="s">
        <v>107</v>
      </c>
      <c r="D120" t="str">
        <f>VLOOKUP(C120,'Master Anggota'!$E$2:$J$678,2,0)</f>
        <v>Aktif</v>
      </c>
      <c r="G120" t="str">
        <f>VLOOKUP(C120,'Master Anggota'!$E$2:$J$678,5,0)</f>
        <v>00521</v>
      </c>
      <c r="H120" s="56">
        <v>0</v>
      </c>
      <c r="I120" s="56">
        <v>3781837</v>
      </c>
      <c r="J120" s="56">
        <v>10278196.839707721</v>
      </c>
      <c r="K120" s="56">
        <v>4594353</v>
      </c>
      <c r="L120" t="s">
        <v>584</v>
      </c>
      <c r="M120" t="s">
        <v>585</v>
      </c>
      <c r="N120" t="s">
        <v>585</v>
      </c>
    </row>
    <row r="121" spans="2:14" hidden="1" x14ac:dyDescent="0.2">
      <c r="B121">
        <v>120</v>
      </c>
      <c r="C121" t="s">
        <v>109</v>
      </c>
      <c r="D121" t="str">
        <f>VLOOKUP(C121,'Master Anggota'!$E$2:$J$678,2,0)</f>
        <v>Aktif</v>
      </c>
      <c r="G121" t="str">
        <f>VLOOKUP(C121,'Master Anggota'!$E$2:$J$678,5,0)</f>
        <v>00557</v>
      </c>
      <c r="H121" s="56">
        <v>0</v>
      </c>
      <c r="I121" s="56">
        <v>2387420</v>
      </c>
      <c r="J121" s="56">
        <v>5250000</v>
      </c>
      <c r="K121" s="56">
        <v>-950000</v>
      </c>
      <c r="L121" t="s">
        <v>584</v>
      </c>
      <c r="M121" t="s">
        <v>585</v>
      </c>
      <c r="N121" t="s">
        <v>585</v>
      </c>
    </row>
    <row r="122" spans="2:14" hidden="1" x14ac:dyDescent="0.2">
      <c r="B122">
        <v>121</v>
      </c>
      <c r="C122" t="s">
        <v>110</v>
      </c>
      <c r="D122" t="str">
        <f>VLOOKUP(C122,'Master Anggota'!$E$2:$J$678,2,0)</f>
        <v>Aktif</v>
      </c>
      <c r="G122" t="str">
        <f>VLOOKUP(C122,'Master Anggota'!$E$2:$J$678,5,0)</f>
        <v>00580</v>
      </c>
      <c r="H122" s="56">
        <v>0</v>
      </c>
      <c r="I122" s="56">
        <v>661943</v>
      </c>
      <c r="J122" s="56">
        <v>2800000</v>
      </c>
      <c r="K122" s="56">
        <v>725000</v>
      </c>
      <c r="L122" t="s">
        <v>584</v>
      </c>
      <c r="M122" t="s">
        <v>585</v>
      </c>
      <c r="N122" t="s">
        <v>585</v>
      </c>
    </row>
    <row r="123" spans="2:14" hidden="1" x14ac:dyDescent="0.2">
      <c r="B123">
        <v>122</v>
      </c>
      <c r="C123" t="s">
        <v>312</v>
      </c>
      <c r="D123" t="str">
        <f>VLOOKUP(C123,'Master Anggota'!$E$2:$J$678,2,0)</f>
        <v>Aktif</v>
      </c>
      <c r="G123" t="str">
        <f>VLOOKUP(C123,'Master Anggota'!$E$2:$J$678,5,0)</f>
        <v>00621</v>
      </c>
      <c r="H123" s="56">
        <v>0</v>
      </c>
      <c r="I123" s="56">
        <v>967349</v>
      </c>
      <c r="J123" s="56">
        <v>3000000</v>
      </c>
      <c r="K123" s="56">
        <v>3000000</v>
      </c>
      <c r="L123" t="s">
        <v>584</v>
      </c>
      <c r="M123" t="s">
        <v>585</v>
      </c>
      <c r="N123" t="s">
        <v>585</v>
      </c>
    </row>
    <row r="124" spans="2:14" hidden="1" x14ac:dyDescent="0.2">
      <c r="B124">
        <v>123</v>
      </c>
      <c r="C124" t="s">
        <v>188</v>
      </c>
      <c r="D124" t="str">
        <f>VLOOKUP(C124,'Master Anggota'!$E$2:$J$678,2,0)</f>
        <v>Aktif</v>
      </c>
      <c r="G124" t="str">
        <f>VLOOKUP(C124,'Master Anggota'!$E$2:$J$678,5,0)</f>
        <v>00596</v>
      </c>
      <c r="H124" s="56">
        <v>0</v>
      </c>
      <c r="I124" s="56">
        <v>4574387</v>
      </c>
      <c r="J124" s="56">
        <v>5630029.8241981389</v>
      </c>
      <c r="K124" s="56">
        <v>5100000</v>
      </c>
      <c r="L124" t="s">
        <v>584</v>
      </c>
      <c r="M124" t="s">
        <v>585</v>
      </c>
      <c r="N124" t="s">
        <v>585</v>
      </c>
    </row>
    <row r="125" spans="2:14" hidden="1" x14ac:dyDescent="0.2">
      <c r="B125">
        <v>124</v>
      </c>
      <c r="C125" t="s">
        <v>425</v>
      </c>
      <c r="D125" t="str">
        <f>VLOOKUP(C125,'Master Anggota'!$E$2:$J$678,2,0)</f>
        <v>Aktif</v>
      </c>
      <c r="G125" t="str">
        <f>VLOOKUP(C125,'Master Anggota'!$E$2:$J$678,5,0)</f>
        <v>00629</v>
      </c>
      <c r="H125" s="56">
        <v>0</v>
      </c>
      <c r="I125" s="56">
        <v>114026</v>
      </c>
      <c r="J125" s="56">
        <v>1500000</v>
      </c>
      <c r="K125" s="56">
        <v>750000</v>
      </c>
      <c r="L125" t="s">
        <v>584</v>
      </c>
      <c r="M125" t="s">
        <v>585</v>
      </c>
      <c r="N125" t="s">
        <v>585</v>
      </c>
    </row>
    <row r="126" spans="2:14" hidden="1" x14ac:dyDescent="0.2">
      <c r="B126">
        <v>125</v>
      </c>
      <c r="C126" t="s">
        <v>444</v>
      </c>
      <c r="D126" t="str">
        <f>VLOOKUP(C126,'Master Anggota'!$E$2:$J$678,2,0)</f>
        <v>Aktif</v>
      </c>
      <c r="G126" t="str">
        <f>VLOOKUP(C126,'Master Anggota'!$E$2:$J$678,5,0)</f>
        <v>01711</v>
      </c>
      <c r="H126" s="56">
        <v>0</v>
      </c>
      <c r="I126" s="56">
        <v>0</v>
      </c>
      <c r="J126" s="56">
        <v>1000000</v>
      </c>
      <c r="K126" s="56">
        <v>1500000</v>
      </c>
      <c r="L126" t="s">
        <v>584</v>
      </c>
      <c r="M126" t="s">
        <v>585</v>
      </c>
      <c r="N126" t="s">
        <v>585</v>
      </c>
    </row>
    <row r="127" spans="2:14" hidden="1" x14ac:dyDescent="0.2">
      <c r="B127">
        <v>126</v>
      </c>
      <c r="C127" t="s">
        <v>316</v>
      </c>
      <c r="D127" t="str">
        <f>VLOOKUP(C127,'Master Anggota'!$E$2:$J$678,2,0)</f>
        <v>Aktif</v>
      </c>
      <c r="G127" t="str">
        <f>VLOOKUP(C127,'Master Anggota'!$E$2:$J$678,5,0)</f>
        <v>01544</v>
      </c>
      <c r="H127" s="56">
        <v>0</v>
      </c>
      <c r="I127" s="56">
        <v>3358731</v>
      </c>
      <c r="J127" s="56">
        <v>10520119.296792559</v>
      </c>
      <c r="K127" s="56">
        <v>2900000</v>
      </c>
      <c r="L127" t="s">
        <v>584</v>
      </c>
      <c r="M127" t="s">
        <v>585</v>
      </c>
      <c r="N127" t="s">
        <v>585</v>
      </c>
    </row>
    <row r="128" spans="2:14" hidden="1" x14ac:dyDescent="0.2">
      <c r="B128">
        <v>127</v>
      </c>
      <c r="C128" t="s">
        <v>231</v>
      </c>
      <c r="D128" t="str">
        <f>VLOOKUP(C128,'Master Anggota'!$E$2:$J$678,2,0)</f>
        <v>Aktif</v>
      </c>
      <c r="G128" t="str">
        <f>VLOOKUP(C128,'Master Anggota'!$E$2:$J$678,5,0)</f>
        <v>00542</v>
      </c>
      <c r="H128" s="56">
        <v>0</v>
      </c>
      <c r="I128" s="56">
        <v>4242556</v>
      </c>
      <c r="J128" s="56">
        <v>10444202.804547351</v>
      </c>
      <c r="K128" s="56">
        <v>2200000</v>
      </c>
      <c r="L128" t="s">
        <v>584</v>
      </c>
      <c r="M128" t="s">
        <v>585</v>
      </c>
      <c r="N128" t="s">
        <v>585</v>
      </c>
    </row>
    <row r="129" spans="2:14" hidden="1" x14ac:dyDescent="0.2">
      <c r="B129">
        <v>128</v>
      </c>
      <c r="C129" t="s">
        <v>335</v>
      </c>
      <c r="D129" t="str">
        <f>VLOOKUP(C129,'Master Anggota'!$E$2:$J$678,2,0)</f>
        <v>Aktif</v>
      </c>
      <c r="G129" t="str">
        <f>VLOOKUP(C129,'Master Anggota'!$E$2:$J$678,5,0)</f>
        <v>00311</v>
      </c>
      <c r="H129" s="56">
        <v>0</v>
      </c>
      <c r="I129" s="56">
        <v>10398255</v>
      </c>
      <c r="J129" s="56">
        <v>17464595.057615209</v>
      </c>
      <c r="K129" s="56">
        <v>8083000</v>
      </c>
      <c r="L129" t="s">
        <v>584</v>
      </c>
      <c r="M129" t="s">
        <v>585</v>
      </c>
      <c r="N129" t="s">
        <v>585</v>
      </c>
    </row>
    <row r="130" spans="2:14" hidden="1" x14ac:dyDescent="0.2">
      <c r="B130">
        <v>129</v>
      </c>
      <c r="C130" t="s">
        <v>233</v>
      </c>
      <c r="D130" t="str">
        <f>VLOOKUP(C130,'Master Anggota'!$E$2:$J$678,2,0)</f>
        <v>Aktif</v>
      </c>
      <c r="G130" t="str">
        <f>VLOOKUP(C130,'Master Anggota'!$E$2:$J$678,5,0)</f>
        <v>00516</v>
      </c>
      <c r="H130" s="56">
        <v>0</v>
      </c>
      <c r="I130" s="56">
        <v>5194678</v>
      </c>
      <c r="J130" s="56">
        <v>16453618.731741879</v>
      </c>
      <c r="K130" s="56">
        <v>3415000</v>
      </c>
      <c r="L130" t="s">
        <v>584</v>
      </c>
      <c r="M130" t="s">
        <v>585</v>
      </c>
      <c r="N130" t="s">
        <v>585</v>
      </c>
    </row>
    <row r="131" spans="2:14" hidden="1" x14ac:dyDescent="0.2">
      <c r="B131">
        <v>130</v>
      </c>
      <c r="C131" t="s">
        <v>235</v>
      </c>
      <c r="D131" t="str">
        <f>VLOOKUP(C131,'Master Anggota'!$E$2:$J$678,2,0)</f>
        <v>Aktif</v>
      </c>
      <c r="G131" t="str">
        <f>VLOOKUP(C131,'Master Anggota'!$E$2:$J$678,5,0)</f>
        <v>00523</v>
      </c>
      <c r="H131" s="56">
        <v>0</v>
      </c>
      <c r="I131" s="56">
        <v>6715846</v>
      </c>
      <c r="J131" s="56">
        <v>17117642.591100391</v>
      </c>
      <c r="K131" s="56">
        <v>6656000</v>
      </c>
      <c r="L131" t="s">
        <v>584</v>
      </c>
      <c r="M131" t="s">
        <v>585</v>
      </c>
      <c r="N131" t="s">
        <v>585</v>
      </c>
    </row>
    <row r="132" spans="2:14" hidden="1" x14ac:dyDescent="0.2">
      <c r="B132">
        <v>131</v>
      </c>
      <c r="C132" t="s">
        <v>239</v>
      </c>
      <c r="D132" t="str">
        <f>VLOOKUP(C132,'Master Anggota'!$E$2:$J$678,2,0)</f>
        <v>Aktif</v>
      </c>
      <c r="G132" t="str">
        <f>VLOOKUP(C132,'Master Anggota'!$E$2:$J$678,5,0)</f>
        <v>00513</v>
      </c>
      <c r="H132" s="56">
        <v>0</v>
      </c>
      <c r="I132" s="56">
        <v>9786461</v>
      </c>
      <c r="J132" s="56">
        <v>16403816.942289989</v>
      </c>
      <c r="K132" s="56">
        <v>3665000</v>
      </c>
      <c r="L132" t="s">
        <v>584</v>
      </c>
      <c r="M132" t="s">
        <v>585</v>
      </c>
      <c r="N132" t="s">
        <v>585</v>
      </c>
    </row>
    <row r="133" spans="2:14" hidden="1" x14ac:dyDescent="0.2">
      <c r="B133">
        <v>132</v>
      </c>
      <c r="C133" t="s">
        <v>550</v>
      </c>
      <c r="D133" t="str">
        <f>VLOOKUP(C133,'Master Anggota'!$E$2:$J$678,2,0)</f>
        <v>Aktif</v>
      </c>
      <c r="G133" t="str">
        <f>VLOOKUP(C133,'Master Anggota'!$E$2:$J$678,5,0)</f>
        <v>PHL Distribusi</v>
      </c>
      <c r="H133" s="56">
        <v>0</v>
      </c>
      <c r="I133" s="56">
        <v>0</v>
      </c>
      <c r="J133" s="56">
        <v>600000</v>
      </c>
      <c r="K133" s="56">
        <v>600000</v>
      </c>
      <c r="L133" t="s">
        <v>584</v>
      </c>
      <c r="M133" t="s">
        <v>585</v>
      </c>
      <c r="N133" t="s">
        <v>585</v>
      </c>
    </row>
    <row r="134" spans="2:14" hidden="1" x14ac:dyDescent="0.2">
      <c r="B134">
        <v>133</v>
      </c>
      <c r="C134" t="s">
        <v>421</v>
      </c>
      <c r="D134" t="str">
        <f>VLOOKUP(C134,'Master Anggota'!$E$2:$J$678,2,0)</f>
        <v>Aktif</v>
      </c>
      <c r="G134" t="str">
        <f>VLOOKUP(C134,'Master Anggota'!$E$2:$J$678,5,0)</f>
        <v>01560</v>
      </c>
      <c r="H134" s="56">
        <v>0</v>
      </c>
      <c r="I134" s="56">
        <v>3418946</v>
      </c>
      <c r="J134" s="56">
        <v>6294053.6835566508</v>
      </c>
      <c r="K134" s="56">
        <v>2100000</v>
      </c>
      <c r="L134" t="s">
        <v>584</v>
      </c>
      <c r="M134" t="s">
        <v>585</v>
      </c>
      <c r="N134" t="s">
        <v>585</v>
      </c>
    </row>
    <row r="135" spans="2:14" hidden="1" x14ac:dyDescent="0.2">
      <c r="B135">
        <v>134</v>
      </c>
      <c r="C135" t="s">
        <v>501</v>
      </c>
      <c r="D135" t="str">
        <f>VLOOKUP(C135,'Master Anggota'!$E$2:$J$678,2,0)</f>
        <v>Purna Bakti 2026</v>
      </c>
      <c r="G135" t="str">
        <f>VLOOKUP(C135,'Master Anggota'!$E$2:$J$678,5,0)</f>
        <v>01777</v>
      </c>
      <c r="H135" s="56">
        <v>0</v>
      </c>
      <c r="I135" s="56">
        <v>0</v>
      </c>
      <c r="J135" s="56">
        <v>800000</v>
      </c>
      <c r="K135" s="56">
        <v>1600000</v>
      </c>
      <c r="L135" t="s">
        <v>584</v>
      </c>
      <c r="M135" t="s">
        <v>585</v>
      </c>
      <c r="N135" t="s">
        <v>585</v>
      </c>
    </row>
    <row r="136" spans="2:14" hidden="1" x14ac:dyDescent="0.2">
      <c r="B136">
        <v>135</v>
      </c>
      <c r="C136" t="s">
        <v>548</v>
      </c>
      <c r="D136" t="str">
        <f>VLOOKUP(C136,'Master Anggota'!$E$2:$J$678,2,0)</f>
        <v>Aktif</v>
      </c>
      <c r="G136" t="str">
        <f>VLOOKUP(C136,'Master Anggota'!$E$2:$J$678,5,0)</f>
        <v>PHL Distribusi</v>
      </c>
      <c r="H136" s="56">
        <v>0</v>
      </c>
      <c r="I136" s="56">
        <v>0</v>
      </c>
      <c r="J136" s="56">
        <v>600000</v>
      </c>
      <c r="K136" s="56">
        <v>2200000</v>
      </c>
      <c r="L136" t="s">
        <v>584</v>
      </c>
      <c r="M136" t="s">
        <v>585</v>
      </c>
      <c r="N136" t="s">
        <v>585</v>
      </c>
    </row>
    <row r="137" spans="2:14" hidden="1" x14ac:dyDescent="0.2">
      <c r="B137">
        <v>136</v>
      </c>
      <c r="C137" t="s">
        <v>113</v>
      </c>
      <c r="D137" t="str">
        <f>VLOOKUP(C137,'Master Anggota'!$E$2:$J$678,2,0)</f>
        <v>Aktif</v>
      </c>
      <c r="G137" t="str">
        <f>VLOOKUP(C137,'Master Anggota'!$E$2:$J$678,5,0)</f>
        <v>00317</v>
      </c>
      <c r="H137" s="56">
        <v>0</v>
      </c>
      <c r="I137" s="56">
        <v>9159642</v>
      </c>
      <c r="J137" s="56">
        <v>17149183.724419922</v>
      </c>
      <c r="K137" s="56">
        <v>1753000</v>
      </c>
      <c r="L137" t="s">
        <v>584</v>
      </c>
      <c r="M137" t="s">
        <v>585</v>
      </c>
      <c r="N137" t="s">
        <v>585</v>
      </c>
    </row>
    <row r="138" spans="2:14" hidden="1" x14ac:dyDescent="0.2">
      <c r="B138">
        <v>137</v>
      </c>
      <c r="C138" t="s">
        <v>241</v>
      </c>
      <c r="D138" t="str">
        <f>VLOOKUP(C138,'Master Anggota'!$E$2:$J$678,2,0)</f>
        <v>Aktif</v>
      </c>
      <c r="G138" t="str">
        <f>VLOOKUP(C138,'Master Anggota'!$E$2:$J$678,5,0)</f>
        <v>00526</v>
      </c>
      <c r="H138" s="56">
        <v>0</v>
      </c>
      <c r="I138" s="56">
        <v>5610287</v>
      </c>
      <c r="J138" s="56">
        <v>12685283.32988232</v>
      </c>
      <c r="K138" s="56">
        <v>1175000</v>
      </c>
      <c r="L138" t="s">
        <v>584</v>
      </c>
      <c r="M138" t="s">
        <v>585</v>
      </c>
      <c r="N138" t="s">
        <v>585</v>
      </c>
    </row>
    <row r="139" spans="2:14" hidden="1" x14ac:dyDescent="0.2">
      <c r="B139">
        <v>138</v>
      </c>
      <c r="C139" t="s">
        <v>519</v>
      </c>
      <c r="D139" t="str">
        <f>VLOOKUP(C139,'Master Anggota'!$E$2:$J$678,2,0)</f>
        <v>Aktif</v>
      </c>
      <c r="G139" t="str">
        <f>VLOOKUP(C139,'Master Anggota'!$E$2:$J$678,5,0)</f>
        <v>00611</v>
      </c>
      <c r="H139" s="56">
        <v>0</v>
      </c>
      <c r="I139" s="56">
        <v>661114</v>
      </c>
      <c r="J139" s="56">
        <v>2400000</v>
      </c>
      <c r="K139" s="56">
        <v>800000</v>
      </c>
      <c r="L139" t="s">
        <v>584</v>
      </c>
      <c r="M139" t="s">
        <v>585</v>
      </c>
      <c r="N139" t="s">
        <v>585</v>
      </c>
    </row>
    <row r="140" spans="2:14" hidden="1" x14ac:dyDescent="0.2">
      <c r="B140">
        <v>139</v>
      </c>
      <c r="C140" t="s">
        <v>435</v>
      </c>
      <c r="D140" t="str">
        <f>VLOOKUP(C140,'Master Anggota'!$E$2:$J$678,2,0)</f>
        <v>Aktif</v>
      </c>
      <c r="G140" t="str">
        <f>VLOOKUP(C140,'Master Anggota'!$E$2:$J$678,5,0)</f>
        <v>00637</v>
      </c>
      <c r="H140" s="56">
        <v>0</v>
      </c>
      <c r="I140" s="56">
        <v>0</v>
      </c>
      <c r="J140" s="56">
        <v>1100000</v>
      </c>
      <c r="K140" s="56">
        <v>650000</v>
      </c>
      <c r="L140" t="s">
        <v>584</v>
      </c>
      <c r="M140" t="s">
        <v>585</v>
      </c>
      <c r="N140" t="s">
        <v>585</v>
      </c>
    </row>
    <row r="141" spans="2:14" hidden="1" x14ac:dyDescent="0.2">
      <c r="B141">
        <v>140</v>
      </c>
      <c r="C141" t="s">
        <v>372</v>
      </c>
      <c r="D141" t="str">
        <f>VLOOKUP(C141,'Master Anggota'!$E$2:$J$678,2,0)</f>
        <v>Purna Bakti 2026</v>
      </c>
      <c r="G141" t="str">
        <f>VLOOKUP(C141,'Master Anggota'!$E$2:$J$678,5,0)</f>
        <v>01608</v>
      </c>
      <c r="H141" s="56">
        <v>0</v>
      </c>
      <c r="I141" s="56">
        <v>126757</v>
      </c>
      <c r="J141" s="56">
        <v>1400000</v>
      </c>
      <c r="K141" s="56">
        <v>2100000</v>
      </c>
      <c r="L141" t="s">
        <v>584</v>
      </c>
      <c r="M141" t="s">
        <v>585</v>
      </c>
      <c r="N141" t="s">
        <v>585</v>
      </c>
    </row>
    <row r="142" spans="2:14" hidden="1" x14ac:dyDescent="0.2">
      <c r="B142">
        <v>141</v>
      </c>
      <c r="C142" t="s">
        <v>115</v>
      </c>
      <c r="D142" t="str">
        <f>VLOOKUP(C142,'Master Anggota'!$E$2:$J$678,2,0)</f>
        <v>Aktif</v>
      </c>
      <c r="G142" t="str">
        <f>VLOOKUP(C142,'Master Anggota'!$E$2:$J$678,5,0)</f>
        <v>00497</v>
      </c>
      <c r="H142" s="56">
        <v>0</v>
      </c>
      <c r="I142" s="56">
        <v>6242061</v>
      </c>
      <c r="J142" s="56">
        <v>15872597.85480318</v>
      </c>
      <c r="K142" s="56">
        <v>4703058</v>
      </c>
      <c r="L142" t="s">
        <v>584</v>
      </c>
      <c r="M142" t="s">
        <v>585</v>
      </c>
      <c r="N142" t="s">
        <v>585</v>
      </c>
    </row>
    <row r="143" spans="2:14" hidden="1" x14ac:dyDescent="0.2">
      <c r="B143">
        <v>142</v>
      </c>
      <c r="C143" t="s">
        <v>117</v>
      </c>
      <c r="D143" t="str">
        <f>VLOOKUP(C143,'Master Anggota'!$E$2:$J$678,2,0)</f>
        <v>Aktif</v>
      </c>
      <c r="G143" t="str">
        <f>VLOOKUP(C143,'Master Anggota'!$E$2:$J$678,5,0)</f>
        <v>00497</v>
      </c>
      <c r="H143" s="56">
        <v>0</v>
      </c>
      <c r="I143" s="56">
        <v>3088135</v>
      </c>
      <c r="J143" s="56">
        <v>11274232.628745491</v>
      </c>
      <c r="K143" s="56">
        <v>2755000</v>
      </c>
      <c r="L143" t="s">
        <v>584</v>
      </c>
      <c r="M143" t="s">
        <v>585</v>
      </c>
      <c r="N143" t="s">
        <v>585</v>
      </c>
    </row>
    <row r="144" spans="2:14" hidden="1" x14ac:dyDescent="0.2">
      <c r="B144">
        <v>143</v>
      </c>
      <c r="C144" t="s">
        <v>118</v>
      </c>
      <c r="D144" t="str">
        <f>VLOOKUP(C144,'Master Anggota'!$E$2:$J$678,2,0)</f>
        <v>Aktif</v>
      </c>
      <c r="G144" t="str">
        <f>VLOOKUP(C144,'Master Anggota'!$E$2:$J$678,5,0)</f>
        <v>00544</v>
      </c>
      <c r="H144" s="56">
        <v>0</v>
      </c>
      <c r="I144" s="56">
        <v>2147886</v>
      </c>
      <c r="J144" s="56">
        <v>8452131.2264718097</v>
      </c>
      <c r="K144" s="56">
        <v>2000000</v>
      </c>
      <c r="L144" t="s">
        <v>584</v>
      </c>
      <c r="M144" t="s">
        <v>585</v>
      </c>
      <c r="N144" t="s">
        <v>585</v>
      </c>
    </row>
    <row r="145" spans="2:14" hidden="1" x14ac:dyDescent="0.2">
      <c r="B145">
        <v>144</v>
      </c>
      <c r="C145" t="s">
        <v>243</v>
      </c>
      <c r="D145" t="str">
        <f>VLOOKUP(C145,'Master Anggota'!$E$2:$J$678,2,0)</f>
        <v>Aktif</v>
      </c>
      <c r="G145" t="str">
        <f>VLOOKUP(C145,'Master Anggota'!$E$2:$J$678,5,0)</f>
        <v>00530</v>
      </c>
      <c r="H145" s="56">
        <v>0</v>
      </c>
      <c r="I145" s="56">
        <v>4178368</v>
      </c>
      <c r="J145" s="56">
        <v>12477775.87383279</v>
      </c>
      <c r="K145" s="56">
        <v>5195000</v>
      </c>
      <c r="L145" t="s">
        <v>584</v>
      </c>
      <c r="M145" t="s">
        <v>585</v>
      </c>
      <c r="N145" t="s">
        <v>585</v>
      </c>
    </row>
    <row r="146" spans="2:14" hidden="1" x14ac:dyDescent="0.2">
      <c r="B146">
        <v>145</v>
      </c>
      <c r="C146" t="s">
        <v>492</v>
      </c>
      <c r="D146" t="str">
        <f>VLOOKUP(C146,'Master Anggota'!$E$2:$J$678,2,0)</f>
        <v>Aktif</v>
      </c>
      <c r="G146" t="str">
        <f>VLOOKUP(C146,'Master Anggota'!$E$2:$J$678,5,0)</f>
        <v>01728</v>
      </c>
      <c r="H146" s="56">
        <v>0</v>
      </c>
      <c r="I146" s="56">
        <v>1192391</v>
      </c>
      <c r="J146" s="56">
        <v>3200000</v>
      </c>
      <c r="K146" s="56">
        <v>2000000</v>
      </c>
      <c r="L146" t="s">
        <v>584</v>
      </c>
      <c r="M146" t="s">
        <v>585</v>
      </c>
      <c r="N146" t="s">
        <v>585</v>
      </c>
    </row>
    <row r="147" spans="2:14" hidden="1" x14ac:dyDescent="0.2">
      <c r="B147">
        <v>146</v>
      </c>
      <c r="C147" t="s">
        <v>308</v>
      </c>
      <c r="D147" t="str">
        <f>VLOOKUP(C147,'Master Anggota'!$E$2:$J$678,2,0)</f>
        <v>Aktif</v>
      </c>
      <c r="G147" t="str">
        <f>VLOOKUP(C147,'Master Anggota'!$E$2:$J$678,5,0)</f>
        <v>01604</v>
      </c>
      <c r="H147" s="56">
        <v>0</v>
      </c>
      <c r="I147" s="56">
        <v>1175605</v>
      </c>
      <c r="J147" s="56">
        <v>3200000</v>
      </c>
      <c r="K147" s="56">
        <v>3200000</v>
      </c>
      <c r="L147" t="s">
        <v>584</v>
      </c>
      <c r="M147" t="s">
        <v>585</v>
      </c>
      <c r="N147" t="s">
        <v>585</v>
      </c>
    </row>
    <row r="148" spans="2:14" hidden="1" x14ac:dyDescent="0.2">
      <c r="B148">
        <v>147</v>
      </c>
      <c r="C148" t="s">
        <v>245</v>
      </c>
      <c r="D148" t="str">
        <f>VLOOKUP(C148,'Master Anggota'!$E$2:$J$678,2,0)</f>
        <v>Aktif</v>
      </c>
      <c r="G148" t="str">
        <f>VLOOKUP(C148,'Master Anggota'!$E$2:$J$678,5,0)</f>
        <v>00532</v>
      </c>
      <c r="H148" s="56">
        <v>0</v>
      </c>
      <c r="I148" s="56">
        <v>6096736</v>
      </c>
      <c r="J148" s="56">
        <v>12436274.382622879</v>
      </c>
      <c r="K148" s="56">
        <v>3800000</v>
      </c>
      <c r="L148" t="s">
        <v>584</v>
      </c>
      <c r="M148" t="s">
        <v>585</v>
      </c>
      <c r="N148" t="s">
        <v>585</v>
      </c>
    </row>
    <row r="149" spans="2:14" hidden="1" x14ac:dyDescent="0.2">
      <c r="B149">
        <v>148</v>
      </c>
      <c r="C149" t="s">
        <v>526</v>
      </c>
      <c r="D149" t="str">
        <f>VLOOKUP(C149,'Master Anggota'!$E$2:$J$678,2,0)</f>
        <v>Aktif</v>
      </c>
      <c r="G149" t="str">
        <f>VLOOKUP(C149,'Master Anggota'!$E$2:$J$678,5,0)</f>
        <v>PHL</v>
      </c>
      <c r="H149" s="56">
        <v>0</v>
      </c>
      <c r="I149" s="56">
        <v>188216</v>
      </c>
      <c r="J149" s="56">
        <v>1700000</v>
      </c>
      <c r="K149" s="56">
        <v>3400000</v>
      </c>
      <c r="L149" t="s">
        <v>584</v>
      </c>
      <c r="M149" t="s">
        <v>585</v>
      </c>
      <c r="N149" t="s">
        <v>585</v>
      </c>
    </row>
    <row r="150" spans="2:14" hidden="1" x14ac:dyDescent="0.2">
      <c r="B150">
        <v>149</v>
      </c>
      <c r="C150" t="s">
        <v>341</v>
      </c>
      <c r="D150" t="str">
        <f>VLOOKUP(C150,'Master Anggota'!$E$2:$J$678,2,0)</f>
        <v>Aktif</v>
      </c>
      <c r="G150" t="str">
        <f>VLOOKUP(C150,'Master Anggota'!$E$2:$J$678,5,0)</f>
        <v>00339</v>
      </c>
      <c r="H150" s="56">
        <v>0</v>
      </c>
      <c r="I150" s="56">
        <v>8444920</v>
      </c>
      <c r="J150" s="56">
        <v>19907372.83023034</v>
      </c>
      <c r="K150" s="56">
        <v>3168000</v>
      </c>
      <c r="L150" t="s">
        <v>584</v>
      </c>
      <c r="M150" t="s">
        <v>585</v>
      </c>
      <c r="N150" t="s">
        <v>585</v>
      </c>
    </row>
    <row r="151" spans="2:14" hidden="1" x14ac:dyDescent="0.2">
      <c r="B151">
        <v>150</v>
      </c>
      <c r="C151" t="s">
        <v>495</v>
      </c>
      <c r="D151" t="str">
        <f>VLOOKUP(C151,'Master Anggota'!$E$2:$J$678,2,0)</f>
        <v>Aktif</v>
      </c>
      <c r="G151" t="str">
        <f>VLOOKUP(C151,'Master Anggota'!$E$2:$J$678,5,0)</f>
        <v>01754</v>
      </c>
      <c r="H151" s="56">
        <v>0</v>
      </c>
      <c r="I151" s="56">
        <v>1929988</v>
      </c>
      <c r="J151" s="56">
        <v>2900000</v>
      </c>
      <c r="K151" s="56">
        <v>3100000</v>
      </c>
      <c r="L151" t="s">
        <v>584</v>
      </c>
      <c r="M151" t="s">
        <v>585</v>
      </c>
      <c r="N151" t="s">
        <v>585</v>
      </c>
    </row>
    <row r="152" spans="2:14" hidden="1" x14ac:dyDescent="0.2">
      <c r="B152">
        <v>151</v>
      </c>
      <c r="C152" t="s">
        <v>122</v>
      </c>
      <c r="D152" t="str">
        <f>VLOOKUP(C152,'Master Anggota'!$E$2:$J$678,2,0)</f>
        <v>Aktif</v>
      </c>
      <c r="G152" t="str">
        <f>VLOOKUP(C152,'Master Anggota'!$E$2:$J$678,5,0)</f>
        <v>00485</v>
      </c>
      <c r="H152" s="56">
        <v>0</v>
      </c>
      <c r="I152" s="56">
        <v>11338111</v>
      </c>
      <c r="J152" s="56">
        <v>17399852.731327761</v>
      </c>
      <c r="K152" s="56">
        <v>6566250</v>
      </c>
      <c r="L152" t="s">
        <v>584</v>
      </c>
      <c r="M152" t="s">
        <v>585</v>
      </c>
      <c r="N152" t="s">
        <v>585</v>
      </c>
    </row>
    <row r="153" spans="2:14" hidden="1" x14ac:dyDescent="0.2">
      <c r="B153">
        <v>152</v>
      </c>
      <c r="C153" t="s">
        <v>177</v>
      </c>
      <c r="D153" t="str">
        <f>VLOOKUP(C153,'Master Anggota'!$E$2:$J$678,2,0)</f>
        <v>Aktif</v>
      </c>
      <c r="G153" t="str">
        <f>VLOOKUP(C153,'Master Anggota'!$E$2:$J$678,5,0)</f>
        <v>00569</v>
      </c>
      <c r="H153" s="56">
        <v>0</v>
      </c>
      <c r="I153" s="56">
        <v>4566224</v>
      </c>
      <c r="J153" s="56">
        <v>10527205.78696716</v>
      </c>
      <c r="K153" s="56">
        <v>2750000</v>
      </c>
      <c r="L153" t="s">
        <v>584</v>
      </c>
      <c r="M153" t="s">
        <v>585</v>
      </c>
      <c r="N153" t="s">
        <v>585</v>
      </c>
    </row>
    <row r="154" spans="2:14" hidden="1" x14ac:dyDescent="0.2">
      <c r="B154">
        <v>153</v>
      </c>
      <c r="C154" t="s">
        <v>532</v>
      </c>
      <c r="D154" t="str">
        <f>VLOOKUP(C154,'Master Anggota'!$E$2:$J$678,2,0)</f>
        <v>Aktif</v>
      </c>
      <c r="G154" t="str">
        <f>VLOOKUP(C154,'Master Anggota'!$E$2:$J$678,5,0)</f>
        <v>Nasabah</v>
      </c>
      <c r="H154" s="56">
        <v>0</v>
      </c>
      <c r="I154" s="56">
        <v>1187301</v>
      </c>
      <c r="J154" s="56">
        <v>3500000</v>
      </c>
      <c r="K154" s="56">
        <v>3500000</v>
      </c>
      <c r="L154" t="s">
        <v>584</v>
      </c>
      <c r="M154" t="s">
        <v>585</v>
      </c>
      <c r="N154" t="s">
        <v>585</v>
      </c>
    </row>
    <row r="155" spans="2:14" hidden="1" x14ac:dyDescent="0.2">
      <c r="B155">
        <v>154</v>
      </c>
      <c r="C155" t="s">
        <v>366</v>
      </c>
      <c r="D155" t="str">
        <f>VLOOKUP(C155,'Master Anggota'!$E$2:$J$678,2,0)</f>
        <v>Aktif</v>
      </c>
      <c r="G155" t="str">
        <f>VLOOKUP(C155,'Master Anggota'!$E$2:$J$678,5,0)</f>
        <v>00545</v>
      </c>
      <c r="H155" s="56">
        <v>0</v>
      </c>
      <c r="I155" s="56">
        <v>1271321</v>
      </c>
      <c r="J155" s="56">
        <v>4300000</v>
      </c>
      <c r="K155" s="56">
        <v>2150000</v>
      </c>
      <c r="L155" t="s">
        <v>584</v>
      </c>
      <c r="M155" t="s">
        <v>585</v>
      </c>
      <c r="N155" t="s">
        <v>585</v>
      </c>
    </row>
    <row r="156" spans="2:14" hidden="1" x14ac:dyDescent="0.2">
      <c r="B156">
        <v>155</v>
      </c>
      <c r="C156" t="s">
        <v>131</v>
      </c>
      <c r="D156" t="str">
        <f>VLOOKUP(C156,'Master Anggota'!$E$2:$J$678,2,0)</f>
        <v>Purna Bakti 2025</v>
      </c>
      <c r="G156" t="str">
        <f>VLOOKUP(C156,'Master Anggota'!$E$2:$J$678,5,0)</f>
        <v>00392</v>
      </c>
      <c r="H156" s="56">
        <v>0</v>
      </c>
      <c r="I156" s="56">
        <v>4876583</v>
      </c>
      <c r="J156" s="56">
        <v>16940561.380345218</v>
      </c>
      <c r="K156" s="56">
        <v>-16823061.380345218</v>
      </c>
      <c r="L156" t="s">
        <v>584</v>
      </c>
      <c r="M156" t="s">
        <v>585</v>
      </c>
      <c r="N156" t="s">
        <v>585</v>
      </c>
    </row>
    <row r="157" spans="2:14" hidden="1" x14ac:dyDescent="0.2">
      <c r="B157">
        <v>156</v>
      </c>
      <c r="C157" t="s">
        <v>279</v>
      </c>
      <c r="D157" t="str">
        <f>VLOOKUP(C157,'Master Anggota'!$E$2:$J$678,2,0)</f>
        <v>Aktif</v>
      </c>
      <c r="G157" t="str">
        <f>VLOOKUP(C157,'Master Anggota'!$E$2:$J$678,5,0)</f>
        <v>01315</v>
      </c>
      <c r="H157" s="56">
        <v>0</v>
      </c>
      <c r="I157" s="56">
        <v>3775994</v>
      </c>
      <c r="J157" s="56">
        <v>10029187.89244828</v>
      </c>
      <c r="K157" s="56">
        <v>4550000</v>
      </c>
      <c r="L157" t="s">
        <v>584</v>
      </c>
      <c r="M157" t="s">
        <v>585</v>
      </c>
      <c r="N157" t="s">
        <v>585</v>
      </c>
    </row>
    <row r="158" spans="2:14" hidden="1" x14ac:dyDescent="0.2">
      <c r="B158">
        <v>157</v>
      </c>
      <c r="C158" t="s">
        <v>345</v>
      </c>
      <c r="D158" t="str">
        <f>VLOOKUP(C158,'Master Anggota'!$E$2:$J$678,2,0)</f>
        <v>Aktif</v>
      </c>
      <c r="G158" t="str">
        <f>VLOOKUP(C158,'Master Anggota'!$E$2:$J$678,5,0)</f>
        <v>00372</v>
      </c>
      <c r="H158" s="56">
        <v>0</v>
      </c>
      <c r="I158" s="56">
        <v>4208011</v>
      </c>
      <c r="J158" s="56">
        <v>17715264.064523049</v>
      </c>
      <c r="K158" s="56">
        <v>3979500</v>
      </c>
      <c r="L158" t="s">
        <v>584</v>
      </c>
      <c r="M158" t="s">
        <v>585</v>
      </c>
      <c r="N158" t="s">
        <v>585</v>
      </c>
    </row>
    <row r="159" spans="2:14" hidden="1" x14ac:dyDescent="0.2">
      <c r="B159">
        <v>158</v>
      </c>
      <c r="C159" t="s">
        <v>173</v>
      </c>
      <c r="D159" t="str">
        <f>VLOOKUP(C159,'Master Anggota'!$E$2:$J$678,2,0)</f>
        <v>Aktif</v>
      </c>
      <c r="G159" t="str">
        <f>VLOOKUP(C159,'Master Anggota'!$E$2:$J$678,5,0)</f>
        <v>00583</v>
      </c>
      <c r="H159" s="56">
        <v>0</v>
      </c>
      <c r="I159" s="56">
        <v>4713275</v>
      </c>
      <c r="J159" s="56">
        <v>9821680.4363987409</v>
      </c>
      <c r="K159" s="56">
        <v>2560000</v>
      </c>
      <c r="L159" t="s">
        <v>584</v>
      </c>
      <c r="M159" t="s">
        <v>585</v>
      </c>
      <c r="N159" t="s">
        <v>585</v>
      </c>
    </row>
    <row r="160" spans="2:14" hidden="1" x14ac:dyDescent="0.2">
      <c r="B160">
        <v>159</v>
      </c>
      <c r="C160" t="s">
        <v>248</v>
      </c>
      <c r="D160" t="str">
        <f>VLOOKUP(C160,'Master Anggota'!$E$2:$J$678,2,0)</f>
        <v>Aktif</v>
      </c>
      <c r="G160" t="str">
        <f>VLOOKUP(C160,'Master Anggota'!$E$2:$J$678,5,0)</f>
        <v>00302</v>
      </c>
      <c r="H160" s="56">
        <v>0</v>
      </c>
      <c r="I160" s="56">
        <v>12118348</v>
      </c>
      <c r="J160" s="56">
        <v>17086101.45778086</v>
      </c>
      <c r="K160" s="56">
        <v>1480000</v>
      </c>
      <c r="L160" t="s">
        <v>584</v>
      </c>
      <c r="M160" t="s">
        <v>585</v>
      </c>
      <c r="N160" t="s">
        <v>585</v>
      </c>
    </row>
    <row r="161" spans="2:14" hidden="1" x14ac:dyDescent="0.2">
      <c r="B161">
        <v>160</v>
      </c>
      <c r="C161" t="s">
        <v>250</v>
      </c>
      <c r="D161" t="str">
        <f>VLOOKUP(C161,'Master Anggota'!$E$2:$J$678,2,0)</f>
        <v>Aktif</v>
      </c>
      <c r="G161" t="str">
        <f>VLOOKUP(C161,'Master Anggota'!$E$2:$J$678,5,0)</f>
        <v>00337</v>
      </c>
      <c r="H161" s="56">
        <v>0</v>
      </c>
      <c r="I161" s="56">
        <v>6164416</v>
      </c>
      <c r="J161" s="56">
        <v>20239384.759909589</v>
      </c>
      <c r="K161" s="56">
        <v>8768000</v>
      </c>
      <c r="L161" t="s">
        <v>584</v>
      </c>
      <c r="M161" t="s">
        <v>585</v>
      </c>
      <c r="N161" t="s">
        <v>585</v>
      </c>
    </row>
    <row r="162" spans="2:14" hidden="1" x14ac:dyDescent="0.2">
      <c r="B162">
        <v>161</v>
      </c>
      <c r="C162" t="s">
        <v>252</v>
      </c>
      <c r="D162" t="str">
        <f>VLOOKUP(C162,'Master Anggota'!$E$2:$J$678,2,0)</f>
        <v>Aktif</v>
      </c>
      <c r="G162" t="str">
        <f>VLOOKUP(C162,'Master Anggota'!$E$2:$J$678,5,0)</f>
        <v>00524</v>
      </c>
      <c r="H162" s="56">
        <v>0</v>
      </c>
      <c r="I162" s="56">
        <v>8449557</v>
      </c>
      <c r="J162" s="56">
        <v>12477775.87383279</v>
      </c>
      <c r="K162" s="56">
        <v>8100000</v>
      </c>
      <c r="L162" t="s">
        <v>584</v>
      </c>
      <c r="M162" t="s">
        <v>585</v>
      </c>
      <c r="N162" t="s">
        <v>585</v>
      </c>
    </row>
    <row r="163" spans="2:14" hidden="1" x14ac:dyDescent="0.2">
      <c r="B163">
        <v>162</v>
      </c>
      <c r="C163" t="s">
        <v>254</v>
      </c>
      <c r="D163" t="str">
        <f>VLOOKUP(C163,'Master Anggota'!$E$2:$J$678,2,0)</f>
        <v>Purna Bakti 2026</v>
      </c>
      <c r="G163" t="str">
        <f>VLOOKUP(C163,'Master Anggota'!$E$2:$J$678,5,0)</f>
        <v>00288</v>
      </c>
      <c r="H163" s="56">
        <v>0</v>
      </c>
      <c r="I163" s="56">
        <v>7558590</v>
      </c>
      <c r="J163" s="56">
        <v>17464595.057615209</v>
      </c>
      <c r="K163" s="56">
        <v>2521000</v>
      </c>
      <c r="L163" t="s">
        <v>584</v>
      </c>
      <c r="M163" t="s">
        <v>585</v>
      </c>
      <c r="N163" t="s">
        <v>585</v>
      </c>
    </row>
    <row r="164" spans="2:14" hidden="1" x14ac:dyDescent="0.2">
      <c r="B164">
        <v>163</v>
      </c>
      <c r="C164" t="s">
        <v>157</v>
      </c>
      <c r="D164" t="str">
        <f>VLOOKUP(C164,'Master Anggota'!$E$2:$J$678,2,0)</f>
        <v>Aktif</v>
      </c>
      <c r="G164" t="str">
        <f>VLOOKUP(C164,'Master Anggota'!$E$2:$J$678,5,0)</f>
        <v>00633</v>
      </c>
      <c r="H164" s="56">
        <v>0</v>
      </c>
      <c r="I164" s="56">
        <v>5939399</v>
      </c>
      <c r="J164" s="56">
        <v>18084627.33629122</v>
      </c>
      <c r="K164" s="56">
        <v>3066000</v>
      </c>
      <c r="L164" t="s">
        <v>584</v>
      </c>
      <c r="M164" t="s">
        <v>585</v>
      </c>
      <c r="N164" t="s">
        <v>585</v>
      </c>
    </row>
    <row r="165" spans="2:14" hidden="1" x14ac:dyDescent="0.2">
      <c r="B165">
        <v>164</v>
      </c>
      <c r="C165" t="s">
        <v>309</v>
      </c>
      <c r="D165" t="str">
        <f>VLOOKUP(C165,'Master Anggota'!$E$2:$J$678,2,0)</f>
        <v>Aktif</v>
      </c>
      <c r="G165" t="str">
        <f>VLOOKUP(C165,'Master Anggota'!$E$2:$J$678,5,0)</f>
        <v>00602</v>
      </c>
      <c r="H165" s="56">
        <v>0</v>
      </c>
      <c r="I165" s="56">
        <v>586524</v>
      </c>
      <c r="J165" s="56">
        <v>2600000</v>
      </c>
      <c r="K165" s="56">
        <v>1300000</v>
      </c>
      <c r="L165" t="s">
        <v>584</v>
      </c>
      <c r="M165" t="s">
        <v>585</v>
      </c>
      <c r="N165" t="s">
        <v>585</v>
      </c>
    </row>
    <row r="166" spans="2:14" hidden="1" x14ac:dyDescent="0.2">
      <c r="B166">
        <v>165</v>
      </c>
      <c r="C166" t="s">
        <v>129</v>
      </c>
      <c r="D166" t="str">
        <f>VLOOKUP(C166,'Master Anggota'!$E$2:$J$678,2,0)</f>
        <v>Aktif</v>
      </c>
      <c r="G166" t="str">
        <f>VLOOKUP(C166,'Master Anggota'!$E$2:$J$678,5,0)</f>
        <v>00343</v>
      </c>
      <c r="H166" s="56">
        <v>0</v>
      </c>
      <c r="I166" s="56">
        <v>9747234</v>
      </c>
      <c r="J166" s="56">
        <v>17388232.31378898</v>
      </c>
      <c r="K166" s="56">
        <v>2535000</v>
      </c>
      <c r="L166" t="s">
        <v>584</v>
      </c>
      <c r="M166" t="s">
        <v>585</v>
      </c>
      <c r="N166" t="s">
        <v>585</v>
      </c>
    </row>
    <row r="167" spans="2:14" hidden="1" x14ac:dyDescent="0.2">
      <c r="B167">
        <v>166</v>
      </c>
      <c r="C167" t="s">
        <v>311</v>
      </c>
      <c r="D167" t="str">
        <f>VLOOKUP(C167,'Master Anggota'!$E$2:$J$678,2,0)</f>
        <v>Aktif</v>
      </c>
      <c r="G167" t="str">
        <f>VLOOKUP(C167,'Master Anggota'!$E$2:$J$678,5,0)</f>
        <v>01602</v>
      </c>
      <c r="H167" s="56">
        <v>0</v>
      </c>
      <c r="I167" s="56">
        <v>916767</v>
      </c>
      <c r="J167" s="56">
        <v>2400000</v>
      </c>
      <c r="K167" s="56">
        <v>2400000</v>
      </c>
      <c r="L167" t="s">
        <v>584</v>
      </c>
      <c r="M167" t="s">
        <v>585</v>
      </c>
      <c r="N167" t="s">
        <v>585</v>
      </c>
    </row>
    <row r="168" spans="2:14" hidden="1" x14ac:dyDescent="0.2">
      <c r="B168">
        <v>167</v>
      </c>
      <c r="C168" t="s">
        <v>135</v>
      </c>
      <c r="D168" t="str">
        <f>VLOOKUP(C168,'Master Anggota'!$E$2:$J$678,2,0)</f>
        <v>Aktif</v>
      </c>
      <c r="G168" t="str">
        <f>VLOOKUP(C168,'Master Anggota'!$E$2:$J$678,5,0)</f>
        <v>00293</v>
      </c>
      <c r="H168" s="56">
        <v>0</v>
      </c>
      <c r="I168" s="56">
        <v>9770205</v>
      </c>
      <c r="J168" s="56">
        <v>18139409.304688301</v>
      </c>
      <c r="K168" s="56">
        <v>3165000</v>
      </c>
      <c r="L168" t="s">
        <v>584</v>
      </c>
      <c r="M168" t="s">
        <v>585</v>
      </c>
      <c r="N168" t="s">
        <v>585</v>
      </c>
    </row>
    <row r="169" spans="2:14" hidden="1" x14ac:dyDescent="0.2">
      <c r="B169">
        <v>168</v>
      </c>
      <c r="C169" t="s">
        <v>258</v>
      </c>
      <c r="D169" t="str">
        <f>VLOOKUP(C169,'Master Anggota'!$E$2:$J$678,2,0)</f>
        <v>Aktif</v>
      </c>
      <c r="G169" t="str">
        <f>VLOOKUP(C169,'Master Anggota'!$E$2:$J$678,5,0)</f>
        <v>00390</v>
      </c>
      <c r="H169" s="56">
        <v>0</v>
      </c>
      <c r="I169" s="56">
        <v>7688601</v>
      </c>
      <c r="J169" s="56">
        <v>17366651.538359828</v>
      </c>
      <c r="K169" s="56">
        <v>1962000</v>
      </c>
      <c r="L169" t="s">
        <v>584</v>
      </c>
      <c r="M169" t="s">
        <v>585</v>
      </c>
      <c r="N169" t="s">
        <v>585</v>
      </c>
    </row>
    <row r="170" spans="2:14" hidden="1" x14ac:dyDescent="0.2">
      <c r="B170">
        <v>169</v>
      </c>
      <c r="C170" t="s">
        <v>310</v>
      </c>
      <c r="D170" t="str">
        <f>VLOOKUP(C170,'Master Anggota'!$E$2:$J$678,2,0)</f>
        <v>Aktif</v>
      </c>
      <c r="G170" t="str">
        <f>VLOOKUP(C170,'Master Anggota'!$E$2:$J$678,5,0)</f>
        <v>01543</v>
      </c>
      <c r="H170" s="56">
        <v>0</v>
      </c>
      <c r="I170" s="56">
        <v>3952497</v>
      </c>
      <c r="J170" s="56">
        <v>11682161.05066995</v>
      </c>
      <c r="K170" s="56">
        <v>3000000</v>
      </c>
      <c r="L170" t="s">
        <v>584</v>
      </c>
      <c r="M170" t="s">
        <v>585</v>
      </c>
      <c r="N170" t="s">
        <v>585</v>
      </c>
    </row>
    <row r="171" spans="2:14" hidden="1" x14ac:dyDescent="0.2">
      <c r="B171">
        <v>170</v>
      </c>
      <c r="C171" t="s">
        <v>521</v>
      </c>
      <c r="D171" t="str">
        <f>VLOOKUP(C171,'Master Anggota'!$E$2:$J$678,2,0)</f>
        <v>Aktif</v>
      </c>
      <c r="G171" t="str">
        <f>VLOOKUP(C171,'Master Anggota'!$E$2:$J$678,5,0)</f>
        <v>00376</v>
      </c>
      <c r="H171" s="56">
        <v>0</v>
      </c>
      <c r="I171" s="56">
        <v>10348641</v>
      </c>
      <c r="J171" s="56">
        <v>17366651.538359828</v>
      </c>
      <c r="K171" s="56">
        <v>3280000</v>
      </c>
      <c r="L171" t="s">
        <v>584</v>
      </c>
      <c r="M171" t="s">
        <v>585</v>
      </c>
      <c r="N171" t="s">
        <v>585</v>
      </c>
    </row>
    <row r="172" spans="2:14" hidden="1" x14ac:dyDescent="0.2">
      <c r="B172">
        <v>171</v>
      </c>
      <c r="C172" t="s">
        <v>358</v>
      </c>
      <c r="D172" t="str">
        <f>VLOOKUP(C172,'Master Anggota'!$E$2:$J$678,2,0)</f>
        <v>Aktif</v>
      </c>
      <c r="G172" t="str">
        <f>VLOOKUP(C172,'Master Anggota'!$E$2:$J$678,5,0)</f>
        <v>01530</v>
      </c>
      <c r="H172" s="56">
        <v>0</v>
      </c>
      <c r="I172" s="56">
        <v>3630729</v>
      </c>
      <c r="J172" s="56">
        <v>10693211.75180679</v>
      </c>
      <c r="K172" s="56">
        <v>3450000</v>
      </c>
      <c r="L172" t="s">
        <v>584</v>
      </c>
      <c r="M172" t="s">
        <v>585</v>
      </c>
      <c r="N172" t="s">
        <v>585</v>
      </c>
    </row>
    <row r="173" spans="2:14" hidden="1" x14ac:dyDescent="0.2">
      <c r="B173">
        <v>172</v>
      </c>
      <c r="C173" t="s">
        <v>549</v>
      </c>
      <c r="D173" t="str">
        <f>VLOOKUP(C173,'Master Anggota'!$E$2:$J$678,2,0)</f>
        <v>Aktif</v>
      </c>
      <c r="G173" t="str">
        <f>VLOOKUP(C173,'Master Anggota'!$E$2:$J$678,5,0)</f>
        <v>PHL Distribusi</v>
      </c>
      <c r="H173" s="56">
        <v>0</v>
      </c>
      <c r="I173" s="56">
        <v>0</v>
      </c>
      <c r="J173" s="56">
        <v>600000</v>
      </c>
      <c r="K173" s="56">
        <v>300000</v>
      </c>
      <c r="L173" t="s">
        <v>584</v>
      </c>
      <c r="M173" t="s">
        <v>585</v>
      </c>
      <c r="N173" t="s">
        <v>585</v>
      </c>
    </row>
    <row r="174" spans="2:14" hidden="1" x14ac:dyDescent="0.2">
      <c r="B174">
        <v>173</v>
      </c>
      <c r="C174" t="s">
        <v>141</v>
      </c>
      <c r="D174" t="str">
        <f>VLOOKUP(C174,'Master Anggota'!$E$2:$J$678,2,0)</f>
        <v>Purna Bakti 2025</v>
      </c>
      <c r="G174" t="str">
        <f>VLOOKUP(C174,'Master Anggota'!$E$2:$J$678,5,0)</f>
        <v>00259</v>
      </c>
      <c r="H174" s="56">
        <v>0</v>
      </c>
      <c r="I174" s="56">
        <v>12022343</v>
      </c>
      <c r="J174" s="56">
        <v>36085756.349024199</v>
      </c>
      <c r="K174" s="56">
        <v>4021000</v>
      </c>
      <c r="L174" t="s">
        <v>584</v>
      </c>
      <c r="M174" t="s">
        <v>585</v>
      </c>
      <c r="N174" t="s">
        <v>585</v>
      </c>
    </row>
    <row r="175" spans="2:14" hidden="1" x14ac:dyDescent="0.2">
      <c r="B175">
        <v>174</v>
      </c>
      <c r="C175" t="s">
        <v>268</v>
      </c>
      <c r="D175" t="str">
        <f>VLOOKUP(C175,'Master Anggota'!$E$2:$J$678,2,0)</f>
        <v>Aktif</v>
      </c>
      <c r="G175" t="str">
        <f>VLOOKUP(C175,'Master Anggota'!$E$2:$J$678,5,0)</f>
        <v>00528</v>
      </c>
      <c r="H175" s="56">
        <v>0</v>
      </c>
      <c r="I175" s="56">
        <v>3845172</v>
      </c>
      <c r="J175" s="56">
        <v>12685283.32988232</v>
      </c>
      <c r="K175" s="56">
        <v>4450000</v>
      </c>
      <c r="L175" t="s">
        <v>584</v>
      </c>
      <c r="M175" t="s">
        <v>585</v>
      </c>
      <c r="N175" t="s">
        <v>585</v>
      </c>
    </row>
    <row r="176" spans="2:14" hidden="1" x14ac:dyDescent="0.2">
      <c r="B176">
        <v>175</v>
      </c>
      <c r="C176" t="s">
        <v>270</v>
      </c>
      <c r="D176" t="str">
        <f>VLOOKUP(C176,'Master Anggota'!$E$2:$J$678,2,0)</f>
        <v>Aktif</v>
      </c>
      <c r="G176" t="str">
        <f>VLOOKUP(C176,'Master Anggota'!$E$2:$J$678,5,0)</f>
        <v>00509</v>
      </c>
      <c r="H176" s="56">
        <v>0</v>
      </c>
      <c r="I176" s="56">
        <v>3699926</v>
      </c>
      <c r="J176" s="56">
        <v>11315734.119955391</v>
      </c>
      <c r="K176" s="56">
        <v>2070000</v>
      </c>
      <c r="L176" t="s">
        <v>584</v>
      </c>
      <c r="M176" t="s">
        <v>585</v>
      </c>
      <c r="N176" t="s">
        <v>585</v>
      </c>
    </row>
    <row r="177" spans="2:14" hidden="1" x14ac:dyDescent="0.2">
      <c r="B177">
        <v>176</v>
      </c>
      <c r="C177" t="s">
        <v>274</v>
      </c>
      <c r="D177" t="str">
        <f>VLOOKUP(C177,'Master Anggota'!$E$2:$J$678,2,0)</f>
        <v>Aktif</v>
      </c>
      <c r="G177" t="str">
        <f>VLOOKUP(C177,'Master Anggota'!$E$2:$J$678,5,0)</f>
        <v>00515</v>
      </c>
      <c r="H177" s="56">
        <v>0</v>
      </c>
      <c r="I177" s="56">
        <v>8763259</v>
      </c>
      <c r="J177" s="56">
        <v>16453618.731741879</v>
      </c>
      <c r="K177" s="56">
        <v>5760000</v>
      </c>
      <c r="L177" t="s">
        <v>584</v>
      </c>
      <c r="M177" t="s">
        <v>585</v>
      </c>
      <c r="N177" t="s">
        <v>585</v>
      </c>
    </row>
    <row r="178" spans="2:14" hidden="1" x14ac:dyDescent="0.2">
      <c r="B178">
        <v>177</v>
      </c>
      <c r="C178" t="s">
        <v>442</v>
      </c>
      <c r="D178" t="str">
        <f>VLOOKUP(C178,'Master Anggota'!$E$2:$J$678,2,0)</f>
        <v>Aktif</v>
      </c>
      <c r="G178" t="str">
        <f>VLOOKUP(C178,'Master Anggota'!$E$2:$J$678,5,0)</f>
        <v>00613</v>
      </c>
      <c r="H178" s="56">
        <v>0</v>
      </c>
      <c r="I178" s="56">
        <v>0</v>
      </c>
      <c r="J178" s="56">
        <v>1000000</v>
      </c>
      <c r="K178" s="56">
        <v>1500000</v>
      </c>
      <c r="L178" t="s">
        <v>584</v>
      </c>
      <c r="M178" t="s">
        <v>585</v>
      </c>
      <c r="N178" t="s">
        <v>585</v>
      </c>
    </row>
    <row r="179" spans="2:14" hidden="1" x14ac:dyDescent="0.2">
      <c r="B179">
        <v>178</v>
      </c>
      <c r="C179" t="s">
        <v>529</v>
      </c>
      <c r="D179" t="str">
        <f>VLOOKUP(C179,'Master Anggota'!$E$2:$J$678,2,0)</f>
        <v>Purna Bakti 2026</v>
      </c>
      <c r="G179" t="str">
        <f>VLOOKUP(C179,'Master Anggota'!$E$2:$J$678,5,0)</f>
        <v>Nasabah</v>
      </c>
      <c r="H179" s="56">
        <v>0</v>
      </c>
      <c r="I179" s="56">
        <v>1205393</v>
      </c>
      <c r="J179" s="56">
        <v>3100000</v>
      </c>
      <c r="K179" s="56">
        <v>2430000</v>
      </c>
      <c r="L179" t="s">
        <v>584</v>
      </c>
      <c r="M179" t="s">
        <v>585</v>
      </c>
      <c r="N179" t="s">
        <v>585</v>
      </c>
    </row>
    <row r="180" spans="2:14" hidden="1" x14ac:dyDescent="0.2">
      <c r="B180">
        <v>179</v>
      </c>
      <c r="C180" t="s">
        <v>369</v>
      </c>
      <c r="D180" t="str">
        <f>VLOOKUP(C180,'Master Anggota'!$E$2:$J$678,2,0)</f>
        <v>Aktif</v>
      </c>
      <c r="G180" t="str">
        <f>VLOOKUP(C180,'Master Anggota'!$E$2:$J$678,5,0)</f>
        <v>01654</v>
      </c>
      <c r="H180" s="56">
        <v>0</v>
      </c>
      <c r="I180" s="56">
        <v>152081</v>
      </c>
      <c r="J180" s="56">
        <v>1500000</v>
      </c>
      <c r="K180" s="56">
        <v>1500000</v>
      </c>
      <c r="L180" t="s">
        <v>584</v>
      </c>
      <c r="M180" t="s">
        <v>585</v>
      </c>
      <c r="N180" t="s">
        <v>585</v>
      </c>
    </row>
    <row r="181" spans="2:14" hidden="1" x14ac:dyDescent="0.2">
      <c r="B181">
        <v>180</v>
      </c>
      <c r="C181" t="s">
        <v>276</v>
      </c>
      <c r="D181" t="str">
        <f>VLOOKUP(C181,'Master Anggota'!$E$2:$J$678,2,0)</f>
        <v>Aktif</v>
      </c>
      <c r="G181" t="str">
        <f>VLOOKUP(C181,'Master Anggota'!$E$2:$J$678,5,0)</f>
        <v>00558</v>
      </c>
      <c r="H181" s="56">
        <v>0</v>
      </c>
      <c r="I181" s="56">
        <v>3533667</v>
      </c>
      <c r="J181" s="56">
        <v>6600000</v>
      </c>
      <c r="K181" s="56">
        <v>10050000</v>
      </c>
      <c r="L181" t="s">
        <v>584</v>
      </c>
      <c r="M181" t="s">
        <v>585</v>
      </c>
      <c r="N181" t="s">
        <v>585</v>
      </c>
    </row>
    <row r="182" spans="2:14" hidden="1" x14ac:dyDescent="0.2">
      <c r="B182">
        <v>181</v>
      </c>
      <c r="C182" t="s">
        <v>277</v>
      </c>
      <c r="D182" t="str">
        <f>VLOOKUP(C182,'Master Anggota'!$E$2:$J$678,2,0)</f>
        <v>Aktif</v>
      </c>
      <c r="G182" t="str">
        <f>VLOOKUP(C182,'Master Anggota'!$E$2:$J$678,5,0)</f>
        <v>00564</v>
      </c>
      <c r="H182" s="56">
        <v>0</v>
      </c>
      <c r="I182" s="56">
        <v>3701670</v>
      </c>
      <c r="J182" s="56">
        <v>4200000</v>
      </c>
      <c r="K182" s="56">
        <v>3967593</v>
      </c>
      <c r="L182" t="s">
        <v>584</v>
      </c>
      <c r="M182" t="s">
        <v>585</v>
      </c>
      <c r="N182" t="s">
        <v>585</v>
      </c>
    </row>
    <row r="183" spans="2:14" hidden="1" x14ac:dyDescent="0.2">
      <c r="B183">
        <v>182</v>
      </c>
      <c r="C183" t="s">
        <v>389</v>
      </c>
      <c r="D183" t="str">
        <f>VLOOKUP(C183,'Master Anggota'!$E$2:$J$678,2,0)</f>
        <v>Aktif</v>
      </c>
      <c r="G183" t="str">
        <f>VLOOKUP(C183,'Master Anggota'!$E$2:$J$678,5,0)</f>
        <v>00593</v>
      </c>
      <c r="H183" s="56">
        <v>0</v>
      </c>
      <c r="I183" s="56">
        <v>3035240</v>
      </c>
      <c r="J183" s="56">
        <v>3700000</v>
      </c>
      <c r="K183" s="56">
        <v>4250000</v>
      </c>
      <c r="L183" t="s">
        <v>584</v>
      </c>
      <c r="M183" t="s">
        <v>585</v>
      </c>
      <c r="N183" t="s">
        <v>585</v>
      </c>
    </row>
    <row r="184" spans="2:14" hidden="1" x14ac:dyDescent="0.2">
      <c r="B184">
        <v>183</v>
      </c>
      <c r="C184" t="s">
        <v>147</v>
      </c>
      <c r="D184" t="str">
        <f>VLOOKUP(C184,'Master Anggota'!$E$2:$J$678,2,0)</f>
        <v>Aktif</v>
      </c>
      <c r="G184" t="str">
        <f>VLOOKUP(C184,'Master Anggota'!$E$2:$J$678,5,0)</f>
        <v>00527</v>
      </c>
      <c r="H184" s="56">
        <v>0</v>
      </c>
      <c r="I184" s="56">
        <v>7618789</v>
      </c>
      <c r="J184" s="56">
        <v>16586423.50361358</v>
      </c>
      <c r="K184" s="56">
        <v>2065000</v>
      </c>
      <c r="L184" t="s">
        <v>584</v>
      </c>
      <c r="M184" t="s">
        <v>585</v>
      </c>
      <c r="N184" t="s">
        <v>585</v>
      </c>
    </row>
    <row r="185" spans="2:14" hidden="1" x14ac:dyDescent="0.2">
      <c r="B185">
        <v>184</v>
      </c>
      <c r="C185" t="s">
        <v>436</v>
      </c>
      <c r="D185" t="str">
        <f>VLOOKUP(C185,'Master Anggota'!$E$2:$J$678,2,0)</f>
        <v>Aktif</v>
      </c>
      <c r="G185" t="str">
        <f>VLOOKUP(C185,'Master Anggota'!$E$2:$J$678,5,0)</f>
        <v>01708</v>
      </c>
      <c r="H185" s="56">
        <v>0</v>
      </c>
      <c r="I185" s="56">
        <v>0</v>
      </c>
      <c r="J185" s="56">
        <v>1100000</v>
      </c>
      <c r="K185" s="56">
        <v>650000</v>
      </c>
      <c r="L185" t="s">
        <v>584</v>
      </c>
      <c r="M185" t="s">
        <v>585</v>
      </c>
      <c r="N185" t="s">
        <v>585</v>
      </c>
    </row>
    <row r="186" spans="2:14" hidden="1" x14ac:dyDescent="0.2">
      <c r="B186">
        <v>185</v>
      </c>
      <c r="C186" t="s">
        <v>171</v>
      </c>
      <c r="D186" t="str">
        <f>VLOOKUP(C186,'Master Anggota'!$E$2:$J$678,2,0)</f>
        <v>Aktif</v>
      </c>
      <c r="G186" t="str">
        <f>VLOOKUP(C186,'Master Anggota'!$E$2:$J$678,5,0)</f>
        <v>00560</v>
      </c>
      <c r="H186" s="56">
        <v>0</v>
      </c>
      <c r="I186" s="56">
        <v>2666957</v>
      </c>
      <c r="J186" s="56">
        <v>10444202.804547351</v>
      </c>
      <c r="K186" s="56">
        <v>775000</v>
      </c>
      <c r="L186" t="s">
        <v>584</v>
      </c>
      <c r="M186" t="s">
        <v>585</v>
      </c>
      <c r="N186" t="s">
        <v>585</v>
      </c>
    </row>
    <row r="187" spans="2:14" hidden="1" x14ac:dyDescent="0.2">
      <c r="B187">
        <v>186</v>
      </c>
      <c r="C187" t="s">
        <v>324</v>
      </c>
      <c r="D187" t="str">
        <f>VLOOKUP(C187,'Master Anggota'!$E$2:$J$678,2,0)</f>
        <v>Aktif</v>
      </c>
      <c r="G187" t="str">
        <f>VLOOKUP(C187,'Master Anggota'!$E$2:$J$678,5,0)</f>
        <v>00626</v>
      </c>
      <c r="H187" s="56">
        <v>0</v>
      </c>
      <c r="I187" s="56">
        <v>953116</v>
      </c>
      <c r="J187" s="56">
        <v>2400000</v>
      </c>
      <c r="K187" s="56">
        <v>4800000</v>
      </c>
      <c r="L187" t="s">
        <v>584</v>
      </c>
      <c r="M187" t="s">
        <v>585</v>
      </c>
      <c r="N187" t="s">
        <v>585</v>
      </c>
    </row>
    <row r="188" spans="2:14" hidden="1" x14ac:dyDescent="0.2">
      <c r="B188">
        <v>187</v>
      </c>
      <c r="C188" t="s">
        <v>348</v>
      </c>
      <c r="D188" t="str">
        <f>VLOOKUP(C188,'Master Anggota'!$E$2:$J$678,2,0)</f>
        <v>Aktif</v>
      </c>
      <c r="G188" t="str">
        <f>VLOOKUP(C188,'Master Anggota'!$E$2:$J$678,5,0)</f>
        <v>00334</v>
      </c>
      <c r="H188" s="56">
        <v>0</v>
      </c>
      <c r="I188" s="56">
        <v>3972466</v>
      </c>
      <c r="J188" s="56">
        <v>17393212.492734171</v>
      </c>
      <c r="K188" s="56">
        <v>2970000</v>
      </c>
      <c r="L188" t="s">
        <v>584</v>
      </c>
      <c r="M188" t="s">
        <v>585</v>
      </c>
      <c r="N188" t="s">
        <v>585</v>
      </c>
    </row>
    <row r="189" spans="2:14" hidden="1" x14ac:dyDescent="0.2">
      <c r="B189">
        <v>188</v>
      </c>
      <c r="C189" t="s">
        <v>151</v>
      </c>
      <c r="D189" t="str">
        <f>VLOOKUP(C189,'Master Anggota'!$E$2:$J$678,2,0)</f>
        <v>Aktif</v>
      </c>
      <c r="G189" t="str">
        <f>VLOOKUP(C189,'Master Anggota'!$E$2:$J$678,5,0)</f>
        <v>00362</v>
      </c>
      <c r="H189" s="56">
        <v>0</v>
      </c>
      <c r="I189" s="56">
        <v>11445455</v>
      </c>
      <c r="J189" s="56">
        <v>21151746.290373679</v>
      </c>
      <c r="K189" s="56">
        <v>3445000</v>
      </c>
      <c r="L189" t="s">
        <v>584</v>
      </c>
      <c r="M189" t="s">
        <v>585</v>
      </c>
      <c r="N189" t="s">
        <v>585</v>
      </c>
    </row>
    <row r="190" spans="2:14" hidden="1" x14ac:dyDescent="0.2">
      <c r="B190">
        <v>189</v>
      </c>
      <c r="C190" t="s">
        <v>539</v>
      </c>
      <c r="D190" t="str">
        <f>VLOOKUP(C190,'Master Anggota'!$E$2:$J$678,2,0)</f>
        <v>Aktif</v>
      </c>
      <c r="G190" t="str">
        <f>VLOOKUP(C190,'Master Anggota'!$E$2:$J$678,5,0)</f>
        <v>01800</v>
      </c>
      <c r="H190" s="56">
        <v>0</v>
      </c>
      <c r="I190" s="56">
        <v>0</v>
      </c>
      <c r="J190" s="56">
        <v>400000</v>
      </c>
      <c r="K190" s="56">
        <v>350000</v>
      </c>
      <c r="L190" t="s">
        <v>584</v>
      </c>
      <c r="M190" t="s">
        <v>585</v>
      </c>
      <c r="N190" t="s">
        <v>585</v>
      </c>
    </row>
    <row r="191" spans="2:14" hidden="1" x14ac:dyDescent="0.2">
      <c r="B191">
        <v>190</v>
      </c>
      <c r="C191" t="s">
        <v>153</v>
      </c>
      <c r="D191" t="str">
        <f>VLOOKUP(C191,'Master Anggota'!$E$2:$J$678,2,0)</f>
        <v>Aktif</v>
      </c>
      <c r="G191" t="str">
        <f>VLOOKUP(C191,'Master Anggota'!$E$2:$J$678,5,0)</f>
        <v>00548</v>
      </c>
      <c r="H191" s="56">
        <v>0</v>
      </c>
      <c r="I191" s="56">
        <v>4449181</v>
      </c>
      <c r="J191" s="56">
        <v>11315734.119955391</v>
      </c>
      <c r="K191" s="56">
        <v>2075000</v>
      </c>
      <c r="L191" t="s">
        <v>584</v>
      </c>
      <c r="M191" t="s">
        <v>585</v>
      </c>
      <c r="N191" t="s">
        <v>585</v>
      </c>
    </row>
    <row r="192" spans="2:14" hidden="1" x14ac:dyDescent="0.2">
      <c r="B192">
        <v>191</v>
      </c>
      <c r="C192" t="s">
        <v>326</v>
      </c>
      <c r="D192" t="str">
        <f>VLOOKUP(C192,'Master Anggota'!$E$2:$J$678,2,0)</f>
        <v>Aktif</v>
      </c>
      <c r="G192" t="str">
        <f>VLOOKUP(C192,'Master Anggota'!$E$2:$J$678,5,0)</f>
        <v>00608</v>
      </c>
      <c r="H192" s="56">
        <v>0</v>
      </c>
      <c r="I192" s="56">
        <v>713143</v>
      </c>
      <c r="J192" s="56">
        <v>2500000</v>
      </c>
      <c r="K192" s="56">
        <v>2500000</v>
      </c>
      <c r="L192" t="s">
        <v>584</v>
      </c>
      <c r="M192" t="s">
        <v>585</v>
      </c>
      <c r="N192" t="s">
        <v>585</v>
      </c>
    </row>
    <row r="193" spans="2:14" hidden="1" x14ac:dyDescent="0.2">
      <c r="B193">
        <v>192</v>
      </c>
      <c r="C193" t="s">
        <v>172</v>
      </c>
      <c r="D193" t="str">
        <f>VLOOKUP(C193,'Master Anggota'!$E$2:$J$678,2,0)</f>
        <v>Aktif</v>
      </c>
      <c r="G193" t="str">
        <f>VLOOKUP(C193,'Master Anggota'!$E$2:$J$678,5,0)</f>
        <v>00584</v>
      </c>
      <c r="H193" s="56">
        <v>0</v>
      </c>
      <c r="I193" s="56">
        <v>5400672</v>
      </c>
      <c r="J193" s="56">
        <v>10444202.804547351</v>
      </c>
      <c r="K193" s="56">
        <v>3700000</v>
      </c>
      <c r="L193" t="s">
        <v>584</v>
      </c>
      <c r="M193" t="s">
        <v>585</v>
      </c>
      <c r="N193" t="s">
        <v>585</v>
      </c>
    </row>
    <row r="194" spans="2:14" hidden="1" x14ac:dyDescent="0.2">
      <c r="B194">
        <v>193</v>
      </c>
      <c r="C194" t="s">
        <v>448</v>
      </c>
      <c r="D194" t="str">
        <f>VLOOKUP(C194,'Master Anggota'!$E$2:$J$678,2,0)</f>
        <v>Aktif</v>
      </c>
      <c r="G194" t="str">
        <f>VLOOKUP(C194,'Master Anggota'!$E$2:$J$678,5,0)</f>
        <v>01737</v>
      </c>
      <c r="H194" s="56">
        <v>0</v>
      </c>
      <c r="I194" s="56">
        <v>0</v>
      </c>
      <c r="J194" s="56">
        <v>1000000</v>
      </c>
      <c r="K194" s="56">
        <v>1800000</v>
      </c>
      <c r="L194" t="s">
        <v>584</v>
      </c>
      <c r="M194" t="s">
        <v>585</v>
      </c>
      <c r="N194" t="s">
        <v>585</v>
      </c>
    </row>
    <row r="195" spans="2:14" hidden="1" x14ac:dyDescent="0.2">
      <c r="B195">
        <v>194</v>
      </c>
      <c r="C195" t="s">
        <v>352</v>
      </c>
      <c r="D195" t="str">
        <f>VLOOKUP(C195,'Master Anggota'!$E$2:$J$678,2,0)</f>
        <v>Aktif</v>
      </c>
      <c r="G195" t="str">
        <f>VLOOKUP(C195,'Master Anggota'!$E$2:$J$678,5,0)</f>
        <v>00370</v>
      </c>
      <c r="H195" s="56">
        <v>0</v>
      </c>
      <c r="I195" s="56">
        <v>4234684</v>
      </c>
      <c r="J195" s="56">
        <v>17692023.229445502</v>
      </c>
      <c r="K195" s="56">
        <v>2967500</v>
      </c>
      <c r="L195" t="s">
        <v>584</v>
      </c>
      <c r="M195" t="s">
        <v>585</v>
      </c>
      <c r="N195" t="s">
        <v>585</v>
      </c>
    </row>
    <row r="196" spans="2:14" hidden="1" x14ac:dyDescent="0.2">
      <c r="B196">
        <v>195</v>
      </c>
      <c r="C196" t="s">
        <v>155</v>
      </c>
      <c r="D196" t="str">
        <f>VLOOKUP(C196,'Master Anggota'!$E$2:$J$678,2,0)</f>
        <v>Aktif</v>
      </c>
      <c r="G196" t="str">
        <f>VLOOKUP(C196,'Master Anggota'!$E$2:$J$678,5,0)</f>
        <v>00499</v>
      </c>
      <c r="H196" s="56">
        <v>0</v>
      </c>
      <c r="I196" s="56">
        <v>5304500</v>
      </c>
      <c r="J196" s="56">
        <v>15756394</v>
      </c>
      <c r="K196" s="56">
        <v>1150000</v>
      </c>
      <c r="L196" t="s">
        <v>584</v>
      </c>
      <c r="M196" t="s">
        <v>585</v>
      </c>
      <c r="N196" t="s">
        <v>585</v>
      </c>
    </row>
    <row r="197" spans="2:14" hidden="1" x14ac:dyDescent="0.2">
      <c r="B197">
        <v>196</v>
      </c>
      <c r="C197" t="s">
        <v>531</v>
      </c>
      <c r="D197" t="str">
        <f>VLOOKUP(C197,'Master Anggota'!$E$2:$J$678,2,0)</f>
        <v>Aktif</v>
      </c>
      <c r="G197" t="str">
        <f>VLOOKUP(C197,'Master Anggota'!$E$2:$J$678,5,0)</f>
        <v>PHL</v>
      </c>
      <c r="H197" s="56">
        <v>0</v>
      </c>
      <c r="I197" s="56">
        <v>0</v>
      </c>
      <c r="J197" s="56">
        <v>1000000</v>
      </c>
      <c r="K197" s="56">
        <v>2000000</v>
      </c>
      <c r="L197" t="s">
        <v>584</v>
      </c>
      <c r="M197" t="s">
        <v>585</v>
      </c>
      <c r="N197" t="s">
        <v>585</v>
      </c>
    </row>
    <row r="198" spans="2:14" hidden="1" x14ac:dyDescent="0.2">
      <c r="B198">
        <v>197</v>
      </c>
      <c r="C198" t="s">
        <v>169</v>
      </c>
      <c r="D198" t="str">
        <f>VLOOKUP(C198,'Master Anggota'!$E$2:$J$678,2,0)</f>
        <v>Aktif</v>
      </c>
      <c r="G198" t="str">
        <f>VLOOKUP(C198,'Master Anggota'!$E$2:$J$678,5,0)</f>
        <v>01157</v>
      </c>
      <c r="H198" s="56">
        <v>0</v>
      </c>
      <c r="I198" s="56">
        <v>3640530</v>
      </c>
      <c r="J198" s="56">
        <v>8950149</v>
      </c>
      <c r="K198" s="56">
        <v>7800000</v>
      </c>
      <c r="L198" t="s">
        <v>584</v>
      </c>
      <c r="M198" t="s">
        <v>585</v>
      </c>
      <c r="N198" t="s">
        <v>585</v>
      </c>
    </row>
    <row r="199" spans="2:14" hidden="1" x14ac:dyDescent="0.2">
      <c r="B199">
        <v>198</v>
      </c>
      <c r="C199" t="s">
        <v>560</v>
      </c>
      <c r="D199" t="str">
        <f>VLOOKUP(C199,'Master Anggota'!$E$2:$J$678,2,0)</f>
        <v>Aktif</v>
      </c>
      <c r="G199" t="str">
        <f>VLOOKUP(C199,'Master Anggota'!$E$2:$J$678,5,0)</f>
        <v>01603</v>
      </c>
      <c r="H199" s="56">
        <v>0</v>
      </c>
      <c r="I199" s="56">
        <v>0</v>
      </c>
      <c r="J199" s="56">
        <v>300000</v>
      </c>
      <c r="K199" s="56">
        <v>600000</v>
      </c>
      <c r="L199" t="s">
        <v>584</v>
      </c>
      <c r="M199" t="s">
        <v>585</v>
      </c>
      <c r="N199" t="s">
        <v>585</v>
      </c>
    </row>
    <row r="200" spans="2:14" hidden="1" x14ac:dyDescent="0.2">
      <c r="B200">
        <v>199</v>
      </c>
      <c r="C200" t="s">
        <v>294</v>
      </c>
      <c r="D200" t="str">
        <f>VLOOKUP(C200,'Master Anggota'!$E$2:$J$678,2,0)</f>
        <v>Purna Bakti 2026</v>
      </c>
      <c r="G200" t="str">
        <f>VLOOKUP(C200,'Master Anggota'!$E$2:$J$678,5,0)</f>
        <v>PHL</v>
      </c>
      <c r="H200" s="56">
        <v>0</v>
      </c>
      <c r="I200" s="56">
        <v>5729499</v>
      </c>
      <c r="J200" s="56">
        <v>11585283</v>
      </c>
      <c r="K200" s="56">
        <v>3500000</v>
      </c>
      <c r="L200" t="s">
        <v>584</v>
      </c>
      <c r="M200" t="s">
        <v>585</v>
      </c>
      <c r="N200" t="s">
        <v>585</v>
      </c>
    </row>
    <row r="201" spans="2:14" hidden="1" x14ac:dyDescent="0.2">
      <c r="B201">
        <v>200</v>
      </c>
      <c r="C201" t="s">
        <v>295</v>
      </c>
      <c r="D201" t="str">
        <f>VLOOKUP(C201,'Master Anggota'!$E$2:$J$678,2,0)</f>
        <v>PHL</v>
      </c>
      <c r="G201" t="str">
        <f>VLOOKUP(C201,'Master Anggota'!$E$2:$J$678,5,0)</f>
        <v>PHL</v>
      </c>
      <c r="H201" s="56">
        <v>0</v>
      </c>
      <c r="I201" s="56">
        <v>2525969</v>
      </c>
      <c r="J201" s="56">
        <v>11936274</v>
      </c>
      <c r="K201" s="56">
        <v>7300000</v>
      </c>
      <c r="L201" t="s">
        <v>584</v>
      </c>
      <c r="M201" t="s">
        <v>585</v>
      </c>
      <c r="N201" t="s">
        <v>585</v>
      </c>
    </row>
    <row r="202" spans="2:14" hidden="1" x14ac:dyDescent="0.2">
      <c r="B202">
        <v>201</v>
      </c>
      <c r="C202" t="s">
        <v>301</v>
      </c>
      <c r="D202" t="str">
        <f>VLOOKUP(C202,'Master Anggota'!$E$2:$J$678,2,0)</f>
        <v>PHL</v>
      </c>
      <c r="G202" t="str">
        <f>VLOOKUP(C202,'Master Anggota'!$E$2:$J$678,5,0)</f>
        <v>01535</v>
      </c>
      <c r="H202" s="56">
        <v>0</v>
      </c>
      <c r="I202" s="56">
        <v>5657444</v>
      </c>
      <c r="J202" s="56">
        <v>8414173</v>
      </c>
      <c r="K202" s="56">
        <v>3960000</v>
      </c>
      <c r="L202" t="s">
        <v>584</v>
      </c>
      <c r="M202" t="s">
        <v>585</v>
      </c>
      <c r="N202" t="s">
        <v>585</v>
      </c>
    </row>
    <row r="203" spans="2:14" hidden="1" x14ac:dyDescent="0.2">
      <c r="B203">
        <v>202</v>
      </c>
      <c r="C203" t="s">
        <v>287</v>
      </c>
      <c r="D203" t="str">
        <f>VLOOKUP(C203,'Master Anggota'!$E$2:$J$678,2,0)</f>
        <v>PHL</v>
      </c>
      <c r="G203" t="str">
        <f>VLOOKUP(C203,'Master Anggota'!$E$2:$J$678,5,0)</f>
        <v>01510</v>
      </c>
      <c r="H203" s="56">
        <v>0</v>
      </c>
      <c r="I203" s="56">
        <v>5314988</v>
      </c>
      <c r="J203" s="56">
        <v>11230749</v>
      </c>
      <c r="K203" s="56">
        <v>8720000</v>
      </c>
      <c r="L203" t="s">
        <v>584</v>
      </c>
      <c r="M203" t="s">
        <v>585</v>
      </c>
      <c r="N203" t="s">
        <v>585</v>
      </c>
    </row>
    <row r="204" spans="2:14" hidden="1" x14ac:dyDescent="0.2">
      <c r="B204">
        <v>203</v>
      </c>
      <c r="C204" t="s">
        <v>276</v>
      </c>
      <c r="D204" t="str">
        <f>VLOOKUP(C204,'Master Anggota'!$E$2:$J$678,2,0)</f>
        <v>Aktif</v>
      </c>
      <c r="G204" t="str">
        <f>VLOOKUP(C204,'Master Anggota'!$E$2:$J$678,5,0)</f>
        <v>00558</v>
      </c>
      <c r="H204" s="82">
        <v>0</v>
      </c>
      <c r="I204" s="82">
        <v>0</v>
      </c>
      <c r="J204" s="82">
        <v>0</v>
      </c>
      <c r="K204" s="82">
        <v>-7500000</v>
      </c>
      <c r="L204" t="s">
        <v>607</v>
      </c>
      <c r="M204" s="71">
        <v>46036</v>
      </c>
      <c r="N204" t="s">
        <v>611</v>
      </c>
    </row>
    <row r="205" spans="2:14" hidden="1" x14ac:dyDescent="0.2">
      <c r="B205">
        <v>204</v>
      </c>
      <c r="C205" t="s">
        <v>69</v>
      </c>
      <c r="D205" t="str">
        <f>VLOOKUP(C205,'Master Anggota'!$E$2:$J$678,2,0)</f>
        <v>Aktif</v>
      </c>
      <c r="G205" t="str">
        <f>VLOOKUP(C205,'Master Anggota'!$E$2:$J$678,5,0)</f>
        <v>00496</v>
      </c>
      <c r="H205" s="82">
        <v>0</v>
      </c>
      <c r="I205" s="82">
        <v>0</v>
      </c>
      <c r="J205" s="82">
        <v>0</v>
      </c>
      <c r="K205" s="82">
        <v>-4000000</v>
      </c>
      <c r="L205" t="s">
        <v>607</v>
      </c>
      <c r="M205" s="71">
        <v>46036</v>
      </c>
      <c r="N205" t="s">
        <v>611</v>
      </c>
    </row>
    <row r="206" spans="2:14" hidden="1" x14ac:dyDescent="0.2">
      <c r="B206">
        <v>205</v>
      </c>
      <c r="C206" t="s">
        <v>182</v>
      </c>
      <c r="D206" t="str">
        <f>VLOOKUP(C206,'Master Anggota'!$E$2:$J$678,2,0)</f>
        <v>Aktif</v>
      </c>
      <c r="G206" t="str">
        <f>VLOOKUP(C206,'Master Anggota'!$E$2:$J$678,5,0)</f>
        <v>00565</v>
      </c>
      <c r="H206" s="82">
        <v>0</v>
      </c>
      <c r="I206" s="82">
        <v>0</v>
      </c>
      <c r="J206" s="82">
        <v>0</v>
      </c>
      <c r="K206" s="82">
        <v>0</v>
      </c>
      <c r="L206" t="s">
        <v>607</v>
      </c>
      <c r="M206" s="71">
        <v>46036</v>
      </c>
      <c r="N206" t="s">
        <v>615</v>
      </c>
    </row>
    <row r="207" spans="2:14" hidden="1" x14ac:dyDescent="0.2">
      <c r="B207">
        <v>206</v>
      </c>
      <c r="C207" t="s">
        <v>173</v>
      </c>
      <c r="D207" t="str">
        <f>VLOOKUP(C207,'Master Anggota'!$E$2:$J$678,2,0)</f>
        <v>Aktif</v>
      </c>
      <c r="G207" t="str">
        <f>VLOOKUP(C207,'Master Anggota'!$E$2:$J$678,5,0)</f>
        <v>00583</v>
      </c>
      <c r="H207" s="82">
        <v>0</v>
      </c>
      <c r="I207" s="82">
        <v>0</v>
      </c>
      <c r="J207" s="82">
        <v>0</v>
      </c>
      <c r="K207" s="82">
        <v>-1000000</v>
      </c>
      <c r="L207" t="s">
        <v>607</v>
      </c>
      <c r="M207" s="71">
        <v>46045</v>
      </c>
      <c r="N207" t="s">
        <v>611</v>
      </c>
    </row>
    <row r="208" spans="2:14" hidden="1" x14ac:dyDescent="0.2">
      <c r="B208">
        <v>207</v>
      </c>
      <c r="C208" t="s">
        <v>153</v>
      </c>
      <c r="D208" t="str">
        <f>VLOOKUP(C208,'Master Anggota'!$E$2:$J$678,2,0)</f>
        <v>Aktif</v>
      </c>
      <c r="G208" t="str">
        <f>VLOOKUP(C208,'Master Anggota'!$E$2:$J$678,5,0)</f>
        <v>00548</v>
      </c>
      <c r="H208" s="82">
        <v>0</v>
      </c>
      <c r="I208" s="82">
        <v>0</v>
      </c>
      <c r="J208" s="82">
        <v>0</v>
      </c>
      <c r="K208" s="82">
        <v>-1000000</v>
      </c>
      <c r="L208" t="s">
        <v>607</v>
      </c>
      <c r="M208" s="71">
        <v>46045</v>
      </c>
      <c r="N208" t="s">
        <v>611</v>
      </c>
    </row>
    <row r="209" spans="2:14" hidden="1" x14ac:dyDescent="0.2">
      <c r="B209">
        <v>208</v>
      </c>
      <c r="C209" t="s">
        <v>421</v>
      </c>
      <c r="D209" t="str">
        <f>VLOOKUP(C209,'Master Anggota'!$E$2:$J$678,2,0)</f>
        <v>Aktif</v>
      </c>
      <c r="G209" t="str">
        <f>VLOOKUP(C209,'Master Anggota'!$E$2:$J$678,5,0)</f>
        <v>01560</v>
      </c>
      <c r="H209" s="82">
        <v>0</v>
      </c>
      <c r="I209" s="82">
        <v>0</v>
      </c>
      <c r="J209" s="82">
        <v>0</v>
      </c>
      <c r="K209" s="82">
        <v>-1500000</v>
      </c>
      <c r="L209" t="s">
        <v>607</v>
      </c>
      <c r="M209" s="71">
        <v>46045</v>
      </c>
      <c r="N209" t="s">
        <v>611</v>
      </c>
    </row>
    <row r="210" spans="2:14" hidden="1" x14ac:dyDescent="0.2">
      <c r="B210">
        <v>209</v>
      </c>
      <c r="C210" t="s">
        <v>274</v>
      </c>
      <c r="D210" t="str">
        <f>VLOOKUP(C210,'Master Anggota'!$E$2:$J$678,2,0)</f>
        <v>Aktif</v>
      </c>
      <c r="G210" t="str">
        <f>VLOOKUP(C210,'Master Anggota'!$E$2:$J$678,5,0)</f>
        <v>00515</v>
      </c>
      <c r="H210" s="82">
        <v>0</v>
      </c>
      <c r="I210" s="82">
        <v>0</v>
      </c>
      <c r="J210" s="82">
        <v>0</v>
      </c>
      <c r="K210" s="82">
        <v>-3000000</v>
      </c>
      <c r="L210" t="s">
        <v>607</v>
      </c>
      <c r="M210" s="71">
        <v>46056</v>
      </c>
      <c r="N210" t="s">
        <v>611</v>
      </c>
    </row>
    <row r="211" spans="2:14" hidden="1" x14ac:dyDescent="0.2">
      <c r="B211">
        <v>210</v>
      </c>
      <c r="C211" t="s">
        <v>188</v>
      </c>
      <c r="D211" t="str">
        <f>VLOOKUP(C211,'Master Anggota'!$E$2:$J$678,2,0)</f>
        <v>Aktif</v>
      </c>
      <c r="G211" t="str">
        <f>VLOOKUP(C211,'Master Anggota'!$E$2:$J$678,5,0)</f>
        <v>00596</v>
      </c>
      <c r="H211" s="82">
        <v>0</v>
      </c>
      <c r="I211" s="82">
        <v>0</v>
      </c>
      <c r="J211" s="82">
        <v>0</v>
      </c>
      <c r="K211" s="82">
        <v>-1500000</v>
      </c>
      <c r="L211" t="s">
        <v>607</v>
      </c>
      <c r="M211" s="71">
        <v>46052</v>
      </c>
      <c r="N211" t="s">
        <v>611</v>
      </c>
    </row>
    <row r="212" spans="2:14" hidden="1" x14ac:dyDescent="0.2">
      <c r="B212">
        <v>211</v>
      </c>
      <c r="C212" t="s">
        <v>486</v>
      </c>
      <c r="D212" t="str">
        <f>VLOOKUP(C212,'Master Anggota'!$E$2:$J$678,2,0)</f>
        <v>Aktif</v>
      </c>
      <c r="G212" t="str">
        <f>VLOOKUP(C212,'Master Anggota'!$E$2:$J$678,5,0)</f>
        <v>00281</v>
      </c>
      <c r="H212" s="56">
        <v>0</v>
      </c>
      <c r="I212" s="56">
        <v>0</v>
      </c>
      <c r="J212" s="56">
        <v>100000</v>
      </c>
      <c r="K212" s="56">
        <v>150000</v>
      </c>
      <c r="L212" t="s">
        <v>607</v>
      </c>
      <c r="M212" s="71">
        <v>46045</v>
      </c>
      <c r="N212" t="s">
        <v>576</v>
      </c>
    </row>
    <row r="213" spans="2:14" hidden="1" x14ac:dyDescent="0.2">
      <c r="B213">
        <v>212</v>
      </c>
      <c r="C213" t="s">
        <v>487</v>
      </c>
      <c r="D213" t="str">
        <f>VLOOKUP(C213,'Master Anggota'!$E$2:$J$678,2,0)</f>
        <v>Purna Bakti 2026</v>
      </c>
      <c r="G213" t="str">
        <f>VLOOKUP(C213,'Master Anggota'!$E$2:$J$678,5,0)</f>
        <v>00281</v>
      </c>
      <c r="H213" s="56">
        <v>0</v>
      </c>
      <c r="I213" s="56">
        <v>0</v>
      </c>
      <c r="J213" s="56">
        <v>100000</v>
      </c>
      <c r="K213" s="56">
        <v>150000</v>
      </c>
      <c r="L213" t="s">
        <v>607</v>
      </c>
      <c r="M213" s="71">
        <v>46045</v>
      </c>
      <c r="N213" t="s">
        <v>576</v>
      </c>
    </row>
    <row r="214" spans="2:14" hidden="1" x14ac:dyDescent="0.2">
      <c r="B214">
        <v>213</v>
      </c>
      <c r="C214" t="s">
        <v>254</v>
      </c>
      <c r="D214" t="str">
        <f>VLOOKUP(C214,'Master Anggota'!$E$2:$J$678,2,0)</f>
        <v>Purna Bakti 2026</v>
      </c>
      <c r="G214" t="str">
        <f>VLOOKUP(C214,'Master Anggota'!$E$2:$J$678,5,0)</f>
        <v>00288</v>
      </c>
      <c r="H214" s="56">
        <v>0</v>
      </c>
      <c r="I214" s="56">
        <v>0</v>
      </c>
      <c r="J214" s="56">
        <v>100000</v>
      </c>
      <c r="K214" s="56">
        <v>100000</v>
      </c>
      <c r="L214" t="s">
        <v>607</v>
      </c>
      <c r="M214" s="71">
        <v>46045</v>
      </c>
      <c r="N214" t="s">
        <v>576</v>
      </c>
    </row>
    <row r="215" spans="2:14" hidden="1" x14ac:dyDescent="0.2">
      <c r="B215">
        <v>214</v>
      </c>
      <c r="C215" t="s">
        <v>135</v>
      </c>
      <c r="D215" t="str">
        <f>VLOOKUP(C215,'Master Anggota'!$E$2:$J$678,2,0)</f>
        <v>Aktif</v>
      </c>
      <c r="G215" t="str">
        <f>VLOOKUP(C215,'Master Anggota'!$E$2:$J$678,5,0)</f>
        <v>00293</v>
      </c>
      <c r="H215" s="56">
        <v>0</v>
      </c>
      <c r="I215" s="56">
        <v>0</v>
      </c>
      <c r="J215" s="56">
        <v>100000</v>
      </c>
      <c r="K215" s="56">
        <v>100000</v>
      </c>
      <c r="L215" t="s">
        <v>607</v>
      </c>
      <c r="M215" s="71">
        <v>46045</v>
      </c>
      <c r="N215" t="s">
        <v>576</v>
      </c>
    </row>
    <row r="216" spans="2:14" hidden="1" x14ac:dyDescent="0.2">
      <c r="B216">
        <v>215</v>
      </c>
      <c r="C216" t="s">
        <v>248</v>
      </c>
      <c r="D216" t="str">
        <f>VLOOKUP(C216,'Master Anggota'!$E$2:$J$678,2,0)</f>
        <v>Aktif</v>
      </c>
      <c r="G216" t="str">
        <f>VLOOKUP(C216,'Master Anggota'!$E$2:$J$678,5,0)</f>
        <v>00302</v>
      </c>
      <c r="H216" s="56">
        <v>0</v>
      </c>
      <c r="I216" s="56">
        <v>0</v>
      </c>
      <c r="J216" s="56">
        <v>100000</v>
      </c>
      <c r="K216" s="56">
        <v>10000</v>
      </c>
      <c r="L216" t="s">
        <v>607</v>
      </c>
      <c r="M216" s="71">
        <v>46045</v>
      </c>
      <c r="N216" t="s">
        <v>576</v>
      </c>
    </row>
    <row r="217" spans="2:14" hidden="1" x14ac:dyDescent="0.2">
      <c r="B217">
        <v>216</v>
      </c>
      <c r="C217" t="s">
        <v>335</v>
      </c>
      <c r="D217" t="str">
        <f>VLOOKUP(C217,'Master Anggota'!$E$2:$J$678,2,0)</f>
        <v>Aktif</v>
      </c>
      <c r="G217" t="str">
        <f>VLOOKUP(C217,'Master Anggota'!$E$2:$J$678,5,0)</f>
        <v>00311</v>
      </c>
      <c r="H217" s="56">
        <v>0</v>
      </c>
      <c r="I217" s="56">
        <v>0</v>
      </c>
      <c r="J217" s="56">
        <v>100000</v>
      </c>
      <c r="K217" s="56">
        <v>75000</v>
      </c>
      <c r="L217" t="s">
        <v>607</v>
      </c>
      <c r="M217" s="71">
        <v>46045</v>
      </c>
      <c r="N217" t="s">
        <v>576</v>
      </c>
    </row>
    <row r="218" spans="2:14" hidden="1" x14ac:dyDescent="0.2">
      <c r="B218">
        <v>217</v>
      </c>
      <c r="C218" t="s">
        <v>113</v>
      </c>
      <c r="D218" t="str">
        <f>VLOOKUP(C218,'Master Anggota'!$E$2:$J$678,2,0)</f>
        <v>Aktif</v>
      </c>
      <c r="G218" t="str">
        <f>VLOOKUP(C218,'Master Anggota'!$E$2:$J$678,5,0)</f>
        <v>00317</v>
      </c>
      <c r="H218" s="56">
        <v>0</v>
      </c>
      <c r="I218" s="56">
        <v>0</v>
      </c>
      <c r="J218" s="56">
        <v>100000</v>
      </c>
      <c r="K218" s="56">
        <v>15000</v>
      </c>
      <c r="L218" t="s">
        <v>607</v>
      </c>
      <c r="M218" s="71">
        <v>46045</v>
      </c>
      <c r="N218" t="s">
        <v>576</v>
      </c>
    </row>
    <row r="219" spans="2:14" hidden="1" x14ac:dyDescent="0.2">
      <c r="B219">
        <v>218</v>
      </c>
      <c r="C219" t="s">
        <v>83</v>
      </c>
      <c r="D219" t="str">
        <f>VLOOKUP(C219,'Master Anggota'!$E$2:$J$678,2,0)</f>
        <v>Aktif</v>
      </c>
      <c r="G219" t="str">
        <f>VLOOKUP(C219,'Master Anggota'!$E$2:$J$678,5,0)</f>
        <v>00322</v>
      </c>
      <c r="H219" s="56">
        <v>0</v>
      </c>
      <c r="I219" s="56">
        <v>0</v>
      </c>
      <c r="J219" s="56">
        <v>100000</v>
      </c>
      <c r="K219" s="56">
        <v>100000</v>
      </c>
      <c r="L219" t="s">
        <v>607</v>
      </c>
      <c r="M219" s="71">
        <v>46045</v>
      </c>
      <c r="N219" t="s">
        <v>576</v>
      </c>
    </row>
    <row r="220" spans="2:14" hidden="1" x14ac:dyDescent="0.2">
      <c r="B220">
        <v>219</v>
      </c>
      <c r="C220" t="s">
        <v>48</v>
      </c>
      <c r="D220" t="str">
        <f>VLOOKUP(C220,'Master Anggota'!$E$2:$J$678,2,0)</f>
        <v>Aktif</v>
      </c>
      <c r="G220" t="str">
        <f>VLOOKUP(C220,'Master Anggota'!$E$2:$J$678,5,0)</f>
        <v>00325</v>
      </c>
      <c r="H220" s="56">
        <v>0</v>
      </c>
      <c r="I220" s="56">
        <v>0</v>
      </c>
      <c r="J220" s="56">
        <v>100000</v>
      </c>
      <c r="K220" s="56">
        <v>75000</v>
      </c>
      <c r="L220" t="s">
        <v>607</v>
      </c>
      <c r="M220" s="71">
        <v>46045</v>
      </c>
      <c r="N220" t="s">
        <v>576</v>
      </c>
    </row>
    <row r="221" spans="2:14" hidden="1" x14ac:dyDescent="0.2">
      <c r="B221">
        <v>220</v>
      </c>
      <c r="C221" t="s">
        <v>198</v>
      </c>
      <c r="D221" t="str">
        <f>VLOOKUP(C221,'Master Anggota'!$E$2:$J$678,2,0)</f>
        <v>Aktif</v>
      </c>
      <c r="G221" t="str">
        <f>VLOOKUP(C221,'Master Anggota'!$E$2:$J$678,5,0)</f>
        <v>00327</v>
      </c>
      <c r="H221" s="56">
        <v>0</v>
      </c>
      <c r="I221" s="56">
        <v>0</v>
      </c>
      <c r="J221" s="56">
        <v>100000</v>
      </c>
      <c r="K221" s="56">
        <v>200000</v>
      </c>
      <c r="L221" t="s">
        <v>607</v>
      </c>
      <c r="M221" s="71">
        <v>46045</v>
      </c>
      <c r="N221" t="s">
        <v>576</v>
      </c>
    </row>
    <row r="222" spans="2:14" hidden="1" x14ac:dyDescent="0.2">
      <c r="B222">
        <v>221</v>
      </c>
      <c r="C222" t="s">
        <v>208</v>
      </c>
      <c r="D222" t="str">
        <f>VLOOKUP(C222,'Master Anggota'!$E$2:$J$678,2,0)</f>
        <v>Aktif</v>
      </c>
      <c r="G222" t="str">
        <f>VLOOKUP(C222,'Master Anggota'!$E$2:$J$678,5,0)</f>
        <v>00328</v>
      </c>
      <c r="H222" s="56">
        <v>0</v>
      </c>
      <c r="I222" s="56">
        <v>0</v>
      </c>
      <c r="J222" s="56">
        <v>100000</v>
      </c>
      <c r="K222" s="56">
        <v>250000</v>
      </c>
      <c r="L222" t="s">
        <v>607</v>
      </c>
      <c r="M222" s="71">
        <v>46045</v>
      </c>
      <c r="N222" t="s">
        <v>576</v>
      </c>
    </row>
    <row r="223" spans="2:14" hidden="1" x14ac:dyDescent="0.2">
      <c r="B223">
        <v>222</v>
      </c>
      <c r="C223" t="s">
        <v>348</v>
      </c>
      <c r="D223" t="str">
        <f>VLOOKUP(C223,'Master Anggota'!$E$2:$J$678,2,0)</f>
        <v>Aktif</v>
      </c>
      <c r="G223" t="str">
        <f>VLOOKUP(C223,'Master Anggota'!$E$2:$J$678,5,0)</f>
        <v>00334</v>
      </c>
      <c r="H223" s="56">
        <v>0</v>
      </c>
      <c r="I223" s="56">
        <v>0</v>
      </c>
      <c r="J223" s="56">
        <v>100000</v>
      </c>
      <c r="K223" s="56">
        <v>10000</v>
      </c>
      <c r="L223" t="s">
        <v>607</v>
      </c>
      <c r="M223" s="71">
        <v>46045</v>
      </c>
      <c r="N223" t="s">
        <v>576</v>
      </c>
    </row>
    <row r="224" spans="2:14" hidden="1" x14ac:dyDescent="0.2">
      <c r="B224">
        <v>223</v>
      </c>
      <c r="C224" t="s">
        <v>250</v>
      </c>
      <c r="D224" t="str">
        <f>VLOOKUP(C224,'Master Anggota'!$E$2:$J$678,2,0)</f>
        <v>Aktif</v>
      </c>
      <c r="G224" t="str">
        <f>VLOOKUP(C224,'Master Anggota'!$E$2:$J$678,5,0)</f>
        <v>00337</v>
      </c>
      <c r="H224" s="56">
        <v>0</v>
      </c>
      <c r="I224" s="56">
        <v>0</v>
      </c>
      <c r="J224" s="56">
        <v>100000</v>
      </c>
      <c r="K224" s="56">
        <v>50000</v>
      </c>
      <c r="L224" t="s">
        <v>607</v>
      </c>
      <c r="M224" s="71">
        <v>46045</v>
      </c>
      <c r="N224" t="s">
        <v>576</v>
      </c>
    </row>
    <row r="225" spans="2:14" hidden="1" x14ac:dyDescent="0.2">
      <c r="B225">
        <v>224</v>
      </c>
      <c r="C225" t="s">
        <v>341</v>
      </c>
      <c r="D225" t="str">
        <f>VLOOKUP(C225,'Master Anggota'!$E$2:$J$678,2,0)</f>
        <v>Aktif</v>
      </c>
      <c r="G225" t="str">
        <f>VLOOKUP(C225,'Master Anggota'!$E$2:$J$678,5,0)</f>
        <v>00339</v>
      </c>
      <c r="H225" s="56">
        <v>0</v>
      </c>
      <c r="I225" s="56">
        <v>0</v>
      </c>
      <c r="J225" s="56">
        <v>100000</v>
      </c>
      <c r="K225" s="56">
        <v>50000</v>
      </c>
      <c r="L225" t="s">
        <v>607</v>
      </c>
      <c r="M225" s="71">
        <v>46045</v>
      </c>
      <c r="N225" t="s">
        <v>576</v>
      </c>
    </row>
    <row r="226" spans="2:14" hidden="1" x14ac:dyDescent="0.2">
      <c r="B226">
        <v>225</v>
      </c>
      <c r="C226" t="s">
        <v>39</v>
      </c>
      <c r="D226" t="str">
        <f>VLOOKUP(C226,'Master Anggota'!$E$2:$J$678,2,0)</f>
        <v>Aktif</v>
      </c>
      <c r="G226" t="str">
        <f>VLOOKUP(C226,'Master Anggota'!$E$2:$J$678,5,0)</f>
        <v>00340</v>
      </c>
      <c r="H226" s="56">
        <v>0</v>
      </c>
      <c r="I226" s="56">
        <v>0</v>
      </c>
      <c r="J226" s="56">
        <v>100000</v>
      </c>
      <c r="K226" s="56">
        <v>1775000</v>
      </c>
      <c r="L226" t="s">
        <v>607</v>
      </c>
      <c r="M226" s="71">
        <v>46045</v>
      </c>
      <c r="N226" t="s">
        <v>576</v>
      </c>
    </row>
    <row r="227" spans="2:14" hidden="1" x14ac:dyDescent="0.2">
      <c r="B227">
        <v>226</v>
      </c>
      <c r="C227" t="s">
        <v>129</v>
      </c>
      <c r="D227" t="str">
        <f>VLOOKUP(C227,'Master Anggota'!$E$2:$J$678,2,0)</f>
        <v>Aktif</v>
      </c>
      <c r="G227" t="str">
        <f>VLOOKUP(C227,'Master Anggota'!$E$2:$J$678,5,0)</f>
        <v>00343</v>
      </c>
      <c r="H227" s="56">
        <v>0</v>
      </c>
      <c r="I227" s="56">
        <v>0</v>
      </c>
      <c r="J227" s="56">
        <v>100000</v>
      </c>
      <c r="K227" s="56">
        <v>150000</v>
      </c>
      <c r="L227" t="s">
        <v>607</v>
      </c>
      <c r="M227" s="71">
        <v>46045</v>
      </c>
      <c r="N227" t="s">
        <v>576</v>
      </c>
    </row>
    <row r="228" spans="2:14" hidden="1" x14ac:dyDescent="0.2">
      <c r="B228">
        <v>227</v>
      </c>
      <c r="C228" t="s">
        <v>480</v>
      </c>
      <c r="D228" t="str">
        <f>VLOOKUP(C228,'Master Anggota'!$E$2:$J$678,2,0)</f>
        <v>Aktif</v>
      </c>
      <c r="G228" t="str">
        <f>VLOOKUP(C228,'Master Anggota'!$E$2:$J$678,5,0)</f>
        <v>00351</v>
      </c>
      <c r="H228" s="56">
        <v>0</v>
      </c>
      <c r="I228" s="56">
        <v>0</v>
      </c>
      <c r="J228" s="56">
        <v>100000</v>
      </c>
      <c r="K228" s="56">
        <v>100000</v>
      </c>
      <c r="L228" t="s">
        <v>607</v>
      </c>
      <c r="M228" s="71">
        <v>46045</v>
      </c>
      <c r="N228" t="s">
        <v>576</v>
      </c>
    </row>
    <row r="229" spans="2:14" hidden="1" x14ac:dyDescent="0.2">
      <c r="B229">
        <v>228</v>
      </c>
      <c r="C229" t="s">
        <v>151</v>
      </c>
      <c r="D229" t="str">
        <f>VLOOKUP(C229,'Master Anggota'!$E$2:$J$678,2,0)</f>
        <v>Aktif</v>
      </c>
      <c r="G229" t="str">
        <f>VLOOKUP(C229,'Master Anggota'!$E$2:$J$678,5,0)</f>
        <v>00362</v>
      </c>
      <c r="H229" s="56">
        <v>0</v>
      </c>
      <c r="I229" s="56">
        <v>0</v>
      </c>
      <c r="J229" s="56">
        <v>100000</v>
      </c>
      <c r="K229" s="56">
        <v>250000</v>
      </c>
      <c r="L229" t="s">
        <v>607</v>
      </c>
      <c r="M229" s="71">
        <v>46045</v>
      </c>
      <c r="N229" t="s">
        <v>576</v>
      </c>
    </row>
    <row r="230" spans="2:14" hidden="1" x14ac:dyDescent="0.2">
      <c r="B230">
        <v>229</v>
      </c>
      <c r="C230" t="s">
        <v>90</v>
      </c>
      <c r="D230" t="str">
        <f>VLOOKUP(C230,'Master Anggota'!$E$2:$J$678,2,0)</f>
        <v>Aktif</v>
      </c>
      <c r="G230" t="str">
        <f>VLOOKUP(C230,'Master Anggota'!$E$2:$J$678,5,0)</f>
        <v>00363</v>
      </c>
      <c r="H230" s="56">
        <v>0</v>
      </c>
      <c r="I230" s="56">
        <v>0</v>
      </c>
      <c r="J230" s="56">
        <v>150000</v>
      </c>
      <c r="K230" s="56">
        <v>10000</v>
      </c>
      <c r="L230" t="s">
        <v>607</v>
      </c>
      <c r="M230" s="71">
        <v>46045</v>
      </c>
      <c r="N230" t="s">
        <v>576</v>
      </c>
    </row>
    <row r="231" spans="2:14" hidden="1" x14ac:dyDescent="0.2">
      <c r="B231">
        <v>230</v>
      </c>
      <c r="C231" t="s">
        <v>483</v>
      </c>
      <c r="D231" t="str">
        <f>VLOOKUP(C231,'Master Anggota'!$E$2:$J$678,2,0)</f>
        <v>Aktif</v>
      </c>
      <c r="G231" t="str">
        <f>VLOOKUP(C231,'Master Anggota'!$E$2:$J$678,5,0)</f>
        <v>00368</v>
      </c>
      <c r="H231" s="56">
        <v>0</v>
      </c>
      <c r="I231" s="56">
        <v>0</v>
      </c>
      <c r="J231" s="56">
        <v>100000</v>
      </c>
      <c r="K231" s="56">
        <v>100000</v>
      </c>
      <c r="L231" t="s">
        <v>607</v>
      </c>
      <c r="M231" s="71">
        <v>46045</v>
      </c>
      <c r="N231" t="s">
        <v>576</v>
      </c>
    </row>
    <row r="232" spans="2:14" hidden="1" x14ac:dyDescent="0.2">
      <c r="B232">
        <v>231</v>
      </c>
      <c r="C232" t="s">
        <v>328</v>
      </c>
      <c r="D232" t="str">
        <f>VLOOKUP(C232,'Master Anggota'!$E$2:$J$678,2,0)</f>
        <v>Aktif</v>
      </c>
      <c r="G232" t="str">
        <f>VLOOKUP(C232,'Master Anggota'!$E$2:$J$678,5,0)</f>
        <v>00369</v>
      </c>
      <c r="H232" s="56">
        <v>0</v>
      </c>
      <c r="I232" s="56">
        <v>0</v>
      </c>
      <c r="J232" s="56">
        <v>100000</v>
      </c>
      <c r="K232" s="56">
        <v>50000</v>
      </c>
      <c r="L232" t="s">
        <v>607</v>
      </c>
      <c r="M232" s="71">
        <v>46045</v>
      </c>
      <c r="N232" t="s">
        <v>576</v>
      </c>
    </row>
    <row r="233" spans="2:14" hidden="1" x14ac:dyDescent="0.2">
      <c r="B233">
        <v>232</v>
      </c>
      <c r="C233" t="s">
        <v>352</v>
      </c>
      <c r="D233" t="str">
        <f>VLOOKUP(C233,'Master Anggota'!$E$2:$J$678,2,0)</f>
        <v>Aktif</v>
      </c>
      <c r="G233" t="str">
        <f>VLOOKUP(C233,'Master Anggota'!$E$2:$J$678,5,0)</f>
        <v>00370</v>
      </c>
      <c r="H233" s="56">
        <v>0</v>
      </c>
      <c r="I233" s="56">
        <v>0</v>
      </c>
      <c r="J233" s="56">
        <v>100000</v>
      </c>
      <c r="K233" s="56">
        <v>10000</v>
      </c>
      <c r="L233" t="s">
        <v>607</v>
      </c>
      <c r="M233" s="71">
        <v>46045</v>
      </c>
      <c r="N233" t="s">
        <v>576</v>
      </c>
    </row>
    <row r="234" spans="2:14" hidden="1" x14ac:dyDescent="0.2">
      <c r="B234">
        <v>233</v>
      </c>
      <c r="C234" t="s">
        <v>481</v>
      </c>
      <c r="D234" t="str">
        <f>VLOOKUP(C234,'Master Anggota'!$E$2:$J$678,2,0)</f>
        <v>Aktif</v>
      </c>
      <c r="G234" t="str">
        <f>VLOOKUP(C234,'Master Anggota'!$E$2:$J$678,5,0)</f>
        <v>00371</v>
      </c>
      <c r="H234" s="56">
        <v>0</v>
      </c>
      <c r="I234" s="56">
        <v>0</v>
      </c>
      <c r="J234" s="56">
        <v>100000</v>
      </c>
      <c r="K234" s="56">
        <v>50000</v>
      </c>
      <c r="L234" t="s">
        <v>607</v>
      </c>
      <c r="M234" s="71">
        <v>46045</v>
      </c>
      <c r="N234" t="s">
        <v>576</v>
      </c>
    </row>
    <row r="235" spans="2:14" hidden="1" x14ac:dyDescent="0.2">
      <c r="B235">
        <v>234</v>
      </c>
      <c r="C235" t="s">
        <v>345</v>
      </c>
      <c r="D235" t="str">
        <f>VLOOKUP(C235,'Master Anggota'!$E$2:$J$678,2,0)</f>
        <v>Aktif</v>
      </c>
      <c r="G235" t="str">
        <f>VLOOKUP(C235,'Master Anggota'!$E$2:$J$678,5,0)</f>
        <v>00372</v>
      </c>
      <c r="H235" s="56">
        <v>0</v>
      </c>
      <c r="I235" s="56">
        <v>0</v>
      </c>
      <c r="J235" s="56">
        <v>100000</v>
      </c>
      <c r="K235" s="56">
        <v>12500</v>
      </c>
      <c r="L235" t="s">
        <v>607</v>
      </c>
      <c r="M235" s="71">
        <v>46045</v>
      </c>
      <c r="N235" t="s">
        <v>576</v>
      </c>
    </row>
    <row r="236" spans="2:14" hidden="1" x14ac:dyDescent="0.2">
      <c r="B236">
        <v>235</v>
      </c>
      <c r="C236" t="s">
        <v>521</v>
      </c>
      <c r="D236" t="str">
        <f>VLOOKUP(C236,'Master Anggota'!$E$2:$J$678,2,0)</f>
        <v>Aktif</v>
      </c>
      <c r="G236" t="str">
        <f>VLOOKUP(C236,'Master Anggota'!$E$2:$J$678,5,0)</f>
        <v>00376</v>
      </c>
      <c r="H236" s="56">
        <v>0</v>
      </c>
      <c r="I236" s="56">
        <v>0</v>
      </c>
      <c r="J236" s="56">
        <v>100000</v>
      </c>
      <c r="K236" s="56">
        <v>110000</v>
      </c>
      <c r="L236" t="s">
        <v>607</v>
      </c>
      <c r="M236" s="71">
        <v>46045</v>
      </c>
      <c r="N236" t="s">
        <v>576</v>
      </c>
    </row>
    <row r="237" spans="2:14" hidden="1" x14ac:dyDescent="0.2">
      <c r="B237">
        <v>236</v>
      </c>
      <c r="C237" t="s">
        <v>94</v>
      </c>
      <c r="D237" t="str">
        <f>VLOOKUP(C237,'Master Anggota'!$E$2:$J$678,2,0)</f>
        <v>Aktif</v>
      </c>
      <c r="G237" t="str">
        <f>VLOOKUP(C237,'Master Anggota'!$E$2:$J$678,5,0)</f>
        <v>00387</v>
      </c>
      <c r="H237" s="56">
        <v>0</v>
      </c>
      <c r="I237" s="56">
        <v>0</v>
      </c>
      <c r="J237" s="56">
        <v>100000</v>
      </c>
      <c r="K237" s="56">
        <v>10000</v>
      </c>
      <c r="L237" t="s">
        <v>607</v>
      </c>
      <c r="M237" s="71">
        <v>46045</v>
      </c>
      <c r="N237" t="s">
        <v>576</v>
      </c>
    </row>
    <row r="238" spans="2:14" hidden="1" x14ac:dyDescent="0.2">
      <c r="B238">
        <v>237</v>
      </c>
      <c r="C238" t="s">
        <v>258</v>
      </c>
      <c r="D238" t="str">
        <f>VLOOKUP(C238,'Master Anggota'!$E$2:$J$678,2,0)</f>
        <v>Aktif</v>
      </c>
      <c r="G238" t="str">
        <f>VLOOKUP(C238,'Master Anggota'!$E$2:$J$678,5,0)</f>
        <v>00390</v>
      </c>
      <c r="H238" s="56">
        <v>0</v>
      </c>
      <c r="I238" s="56">
        <v>0</v>
      </c>
      <c r="J238" s="56">
        <v>100000</v>
      </c>
      <c r="K238" s="56">
        <v>10000</v>
      </c>
      <c r="L238" t="s">
        <v>607</v>
      </c>
      <c r="M238" s="71">
        <v>46045</v>
      </c>
      <c r="N238" t="s">
        <v>576</v>
      </c>
    </row>
    <row r="239" spans="2:14" hidden="1" x14ac:dyDescent="0.2">
      <c r="B239">
        <v>238</v>
      </c>
      <c r="C239" t="s">
        <v>92</v>
      </c>
      <c r="D239" t="str">
        <f>VLOOKUP(C239,'Master Anggota'!$E$2:$J$678,2,0)</f>
        <v>Aktif</v>
      </c>
      <c r="G239" t="str">
        <f>VLOOKUP(C239,'Master Anggota'!$E$2:$J$678,5,0)</f>
        <v>00396</v>
      </c>
      <c r="H239" s="56">
        <v>0</v>
      </c>
      <c r="I239" s="56">
        <v>0</v>
      </c>
      <c r="J239" s="56">
        <v>150000</v>
      </c>
      <c r="K239" s="56">
        <v>200000</v>
      </c>
      <c r="L239" t="s">
        <v>607</v>
      </c>
      <c r="M239" s="71">
        <v>46045</v>
      </c>
      <c r="N239" t="s">
        <v>576</v>
      </c>
    </row>
    <row r="240" spans="2:14" hidden="1" x14ac:dyDescent="0.2">
      <c r="B240">
        <v>239</v>
      </c>
      <c r="C240" t="s">
        <v>103</v>
      </c>
      <c r="D240" t="str">
        <f>VLOOKUP(C240,'Master Anggota'!$E$2:$J$678,2,0)</f>
        <v>Aktif</v>
      </c>
      <c r="G240" t="str">
        <f>VLOOKUP(C240,'Master Anggota'!$E$2:$J$678,5,0)</f>
        <v>00401</v>
      </c>
      <c r="H240" s="56">
        <v>0</v>
      </c>
      <c r="I240" s="56">
        <v>0</v>
      </c>
      <c r="J240" s="56">
        <v>150000</v>
      </c>
      <c r="K240" s="56">
        <v>1000000</v>
      </c>
      <c r="L240" t="s">
        <v>607</v>
      </c>
      <c r="M240" s="71">
        <v>46045</v>
      </c>
      <c r="N240" t="s">
        <v>576</v>
      </c>
    </row>
    <row r="241" spans="2:14" hidden="1" x14ac:dyDescent="0.2">
      <c r="B241">
        <v>240</v>
      </c>
      <c r="C241" t="s">
        <v>122</v>
      </c>
      <c r="D241" t="str">
        <f>VLOOKUP(C241,'Master Anggota'!$E$2:$J$678,2,0)</f>
        <v>Aktif</v>
      </c>
      <c r="G241" t="str">
        <f>VLOOKUP(C241,'Master Anggota'!$E$2:$J$678,5,0)</f>
        <v>00485</v>
      </c>
      <c r="H241" s="56">
        <v>0</v>
      </c>
      <c r="I241" s="56">
        <v>0</v>
      </c>
      <c r="J241" s="56">
        <v>100000</v>
      </c>
      <c r="K241" s="56">
        <v>500000</v>
      </c>
      <c r="L241" t="s">
        <v>607</v>
      </c>
      <c r="M241" s="71">
        <v>46045</v>
      </c>
      <c r="N241" t="s">
        <v>576</v>
      </c>
    </row>
    <row r="242" spans="2:14" hidden="1" x14ac:dyDescent="0.2">
      <c r="B242">
        <v>241</v>
      </c>
      <c r="C242" t="s">
        <v>65</v>
      </c>
      <c r="D242" t="str">
        <f>VLOOKUP(C242,'Master Anggota'!$E$2:$J$678,2,0)</f>
        <v>Aktif</v>
      </c>
      <c r="G242" t="str">
        <f>VLOOKUP(C242,'Master Anggota'!$E$2:$J$678,5,0)</f>
        <v>00490</v>
      </c>
      <c r="H242" s="56">
        <v>0</v>
      </c>
      <c r="I242" s="56">
        <v>0</v>
      </c>
      <c r="J242" s="56">
        <v>100000</v>
      </c>
      <c r="K242" s="56">
        <v>200000</v>
      </c>
      <c r="L242" t="s">
        <v>607</v>
      </c>
      <c r="M242" s="71">
        <v>46045</v>
      </c>
      <c r="N242" t="s">
        <v>576</v>
      </c>
    </row>
    <row r="243" spans="2:14" hidden="1" x14ac:dyDescent="0.2">
      <c r="B243">
        <v>242</v>
      </c>
      <c r="C243" t="s">
        <v>69</v>
      </c>
      <c r="D243" t="str">
        <f>VLOOKUP(C243,'Master Anggota'!$E$2:$J$678,2,0)</f>
        <v>Aktif</v>
      </c>
      <c r="G243" t="str">
        <f>VLOOKUP(C243,'Master Anggota'!$E$2:$J$678,5,0)</f>
        <v>00496</v>
      </c>
      <c r="H243" s="56">
        <v>0</v>
      </c>
      <c r="I243" s="56">
        <v>0</v>
      </c>
      <c r="J243" s="56">
        <v>100000</v>
      </c>
      <c r="K243" s="56">
        <v>150000</v>
      </c>
      <c r="L243" t="s">
        <v>607</v>
      </c>
      <c r="M243" s="71">
        <v>46045</v>
      </c>
      <c r="N243" t="s">
        <v>576</v>
      </c>
    </row>
    <row r="244" spans="2:14" hidden="1" x14ac:dyDescent="0.2">
      <c r="B244">
        <v>243</v>
      </c>
      <c r="C244" t="s">
        <v>115</v>
      </c>
      <c r="D244" t="str">
        <f>VLOOKUP(C244,'Master Anggota'!$E$2:$J$678,2,0)</f>
        <v>Aktif</v>
      </c>
      <c r="G244" t="str">
        <f>VLOOKUP(C244,'Master Anggota'!$E$2:$J$678,5,0)</f>
        <v>00497</v>
      </c>
      <c r="H244" s="56">
        <v>0</v>
      </c>
      <c r="I244" s="56">
        <v>0</v>
      </c>
      <c r="J244" s="56">
        <v>100000</v>
      </c>
      <c r="K244" s="56">
        <v>500000</v>
      </c>
      <c r="L244" t="s">
        <v>607</v>
      </c>
      <c r="M244" s="71">
        <v>46045</v>
      </c>
      <c r="N244" t="s">
        <v>576</v>
      </c>
    </row>
    <row r="245" spans="2:14" hidden="1" x14ac:dyDescent="0.2">
      <c r="B245">
        <v>244</v>
      </c>
      <c r="C245" t="s">
        <v>117</v>
      </c>
      <c r="D245" t="str">
        <f>VLOOKUP(C245,'Master Anggota'!$E$2:$J$678,2,0)</f>
        <v>Aktif</v>
      </c>
      <c r="G245" t="str">
        <f>VLOOKUP(C245,'Master Anggota'!$E$2:$J$678,5,0)</f>
        <v>00497</v>
      </c>
      <c r="H245" s="56">
        <v>0</v>
      </c>
      <c r="I245" s="56">
        <v>0</v>
      </c>
      <c r="J245" s="56">
        <v>100000</v>
      </c>
      <c r="K245" s="56">
        <v>300000</v>
      </c>
      <c r="L245" t="s">
        <v>607</v>
      </c>
      <c r="M245" s="71">
        <v>46045</v>
      </c>
      <c r="N245" t="s">
        <v>576</v>
      </c>
    </row>
    <row r="246" spans="2:14" hidden="1" x14ac:dyDescent="0.2">
      <c r="B246">
        <v>245</v>
      </c>
      <c r="C246" t="s">
        <v>194</v>
      </c>
      <c r="D246" t="str">
        <f>VLOOKUP(C246,'Master Anggota'!$E$2:$J$678,2,0)</f>
        <v>Aktif</v>
      </c>
      <c r="G246" t="str">
        <f>VLOOKUP(C246,'Master Anggota'!$E$2:$J$678,5,0)</f>
        <v>00498</v>
      </c>
      <c r="H246" s="56">
        <v>0</v>
      </c>
      <c r="I246" s="56">
        <v>0</v>
      </c>
      <c r="J246" s="56">
        <v>200000</v>
      </c>
      <c r="K246" s="56">
        <v>500000</v>
      </c>
      <c r="L246" t="s">
        <v>607</v>
      </c>
      <c r="M246" s="71">
        <v>46045</v>
      </c>
      <c r="N246" t="s">
        <v>576</v>
      </c>
    </row>
    <row r="247" spans="2:14" hidden="1" x14ac:dyDescent="0.2">
      <c r="B247">
        <v>246</v>
      </c>
      <c r="C247" t="s">
        <v>155</v>
      </c>
      <c r="D247" t="str">
        <f>VLOOKUP(C247,'Master Anggota'!$E$2:$J$678,2,0)</f>
        <v>Aktif</v>
      </c>
      <c r="G247" t="str">
        <f>VLOOKUP(C247,'Master Anggota'!$E$2:$J$678,5,0)</f>
        <v>00499</v>
      </c>
      <c r="H247" s="56">
        <v>0</v>
      </c>
      <c r="I247" s="56">
        <v>0</v>
      </c>
      <c r="J247" s="56">
        <v>100000</v>
      </c>
      <c r="K247" s="56">
        <v>75000</v>
      </c>
      <c r="L247" t="s">
        <v>607</v>
      </c>
      <c r="M247" s="71">
        <v>46045</v>
      </c>
      <c r="N247" t="s">
        <v>576</v>
      </c>
    </row>
    <row r="248" spans="2:14" hidden="1" x14ac:dyDescent="0.2">
      <c r="B248">
        <v>247</v>
      </c>
      <c r="C248" t="s">
        <v>96</v>
      </c>
      <c r="D248" t="str">
        <f>VLOOKUP(C248,'Master Anggota'!$E$2:$J$678,2,0)</f>
        <v>Aktif</v>
      </c>
      <c r="G248" t="str">
        <f>VLOOKUP(C248,'Master Anggota'!$E$2:$J$678,5,0)</f>
        <v>00508</v>
      </c>
      <c r="H248" s="56">
        <v>0</v>
      </c>
      <c r="I248" s="56">
        <v>0</v>
      </c>
      <c r="J248" s="56">
        <v>100000</v>
      </c>
      <c r="K248" s="56">
        <v>50000</v>
      </c>
      <c r="L248" t="s">
        <v>607</v>
      </c>
      <c r="M248" s="71">
        <v>46045</v>
      </c>
      <c r="N248" t="s">
        <v>576</v>
      </c>
    </row>
    <row r="249" spans="2:14" hidden="1" x14ac:dyDescent="0.2">
      <c r="B249">
        <v>248</v>
      </c>
      <c r="C249" t="s">
        <v>270</v>
      </c>
      <c r="D249" t="str">
        <f>VLOOKUP(C249,'Master Anggota'!$E$2:$J$678,2,0)</f>
        <v>Aktif</v>
      </c>
      <c r="G249" t="str">
        <f>VLOOKUP(C249,'Master Anggota'!$E$2:$J$678,5,0)</f>
        <v>00509</v>
      </c>
      <c r="H249" s="56">
        <v>0</v>
      </c>
      <c r="I249" s="56">
        <v>0</v>
      </c>
      <c r="J249" s="56">
        <v>100000</v>
      </c>
      <c r="K249" s="56">
        <v>175000</v>
      </c>
      <c r="L249" t="s">
        <v>607</v>
      </c>
      <c r="M249" s="71">
        <v>46045</v>
      </c>
      <c r="N249" t="s">
        <v>576</v>
      </c>
    </row>
    <row r="250" spans="2:14" hidden="1" x14ac:dyDescent="0.2">
      <c r="B250">
        <v>249</v>
      </c>
      <c r="C250" t="s">
        <v>37</v>
      </c>
      <c r="D250" t="str">
        <f>VLOOKUP(C250,'Master Anggota'!$E$2:$J$678,2,0)</f>
        <v>Aktif</v>
      </c>
      <c r="G250" t="str">
        <f>VLOOKUP(C250,'Master Anggota'!$E$2:$J$678,5,0)</f>
        <v>00511</v>
      </c>
      <c r="H250" s="56">
        <v>0</v>
      </c>
      <c r="I250" s="56">
        <v>0</v>
      </c>
      <c r="J250" s="56">
        <v>100000</v>
      </c>
      <c r="K250" s="56">
        <v>50000</v>
      </c>
      <c r="L250" t="s">
        <v>607</v>
      </c>
      <c r="M250" s="71">
        <v>46045</v>
      </c>
      <c r="N250" t="s">
        <v>576</v>
      </c>
    </row>
    <row r="251" spans="2:14" hidden="1" x14ac:dyDescent="0.2">
      <c r="B251">
        <v>250</v>
      </c>
      <c r="C251" t="s">
        <v>202</v>
      </c>
      <c r="D251" t="str">
        <f>VLOOKUP(C251,'Master Anggota'!$E$2:$J$678,2,0)</f>
        <v>Aktif</v>
      </c>
      <c r="G251" t="str">
        <f>VLOOKUP(C251,'Master Anggota'!$E$2:$J$678,5,0)</f>
        <v>00512</v>
      </c>
      <c r="H251" s="56">
        <v>0</v>
      </c>
      <c r="I251" s="56">
        <v>0</v>
      </c>
      <c r="J251" s="56">
        <v>100000</v>
      </c>
      <c r="K251" s="56">
        <v>175000</v>
      </c>
      <c r="L251" t="s">
        <v>607</v>
      </c>
      <c r="M251" s="71">
        <v>46045</v>
      </c>
      <c r="N251" t="s">
        <v>576</v>
      </c>
    </row>
    <row r="252" spans="2:14" hidden="1" x14ac:dyDescent="0.2">
      <c r="B252">
        <v>251</v>
      </c>
      <c r="C252" t="s">
        <v>239</v>
      </c>
      <c r="D252" t="str">
        <f>VLOOKUP(C252,'Master Anggota'!$E$2:$J$678,2,0)</f>
        <v>Aktif</v>
      </c>
      <c r="G252" t="str">
        <f>VLOOKUP(C252,'Master Anggota'!$E$2:$J$678,5,0)</f>
        <v>00513</v>
      </c>
      <c r="H252" s="56">
        <v>0</v>
      </c>
      <c r="I252" s="56">
        <v>0</v>
      </c>
      <c r="J252" s="56">
        <v>100000</v>
      </c>
      <c r="K252" s="56">
        <v>125000</v>
      </c>
      <c r="L252" t="s">
        <v>607</v>
      </c>
      <c r="M252" s="71">
        <v>46045</v>
      </c>
      <c r="N252" t="s">
        <v>576</v>
      </c>
    </row>
    <row r="253" spans="2:14" hidden="1" x14ac:dyDescent="0.2">
      <c r="B253">
        <v>252</v>
      </c>
      <c r="C253" t="s">
        <v>223</v>
      </c>
      <c r="D253" t="str">
        <f>VLOOKUP(C253,'Master Anggota'!$E$2:$J$678,2,0)</f>
        <v>Aktif</v>
      </c>
      <c r="G253" t="str">
        <f>VLOOKUP(C253,'Master Anggota'!$E$2:$J$678,5,0)</f>
        <v>00514</v>
      </c>
      <c r="H253" s="56">
        <v>0</v>
      </c>
      <c r="I253" s="56">
        <v>0</v>
      </c>
      <c r="J253" s="56">
        <v>100000</v>
      </c>
      <c r="K253" s="56">
        <v>300000</v>
      </c>
      <c r="L253" t="s">
        <v>607</v>
      </c>
      <c r="M253" s="71">
        <v>46045</v>
      </c>
      <c r="N253" t="s">
        <v>576</v>
      </c>
    </row>
    <row r="254" spans="2:14" hidden="1" x14ac:dyDescent="0.2">
      <c r="B254">
        <v>253</v>
      </c>
      <c r="C254" t="s">
        <v>274</v>
      </c>
      <c r="D254" t="str">
        <f>VLOOKUP(C254,'Master Anggota'!$E$2:$J$678,2,0)</f>
        <v>Aktif</v>
      </c>
      <c r="G254" t="str">
        <f>VLOOKUP(C254,'Master Anggota'!$E$2:$J$678,5,0)</f>
        <v>00515</v>
      </c>
      <c r="H254" s="56">
        <v>0</v>
      </c>
      <c r="I254" s="56">
        <v>0</v>
      </c>
      <c r="J254" s="56">
        <v>100000</v>
      </c>
      <c r="K254" s="56">
        <v>100000</v>
      </c>
      <c r="L254" t="s">
        <v>607</v>
      </c>
      <c r="M254" s="71">
        <v>46045</v>
      </c>
      <c r="N254" t="s">
        <v>576</v>
      </c>
    </row>
    <row r="255" spans="2:14" hidden="1" x14ac:dyDescent="0.2">
      <c r="B255">
        <v>254</v>
      </c>
      <c r="C255" t="s">
        <v>233</v>
      </c>
      <c r="D255" t="str">
        <f>VLOOKUP(C255,'Master Anggota'!$E$2:$J$678,2,0)</f>
        <v>Aktif</v>
      </c>
      <c r="G255" t="str">
        <f>VLOOKUP(C255,'Master Anggota'!$E$2:$J$678,5,0)</f>
        <v>00516</v>
      </c>
      <c r="H255" s="56">
        <v>0</v>
      </c>
      <c r="I255" s="56">
        <v>0</v>
      </c>
      <c r="J255" s="56">
        <v>100000</v>
      </c>
      <c r="K255" s="56">
        <v>25000</v>
      </c>
      <c r="L255" t="s">
        <v>607</v>
      </c>
      <c r="M255" s="71">
        <v>46045</v>
      </c>
      <c r="N255" t="s">
        <v>576</v>
      </c>
    </row>
    <row r="256" spans="2:14" hidden="1" x14ac:dyDescent="0.2">
      <c r="B256">
        <v>255</v>
      </c>
      <c r="C256" t="s">
        <v>71</v>
      </c>
      <c r="D256" t="str">
        <f>VLOOKUP(C256,'Master Anggota'!$E$2:$J$678,2,0)</f>
        <v>Aktif</v>
      </c>
      <c r="G256" t="str">
        <f>VLOOKUP(C256,'Master Anggota'!$E$2:$J$678,5,0)</f>
        <v>00517</v>
      </c>
      <c r="H256" s="56">
        <v>0</v>
      </c>
      <c r="I256" s="56">
        <v>0</v>
      </c>
      <c r="J256" s="56">
        <v>100000</v>
      </c>
      <c r="K256" s="56">
        <v>400000</v>
      </c>
      <c r="L256" t="s">
        <v>607</v>
      </c>
      <c r="M256" s="71">
        <v>46045</v>
      </c>
      <c r="N256" t="s">
        <v>576</v>
      </c>
    </row>
    <row r="257" spans="2:14" hidden="1" x14ac:dyDescent="0.2">
      <c r="B257">
        <v>256</v>
      </c>
      <c r="C257" t="s">
        <v>62</v>
      </c>
      <c r="D257" t="str">
        <f>VLOOKUP(C257,'Master Anggota'!$E$2:$J$678,2,0)</f>
        <v>Aktif</v>
      </c>
      <c r="G257" t="str">
        <f>VLOOKUP(C257,'Master Anggota'!$E$2:$J$678,5,0)</f>
        <v>00518</v>
      </c>
      <c r="H257" s="56">
        <v>0</v>
      </c>
      <c r="I257" s="56">
        <v>0</v>
      </c>
      <c r="J257" s="56">
        <v>150000</v>
      </c>
      <c r="K257" s="56">
        <v>150000</v>
      </c>
      <c r="L257" t="s">
        <v>607</v>
      </c>
      <c r="M257" s="71">
        <v>46045</v>
      </c>
      <c r="N257" t="s">
        <v>576</v>
      </c>
    </row>
    <row r="258" spans="2:14" hidden="1" x14ac:dyDescent="0.2">
      <c r="B258">
        <v>257</v>
      </c>
      <c r="C258" t="s">
        <v>46</v>
      </c>
      <c r="D258" t="str">
        <f>VLOOKUP(C258,'Master Anggota'!$E$2:$J$678,2,0)</f>
        <v>Aktif</v>
      </c>
      <c r="G258" t="str">
        <f>VLOOKUP(C258,'Master Anggota'!$E$2:$J$678,5,0)</f>
        <v>00519</v>
      </c>
      <c r="H258" s="56">
        <v>0</v>
      </c>
      <c r="I258" s="56">
        <v>0</v>
      </c>
      <c r="J258" s="56">
        <v>100000</v>
      </c>
      <c r="K258" s="56">
        <v>125000</v>
      </c>
      <c r="L258" t="s">
        <v>607</v>
      </c>
      <c r="M258" s="71">
        <v>46045</v>
      </c>
      <c r="N258" t="s">
        <v>576</v>
      </c>
    </row>
    <row r="259" spans="2:14" hidden="1" x14ac:dyDescent="0.2">
      <c r="B259">
        <v>258</v>
      </c>
      <c r="C259" t="s">
        <v>200</v>
      </c>
      <c r="D259" t="str">
        <f>VLOOKUP(C259,'Master Anggota'!$E$2:$J$678,2,0)</f>
        <v>Aktif</v>
      </c>
      <c r="G259" t="str">
        <f>VLOOKUP(C259,'Master Anggota'!$E$2:$J$678,5,0)</f>
        <v>00520</v>
      </c>
      <c r="H259" s="56">
        <v>0</v>
      </c>
      <c r="I259" s="56">
        <v>0</v>
      </c>
      <c r="J259" s="56">
        <v>100000</v>
      </c>
      <c r="K259" s="56">
        <v>100000</v>
      </c>
      <c r="L259" t="s">
        <v>607</v>
      </c>
      <c r="M259" s="71">
        <v>46045</v>
      </c>
      <c r="N259" t="s">
        <v>576</v>
      </c>
    </row>
    <row r="260" spans="2:14" hidden="1" x14ac:dyDescent="0.2">
      <c r="B260">
        <v>259</v>
      </c>
      <c r="C260" t="s">
        <v>107</v>
      </c>
      <c r="D260" t="str">
        <f>VLOOKUP(C260,'Master Anggota'!$E$2:$J$678,2,0)</f>
        <v>Aktif</v>
      </c>
      <c r="G260" t="str">
        <f>VLOOKUP(C260,'Master Anggota'!$E$2:$J$678,5,0)</f>
        <v>00521</v>
      </c>
      <c r="H260" s="56">
        <v>0</v>
      </c>
      <c r="I260" s="56">
        <v>0</v>
      </c>
      <c r="J260" s="56">
        <v>100000</v>
      </c>
      <c r="K260" s="56">
        <v>200000</v>
      </c>
      <c r="L260" t="s">
        <v>607</v>
      </c>
      <c r="M260" s="71">
        <v>46045</v>
      </c>
      <c r="N260" t="s">
        <v>576</v>
      </c>
    </row>
    <row r="261" spans="2:14" hidden="1" x14ac:dyDescent="0.2">
      <c r="B261">
        <v>260</v>
      </c>
      <c r="C261" t="s">
        <v>235</v>
      </c>
      <c r="D261" t="str">
        <f>VLOOKUP(C261,'Master Anggota'!$E$2:$J$678,2,0)</f>
        <v>Aktif</v>
      </c>
      <c r="G261" t="str">
        <f>VLOOKUP(C261,'Master Anggota'!$E$2:$J$678,5,0)</f>
        <v>00523</v>
      </c>
      <c r="H261" s="56">
        <v>0</v>
      </c>
      <c r="I261" s="56">
        <v>0</v>
      </c>
      <c r="J261" s="56">
        <v>100000</v>
      </c>
      <c r="K261" s="56">
        <v>100000</v>
      </c>
      <c r="L261" t="s">
        <v>607</v>
      </c>
      <c r="M261" s="71">
        <v>46045</v>
      </c>
      <c r="N261" t="s">
        <v>576</v>
      </c>
    </row>
    <row r="262" spans="2:14" hidden="1" x14ac:dyDescent="0.2">
      <c r="B262">
        <v>261</v>
      </c>
      <c r="C262" t="s">
        <v>252</v>
      </c>
      <c r="D262" t="str">
        <f>VLOOKUP(C262,'Master Anggota'!$E$2:$J$678,2,0)</f>
        <v>Aktif</v>
      </c>
      <c r="G262" t="str">
        <f>VLOOKUP(C262,'Master Anggota'!$E$2:$J$678,5,0)</f>
        <v>00524</v>
      </c>
      <c r="H262" s="56">
        <v>0</v>
      </c>
      <c r="I262" s="56">
        <v>0</v>
      </c>
      <c r="J262" s="56">
        <v>100000</v>
      </c>
      <c r="K262" s="56">
        <v>200000</v>
      </c>
      <c r="L262" t="s">
        <v>607</v>
      </c>
      <c r="M262" s="71">
        <v>46045</v>
      </c>
      <c r="N262" t="s">
        <v>576</v>
      </c>
    </row>
    <row r="263" spans="2:14" hidden="1" x14ac:dyDescent="0.2">
      <c r="B263">
        <v>262</v>
      </c>
      <c r="C263" t="s">
        <v>206</v>
      </c>
      <c r="D263" t="str">
        <f>VLOOKUP(C263,'Master Anggota'!$E$2:$J$678,2,0)</f>
        <v>Aktif</v>
      </c>
      <c r="G263" t="str">
        <f>VLOOKUP(C263,'Master Anggota'!$E$2:$J$678,5,0)</f>
        <v>00525</v>
      </c>
      <c r="H263" s="56">
        <v>0</v>
      </c>
      <c r="I263" s="56">
        <v>0</v>
      </c>
      <c r="J263" s="56">
        <v>100000</v>
      </c>
      <c r="K263" s="56">
        <v>100000</v>
      </c>
      <c r="L263" t="s">
        <v>607</v>
      </c>
      <c r="M263" s="71">
        <v>46045</v>
      </c>
      <c r="N263" t="s">
        <v>576</v>
      </c>
    </row>
    <row r="264" spans="2:14" hidden="1" x14ac:dyDescent="0.2">
      <c r="B264">
        <v>263</v>
      </c>
      <c r="C264" t="s">
        <v>241</v>
      </c>
      <c r="D264" t="str">
        <f>VLOOKUP(C264,'Master Anggota'!$E$2:$J$678,2,0)</f>
        <v>Aktif</v>
      </c>
      <c r="G264" t="str">
        <f>VLOOKUP(C264,'Master Anggota'!$E$2:$J$678,5,0)</f>
        <v>00526</v>
      </c>
      <c r="H264" s="56">
        <v>0</v>
      </c>
      <c r="I264" s="56">
        <v>0</v>
      </c>
      <c r="J264" s="56">
        <v>100000</v>
      </c>
      <c r="K264" s="56">
        <v>100000</v>
      </c>
      <c r="L264" t="s">
        <v>607</v>
      </c>
      <c r="M264" s="71">
        <v>46045</v>
      </c>
      <c r="N264" t="s">
        <v>576</v>
      </c>
    </row>
    <row r="265" spans="2:14" hidden="1" x14ac:dyDescent="0.2">
      <c r="B265">
        <v>264</v>
      </c>
      <c r="C265" t="s">
        <v>147</v>
      </c>
      <c r="D265" t="str">
        <f>VLOOKUP(C265,'Master Anggota'!$E$2:$J$678,2,0)</f>
        <v>Aktif</v>
      </c>
      <c r="G265" t="str">
        <f>VLOOKUP(C265,'Master Anggota'!$E$2:$J$678,5,0)</f>
        <v>00527</v>
      </c>
      <c r="H265" s="56">
        <v>0</v>
      </c>
      <c r="I265" s="56">
        <v>0</v>
      </c>
      <c r="J265" s="56">
        <v>100000</v>
      </c>
      <c r="K265" s="56">
        <v>50000</v>
      </c>
      <c r="L265" t="s">
        <v>607</v>
      </c>
      <c r="M265" s="71">
        <v>46045</v>
      </c>
      <c r="N265" t="s">
        <v>576</v>
      </c>
    </row>
    <row r="266" spans="2:14" hidden="1" x14ac:dyDescent="0.2">
      <c r="B266">
        <v>265</v>
      </c>
      <c r="C266" t="s">
        <v>268</v>
      </c>
      <c r="D266" t="str">
        <f>VLOOKUP(C266,'Master Anggota'!$E$2:$J$678,2,0)</f>
        <v>Aktif</v>
      </c>
      <c r="G266" t="str">
        <f>VLOOKUP(C266,'Master Anggota'!$E$2:$J$678,5,0)</f>
        <v>00528</v>
      </c>
      <c r="H266" s="56">
        <v>0</v>
      </c>
      <c r="I266" s="56">
        <v>0</v>
      </c>
      <c r="J266" s="56">
        <v>100000</v>
      </c>
      <c r="K266" s="56">
        <v>100000</v>
      </c>
      <c r="L266" t="s">
        <v>607</v>
      </c>
      <c r="M266" s="71">
        <v>46045</v>
      </c>
      <c r="N266" t="s">
        <v>576</v>
      </c>
    </row>
    <row r="267" spans="2:14" x14ac:dyDescent="0.2">
      <c r="B267">
        <v>266</v>
      </c>
      <c r="C267" t="s">
        <v>214</v>
      </c>
      <c r="D267" t="str">
        <f>VLOOKUP(C267,'Master Anggota'!$E$2:$J$678,2,0)</f>
        <v>Aktif</v>
      </c>
      <c r="G267" t="str">
        <f>VLOOKUP(C267,'Master Anggota'!$E$2:$J$678,5,0)</f>
        <v>00529</v>
      </c>
      <c r="H267" s="56">
        <v>0</v>
      </c>
      <c r="I267" s="56">
        <v>0</v>
      </c>
      <c r="J267" s="56">
        <v>100000</v>
      </c>
      <c r="K267" s="56">
        <v>100000</v>
      </c>
      <c r="L267" t="s">
        <v>607</v>
      </c>
      <c r="M267" s="71">
        <v>46045</v>
      </c>
      <c r="N267" t="s">
        <v>576</v>
      </c>
    </row>
    <row r="268" spans="2:14" hidden="1" x14ac:dyDescent="0.2">
      <c r="B268">
        <v>267</v>
      </c>
      <c r="C268" t="s">
        <v>243</v>
      </c>
      <c r="D268" t="str">
        <f>VLOOKUP(C268,'Master Anggota'!$E$2:$J$678,2,0)</f>
        <v>Aktif</v>
      </c>
      <c r="G268" t="str">
        <f>VLOOKUP(C268,'Master Anggota'!$E$2:$J$678,5,0)</f>
        <v>00530</v>
      </c>
      <c r="H268" s="56">
        <v>0</v>
      </c>
      <c r="I268" s="56">
        <v>0</v>
      </c>
      <c r="J268" s="56">
        <v>100000</v>
      </c>
      <c r="K268" s="56">
        <v>250000</v>
      </c>
      <c r="L268" t="s">
        <v>607</v>
      </c>
      <c r="M268" s="71">
        <v>46045</v>
      </c>
      <c r="N268" t="s">
        <v>576</v>
      </c>
    </row>
    <row r="269" spans="2:14" hidden="1" x14ac:dyDescent="0.2">
      <c r="B269">
        <v>268</v>
      </c>
      <c r="C269" t="s">
        <v>225</v>
      </c>
      <c r="D269" t="str">
        <f>VLOOKUP(C269,'Master Anggota'!$E$2:$J$678,2,0)</f>
        <v>Aktif</v>
      </c>
      <c r="G269" t="str">
        <f>VLOOKUP(C269,'Master Anggota'!$E$2:$J$678,5,0)</f>
        <v>00531</v>
      </c>
      <c r="H269" s="56">
        <v>0</v>
      </c>
      <c r="I269" s="56">
        <v>0</v>
      </c>
      <c r="J269" s="56">
        <v>100000</v>
      </c>
      <c r="K269" s="56">
        <v>15000</v>
      </c>
      <c r="L269" t="s">
        <v>607</v>
      </c>
      <c r="M269" s="71">
        <v>46045</v>
      </c>
      <c r="N269" t="s">
        <v>576</v>
      </c>
    </row>
    <row r="270" spans="2:14" hidden="1" x14ac:dyDescent="0.2">
      <c r="B270">
        <v>269</v>
      </c>
      <c r="C270" t="s">
        <v>245</v>
      </c>
      <c r="D270" t="str">
        <f>VLOOKUP(C270,'Master Anggota'!$E$2:$J$678,2,0)</f>
        <v>Aktif</v>
      </c>
      <c r="G270" t="str">
        <f>VLOOKUP(C270,'Master Anggota'!$E$2:$J$678,5,0)</f>
        <v>00532</v>
      </c>
      <c r="H270" s="56">
        <v>0</v>
      </c>
      <c r="I270" s="56">
        <v>0</v>
      </c>
      <c r="J270" s="56">
        <v>100000</v>
      </c>
      <c r="K270" s="56">
        <v>100000</v>
      </c>
      <c r="L270" t="s">
        <v>607</v>
      </c>
      <c r="M270" s="71">
        <v>46045</v>
      </c>
      <c r="N270" t="s">
        <v>576</v>
      </c>
    </row>
    <row r="271" spans="2:14" hidden="1" x14ac:dyDescent="0.2">
      <c r="B271">
        <v>270</v>
      </c>
      <c r="C271" t="s">
        <v>522</v>
      </c>
      <c r="D271" t="str">
        <f>VLOOKUP(C271,'Master Anggota'!$E$2:$J$678,2,0)</f>
        <v>Aktif</v>
      </c>
      <c r="G271" t="str">
        <f>VLOOKUP(C271,'Master Anggota'!$E$2:$J$678,5,0)</f>
        <v>00533</v>
      </c>
      <c r="H271" s="56">
        <v>0</v>
      </c>
      <c r="I271" s="56">
        <v>0</v>
      </c>
      <c r="J271" s="56">
        <v>100000</v>
      </c>
      <c r="K271" s="56">
        <v>100000</v>
      </c>
      <c r="L271" t="s">
        <v>607</v>
      </c>
      <c r="M271" s="71">
        <v>46045</v>
      </c>
      <c r="N271" t="s">
        <v>576</v>
      </c>
    </row>
    <row r="272" spans="2:14" hidden="1" x14ac:dyDescent="0.2">
      <c r="B272">
        <v>271</v>
      </c>
      <c r="C272" t="s">
        <v>204</v>
      </c>
      <c r="D272" t="str">
        <f>VLOOKUP(C272,'Master Anggota'!$E$2:$J$678,2,0)</f>
        <v>Aktif</v>
      </c>
      <c r="G272" t="str">
        <f>VLOOKUP(C272,'Master Anggota'!$E$2:$J$678,5,0)</f>
        <v>00534</v>
      </c>
      <c r="H272" s="56">
        <v>0</v>
      </c>
      <c r="I272" s="56">
        <v>0</v>
      </c>
      <c r="J272" s="56">
        <v>100000</v>
      </c>
      <c r="K272" s="56">
        <v>125000</v>
      </c>
      <c r="L272" t="s">
        <v>607</v>
      </c>
      <c r="M272" s="71">
        <v>46045</v>
      </c>
      <c r="N272" t="s">
        <v>576</v>
      </c>
    </row>
    <row r="273" spans="2:14" hidden="1" x14ac:dyDescent="0.2">
      <c r="B273">
        <v>272</v>
      </c>
      <c r="C273" t="s">
        <v>189</v>
      </c>
      <c r="D273" t="str">
        <f>VLOOKUP(C273,'Master Anggota'!$E$2:$J$678,2,0)</f>
        <v>Aktif</v>
      </c>
      <c r="G273" t="str">
        <f>VLOOKUP(C273,'Master Anggota'!$E$2:$J$678,5,0)</f>
        <v>00535</v>
      </c>
      <c r="H273" s="56">
        <v>0</v>
      </c>
      <c r="I273" s="56">
        <v>0</v>
      </c>
      <c r="J273" s="56">
        <v>100000</v>
      </c>
      <c r="K273" s="56">
        <v>150000</v>
      </c>
      <c r="L273" t="s">
        <v>607</v>
      </c>
      <c r="M273" s="71">
        <v>46045</v>
      </c>
      <c r="N273" t="s">
        <v>576</v>
      </c>
    </row>
    <row r="274" spans="2:14" hidden="1" x14ac:dyDescent="0.2">
      <c r="B274">
        <v>273</v>
      </c>
      <c r="C274" t="s">
        <v>81</v>
      </c>
      <c r="D274" t="str">
        <f>VLOOKUP(C274,'Master Anggota'!$E$2:$J$678,2,0)</f>
        <v>Aktif</v>
      </c>
      <c r="G274" t="str">
        <f>VLOOKUP(C274,'Master Anggota'!$E$2:$J$678,5,0)</f>
        <v>00537</v>
      </c>
      <c r="H274" s="56">
        <v>0</v>
      </c>
      <c r="I274" s="56">
        <v>0</v>
      </c>
      <c r="J274" s="56">
        <v>100000</v>
      </c>
      <c r="K274" s="56">
        <v>100000</v>
      </c>
      <c r="L274" t="s">
        <v>607</v>
      </c>
      <c r="M274" s="71">
        <v>46045</v>
      </c>
      <c r="N274" t="s">
        <v>576</v>
      </c>
    </row>
    <row r="275" spans="2:14" hidden="1" x14ac:dyDescent="0.2">
      <c r="B275">
        <v>274</v>
      </c>
      <c r="C275" t="s">
        <v>55</v>
      </c>
      <c r="D275" t="str">
        <f>VLOOKUP(C275,'Master Anggota'!$E$2:$J$678,2,0)</f>
        <v>Aktif</v>
      </c>
      <c r="G275" t="str">
        <f>VLOOKUP(C275,'Master Anggota'!$E$2:$J$678,5,0)</f>
        <v>00539</v>
      </c>
      <c r="H275" s="56">
        <v>0</v>
      </c>
      <c r="I275" s="56">
        <v>0</v>
      </c>
      <c r="J275" s="56">
        <v>100000</v>
      </c>
      <c r="K275" s="56">
        <v>50000</v>
      </c>
      <c r="L275" t="s">
        <v>607</v>
      </c>
      <c r="M275" s="71">
        <v>46045</v>
      </c>
      <c r="N275" t="s">
        <v>576</v>
      </c>
    </row>
    <row r="276" spans="2:14" hidden="1" x14ac:dyDescent="0.2">
      <c r="B276">
        <v>275</v>
      </c>
      <c r="C276" t="s">
        <v>53</v>
      </c>
      <c r="D276" t="str">
        <f>VLOOKUP(C276,'Master Anggota'!$E$2:$J$678,2,0)</f>
        <v>Aktif</v>
      </c>
      <c r="G276" t="str">
        <f>VLOOKUP(C276,'Master Anggota'!$E$2:$J$678,5,0)</f>
        <v>00540</v>
      </c>
      <c r="H276" s="56">
        <v>0</v>
      </c>
      <c r="I276" s="56">
        <v>0</v>
      </c>
      <c r="J276" s="56">
        <v>100000</v>
      </c>
      <c r="K276" s="56">
        <v>125000</v>
      </c>
      <c r="L276" t="s">
        <v>607</v>
      </c>
      <c r="M276" s="71">
        <v>46045</v>
      </c>
      <c r="N276" t="s">
        <v>576</v>
      </c>
    </row>
    <row r="277" spans="2:14" hidden="1" x14ac:dyDescent="0.2">
      <c r="B277">
        <v>276</v>
      </c>
      <c r="C277" t="s">
        <v>79</v>
      </c>
      <c r="D277" t="str">
        <f>VLOOKUP(C277,'Master Anggota'!$E$2:$J$678,2,0)</f>
        <v>Aktif</v>
      </c>
      <c r="G277" t="str">
        <f>VLOOKUP(C277,'Master Anggota'!$E$2:$J$678,5,0)</f>
        <v>00541</v>
      </c>
      <c r="H277" s="56">
        <v>0</v>
      </c>
      <c r="I277" s="56">
        <v>0</v>
      </c>
      <c r="J277" s="56">
        <v>100000</v>
      </c>
      <c r="K277" s="56">
        <v>150000</v>
      </c>
      <c r="L277" t="s">
        <v>607</v>
      </c>
      <c r="M277" s="71">
        <v>46045</v>
      </c>
      <c r="N277" t="s">
        <v>576</v>
      </c>
    </row>
    <row r="278" spans="2:14" hidden="1" x14ac:dyDescent="0.2">
      <c r="B278">
        <v>277</v>
      </c>
      <c r="C278" t="s">
        <v>231</v>
      </c>
      <c r="D278" t="str">
        <f>VLOOKUP(C278,'Master Anggota'!$E$2:$J$678,2,0)</f>
        <v>Aktif</v>
      </c>
      <c r="G278" t="str">
        <f>VLOOKUP(C278,'Master Anggota'!$E$2:$J$678,5,0)</f>
        <v>00542</v>
      </c>
      <c r="H278" s="56">
        <v>0</v>
      </c>
      <c r="I278" s="56">
        <v>0</v>
      </c>
      <c r="J278" s="56">
        <v>100000</v>
      </c>
      <c r="K278" s="56">
        <v>100000</v>
      </c>
      <c r="L278" t="s">
        <v>607</v>
      </c>
      <c r="M278" s="71">
        <v>46045</v>
      </c>
      <c r="N278" t="s">
        <v>576</v>
      </c>
    </row>
    <row r="279" spans="2:14" hidden="1" x14ac:dyDescent="0.2">
      <c r="B279">
        <v>278</v>
      </c>
      <c r="C279" t="s">
        <v>51</v>
      </c>
      <c r="D279" t="str">
        <f>VLOOKUP(C279,'Master Anggota'!$E$2:$J$678,2,0)</f>
        <v>Aktif</v>
      </c>
      <c r="G279" t="str">
        <f>VLOOKUP(C279,'Master Anggota'!$E$2:$J$678,5,0)</f>
        <v>00543</v>
      </c>
      <c r="H279" s="56">
        <v>0</v>
      </c>
      <c r="I279" s="56">
        <v>0</v>
      </c>
      <c r="J279" s="56">
        <v>100000</v>
      </c>
      <c r="K279" s="56">
        <v>100000</v>
      </c>
      <c r="L279" t="s">
        <v>607</v>
      </c>
      <c r="M279" s="71">
        <v>46045</v>
      </c>
      <c r="N279" t="s">
        <v>576</v>
      </c>
    </row>
    <row r="280" spans="2:14" hidden="1" x14ac:dyDescent="0.2">
      <c r="B280">
        <v>279</v>
      </c>
      <c r="C280" t="s">
        <v>118</v>
      </c>
      <c r="D280" t="str">
        <f>VLOOKUP(C280,'Master Anggota'!$E$2:$J$678,2,0)</f>
        <v>Aktif</v>
      </c>
      <c r="G280" t="str">
        <f>VLOOKUP(C280,'Master Anggota'!$E$2:$J$678,5,0)</f>
        <v>00544</v>
      </c>
      <c r="H280" s="56">
        <v>0</v>
      </c>
      <c r="I280" s="56">
        <v>0</v>
      </c>
      <c r="J280" s="56">
        <v>100000</v>
      </c>
      <c r="K280" s="56">
        <v>50000</v>
      </c>
      <c r="L280" t="s">
        <v>607</v>
      </c>
      <c r="M280" s="71">
        <v>46045</v>
      </c>
      <c r="N280" t="s">
        <v>576</v>
      </c>
    </row>
    <row r="281" spans="2:14" hidden="1" x14ac:dyDescent="0.2">
      <c r="B281">
        <v>280</v>
      </c>
      <c r="C281" t="s">
        <v>366</v>
      </c>
      <c r="D281" t="str">
        <f>VLOOKUP(C281,'Master Anggota'!$E$2:$J$678,2,0)</f>
        <v>Aktif</v>
      </c>
      <c r="G281" t="str">
        <f>VLOOKUP(C281,'Master Anggota'!$E$2:$J$678,5,0)</f>
        <v>00545</v>
      </c>
      <c r="H281" s="56">
        <v>0</v>
      </c>
      <c r="I281" s="56">
        <v>0</v>
      </c>
      <c r="J281" s="56">
        <v>100000</v>
      </c>
      <c r="K281" s="56">
        <v>50000</v>
      </c>
      <c r="L281" t="s">
        <v>607</v>
      </c>
      <c r="M281" s="71">
        <v>46045</v>
      </c>
      <c r="N281" t="s">
        <v>576</v>
      </c>
    </row>
    <row r="282" spans="2:14" hidden="1" x14ac:dyDescent="0.2">
      <c r="B282">
        <v>281</v>
      </c>
      <c r="C282" t="s">
        <v>35</v>
      </c>
      <c r="D282" t="str">
        <f>VLOOKUP(C282,'Master Anggota'!$E$2:$J$678,2,0)</f>
        <v>Aktif</v>
      </c>
      <c r="G282" t="str">
        <f>VLOOKUP(C282,'Master Anggota'!$E$2:$J$678,5,0)</f>
        <v>00546</v>
      </c>
      <c r="H282" s="56">
        <v>0</v>
      </c>
      <c r="I282" s="56">
        <v>0</v>
      </c>
      <c r="J282" s="56">
        <v>100000</v>
      </c>
      <c r="K282" s="56">
        <v>50000</v>
      </c>
      <c r="L282" t="s">
        <v>607</v>
      </c>
      <c r="M282" s="71">
        <v>46045</v>
      </c>
      <c r="N282" t="s">
        <v>576</v>
      </c>
    </row>
    <row r="283" spans="2:14" hidden="1" x14ac:dyDescent="0.2">
      <c r="B283">
        <v>282</v>
      </c>
      <c r="C283" t="s">
        <v>85</v>
      </c>
      <c r="D283" t="str">
        <f>VLOOKUP(C283,'Master Anggota'!$E$2:$J$678,2,0)</f>
        <v>Aktif</v>
      </c>
      <c r="G283" t="str">
        <f>VLOOKUP(C283,'Master Anggota'!$E$2:$J$678,5,0)</f>
        <v>00547</v>
      </c>
      <c r="H283" s="56">
        <v>0</v>
      </c>
      <c r="I283" s="56">
        <v>0</v>
      </c>
      <c r="J283" s="56">
        <v>100000</v>
      </c>
      <c r="K283" s="56">
        <v>100000</v>
      </c>
      <c r="L283" t="s">
        <v>607</v>
      </c>
      <c r="M283" s="71">
        <v>46045</v>
      </c>
      <c r="N283" t="s">
        <v>576</v>
      </c>
    </row>
    <row r="284" spans="2:14" hidden="1" x14ac:dyDescent="0.2">
      <c r="B284">
        <v>283</v>
      </c>
      <c r="C284" t="s">
        <v>153</v>
      </c>
      <c r="D284" t="str">
        <f>VLOOKUP(C284,'Master Anggota'!$E$2:$J$678,2,0)</f>
        <v>Aktif</v>
      </c>
      <c r="G284" t="str">
        <f>VLOOKUP(C284,'Master Anggota'!$E$2:$J$678,5,0)</f>
        <v>00548</v>
      </c>
      <c r="H284" s="56">
        <v>0</v>
      </c>
      <c r="I284" s="56">
        <v>0</v>
      </c>
      <c r="J284" s="56">
        <v>100000</v>
      </c>
      <c r="K284" s="56">
        <v>75000</v>
      </c>
      <c r="L284" t="s">
        <v>607</v>
      </c>
      <c r="M284" s="71">
        <v>46045</v>
      </c>
      <c r="N284" t="s">
        <v>576</v>
      </c>
    </row>
    <row r="285" spans="2:14" hidden="1" x14ac:dyDescent="0.2">
      <c r="B285">
        <v>284</v>
      </c>
      <c r="C285" t="s">
        <v>525</v>
      </c>
      <c r="D285" t="str">
        <f>VLOOKUP(C285,'Master Anggota'!$E$2:$J$678,2,0)</f>
        <v>Aktif</v>
      </c>
      <c r="G285" t="str">
        <f>VLOOKUP(C285,'Master Anggota'!$E$2:$J$678,5,0)</f>
        <v>00549</v>
      </c>
      <c r="H285" s="56">
        <v>0</v>
      </c>
      <c r="I285" s="56">
        <v>0</v>
      </c>
      <c r="J285" s="56">
        <v>100000</v>
      </c>
      <c r="K285" s="56">
        <v>100000</v>
      </c>
      <c r="L285" t="s">
        <v>607</v>
      </c>
      <c r="M285" s="71">
        <v>46045</v>
      </c>
      <c r="N285" t="s">
        <v>576</v>
      </c>
    </row>
    <row r="286" spans="2:14" hidden="1" x14ac:dyDescent="0.2">
      <c r="B286">
        <v>285</v>
      </c>
      <c r="C286" t="s">
        <v>105</v>
      </c>
      <c r="D286" t="str">
        <f>VLOOKUP(C286,'Master Anggota'!$E$2:$J$678,2,0)</f>
        <v>Aktif</v>
      </c>
      <c r="G286" t="str">
        <f>VLOOKUP(C286,'Master Anggota'!$E$2:$J$678,5,0)</f>
        <v>00551</v>
      </c>
      <c r="H286" s="56">
        <v>0</v>
      </c>
      <c r="I286" s="56">
        <v>0</v>
      </c>
      <c r="J286" s="56">
        <v>100000</v>
      </c>
      <c r="K286" s="56">
        <v>50000</v>
      </c>
      <c r="L286" t="s">
        <v>607</v>
      </c>
      <c r="M286" s="71">
        <v>46045</v>
      </c>
      <c r="N286" t="s">
        <v>576</v>
      </c>
    </row>
    <row r="287" spans="2:14" hidden="1" x14ac:dyDescent="0.2">
      <c r="B287">
        <v>286</v>
      </c>
      <c r="C287" t="s">
        <v>484</v>
      </c>
      <c r="D287" t="str">
        <f>VLOOKUP(C287,'Master Anggota'!$E$2:$J$678,2,0)</f>
        <v>Aktif</v>
      </c>
      <c r="G287" t="str">
        <f>VLOOKUP(C287,'Master Anggota'!$E$2:$J$678,5,0)</f>
        <v>00552</v>
      </c>
      <c r="H287" s="56">
        <v>0</v>
      </c>
      <c r="I287" s="56">
        <v>0</v>
      </c>
      <c r="J287" s="56">
        <v>200000</v>
      </c>
      <c r="K287" s="56">
        <v>100000</v>
      </c>
      <c r="L287" t="s">
        <v>607</v>
      </c>
      <c r="M287" s="71">
        <v>46045</v>
      </c>
      <c r="N287" t="s">
        <v>576</v>
      </c>
    </row>
    <row r="288" spans="2:14" hidden="1" x14ac:dyDescent="0.2">
      <c r="B288">
        <v>287</v>
      </c>
      <c r="C288" t="s">
        <v>8</v>
      </c>
      <c r="D288" t="str">
        <f>VLOOKUP(C288,'Master Anggota'!$E$2:$J$678,2,0)</f>
        <v>Aktif</v>
      </c>
      <c r="G288" t="str">
        <f>VLOOKUP(C288,'Master Anggota'!$E$2:$J$678,5,0)</f>
        <v>00553</v>
      </c>
      <c r="H288" s="56">
        <v>0</v>
      </c>
      <c r="I288" s="56">
        <v>0</v>
      </c>
      <c r="J288" s="56">
        <v>100000</v>
      </c>
      <c r="K288" s="56">
        <v>150000</v>
      </c>
      <c r="L288" t="s">
        <v>607</v>
      </c>
      <c r="M288" s="71">
        <v>46045</v>
      </c>
      <c r="N288" t="s">
        <v>576</v>
      </c>
    </row>
    <row r="289" spans="2:14" hidden="1" x14ac:dyDescent="0.2">
      <c r="B289">
        <v>288</v>
      </c>
      <c r="C289" t="s">
        <v>87</v>
      </c>
      <c r="D289" t="str">
        <f>VLOOKUP(C289,'Master Anggota'!$E$2:$J$678,2,0)</f>
        <v>Aktif</v>
      </c>
      <c r="G289" t="str">
        <f>VLOOKUP(C289,'Master Anggota'!$E$2:$J$678,5,0)</f>
        <v>00554</v>
      </c>
      <c r="H289" s="56">
        <v>0</v>
      </c>
      <c r="I289" s="56">
        <v>0</v>
      </c>
      <c r="J289" s="56">
        <v>100000</v>
      </c>
      <c r="K289" s="56">
        <v>100000</v>
      </c>
      <c r="L289" t="s">
        <v>607</v>
      </c>
      <c r="M289" s="71">
        <v>46045</v>
      </c>
      <c r="N289" t="s">
        <v>576</v>
      </c>
    </row>
    <row r="290" spans="2:14" hidden="1" x14ac:dyDescent="0.2">
      <c r="B290">
        <v>289</v>
      </c>
      <c r="C290" t="s">
        <v>174</v>
      </c>
      <c r="D290" t="str">
        <f>VLOOKUP(C290,'Master Anggota'!$E$2:$J$678,2,0)</f>
        <v>Aktif</v>
      </c>
      <c r="G290" t="str">
        <f>VLOOKUP(C290,'Master Anggota'!$E$2:$J$678,5,0)</f>
        <v>00556</v>
      </c>
      <c r="H290" s="56">
        <v>0</v>
      </c>
      <c r="I290" s="56">
        <v>0</v>
      </c>
      <c r="J290" s="56">
        <v>100000</v>
      </c>
      <c r="K290" s="56">
        <v>100000</v>
      </c>
      <c r="L290" t="s">
        <v>607</v>
      </c>
      <c r="M290" s="71">
        <v>46045</v>
      </c>
      <c r="N290" t="s">
        <v>576</v>
      </c>
    </row>
    <row r="291" spans="2:14" hidden="1" x14ac:dyDescent="0.2">
      <c r="B291">
        <v>290</v>
      </c>
      <c r="C291" t="s">
        <v>109</v>
      </c>
      <c r="D291" t="str">
        <f>VLOOKUP(C291,'Master Anggota'!$E$2:$J$678,2,0)</f>
        <v>Aktif</v>
      </c>
      <c r="G291" t="str">
        <f>VLOOKUP(C291,'Master Anggota'!$E$2:$J$678,5,0)</f>
        <v>00557</v>
      </c>
      <c r="H291" s="56">
        <v>0</v>
      </c>
      <c r="I291" s="56">
        <v>0</v>
      </c>
      <c r="J291" s="56">
        <v>150000</v>
      </c>
      <c r="K291" s="56">
        <v>250000</v>
      </c>
      <c r="L291" t="s">
        <v>607</v>
      </c>
      <c r="M291" s="71">
        <v>46045</v>
      </c>
      <c r="N291" t="s">
        <v>576</v>
      </c>
    </row>
    <row r="292" spans="2:14" hidden="1" x14ac:dyDescent="0.2">
      <c r="B292">
        <v>291</v>
      </c>
      <c r="C292" t="s">
        <v>276</v>
      </c>
      <c r="D292" t="str">
        <f>VLOOKUP(C292,'Master Anggota'!$E$2:$J$678,2,0)</f>
        <v>Aktif</v>
      </c>
      <c r="G292" t="str">
        <f>VLOOKUP(C292,'Master Anggota'!$E$2:$J$678,5,0)</f>
        <v>00558</v>
      </c>
      <c r="H292" s="56">
        <v>0</v>
      </c>
      <c r="I292" s="56">
        <v>0</v>
      </c>
      <c r="J292" s="56">
        <v>200000</v>
      </c>
      <c r="K292" s="56">
        <v>300000</v>
      </c>
      <c r="L292" t="s">
        <v>607</v>
      </c>
      <c r="M292" s="71">
        <v>46045</v>
      </c>
      <c r="N292" t="s">
        <v>576</v>
      </c>
    </row>
    <row r="293" spans="2:14" hidden="1" x14ac:dyDescent="0.2">
      <c r="B293">
        <v>292</v>
      </c>
      <c r="C293" t="s">
        <v>171</v>
      </c>
      <c r="D293" t="str">
        <f>VLOOKUP(C293,'Master Anggota'!$E$2:$J$678,2,0)</f>
        <v>Aktif</v>
      </c>
      <c r="G293" t="str">
        <f>VLOOKUP(C293,'Master Anggota'!$E$2:$J$678,5,0)</f>
        <v>00560</v>
      </c>
      <c r="H293" s="56">
        <v>0</v>
      </c>
      <c r="I293" s="56">
        <v>0</v>
      </c>
      <c r="J293" s="56">
        <v>100000</v>
      </c>
      <c r="K293" s="56">
        <v>100000</v>
      </c>
      <c r="L293" t="s">
        <v>607</v>
      </c>
      <c r="M293" s="71">
        <v>46045</v>
      </c>
      <c r="N293" t="s">
        <v>576</v>
      </c>
    </row>
    <row r="294" spans="2:14" hidden="1" x14ac:dyDescent="0.2">
      <c r="B294">
        <v>293</v>
      </c>
      <c r="C294" t="s">
        <v>175</v>
      </c>
      <c r="D294" t="str">
        <f>VLOOKUP(C294,'Master Anggota'!$E$2:$J$678,2,0)</f>
        <v>Aktif</v>
      </c>
      <c r="G294" t="str">
        <f>VLOOKUP(C294,'Master Anggota'!$E$2:$J$678,5,0)</f>
        <v>00563</v>
      </c>
      <c r="H294" s="56">
        <v>0</v>
      </c>
      <c r="I294" s="56">
        <v>0</v>
      </c>
      <c r="J294" s="56">
        <v>100000</v>
      </c>
      <c r="K294" s="56">
        <v>150000</v>
      </c>
      <c r="L294" t="s">
        <v>607</v>
      </c>
      <c r="M294" s="71">
        <v>46045</v>
      </c>
      <c r="N294" t="s">
        <v>576</v>
      </c>
    </row>
    <row r="295" spans="2:14" hidden="1" x14ac:dyDescent="0.2">
      <c r="B295">
        <v>294</v>
      </c>
      <c r="C295" t="s">
        <v>277</v>
      </c>
      <c r="D295" t="str">
        <f>VLOOKUP(C295,'Master Anggota'!$E$2:$J$678,2,0)</f>
        <v>Aktif</v>
      </c>
      <c r="G295" t="str">
        <f>VLOOKUP(C295,'Master Anggota'!$E$2:$J$678,5,0)</f>
        <v>00564</v>
      </c>
      <c r="H295" s="56">
        <v>0</v>
      </c>
      <c r="I295" s="56">
        <v>0</v>
      </c>
      <c r="J295" s="56">
        <v>100000</v>
      </c>
      <c r="K295" s="56">
        <v>100000</v>
      </c>
      <c r="L295" t="s">
        <v>607</v>
      </c>
      <c r="M295" s="71">
        <v>46045</v>
      </c>
      <c r="N295" t="s">
        <v>576</v>
      </c>
    </row>
    <row r="296" spans="2:14" hidden="1" x14ac:dyDescent="0.2">
      <c r="B296">
        <v>295</v>
      </c>
      <c r="C296" t="s">
        <v>182</v>
      </c>
      <c r="D296" t="str">
        <f>VLOOKUP(C296,'Master Anggota'!$E$2:$J$678,2,0)</f>
        <v>Aktif</v>
      </c>
      <c r="G296" t="str">
        <f>VLOOKUP(C296,'Master Anggota'!$E$2:$J$678,5,0)</f>
        <v>00565</v>
      </c>
      <c r="H296" s="56">
        <v>0</v>
      </c>
      <c r="I296" s="56">
        <v>0</v>
      </c>
      <c r="J296" s="56">
        <v>100000</v>
      </c>
      <c r="K296" s="56">
        <v>400000</v>
      </c>
      <c r="L296" t="s">
        <v>607</v>
      </c>
      <c r="M296" s="71">
        <v>46045</v>
      </c>
      <c r="N296" t="s">
        <v>576</v>
      </c>
    </row>
    <row r="297" spans="2:14" hidden="1" x14ac:dyDescent="0.2">
      <c r="B297">
        <v>296</v>
      </c>
      <c r="C297" t="s">
        <v>178</v>
      </c>
      <c r="D297" t="str">
        <f>VLOOKUP(C297,'Master Anggota'!$E$2:$J$678,2,0)</f>
        <v>Aktif</v>
      </c>
      <c r="G297" t="str">
        <f>VLOOKUP(C297,'Master Anggota'!$E$2:$J$678,5,0)</f>
        <v>00566</v>
      </c>
      <c r="H297" s="56">
        <v>0</v>
      </c>
      <c r="I297" s="56">
        <v>0</v>
      </c>
      <c r="J297" s="56">
        <v>100000</v>
      </c>
      <c r="K297" s="56">
        <v>150000</v>
      </c>
      <c r="L297" t="s">
        <v>607</v>
      </c>
      <c r="M297" s="71">
        <v>46045</v>
      </c>
      <c r="N297" t="s">
        <v>576</v>
      </c>
    </row>
    <row r="298" spans="2:14" hidden="1" x14ac:dyDescent="0.2">
      <c r="B298">
        <v>297</v>
      </c>
      <c r="C298" t="s">
        <v>183</v>
      </c>
      <c r="D298" t="str">
        <f>VLOOKUP(C298,'Master Anggota'!$E$2:$J$678,2,0)</f>
        <v>Aktif</v>
      </c>
      <c r="G298" t="str">
        <f>VLOOKUP(C298,'Master Anggota'!$E$2:$J$678,5,0)</f>
        <v>00567</v>
      </c>
      <c r="H298" s="56">
        <v>0</v>
      </c>
      <c r="I298" s="56">
        <v>0</v>
      </c>
      <c r="J298" s="56">
        <v>100000</v>
      </c>
      <c r="K298" s="56">
        <v>400000</v>
      </c>
      <c r="L298" t="s">
        <v>607</v>
      </c>
      <c r="M298" s="71">
        <v>46045</v>
      </c>
      <c r="N298" t="s">
        <v>576</v>
      </c>
    </row>
    <row r="299" spans="2:14" hidden="1" x14ac:dyDescent="0.2">
      <c r="B299">
        <v>298</v>
      </c>
      <c r="C299" t="s">
        <v>176</v>
      </c>
      <c r="D299" t="str">
        <f>VLOOKUP(C299,'Master Anggota'!$E$2:$J$678,2,0)</f>
        <v>Aktif</v>
      </c>
      <c r="G299" t="str">
        <f>VLOOKUP(C299,'Master Anggota'!$E$2:$J$678,5,0)</f>
        <v>00568</v>
      </c>
      <c r="H299" s="56">
        <v>0</v>
      </c>
      <c r="I299" s="56">
        <v>0</v>
      </c>
      <c r="J299" s="56">
        <v>100000</v>
      </c>
      <c r="K299" s="56">
        <v>100000</v>
      </c>
      <c r="L299" t="s">
        <v>607</v>
      </c>
      <c r="M299" s="71">
        <v>46045</v>
      </c>
      <c r="N299" t="s">
        <v>576</v>
      </c>
    </row>
    <row r="300" spans="2:14" hidden="1" x14ac:dyDescent="0.2">
      <c r="B300">
        <v>299</v>
      </c>
      <c r="C300" t="s">
        <v>177</v>
      </c>
      <c r="D300" t="str">
        <f>VLOOKUP(C300,'Master Anggota'!$E$2:$J$678,2,0)</f>
        <v>Aktif</v>
      </c>
      <c r="G300" t="str">
        <f>VLOOKUP(C300,'Master Anggota'!$E$2:$J$678,5,0)</f>
        <v>00569</v>
      </c>
      <c r="H300" s="56">
        <v>0</v>
      </c>
      <c r="I300" s="56">
        <v>0</v>
      </c>
      <c r="J300" s="56">
        <v>100000</v>
      </c>
      <c r="K300" s="56">
        <v>150000</v>
      </c>
      <c r="L300" t="s">
        <v>607</v>
      </c>
      <c r="M300" s="71">
        <v>46045</v>
      </c>
      <c r="N300" t="s">
        <v>576</v>
      </c>
    </row>
    <row r="301" spans="2:14" hidden="1" x14ac:dyDescent="0.2">
      <c r="B301">
        <v>300</v>
      </c>
      <c r="C301" t="s">
        <v>362</v>
      </c>
      <c r="D301" t="str">
        <f>VLOOKUP(C301,'Master Anggota'!$E$2:$J$678,2,0)</f>
        <v>Aktif</v>
      </c>
      <c r="G301" t="str">
        <f>VLOOKUP(C301,'Master Anggota'!$E$2:$J$678,5,0)</f>
        <v>00570</v>
      </c>
      <c r="H301" s="56">
        <v>0</v>
      </c>
      <c r="I301" s="56">
        <v>0</v>
      </c>
      <c r="J301" s="56">
        <v>100000</v>
      </c>
      <c r="K301" s="56">
        <v>500000</v>
      </c>
      <c r="L301" t="s">
        <v>607</v>
      </c>
      <c r="M301" s="71">
        <v>46045</v>
      </c>
      <c r="N301" t="s">
        <v>576</v>
      </c>
    </row>
    <row r="302" spans="2:14" hidden="1" x14ac:dyDescent="0.2">
      <c r="B302">
        <v>301</v>
      </c>
      <c r="C302" t="s">
        <v>159</v>
      </c>
      <c r="D302" t="str">
        <f>VLOOKUP(C302,'Master Anggota'!$E$2:$J$678,2,0)</f>
        <v>Purna Bakti 2026</v>
      </c>
      <c r="G302" t="str">
        <f>VLOOKUP(C302,'Master Anggota'!$E$2:$J$678,5,0)</f>
        <v>00571</v>
      </c>
      <c r="H302" s="56">
        <v>0</v>
      </c>
      <c r="I302" s="56">
        <v>0</v>
      </c>
      <c r="J302" s="56">
        <v>100000</v>
      </c>
      <c r="K302" s="56">
        <v>50000</v>
      </c>
      <c r="L302" t="s">
        <v>607</v>
      </c>
      <c r="M302" s="71">
        <v>46045</v>
      </c>
      <c r="N302" t="s">
        <v>576</v>
      </c>
    </row>
    <row r="303" spans="2:14" hidden="1" x14ac:dyDescent="0.2">
      <c r="B303">
        <v>302</v>
      </c>
      <c r="C303" t="s">
        <v>291</v>
      </c>
      <c r="D303" t="str">
        <f>VLOOKUP(C303,'Master Anggota'!$E$2:$J$678,2,0)</f>
        <v>Aktif</v>
      </c>
      <c r="G303" t="str">
        <f>VLOOKUP(C303,'Master Anggota'!$E$2:$J$678,5,0)</f>
        <v>00574</v>
      </c>
      <c r="H303" s="56">
        <v>0</v>
      </c>
      <c r="I303" s="56">
        <v>0</v>
      </c>
      <c r="J303" s="56">
        <v>100000</v>
      </c>
      <c r="K303" s="56">
        <v>75000</v>
      </c>
      <c r="L303" t="s">
        <v>607</v>
      </c>
      <c r="M303" s="71">
        <v>46045</v>
      </c>
      <c r="N303" t="s">
        <v>576</v>
      </c>
    </row>
    <row r="304" spans="2:14" hidden="1" x14ac:dyDescent="0.2">
      <c r="B304">
        <v>303</v>
      </c>
      <c r="C304" t="s">
        <v>363</v>
      </c>
      <c r="D304" t="str">
        <f>VLOOKUP(C304,'Master Anggota'!$E$2:$J$678,2,0)</f>
        <v>Aktif</v>
      </c>
      <c r="G304" t="str">
        <f>VLOOKUP(C304,'Master Anggota'!$E$2:$J$678,5,0)</f>
        <v>00576</v>
      </c>
      <c r="H304" s="56">
        <v>0</v>
      </c>
      <c r="I304" s="56">
        <v>0</v>
      </c>
      <c r="J304" s="56">
        <v>100000</v>
      </c>
      <c r="K304" s="56">
        <v>100000</v>
      </c>
      <c r="L304" t="s">
        <v>607</v>
      </c>
      <c r="M304" s="71">
        <v>46045</v>
      </c>
      <c r="N304" t="s">
        <v>576</v>
      </c>
    </row>
    <row r="305" spans="2:14" hidden="1" x14ac:dyDescent="0.2">
      <c r="B305">
        <v>304</v>
      </c>
      <c r="C305" t="s">
        <v>365</v>
      </c>
      <c r="D305" t="str">
        <f>VLOOKUP(C305,'Master Anggota'!$E$2:$J$678,2,0)</f>
        <v>Aktif</v>
      </c>
      <c r="G305" t="str">
        <f>VLOOKUP(C305,'Master Anggota'!$E$2:$J$678,5,0)</f>
        <v>00576</v>
      </c>
      <c r="H305" s="56">
        <v>0</v>
      </c>
      <c r="I305" s="56">
        <v>0</v>
      </c>
      <c r="J305" s="56">
        <v>100000</v>
      </c>
      <c r="K305" s="56">
        <v>50000</v>
      </c>
      <c r="L305" t="s">
        <v>607</v>
      </c>
      <c r="M305" s="71">
        <v>46045</v>
      </c>
      <c r="N305" t="s">
        <v>576</v>
      </c>
    </row>
    <row r="306" spans="2:14" hidden="1" x14ac:dyDescent="0.2">
      <c r="B306">
        <v>305</v>
      </c>
      <c r="C306" t="s">
        <v>467</v>
      </c>
      <c r="D306" t="str">
        <f>VLOOKUP(C306,'Master Anggota'!$E$2:$J$678,2,0)</f>
        <v>Aktif</v>
      </c>
      <c r="G306" t="str">
        <f>VLOOKUP(C306,'Master Anggota'!$E$2:$J$678,5,0)</f>
        <v>00577</v>
      </c>
      <c r="H306" s="56">
        <v>0</v>
      </c>
      <c r="I306" s="56">
        <v>0</v>
      </c>
      <c r="J306" s="56">
        <v>100000</v>
      </c>
      <c r="K306" s="56">
        <v>150000</v>
      </c>
      <c r="L306" t="s">
        <v>607</v>
      </c>
      <c r="M306" s="71">
        <v>46045</v>
      </c>
      <c r="N306" t="s">
        <v>576</v>
      </c>
    </row>
    <row r="307" spans="2:14" hidden="1" x14ac:dyDescent="0.2">
      <c r="B307">
        <v>306</v>
      </c>
      <c r="C307" t="s">
        <v>364</v>
      </c>
      <c r="D307" t="str">
        <f>VLOOKUP(C307,'Master Anggota'!$E$2:$J$678,2,0)</f>
        <v>Aktif</v>
      </c>
      <c r="G307" t="str">
        <f>VLOOKUP(C307,'Master Anggota'!$E$2:$J$678,5,0)</f>
        <v>00578</v>
      </c>
      <c r="H307" s="56">
        <v>0</v>
      </c>
      <c r="I307" s="56">
        <v>0</v>
      </c>
      <c r="J307" s="56">
        <v>100000</v>
      </c>
      <c r="K307" s="56">
        <v>100000</v>
      </c>
      <c r="L307" t="s">
        <v>607</v>
      </c>
      <c r="M307" s="71">
        <v>46045</v>
      </c>
      <c r="N307" t="s">
        <v>576</v>
      </c>
    </row>
    <row r="308" spans="2:14" hidden="1" x14ac:dyDescent="0.2">
      <c r="B308">
        <v>307</v>
      </c>
      <c r="C308" t="s">
        <v>523</v>
      </c>
      <c r="D308" t="str">
        <f>VLOOKUP(C308,'Master Anggota'!$E$2:$J$678,2,0)</f>
        <v>Aktif</v>
      </c>
      <c r="G308" t="str">
        <f>VLOOKUP(C308,'Master Anggota'!$E$2:$J$678,5,0)</f>
        <v>00579</v>
      </c>
      <c r="H308" s="56">
        <v>0</v>
      </c>
      <c r="I308" s="56">
        <v>0</v>
      </c>
      <c r="J308" s="56">
        <v>100000</v>
      </c>
      <c r="K308" s="56">
        <v>200000</v>
      </c>
      <c r="L308" t="s">
        <v>607</v>
      </c>
      <c r="M308" s="71">
        <v>46045</v>
      </c>
      <c r="N308" t="s">
        <v>576</v>
      </c>
    </row>
    <row r="309" spans="2:14" hidden="1" x14ac:dyDescent="0.2">
      <c r="B309">
        <v>308</v>
      </c>
      <c r="C309" t="s">
        <v>110</v>
      </c>
      <c r="D309" t="str">
        <f>VLOOKUP(C309,'Master Anggota'!$E$2:$J$678,2,0)</f>
        <v>Aktif</v>
      </c>
      <c r="G309" t="str">
        <f>VLOOKUP(C309,'Master Anggota'!$E$2:$J$678,5,0)</f>
        <v>00580</v>
      </c>
      <c r="H309" s="56">
        <v>0</v>
      </c>
      <c r="I309" s="56">
        <v>0</v>
      </c>
      <c r="J309" s="56">
        <v>100000</v>
      </c>
      <c r="K309" s="56">
        <v>50000</v>
      </c>
      <c r="L309" t="s">
        <v>607</v>
      </c>
      <c r="M309" s="71">
        <v>46045</v>
      </c>
      <c r="N309" t="s">
        <v>576</v>
      </c>
    </row>
    <row r="310" spans="2:14" hidden="1" x14ac:dyDescent="0.2">
      <c r="B310">
        <v>309</v>
      </c>
      <c r="C310" t="s">
        <v>180</v>
      </c>
      <c r="D310" t="str">
        <f>VLOOKUP(C310,'Master Anggota'!$E$2:$J$678,2,0)</f>
        <v>Purna Bakti 2026</v>
      </c>
      <c r="G310" t="str">
        <f>VLOOKUP(C310,'Master Anggota'!$E$2:$J$678,5,0)</f>
        <v>00581</v>
      </c>
      <c r="H310" s="56">
        <v>0</v>
      </c>
      <c r="I310" s="56">
        <v>0</v>
      </c>
      <c r="J310" s="56">
        <v>100000</v>
      </c>
      <c r="K310" s="56">
        <v>400000</v>
      </c>
      <c r="L310" t="s">
        <v>607</v>
      </c>
      <c r="M310" s="71">
        <v>46045</v>
      </c>
      <c r="N310" t="s">
        <v>576</v>
      </c>
    </row>
    <row r="311" spans="2:14" hidden="1" x14ac:dyDescent="0.2">
      <c r="B311">
        <v>310</v>
      </c>
      <c r="C311" t="s">
        <v>187</v>
      </c>
      <c r="D311" t="str">
        <f>VLOOKUP(C311,'Master Anggota'!$E$2:$J$678,2,0)</f>
        <v>Aktif</v>
      </c>
      <c r="G311" t="str">
        <f>VLOOKUP(C311,'Master Anggota'!$E$2:$J$678,5,0)</f>
        <v>00582</v>
      </c>
      <c r="H311" s="56">
        <v>0</v>
      </c>
      <c r="I311" s="56">
        <v>0</v>
      </c>
      <c r="J311" s="56">
        <v>200000</v>
      </c>
      <c r="K311" s="56">
        <v>300000</v>
      </c>
      <c r="L311" t="s">
        <v>607</v>
      </c>
      <c r="M311" s="71">
        <v>46045</v>
      </c>
      <c r="N311" t="s">
        <v>576</v>
      </c>
    </row>
    <row r="312" spans="2:14" hidden="1" x14ac:dyDescent="0.2">
      <c r="B312">
        <v>311</v>
      </c>
      <c r="C312" t="s">
        <v>173</v>
      </c>
      <c r="D312" t="str">
        <f>VLOOKUP(C312,'Master Anggota'!$E$2:$J$678,2,0)</f>
        <v>Aktif</v>
      </c>
      <c r="G312" t="str">
        <f>VLOOKUP(C312,'Master Anggota'!$E$2:$J$678,5,0)</f>
        <v>00583</v>
      </c>
      <c r="H312" s="56">
        <v>0</v>
      </c>
      <c r="I312" s="56">
        <v>0</v>
      </c>
      <c r="J312" s="56">
        <v>100000</v>
      </c>
      <c r="K312" s="56">
        <v>100000</v>
      </c>
      <c r="L312" t="s">
        <v>607</v>
      </c>
      <c r="M312" s="71">
        <v>46045</v>
      </c>
      <c r="N312" t="s">
        <v>576</v>
      </c>
    </row>
    <row r="313" spans="2:14" hidden="1" x14ac:dyDescent="0.2">
      <c r="B313">
        <v>312</v>
      </c>
      <c r="C313" t="s">
        <v>172</v>
      </c>
      <c r="D313" t="str">
        <f>VLOOKUP(C313,'Master Anggota'!$E$2:$J$678,2,0)</f>
        <v>Aktif</v>
      </c>
      <c r="G313" t="str">
        <f>VLOOKUP(C313,'Master Anggota'!$E$2:$J$678,5,0)</f>
        <v>00584</v>
      </c>
      <c r="H313" s="56">
        <v>0</v>
      </c>
      <c r="I313" s="56">
        <v>0</v>
      </c>
      <c r="J313" s="56">
        <v>100000</v>
      </c>
      <c r="K313" s="56">
        <v>100000</v>
      </c>
      <c r="L313" t="s">
        <v>607</v>
      </c>
      <c r="M313" s="71">
        <v>46045</v>
      </c>
      <c r="N313" t="s">
        <v>576</v>
      </c>
    </row>
    <row r="314" spans="2:14" hidden="1" x14ac:dyDescent="0.2">
      <c r="B314">
        <v>313</v>
      </c>
      <c r="C314" t="s">
        <v>300</v>
      </c>
      <c r="D314" t="str">
        <f>VLOOKUP(C314,'Master Anggota'!$E$2:$J$678,2,0)</f>
        <v>Aktif</v>
      </c>
      <c r="G314" t="str">
        <f>VLOOKUP(C314,'Master Anggota'!$E$2:$J$678,5,0)</f>
        <v>00585</v>
      </c>
      <c r="H314" s="56">
        <v>0</v>
      </c>
      <c r="I314" s="56">
        <v>0</v>
      </c>
      <c r="J314" s="56">
        <v>100000</v>
      </c>
      <c r="K314" s="56">
        <v>125000</v>
      </c>
      <c r="L314" t="s">
        <v>607</v>
      </c>
      <c r="M314" s="71">
        <v>46045</v>
      </c>
      <c r="N314" t="s">
        <v>576</v>
      </c>
    </row>
    <row r="315" spans="2:14" hidden="1" x14ac:dyDescent="0.2">
      <c r="B315">
        <v>314</v>
      </c>
      <c r="C315" t="s">
        <v>314</v>
      </c>
      <c r="D315" t="str">
        <f>VLOOKUP(C315,'Master Anggota'!$E$2:$J$678,2,0)</f>
        <v>Purna Bakti 2026</v>
      </c>
      <c r="G315" t="str">
        <f>VLOOKUP(C315,'Master Anggota'!$E$2:$J$678,5,0)</f>
        <v>00587</v>
      </c>
      <c r="H315" s="56">
        <v>0</v>
      </c>
      <c r="I315" s="56">
        <v>0</v>
      </c>
      <c r="J315" s="56">
        <v>100000</v>
      </c>
      <c r="K315" s="56">
        <v>400000</v>
      </c>
      <c r="L315" t="s">
        <v>607</v>
      </c>
      <c r="M315" s="71">
        <v>46045</v>
      </c>
      <c r="N315" t="s">
        <v>576</v>
      </c>
    </row>
    <row r="316" spans="2:14" hidden="1" x14ac:dyDescent="0.2">
      <c r="B316">
        <v>315</v>
      </c>
      <c r="C316" t="s">
        <v>186</v>
      </c>
      <c r="D316" t="str">
        <f>VLOOKUP(C316,'Master Anggota'!$E$2:$J$678,2,0)</f>
        <v>Aktif</v>
      </c>
      <c r="G316" t="str">
        <f>VLOOKUP(C316,'Master Anggota'!$E$2:$J$678,5,0)</f>
        <v>00588</v>
      </c>
      <c r="H316" s="56">
        <v>0</v>
      </c>
      <c r="I316" s="56">
        <v>0</v>
      </c>
      <c r="J316" s="56">
        <v>100000</v>
      </c>
      <c r="K316" s="56">
        <v>250000</v>
      </c>
      <c r="L316" t="s">
        <v>607</v>
      </c>
      <c r="M316" s="71">
        <v>46045</v>
      </c>
      <c r="N316" t="s">
        <v>576</v>
      </c>
    </row>
    <row r="317" spans="2:14" hidden="1" x14ac:dyDescent="0.2">
      <c r="B317">
        <v>316</v>
      </c>
      <c r="C317" t="s">
        <v>306</v>
      </c>
      <c r="D317" t="str">
        <f>VLOOKUP(C317,'Master Anggota'!$E$2:$J$678,2,0)</f>
        <v>Aktif</v>
      </c>
      <c r="G317" t="str">
        <f>VLOOKUP(C317,'Master Anggota'!$E$2:$J$678,5,0)</f>
        <v>00589</v>
      </c>
      <c r="H317" s="56">
        <v>0</v>
      </c>
      <c r="I317" s="56">
        <v>0</v>
      </c>
      <c r="J317" s="56">
        <v>100000</v>
      </c>
      <c r="K317" s="56">
        <v>100000</v>
      </c>
      <c r="L317" t="s">
        <v>607</v>
      </c>
      <c r="M317" s="71">
        <v>46045</v>
      </c>
      <c r="N317" t="s">
        <v>576</v>
      </c>
    </row>
    <row r="318" spans="2:14" hidden="1" x14ac:dyDescent="0.2">
      <c r="B318">
        <v>317</v>
      </c>
      <c r="C318" t="s">
        <v>307</v>
      </c>
      <c r="D318" t="str">
        <f>VLOOKUP(C318,'Master Anggota'!$E$2:$J$678,2,0)</f>
        <v>Aktif</v>
      </c>
      <c r="G318" t="str">
        <f>VLOOKUP(C318,'Master Anggota'!$E$2:$J$678,5,0)</f>
        <v>00591</v>
      </c>
      <c r="H318" s="56">
        <v>0</v>
      </c>
      <c r="I318" s="56">
        <v>0</v>
      </c>
      <c r="J318" s="56">
        <v>100000</v>
      </c>
      <c r="K318" s="56">
        <v>100000</v>
      </c>
      <c r="L318" t="s">
        <v>607</v>
      </c>
      <c r="M318" s="71">
        <v>46045</v>
      </c>
      <c r="N318" t="s">
        <v>576</v>
      </c>
    </row>
    <row r="319" spans="2:14" hidden="1" x14ac:dyDescent="0.2">
      <c r="B319">
        <v>318</v>
      </c>
      <c r="C319" t="s">
        <v>389</v>
      </c>
      <c r="D319" t="str">
        <f>VLOOKUP(C319,'Master Anggota'!$E$2:$J$678,2,0)</f>
        <v>Aktif</v>
      </c>
      <c r="G319" t="str">
        <f>VLOOKUP(C319,'Master Anggota'!$E$2:$J$678,5,0)</f>
        <v>00593</v>
      </c>
      <c r="H319" s="56">
        <v>0</v>
      </c>
      <c r="I319" s="56">
        <v>0</v>
      </c>
      <c r="J319" s="56">
        <v>100000</v>
      </c>
      <c r="K319" s="56">
        <v>250000</v>
      </c>
      <c r="L319" t="s">
        <v>607</v>
      </c>
      <c r="M319" s="71">
        <v>46045</v>
      </c>
      <c r="N319" t="s">
        <v>576</v>
      </c>
    </row>
    <row r="320" spans="2:14" hidden="1" x14ac:dyDescent="0.2">
      <c r="B320">
        <v>319</v>
      </c>
      <c r="C320" t="s">
        <v>188</v>
      </c>
      <c r="D320" t="str">
        <f>VLOOKUP(C320,'Master Anggota'!$E$2:$J$678,2,0)</f>
        <v>Aktif</v>
      </c>
      <c r="G320" t="str">
        <f>VLOOKUP(C320,'Master Anggota'!$E$2:$J$678,5,0)</f>
        <v>00596</v>
      </c>
      <c r="H320" s="56">
        <v>0</v>
      </c>
      <c r="I320" s="56">
        <v>0</v>
      </c>
      <c r="J320" s="56">
        <v>100000</v>
      </c>
      <c r="K320" s="56">
        <v>500000</v>
      </c>
      <c r="L320" t="s">
        <v>607</v>
      </c>
      <c r="M320" s="71">
        <v>46045</v>
      </c>
      <c r="N320" t="s">
        <v>576</v>
      </c>
    </row>
    <row r="321" spans="2:14" hidden="1" x14ac:dyDescent="0.2">
      <c r="B321">
        <v>320</v>
      </c>
      <c r="C321" t="s">
        <v>309</v>
      </c>
      <c r="D321" t="str">
        <f>VLOOKUP(C321,'Master Anggota'!$E$2:$J$678,2,0)</f>
        <v>Aktif</v>
      </c>
      <c r="G321" t="str">
        <f>VLOOKUP(C321,'Master Anggota'!$E$2:$J$678,5,0)</f>
        <v>00602</v>
      </c>
      <c r="H321" s="56">
        <v>0</v>
      </c>
      <c r="I321" s="56">
        <v>0</v>
      </c>
      <c r="J321" s="56">
        <v>100000</v>
      </c>
      <c r="K321" s="56">
        <v>50000</v>
      </c>
      <c r="L321" t="s">
        <v>607</v>
      </c>
      <c r="M321" s="71">
        <v>46045</v>
      </c>
      <c r="N321" t="s">
        <v>576</v>
      </c>
    </row>
    <row r="322" spans="2:14" hidden="1" x14ac:dyDescent="0.2">
      <c r="B322">
        <v>321</v>
      </c>
      <c r="C322" t="s">
        <v>325</v>
      </c>
      <c r="D322" t="str">
        <f>VLOOKUP(C322,'Master Anggota'!$E$2:$J$678,2,0)</f>
        <v>Purna Bakti 2026</v>
      </c>
      <c r="G322" t="str">
        <f>VLOOKUP(C322,'Master Anggota'!$E$2:$J$678,5,0)</f>
        <v>00607</v>
      </c>
      <c r="H322" s="56">
        <v>0</v>
      </c>
      <c r="I322" s="56">
        <v>0</v>
      </c>
      <c r="J322" s="56">
        <v>100000</v>
      </c>
      <c r="K322" s="56">
        <v>150000</v>
      </c>
      <c r="L322" t="s">
        <v>607</v>
      </c>
      <c r="M322" s="71">
        <v>46045</v>
      </c>
      <c r="N322" t="s">
        <v>576</v>
      </c>
    </row>
    <row r="323" spans="2:14" hidden="1" x14ac:dyDescent="0.2">
      <c r="B323">
        <v>322</v>
      </c>
      <c r="C323" t="s">
        <v>326</v>
      </c>
      <c r="D323" t="str">
        <f>VLOOKUP(C323,'Master Anggota'!$E$2:$J$678,2,0)</f>
        <v>Aktif</v>
      </c>
      <c r="G323" t="str">
        <f>VLOOKUP(C323,'Master Anggota'!$E$2:$J$678,5,0)</f>
        <v>00608</v>
      </c>
      <c r="H323" s="56">
        <v>0</v>
      </c>
      <c r="I323" s="56">
        <v>0</v>
      </c>
      <c r="J323" s="56">
        <v>100000</v>
      </c>
      <c r="K323" s="56">
        <v>100000</v>
      </c>
      <c r="L323" t="s">
        <v>607</v>
      </c>
      <c r="M323" s="71">
        <v>46045</v>
      </c>
      <c r="N323" t="s">
        <v>576</v>
      </c>
    </row>
    <row r="324" spans="2:14" hidden="1" x14ac:dyDescent="0.2">
      <c r="B324">
        <v>323</v>
      </c>
      <c r="C324" t="s">
        <v>370</v>
      </c>
      <c r="D324" t="str">
        <f>VLOOKUP(C324,'Master Anggota'!$E$2:$J$678,2,0)</f>
        <v>Aktif</v>
      </c>
      <c r="G324" t="str">
        <f>VLOOKUP(C324,'Master Anggota'!$E$2:$J$678,5,0)</f>
        <v>00610</v>
      </c>
      <c r="H324" s="56">
        <v>0</v>
      </c>
      <c r="I324" s="56">
        <v>0</v>
      </c>
      <c r="J324" s="56">
        <v>100000</v>
      </c>
      <c r="K324" s="56">
        <v>500000</v>
      </c>
      <c r="L324" t="s">
        <v>607</v>
      </c>
      <c r="M324" s="71">
        <v>46045</v>
      </c>
      <c r="N324" t="s">
        <v>576</v>
      </c>
    </row>
    <row r="325" spans="2:14" hidden="1" x14ac:dyDescent="0.2">
      <c r="B325">
        <v>324</v>
      </c>
      <c r="C325" t="s">
        <v>519</v>
      </c>
      <c r="D325" t="str">
        <f>VLOOKUP(C325,'Master Anggota'!$E$2:$J$678,2,0)</f>
        <v>Aktif</v>
      </c>
      <c r="G325" t="str">
        <f>VLOOKUP(C325,'Master Anggota'!$E$2:$J$678,5,0)</f>
        <v>00611</v>
      </c>
      <c r="H325" s="56">
        <v>0</v>
      </c>
      <c r="I325" s="56">
        <v>0</v>
      </c>
      <c r="J325" s="56">
        <v>100000</v>
      </c>
      <c r="K325" s="56">
        <v>100000</v>
      </c>
      <c r="L325" t="s">
        <v>607</v>
      </c>
      <c r="M325" s="71">
        <v>46045</v>
      </c>
      <c r="N325" t="s">
        <v>576</v>
      </c>
    </row>
    <row r="326" spans="2:14" hidden="1" x14ac:dyDescent="0.2">
      <c r="B326">
        <v>325</v>
      </c>
      <c r="C326" t="s">
        <v>442</v>
      </c>
      <c r="D326" t="str">
        <f>VLOOKUP(C326,'Master Anggota'!$E$2:$J$678,2,0)</f>
        <v>Aktif</v>
      </c>
      <c r="G326" t="str">
        <f>VLOOKUP(C326,'Master Anggota'!$E$2:$J$678,5,0)</f>
        <v>00613</v>
      </c>
      <c r="H326" s="56">
        <v>0</v>
      </c>
      <c r="I326" s="56">
        <v>0</v>
      </c>
      <c r="J326" s="56">
        <v>100000</v>
      </c>
      <c r="K326" s="56">
        <v>150000</v>
      </c>
      <c r="L326" t="s">
        <v>607</v>
      </c>
      <c r="M326" s="71">
        <v>46045</v>
      </c>
      <c r="N326" t="s">
        <v>576</v>
      </c>
    </row>
    <row r="327" spans="2:14" hidden="1" x14ac:dyDescent="0.2">
      <c r="B327">
        <v>326</v>
      </c>
      <c r="C327" t="s">
        <v>400</v>
      </c>
      <c r="D327" t="str">
        <f>VLOOKUP(C327,'Master Anggota'!$E$2:$J$678,2,0)</f>
        <v>Aktif</v>
      </c>
      <c r="G327" t="str">
        <f>VLOOKUP(C327,'Master Anggota'!$E$2:$J$678,5,0)</f>
        <v>00614</v>
      </c>
      <c r="H327" s="56">
        <v>0</v>
      </c>
      <c r="I327" s="56">
        <v>0</v>
      </c>
      <c r="J327" s="56">
        <v>100000</v>
      </c>
      <c r="K327" s="56">
        <v>100000</v>
      </c>
      <c r="L327" t="s">
        <v>607</v>
      </c>
      <c r="M327" s="71">
        <v>46045</v>
      </c>
      <c r="N327" t="s">
        <v>576</v>
      </c>
    </row>
    <row r="328" spans="2:14" hidden="1" x14ac:dyDescent="0.2">
      <c r="B328">
        <v>327</v>
      </c>
      <c r="C328" t="s">
        <v>438</v>
      </c>
      <c r="D328" t="str">
        <f>VLOOKUP(C328,'Master Anggota'!$E$2:$J$678,2,0)</f>
        <v>Aktif</v>
      </c>
      <c r="G328" t="str">
        <f>VLOOKUP(C328,'Master Anggota'!$E$2:$J$678,5,0)</f>
        <v>00616</v>
      </c>
      <c r="H328" s="56">
        <v>0</v>
      </c>
      <c r="I328" s="56">
        <v>0</v>
      </c>
      <c r="J328" s="56">
        <v>100000</v>
      </c>
      <c r="K328" s="56">
        <v>250000</v>
      </c>
      <c r="L328" t="s">
        <v>607</v>
      </c>
      <c r="M328" s="71">
        <v>46045</v>
      </c>
      <c r="N328" t="s">
        <v>576</v>
      </c>
    </row>
    <row r="329" spans="2:14" hidden="1" x14ac:dyDescent="0.2">
      <c r="B329">
        <v>328</v>
      </c>
      <c r="C329" t="s">
        <v>312</v>
      </c>
      <c r="D329" t="str">
        <f>VLOOKUP(C329,'Master Anggota'!$E$2:$J$678,2,0)</f>
        <v>Aktif</v>
      </c>
      <c r="G329" t="str">
        <f>VLOOKUP(C329,'Master Anggota'!$E$2:$J$678,5,0)</f>
        <v>00621</v>
      </c>
      <c r="H329" s="56">
        <v>0</v>
      </c>
      <c r="I329" s="56">
        <v>0</v>
      </c>
      <c r="J329" s="56">
        <v>100000</v>
      </c>
      <c r="K329" s="56">
        <v>100000</v>
      </c>
      <c r="L329" t="s">
        <v>607</v>
      </c>
      <c r="M329" s="71">
        <v>46045</v>
      </c>
      <c r="N329" t="s">
        <v>576</v>
      </c>
    </row>
    <row r="330" spans="2:14" hidden="1" x14ac:dyDescent="0.2">
      <c r="B330">
        <v>329</v>
      </c>
      <c r="C330" t="s">
        <v>452</v>
      </c>
      <c r="D330" t="str">
        <f>VLOOKUP(C330,'Master Anggota'!$E$2:$J$678,2,0)</f>
        <v>Aktif</v>
      </c>
      <c r="G330" t="str">
        <f>VLOOKUP(C330,'Master Anggota'!$E$2:$J$678,5,0)</f>
        <v>00623</v>
      </c>
      <c r="H330" s="56">
        <v>0</v>
      </c>
      <c r="I330" s="56">
        <v>0</v>
      </c>
      <c r="J330" s="56">
        <v>100000</v>
      </c>
      <c r="K330" s="56">
        <v>50000</v>
      </c>
      <c r="L330" t="s">
        <v>607</v>
      </c>
      <c r="M330" s="71">
        <v>46045</v>
      </c>
      <c r="N330" t="s">
        <v>576</v>
      </c>
    </row>
    <row r="331" spans="2:14" hidden="1" x14ac:dyDescent="0.2">
      <c r="B331">
        <v>330</v>
      </c>
      <c r="C331" t="s">
        <v>324</v>
      </c>
      <c r="D331" t="str">
        <f>VLOOKUP(C331,'Master Anggota'!$E$2:$J$678,2,0)</f>
        <v>Aktif</v>
      </c>
      <c r="G331" t="str">
        <f>VLOOKUP(C331,'Master Anggota'!$E$2:$J$678,5,0)</f>
        <v>00626</v>
      </c>
      <c r="H331" s="56">
        <v>0</v>
      </c>
      <c r="I331" s="56">
        <v>0</v>
      </c>
      <c r="J331" s="56">
        <v>100000</v>
      </c>
      <c r="K331" s="56">
        <v>200000</v>
      </c>
      <c r="L331" t="s">
        <v>607</v>
      </c>
      <c r="M331" s="71">
        <v>46045</v>
      </c>
      <c r="N331" t="s">
        <v>576</v>
      </c>
    </row>
    <row r="332" spans="2:14" hidden="1" x14ac:dyDescent="0.2">
      <c r="B332">
        <v>331</v>
      </c>
      <c r="C332" t="s">
        <v>445</v>
      </c>
      <c r="D332" t="str">
        <f>VLOOKUP(C332,'Master Anggota'!$E$2:$J$678,2,0)</f>
        <v>Aktif</v>
      </c>
      <c r="G332" t="str">
        <f>VLOOKUP(C332,'Master Anggota'!$E$2:$J$678,5,0)</f>
        <v>00628</v>
      </c>
      <c r="H332" s="56">
        <v>0</v>
      </c>
      <c r="I332" s="56">
        <v>0</v>
      </c>
      <c r="J332" s="56">
        <v>100000</v>
      </c>
      <c r="K332" s="56">
        <v>150000</v>
      </c>
      <c r="L332" t="s">
        <v>607</v>
      </c>
      <c r="M332" s="71">
        <v>46045</v>
      </c>
      <c r="N332" t="s">
        <v>576</v>
      </c>
    </row>
    <row r="333" spans="2:14" hidden="1" x14ac:dyDescent="0.2">
      <c r="B333">
        <v>332</v>
      </c>
      <c r="C333" t="s">
        <v>425</v>
      </c>
      <c r="D333" t="str">
        <f>VLOOKUP(C333,'Master Anggota'!$E$2:$J$678,2,0)</f>
        <v>Aktif</v>
      </c>
      <c r="G333" t="str">
        <f>VLOOKUP(C333,'Master Anggota'!$E$2:$J$678,5,0)</f>
        <v>00629</v>
      </c>
      <c r="H333" s="56">
        <v>0</v>
      </c>
      <c r="I333" s="56">
        <v>0</v>
      </c>
      <c r="J333" s="56">
        <v>100000</v>
      </c>
      <c r="K333" s="56">
        <v>50000</v>
      </c>
      <c r="L333" t="s">
        <v>607</v>
      </c>
      <c r="M333" s="71">
        <v>46045</v>
      </c>
      <c r="N333" t="s">
        <v>576</v>
      </c>
    </row>
    <row r="334" spans="2:14" hidden="1" x14ac:dyDescent="0.2">
      <c r="B334">
        <v>333</v>
      </c>
      <c r="C334" t="s">
        <v>157</v>
      </c>
      <c r="D334" t="str">
        <f>VLOOKUP(C334,'Master Anggota'!$E$2:$J$678,2,0)</f>
        <v>Aktif</v>
      </c>
      <c r="G334" t="str">
        <f>VLOOKUP(C334,'Master Anggota'!$E$2:$J$678,5,0)</f>
        <v>00633</v>
      </c>
      <c r="H334" s="56">
        <v>0</v>
      </c>
      <c r="I334" s="56">
        <v>0</v>
      </c>
      <c r="J334" s="56">
        <v>100000</v>
      </c>
      <c r="K334" s="56">
        <v>12500</v>
      </c>
      <c r="L334" t="s">
        <v>607</v>
      </c>
      <c r="M334" s="71">
        <v>46045</v>
      </c>
      <c r="N334" t="s">
        <v>576</v>
      </c>
    </row>
    <row r="335" spans="2:14" hidden="1" x14ac:dyDescent="0.2">
      <c r="B335">
        <v>334</v>
      </c>
      <c r="C335" t="s">
        <v>435</v>
      </c>
      <c r="D335" t="str">
        <f>VLOOKUP(C335,'Master Anggota'!$E$2:$J$678,2,0)</f>
        <v>Aktif</v>
      </c>
      <c r="G335" t="str">
        <f>VLOOKUP(C335,'Master Anggota'!$E$2:$J$678,5,0)</f>
        <v>00637</v>
      </c>
      <c r="H335" s="56">
        <v>0</v>
      </c>
      <c r="I335" s="56">
        <v>0</v>
      </c>
      <c r="J335" s="56">
        <v>100000</v>
      </c>
      <c r="K335" s="56">
        <v>100000</v>
      </c>
      <c r="L335" t="s">
        <v>607</v>
      </c>
      <c r="M335" s="71">
        <v>46045</v>
      </c>
      <c r="N335" t="s">
        <v>576</v>
      </c>
    </row>
    <row r="336" spans="2:14" hidden="1" x14ac:dyDescent="0.2">
      <c r="B336">
        <v>335</v>
      </c>
      <c r="C336" t="s">
        <v>436</v>
      </c>
      <c r="D336" t="str">
        <f>VLOOKUP(C336,'Master Anggota'!$E$2:$J$678,2,0)</f>
        <v>Aktif</v>
      </c>
      <c r="G336" t="str">
        <f>VLOOKUP(C336,'Master Anggota'!$E$2:$J$678,5,0)</f>
        <v>01708</v>
      </c>
      <c r="H336" s="56">
        <v>0</v>
      </c>
      <c r="I336" s="56">
        <v>0</v>
      </c>
      <c r="J336" s="56">
        <v>100000</v>
      </c>
      <c r="K336" s="56">
        <v>100000</v>
      </c>
      <c r="L336" t="s">
        <v>607</v>
      </c>
      <c r="M336" s="71">
        <v>46045</v>
      </c>
      <c r="N336" t="s">
        <v>576</v>
      </c>
    </row>
    <row r="337" spans="2:14" hidden="1" x14ac:dyDescent="0.2">
      <c r="B337">
        <v>336</v>
      </c>
      <c r="C337" t="s">
        <v>160</v>
      </c>
      <c r="D337" t="str">
        <f>VLOOKUP(C337,'Master Anggota'!$E$2:$J$678,2,0)</f>
        <v>Aktif</v>
      </c>
      <c r="G337" t="str">
        <f>VLOOKUP(C337,'Master Anggota'!$E$2:$J$678,5,0)</f>
        <v>01166</v>
      </c>
      <c r="H337" s="56">
        <v>0</v>
      </c>
      <c r="I337" s="56">
        <v>0</v>
      </c>
      <c r="J337" s="56">
        <v>100000</v>
      </c>
      <c r="K337" s="56">
        <v>75000</v>
      </c>
      <c r="L337" t="s">
        <v>607</v>
      </c>
      <c r="M337" s="71">
        <v>46045</v>
      </c>
      <c r="N337" t="s">
        <v>576</v>
      </c>
    </row>
    <row r="338" spans="2:14" hidden="1" x14ac:dyDescent="0.2">
      <c r="B338">
        <v>337</v>
      </c>
      <c r="C338" t="s">
        <v>279</v>
      </c>
      <c r="D338" t="str">
        <f>VLOOKUP(C338,'Master Anggota'!$E$2:$J$678,2,0)</f>
        <v>Aktif</v>
      </c>
      <c r="G338" t="str">
        <f>VLOOKUP(C338,'Master Anggota'!$E$2:$J$678,5,0)</f>
        <v>01315</v>
      </c>
      <c r="H338" s="56">
        <v>0</v>
      </c>
      <c r="I338" s="56">
        <v>0</v>
      </c>
      <c r="J338" s="56">
        <v>100000</v>
      </c>
      <c r="K338" s="56">
        <v>50000</v>
      </c>
      <c r="L338" t="s">
        <v>607</v>
      </c>
      <c r="M338" s="71">
        <v>46045</v>
      </c>
      <c r="N338" t="s">
        <v>576</v>
      </c>
    </row>
    <row r="339" spans="2:14" hidden="1" x14ac:dyDescent="0.2">
      <c r="B339">
        <v>338</v>
      </c>
      <c r="C339" t="s">
        <v>358</v>
      </c>
      <c r="D339" t="str">
        <f>VLOOKUP(C339,'Master Anggota'!$E$2:$J$678,2,0)</f>
        <v>Aktif</v>
      </c>
      <c r="G339" t="str">
        <f>VLOOKUP(C339,'Master Anggota'!$E$2:$J$678,5,0)</f>
        <v>01530</v>
      </c>
      <c r="H339" s="56">
        <v>0</v>
      </c>
      <c r="I339" s="56">
        <v>0</v>
      </c>
      <c r="J339" s="56">
        <v>100000</v>
      </c>
      <c r="K339" s="56">
        <v>50000</v>
      </c>
      <c r="L339" t="s">
        <v>607</v>
      </c>
      <c r="M339" s="71">
        <v>46045</v>
      </c>
      <c r="N339" t="s">
        <v>576</v>
      </c>
    </row>
    <row r="340" spans="2:14" hidden="1" x14ac:dyDescent="0.2">
      <c r="B340">
        <v>339</v>
      </c>
      <c r="C340" t="s">
        <v>313</v>
      </c>
      <c r="D340" t="str">
        <f>VLOOKUP(C340,'Master Anggota'!$E$2:$J$678,2,0)</f>
        <v>Aktif</v>
      </c>
      <c r="G340" t="str">
        <f>VLOOKUP(C340,'Master Anggota'!$E$2:$J$678,5,0)</f>
        <v>01594</v>
      </c>
      <c r="H340" s="56">
        <v>0</v>
      </c>
      <c r="I340" s="56">
        <v>0</v>
      </c>
      <c r="J340" s="56">
        <v>100000</v>
      </c>
      <c r="K340" s="56">
        <v>50000</v>
      </c>
      <c r="L340" t="s">
        <v>607</v>
      </c>
      <c r="M340" s="71">
        <v>46045</v>
      </c>
      <c r="N340" t="s">
        <v>576</v>
      </c>
    </row>
    <row r="341" spans="2:14" hidden="1" x14ac:dyDescent="0.2">
      <c r="B341">
        <v>340</v>
      </c>
      <c r="C341" t="s">
        <v>327</v>
      </c>
      <c r="D341" t="str">
        <f>VLOOKUP(C341,'Master Anggota'!$E$2:$J$678,2,0)</f>
        <v>Aktif</v>
      </c>
      <c r="G341" t="str">
        <f>VLOOKUP(C341,'Master Anggota'!$E$2:$J$678,5,0)</f>
        <v>01665</v>
      </c>
      <c r="H341" s="56">
        <v>0</v>
      </c>
      <c r="I341" s="56">
        <v>0</v>
      </c>
      <c r="J341" s="56">
        <v>100000</v>
      </c>
      <c r="K341" s="56">
        <v>50000</v>
      </c>
      <c r="L341" t="s">
        <v>607</v>
      </c>
      <c r="M341" s="71">
        <v>46045</v>
      </c>
      <c r="N341" t="s">
        <v>576</v>
      </c>
    </row>
    <row r="342" spans="2:14" hidden="1" x14ac:dyDescent="0.2">
      <c r="B342">
        <v>341</v>
      </c>
      <c r="C342" t="s">
        <v>450</v>
      </c>
      <c r="D342" t="str">
        <f>VLOOKUP(C342,'Master Anggota'!$E$2:$J$678,2,0)</f>
        <v>Aktif</v>
      </c>
      <c r="G342" t="str">
        <f>VLOOKUP(C342,'Master Anggota'!$E$2:$J$678,5,0)</f>
        <v>01738</v>
      </c>
      <c r="H342" s="56">
        <v>0</v>
      </c>
      <c r="I342" s="56">
        <v>0</v>
      </c>
      <c r="J342" s="56">
        <v>100000</v>
      </c>
      <c r="K342" s="56">
        <v>50000</v>
      </c>
      <c r="L342" t="s">
        <v>607</v>
      </c>
      <c r="M342" s="71">
        <v>46045</v>
      </c>
      <c r="N342" t="s">
        <v>576</v>
      </c>
    </row>
    <row r="343" spans="2:14" hidden="1" x14ac:dyDescent="0.2">
      <c r="B343">
        <v>342</v>
      </c>
      <c r="C343" t="s">
        <v>446</v>
      </c>
      <c r="D343" t="str">
        <f>VLOOKUP(C343,'Master Anggota'!$E$2:$J$678,2,0)</f>
        <v>Aktif</v>
      </c>
      <c r="G343" t="str">
        <f>VLOOKUP(C343,'Master Anggota'!$E$2:$J$678,5,0)</f>
        <v>01740</v>
      </c>
      <c r="H343" s="56">
        <v>0</v>
      </c>
      <c r="I343" s="56">
        <v>0</v>
      </c>
      <c r="J343" s="56">
        <v>100000</v>
      </c>
      <c r="K343" s="56">
        <v>50000</v>
      </c>
      <c r="L343" t="s">
        <v>607</v>
      </c>
      <c r="M343" s="71">
        <v>46045</v>
      </c>
      <c r="N343" t="s">
        <v>576</v>
      </c>
    </row>
    <row r="344" spans="2:14" hidden="1" x14ac:dyDescent="0.2">
      <c r="B344">
        <v>343</v>
      </c>
      <c r="C344" t="s">
        <v>289</v>
      </c>
      <c r="D344" t="str">
        <f>VLOOKUP(C344,'Master Anggota'!$E$2:$J$678,2,0)</f>
        <v>Aktif</v>
      </c>
      <c r="G344" t="str">
        <f>VLOOKUP(C344,'Master Anggota'!$E$2:$J$678,5,0)</f>
        <v>01511</v>
      </c>
      <c r="H344" s="56">
        <v>0</v>
      </c>
      <c r="I344" s="56">
        <v>0</v>
      </c>
      <c r="J344" s="56">
        <v>100000</v>
      </c>
      <c r="K344" s="56">
        <v>75000</v>
      </c>
      <c r="L344" t="s">
        <v>607</v>
      </c>
      <c r="M344" s="71">
        <v>46045</v>
      </c>
      <c r="N344" t="s">
        <v>576</v>
      </c>
    </row>
    <row r="345" spans="2:14" hidden="1" x14ac:dyDescent="0.2">
      <c r="B345">
        <v>344</v>
      </c>
      <c r="C345" t="s">
        <v>169</v>
      </c>
      <c r="D345" t="str">
        <f>VLOOKUP(C345,'Master Anggota'!$E$2:$J$678,2,0)</f>
        <v>Aktif</v>
      </c>
      <c r="G345" t="str">
        <f>VLOOKUP(C345,'Master Anggota'!$E$2:$J$678,5,0)</f>
        <v>01157</v>
      </c>
      <c r="H345" s="56">
        <v>0</v>
      </c>
      <c r="I345" s="56">
        <v>0</v>
      </c>
      <c r="J345" s="56">
        <v>100000</v>
      </c>
      <c r="K345" s="56">
        <v>100000</v>
      </c>
      <c r="L345" t="s">
        <v>607</v>
      </c>
      <c r="M345" s="71">
        <v>46045</v>
      </c>
      <c r="N345" t="s">
        <v>576</v>
      </c>
    </row>
    <row r="346" spans="2:14" hidden="1" x14ac:dyDescent="0.2">
      <c r="B346">
        <v>345</v>
      </c>
      <c r="C346" t="s">
        <v>482</v>
      </c>
      <c r="D346" t="str">
        <f>VLOOKUP(C346,'Master Anggota'!$E$2:$J$678,2,0)</f>
        <v>Aktif</v>
      </c>
      <c r="G346" t="str">
        <f>VLOOKUP(C346,'Master Anggota'!$E$2:$J$678,5,0)</f>
        <v>01561</v>
      </c>
      <c r="H346" s="56">
        <v>0</v>
      </c>
      <c r="I346" s="56">
        <v>0</v>
      </c>
      <c r="J346" s="56">
        <v>100000</v>
      </c>
      <c r="K346" s="56">
        <v>100000</v>
      </c>
      <c r="L346" t="s">
        <v>607</v>
      </c>
      <c r="M346" s="71">
        <v>46045</v>
      </c>
      <c r="N346" t="s">
        <v>576</v>
      </c>
    </row>
    <row r="347" spans="2:14" hidden="1" x14ac:dyDescent="0.2">
      <c r="B347">
        <v>346</v>
      </c>
      <c r="C347" t="s">
        <v>311</v>
      </c>
      <c r="D347" t="str">
        <f>VLOOKUP(C347,'Master Anggota'!$E$2:$J$678,2,0)</f>
        <v>Aktif</v>
      </c>
      <c r="G347" t="str">
        <f>VLOOKUP(C347,'Master Anggota'!$E$2:$J$678,5,0)</f>
        <v>01602</v>
      </c>
      <c r="H347" s="56">
        <v>0</v>
      </c>
      <c r="I347" s="56">
        <v>0</v>
      </c>
      <c r="J347" s="56">
        <v>100000</v>
      </c>
      <c r="K347" s="56">
        <v>100000</v>
      </c>
      <c r="L347" t="s">
        <v>607</v>
      </c>
      <c r="M347" s="71">
        <v>46045</v>
      </c>
      <c r="N347" t="s">
        <v>576</v>
      </c>
    </row>
    <row r="348" spans="2:14" hidden="1" x14ac:dyDescent="0.2">
      <c r="B348">
        <v>347</v>
      </c>
      <c r="C348" t="s">
        <v>308</v>
      </c>
      <c r="D348" t="str">
        <f>VLOOKUP(C348,'Master Anggota'!$E$2:$J$678,2,0)</f>
        <v>Aktif</v>
      </c>
      <c r="G348" t="str">
        <f>VLOOKUP(C348,'Master Anggota'!$E$2:$J$678,5,0)</f>
        <v>01604</v>
      </c>
      <c r="H348" s="56">
        <v>0</v>
      </c>
      <c r="I348" s="56">
        <v>0</v>
      </c>
      <c r="J348" s="56">
        <v>100000</v>
      </c>
      <c r="K348" s="56">
        <v>100000</v>
      </c>
      <c r="L348" t="s">
        <v>607</v>
      </c>
      <c r="M348" s="71">
        <v>46045</v>
      </c>
      <c r="N348" t="s">
        <v>576</v>
      </c>
    </row>
    <row r="349" spans="2:14" hidden="1" x14ac:dyDescent="0.2">
      <c r="B349">
        <v>348</v>
      </c>
      <c r="C349" t="s">
        <v>318</v>
      </c>
      <c r="D349" t="str">
        <f>VLOOKUP(C349,'Master Anggota'!$E$2:$J$678,2,0)</f>
        <v>Aktif</v>
      </c>
      <c r="G349" t="str">
        <f>VLOOKUP(C349,'Master Anggota'!$E$2:$J$678,5,0)</f>
        <v>01651</v>
      </c>
      <c r="H349" s="56">
        <v>0</v>
      </c>
      <c r="I349" s="56">
        <v>0</v>
      </c>
      <c r="J349" s="56">
        <v>100000</v>
      </c>
      <c r="K349" s="56">
        <v>100000</v>
      </c>
      <c r="L349" t="s">
        <v>607</v>
      </c>
      <c r="M349" s="71">
        <v>46045</v>
      </c>
      <c r="N349" t="s">
        <v>576</v>
      </c>
    </row>
    <row r="350" spans="2:14" hidden="1" x14ac:dyDescent="0.2">
      <c r="B350">
        <v>349</v>
      </c>
      <c r="C350" t="s">
        <v>369</v>
      </c>
      <c r="D350" t="str">
        <f>VLOOKUP(C350,'Master Anggota'!$E$2:$J$678,2,0)</f>
        <v>Aktif</v>
      </c>
      <c r="G350" t="str">
        <f>VLOOKUP(C350,'Master Anggota'!$E$2:$J$678,5,0)</f>
        <v>01654</v>
      </c>
      <c r="H350" s="56">
        <v>0</v>
      </c>
      <c r="I350" s="56">
        <v>0</v>
      </c>
      <c r="J350" s="56">
        <v>100000</v>
      </c>
      <c r="K350" s="56">
        <v>100000</v>
      </c>
      <c r="L350" t="s">
        <v>607</v>
      </c>
      <c r="M350" s="71">
        <v>46045</v>
      </c>
      <c r="N350" t="s">
        <v>576</v>
      </c>
    </row>
    <row r="351" spans="2:14" hidden="1" x14ac:dyDescent="0.2">
      <c r="B351">
        <v>350</v>
      </c>
      <c r="C351" t="s">
        <v>367</v>
      </c>
      <c r="D351" t="str">
        <f>VLOOKUP(C351,'Master Anggota'!$E$2:$J$678,2,0)</f>
        <v>Aktif</v>
      </c>
      <c r="G351" t="str">
        <f>VLOOKUP(C351,'Master Anggota'!$E$2:$J$678,5,0)</f>
        <v>01679</v>
      </c>
      <c r="H351" s="56">
        <v>0</v>
      </c>
      <c r="I351" s="56">
        <v>0</v>
      </c>
      <c r="J351" s="56">
        <v>100000</v>
      </c>
      <c r="K351" s="56">
        <v>100000</v>
      </c>
      <c r="L351" t="s">
        <v>607</v>
      </c>
      <c r="M351" s="71">
        <v>46045</v>
      </c>
      <c r="N351" t="s">
        <v>576</v>
      </c>
    </row>
    <row r="352" spans="2:14" hidden="1" x14ac:dyDescent="0.2">
      <c r="B352">
        <v>351</v>
      </c>
      <c r="C352" t="s">
        <v>368</v>
      </c>
      <c r="D352" t="str">
        <f>VLOOKUP(C352,'Master Anggota'!$E$2:$J$678,2,0)</f>
        <v>Aktif</v>
      </c>
      <c r="G352" t="str">
        <f>VLOOKUP(C352,'Master Anggota'!$E$2:$J$678,5,0)</f>
        <v>01703</v>
      </c>
      <c r="H352" s="56">
        <v>0</v>
      </c>
      <c r="I352" s="56">
        <v>0</v>
      </c>
      <c r="J352" s="56">
        <v>100000</v>
      </c>
      <c r="K352" s="56">
        <v>100000</v>
      </c>
      <c r="L352" t="s">
        <v>607</v>
      </c>
      <c r="M352" s="71">
        <v>46045</v>
      </c>
      <c r="N352" t="s">
        <v>576</v>
      </c>
    </row>
    <row r="353" spans="2:14" hidden="1" x14ac:dyDescent="0.2">
      <c r="B353">
        <v>352</v>
      </c>
      <c r="C353" t="s">
        <v>490</v>
      </c>
      <c r="D353" t="str">
        <f>VLOOKUP(C353,'Master Anggota'!$E$2:$J$678,2,0)</f>
        <v>Aktif</v>
      </c>
      <c r="G353" t="str">
        <f>VLOOKUP(C353,'Master Anggota'!$E$2:$J$678,5,0)</f>
        <v>01706</v>
      </c>
      <c r="H353" s="56">
        <v>0</v>
      </c>
      <c r="I353" s="56">
        <v>0</v>
      </c>
      <c r="J353" s="56">
        <v>100000</v>
      </c>
      <c r="K353" s="56">
        <v>100000</v>
      </c>
      <c r="L353" t="s">
        <v>607</v>
      </c>
      <c r="M353" s="71">
        <v>46045</v>
      </c>
      <c r="N353" t="s">
        <v>576</v>
      </c>
    </row>
    <row r="354" spans="2:14" hidden="1" x14ac:dyDescent="0.2">
      <c r="B354">
        <v>353</v>
      </c>
      <c r="C354" t="s">
        <v>491</v>
      </c>
      <c r="D354" t="str">
        <f>VLOOKUP(C354,'Master Anggota'!$E$2:$J$678,2,0)</f>
        <v>Aktif</v>
      </c>
      <c r="G354" t="str">
        <f>VLOOKUP(C354,'Master Anggota'!$E$2:$J$678,5,0)</f>
        <v>01720</v>
      </c>
      <c r="H354" s="56">
        <v>0</v>
      </c>
      <c r="I354" s="56">
        <v>0</v>
      </c>
      <c r="J354" s="56">
        <v>100000</v>
      </c>
      <c r="K354" s="56">
        <v>100000</v>
      </c>
      <c r="L354" t="s">
        <v>607</v>
      </c>
      <c r="M354" s="71">
        <v>46045</v>
      </c>
      <c r="N354" t="s">
        <v>576</v>
      </c>
    </row>
    <row r="355" spans="2:14" hidden="1" x14ac:dyDescent="0.2">
      <c r="B355">
        <v>354</v>
      </c>
      <c r="C355" t="s">
        <v>492</v>
      </c>
      <c r="D355" t="str">
        <f>VLOOKUP(C355,'Master Anggota'!$E$2:$J$678,2,0)</f>
        <v>Aktif</v>
      </c>
      <c r="G355" t="str">
        <f>VLOOKUP(C355,'Master Anggota'!$E$2:$J$678,5,0)</f>
        <v>01728</v>
      </c>
      <c r="H355" s="56">
        <v>0</v>
      </c>
      <c r="I355" s="56">
        <v>0</v>
      </c>
      <c r="J355" s="56">
        <v>100000</v>
      </c>
      <c r="K355" s="56">
        <v>100000</v>
      </c>
      <c r="L355" t="s">
        <v>607</v>
      </c>
      <c r="M355" s="71">
        <v>46045</v>
      </c>
      <c r="N355" t="s">
        <v>576</v>
      </c>
    </row>
    <row r="356" spans="2:14" hidden="1" x14ac:dyDescent="0.2">
      <c r="B356">
        <v>355</v>
      </c>
      <c r="C356" t="s">
        <v>493</v>
      </c>
      <c r="D356" t="str">
        <f>VLOOKUP(C356,'Master Anggota'!$E$2:$J$678,2,0)</f>
        <v>Aktif</v>
      </c>
      <c r="G356" t="str">
        <f>VLOOKUP(C356,'Master Anggota'!$E$2:$J$678,5,0)</f>
        <v>01731</v>
      </c>
      <c r="H356" s="56">
        <v>0</v>
      </c>
      <c r="I356" s="56">
        <v>0</v>
      </c>
      <c r="J356" s="56">
        <v>100000</v>
      </c>
      <c r="K356" s="56">
        <v>100000</v>
      </c>
      <c r="L356" t="s">
        <v>607</v>
      </c>
      <c r="M356" s="71">
        <v>46045</v>
      </c>
      <c r="N356" t="s">
        <v>576</v>
      </c>
    </row>
    <row r="357" spans="2:14" hidden="1" x14ac:dyDescent="0.2">
      <c r="B357">
        <v>356</v>
      </c>
      <c r="C357" t="s">
        <v>524</v>
      </c>
      <c r="D357" t="str">
        <f>VLOOKUP(C357,'Master Anggota'!$E$2:$J$678,2,0)</f>
        <v>Aktif</v>
      </c>
      <c r="G357" t="str">
        <f>VLOOKUP(C357,'Master Anggota'!$E$2:$J$678,5,0)</f>
        <v>01743</v>
      </c>
      <c r="H357" s="56">
        <v>0</v>
      </c>
      <c r="I357" s="56">
        <v>0</v>
      </c>
      <c r="J357" s="56">
        <v>100000</v>
      </c>
      <c r="K357" s="56">
        <v>100000</v>
      </c>
      <c r="L357" t="s">
        <v>607</v>
      </c>
      <c r="M357" s="71">
        <v>46045</v>
      </c>
      <c r="N357" t="s">
        <v>576</v>
      </c>
    </row>
    <row r="358" spans="2:14" hidden="1" x14ac:dyDescent="0.2">
      <c r="B358">
        <v>357</v>
      </c>
      <c r="C358" t="s">
        <v>495</v>
      </c>
      <c r="D358" t="str">
        <f>VLOOKUP(C358,'Master Anggota'!$E$2:$J$678,2,0)</f>
        <v>Aktif</v>
      </c>
      <c r="G358" t="str">
        <f>VLOOKUP(C358,'Master Anggota'!$E$2:$J$678,5,0)</f>
        <v>01754</v>
      </c>
      <c r="H358" s="56">
        <v>0</v>
      </c>
      <c r="I358" s="56">
        <v>0</v>
      </c>
      <c r="J358" s="56">
        <v>100000</v>
      </c>
      <c r="K358" s="56">
        <v>100000</v>
      </c>
      <c r="L358" t="s">
        <v>607</v>
      </c>
      <c r="M358" s="71">
        <v>46045</v>
      </c>
      <c r="N358" t="s">
        <v>576</v>
      </c>
    </row>
    <row r="359" spans="2:14" hidden="1" x14ac:dyDescent="0.2">
      <c r="B359">
        <v>358</v>
      </c>
      <c r="C359" t="s">
        <v>539</v>
      </c>
      <c r="D359" t="str">
        <f>VLOOKUP(C359,'Master Anggota'!$E$2:$J$678,2,0)</f>
        <v>Aktif</v>
      </c>
      <c r="G359" t="str">
        <f>VLOOKUP(C359,'Master Anggota'!$E$2:$J$678,5,0)</f>
        <v>01800</v>
      </c>
      <c r="H359" s="56">
        <v>0</v>
      </c>
      <c r="I359" s="56">
        <v>0</v>
      </c>
      <c r="J359" s="56">
        <v>100000</v>
      </c>
      <c r="K359" s="56">
        <v>100000</v>
      </c>
      <c r="L359" t="s">
        <v>607</v>
      </c>
      <c r="M359" s="71">
        <v>46045</v>
      </c>
      <c r="N359" t="s">
        <v>576</v>
      </c>
    </row>
    <row r="360" spans="2:14" hidden="1" x14ac:dyDescent="0.2">
      <c r="B360">
        <v>359</v>
      </c>
      <c r="C360" t="s">
        <v>304</v>
      </c>
      <c r="D360" t="str">
        <f>VLOOKUP(C360,'Master Anggota'!$E$2:$J$678,2,0)</f>
        <v>Aktif</v>
      </c>
      <c r="G360" t="str">
        <f>VLOOKUP(C360,'Master Anggota'!$E$2:$J$678,5,0)</f>
        <v>01541</v>
      </c>
      <c r="H360" s="56">
        <v>0</v>
      </c>
      <c r="I360" s="56">
        <v>0</v>
      </c>
      <c r="J360" s="56">
        <v>150000</v>
      </c>
      <c r="K360" s="56">
        <v>100000</v>
      </c>
      <c r="L360" t="s">
        <v>607</v>
      </c>
      <c r="M360" s="71">
        <v>46045</v>
      </c>
      <c r="N360" t="s">
        <v>576</v>
      </c>
    </row>
    <row r="361" spans="2:14" hidden="1" x14ac:dyDescent="0.2">
      <c r="B361">
        <v>360</v>
      </c>
      <c r="C361" t="s">
        <v>310</v>
      </c>
      <c r="D361" t="str">
        <f>VLOOKUP(C361,'Master Anggota'!$E$2:$J$678,2,0)</f>
        <v>Aktif</v>
      </c>
      <c r="G361" t="str">
        <f>VLOOKUP(C361,'Master Anggota'!$E$2:$J$678,5,0)</f>
        <v>01543</v>
      </c>
      <c r="H361" s="56">
        <v>0</v>
      </c>
      <c r="I361" s="56">
        <v>0</v>
      </c>
      <c r="J361" s="56">
        <v>150000</v>
      </c>
      <c r="K361" s="56">
        <v>100000</v>
      </c>
      <c r="L361" t="s">
        <v>607</v>
      </c>
      <c r="M361" s="71">
        <v>46045</v>
      </c>
      <c r="N361" t="s">
        <v>576</v>
      </c>
    </row>
    <row r="362" spans="2:14" hidden="1" x14ac:dyDescent="0.2">
      <c r="B362">
        <v>361</v>
      </c>
      <c r="C362" t="s">
        <v>323</v>
      </c>
      <c r="D362" t="str">
        <f>VLOOKUP(C362,'Master Anggota'!$E$2:$J$678,2,0)</f>
        <v>Aktif</v>
      </c>
      <c r="G362" t="str">
        <f>VLOOKUP(C362,'Master Anggota'!$E$2:$J$678,5,0)</f>
        <v>01601</v>
      </c>
      <c r="H362" s="56">
        <v>0</v>
      </c>
      <c r="I362" s="56">
        <v>0</v>
      </c>
      <c r="J362" s="56">
        <v>100000</v>
      </c>
      <c r="K362" s="56">
        <v>150000</v>
      </c>
      <c r="L362" t="s">
        <v>607</v>
      </c>
      <c r="M362" s="71">
        <v>46045</v>
      </c>
      <c r="N362" t="s">
        <v>576</v>
      </c>
    </row>
    <row r="363" spans="2:14" hidden="1" x14ac:dyDescent="0.2">
      <c r="B363">
        <v>362</v>
      </c>
      <c r="C363" t="s">
        <v>372</v>
      </c>
      <c r="D363" t="str">
        <f>VLOOKUP(C363,'Master Anggota'!$E$2:$J$678,2,0)</f>
        <v>Purna Bakti 2026</v>
      </c>
      <c r="G363" t="str">
        <f>VLOOKUP(C363,'Master Anggota'!$E$2:$J$678,5,0)</f>
        <v>01608</v>
      </c>
      <c r="H363" s="56">
        <v>0</v>
      </c>
      <c r="I363" s="56">
        <v>0</v>
      </c>
      <c r="J363" s="56">
        <v>100000</v>
      </c>
      <c r="K363" s="56">
        <v>150000</v>
      </c>
      <c r="L363" t="s">
        <v>607</v>
      </c>
      <c r="M363" s="71">
        <v>46045</v>
      </c>
      <c r="N363" t="s">
        <v>576</v>
      </c>
    </row>
    <row r="364" spans="2:14" hidden="1" x14ac:dyDescent="0.2">
      <c r="B364">
        <v>363</v>
      </c>
      <c r="C364" t="s">
        <v>444</v>
      </c>
      <c r="D364" t="str">
        <f>VLOOKUP(C364,'Master Anggota'!$E$2:$J$678,2,0)</f>
        <v>Aktif</v>
      </c>
      <c r="G364" t="str">
        <f>VLOOKUP(C364,'Master Anggota'!$E$2:$J$678,5,0)</f>
        <v>01711</v>
      </c>
      <c r="H364" s="56">
        <v>0</v>
      </c>
      <c r="I364" s="56">
        <v>0</v>
      </c>
      <c r="J364" s="56">
        <v>100000</v>
      </c>
      <c r="K364" s="56">
        <v>150000</v>
      </c>
      <c r="L364" t="s">
        <v>607</v>
      </c>
      <c r="M364" s="71">
        <v>46045</v>
      </c>
      <c r="N364" t="s">
        <v>576</v>
      </c>
    </row>
    <row r="365" spans="2:14" hidden="1" x14ac:dyDescent="0.2">
      <c r="B365">
        <v>364</v>
      </c>
      <c r="C365" t="s">
        <v>451</v>
      </c>
      <c r="D365" t="str">
        <f>VLOOKUP(C365,'Master Anggota'!$E$2:$J$678,2,0)</f>
        <v>Aktif</v>
      </c>
      <c r="G365" t="str">
        <f>VLOOKUP(C365,'Master Anggota'!$E$2:$J$678,5,0)</f>
        <v>01735</v>
      </c>
      <c r="H365" s="56">
        <v>0</v>
      </c>
      <c r="I365" s="56">
        <v>0</v>
      </c>
      <c r="J365" s="56">
        <v>100000</v>
      </c>
      <c r="K365" s="56">
        <v>150000</v>
      </c>
      <c r="L365" t="s">
        <v>607</v>
      </c>
      <c r="M365" s="71">
        <v>46045</v>
      </c>
      <c r="N365" t="s">
        <v>576</v>
      </c>
    </row>
    <row r="366" spans="2:14" hidden="1" x14ac:dyDescent="0.2">
      <c r="B366">
        <v>365</v>
      </c>
      <c r="C366" t="s">
        <v>448</v>
      </c>
      <c r="D366" t="str">
        <f>VLOOKUP(C366,'Master Anggota'!$E$2:$J$678,2,0)</f>
        <v>Aktif</v>
      </c>
      <c r="G366" t="str">
        <f>VLOOKUP(C366,'Master Anggota'!$E$2:$J$678,5,0)</f>
        <v>01737</v>
      </c>
      <c r="H366" s="56">
        <v>0</v>
      </c>
      <c r="I366" s="56">
        <v>0</v>
      </c>
      <c r="J366" s="56">
        <v>100000</v>
      </c>
      <c r="K366" s="56">
        <v>150000</v>
      </c>
      <c r="L366" t="s">
        <v>607</v>
      </c>
      <c r="M366" s="71">
        <v>46045</v>
      </c>
      <c r="N366" t="s">
        <v>576</v>
      </c>
    </row>
    <row r="367" spans="2:14" hidden="1" x14ac:dyDescent="0.2">
      <c r="B367">
        <v>366</v>
      </c>
      <c r="C367" t="s">
        <v>449</v>
      </c>
      <c r="D367" t="str">
        <f>VLOOKUP(C367,'Master Anggota'!$E$2:$J$678,2,0)</f>
        <v>Aktif</v>
      </c>
      <c r="G367" t="str">
        <f>VLOOKUP(C367,'Master Anggota'!$E$2:$J$678,5,0)</f>
        <v>01739</v>
      </c>
      <c r="H367" s="56">
        <v>0</v>
      </c>
      <c r="I367" s="56">
        <v>0</v>
      </c>
      <c r="J367" s="56">
        <v>100000</v>
      </c>
      <c r="K367" s="56">
        <v>150000</v>
      </c>
      <c r="L367" t="s">
        <v>607</v>
      </c>
      <c r="M367" s="71">
        <v>46045</v>
      </c>
      <c r="N367" t="s">
        <v>576</v>
      </c>
    </row>
    <row r="368" spans="2:14" hidden="1" x14ac:dyDescent="0.2">
      <c r="B368">
        <v>367</v>
      </c>
      <c r="C368" t="s">
        <v>319</v>
      </c>
      <c r="D368" t="str">
        <f>VLOOKUP(C368,'Master Anggota'!$E$2:$J$678,2,0)</f>
        <v>Aktif</v>
      </c>
      <c r="G368" t="str">
        <f>VLOOKUP(C368,'Master Anggota'!$E$2:$J$678,5,0)</f>
        <v>01302</v>
      </c>
      <c r="H368" s="56">
        <v>0</v>
      </c>
      <c r="I368" s="56">
        <v>0</v>
      </c>
      <c r="J368" s="56">
        <v>100000</v>
      </c>
      <c r="K368" s="56">
        <v>175000</v>
      </c>
      <c r="L368" t="s">
        <v>607</v>
      </c>
      <c r="M368" s="71">
        <v>46045</v>
      </c>
      <c r="N368" t="s">
        <v>576</v>
      </c>
    </row>
    <row r="369" spans="2:14" hidden="1" x14ac:dyDescent="0.2">
      <c r="B369">
        <v>368</v>
      </c>
      <c r="C369" t="s">
        <v>560</v>
      </c>
      <c r="D369" t="str">
        <f>VLOOKUP(C369,'Master Anggota'!$E$2:$J$678,2,0)</f>
        <v>Aktif</v>
      </c>
      <c r="G369" t="str">
        <f>VLOOKUP(C369,'Master Anggota'!$E$2:$J$678,5,0)</f>
        <v>01603</v>
      </c>
      <c r="H369" s="56">
        <v>0</v>
      </c>
      <c r="I369" s="56">
        <v>0</v>
      </c>
      <c r="J369" s="56">
        <v>100000</v>
      </c>
      <c r="K369" s="56">
        <v>200000</v>
      </c>
      <c r="L369" t="s">
        <v>607</v>
      </c>
      <c r="M369" s="71">
        <v>46045</v>
      </c>
      <c r="N369" t="s">
        <v>576</v>
      </c>
    </row>
    <row r="370" spans="2:14" hidden="1" x14ac:dyDescent="0.2">
      <c r="B370">
        <v>369</v>
      </c>
      <c r="C370" t="s">
        <v>497</v>
      </c>
      <c r="D370" t="str">
        <f>VLOOKUP(C370,'Master Anggota'!$E$2:$J$678,2,0)</f>
        <v>Aktif</v>
      </c>
      <c r="G370" t="str">
        <f>VLOOKUP(C370,'Master Anggota'!$E$2:$J$678,5,0)</f>
        <v>01719</v>
      </c>
      <c r="H370" s="56">
        <v>0</v>
      </c>
      <c r="I370" s="56">
        <v>0</v>
      </c>
      <c r="J370" s="56">
        <v>100000</v>
      </c>
      <c r="K370" s="56">
        <v>200000</v>
      </c>
      <c r="L370" t="s">
        <v>607</v>
      </c>
      <c r="M370" s="71">
        <v>46045</v>
      </c>
      <c r="N370" t="s">
        <v>576</v>
      </c>
    </row>
    <row r="371" spans="2:14" hidden="1" x14ac:dyDescent="0.2">
      <c r="B371">
        <v>370</v>
      </c>
      <c r="C371" t="s">
        <v>498</v>
      </c>
      <c r="D371" t="str">
        <f>VLOOKUP(C371,'Master Anggota'!$E$2:$J$678,2,0)</f>
        <v>Aktif</v>
      </c>
      <c r="G371" t="str">
        <f>VLOOKUP(C371,'Master Anggota'!$E$2:$J$678,5,0)</f>
        <v>01721</v>
      </c>
      <c r="H371" s="56">
        <v>0</v>
      </c>
      <c r="I371" s="56">
        <v>0</v>
      </c>
      <c r="J371" s="56">
        <v>100000</v>
      </c>
      <c r="K371" s="56">
        <v>200000</v>
      </c>
      <c r="L371" t="s">
        <v>607</v>
      </c>
      <c r="M371" s="71">
        <v>46045</v>
      </c>
      <c r="N371" t="s">
        <v>576</v>
      </c>
    </row>
    <row r="372" spans="2:14" hidden="1" x14ac:dyDescent="0.2">
      <c r="B372">
        <v>371</v>
      </c>
      <c r="C372" t="s">
        <v>499</v>
      </c>
      <c r="D372" t="str">
        <f>VLOOKUP(C372,'Master Anggota'!$E$2:$J$678,2,0)</f>
        <v>Aktif</v>
      </c>
      <c r="G372" t="str">
        <f>VLOOKUP(C372,'Master Anggota'!$E$2:$J$678,5,0)</f>
        <v>01775</v>
      </c>
      <c r="H372" s="56">
        <v>0</v>
      </c>
      <c r="I372" s="56">
        <v>0</v>
      </c>
      <c r="J372" s="56">
        <v>100000</v>
      </c>
      <c r="K372" s="56">
        <v>200000</v>
      </c>
      <c r="L372" t="s">
        <v>607</v>
      </c>
      <c r="M372" s="71">
        <v>46045</v>
      </c>
      <c r="N372" t="s">
        <v>576</v>
      </c>
    </row>
    <row r="373" spans="2:14" hidden="1" x14ac:dyDescent="0.2">
      <c r="B373">
        <v>372</v>
      </c>
      <c r="C373" t="s">
        <v>500</v>
      </c>
      <c r="D373" t="str">
        <f>VLOOKUP(C373,'Master Anggota'!$E$2:$J$678,2,0)</f>
        <v>Aktif</v>
      </c>
      <c r="G373" t="str">
        <f>VLOOKUP(C373,'Master Anggota'!$E$2:$J$678,5,0)</f>
        <v>01776</v>
      </c>
      <c r="H373" s="56">
        <v>0</v>
      </c>
      <c r="I373" s="56">
        <v>0</v>
      </c>
      <c r="J373" s="56">
        <v>100000</v>
      </c>
      <c r="K373" s="56">
        <v>200000</v>
      </c>
      <c r="L373" t="s">
        <v>607</v>
      </c>
      <c r="M373" s="71">
        <v>46045</v>
      </c>
      <c r="N373" t="s">
        <v>576</v>
      </c>
    </row>
    <row r="374" spans="2:14" hidden="1" x14ac:dyDescent="0.2">
      <c r="B374">
        <v>373</v>
      </c>
      <c r="C374" t="s">
        <v>501</v>
      </c>
      <c r="D374" t="str">
        <f>VLOOKUP(C374,'Master Anggota'!$E$2:$J$678,2,0)</f>
        <v>Purna Bakti 2026</v>
      </c>
      <c r="G374" t="str">
        <f>VLOOKUP(C374,'Master Anggota'!$E$2:$J$678,5,0)</f>
        <v>01777</v>
      </c>
      <c r="H374" s="56">
        <v>0</v>
      </c>
      <c r="I374" s="56">
        <v>0</v>
      </c>
      <c r="J374" s="56">
        <v>100000</v>
      </c>
      <c r="K374" s="56">
        <v>200000</v>
      </c>
      <c r="L374" t="s">
        <v>607</v>
      </c>
      <c r="M374" s="71">
        <v>46045</v>
      </c>
      <c r="N374" t="s">
        <v>576</v>
      </c>
    </row>
    <row r="375" spans="2:14" hidden="1" x14ac:dyDescent="0.2">
      <c r="B375">
        <v>374</v>
      </c>
      <c r="C375" t="s">
        <v>421</v>
      </c>
      <c r="D375" t="str">
        <f>VLOOKUP(C375,'Master Anggota'!$E$2:$J$678,2,0)</f>
        <v>Aktif</v>
      </c>
      <c r="G375" t="str">
        <f>VLOOKUP(C375,'Master Anggota'!$E$2:$J$678,5,0)</f>
        <v>01560</v>
      </c>
      <c r="H375" s="56">
        <v>0</v>
      </c>
      <c r="I375" s="56">
        <v>0</v>
      </c>
      <c r="J375" s="56">
        <v>100000</v>
      </c>
      <c r="K375" s="56">
        <v>250000</v>
      </c>
      <c r="L375" t="s">
        <v>607</v>
      </c>
      <c r="M375" s="71">
        <v>46045</v>
      </c>
      <c r="N375" t="s">
        <v>576</v>
      </c>
    </row>
    <row r="376" spans="2:14" hidden="1" x14ac:dyDescent="0.2">
      <c r="B376">
        <v>375</v>
      </c>
      <c r="C376" t="s">
        <v>439</v>
      </c>
      <c r="D376" t="str">
        <f>VLOOKUP(C376,'Master Anggota'!$E$2:$J$678,2,0)</f>
        <v>Aktif</v>
      </c>
      <c r="G376" t="str">
        <f>VLOOKUP(C376,'Master Anggota'!$E$2:$J$678,5,0)</f>
        <v>01730</v>
      </c>
      <c r="H376" s="56">
        <v>0</v>
      </c>
      <c r="I376" s="56">
        <v>0</v>
      </c>
      <c r="J376" s="56">
        <v>100000</v>
      </c>
      <c r="K376" s="56">
        <v>300000</v>
      </c>
      <c r="L376" t="s">
        <v>607</v>
      </c>
      <c r="M376" s="71">
        <v>46045</v>
      </c>
      <c r="N376" t="s">
        <v>576</v>
      </c>
    </row>
    <row r="377" spans="2:14" hidden="1" x14ac:dyDescent="0.2">
      <c r="B377">
        <v>376</v>
      </c>
      <c r="C377" t="s">
        <v>317</v>
      </c>
      <c r="D377" t="str">
        <f>VLOOKUP(C377,'Master Anggota'!$E$2:$J$678,2,0)</f>
        <v>Aktif</v>
      </c>
      <c r="G377" t="str">
        <f>VLOOKUP(C377,'Master Anggota'!$E$2:$J$678,5,0)</f>
        <v>01573</v>
      </c>
      <c r="H377" s="56">
        <v>0</v>
      </c>
      <c r="I377" s="56">
        <v>0</v>
      </c>
      <c r="J377" s="56">
        <v>100000</v>
      </c>
      <c r="K377" s="56">
        <v>400000</v>
      </c>
      <c r="L377" t="s">
        <v>607</v>
      </c>
      <c r="M377" s="71">
        <v>46045</v>
      </c>
      <c r="N377" t="s">
        <v>576</v>
      </c>
    </row>
    <row r="378" spans="2:14" hidden="1" x14ac:dyDescent="0.2">
      <c r="B378">
        <v>377</v>
      </c>
      <c r="C378" t="s">
        <v>316</v>
      </c>
      <c r="D378" t="str">
        <f>VLOOKUP(C378,'Master Anggota'!$E$2:$J$678,2,0)</f>
        <v>Aktif</v>
      </c>
      <c r="G378" t="str">
        <f>VLOOKUP(C378,'Master Anggota'!$E$2:$J$678,5,0)</f>
        <v>01544</v>
      </c>
      <c r="H378" s="56">
        <v>0</v>
      </c>
      <c r="I378" s="56">
        <v>0</v>
      </c>
      <c r="J378" s="56">
        <v>150000</v>
      </c>
      <c r="K378" s="56">
        <v>400000</v>
      </c>
      <c r="L378" t="s">
        <v>607</v>
      </c>
      <c r="M378" s="71">
        <v>46045</v>
      </c>
      <c r="N378" t="s">
        <v>576</v>
      </c>
    </row>
    <row r="379" spans="2:14" hidden="1" x14ac:dyDescent="0.2">
      <c r="B379">
        <v>378</v>
      </c>
      <c r="C379" t="s">
        <v>287</v>
      </c>
      <c r="D379" t="str">
        <f>VLOOKUP(C379,'Master Anggota'!$E$2:$J$678,2,0)</f>
        <v>PHL</v>
      </c>
      <c r="G379" t="str">
        <f>VLOOKUP(C379,'Master Anggota'!$E$2:$J$678,5,0)</f>
        <v>01510</v>
      </c>
      <c r="H379" s="56">
        <v>0</v>
      </c>
      <c r="I379" s="56">
        <v>0</v>
      </c>
      <c r="J379" s="56">
        <v>0</v>
      </c>
      <c r="K379" s="56">
        <v>0</v>
      </c>
      <c r="L379" t="s">
        <v>607</v>
      </c>
      <c r="M379" s="71">
        <v>46045</v>
      </c>
      <c r="N379" t="s">
        <v>576</v>
      </c>
    </row>
    <row r="380" spans="2:14" hidden="1" x14ac:dyDescent="0.2">
      <c r="B380">
        <v>379</v>
      </c>
      <c r="C380" t="s">
        <v>294</v>
      </c>
      <c r="D380" t="str">
        <f>VLOOKUP(C380,'Master Anggota'!$E$2:$J$678,2,0)</f>
        <v>Purna Bakti 2026</v>
      </c>
      <c r="G380" t="str">
        <f>VLOOKUP(C380,'Master Anggota'!$E$2:$J$678,5,0)</f>
        <v>PHL</v>
      </c>
      <c r="H380" s="56">
        <v>0</v>
      </c>
      <c r="I380" s="56">
        <v>0</v>
      </c>
      <c r="J380" s="56">
        <v>0</v>
      </c>
      <c r="K380" s="56">
        <v>0</v>
      </c>
      <c r="L380" t="s">
        <v>607</v>
      </c>
      <c r="M380" s="71">
        <v>46045</v>
      </c>
      <c r="N380" t="s">
        <v>576</v>
      </c>
    </row>
    <row r="381" spans="2:14" hidden="1" x14ac:dyDescent="0.2">
      <c r="B381">
        <v>380</v>
      </c>
      <c r="C381" t="s">
        <v>295</v>
      </c>
      <c r="D381" t="str">
        <f>VLOOKUP(C381,'Master Anggota'!$E$2:$J$678,2,0)</f>
        <v>PHL</v>
      </c>
      <c r="G381" t="str">
        <f>VLOOKUP(C381,'Master Anggota'!$E$2:$J$678,5,0)</f>
        <v>PHL</v>
      </c>
      <c r="H381" s="56">
        <v>0</v>
      </c>
      <c r="I381" s="56">
        <v>0</v>
      </c>
      <c r="J381" s="56">
        <v>0</v>
      </c>
      <c r="K381" s="56">
        <v>0</v>
      </c>
      <c r="L381" t="s">
        <v>607</v>
      </c>
      <c r="M381" s="71">
        <v>46045</v>
      </c>
      <c r="N381" t="s">
        <v>576</v>
      </c>
    </row>
    <row r="382" spans="2:14" hidden="1" x14ac:dyDescent="0.2">
      <c r="B382">
        <v>381</v>
      </c>
      <c r="C382" t="s">
        <v>278</v>
      </c>
      <c r="D382" t="str">
        <f>VLOOKUP(C382,'Master Anggota'!$E$2:$J$678,2,0)</f>
        <v>Aktif</v>
      </c>
      <c r="G382" t="str">
        <f>VLOOKUP(C382,'Master Anggota'!$E$2:$J$678,5,0)</f>
        <v>PHL</v>
      </c>
      <c r="H382" s="56">
        <v>0</v>
      </c>
      <c r="I382" s="56">
        <v>0</v>
      </c>
      <c r="J382" s="56">
        <v>0</v>
      </c>
      <c r="K382" s="56">
        <v>0</v>
      </c>
      <c r="L382" t="s">
        <v>607</v>
      </c>
      <c r="M382" s="71">
        <v>46045</v>
      </c>
      <c r="N382" t="s">
        <v>576</v>
      </c>
    </row>
    <row r="383" spans="2:14" hidden="1" x14ac:dyDescent="0.2">
      <c r="B383">
        <v>382</v>
      </c>
      <c r="C383" t="s">
        <v>527</v>
      </c>
      <c r="D383" t="str">
        <f>VLOOKUP(C383,'Master Anggota'!$E$2:$J$678,2,0)</f>
        <v>Aktif</v>
      </c>
      <c r="G383" t="str">
        <f>VLOOKUP(C383,'Master Anggota'!$E$2:$J$678,5,0)</f>
        <v>PHL</v>
      </c>
      <c r="H383" s="56">
        <v>0</v>
      </c>
      <c r="I383" s="56">
        <v>0</v>
      </c>
      <c r="J383" s="56">
        <v>0</v>
      </c>
      <c r="K383" s="56">
        <v>0</v>
      </c>
      <c r="L383" t="s">
        <v>607</v>
      </c>
      <c r="M383" s="71">
        <v>46045</v>
      </c>
      <c r="N383" t="s">
        <v>576</v>
      </c>
    </row>
    <row r="384" spans="2:14" hidden="1" x14ac:dyDescent="0.2">
      <c r="B384">
        <v>383</v>
      </c>
      <c r="C384" t="s">
        <v>526</v>
      </c>
      <c r="D384" t="str">
        <f>VLOOKUP(C384,'Master Anggota'!$E$2:$J$678,2,0)</f>
        <v>Aktif</v>
      </c>
      <c r="G384" t="str">
        <f>VLOOKUP(C384,'Master Anggota'!$E$2:$J$678,5,0)</f>
        <v>PHL</v>
      </c>
      <c r="H384" s="56">
        <v>0</v>
      </c>
      <c r="I384" s="56">
        <v>0</v>
      </c>
      <c r="J384" s="56">
        <v>0</v>
      </c>
      <c r="K384" s="56">
        <v>0</v>
      </c>
      <c r="L384" t="s">
        <v>607</v>
      </c>
      <c r="M384" s="71">
        <v>46045</v>
      </c>
      <c r="N384" t="s">
        <v>576</v>
      </c>
    </row>
    <row r="385" spans="2:14" hidden="1" x14ac:dyDescent="0.2">
      <c r="B385">
        <v>384</v>
      </c>
      <c r="C385" t="s">
        <v>483</v>
      </c>
      <c r="D385" t="str">
        <f>VLOOKUP(C385,'Master Anggota'!$E$2:$J$678,2,0)</f>
        <v>Aktif</v>
      </c>
      <c r="G385" t="str">
        <f>VLOOKUP(C385,'Master Anggota'!$E$2:$J$678,5,0)</f>
        <v>00368</v>
      </c>
      <c r="H385" s="82">
        <v>0</v>
      </c>
      <c r="I385" s="82">
        <v>0</v>
      </c>
      <c r="J385" s="82">
        <v>0</v>
      </c>
      <c r="K385" s="82">
        <v>-2200000</v>
      </c>
      <c r="L385" t="s">
        <v>607</v>
      </c>
      <c r="M385" s="71">
        <v>46055</v>
      </c>
      <c r="N385" t="s">
        <v>611</v>
      </c>
    </row>
    <row r="386" spans="2:14" hidden="1" x14ac:dyDescent="0.2">
      <c r="B386">
        <v>385</v>
      </c>
      <c r="C386" t="s">
        <v>71</v>
      </c>
      <c r="D386" t="str">
        <f>VLOOKUP(C386,'Master Anggota'!$E$2:$J$678,2,0)</f>
        <v>Aktif</v>
      </c>
      <c r="G386" t="str">
        <f>VLOOKUP(C386,'Master Anggota'!$E$2:$J$678,5,0)</f>
        <v>00517</v>
      </c>
      <c r="H386" s="82">
        <v>0</v>
      </c>
      <c r="I386" s="82">
        <v>0</v>
      </c>
      <c r="J386" s="82">
        <v>0</v>
      </c>
      <c r="K386" s="82">
        <v>-1600000</v>
      </c>
      <c r="L386" t="s">
        <v>607</v>
      </c>
      <c r="M386" s="71">
        <v>46055</v>
      </c>
      <c r="N386" t="s">
        <v>611</v>
      </c>
    </row>
    <row r="387" spans="2:14" hidden="1" x14ac:dyDescent="0.2">
      <c r="B387">
        <v>386</v>
      </c>
      <c r="C387" t="s">
        <v>314</v>
      </c>
      <c r="D387" t="str">
        <f>VLOOKUP(C387,'Master Anggota'!$E$2:$J$678,2,0)</f>
        <v>Purna Bakti 2026</v>
      </c>
      <c r="G387" t="str">
        <f>VLOOKUP(C387,'Master Anggota'!$E$2:$J$678,5,0)</f>
        <v>00587</v>
      </c>
      <c r="H387" s="82">
        <v>0</v>
      </c>
      <c r="I387" s="82">
        <v>0</v>
      </c>
      <c r="J387" s="82">
        <v>0</v>
      </c>
      <c r="K387" s="82">
        <v>-3000000</v>
      </c>
      <c r="L387" t="s">
        <v>607</v>
      </c>
      <c r="M387" s="71">
        <v>46055</v>
      </c>
      <c r="N387" t="s">
        <v>611</v>
      </c>
    </row>
    <row r="388" spans="2:14" hidden="1" x14ac:dyDescent="0.2">
      <c r="B388">
        <v>387</v>
      </c>
      <c r="C388" t="s">
        <v>530</v>
      </c>
      <c r="D388" t="str">
        <f>VLOOKUP(C388,'Master Anggota'!$E$2:$J$678,2,0)</f>
        <v>Purna Bakti 2026</v>
      </c>
      <c r="G388" t="str">
        <f>VLOOKUP(C388,'Master Anggota'!$E$2:$J$678,5,0)</f>
        <v>Nasabah</v>
      </c>
      <c r="H388" s="56">
        <v>0</v>
      </c>
      <c r="I388" s="56">
        <v>0</v>
      </c>
      <c r="J388" s="75">
        <v>100000</v>
      </c>
      <c r="K388" s="75">
        <v>100000</v>
      </c>
      <c r="L388" t="s">
        <v>607</v>
      </c>
      <c r="M388" s="76">
        <v>46035</v>
      </c>
      <c r="N388" t="s">
        <v>576</v>
      </c>
    </row>
    <row r="389" spans="2:14" hidden="1" x14ac:dyDescent="0.2">
      <c r="B389">
        <v>388</v>
      </c>
      <c r="C389" t="s">
        <v>532</v>
      </c>
      <c r="D389" t="str">
        <f>VLOOKUP(C389,'Master Anggota'!$E$2:$J$678,2,0)</f>
        <v>Aktif</v>
      </c>
      <c r="G389" t="str">
        <f>VLOOKUP(C389,'Master Anggota'!$E$2:$J$678,5,0)</f>
        <v>Nasabah</v>
      </c>
      <c r="H389" s="56">
        <v>0</v>
      </c>
      <c r="I389" s="56">
        <v>0</v>
      </c>
      <c r="J389" s="56">
        <v>100000</v>
      </c>
      <c r="K389" s="56">
        <v>100000</v>
      </c>
      <c r="L389" t="s">
        <v>607</v>
      </c>
      <c r="M389" s="71">
        <v>46035</v>
      </c>
      <c r="N389" t="s">
        <v>576</v>
      </c>
    </row>
    <row r="390" spans="2:14" hidden="1" x14ac:dyDescent="0.2">
      <c r="B390">
        <v>389</v>
      </c>
      <c r="C390" t="s">
        <v>533</v>
      </c>
      <c r="D390" t="str">
        <f>VLOOKUP(C390,'Master Anggota'!$E$2:$J$678,2,0)</f>
        <v>Aktif</v>
      </c>
      <c r="G390" t="str">
        <f>VLOOKUP(C390,'Master Anggota'!$E$2:$J$678,5,0)</f>
        <v>Nasabah</v>
      </c>
      <c r="H390" s="56">
        <v>0</v>
      </c>
      <c r="I390" s="56">
        <v>0</v>
      </c>
      <c r="J390" s="75">
        <v>100000</v>
      </c>
      <c r="K390" s="75">
        <v>400000</v>
      </c>
      <c r="L390" s="78" t="s">
        <v>579</v>
      </c>
      <c r="M390" s="76">
        <v>46035</v>
      </c>
      <c r="N390" t="s">
        <v>576</v>
      </c>
    </row>
    <row r="391" spans="2:14" hidden="1" x14ac:dyDescent="0.2">
      <c r="B391">
        <v>390</v>
      </c>
      <c r="C391" t="s">
        <v>180</v>
      </c>
      <c r="D391" t="str">
        <f>VLOOKUP(C391,'Master Anggota'!$E$2:$J$678,2,0)</f>
        <v>Purna Bakti 2026</v>
      </c>
      <c r="G391" t="str">
        <f>VLOOKUP(C391,'Master Anggota'!$E$2:$J$678,5,0)</f>
        <v>00581</v>
      </c>
      <c r="H391" s="82">
        <v>0</v>
      </c>
      <c r="I391" s="82">
        <v>0</v>
      </c>
      <c r="J391" s="82">
        <v>0</v>
      </c>
      <c r="K391" s="82">
        <v>-3000000</v>
      </c>
      <c r="L391" t="s">
        <v>607</v>
      </c>
      <c r="M391" s="71">
        <v>46066</v>
      </c>
      <c r="N391" t="s">
        <v>611</v>
      </c>
    </row>
    <row r="392" spans="2:14" hidden="1" x14ac:dyDescent="0.2">
      <c r="B392">
        <v>391</v>
      </c>
      <c r="C392" t="s">
        <v>62</v>
      </c>
      <c r="D392" t="str">
        <f>VLOOKUP(C392,'Master Anggota'!$E$2:$J$678,2,0)</f>
        <v>Aktif</v>
      </c>
      <c r="G392" t="str">
        <f>VLOOKUP(C392,'Master Anggota'!$E$2:$J$678,5,0)</f>
        <v>00518</v>
      </c>
      <c r="H392" s="82">
        <v>0</v>
      </c>
      <c r="I392" s="82">
        <v>0</v>
      </c>
      <c r="J392" s="82">
        <v>0</v>
      </c>
      <c r="K392" s="82">
        <v>-1500000</v>
      </c>
      <c r="L392" t="s">
        <v>607</v>
      </c>
      <c r="M392" s="71">
        <v>46066</v>
      </c>
      <c r="N392" t="s">
        <v>611</v>
      </c>
    </row>
    <row r="393" spans="2:14" hidden="1" x14ac:dyDescent="0.2">
      <c r="B393">
        <v>392</v>
      </c>
      <c r="C393" t="s">
        <v>277</v>
      </c>
      <c r="D393" t="str">
        <f>VLOOKUP(C393,'Master Anggota'!$E$2:$J$678,2,0)</f>
        <v>Aktif</v>
      </c>
      <c r="G393" t="str">
        <f>VLOOKUP(C393,'Master Anggota'!$E$2:$J$678,5,0)</f>
        <v>00564</v>
      </c>
      <c r="H393" s="56">
        <v>0</v>
      </c>
      <c r="I393" s="56">
        <v>0</v>
      </c>
      <c r="J393" s="56">
        <v>0</v>
      </c>
      <c r="K393" s="56">
        <v>-1500000</v>
      </c>
      <c r="L393" t="s">
        <v>584</v>
      </c>
      <c r="M393" s="71">
        <v>46021</v>
      </c>
      <c r="N393" t="s">
        <v>611</v>
      </c>
    </row>
    <row r="394" spans="2:14" hidden="1" x14ac:dyDescent="0.2">
      <c r="C394" t="s">
        <v>534</v>
      </c>
      <c r="D394" t="str">
        <f>VLOOKUP(C394,'Master Anggota'!$E$2:$J$678,2,0)</f>
        <v>Aktif</v>
      </c>
      <c r="G394" t="str">
        <f>VLOOKUP(C394,'Master Anggota'!$E$2:$J$678,5,0)</f>
        <v>Koka</v>
      </c>
      <c r="H394" s="56">
        <v>0</v>
      </c>
      <c r="I394" s="56">
        <v>0</v>
      </c>
      <c r="J394" s="56">
        <v>100000</v>
      </c>
      <c r="K394" s="56">
        <v>100000</v>
      </c>
      <c r="L394" t="s">
        <v>584</v>
      </c>
      <c r="M394" t="s">
        <v>585</v>
      </c>
      <c r="N394" t="s">
        <v>731</v>
      </c>
    </row>
    <row r="395" spans="2:14" hidden="1" x14ac:dyDescent="0.2">
      <c r="B395">
        <v>393</v>
      </c>
      <c r="C395" t="s">
        <v>534</v>
      </c>
      <c r="D395" t="str">
        <f>VLOOKUP(C395,'Master Anggota'!$E$2:$J$678,2,0)</f>
        <v>Aktif</v>
      </c>
      <c r="G395" t="str">
        <f>VLOOKUP(C395,'Master Anggota'!$E$2:$J$678,5,0)</f>
        <v>Koka</v>
      </c>
      <c r="H395" s="56">
        <v>0</v>
      </c>
      <c r="I395" s="56">
        <v>0</v>
      </c>
      <c r="J395" s="56">
        <v>100000</v>
      </c>
      <c r="K395" s="56">
        <v>100000</v>
      </c>
      <c r="L395" t="s">
        <v>607</v>
      </c>
      <c r="M395" s="71">
        <v>46052</v>
      </c>
      <c r="N395" t="s">
        <v>576</v>
      </c>
    </row>
    <row r="396" spans="2:14" hidden="1" x14ac:dyDescent="0.2">
      <c r="B396">
        <v>394</v>
      </c>
      <c r="C396" t="s">
        <v>159</v>
      </c>
      <c r="D396" t="str">
        <f>VLOOKUP(C396,'Master Anggota'!$E$2:$J$678,2,0)</f>
        <v>Purna Bakti 2026</v>
      </c>
      <c r="G396" t="str">
        <f>VLOOKUP(C396,'Master Anggota'!$E$2:$J$678,5,0)</f>
        <v>00571</v>
      </c>
      <c r="H396" s="56">
        <v>0</v>
      </c>
      <c r="I396" s="56">
        <v>0</v>
      </c>
      <c r="J396" s="56">
        <v>0</v>
      </c>
      <c r="K396" s="56">
        <v>-650000</v>
      </c>
      <c r="L396" t="s">
        <v>607</v>
      </c>
      <c r="M396" s="71">
        <v>46055</v>
      </c>
      <c r="N396" t="s">
        <v>611</v>
      </c>
    </row>
    <row r="397" spans="2:14" hidden="1" x14ac:dyDescent="0.2">
      <c r="B397">
        <v>395</v>
      </c>
      <c r="C397" t="s">
        <v>364</v>
      </c>
      <c r="D397" t="str">
        <f>VLOOKUP(C397,'Master Anggota'!$E$2:$J$678,2,0)</f>
        <v>Aktif</v>
      </c>
      <c r="G397" t="str">
        <f>VLOOKUP(C397,'Master Anggota'!$E$2:$J$678,5,0)</f>
        <v>00578</v>
      </c>
      <c r="H397" s="56">
        <v>0</v>
      </c>
      <c r="I397" s="56">
        <v>0</v>
      </c>
      <c r="J397" s="56">
        <v>0</v>
      </c>
      <c r="K397" s="56">
        <v>-3000000</v>
      </c>
      <c r="L397" t="s">
        <v>612</v>
      </c>
      <c r="M397" s="71">
        <v>46064</v>
      </c>
      <c r="N397" t="s">
        <v>611</v>
      </c>
    </row>
    <row r="398" spans="2:14" hidden="1" x14ac:dyDescent="0.2">
      <c r="B398">
        <v>396</v>
      </c>
      <c r="C398" t="s">
        <v>523</v>
      </c>
      <c r="D398" t="str">
        <f>VLOOKUP(C398,'Master Anggota'!$E$2:$J$678,2,0)</f>
        <v>Aktif</v>
      </c>
      <c r="G398" t="str">
        <f>VLOOKUP(C398,'Master Anggota'!$E$2:$J$678,5,0)</f>
        <v>00579</v>
      </c>
      <c r="H398" s="56">
        <v>0</v>
      </c>
      <c r="I398" s="56">
        <v>0</v>
      </c>
      <c r="J398" s="56">
        <v>0</v>
      </c>
      <c r="K398" s="56">
        <v>-2500000</v>
      </c>
      <c r="L398" t="s">
        <v>607</v>
      </c>
      <c r="M398" s="71">
        <v>46064</v>
      </c>
      <c r="N398" t="s">
        <v>611</v>
      </c>
    </row>
    <row r="399" spans="2:14" hidden="1" x14ac:dyDescent="0.2">
      <c r="B399">
        <v>397</v>
      </c>
      <c r="C399" t="s">
        <v>487</v>
      </c>
      <c r="D399" t="str">
        <f>VLOOKUP(C399,'Master Anggota'!$E$2:$J$678,2,0)</f>
        <v>Purna Bakti 2026</v>
      </c>
      <c r="G399" t="str">
        <f>VLOOKUP(C399,'Master Anggota'!$E$2:$J$678,5,0)</f>
        <v>00281</v>
      </c>
      <c r="H399" s="56">
        <v>0</v>
      </c>
      <c r="I399" s="56">
        <v>-2995908</v>
      </c>
      <c r="J399" s="56">
        <v>-11498737</v>
      </c>
      <c r="K399" s="56">
        <v>-5225000</v>
      </c>
      <c r="L399" t="s">
        <v>612</v>
      </c>
      <c r="M399" s="71">
        <v>46066</v>
      </c>
      <c r="N399" t="s">
        <v>613</v>
      </c>
    </row>
    <row r="400" spans="2:14" hidden="1" x14ac:dyDescent="0.2">
      <c r="B400">
        <v>398</v>
      </c>
      <c r="C400" t="s">
        <v>531</v>
      </c>
      <c r="D400" t="str">
        <f>VLOOKUP(C400,'Master Anggota'!$E$2:$J$678,2,0)</f>
        <v>Aktif</v>
      </c>
      <c r="G400" t="str">
        <f>VLOOKUP(C400,'Master Anggota'!$E$2:$J$678,5,0)</f>
        <v>PHL</v>
      </c>
      <c r="H400" s="56">
        <v>0</v>
      </c>
      <c r="I400" s="56">
        <v>0</v>
      </c>
      <c r="J400" s="56">
        <v>100000</v>
      </c>
      <c r="K400" s="56">
        <v>200000</v>
      </c>
      <c r="L400" t="s">
        <v>607</v>
      </c>
      <c r="M400" s="71">
        <v>46056</v>
      </c>
      <c r="N400" t="s">
        <v>576</v>
      </c>
    </row>
    <row r="401" spans="2:14" hidden="1" x14ac:dyDescent="0.2">
      <c r="B401">
        <v>399</v>
      </c>
      <c r="C401" t="s">
        <v>335</v>
      </c>
      <c r="D401" t="str">
        <f>VLOOKUP(C401,'Master Anggota'!$E$2:$J$678,2,0)</f>
        <v>Aktif</v>
      </c>
      <c r="G401" t="str">
        <f>VLOOKUP(C401,'Master Anggota'!$E$2:$J$678,5,0)</f>
        <v>00311</v>
      </c>
      <c r="H401" s="56">
        <v>0</v>
      </c>
      <c r="I401" s="56">
        <v>0</v>
      </c>
      <c r="J401" s="56">
        <v>0</v>
      </c>
      <c r="K401" s="56">
        <v>-2000000</v>
      </c>
      <c r="L401" t="s">
        <v>607</v>
      </c>
      <c r="M401" s="71">
        <v>46030</v>
      </c>
      <c r="N401" t="s">
        <v>611</v>
      </c>
    </row>
    <row r="402" spans="2:14" hidden="1" x14ac:dyDescent="0.2">
      <c r="B402">
        <v>400</v>
      </c>
      <c r="C402" t="s">
        <v>107</v>
      </c>
      <c r="D402" t="str">
        <f>VLOOKUP(C402,'Master Anggota'!$E$2:$J$678,2,0)</f>
        <v>Aktif</v>
      </c>
      <c r="G402" t="str">
        <f>VLOOKUP(C402,'Master Anggota'!$E$2:$J$678,5,0)</f>
        <v>00521</v>
      </c>
      <c r="H402" s="56">
        <v>0</v>
      </c>
      <c r="I402" s="56">
        <v>0</v>
      </c>
      <c r="J402" s="56">
        <v>0</v>
      </c>
      <c r="K402" s="56">
        <v>-3600000</v>
      </c>
      <c r="L402" t="s">
        <v>607</v>
      </c>
      <c r="M402" s="71">
        <v>46048</v>
      </c>
      <c r="N402" t="s">
        <v>611</v>
      </c>
    </row>
    <row r="403" spans="2:14" hidden="1" x14ac:dyDescent="0.2">
      <c r="B403">
        <v>401</v>
      </c>
      <c r="C403" t="s">
        <v>135</v>
      </c>
      <c r="D403" t="str">
        <f>VLOOKUP(C403,'Master Anggota'!$E$2:$J$678,2,0)</f>
        <v>Aktif</v>
      </c>
      <c r="G403" t="str">
        <f>VLOOKUP(C403,'Master Anggota'!$E$2:$J$678,5,0)</f>
        <v>00293</v>
      </c>
      <c r="H403" s="56">
        <v>0</v>
      </c>
      <c r="I403" s="56">
        <v>0</v>
      </c>
      <c r="J403" s="56">
        <v>0</v>
      </c>
      <c r="K403" s="56">
        <v>-1000000</v>
      </c>
      <c r="L403" t="s">
        <v>607</v>
      </c>
      <c r="M403" s="71">
        <v>46030</v>
      </c>
      <c r="N403" t="s">
        <v>611</v>
      </c>
    </row>
    <row r="404" spans="2:14" hidden="1" x14ac:dyDescent="0.2">
      <c r="B404">
        <v>402</v>
      </c>
      <c r="C404" t="s">
        <v>103</v>
      </c>
      <c r="D404" t="str">
        <f>VLOOKUP(C404,'Master Anggota'!$E$2:$J$678,2,0)</f>
        <v>Aktif</v>
      </c>
      <c r="G404" t="str">
        <f>VLOOKUP(C404,'Master Anggota'!$E$2:$J$678,5,0)</f>
        <v>00401</v>
      </c>
      <c r="H404" s="56">
        <v>0</v>
      </c>
      <c r="I404" s="56">
        <v>0</v>
      </c>
      <c r="J404" s="56">
        <v>0</v>
      </c>
      <c r="K404" s="56">
        <v>-6000000</v>
      </c>
      <c r="L404" t="s">
        <v>607</v>
      </c>
      <c r="M404" s="71">
        <v>46030</v>
      </c>
      <c r="N404" t="s">
        <v>611</v>
      </c>
    </row>
    <row r="405" spans="2:14" hidden="1" x14ac:dyDescent="0.2">
      <c r="B405">
        <v>403</v>
      </c>
      <c r="C405" t="s">
        <v>362</v>
      </c>
      <c r="D405" t="str">
        <f>VLOOKUP(C405,'Master Anggota'!$E$2:$J$678,2,0)</f>
        <v>Aktif</v>
      </c>
      <c r="G405" t="str">
        <f>VLOOKUP(C405,'Master Anggota'!$E$2:$J$678,5,0)</f>
        <v>00570</v>
      </c>
      <c r="H405" s="56">
        <v>0</v>
      </c>
      <c r="I405" s="56">
        <v>0</v>
      </c>
      <c r="J405" s="56">
        <v>0</v>
      </c>
      <c r="K405" s="56">
        <v>-3300000</v>
      </c>
      <c r="L405" t="s">
        <v>607</v>
      </c>
      <c r="M405" s="71">
        <v>46024</v>
      </c>
      <c r="N405" t="s">
        <v>576</v>
      </c>
    </row>
    <row r="406" spans="2:14" hidden="1" x14ac:dyDescent="0.2">
      <c r="B406">
        <v>404</v>
      </c>
      <c r="C406" t="s">
        <v>223</v>
      </c>
      <c r="D406" t="str">
        <f>VLOOKUP(C406,'Master Anggota'!$E$2:$J$678,2,0)</f>
        <v>Aktif</v>
      </c>
      <c r="G406" t="str">
        <f>VLOOKUP(C406,'Master Anggota'!$E$2:$J$678,5,0)</f>
        <v>00514</v>
      </c>
      <c r="H406" s="56">
        <v>0</v>
      </c>
      <c r="I406" s="56">
        <v>0</v>
      </c>
      <c r="J406" s="56">
        <v>0</v>
      </c>
      <c r="K406" s="56">
        <v>-2500000</v>
      </c>
      <c r="L406" t="s">
        <v>607</v>
      </c>
      <c r="M406" s="71">
        <v>46036</v>
      </c>
      <c r="N406" t="s">
        <v>611</v>
      </c>
    </row>
    <row r="407" spans="2:14" hidden="1" x14ac:dyDescent="0.2">
      <c r="B407">
        <v>405</v>
      </c>
      <c r="C407" t="s">
        <v>529</v>
      </c>
      <c r="D407" t="str">
        <f>VLOOKUP(C407,'Master Anggota'!$E$2:$J$678,2,0)</f>
        <v>Purna Bakti 2026</v>
      </c>
      <c r="G407" t="str">
        <f>VLOOKUP(C407,'Master Anggota'!$E$2:$J$678,5,0)</f>
        <v>Nasabah</v>
      </c>
      <c r="H407" s="56">
        <v>0</v>
      </c>
      <c r="I407" s="56">
        <v>0</v>
      </c>
      <c r="J407" s="56">
        <v>100000</v>
      </c>
      <c r="K407" s="56">
        <v>100000</v>
      </c>
      <c r="L407" t="s">
        <v>607</v>
      </c>
      <c r="M407" s="71">
        <v>46056</v>
      </c>
      <c r="N407" t="s">
        <v>576</v>
      </c>
    </row>
    <row r="408" spans="2:14" hidden="1" x14ac:dyDescent="0.2">
      <c r="B408">
        <v>406</v>
      </c>
      <c r="C408" t="s">
        <v>316</v>
      </c>
      <c r="D408" t="str">
        <f>VLOOKUP(C408,'Master Anggota'!$E$2:$J$678,2,0)</f>
        <v>Aktif</v>
      </c>
      <c r="G408" t="str">
        <f>VLOOKUP(C408,'Master Anggota'!$E$2:$J$678,5,0)</f>
        <v>01544</v>
      </c>
      <c r="H408" s="56">
        <v>0</v>
      </c>
      <c r="I408" s="56">
        <v>0</v>
      </c>
      <c r="J408" s="56">
        <v>0</v>
      </c>
      <c r="K408" s="56">
        <v>-300000</v>
      </c>
      <c r="L408" t="s">
        <v>612</v>
      </c>
      <c r="M408" s="71">
        <v>46078</v>
      </c>
      <c r="N408" t="s">
        <v>576</v>
      </c>
    </row>
    <row r="409" spans="2:14" hidden="1" x14ac:dyDescent="0.2">
      <c r="B409">
        <v>407</v>
      </c>
      <c r="C409" t="s">
        <v>486</v>
      </c>
      <c r="D409" t="str">
        <f>VLOOKUP(C409,'Master Anggota'!$E$2:$J$678,2,0)</f>
        <v>Aktif</v>
      </c>
      <c r="G409" t="str">
        <f>VLOOKUP(C409,'Master Anggota'!$E$2:$J$678,5,0)</f>
        <v>00281</v>
      </c>
      <c r="H409" s="56">
        <v>0</v>
      </c>
      <c r="I409" s="56">
        <v>0</v>
      </c>
      <c r="J409" s="56">
        <v>100000</v>
      </c>
      <c r="K409" s="56">
        <v>400000</v>
      </c>
      <c r="L409" t="s">
        <v>612</v>
      </c>
      <c r="M409" s="71">
        <v>46078</v>
      </c>
      <c r="N409" t="s">
        <v>576</v>
      </c>
    </row>
    <row r="410" spans="2:14" hidden="1" x14ac:dyDescent="0.2">
      <c r="B410">
        <v>408</v>
      </c>
      <c r="C410" t="s">
        <v>254</v>
      </c>
      <c r="D410" t="str">
        <f>VLOOKUP(C410,'Master Anggota'!$E$2:$J$678,2,0)</f>
        <v>Purna Bakti 2026</v>
      </c>
      <c r="G410" t="str">
        <f>VLOOKUP(C410,'Master Anggota'!$E$2:$J$678,5,0)</f>
        <v>00288</v>
      </c>
      <c r="H410" s="56">
        <v>0</v>
      </c>
      <c r="I410" s="56">
        <v>0</v>
      </c>
      <c r="J410" s="56">
        <v>100000</v>
      </c>
      <c r="K410" s="56">
        <v>100000</v>
      </c>
      <c r="L410" t="s">
        <v>612</v>
      </c>
      <c r="M410" s="71">
        <v>46078</v>
      </c>
      <c r="N410" t="s">
        <v>576</v>
      </c>
    </row>
    <row r="411" spans="2:14" hidden="1" x14ac:dyDescent="0.2">
      <c r="B411">
        <v>409</v>
      </c>
      <c r="C411" t="s">
        <v>135</v>
      </c>
      <c r="D411" t="str">
        <f>VLOOKUP(C411,'Master Anggota'!$E$2:$J$678,2,0)</f>
        <v>Aktif</v>
      </c>
      <c r="G411" t="str">
        <f>VLOOKUP(C411,'Master Anggota'!$E$2:$J$678,5,0)</f>
        <v>00293</v>
      </c>
      <c r="H411" s="56">
        <v>0</v>
      </c>
      <c r="I411" s="56">
        <v>0</v>
      </c>
      <c r="J411" s="56">
        <v>100000</v>
      </c>
      <c r="K411" s="56">
        <v>100000</v>
      </c>
      <c r="L411" t="s">
        <v>612</v>
      </c>
      <c r="M411" s="71">
        <v>46078</v>
      </c>
      <c r="N411" t="s">
        <v>576</v>
      </c>
    </row>
    <row r="412" spans="2:14" hidden="1" x14ac:dyDescent="0.2">
      <c r="B412">
        <v>410</v>
      </c>
      <c r="C412" t="s">
        <v>248</v>
      </c>
      <c r="D412" t="str">
        <f>VLOOKUP(C412,'Master Anggota'!$E$2:$J$678,2,0)</f>
        <v>Aktif</v>
      </c>
      <c r="G412" t="str">
        <f>VLOOKUP(C412,'Master Anggota'!$E$2:$J$678,5,0)</f>
        <v>00302</v>
      </c>
      <c r="H412" s="56">
        <v>0</v>
      </c>
      <c r="I412" s="56">
        <v>0</v>
      </c>
      <c r="J412" s="56">
        <v>100000</v>
      </c>
      <c r="K412" s="56">
        <v>10000</v>
      </c>
      <c r="L412" t="s">
        <v>612</v>
      </c>
      <c r="M412" s="71">
        <v>46078</v>
      </c>
      <c r="N412" t="s">
        <v>576</v>
      </c>
    </row>
    <row r="413" spans="2:14" hidden="1" x14ac:dyDescent="0.2">
      <c r="B413">
        <v>411</v>
      </c>
      <c r="C413" t="s">
        <v>335</v>
      </c>
      <c r="D413" t="str">
        <f>VLOOKUP(C413,'Master Anggota'!$E$2:$J$678,2,0)</f>
        <v>Aktif</v>
      </c>
      <c r="G413" t="str">
        <f>VLOOKUP(C413,'Master Anggota'!$E$2:$J$678,5,0)</f>
        <v>00311</v>
      </c>
      <c r="H413" s="56">
        <v>0</v>
      </c>
      <c r="I413" s="56">
        <v>0</v>
      </c>
      <c r="J413" s="56">
        <v>100000</v>
      </c>
      <c r="K413" s="56">
        <v>75000</v>
      </c>
      <c r="L413" t="s">
        <v>612</v>
      </c>
      <c r="M413" s="71">
        <v>46078</v>
      </c>
      <c r="N413" t="s">
        <v>576</v>
      </c>
    </row>
    <row r="414" spans="2:14" hidden="1" x14ac:dyDescent="0.2">
      <c r="B414">
        <v>412</v>
      </c>
      <c r="C414" t="s">
        <v>113</v>
      </c>
      <c r="D414" t="str">
        <f>VLOOKUP(C414,'Master Anggota'!$E$2:$J$678,2,0)</f>
        <v>Aktif</v>
      </c>
      <c r="G414" t="str">
        <f>VLOOKUP(C414,'Master Anggota'!$E$2:$J$678,5,0)</f>
        <v>00317</v>
      </c>
      <c r="H414" s="56">
        <v>0</v>
      </c>
      <c r="I414" s="56">
        <v>0</v>
      </c>
      <c r="J414" s="56">
        <v>100000</v>
      </c>
      <c r="K414" s="56">
        <v>15000</v>
      </c>
      <c r="L414" t="s">
        <v>612</v>
      </c>
      <c r="M414" s="71">
        <v>46078</v>
      </c>
      <c r="N414" t="s">
        <v>576</v>
      </c>
    </row>
    <row r="415" spans="2:14" hidden="1" x14ac:dyDescent="0.2">
      <c r="B415">
        <v>413</v>
      </c>
      <c r="C415" t="s">
        <v>83</v>
      </c>
      <c r="D415" t="str">
        <f>VLOOKUP(C415,'Master Anggota'!$E$2:$J$678,2,0)</f>
        <v>Aktif</v>
      </c>
      <c r="G415" t="str">
        <f>VLOOKUP(C415,'Master Anggota'!$E$2:$J$678,5,0)</f>
        <v>00322</v>
      </c>
      <c r="H415" s="56">
        <v>0</v>
      </c>
      <c r="I415" s="56">
        <v>0</v>
      </c>
      <c r="J415" s="56">
        <v>100000</v>
      </c>
      <c r="K415" s="56">
        <v>100000</v>
      </c>
      <c r="L415" t="s">
        <v>612</v>
      </c>
      <c r="M415" s="71">
        <v>46078</v>
      </c>
      <c r="N415" t="s">
        <v>576</v>
      </c>
    </row>
    <row r="416" spans="2:14" hidden="1" x14ac:dyDescent="0.2">
      <c r="B416">
        <v>414</v>
      </c>
      <c r="C416" t="s">
        <v>48</v>
      </c>
      <c r="D416" t="str">
        <f>VLOOKUP(C416,'Master Anggota'!$E$2:$J$678,2,0)</f>
        <v>Aktif</v>
      </c>
      <c r="G416" t="str">
        <f>VLOOKUP(C416,'Master Anggota'!$E$2:$J$678,5,0)</f>
        <v>00325</v>
      </c>
      <c r="H416" s="56">
        <v>0</v>
      </c>
      <c r="I416" s="56">
        <v>0</v>
      </c>
      <c r="J416" s="56">
        <v>100000</v>
      </c>
      <c r="K416" s="56">
        <v>75000</v>
      </c>
      <c r="L416" t="s">
        <v>612</v>
      </c>
      <c r="M416" s="71">
        <v>46078</v>
      </c>
      <c r="N416" t="s">
        <v>576</v>
      </c>
    </row>
    <row r="417" spans="2:14" hidden="1" x14ac:dyDescent="0.2">
      <c r="B417">
        <v>415</v>
      </c>
      <c r="C417" t="s">
        <v>198</v>
      </c>
      <c r="D417" t="str">
        <f>VLOOKUP(C417,'Master Anggota'!$E$2:$J$678,2,0)</f>
        <v>Aktif</v>
      </c>
      <c r="G417" t="str">
        <f>VLOOKUP(C417,'Master Anggota'!$E$2:$J$678,5,0)</f>
        <v>00327</v>
      </c>
      <c r="H417" s="56">
        <v>0</v>
      </c>
      <c r="I417" s="56">
        <v>0</v>
      </c>
      <c r="J417" s="56">
        <v>100000</v>
      </c>
      <c r="K417" s="56">
        <v>200000</v>
      </c>
      <c r="L417" t="s">
        <v>612</v>
      </c>
      <c r="M417" s="71">
        <v>46078</v>
      </c>
      <c r="N417" t="s">
        <v>576</v>
      </c>
    </row>
    <row r="418" spans="2:14" hidden="1" x14ac:dyDescent="0.2">
      <c r="B418">
        <v>416</v>
      </c>
      <c r="C418" t="s">
        <v>208</v>
      </c>
      <c r="D418" t="str">
        <f>VLOOKUP(C418,'Master Anggota'!$E$2:$J$678,2,0)</f>
        <v>Aktif</v>
      </c>
      <c r="G418" t="str">
        <f>VLOOKUP(C418,'Master Anggota'!$E$2:$J$678,5,0)</f>
        <v>00328</v>
      </c>
      <c r="H418" s="56">
        <v>0</v>
      </c>
      <c r="I418" s="56">
        <v>0</v>
      </c>
      <c r="J418" s="56">
        <v>100000</v>
      </c>
      <c r="K418" s="56">
        <v>250000</v>
      </c>
      <c r="L418" t="s">
        <v>612</v>
      </c>
      <c r="M418" s="71">
        <v>46078</v>
      </c>
      <c r="N418" t="s">
        <v>576</v>
      </c>
    </row>
    <row r="419" spans="2:14" hidden="1" x14ac:dyDescent="0.2">
      <c r="B419">
        <v>417</v>
      </c>
      <c r="C419" t="s">
        <v>348</v>
      </c>
      <c r="D419" t="str">
        <f>VLOOKUP(C419,'Master Anggota'!$E$2:$J$678,2,0)</f>
        <v>Aktif</v>
      </c>
      <c r="G419" t="str">
        <f>VLOOKUP(C419,'Master Anggota'!$E$2:$J$678,5,0)</f>
        <v>00334</v>
      </c>
      <c r="H419" s="56">
        <v>0</v>
      </c>
      <c r="I419" s="56">
        <v>0</v>
      </c>
      <c r="J419" s="56">
        <v>100000</v>
      </c>
      <c r="K419" s="56">
        <v>10000</v>
      </c>
      <c r="L419" t="s">
        <v>612</v>
      </c>
      <c r="M419" s="71">
        <v>46078</v>
      </c>
      <c r="N419" t="s">
        <v>576</v>
      </c>
    </row>
    <row r="420" spans="2:14" hidden="1" x14ac:dyDescent="0.2">
      <c r="B420">
        <v>418</v>
      </c>
      <c r="C420" t="s">
        <v>250</v>
      </c>
      <c r="D420" t="str">
        <f>VLOOKUP(C420,'Master Anggota'!$E$2:$J$678,2,0)</f>
        <v>Aktif</v>
      </c>
      <c r="G420" t="str">
        <f>VLOOKUP(C420,'Master Anggota'!$E$2:$J$678,5,0)</f>
        <v>00337</v>
      </c>
      <c r="H420" s="56">
        <v>0</v>
      </c>
      <c r="I420" s="56">
        <v>0</v>
      </c>
      <c r="J420" s="56">
        <v>100000</v>
      </c>
      <c r="K420" s="56">
        <v>50000</v>
      </c>
      <c r="L420" t="s">
        <v>612</v>
      </c>
      <c r="M420" s="71">
        <v>46078</v>
      </c>
      <c r="N420" t="s">
        <v>576</v>
      </c>
    </row>
    <row r="421" spans="2:14" hidden="1" x14ac:dyDescent="0.2">
      <c r="B421">
        <v>419</v>
      </c>
      <c r="C421" t="s">
        <v>341</v>
      </c>
      <c r="D421" t="str">
        <f>VLOOKUP(C421,'Master Anggota'!$E$2:$J$678,2,0)</f>
        <v>Aktif</v>
      </c>
      <c r="G421" t="str">
        <f>VLOOKUP(C421,'Master Anggota'!$E$2:$J$678,5,0)</f>
        <v>00339</v>
      </c>
      <c r="H421" s="56">
        <v>0</v>
      </c>
      <c r="I421" s="56">
        <v>0</v>
      </c>
      <c r="J421" s="56">
        <v>100000</v>
      </c>
      <c r="K421" s="56">
        <v>50000</v>
      </c>
      <c r="L421" t="s">
        <v>612</v>
      </c>
      <c r="M421" s="71">
        <v>46078</v>
      </c>
      <c r="N421" t="s">
        <v>576</v>
      </c>
    </row>
    <row r="422" spans="2:14" hidden="1" x14ac:dyDescent="0.2">
      <c r="B422">
        <v>420</v>
      </c>
      <c r="C422" t="s">
        <v>39</v>
      </c>
      <c r="D422" t="str">
        <f>VLOOKUP(C422,'Master Anggota'!$E$2:$J$678,2,0)</f>
        <v>Aktif</v>
      </c>
      <c r="G422" t="str">
        <f>VLOOKUP(C422,'Master Anggota'!$E$2:$J$678,5,0)</f>
        <v>00340</v>
      </c>
      <c r="H422" s="56">
        <v>0</v>
      </c>
      <c r="I422" s="56">
        <v>0</v>
      </c>
      <c r="J422" s="56">
        <v>100000</v>
      </c>
      <c r="K422" s="56">
        <v>1775000</v>
      </c>
      <c r="L422" t="s">
        <v>612</v>
      </c>
      <c r="M422" s="71">
        <v>46078</v>
      </c>
      <c r="N422" t="s">
        <v>576</v>
      </c>
    </row>
    <row r="423" spans="2:14" hidden="1" x14ac:dyDescent="0.2">
      <c r="B423">
        <v>421</v>
      </c>
      <c r="C423" t="s">
        <v>129</v>
      </c>
      <c r="D423" t="str">
        <f>VLOOKUP(C423,'Master Anggota'!$E$2:$J$678,2,0)</f>
        <v>Aktif</v>
      </c>
      <c r="G423" t="str">
        <f>VLOOKUP(C423,'Master Anggota'!$E$2:$J$678,5,0)</f>
        <v>00343</v>
      </c>
      <c r="H423" s="56">
        <v>0</v>
      </c>
      <c r="I423" s="56">
        <v>0</v>
      </c>
      <c r="J423" s="56">
        <v>100000</v>
      </c>
      <c r="K423" s="56">
        <v>150000</v>
      </c>
      <c r="L423" t="s">
        <v>612</v>
      </c>
      <c r="M423" s="71">
        <v>46078</v>
      </c>
      <c r="N423" t="s">
        <v>576</v>
      </c>
    </row>
    <row r="424" spans="2:14" hidden="1" x14ac:dyDescent="0.2">
      <c r="B424">
        <v>422</v>
      </c>
      <c r="C424" t="s">
        <v>480</v>
      </c>
      <c r="D424" t="str">
        <f>VLOOKUP(C424,'Master Anggota'!$E$2:$J$678,2,0)</f>
        <v>Aktif</v>
      </c>
      <c r="G424" t="str">
        <f>VLOOKUP(C424,'Master Anggota'!$E$2:$J$678,5,0)</f>
        <v>00351</v>
      </c>
      <c r="H424" s="56">
        <v>0</v>
      </c>
      <c r="I424" s="56">
        <v>0</v>
      </c>
      <c r="J424" s="56">
        <v>100000</v>
      </c>
      <c r="K424" s="56">
        <v>100000</v>
      </c>
      <c r="L424" t="s">
        <v>612</v>
      </c>
      <c r="M424" s="71">
        <v>46078</v>
      </c>
      <c r="N424" t="s">
        <v>576</v>
      </c>
    </row>
    <row r="425" spans="2:14" hidden="1" x14ac:dyDescent="0.2">
      <c r="B425">
        <v>423</v>
      </c>
      <c r="C425" t="s">
        <v>151</v>
      </c>
      <c r="D425" t="str">
        <f>VLOOKUP(C425,'Master Anggota'!$E$2:$J$678,2,0)</f>
        <v>Aktif</v>
      </c>
      <c r="G425" t="str">
        <f>VLOOKUP(C425,'Master Anggota'!$E$2:$J$678,5,0)</f>
        <v>00362</v>
      </c>
      <c r="H425" s="56">
        <v>0</v>
      </c>
      <c r="I425" s="56">
        <v>0</v>
      </c>
      <c r="J425" s="56">
        <v>100000</v>
      </c>
      <c r="K425" s="56">
        <v>250000</v>
      </c>
      <c r="L425" t="s">
        <v>612</v>
      </c>
      <c r="M425" s="71">
        <v>46078</v>
      </c>
      <c r="N425" t="s">
        <v>576</v>
      </c>
    </row>
    <row r="426" spans="2:14" hidden="1" x14ac:dyDescent="0.2">
      <c r="B426">
        <v>424</v>
      </c>
      <c r="C426" t="s">
        <v>90</v>
      </c>
      <c r="D426" t="str">
        <f>VLOOKUP(C426,'Master Anggota'!$E$2:$J$678,2,0)</f>
        <v>Aktif</v>
      </c>
      <c r="G426" t="str">
        <f>VLOOKUP(C426,'Master Anggota'!$E$2:$J$678,5,0)</f>
        <v>00363</v>
      </c>
      <c r="H426" s="56">
        <v>0</v>
      </c>
      <c r="I426" s="56">
        <v>0</v>
      </c>
      <c r="J426" s="56">
        <v>150000</v>
      </c>
      <c r="K426" s="56">
        <v>10000</v>
      </c>
      <c r="L426" t="s">
        <v>612</v>
      </c>
      <c r="M426" s="71">
        <v>46078</v>
      </c>
      <c r="N426" t="s">
        <v>576</v>
      </c>
    </row>
    <row r="427" spans="2:14" hidden="1" x14ac:dyDescent="0.2">
      <c r="B427">
        <v>425</v>
      </c>
      <c r="C427" t="s">
        <v>483</v>
      </c>
      <c r="D427" t="str">
        <f>VLOOKUP(C427,'Master Anggota'!$E$2:$J$678,2,0)</f>
        <v>Aktif</v>
      </c>
      <c r="G427" t="str">
        <f>VLOOKUP(C427,'Master Anggota'!$E$2:$J$678,5,0)</f>
        <v>00368</v>
      </c>
      <c r="H427" s="56">
        <v>0</v>
      </c>
      <c r="I427" s="56">
        <v>0</v>
      </c>
      <c r="J427" s="56">
        <v>100000</v>
      </c>
      <c r="K427" s="56">
        <v>100000</v>
      </c>
      <c r="L427" t="s">
        <v>612</v>
      </c>
      <c r="M427" s="71">
        <v>46078</v>
      </c>
      <c r="N427" t="s">
        <v>576</v>
      </c>
    </row>
    <row r="428" spans="2:14" hidden="1" x14ac:dyDescent="0.2">
      <c r="B428">
        <v>426</v>
      </c>
      <c r="C428" t="s">
        <v>328</v>
      </c>
      <c r="D428" t="str">
        <f>VLOOKUP(C428,'Master Anggota'!$E$2:$J$678,2,0)</f>
        <v>Aktif</v>
      </c>
      <c r="G428" t="str">
        <f>VLOOKUP(C428,'Master Anggota'!$E$2:$J$678,5,0)</f>
        <v>00369</v>
      </c>
      <c r="H428" s="56">
        <v>0</v>
      </c>
      <c r="I428" s="56">
        <v>0</v>
      </c>
      <c r="J428" s="56">
        <v>100000</v>
      </c>
      <c r="K428" s="56">
        <v>50000</v>
      </c>
      <c r="L428" t="s">
        <v>612</v>
      </c>
      <c r="M428" s="71">
        <v>46078</v>
      </c>
      <c r="N428" t="s">
        <v>576</v>
      </c>
    </row>
    <row r="429" spans="2:14" hidden="1" x14ac:dyDescent="0.2">
      <c r="B429">
        <v>427</v>
      </c>
      <c r="C429" t="s">
        <v>352</v>
      </c>
      <c r="D429" t="str">
        <f>VLOOKUP(C429,'Master Anggota'!$E$2:$J$678,2,0)</f>
        <v>Aktif</v>
      </c>
      <c r="G429" t="str">
        <f>VLOOKUP(C429,'Master Anggota'!$E$2:$J$678,5,0)</f>
        <v>00370</v>
      </c>
      <c r="H429" s="56">
        <v>0</v>
      </c>
      <c r="I429" s="56">
        <v>0</v>
      </c>
      <c r="J429" s="56">
        <v>100000</v>
      </c>
      <c r="K429" s="56">
        <v>10000</v>
      </c>
      <c r="L429" t="s">
        <v>612</v>
      </c>
      <c r="M429" s="71">
        <v>46078</v>
      </c>
      <c r="N429" t="s">
        <v>576</v>
      </c>
    </row>
    <row r="430" spans="2:14" hidden="1" x14ac:dyDescent="0.2">
      <c r="B430">
        <v>428</v>
      </c>
      <c r="C430" t="s">
        <v>481</v>
      </c>
      <c r="D430" t="str">
        <f>VLOOKUP(C430,'Master Anggota'!$E$2:$J$678,2,0)</f>
        <v>Aktif</v>
      </c>
      <c r="G430" t="str">
        <f>VLOOKUP(C430,'Master Anggota'!$E$2:$J$678,5,0)</f>
        <v>00371</v>
      </c>
      <c r="H430" s="56">
        <v>0</v>
      </c>
      <c r="I430" s="56">
        <v>0</v>
      </c>
      <c r="J430" s="56">
        <v>100000</v>
      </c>
      <c r="K430" s="56">
        <v>50000</v>
      </c>
      <c r="L430" t="s">
        <v>612</v>
      </c>
      <c r="M430" s="71">
        <v>46078</v>
      </c>
      <c r="N430" t="s">
        <v>576</v>
      </c>
    </row>
    <row r="431" spans="2:14" hidden="1" x14ac:dyDescent="0.2">
      <c r="B431">
        <v>429</v>
      </c>
      <c r="C431" t="s">
        <v>345</v>
      </c>
      <c r="D431" t="str">
        <f>VLOOKUP(C431,'Master Anggota'!$E$2:$J$678,2,0)</f>
        <v>Aktif</v>
      </c>
      <c r="G431" t="str">
        <f>VLOOKUP(C431,'Master Anggota'!$E$2:$J$678,5,0)</f>
        <v>00372</v>
      </c>
      <c r="H431" s="56">
        <v>0</v>
      </c>
      <c r="I431" s="56">
        <v>0</v>
      </c>
      <c r="J431" s="56">
        <v>100000</v>
      </c>
      <c r="K431" s="56">
        <v>12500</v>
      </c>
      <c r="L431" t="s">
        <v>612</v>
      </c>
      <c r="M431" s="71">
        <v>46078</v>
      </c>
      <c r="N431" t="s">
        <v>576</v>
      </c>
    </row>
    <row r="432" spans="2:14" hidden="1" x14ac:dyDescent="0.2">
      <c r="B432">
        <v>430</v>
      </c>
      <c r="C432" t="s">
        <v>521</v>
      </c>
      <c r="D432" t="str">
        <f>VLOOKUP(C432,'Master Anggota'!$E$2:$J$678,2,0)</f>
        <v>Aktif</v>
      </c>
      <c r="G432" t="str">
        <f>VLOOKUP(C432,'Master Anggota'!$E$2:$J$678,5,0)</f>
        <v>00376</v>
      </c>
      <c r="H432" s="56">
        <v>0</v>
      </c>
      <c r="I432" s="56">
        <v>0</v>
      </c>
      <c r="J432" s="56">
        <v>100000</v>
      </c>
      <c r="K432" s="56">
        <v>110000</v>
      </c>
      <c r="L432" t="s">
        <v>612</v>
      </c>
      <c r="M432" s="71">
        <v>46078</v>
      </c>
      <c r="N432" t="s">
        <v>576</v>
      </c>
    </row>
    <row r="433" spans="2:14" hidden="1" x14ac:dyDescent="0.2">
      <c r="B433">
        <v>431</v>
      </c>
      <c r="C433" t="s">
        <v>94</v>
      </c>
      <c r="D433" t="str">
        <f>VLOOKUP(C433,'Master Anggota'!$E$2:$J$678,2,0)</f>
        <v>Aktif</v>
      </c>
      <c r="G433" t="str">
        <f>VLOOKUP(C433,'Master Anggota'!$E$2:$J$678,5,0)</f>
        <v>00387</v>
      </c>
      <c r="H433" s="56">
        <v>0</v>
      </c>
      <c r="I433" s="56">
        <v>0</v>
      </c>
      <c r="J433" s="56">
        <v>100000</v>
      </c>
      <c r="K433" s="56">
        <v>10000</v>
      </c>
      <c r="L433" t="s">
        <v>612</v>
      </c>
      <c r="M433" s="71">
        <v>46078</v>
      </c>
      <c r="N433" t="s">
        <v>576</v>
      </c>
    </row>
    <row r="434" spans="2:14" hidden="1" x14ac:dyDescent="0.2">
      <c r="B434">
        <v>432</v>
      </c>
      <c r="C434" t="s">
        <v>258</v>
      </c>
      <c r="D434" t="str">
        <f>VLOOKUP(C434,'Master Anggota'!$E$2:$J$678,2,0)</f>
        <v>Aktif</v>
      </c>
      <c r="G434" t="str">
        <f>VLOOKUP(C434,'Master Anggota'!$E$2:$J$678,5,0)</f>
        <v>00390</v>
      </c>
      <c r="H434" s="56">
        <v>0</v>
      </c>
      <c r="I434" s="56">
        <v>0</v>
      </c>
      <c r="J434" s="56">
        <v>100000</v>
      </c>
      <c r="K434" s="56">
        <v>10000</v>
      </c>
      <c r="L434" t="s">
        <v>612</v>
      </c>
      <c r="M434" s="71">
        <v>46078</v>
      </c>
      <c r="N434" t="s">
        <v>576</v>
      </c>
    </row>
    <row r="435" spans="2:14" hidden="1" x14ac:dyDescent="0.2">
      <c r="B435">
        <v>433</v>
      </c>
      <c r="C435" t="s">
        <v>92</v>
      </c>
      <c r="D435" t="str">
        <f>VLOOKUP(C435,'Master Anggota'!$E$2:$J$678,2,0)</f>
        <v>Aktif</v>
      </c>
      <c r="G435" t="str">
        <f>VLOOKUP(C435,'Master Anggota'!$E$2:$J$678,5,0)</f>
        <v>00396</v>
      </c>
      <c r="H435" s="56">
        <v>0</v>
      </c>
      <c r="I435" s="56">
        <v>0</v>
      </c>
      <c r="J435" s="56">
        <v>150000</v>
      </c>
      <c r="K435" s="56">
        <v>200000</v>
      </c>
      <c r="L435" t="s">
        <v>612</v>
      </c>
      <c r="M435" s="71">
        <v>46078</v>
      </c>
      <c r="N435" t="s">
        <v>576</v>
      </c>
    </row>
    <row r="436" spans="2:14" hidden="1" x14ac:dyDescent="0.2">
      <c r="B436">
        <v>434</v>
      </c>
      <c r="C436" t="s">
        <v>103</v>
      </c>
      <c r="D436" t="str">
        <f>VLOOKUP(C436,'Master Anggota'!$E$2:$J$678,2,0)</f>
        <v>Aktif</v>
      </c>
      <c r="G436" t="str">
        <f>VLOOKUP(C436,'Master Anggota'!$E$2:$J$678,5,0)</f>
        <v>00401</v>
      </c>
      <c r="H436" s="56">
        <v>0</v>
      </c>
      <c r="I436" s="56">
        <v>0</v>
      </c>
      <c r="J436" s="56">
        <v>150000</v>
      </c>
      <c r="K436" s="56">
        <v>1000000</v>
      </c>
      <c r="L436" t="s">
        <v>612</v>
      </c>
      <c r="M436" s="71">
        <v>46078</v>
      </c>
      <c r="N436" t="s">
        <v>576</v>
      </c>
    </row>
    <row r="437" spans="2:14" hidden="1" x14ac:dyDescent="0.2">
      <c r="B437">
        <v>435</v>
      </c>
      <c r="C437" t="s">
        <v>122</v>
      </c>
      <c r="D437" t="str">
        <f>VLOOKUP(C437,'Master Anggota'!$E$2:$J$678,2,0)</f>
        <v>Aktif</v>
      </c>
      <c r="G437" t="str">
        <f>VLOOKUP(C437,'Master Anggota'!$E$2:$J$678,5,0)</f>
        <v>00485</v>
      </c>
      <c r="H437" s="56">
        <v>0</v>
      </c>
      <c r="I437" s="56">
        <v>0</v>
      </c>
      <c r="J437" s="56">
        <v>100000</v>
      </c>
      <c r="K437" s="56">
        <v>500000</v>
      </c>
      <c r="L437" t="s">
        <v>612</v>
      </c>
      <c r="M437" s="71">
        <v>46078</v>
      </c>
      <c r="N437" t="s">
        <v>576</v>
      </c>
    </row>
    <row r="438" spans="2:14" hidden="1" x14ac:dyDescent="0.2">
      <c r="B438">
        <v>436</v>
      </c>
      <c r="C438" t="s">
        <v>65</v>
      </c>
      <c r="D438" t="str">
        <f>VLOOKUP(C438,'Master Anggota'!$E$2:$J$678,2,0)</f>
        <v>Aktif</v>
      </c>
      <c r="G438" t="str">
        <f>VLOOKUP(C438,'Master Anggota'!$E$2:$J$678,5,0)</f>
        <v>00490</v>
      </c>
      <c r="H438" s="56">
        <v>0</v>
      </c>
      <c r="I438" s="56">
        <v>0</v>
      </c>
      <c r="J438" s="56">
        <v>100000</v>
      </c>
      <c r="K438" s="56">
        <v>200000</v>
      </c>
      <c r="L438" t="s">
        <v>612</v>
      </c>
      <c r="M438" s="71">
        <v>46078</v>
      </c>
      <c r="N438" t="s">
        <v>576</v>
      </c>
    </row>
    <row r="439" spans="2:14" hidden="1" x14ac:dyDescent="0.2">
      <c r="B439">
        <v>437</v>
      </c>
      <c r="C439" t="s">
        <v>69</v>
      </c>
      <c r="D439" t="str">
        <f>VLOOKUP(C439,'Master Anggota'!$E$2:$J$678,2,0)</f>
        <v>Aktif</v>
      </c>
      <c r="G439" t="str">
        <f>VLOOKUP(C439,'Master Anggota'!$E$2:$J$678,5,0)</f>
        <v>00496</v>
      </c>
      <c r="H439" s="56">
        <v>0</v>
      </c>
      <c r="I439" s="56">
        <v>0</v>
      </c>
      <c r="J439" s="56">
        <v>100000</v>
      </c>
      <c r="K439" s="56">
        <v>150000</v>
      </c>
      <c r="L439" t="s">
        <v>612</v>
      </c>
      <c r="M439" s="71">
        <v>46078</v>
      </c>
      <c r="N439" t="s">
        <v>576</v>
      </c>
    </row>
    <row r="440" spans="2:14" hidden="1" x14ac:dyDescent="0.2">
      <c r="B440">
        <v>438</v>
      </c>
      <c r="C440" t="s">
        <v>115</v>
      </c>
      <c r="D440" t="str">
        <f>VLOOKUP(C440,'Master Anggota'!$E$2:$J$678,2,0)</f>
        <v>Aktif</v>
      </c>
      <c r="G440" t="str">
        <f>VLOOKUP(C440,'Master Anggota'!$E$2:$J$678,5,0)</f>
        <v>00497</v>
      </c>
      <c r="H440" s="56">
        <v>0</v>
      </c>
      <c r="I440" s="56">
        <v>0</v>
      </c>
      <c r="J440" s="56">
        <v>100000</v>
      </c>
      <c r="K440" s="56">
        <v>500000</v>
      </c>
      <c r="L440" t="s">
        <v>612</v>
      </c>
      <c r="M440" s="71">
        <v>46078</v>
      </c>
      <c r="N440" t="s">
        <v>576</v>
      </c>
    </row>
    <row r="441" spans="2:14" hidden="1" x14ac:dyDescent="0.2">
      <c r="B441">
        <v>439</v>
      </c>
      <c r="C441" t="s">
        <v>117</v>
      </c>
      <c r="D441" t="str">
        <f>VLOOKUP(C441,'Master Anggota'!$E$2:$J$678,2,0)</f>
        <v>Aktif</v>
      </c>
      <c r="G441" t="str">
        <f>VLOOKUP(C441,'Master Anggota'!$E$2:$J$678,5,0)</f>
        <v>00497</v>
      </c>
      <c r="H441" s="56">
        <v>0</v>
      </c>
      <c r="I441" s="56">
        <v>0</v>
      </c>
      <c r="J441" s="56">
        <v>100000</v>
      </c>
      <c r="K441" s="56">
        <v>300000</v>
      </c>
      <c r="L441" t="s">
        <v>612</v>
      </c>
      <c r="M441" s="71">
        <v>46078</v>
      </c>
      <c r="N441" t="s">
        <v>576</v>
      </c>
    </row>
    <row r="442" spans="2:14" hidden="1" x14ac:dyDescent="0.2">
      <c r="B442">
        <v>440</v>
      </c>
      <c r="C442" t="s">
        <v>194</v>
      </c>
      <c r="D442" t="str">
        <f>VLOOKUP(C442,'Master Anggota'!$E$2:$J$678,2,0)</f>
        <v>Aktif</v>
      </c>
      <c r="G442" t="str">
        <f>VLOOKUP(C442,'Master Anggota'!$E$2:$J$678,5,0)</f>
        <v>00498</v>
      </c>
      <c r="H442" s="56">
        <v>0</v>
      </c>
      <c r="I442" s="56">
        <v>0</v>
      </c>
      <c r="J442" s="56">
        <v>200000</v>
      </c>
      <c r="K442" s="56">
        <v>500000</v>
      </c>
      <c r="L442" t="s">
        <v>612</v>
      </c>
      <c r="M442" s="71">
        <v>46078</v>
      </c>
      <c r="N442" t="s">
        <v>576</v>
      </c>
    </row>
    <row r="443" spans="2:14" hidden="1" x14ac:dyDescent="0.2">
      <c r="B443">
        <v>441</v>
      </c>
      <c r="C443" t="s">
        <v>155</v>
      </c>
      <c r="D443" t="str">
        <f>VLOOKUP(C443,'Master Anggota'!$E$2:$J$678,2,0)</f>
        <v>Aktif</v>
      </c>
      <c r="G443" t="str">
        <f>VLOOKUP(C443,'Master Anggota'!$E$2:$J$678,5,0)</f>
        <v>00499</v>
      </c>
      <c r="H443" s="56">
        <v>0</v>
      </c>
      <c r="I443" s="56">
        <v>0</v>
      </c>
      <c r="J443" s="56">
        <v>100000</v>
      </c>
      <c r="K443" s="56">
        <v>75000</v>
      </c>
      <c r="L443" t="s">
        <v>612</v>
      </c>
      <c r="M443" s="71">
        <v>46078</v>
      </c>
      <c r="N443" t="s">
        <v>576</v>
      </c>
    </row>
    <row r="444" spans="2:14" hidden="1" x14ac:dyDescent="0.2">
      <c r="B444">
        <v>442</v>
      </c>
      <c r="C444" t="s">
        <v>96</v>
      </c>
      <c r="D444" t="str">
        <f>VLOOKUP(C444,'Master Anggota'!$E$2:$J$678,2,0)</f>
        <v>Aktif</v>
      </c>
      <c r="G444" t="str">
        <f>VLOOKUP(C444,'Master Anggota'!$E$2:$J$678,5,0)</f>
        <v>00508</v>
      </c>
      <c r="H444" s="56">
        <v>0</v>
      </c>
      <c r="I444" s="56">
        <v>0</v>
      </c>
      <c r="J444" s="56">
        <v>100000</v>
      </c>
      <c r="K444" s="56">
        <v>50000</v>
      </c>
      <c r="L444" t="s">
        <v>612</v>
      </c>
      <c r="M444" s="71">
        <v>46078</v>
      </c>
      <c r="N444" t="s">
        <v>576</v>
      </c>
    </row>
    <row r="445" spans="2:14" hidden="1" x14ac:dyDescent="0.2">
      <c r="B445">
        <v>443</v>
      </c>
      <c r="C445" t="s">
        <v>270</v>
      </c>
      <c r="D445" t="str">
        <f>VLOOKUP(C445,'Master Anggota'!$E$2:$J$678,2,0)</f>
        <v>Aktif</v>
      </c>
      <c r="G445" t="str">
        <f>VLOOKUP(C445,'Master Anggota'!$E$2:$J$678,5,0)</f>
        <v>00509</v>
      </c>
      <c r="H445" s="56">
        <v>0</v>
      </c>
      <c r="I445" s="56">
        <v>0</v>
      </c>
      <c r="J445" s="56">
        <v>100000</v>
      </c>
      <c r="K445" s="56">
        <v>175000</v>
      </c>
      <c r="L445" t="s">
        <v>612</v>
      </c>
      <c r="M445" s="71">
        <v>46078</v>
      </c>
      <c r="N445" t="s">
        <v>576</v>
      </c>
    </row>
    <row r="446" spans="2:14" hidden="1" x14ac:dyDescent="0.2">
      <c r="B446">
        <v>444</v>
      </c>
      <c r="C446" t="s">
        <v>37</v>
      </c>
      <c r="D446" t="str">
        <f>VLOOKUP(C446,'Master Anggota'!$E$2:$J$678,2,0)</f>
        <v>Aktif</v>
      </c>
      <c r="G446" t="str">
        <f>VLOOKUP(C446,'Master Anggota'!$E$2:$J$678,5,0)</f>
        <v>00511</v>
      </c>
      <c r="H446" s="56">
        <v>0</v>
      </c>
      <c r="I446" s="56">
        <v>0</v>
      </c>
      <c r="J446" s="56">
        <v>100000</v>
      </c>
      <c r="K446" s="56">
        <v>50000</v>
      </c>
      <c r="L446" t="s">
        <v>612</v>
      </c>
      <c r="M446" s="71">
        <v>46078</v>
      </c>
      <c r="N446" t="s">
        <v>576</v>
      </c>
    </row>
    <row r="447" spans="2:14" hidden="1" x14ac:dyDescent="0.2">
      <c r="B447">
        <v>445</v>
      </c>
      <c r="C447" t="s">
        <v>202</v>
      </c>
      <c r="D447" t="str">
        <f>VLOOKUP(C447,'Master Anggota'!$E$2:$J$678,2,0)</f>
        <v>Aktif</v>
      </c>
      <c r="G447" t="str">
        <f>VLOOKUP(C447,'Master Anggota'!$E$2:$J$678,5,0)</f>
        <v>00512</v>
      </c>
      <c r="H447" s="56">
        <v>0</v>
      </c>
      <c r="I447" s="56">
        <v>0</v>
      </c>
      <c r="J447" s="56">
        <v>100000</v>
      </c>
      <c r="K447" s="56">
        <v>175000</v>
      </c>
      <c r="L447" t="s">
        <v>612</v>
      </c>
      <c r="M447" s="71">
        <v>46078</v>
      </c>
      <c r="N447" t="s">
        <v>576</v>
      </c>
    </row>
    <row r="448" spans="2:14" hidden="1" x14ac:dyDescent="0.2">
      <c r="B448">
        <v>446</v>
      </c>
      <c r="C448" t="s">
        <v>239</v>
      </c>
      <c r="D448" t="str">
        <f>VLOOKUP(C448,'Master Anggota'!$E$2:$J$678,2,0)</f>
        <v>Aktif</v>
      </c>
      <c r="G448" t="str">
        <f>VLOOKUP(C448,'Master Anggota'!$E$2:$J$678,5,0)</f>
        <v>00513</v>
      </c>
      <c r="H448" s="56">
        <v>0</v>
      </c>
      <c r="I448" s="56">
        <v>0</v>
      </c>
      <c r="J448" s="56">
        <v>100000</v>
      </c>
      <c r="K448" s="56">
        <v>125000</v>
      </c>
      <c r="L448" t="s">
        <v>612</v>
      </c>
      <c r="M448" s="71">
        <v>46078</v>
      </c>
      <c r="N448" t="s">
        <v>576</v>
      </c>
    </row>
    <row r="449" spans="2:14" hidden="1" x14ac:dyDescent="0.2">
      <c r="B449">
        <v>447</v>
      </c>
      <c r="C449" t="s">
        <v>223</v>
      </c>
      <c r="D449" t="str">
        <f>VLOOKUP(C449,'Master Anggota'!$E$2:$J$678,2,0)</f>
        <v>Aktif</v>
      </c>
      <c r="G449" t="str">
        <f>VLOOKUP(C449,'Master Anggota'!$E$2:$J$678,5,0)</f>
        <v>00514</v>
      </c>
      <c r="H449" s="56">
        <v>0</v>
      </c>
      <c r="I449" s="56">
        <v>0</v>
      </c>
      <c r="J449" s="56">
        <v>100000</v>
      </c>
      <c r="K449" s="56">
        <v>300000</v>
      </c>
      <c r="L449" t="s">
        <v>612</v>
      </c>
      <c r="M449" s="71">
        <v>46078</v>
      </c>
      <c r="N449" t="s">
        <v>576</v>
      </c>
    </row>
    <row r="450" spans="2:14" hidden="1" x14ac:dyDescent="0.2">
      <c r="B450">
        <v>448</v>
      </c>
      <c r="C450" t="s">
        <v>274</v>
      </c>
      <c r="D450" t="str">
        <f>VLOOKUP(C450,'Master Anggota'!$E$2:$J$678,2,0)</f>
        <v>Aktif</v>
      </c>
      <c r="G450" t="str">
        <f>VLOOKUP(C450,'Master Anggota'!$E$2:$J$678,5,0)</f>
        <v>00515</v>
      </c>
      <c r="H450" s="56">
        <v>0</v>
      </c>
      <c r="I450" s="56">
        <v>0</v>
      </c>
      <c r="J450" s="56">
        <v>100000</v>
      </c>
      <c r="K450" s="56">
        <v>100000</v>
      </c>
      <c r="L450" t="s">
        <v>612</v>
      </c>
      <c r="M450" s="71">
        <v>46078</v>
      </c>
      <c r="N450" t="s">
        <v>576</v>
      </c>
    </row>
    <row r="451" spans="2:14" hidden="1" x14ac:dyDescent="0.2">
      <c r="B451">
        <v>449</v>
      </c>
      <c r="C451" t="s">
        <v>233</v>
      </c>
      <c r="D451" t="str">
        <f>VLOOKUP(C451,'Master Anggota'!$E$2:$J$678,2,0)</f>
        <v>Aktif</v>
      </c>
      <c r="G451" t="str">
        <f>VLOOKUP(C451,'Master Anggota'!$E$2:$J$678,5,0)</f>
        <v>00516</v>
      </c>
      <c r="H451" s="56">
        <v>0</v>
      </c>
      <c r="I451" s="56">
        <v>0</v>
      </c>
      <c r="J451" s="56">
        <v>100000</v>
      </c>
      <c r="K451" s="56">
        <v>25000</v>
      </c>
      <c r="L451" t="s">
        <v>612</v>
      </c>
      <c r="M451" s="71">
        <v>46078</v>
      </c>
      <c r="N451" t="s">
        <v>576</v>
      </c>
    </row>
    <row r="452" spans="2:14" hidden="1" x14ac:dyDescent="0.2">
      <c r="B452">
        <v>450</v>
      </c>
      <c r="C452" t="s">
        <v>71</v>
      </c>
      <c r="D452" t="str">
        <f>VLOOKUP(C452,'Master Anggota'!$E$2:$J$678,2,0)</f>
        <v>Aktif</v>
      </c>
      <c r="G452" t="str">
        <f>VLOOKUP(C452,'Master Anggota'!$E$2:$J$678,5,0)</f>
        <v>00517</v>
      </c>
      <c r="H452" s="56">
        <v>0</v>
      </c>
      <c r="I452" s="56">
        <v>0</v>
      </c>
      <c r="J452" s="56">
        <v>100000</v>
      </c>
      <c r="K452" s="56">
        <v>400000</v>
      </c>
      <c r="L452" t="s">
        <v>612</v>
      </c>
      <c r="M452" s="71">
        <v>46078</v>
      </c>
      <c r="N452" t="s">
        <v>576</v>
      </c>
    </row>
    <row r="453" spans="2:14" hidden="1" x14ac:dyDescent="0.2">
      <c r="B453">
        <v>451</v>
      </c>
      <c r="C453" t="s">
        <v>62</v>
      </c>
      <c r="D453" t="str">
        <f>VLOOKUP(C453,'Master Anggota'!$E$2:$J$678,2,0)</f>
        <v>Aktif</v>
      </c>
      <c r="G453" t="str">
        <f>VLOOKUP(C453,'Master Anggota'!$E$2:$J$678,5,0)</f>
        <v>00518</v>
      </c>
      <c r="H453" s="56">
        <v>0</v>
      </c>
      <c r="I453" s="56">
        <v>0</v>
      </c>
      <c r="J453" s="56">
        <v>150000</v>
      </c>
      <c r="K453" s="56">
        <v>150000</v>
      </c>
      <c r="L453" t="s">
        <v>612</v>
      </c>
      <c r="M453" s="71">
        <v>46078</v>
      </c>
      <c r="N453" t="s">
        <v>576</v>
      </c>
    </row>
    <row r="454" spans="2:14" hidden="1" x14ac:dyDescent="0.2">
      <c r="B454">
        <v>452</v>
      </c>
      <c r="C454" t="s">
        <v>46</v>
      </c>
      <c r="D454" t="str">
        <f>VLOOKUP(C454,'Master Anggota'!$E$2:$J$678,2,0)</f>
        <v>Aktif</v>
      </c>
      <c r="G454" t="str">
        <f>VLOOKUP(C454,'Master Anggota'!$E$2:$J$678,5,0)</f>
        <v>00519</v>
      </c>
      <c r="H454" s="56">
        <v>0</v>
      </c>
      <c r="I454" s="56">
        <v>0</v>
      </c>
      <c r="J454" s="56">
        <v>100000</v>
      </c>
      <c r="K454" s="56">
        <v>125000</v>
      </c>
      <c r="L454" t="s">
        <v>612</v>
      </c>
      <c r="M454" s="71">
        <v>46078</v>
      </c>
      <c r="N454" t="s">
        <v>576</v>
      </c>
    </row>
    <row r="455" spans="2:14" hidden="1" x14ac:dyDescent="0.2">
      <c r="B455">
        <v>453</v>
      </c>
      <c r="C455" t="s">
        <v>200</v>
      </c>
      <c r="D455" t="str">
        <f>VLOOKUP(C455,'Master Anggota'!$E$2:$J$678,2,0)</f>
        <v>Aktif</v>
      </c>
      <c r="G455" t="str">
        <f>VLOOKUP(C455,'Master Anggota'!$E$2:$J$678,5,0)</f>
        <v>00520</v>
      </c>
      <c r="H455" s="56">
        <v>0</v>
      </c>
      <c r="I455" s="56">
        <v>0</v>
      </c>
      <c r="J455" s="56">
        <v>100000</v>
      </c>
      <c r="K455" s="56">
        <v>100000</v>
      </c>
      <c r="L455" t="s">
        <v>612</v>
      </c>
      <c r="M455" s="71">
        <v>46078</v>
      </c>
      <c r="N455" t="s">
        <v>576</v>
      </c>
    </row>
    <row r="456" spans="2:14" hidden="1" x14ac:dyDescent="0.2">
      <c r="B456">
        <v>454</v>
      </c>
      <c r="C456" t="s">
        <v>107</v>
      </c>
      <c r="D456" t="str">
        <f>VLOOKUP(C456,'Master Anggota'!$E$2:$J$678,2,0)</f>
        <v>Aktif</v>
      </c>
      <c r="G456" t="str">
        <f>VLOOKUP(C456,'Master Anggota'!$E$2:$J$678,5,0)</f>
        <v>00521</v>
      </c>
      <c r="H456" s="56">
        <v>0</v>
      </c>
      <c r="I456" s="56">
        <v>0</v>
      </c>
      <c r="J456" s="56">
        <v>100000</v>
      </c>
      <c r="K456" s="56">
        <v>200000</v>
      </c>
      <c r="L456" t="s">
        <v>612</v>
      </c>
      <c r="M456" s="71">
        <v>46078</v>
      </c>
      <c r="N456" t="s">
        <v>576</v>
      </c>
    </row>
    <row r="457" spans="2:14" hidden="1" x14ac:dyDescent="0.2">
      <c r="B457">
        <v>455</v>
      </c>
      <c r="C457" t="s">
        <v>235</v>
      </c>
      <c r="D457" t="str">
        <f>VLOOKUP(C457,'Master Anggota'!$E$2:$J$678,2,0)</f>
        <v>Aktif</v>
      </c>
      <c r="G457" t="str">
        <f>VLOOKUP(C457,'Master Anggota'!$E$2:$J$678,5,0)</f>
        <v>00523</v>
      </c>
      <c r="H457" s="56">
        <v>0</v>
      </c>
      <c r="I457" s="56">
        <v>0</v>
      </c>
      <c r="J457" s="56">
        <v>100000</v>
      </c>
      <c r="K457" s="56">
        <v>100000</v>
      </c>
      <c r="L457" t="s">
        <v>612</v>
      </c>
      <c r="M457" s="71">
        <v>46078</v>
      </c>
      <c r="N457" t="s">
        <v>576</v>
      </c>
    </row>
    <row r="458" spans="2:14" hidden="1" x14ac:dyDescent="0.2">
      <c r="B458">
        <v>456</v>
      </c>
      <c r="C458" t="s">
        <v>252</v>
      </c>
      <c r="D458" t="str">
        <f>VLOOKUP(C458,'Master Anggota'!$E$2:$J$678,2,0)</f>
        <v>Aktif</v>
      </c>
      <c r="G458" t="str">
        <f>VLOOKUP(C458,'Master Anggota'!$E$2:$J$678,5,0)</f>
        <v>00524</v>
      </c>
      <c r="H458" s="56">
        <v>0</v>
      </c>
      <c r="I458" s="56">
        <v>0</v>
      </c>
      <c r="J458" s="56">
        <v>100000</v>
      </c>
      <c r="K458" s="56">
        <v>200000</v>
      </c>
      <c r="L458" t="s">
        <v>612</v>
      </c>
      <c r="M458" s="71">
        <v>46078</v>
      </c>
      <c r="N458" t="s">
        <v>576</v>
      </c>
    </row>
    <row r="459" spans="2:14" hidden="1" x14ac:dyDescent="0.2">
      <c r="B459">
        <v>457</v>
      </c>
      <c r="C459" t="s">
        <v>206</v>
      </c>
      <c r="D459" t="str">
        <f>VLOOKUP(C459,'Master Anggota'!$E$2:$J$678,2,0)</f>
        <v>Aktif</v>
      </c>
      <c r="G459" t="str">
        <f>VLOOKUP(C459,'Master Anggota'!$E$2:$J$678,5,0)</f>
        <v>00525</v>
      </c>
      <c r="H459" s="56">
        <v>0</v>
      </c>
      <c r="I459" s="56">
        <v>0</v>
      </c>
      <c r="J459" s="56">
        <v>100000</v>
      </c>
      <c r="K459" s="56">
        <v>100000</v>
      </c>
      <c r="L459" t="s">
        <v>612</v>
      </c>
      <c r="M459" s="71">
        <v>46078</v>
      </c>
      <c r="N459" t="s">
        <v>576</v>
      </c>
    </row>
    <row r="460" spans="2:14" hidden="1" x14ac:dyDescent="0.2">
      <c r="B460">
        <v>458</v>
      </c>
      <c r="C460" t="s">
        <v>241</v>
      </c>
      <c r="D460" t="str">
        <f>VLOOKUP(C460,'Master Anggota'!$E$2:$J$678,2,0)</f>
        <v>Aktif</v>
      </c>
      <c r="G460" t="str">
        <f>VLOOKUP(C460,'Master Anggota'!$E$2:$J$678,5,0)</f>
        <v>00526</v>
      </c>
      <c r="H460" s="56">
        <v>0</v>
      </c>
      <c r="I460" s="56">
        <v>0</v>
      </c>
      <c r="J460" s="56">
        <v>100000</v>
      </c>
      <c r="K460" s="56">
        <v>100000</v>
      </c>
      <c r="L460" t="s">
        <v>612</v>
      </c>
      <c r="M460" s="71">
        <v>46078</v>
      </c>
      <c r="N460" t="s">
        <v>576</v>
      </c>
    </row>
    <row r="461" spans="2:14" hidden="1" x14ac:dyDescent="0.2">
      <c r="B461">
        <v>459</v>
      </c>
      <c r="C461" t="s">
        <v>147</v>
      </c>
      <c r="D461" t="str">
        <f>VLOOKUP(C461,'Master Anggota'!$E$2:$J$678,2,0)</f>
        <v>Aktif</v>
      </c>
      <c r="G461" t="str">
        <f>VLOOKUP(C461,'Master Anggota'!$E$2:$J$678,5,0)</f>
        <v>00527</v>
      </c>
      <c r="H461" s="56">
        <v>0</v>
      </c>
      <c r="I461" s="56">
        <v>0</v>
      </c>
      <c r="J461" s="56">
        <v>100000</v>
      </c>
      <c r="K461" s="56">
        <v>50000</v>
      </c>
      <c r="L461" t="s">
        <v>612</v>
      </c>
      <c r="M461" s="71">
        <v>46078</v>
      </c>
      <c r="N461" t="s">
        <v>576</v>
      </c>
    </row>
    <row r="462" spans="2:14" hidden="1" x14ac:dyDescent="0.2">
      <c r="B462">
        <v>460</v>
      </c>
      <c r="C462" t="s">
        <v>268</v>
      </c>
      <c r="D462" t="str">
        <f>VLOOKUP(C462,'Master Anggota'!$E$2:$J$678,2,0)</f>
        <v>Aktif</v>
      </c>
      <c r="G462" t="str">
        <f>VLOOKUP(C462,'Master Anggota'!$E$2:$J$678,5,0)</f>
        <v>00528</v>
      </c>
      <c r="H462" s="56">
        <v>0</v>
      </c>
      <c r="I462" s="56">
        <v>0</v>
      </c>
      <c r="J462" s="56">
        <v>100000</v>
      </c>
      <c r="K462" s="56">
        <v>100000</v>
      </c>
      <c r="L462" t="s">
        <v>612</v>
      </c>
      <c r="M462" s="71">
        <v>46078</v>
      </c>
      <c r="N462" t="s">
        <v>576</v>
      </c>
    </row>
    <row r="463" spans="2:14" x14ac:dyDescent="0.2">
      <c r="B463">
        <v>461</v>
      </c>
      <c r="C463" t="s">
        <v>214</v>
      </c>
      <c r="D463" t="str">
        <f>VLOOKUP(C463,'Master Anggota'!$E$2:$J$678,2,0)</f>
        <v>Aktif</v>
      </c>
      <c r="G463" t="str">
        <f>VLOOKUP(C463,'Master Anggota'!$E$2:$J$678,5,0)</f>
        <v>00529</v>
      </c>
      <c r="H463" s="56">
        <v>0</v>
      </c>
      <c r="I463" s="56">
        <v>0</v>
      </c>
      <c r="J463" s="56">
        <v>100000</v>
      </c>
      <c r="K463" s="56">
        <v>100000</v>
      </c>
      <c r="L463" t="s">
        <v>612</v>
      </c>
      <c r="M463" s="71">
        <v>46078</v>
      </c>
      <c r="N463" t="s">
        <v>576</v>
      </c>
    </row>
    <row r="464" spans="2:14" hidden="1" x14ac:dyDescent="0.2">
      <c r="B464">
        <v>462</v>
      </c>
      <c r="C464" t="s">
        <v>243</v>
      </c>
      <c r="D464" t="str">
        <f>VLOOKUP(C464,'Master Anggota'!$E$2:$J$678,2,0)</f>
        <v>Aktif</v>
      </c>
      <c r="G464" t="str">
        <f>VLOOKUP(C464,'Master Anggota'!$E$2:$J$678,5,0)</f>
        <v>00530</v>
      </c>
      <c r="H464" s="56">
        <v>0</v>
      </c>
      <c r="I464" s="56">
        <v>0</v>
      </c>
      <c r="J464" s="56">
        <v>100000</v>
      </c>
      <c r="K464" s="56">
        <v>250000</v>
      </c>
      <c r="L464" t="s">
        <v>612</v>
      </c>
      <c r="M464" s="71">
        <v>46078</v>
      </c>
      <c r="N464" t="s">
        <v>576</v>
      </c>
    </row>
    <row r="465" spans="2:14" hidden="1" x14ac:dyDescent="0.2">
      <c r="B465">
        <v>463</v>
      </c>
      <c r="C465" t="s">
        <v>225</v>
      </c>
      <c r="D465" t="str">
        <f>VLOOKUP(C465,'Master Anggota'!$E$2:$J$678,2,0)</f>
        <v>Aktif</v>
      </c>
      <c r="G465" t="str">
        <f>VLOOKUP(C465,'Master Anggota'!$E$2:$J$678,5,0)</f>
        <v>00531</v>
      </c>
      <c r="H465" s="56">
        <v>0</v>
      </c>
      <c r="I465" s="56">
        <v>0</v>
      </c>
      <c r="J465" s="56">
        <v>100000</v>
      </c>
      <c r="K465" s="56">
        <v>15000</v>
      </c>
      <c r="L465" t="s">
        <v>612</v>
      </c>
      <c r="M465" s="71">
        <v>46078</v>
      </c>
      <c r="N465" t="s">
        <v>576</v>
      </c>
    </row>
    <row r="466" spans="2:14" hidden="1" x14ac:dyDescent="0.2">
      <c r="B466">
        <v>464</v>
      </c>
      <c r="C466" t="s">
        <v>245</v>
      </c>
      <c r="D466" t="str">
        <f>VLOOKUP(C466,'Master Anggota'!$E$2:$J$678,2,0)</f>
        <v>Aktif</v>
      </c>
      <c r="G466" t="str">
        <f>VLOOKUP(C466,'Master Anggota'!$E$2:$J$678,5,0)</f>
        <v>00532</v>
      </c>
      <c r="H466" s="56">
        <v>0</v>
      </c>
      <c r="I466" s="56">
        <v>0</v>
      </c>
      <c r="J466" s="56">
        <v>100000</v>
      </c>
      <c r="K466" s="56">
        <v>100000</v>
      </c>
      <c r="L466" t="s">
        <v>612</v>
      </c>
      <c r="M466" s="71">
        <v>46078</v>
      </c>
      <c r="N466" t="s">
        <v>576</v>
      </c>
    </row>
    <row r="467" spans="2:14" hidden="1" x14ac:dyDescent="0.2">
      <c r="B467">
        <v>465</v>
      </c>
      <c r="C467" t="s">
        <v>522</v>
      </c>
      <c r="D467" t="str">
        <f>VLOOKUP(C467,'Master Anggota'!$E$2:$J$678,2,0)</f>
        <v>Aktif</v>
      </c>
      <c r="G467" t="str">
        <f>VLOOKUP(C467,'Master Anggota'!$E$2:$J$678,5,0)</f>
        <v>00533</v>
      </c>
      <c r="H467" s="56">
        <v>0</v>
      </c>
      <c r="I467" s="56">
        <v>0</v>
      </c>
      <c r="J467" s="56">
        <v>100000</v>
      </c>
      <c r="K467" s="56">
        <v>100000</v>
      </c>
      <c r="L467" t="s">
        <v>612</v>
      </c>
      <c r="M467" s="71">
        <v>46078</v>
      </c>
      <c r="N467" t="s">
        <v>576</v>
      </c>
    </row>
    <row r="468" spans="2:14" hidden="1" x14ac:dyDescent="0.2">
      <c r="B468">
        <v>466</v>
      </c>
      <c r="C468" t="s">
        <v>204</v>
      </c>
      <c r="D468" t="str">
        <f>VLOOKUP(C468,'Master Anggota'!$E$2:$J$678,2,0)</f>
        <v>Aktif</v>
      </c>
      <c r="G468" t="str">
        <f>VLOOKUP(C468,'Master Anggota'!$E$2:$J$678,5,0)</f>
        <v>00534</v>
      </c>
      <c r="H468" s="56">
        <v>0</v>
      </c>
      <c r="I468" s="56">
        <v>0</v>
      </c>
      <c r="J468" s="56">
        <v>100000</v>
      </c>
      <c r="K468" s="56">
        <v>125000</v>
      </c>
      <c r="L468" t="s">
        <v>612</v>
      </c>
      <c r="M468" s="71">
        <v>46078</v>
      </c>
      <c r="N468" t="s">
        <v>576</v>
      </c>
    </row>
    <row r="469" spans="2:14" hidden="1" x14ac:dyDescent="0.2">
      <c r="B469">
        <v>467</v>
      </c>
      <c r="C469" t="s">
        <v>189</v>
      </c>
      <c r="D469" t="str">
        <f>VLOOKUP(C469,'Master Anggota'!$E$2:$J$678,2,0)</f>
        <v>Aktif</v>
      </c>
      <c r="G469" t="str">
        <f>VLOOKUP(C469,'Master Anggota'!$E$2:$J$678,5,0)</f>
        <v>00535</v>
      </c>
      <c r="H469" s="56">
        <v>0</v>
      </c>
      <c r="I469" s="56">
        <v>0</v>
      </c>
      <c r="J469" s="56">
        <v>100000</v>
      </c>
      <c r="K469" s="56">
        <v>150000</v>
      </c>
      <c r="L469" t="s">
        <v>612</v>
      </c>
      <c r="M469" s="71">
        <v>46078</v>
      </c>
      <c r="N469" t="s">
        <v>576</v>
      </c>
    </row>
    <row r="470" spans="2:14" hidden="1" x14ac:dyDescent="0.2">
      <c r="B470">
        <v>468</v>
      </c>
      <c r="C470" t="s">
        <v>81</v>
      </c>
      <c r="D470" t="str">
        <f>VLOOKUP(C470,'Master Anggota'!$E$2:$J$678,2,0)</f>
        <v>Aktif</v>
      </c>
      <c r="G470" t="str">
        <f>VLOOKUP(C470,'Master Anggota'!$E$2:$J$678,5,0)</f>
        <v>00537</v>
      </c>
      <c r="H470" s="56">
        <v>0</v>
      </c>
      <c r="I470" s="56">
        <v>0</v>
      </c>
      <c r="J470" s="56">
        <v>100000</v>
      </c>
      <c r="K470" s="56">
        <v>100000</v>
      </c>
      <c r="L470" t="s">
        <v>612</v>
      </c>
      <c r="M470" s="71">
        <v>46078</v>
      </c>
      <c r="N470" t="s">
        <v>576</v>
      </c>
    </row>
    <row r="471" spans="2:14" hidden="1" x14ac:dyDescent="0.2">
      <c r="B471">
        <v>469</v>
      </c>
      <c r="C471" t="s">
        <v>55</v>
      </c>
      <c r="D471" t="str">
        <f>VLOOKUP(C471,'Master Anggota'!$E$2:$J$678,2,0)</f>
        <v>Aktif</v>
      </c>
      <c r="G471" t="str">
        <f>VLOOKUP(C471,'Master Anggota'!$E$2:$J$678,5,0)</f>
        <v>00539</v>
      </c>
      <c r="H471" s="56">
        <v>0</v>
      </c>
      <c r="I471" s="56">
        <v>0</v>
      </c>
      <c r="J471" s="56">
        <v>100000</v>
      </c>
      <c r="K471" s="56">
        <v>50000</v>
      </c>
      <c r="L471" t="s">
        <v>612</v>
      </c>
      <c r="M471" s="71">
        <v>46078</v>
      </c>
      <c r="N471" t="s">
        <v>576</v>
      </c>
    </row>
    <row r="472" spans="2:14" hidden="1" x14ac:dyDescent="0.2">
      <c r="B472">
        <v>470</v>
      </c>
      <c r="C472" t="s">
        <v>53</v>
      </c>
      <c r="D472" t="str">
        <f>VLOOKUP(C472,'Master Anggota'!$E$2:$J$678,2,0)</f>
        <v>Aktif</v>
      </c>
      <c r="G472" t="str">
        <f>VLOOKUP(C472,'Master Anggota'!$E$2:$J$678,5,0)</f>
        <v>00540</v>
      </c>
      <c r="H472" s="56">
        <v>0</v>
      </c>
      <c r="I472" s="56">
        <v>0</v>
      </c>
      <c r="J472" s="56">
        <v>100000</v>
      </c>
      <c r="K472" s="56">
        <v>125000</v>
      </c>
      <c r="L472" t="s">
        <v>612</v>
      </c>
      <c r="M472" s="71">
        <v>46078</v>
      </c>
      <c r="N472" t="s">
        <v>576</v>
      </c>
    </row>
    <row r="473" spans="2:14" hidden="1" x14ac:dyDescent="0.2">
      <c r="B473">
        <v>471</v>
      </c>
      <c r="C473" t="s">
        <v>79</v>
      </c>
      <c r="D473" t="str">
        <f>VLOOKUP(C473,'Master Anggota'!$E$2:$J$678,2,0)</f>
        <v>Aktif</v>
      </c>
      <c r="G473" t="str">
        <f>VLOOKUP(C473,'Master Anggota'!$E$2:$J$678,5,0)</f>
        <v>00541</v>
      </c>
      <c r="H473" s="56">
        <v>0</v>
      </c>
      <c r="I473" s="56">
        <v>0</v>
      </c>
      <c r="J473" s="56">
        <v>100000</v>
      </c>
      <c r="K473" s="56">
        <v>150000</v>
      </c>
      <c r="L473" t="s">
        <v>612</v>
      </c>
      <c r="M473" s="71">
        <v>46078</v>
      </c>
      <c r="N473" t="s">
        <v>576</v>
      </c>
    </row>
    <row r="474" spans="2:14" hidden="1" x14ac:dyDescent="0.2">
      <c r="B474">
        <v>472</v>
      </c>
      <c r="C474" t="s">
        <v>231</v>
      </c>
      <c r="D474" t="str">
        <f>VLOOKUP(C474,'Master Anggota'!$E$2:$J$678,2,0)</f>
        <v>Aktif</v>
      </c>
      <c r="G474" t="str">
        <f>VLOOKUP(C474,'Master Anggota'!$E$2:$J$678,5,0)</f>
        <v>00542</v>
      </c>
      <c r="H474" s="56">
        <v>0</v>
      </c>
      <c r="I474" s="56">
        <v>0</v>
      </c>
      <c r="J474" s="56">
        <v>100000</v>
      </c>
      <c r="K474" s="56">
        <v>100000</v>
      </c>
      <c r="L474" t="s">
        <v>612</v>
      </c>
      <c r="M474" s="71">
        <v>46078</v>
      </c>
      <c r="N474" t="s">
        <v>576</v>
      </c>
    </row>
    <row r="475" spans="2:14" hidden="1" x14ac:dyDescent="0.2">
      <c r="B475">
        <v>473</v>
      </c>
      <c r="C475" t="s">
        <v>51</v>
      </c>
      <c r="D475" t="str">
        <f>VLOOKUP(C475,'Master Anggota'!$E$2:$J$678,2,0)</f>
        <v>Aktif</v>
      </c>
      <c r="G475" t="str">
        <f>VLOOKUP(C475,'Master Anggota'!$E$2:$J$678,5,0)</f>
        <v>00543</v>
      </c>
      <c r="H475" s="56">
        <v>0</v>
      </c>
      <c r="I475" s="56">
        <v>0</v>
      </c>
      <c r="J475" s="56">
        <v>100000</v>
      </c>
      <c r="K475" s="56">
        <v>100000</v>
      </c>
      <c r="L475" t="s">
        <v>612</v>
      </c>
      <c r="M475" s="71">
        <v>46078</v>
      </c>
      <c r="N475" t="s">
        <v>576</v>
      </c>
    </row>
    <row r="476" spans="2:14" hidden="1" x14ac:dyDescent="0.2">
      <c r="B476">
        <v>474</v>
      </c>
      <c r="C476" t="s">
        <v>118</v>
      </c>
      <c r="D476" t="str">
        <f>VLOOKUP(C476,'Master Anggota'!$E$2:$J$678,2,0)</f>
        <v>Aktif</v>
      </c>
      <c r="G476" t="str">
        <f>VLOOKUP(C476,'Master Anggota'!$E$2:$J$678,5,0)</f>
        <v>00544</v>
      </c>
      <c r="H476" s="56">
        <v>0</v>
      </c>
      <c r="I476" s="56">
        <v>0</v>
      </c>
      <c r="J476" s="56">
        <v>100000</v>
      </c>
      <c r="K476" s="56">
        <v>50000</v>
      </c>
      <c r="L476" t="s">
        <v>612</v>
      </c>
      <c r="M476" s="71">
        <v>46078</v>
      </c>
      <c r="N476" t="s">
        <v>576</v>
      </c>
    </row>
    <row r="477" spans="2:14" hidden="1" x14ac:dyDescent="0.2">
      <c r="B477">
        <v>475</v>
      </c>
      <c r="C477" t="s">
        <v>366</v>
      </c>
      <c r="D477" t="str">
        <f>VLOOKUP(C477,'Master Anggota'!$E$2:$J$678,2,0)</f>
        <v>Aktif</v>
      </c>
      <c r="G477" t="str">
        <f>VLOOKUP(C477,'Master Anggota'!$E$2:$J$678,5,0)</f>
        <v>00545</v>
      </c>
      <c r="H477" s="56">
        <v>0</v>
      </c>
      <c r="I477" s="56">
        <v>0</v>
      </c>
      <c r="J477" s="56">
        <v>100000</v>
      </c>
      <c r="K477" s="56">
        <v>50000</v>
      </c>
      <c r="L477" t="s">
        <v>612</v>
      </c>
      <c r="M477" s="71">
        <v>46078</v>
      </c>
      <c r="N477" t="s">
        <v>576</v>
      </c>
    </row>
    <row r="478" spans="2:14" hidden="1" x14ac:dyDescent="0.2">
      <c r="B478">
        <v>476</v>
      </c>
      <c r="C478" t="s">
        <v>35</v>
      </c>
      <c r="D478" t="str">
        <f>VLOOKUP(C478,'Master Anggota'!$E$2:$J$678,2,0)</f>
        <v>Aktif</v>
      </c>
      <c r="G478" t="str">
        <f>VLOOKUP(C478,'Master Anggota'!$E$2:$J$678,5,0)</f>
        <v>00546</v>
      </c>
      <c r="H478" s="56">
        <v>0</v>
      </c>
      <c r="I478" s="56">
        <v>0</v>
      </c>
      <c r="J478" s="56">
        <v>100000</v>
      </c>
      <c r="K478" s="56">
        <v>50000</v>
      </c>
      <c r="L478" t="s">
        <v>612</v>
      </c>
      <c r="M478" s="71">
        <v>46078</v>
      </c>
      <c r="N478" t="s">
        <v>576</v>
      </c>
    </row>
    <row r="479" spans="2:14" hidden="1" x14ac:dyDescent="0.2">
      <c r="B479">
        <v>477</v>
      </c>
      <c r="C479" t="s">
        <v>85</v>
      </c>
      <c r="D479" t="str">
        <f>VLOOKUP(C479,'Master Anggota'!$E$2:$J$678,2,0)</f>
        <v>Aktif</v>
      </c>
      <c r="G479" t="str">
        <f>VLOOKUP(C479,'Master Anggota'!$E$2:$J$678,5,0)</f>
        <v>00547</v>
      </c>
      <c r="H479" s="56">
        <v>0</v>
      </c>
      <c r="I479" s="56">
        <v>0</v>
      </c>
      <c r="J479" s="56">
        <v>100000</v>
      </c>
      <c r="K479" s="56">
        <v>100000</v>
      </c>
      <c r="L479" t="s">
        <v>612</v>
      </c>
      <c r="M479" s="71">
        <v>46078</v>
      </c>
      <c r="N479" t="s">
        <v>576</v>
      </c>
    </row>
    <row r="480" spans="2:14" hidden="1" x14ac:dyDescent="0.2">
      <c r="B480">
        <v>478</v>
      </c>
      <c r="C480" t="s">
        <v>153</v>
      </c>
      <c r="D480" t="str">
        <f>VLOOKUP(C480,'Master Anggota'!$E$2:$J$678,2,0)</f>
        <v>Aktif</v>
      </c>
      <c r="G480" t="str">
        <f>VLOOKUP(C480,'Master Anggota'!$E$2:$J$678,5,0)</f>
        <v>00548</v>
      </c>
      <c r="H480" s="56">
        <v>0</v>
      </c>
      <c r="I480" s="56">
        <v>0</v>
      </c>
      <c r="J480" s="56">
        <v>100000</v>
      </c>
      <c r="K480" s="56">
        <v>75000</v>
      </c>
      <c r="L480" t="s">
        <v>612</v>
      </c>
      <c r="M480" s="71">
        <v>46078</v>
      </c>
      <c r="N480" t="s">
        <v>576</v>
      </c>
    </row>
    <row r="481" spans="2:14" hidden="1" x14ac:dyDescent="0.2">
      <c r="B481">
        <v>479</v>
      </c>
      <c r="C481" t="s">
        <v>525</v>
      </c>
      <c r="D481" t="str">
        <f>VLOOKUP(C481,'Master Anggota'!$E$2:$J$678,2,0)</f>
        <v>Aktif</v>
      </c>
      <c r="G481" t="str">
        <f>VLOOKUP(C481,'Master Anggota'!$E$2:$J$678,5,0)</f>
        <v>00549</v>
      </c>
      <c r="H481" s="56">
        <v>0</v>
      </c>
      <c r="I481" s="56">
        <v>0</v>
      </c>
      <c r="J481" s="56">
        <v>100000</v>
      </c>
      <c r="K481" s="56">
        <v>100000</v>
      </c>
      <c r="L481" t="s">
        <v>612</v>
      </c>
      <c r="M481" s="71">
        <v>46078</v>
      </c>
      <c r="N481" t="s">
        <v>576</v>
      </c>
    </row>
    <row r="482" spans="2:14" hidden="1" x14ac:dyDescent="0.2">
      <c r="B482">
        <v>480</v>
      </c>
      <c r="C482" t="s">
        <v>105</v>
      </c>
      <c r="D482" t="str">
        <f>VLOOKUP(C482,'Master Anggota'!$E$2:$J$678,2,0)</f>
        <v>Aktif</v>
      </c>
      <c r="G482" t="str">
        <f>VLOOKUP(C482,'Master Anggota'!$E$2:$J$678,5,0)</f>
        <v>00551</v>
      </c>
      <c r="H482" s="56">
        <v>0</v>
      </c>
      <c r="I482" s="56">
        <v>0</v>
      </c>
      <c r="J482" s="56">
        <v>100000</v>
      </c>
      <c r="K482" s="56">
        <v>50000</v>
      </c>
      <c r="L482" t="s">
        <v>612</v>
      </c>
      <c r="M482" s="71">
        <v>46078</v>
      </c>
      <c r="N482" t="s">
        <v>576</v>
      </c>
    </row>
    <row r="483" spans="2:14" hidden="1" x14ac:dyDescent="0.2">
      <c r="B483">
        <v>481</v>
      </c>
      <c r="C483" t="s">
        <v>484</v>
      </c>
      <c r="D483" t="str">
        <f>VLOOKUP(C483,'Master Anggota'!$E$2:$J$678,2,0)</f>
        <v>Aktif</v>
      </c>
      <c r="G483" t="str">
        <f>VLOOKUP(C483,'Master Anggota'!$E$2:$J$678,5,0)</f>
        <v>00552</v>
      </c>
      <c r="H483" s="56">
        <v>0</v>
      </c>
      <c r="I483" s="56">
        <v>0</v>
      </c>
      <c r="J483" s="56">
        <v>200000</v>
      </c>
      <c r="K483" s="56">
        <v>100000</v>
      </c>
      <c r="L483" t="s">
        <v>612</v>
      </c>
      <c r="M483" s="71">
        <v>46078</v>
      </c>
      <c r="N483" t="s">
        <v>576</v>
      </c>
    </row>
    <row r="484" spans="2:14" hidden="1" x14ac:dyDescent="0.2">
      <c r="B484">
        <v>482</v>
      </c>
      <c r="C484" t="s">
        <v>8</v>
      </c>
      <c r="D484" t="str">
        <f>VLOOKUP(C484,'Master Anggota'!$E$2:$J$678,2,0)</f>
        <v>Aktif</v>
      </c>
      <c r="G484" t="str">
        <f>VLOOKUP(C484,'Master Anggota'!$E$2:$J$678,5,0)</f>
        <v>00553</v>
      </c>
      <c r="H484" s="56">
        <v>0</v>
      </c>
      <c r="I484" s="56">
        <v>0</v>
      </c>
      <c r="J484" s="56">
        <v>100000</v>
      </c>
      <c r="K484" s="56">
        <v>150000</v>
      </c>
      <c r="L484" t="s">
        <v>612</v>
      </c>
      <c r="M484" s="71">
        <v>46078</v>
      </c>
      <c r="N484" t="s">
        <v>576</v>
      </c>
    </row>
    <row r="485" spans="2:14" hidden="1" x14ac:dyDescent="0.2">
      <c r="B485">
        <v>483</v>
      </c>
      <c r="C485" t="s">
        <v>87</v>
      </c>
      <c r="D485" t="str">
        <f>VLOOKUP(C485,'Master Anggota'!$E$2:$J$678,2,0)</f>
        <v>Aktif</v>
      </c>
      <c r="G485" t="str">
        <f>VLOOKUP(C485,'Master Anggota'!$E$2:$J$678,5,0)</f>
        <v>00554</v>
      </c>
      <c r="H485" s="56">
        <v>0</v>
      </c>
      <c r="I485" s="56">
        <v>0</v>
      </c>
      <c r="J485" s="56">
        <v>100000</v>
      </c>
      <c r="K485" s="56">
        <v>100000</v>
      </c>
      <c r="L485" t="s">
        <v>612</v>
      </c>
      <c r="M485" s="71">
        <v>46078</v>
      </c>
      <c r="N485" t="s">
        <v>576</v>
      </c>
    </row>
    <row r="486" spans="2:14" hidden="1" x14ac:dyDescent="0.2">
      <c r="B486">
        <v>484</v>
      </c>
      <c r="C486" t="s">
        <v>174</v>
      </c>
      <c r="D486" t="str">
        <f>VLOOKUP(C486,'Master Anggota'!$E$2:$J$678,2,0)</f>
        <v>Aktif</v>
      </c>
      <c r="G486" t="str">
        <f>VLOOKUP(C486,'Master Anggota'!$E$2:$J$678,5,0)</f>
        <v>00556</v>
      </c>
      <c r="H486" s="56">
        <v>0</v>
      </c>
      <c r="I486" s="56">
        <v>0</v>
      </c>
      <c r="J486" s="56">
        <v>100000</v>
      </c>
      <c r="K486" s="56">
        <v>100000</v>
      </c>
      <c r="L486" t="s">
        <v>612</v>
      </c>
      <c r="M486" s="71">
        <v>46078</v>
      </c>
      <c r="N486" t="s">
        <v>576</v>
      </c>
    </row>
    <row r="487" spans="2:14" hidden="1" x14ac:dyDescent="0.2">
      <c r="B487">
        <v>485</v>
      </c>
      <c r="C487" t="s">
        <v>109</v>
      </c>
      <c r="D487" t="str">
        <f>VLOOKUP(C487,'Master Anggota'!$E$2:$J$678,2,0)</f>
        <v>Aktif</v>
      </c>
      <c r="G487" t="str">
        <f>VLOOKUP(C487,'Master Anggota'!$E$2:$J$678,5,0)</f>
        <v>00557</v>
      </c>
      <c r="H487" s="56">
        <v>0</v>
      </c>
      <c r="I487" s="56">
        <v>0</v>
      </c>
      <c r="J487" s="56">
        <v>150000</v>
      </c>
      <c r="K487" s="56">
        <v>250000</v>
      </c>
      <c r="L487" t="s">
        <v>612</v>
      </c>
      <c r="M487" s="71">
        <v>46078</v>
      </c>
      <c r="N487" t="s">
        <v>576</v>
      </c>
    </row>
    <row r="488" spans="2:14" hidden="1" x14ac:dyDescent="0.2">
      <c r="B488">
        <v>486</v>
      </c>
      <c r="C488" t="s">
        <v>276</v>
      </c>
      <c r="D488" t="str">
        <f>VLOOKUP(C488,'Master Anggota'!$E$2:$J$678,2,0)</f>
        <v>Aktif</v>
      </c>
      <c r="G488" t="str">
        <f>VLOOKUP(C488,'Master Anggota'!$E$2:$J$678,5,0)</f>
        <v>00558</v>
      </c>
      <c r="H488" s="56">
        <v>0</v>
      </c>
      <c r="I488" s="56">
        <v>0</v>
      </c>
      <c r="J488" s="56">
        <v>200000</v>
      </c>
      <c r="K488" s="56">
        <v>300000</v>
      </c>
      <c r="L488" t="s">
        <v>612</v>
      </c>
      <c r="M488" s="71">
        <v>46078</v>
      </c>
      <c r="N488" t="s">
        <v>576</v>
      </c>
    </row>
    <row r="489" spans="2:14" hidden="1" x14ac:dyDescent="0.2">
      <c r="B489">
        <v>487</v>
      </c>
      <c r="C489" t="s">
        <v>171</v>
      </c>
      <c r="D489" t="str">
        <f>VLOOKUP(C489,'Master Anggota'!$E$2:$J$678,2,0)</f>
        <v>Aktif</v>
      </c>
      <c r="G489" t="str">
        <f>VLOOKUP(C489,'Master Anggota'!$E$2:$J$678,5,0)</f>
        <v>00560</v>
      </c>
      <c r="H489" s="56">
        <v>0</v>
      </c>
      <c r="I489" s="56">
        <v>0</v>
      </c>
      <c r="J489" s="56">
        <v>100000</v>
      </c>
      <c r="K489" s="56">
        <v>100000</v>
      </c>
      <c r="L489" t="s">
        <v>612</v>
      </c>
      <c r="M489" s="71">
        <v>46078</v>
      </c>
      <c r="N489" t="s">
        <v>576</v>
      </c>
    </row>
    <row r="490" spans="2:14" hidden="1" x14ac:dyDescent="0.2">
      <c r="B490">
        <v>488</v>
      </c>
      <c r="C490" t="s">
        <v>175</v>
      </c>
      <c r="D490" t="str">
        <f>VLOOKUP(C490,'Master Anggota'!$E$2:$J$678,2,0)</f>
        <v>Aktif</v>
      </c>
      <c r="G490" t="str">
        <f>VLOOKUP(C490,'Master Anggota'!$E$2:$J$678,5,0)</f>
        <v>00563</v>
      </c>
      <c r="H490" s="56">
        <v>0</v>
      </c>
      <c r="I490" s="56">
        <v>0</v>
      </c>
      <c r="J490" s="56">
        <v>100000</v>
      </c>
      <c r="K490" s="56">
        <v>150000</v>
      </c>
      <c r="L490" t="s">
        <v>612</v>
      </c>
      <c r="M490" s="71">
        <v>46078</v>
      </c>
      <c r="N490" t="s">
        <v>576</v>
      </c>
    </row>
    <row r="491" spans="2:14" hidden="1" x14ac:dyDescent="0.2">
      <c r="B491">
        <v>489</v>
      </c>
      <c r="C491" t="s">
        <v>277</v>
      </c>
      <c r="D491" t="str">
        <f>VLOOKUP(C491,'Master Anggota'!$E$2:$J$678,2,0)</f>
        <v>Aktif</v>
      </c>
      <c r="G491" t="str">
        <f>VLOOKUP(C491,'Master Anggota'!$E$2:$J$678,5,0)</f>
        <v>00564</v>
      </c>
      <c r="H491" s="56">
        <v>0</v>
      </c>
      <c r="I491" s="56">
        <v>0</v>
      </c>
      <c r="J491" s="56">
        <v>100000</v>
      </c>
      <c r="K491" s="56">
        <v>100000</v>
      </c>
      <c r="L491" t="s">
        <v>612</v>
      </c>
      <c r="M491" s="71">
        <v>46078</v>
      </c>
      <c r="N491" t="s">
        <v>576</v>
      </c>
    </row>
    <row r="492" spans="2:14" hidden="1" x14ac:dyDescent="0.2">
      <c r="B492">
        <v>490</v>
      </c>
      <c r="C492" t="s">
        <v>182</v>
      </c>
      <c r="D492" t="str">
        <f>VLOOKUP(C492,'Master Anggota'!$E$2:$J$678,2,0)</f>
        <v>Aktif</v>
      </c>
      <c r="G492" t="str">
        <f>VLOOKUP(C492,'Master Anggota'!$E$2:$J$678,5,0)</f>
        <v>00565</v>
      </c>
      <c r="H492" s="56">
        <v>0</v>
      </c>
      <c r="I492" s="56">
        <v>0</v>
      </c>
      <c r="J492" s="56">
        <v>100000</v>
      </c>
      <c r="K492" s="56">
        <v>400000</v>
      </c>
      <c r="L492" t="s">
        <v>612</v>
      </c>
      <c r="M492" s="71">
        <v>46078</v>
      </c>
      <c r="N492" t="s">
        <v>576</v>
      </c>
    </row>
    <row r="493" spans="2:14" hidden="1" x14ac:dyDescent="0.2">
      <c r="B493">
        <v>491</v>
      </c>
      <c r="C493" t="s">
        <v>178</v>
      </c>
      <c r="D493" t="str">
        <f>VLOOKUP(C493,'Master Anggota'!$E$2:$J$678,2,0)</f>
        <v>Aktif</v>
      </c>
      <c r="G493" t="str">
        <f>VLOOKUP(C493,'Master Anggota'!$E$2:$J$678,5,0)</f>
        <v>00566</v>
      </c>
      <c r="H493" s="56">
        <v>0</v>
      </c>
      <c r="I493" s="56">
        <v>0</v>
      </c>
      <c r="J493" s="56">
        <v>100000</v>
      </c>
      <c r="K493" s="56">
        <v>150000</v>
      </c>
      <c r="L493" t="s">
        <v>612</v>
      </c>
      <c r="M493" s="71">
        <v>46078</v>
      </c>
      <c r="N493" t="s">
        <v>576</v>
      </c>
    </row>
    <row r="494" spans="2:14" hidden="1" x14ac:dyDescent="0.2">
      <c r="B494">
        <v>492</v>
      </c>
      <c r="C494" t="s">
        <v>183</v>
      </c>
      <c r="D494" t="str">
        <f>VLOOKUP(C494,'Master Anggota'!$E$2:$J$678,2,0)</f>
        <v>Aktif</v>
      </c>
      <c r="G494" t="str">
        <f>VLOOKUP(C494,'Master Anggota'!$E$2:$J$678,5,0)</f>
        <v>00567</v>
      </c>
      <c r="H494" s="56">
        <v>0</v>
      </c>
      <c r="I494" s="56">
        <v>0</v>
      </c>
      <c r="J494" s="56">
        <v>100000</v>
      </c>
      <c r="K494" s="56">
        <v>400000</v>
      </c>
      <c r="L494" t="s">
        <v>612</v>
      </c>
      <c r="M494" s="71">
        <v>46078</v>
      </c>
      <c r="N494" t="s">
        <v>576</v>
      </c>
    </row>
    <row r="495" spans="2:14" hidden="1" x14ac:dyDescent="0.2">
      <c r="B495">
        <v>493</v>
      </c>
      <c r="C495" t="s">
        <v>176</v>
      </c>
      <c r="D495" t="str">
        <f>VLOOKUP(C495,'Master Anggota'!$E$2:$J$678,2,0)</f>
        <v>Aktif</v>
      </c>
      <c r="G495" t="str">
        <f>VLOOKUP(C495,'Master Anggota'!$E$2:$J$678,5,0)</f>
        <v>00568</v>
      </c>
      <c r="H495" s="56">
        <v>0</v>
      </c>
      <c r="I495" s="56">
        <v>0</v>
      </c>
      <c r="J495" s="56">
        <v>100000</v>
      </c>
      <c r="K495" s="56">
        <v>100000</v>
      </c>
      <c r="L495" t="s">
        <v>612</v>
      </c>
      <c r="M495" s="71">
        <v>46078</v>
      </c>
      <c r="N495" t="s">
        <v>576</v>
      </c>
    </row>
    <row r="496" spans="2:14" hidden="1" x14ac:dyDescent="0.2">
      <c r="B496">
        <v>494</v>
      </c>
      <c r="C496" t="s">
        <v>177</v>
      </c>
      <c r="D496" t="str">
        <f>VLOOKUP(C496,'Master Anggota'!$E$2:$J$678,2,0)</f>
        <v>Aktif</v>
      </c>
      <c r="G496" t="str">
        <f>VLOOKUP(C496,'Master Anggota'!$E$2:$J$678,5,0)</f>
        <v>00569</v>
      </c>
      <c r="H496" s="56">
        <v>0</v>
      </c>
      <c r="I496" s="56">
        <v>0</v>
      </c>
      <c r="J496" s="56">
        <v>100000</v>
      </c>
      <c r="K496" s="56">
        <v>150000</v>
      </c>
      <c r="L496" t="s">
        <v>612</v>
      </c>
      <c r="M496" s="71">
        <v>46078</v>
      </c>
      <c r="N496" t="s">
        <v>576</v>
      </c>
    </row>
    <row r="497" spans="2:14" hidden="1" x14ac:dyDescent="0.2">
      <c r="B497">
        <v>495</v>
      </c>
      <c r="C497" t="s">
        <v>362</v>
      </c>
      <c r="D497" t="str">
        <f>VLOOKUP(C497,'Master Anggota'!$E$2:$J$678,2,0)</f>
        <v>Aktif</v>
      </c>
      <c r="G497" t="str">
        <f>VLOOKUP(C497,'Master Anggota'!$E$2:$J$678,5,0)</f>
        <v>00570</v>
      </c>
      <c r="H497" s="56">
        <v>0</v>
      </c>
      <c r="I497" s="56">
        <v>0</v>
      </c>
      <c r="J497" s="56">
        <v>100000</v>
      </c>
      <c r="K497" s="56">
        <v>500000</v>
      </c>
      <c r="L497" t="s">
        <v>612</v>
      </c>
      <c r="M497" s="71">
        <v>46078</v>
      </c>
      <c r="N497" t="s">
        <v>576</v>
      </c>
    </row>
    <row r="498" spans="2:14" hidden="1" x14ac:dyDescent="0.2">
      <c r="B498">
        <v>496</v>
      </c>
      <c r="C498" t="s">
        <v>159</v>
      </c>
      <c r="D498" t="str">
        <f>VLOOKUP(C498,'Master Anggota'!$E$2:$J$678,2,0)</f>
        <v>Purna Bakti 2026</v>
      </c>
      <c r="G498" t="str">
        <f>VLOOKUP(C498,'Master Anggota'!$E$2:$J$678,5,0)</f>
        <v>00571</v>
      </c>
      <c r="H498" s="82">
        <v>0</v>
      </c>
      <c r="I498" s="82">
        <v>0</v>
      </c>
      <c r="J498" s="82">
        <v>100000</v>
      </c>
      <c r="K498" s="82">
        <v>50000</v>
      </c>
      <c r="L498" t="s">
        <v>612</v>
      </c>
      <c r="M498" s="71">
        <v>46078</v>
      </c>
      <c r="N498" t="s">
        <v>576</v>
      </c>
    </row>
    <row r="499" spans="2:14" hidden="1" x14ac:dyDescent="0.2">
      <c r="B499">
        <v>497</v>
      </c>
      <c r="C499" t="s">
        <v>291</v>
      </c>
      <c r="D499" t="str">
        <f>VLOOKUP(C499,'Master Anggota'!$E$2:$J$678,2,0)</f>
        <v>Aktif</v>
      </c>
      <c r="G499" t="str">
        <f>VLOOKUP(C499,'Master Anggota'!$E$2:$J$678,5,0)</f>
        <v>00574</v>
      </c>
      <c r="H499" s="56">
        <v>0</v>
      </c>
      <c r="I499" s="56">
        <v>0</v>
      </c>
      <c r="J499" s="56">
        <v>100000</v>
      </c>
      <c r="K499" s="56">
        <v>75000</v>
      </c>
      <c r="L499" t="s">
        <v>612</v>
      </c>
      <c r="M499" s="71">
        <v>46078</v>
      </c>
      <c r="N499" t="s">
        <v>576</v>
      </c>
    </row>
    <row r="500" spans="2:14" hidden="1" x14ac:dyDescent="0.2">
      <c r="B500">
        <v>498</v>
      </c>
      <c r="C500" t="s">
        <v>363</v>
      </c>
      <c r="D500" t="str">
        <f>VLOOKUP(C500,'Master Anggota'!$E$2:$J$678,2,0)</f>
        <v>Aktif</v>
      </c>
      <c r="G500" t="str">
        <f>VLOOKUP(C500,'Master Anggota'!$E$2:$J$678,5,0)</f>
        <v>00576</v>
      </c>
      <c r="H500" s="56">
        <v>0</v>
      </c>
      <c r="I500" s="56">
        <v>0</v>
      </c>
      <c r="J500" s="56">
        <v>100000</v>
      </c>
      <c r="K500" s="56">
        <v>100000</v>
      </c>
      <c r="L500" t="s">
        <v>612</v>
      </c>
      <c r="M500" s="71">
        <v>46078</v>
      </c>
      <c r="N500" t="s">
        <v>576</v>
      </c>
    </row>
    <row r="501" spans="2:14" hidden="1" x14ac:dyDescent="0.2">
      <c r="B501">
        <v>499</v>
      </c>
      <c r="C501" t="s">
        <v>365</v>
      </c>
      <c r="D501" t="str">
        <f>VLOOKUP(C501,'Master Anggota'!$E$2:$J$678,2,0)</f>
        <v>Aktif</v>
      </c>
      <c r="G501" t="str">
        <f>VLOOKUP(C501,'Master Anggota'!$E$2:$J$678,5,0)</f>
        <v>00576</v>
      </c>
      <c r="H501" s="56">
        <v>0</v>
      </c>
      <c r="I501" s="56">
        <v>0</v>
      </c>
      <c r="J501" s="56">
        <v>100000</v>
      </c>
      <c r="K501" s="56">
        <v>50000</v>
      </c>
      <c r="L501" t="s">
        <v>612</v>
      </c>
      <c r="M501" s="71">
        <v>46078</v>
      </c>
      <c r="N501" t="s">
        <v>576</v>
      </c>
    </row>
    <row r="502" spans="2:14" hidden="1" x14ac:dyDescent="0.2">
      <c r="B502">
        <v>500</v>
      </c>
      <c r="C502" t="s">
        <v>467</v>
      </c>
      <c r="D502" t="str">
        <f>VLOOKUP(C502,'Master Anggota'!$E$2:$J$678,2,0)</f>
        <v>Aktif</v>
      </c>
      <c r="G502" t="str">
        <f>VLOOKUP(C502,'Master Anggota'!$E$2:$J$678,5,0)</f>
        <v>00577</v>
      </c>
      <c r="H502" s="56">
        <v>0</v>
      </c>
      <c r="I502" s="56">
        <v>0</v>
      </c>
      <c r="J502" s="56">
        <v>100000</v>
      </c>
      <c r="K502" s="56">
        <v>150000</v>
      </c>
      <c r="L502" t="s">
        <v>612</v>
      </c>
      <c r="M502" s="71">
        <v>46078</v>
      </c>
      <c r="N502" t="s">
        <v>576</v>
      </c>
    </row>
    <row r="503" spans="2:14" hidden="1" x14ac:dyDescent="0.2">
      <c r="B503">
        <v>501</v>
      </c>
      <c r="C503" t="s">
        <v>364</v>
      </c>
      <c r="D503" t="str">
        <f>VLOOKUP(C503,'Master Anggota'!$E$2:$J$678,2,0)</f>
        <v>Aktif</v>
      </c>
      <c r="G503" t="str">
        <f>VLOOKUP(C503,'Master Anggota'!$E$2:$J$678,5,0)</f>
        <v>00578</v>
      </c>
      <c r="H503" s="56">
        <v>0</v>
      </c>
      <c r="I503" s="56">
        <v>0</v>
      </c>
      <c r="J503" s="56">
        <v>100000</v>
      </c>
      <c r="K503" s="56">
        <v>100000</v>
      </c>
      <c r="L503" t="s">
        <v>612</v>
      </c>
      <c r="M503" s="71">
        <v>46078</v>
      </c>
      <c r="N503" t="s">
        <v>576</v>
      </c>
    </row>
    <row r="504" spans="2:14" hidden="1" x14ac:dyDescent="0.2">
      <c r="B504">
        <v>502</v>
      </c>
      <c r="C504" t="s">
        <v>523</v>
      </c>
      <c r="D504" t="str">
        <f>VLOOKUP(C504,'Master Anggota'!$E$2:$J$678,2,0)</f>
        <v>Aktif</v>
      </c>
      <c r="G504" t="str">
        <f>VLOOKUP(C504,'Master Anggota'!$E$2:$J$678,5,0)</f>
        <v>00579</v>
      </c>
      <c r="H504" s="56">
        <v>0</v>
      </c>
      <c r="I504" s="56">
        <v>0</v>
      </c>
      <c r="J504" s="56">
        <v>100000</v>
      </c>
      <c r="K504" s="56">
        <v>200000</v>
      </c>
      <c r="L504" t="s">
        <v>612</v>
      </c>
      <c r="M504" s="71">
        <v>46078</v>
      </c>
      <c r="N504" t="s">
        <v>576</v>
      </c>
    </row>
    <row r="505" spans="2:14" hidden="1" x14ac:dyDescent="0.2">
      <c r="B505">
        <v>503</v>
      </c>
      <c r="C505" t="s">
        <v>110</v>
      </c>
      <c r="D505" t="str">
        <f>VLOOKUP(C505,'Master Anggota'!$E$2:$J$678,2,0)</f>
        <v>Aktif</v>
      </c>
      <c r="G505" t="str">
        <f>VLOOKUP(C505,'Master Anggota'!$E$2:$J$678,5,0)</f>
        <v>00580</v>
      </c>
      <c r="H505" s="56">
        <v>0</v>
      </c>
      <c r="I505" s="56">
        <v>0</v>
      </c>
      <c r="J505" s="56">
        <v>100000</v>
      </c>
      <c r="K505" s="56">
        <v>50000</v>
      </c>
      <c r="L505" t="s">
        <v>612</v>
      </c>
      <c r="M505" s="71">
        <v>46078</v>
      </c>
      <c r="N505" t="s">
        <v>576</v>
      </c>
    </row>
    <row r="506" spans="2:14" hidden="1" x14ac:dyDescent="0.2">
      <c r="B506">
        <v>504</v>
      </c>
      <c r="C506" t="s">
        <v>180</v>
      </c>
      <c r="D506" t="str">
        <f>VLOOKUP(C506,'Master Anggota'!$E$2:$J$678,2,0)</f>
        <v>Purna Bakti 2026</v>
      </c>
      <c r="G506" t="str">
        <f>VLOOKUP(C506,'Master Anggota'!$E$2:$J$678,5,0)</f>
        <v>00581</v>
      </c>
      <c r="H506" s="56">
        <v>0</v>
      </c>
      <c r="I506" s="56">
        <v>0</v>
      </c>
      <c r="J506" s="56">
        <v>100000</v>
      </c>
      <c r="K506" s="56">
        <v>400000</v>
      </c>
      <c r="L506" t="s">
        <v>612</v>
      </c>
      <c r="M506" s="71">
        <v>46078</v>
      </c>
      <c r="N506" t="s">
        <v>576</v>
      </c>
    </row>
    <row r="507" spans="2:14" hidden="1" x14ac:dyDescent="0.2">
      <c r="B507">
        <v>505</v>
      </c>
      <c r="C507" t="s">
        <v>187</v>
      </c>
      <c r="D507" t="str">
        <f>VLOOKUP(C507,'Master Anggota'!$E$2:$J$678,2,0)</f>
        <v>Aktif</v>
      </c>
      <c r="G507" t="str">
        <f>VLOOKUP(C507,'Master Anggota'!$E$2:$J$678,5,0)</f>
        <v>00582</v>
      </c>
      <c r="H507" s="56">
        <v>0</v>
      </c>
      <c r="I507" s="56">
        <v>0</v>
      </c>
      <c r="J507" s="56">
        <v>200000</v>
      </c>
      <c r="K507" s="56">
        <v>300000</v>
      </c>
      <c r="L507" t="s">
        <v>612</v>
      </c>
      <c r="M507" s="71">
        <v>46078</v>
      </c>
      <c r="N507" t="s">
        <v>576</v>
      </c>
    </row>
    <row r="508" spans="2:14" hidden="1" x14ac:dyDescent="0.2">
      <c r="B508">
        <v>506</v>
      </c>
      <c r="C508" t="s">
        <v>173</v>
      </c>
      <c r="D508" t="str">
        <f>VLOOKUP(C508,'Master Anggota'!$E$2:$J$678,2,0)</f>
        <v>Aktif</v>
      </c>
      <c r="G508" t="str">
        <f>VLOOKUP(C508,'Master Anggota'!$E$2:$J$678,5,0)</f>
        <v>00583</v>
      </c>
      <c r="H508" s="56">
        <v>0</v>
      </c>
      <c r="I508" s="56">
        <v>0</v>
      </c>
      <c r="J508" s="56">
        <v>100000</v>
      </c>
      <c r="K508" s="56">
        <v>100000</v>
      </c>
      <c r="L508" t="s">
        <v>612</v>
      </c>
      <c r="M508" s="71">
        <v>46078</v>
      </c>
      <c r="N508" t="s">
        <v>576</v>
      </c>
    </row>
    <row r="509" spans="2:14" hidden="1" x14ac:dyDescent="0.2">
      <c r="B509">
        <v>507</v>
      </c>
      <c r="C509" t="s">
        <v>172</v>
      </c>
      <c r="D509" t="str">
        <f>VLOOKUP(C509,'Master Anggota'!$E$2:$J$678,2,0)</f>
        <v>Aktif</v>
      </c>
      <c r="G509" t="str">
        <f>VLOOKUP(C509,'Master Anggota'!$E$2:$J$678,5,0)</f>
        <v>00584</v>
      </c>
      <c r="H509" s="56">
        <v>0</v>
      </c>
      <c r="I509" s="56">
        <v>0</v>
      </c>
      <c r="J509" s="56">
        <v>100000</v>
      </c>
      <c r="K509" s="56">
        <v>100000</v>
      </c>
      <c r="L509" t="s">
        <v>612</v>
      </c>
      <c r="M509" s="71">
        <v>46078</v>
      </c>
      <c r="N509" t="s">
        <v>576</v>
      </c>
    </row>
    <row r="510" spans="2:14" hidden="1" x14ac:dyDescent="0.2">
      <c r="B510">
        <v>508</v>
      </c>
      <c r="C510" t="s">
        <v>300</v>
      </c>
      <c r="D510" t="str">
        <f>VLOOKUP(C510,'Master Anggota'!$E$2:$J$678,2,0)</f>
        <v>Aktif</v>
      </c>
      <c r="G510" t="str">
        <f>VLOOKUP(C510,'Master Anggota'!$E$2:$J$678,5,0)</f>
        <v>00585</v>
      </c>
      <c r="H510" s="56">
        <v>0</v>
      </c>
      <c r="I510" s="56">
        <v>0</v>
      </c>
      <c r="J510" s="56">
        <v>100000</v>
      </c>
      <c r="K510" s="56">
        <v>125000</v>
      </c>
      <c r="L510" t="s">
        <v>612</v>
      </c>
      <c r="M510" s="71">
        <v>46078</v>
      </c>
      <c r="N510" t="s">
        <v>576</v>
      </c>
    </row>
    <row r="511" spans="2:14" hidden="1" x14ac:dyDescent="0.2">
      <c r="B511">
        <v>509</v>
      </c>
      <c r="C511" t="s">
        <v>314</v>
      </c>
      <c r="D511" t="str">
        <f>VLOOKUP(C511,'Master Anggota'!$E$2:$J$678,2,0)</f>
        <v>Purna Bakti 2026</v>
      </c>
      <c r="G511" t="str">
        <f>VLOOKUP(C511,'Master Anggota'!$E$2:$J$678,5,0)</f>
        <v>00587</v>
      </c>
      <c r="H511" s="56">
        <v>0</v>
      </c>
      <c r="I511" s="56">
        <v>0</v>
      </c>
      <c r="J511" s="56">
        <v>100000</v>
      </c>
      <c r="K511" s="56">
        <v>400000</v>
      </c>
      <c r="L511" t="s">
        <v>612</v>
      </c>
      <c r="M511" s="71">
        <v>46078</v>
      </c>
      <c r="N511" t="s">
        <v>576</v>
      </c>
    </row>
    <row r="512" spans="2:14" hidden="1" x14ac:dyDescent="0.2">
      <c r="B512">
        <v>510</v>
      </c>
      <c r="C512" t="s">
        <v>186</v>
      </c>
      <c r="D512" t="str">
        <f>VLOOKUP(C512,'Master Anggota'!$E$2:$J$678,2,0)</f>
        <v>Aktif</v>
      </c>
      <c r="G512" t="str">
        <f>VLOOKUP(C512,'Master Anggota'!$E$2:$J$678,5,0)</f>
        <v>00588</v>
      </c>
      <c r="H512" s="56">
        <v>0</v>
      </c>
      <c r="I512" s="56">
        <v>0</v>
      </c>
      <c r="J512" s="56">
        <v>100000</v>
      </c>
      <c r="K512" s="56">
        <v>250000</v>
      </c>
      <c r="L512" t="s">
        <v>612</v>
      </c>
      <c r="M512" s="71">
        <v>46078</v>
      </c>
      <c r="N512" t="s">
        <v>576</v>
      </c>
    </row>
    <row r="513" spans="2:14" hidden="1" x14ac:dyDescent="0.2">
      <c r="B513">
        <v>511</v>
      </c>
      <c r="C513" t="s">
        <v>306</v>
      </c>
      <c r="D513" t="str">
        <f>VLOOKUP(C513,'Master Anggota'!$E$2:$J$678,2,0)</f>
        <v>Aktif</v>
      </c>
      <c r="G513" t="str">
        <f>VLOOKUP(C513,'Master Anggota'!$E$2:$J$678,5,0)</f>
        <v>00589</v>
      </c>
      <c r="H513" s="56">
        <v>0</v>
      </c>
      <c r="I513" s="56">
        <v>0</v>
      </c>
      <c r="J513" s="56">
        <v>100000</v>
      </c>
      <c r="K513" s="56">
        <v>100000</v>
      </c>
      <c r="L513" t="s">
        <v>612</v>
      </c>
      <c r="M513" s="71">
        <v>46078</v>
      </c>
      <c r="N513" t="s">
        <v>576</v>
      </c>
    </row>
    <row r="514" spans="2:14" hidden="1" x14ac:dyDescent="0.2">
      <c r="B514">
        <v>512</v>
      </c>
      <c r="C514" t="s">
        <v>307</v>
      </c>
      <c r="D514" t="str">
        <f>VLOOKUP(C514,'Master Anggota'!$E$2:$J$678,2,0)</f>
        <v>Aktif</v>
      </c>
      <c r="G514" t="str">
        <f>VLOOKUP(C514,'Master Anggota'!$E$2:$J$678,5,0)</f>
        <v>00591</v>
      </c>
      <c r="H514" s="56">
        <v>0</v>
      </c>
      <c r="I514" s="56">
        <v>0</v>
      </c>
      <c r="J514" s="56">
        <v>100000</v>
      </c>
      <c r="K514" s="56">
        <v>100000</v>
      </c>
      <c r="L514" t="s">
        <v>612</v>
      </c>
      <c r="M514" s="71">
        <v>46078</v>
      </c>
      <c r="N514" t="s">
        <v>576</v>
      </c>
    </row>
    <row r="515" spans="2:14" hidden="1" x14ac:dyDescent="0.2">
      <c r="B515">
        <v>513</v>
      </c>
      <c r="C515" t="s">
        <v>389</v>
      </c>
      <c r="D515" t="str">
        <f>VLOOKUP(C515,'Master Anggota'!$E$2:$J$678,2,0)</f>
        <v>Aktif</v>
      </c>
      <c r="G515" t="str">
        <f>VLOOKUP(C515,'Master Anggota'!$E$2:$J$678,5,0)</f>
        <v>00593</v>
      </c>
      <c r="H515" s="56">
        <v>0</v>
      </c>
      <c r="I515" s="56">
        <v>0</v>
      </c>
      <c r="J515" s="56">
        <v>100000</v>
      </c>
      <c r="K515" s="56">
        <v>250000</v>
      </c>
      <c r="L515" t="s">
        <v>612</v>
      </c>
      <c r="M515" s="71">
        <v>46078</v>
      </c>
      <c r="N515" t="s">
        <v>576</v>
      </c>
    </row>
    <row r="516" spans="2:14" hidden="1" x14ac:dyDescent="0.2">
      <c r="B516">
        <v>514</v>
      </c>
      <c r="C516" t="s">
        <v>188</v>
      </c>
      <c r="D516" t="str">
        <f>VLOOKUP(C516,'Master Anggota'!$E$2:$J$678,2,0)</f>
        <v>Aktif</v>
      </c>
      <c r="G516" t="str">
        <f>VLOOKUP(C516,'Master Anggota'!$E$2:$J$678,5,0)</f>
        <v>00596</v>
      </c>
      <c r="H516" s="56">
        <v>0</v>
      </c>
      <c r="I516" s="56">
        <v>0</v>
      </c>
      <c r="J516" s="56">
        <v>100000</v>
      </c>
      <c r="K516" s="56">
        <v>500000</v>
      </c>
      <c r="L516" t="s">
        <v>612</v>
      </c>
      <c r="M516" s="71">
        <v>46078</v>
      </c>
      <c r="N516" t="s">
        <v>576</v>
      </c>
    </row>
    <row r="517" spans="2:14" hidden="1" x14ac:dyDescent="0.2">
      <c r="B517">
        <v>515</v>
      </c>
      <c r="C517" t="s">
        <v>309</v>
      </c>
      <c r="D517" t="str">
        <f>VLOOKUP(C517,'Master Anggota'!$E$2:$J$678,2,0)</f>
        <v>Aktif</v>
      </c>
      <c r="G517" t="str">
        <f>VLOOKUP(C517,'Master Anggota'!$E$2:$J$678,5,0)</f>
        <v>00602</v>
      </c>
      <c r="H517" s="56">
        <v>0</v>
      </c>
      <c r="I517" s="56">
        <v>0</v>
      </c>
      <c r="J517" s="56">
        <v>100000</v>
      </c>
      <c r="K517" s="56">
        <v>50000</v>
      </c>
      <c r="L517" t="s">
        <v>612</v>
      </c>
      <c r="M517" s="71">
        <v>46078</v>
      </c>
      <c r="N517" t="s">
        <v>576</v>
      </c>
    </row>
    <row r="518" spans="2:14" hidden="1" x14ac:dyDescent="0.2">
      <c r="B518">
        <v>516</v>
      </c>
      <c r="C518" t="s">
        <v>325</v>
      </c>
      <c r="D518" t="str">
        <f>VLOOKUP(C518,'Master Anggota'!$E$2:$J$678,2,0)</f>
        <v>Purna Bakti 2026</v>
      </c>
      <c r="G518" t="str">
        <f>VLOOKUP(C518,'Master Anggota'!$E$2:$J$678,5,0)</f>
        <v>00607</v>
      </c>
      <c r="H518" s="56">
        <v>0</v>
      </c>
      <c r="I518" s="56">
        <v>0</v>
      </c>
      <c r="J518" s="56">
        <v>100000</v>
      </c>
      <c r="K518" s="56">
        <v>150000</v>
      </c>
      <c r="L518" t="s">
        <v>612</v>
      </c>
      <c r="M518" s="71">
        <v>46078</v>
      </c>
      <c r="N518" t="s">
        <v>576</v>
      </c>
    </row>
    <row r="519" spans="2:14" hidden="1" x14ac:dyDescent="0.2">
      <c r="B519">
        <v>517</v>
      </c>
      <c r="C519" t="s">
        <v>326</v>
      </c>
      <c r="D519" t="str">
        <f>VLOOKUP(C519,'Master Anggota'!$E$2:$J$678,2,0)</f>
        <v>Aktif</v>
      </c>
      <c r="G519" t="str">
        <f>VLOOKUP(C519,'Master Anggota'!$E$2:$J$678,5,0)</f>
        <v>00608</v>
      </c>
      <c r="H519" s="56">
        <v>0</v>
      </c>
      <c r="I519" s="56">
        <v>0</v>
      </c>
      <c r="J519" s="56">
        <v>100000</v>
      </c>
      <c r="K519" s="56">
        <v>100000</v>
      </c>
      <c r="L519" t="s">
        <v>612</v>
      </c>
      <c r="M519" s="71">
        <v>46078</v>
      </c>
      <c r="N519" t="s">
        <v>576</v>
      </c>
    </row>
    <row r="520" spans="2:14" hidden="1" x14ac:dyDescent="0.2">
      <c r="B520">
        <v>518</v>
      </c>
      <c r="C520" t="s">
        <v>370</v>
      </c>
      <c r="D520" t="str">
        <f>VLOOKUP(C520,'Master Anggota'!$E$2:$J$678,2,0)</f>
        <v>Aktif</v>
      </c>
      <c r="G520" t="str">
        <f>VLOOKUP(C520,'Master Anggota'!$E$2:$J$678,5,0)</f>
        <v>00610</v>
      </c>
      <c r="H520" s="56">
        <v>0</v>
      </c>
      <c r="I520" s="56">
        <v>0</v>
      </c>
      <c r="J520" s="56">
        <v>100000</v>
      </c>
      <c r="K520" s="56">
        <v>500000</v>
      </c>
      <c r="L520" t="s">
        <v>612</v>
      </c>
      <c r="M520" s="71">
        <v>46078</v>
      </c>
      <c r="N520" t="s">
        <v>576</v>
      </c>
    </row>
    <row r="521" spans="2:14" hidden="1" x14ac:dyDescent="0.2">
      <c r="B521">
        <v>519</v>
      </c>
      <c r="C521" t="s">
        <v>519</v>
      </c>
      <c r="D521" t="str">
        <f>VLOOKUP(C521,'Master Anggota'!$E$2:$J$678,2,0)</f>
        <v>Aktif</v>
      </c>
      <c r="G521" t="str">
        <f>VLOOKUP(C521,'Master Anggota'!$E$2:$J$678,5,0)</f>
        <v>00611</v>
      </c>
      <c r="H521" s="56">
        <v>0</v>
      </c>
      <c r="I521" s="56">
        <v>0</v>
      </c>
      <c r="J521" s="56">
        <v>100000</v>
      </c>
      <c r="K521" s="56">
        <v>100000</v>
      </c>
      <c r="L521" t="s">
        <v>612</v>
      </c>
      <c r="M521" s="71">
        <v>46078</v>
      </c>
      <c r="N521" t="s">
        <v>576</v>
      </c>
    </row>
    <row r="522" spans="2:14" hidden="1" x14ac:dyDescent="0.2">
      <c r="B522">
        <v>520</v>
      </c>
      <c r="C522" t="s">
        <v>442</v>
      </c>
      <c r="D522" t="str">
        <f>VLOOKUP(C522,'Master Anggota'!$E$2:$J$678,2,0)</f>
        <v>Aktif</v>
      </c>
      <c r="G522" t="str">
        <f>VLOOKUP(C522,'Master Anggota'!$E$2:$J$678,5,0)</f>
        <v>00613</v>
      </c>
      <c r="H522" s="56">
        <v>0</v>
      </c>
      <c r="I522" s="56">
        <v>0</v>
      </c>
      <c r="J522" s="56">
        <v>100000</v>
      </c>
      <c r="K522" s="56">
        <v>150000</v>
      </c>
      <c r="L522" t="s">
        <v>612</v>
      </c>
      <c r="M522" s="71">
        <v>46078</v>
      </c>
      <c r="N522" t="s">
        <v>576</v>
      </c>
    </row>
    <row r="523" spans="2:14" hidden="1" x14ac:dyDescent="0.2">
      <c r="B523">
        <v>521</v>
      </c>
      <c r="C523" t="s">
        <v>400</v>
      </c>
      <c r="D523" t="str">
        <f>VLOOKUP(C523,'Master Anggota'!$E$2:$J$678,2,0)</f>
        <v>Aktif</v>
      </c>
      <c r="G523" t="str">
        <f>VLOOKUP(C523,'Master Anggota'!$E$2:$J$678,5,0)</f>
        <v>00614</v>
      </c>
      <c r="H523" s="56">
        <v>0</v>
      </c>
      <c r="I523" s="56">
        <v>0</v>
      </c>
      <c r="J523" s="56">
        <v>100000</v>
      </c>
      <c r="K523" s="56">
        <v>100000</v>
      </c>
      <c r="L523" t="s">
        <v>612</v>
      </c>
      <c r="M523" s="71">
        <v>46078</v>
      </c>
      <c r="N523" t="s">
        <v>576</v>
      </c>
    </row>
    <row r="524" spans="2:14" hidden="1" x14ac:dyDescent="0.2">
      <c r="B524">
        <v>522</v>
      </c>
      <c r="C524" t="s">
        <v>438</v>
      </c>
      <c r="D524" t="str">
        <f>VLOOKUP(C524,'Master Anggota'!$E$2:$J$678,2,0)</f>
        <v>Aktif</v>
      </c>
      <c r="G524" t="str">
        <f>VLOOKUP(C524,'Master Anggota'!$E$2:$J$678,5,0)</f>
        <v>00616</v>
      </c>
      <c r="H524" s="56">
        <v>0</v>
      </c>
      <c r="I524" s="56">
        <v>0</v>
      </c>
      <c r="J524" s="56">
        <v>100000</v>
      </c>
      <c r="K524" s="56">
        <v>250000</v>
      </c>
      <c r="L524" t="s">
        <v>612</v>
      </c>
      <c r="M524" s="71">
        <v>46078</v>
      </c>
      <c r="N524" t="s">
        <v>576</v>
      </c>
    </row>
    <row r="525" spans="2:14" hidden="1" x14ac:dyDescent="0.2">
      <c r="B525">
        <v>523</v>
      </c>
      <c r="C525" t="s">
        <v>312</v>
      </c>
      <c r="D525" t="str">
        <f>VLOOKUP(C525,'Master Anggota'!$E$2:$J$678,2,0)</f>
        <v>Aktif</v>
      </c>
      <c r="G525" t="str">
        <f>VLOOKUP(C525,'Master Anggota'!$E$2:$J$678,5,0)</f>
        <v>00621</v>
      </c>
      <c r="H525" s="56">
        <v>0</v>
      </c>
      <c r="I525" s="56">
        <v>0</v>
      </c>
      <c r="J525" s="56">
        <v>100000</v>
      </c>
      <c r="K525" s="56">
        <v>100000</v>
      </c>
      <c r="L525" t="s">
        <v>612</v>
      </c>
      <c r="M525" s="71">
        <v>46078</v>
      </c>
      <c r="N525" t="s">
        <v>576</v>
      </c>
    </row>
    <row r="526" spans="2:14" hidden="1" x14ac:dyDescent="0.2">
      <c r="B526">
        <v>524</v>
      </c>
      <c r="C526" t="s">
        <v>452</v>
      </c>
      <c r="D526" t="str">
        <f>VLOOKUP(C526,'Master Anggota'!$E$2:$J$678,2,0)</f>
        <v>Aktif</v>
      </c>
      <c r="G526" t="str">
        <f>VLOOKUP(C526,'Master Anggota'!$E$2:$J$678,5,0)</f>
        <v>00623</v>
      </c>
      <c r="H526" s="56">
        <v>0</v>
      </c>
      <c r="I526" s="56">
        <v>0</v>
      </c>
      <c r="J526" s="56">
        <v>100000</v>
      </c>
      <c r="K526" s="56">
        <v>50000</v>
      </c>
      <c r="L526" t="s">
        <v>612</v>
      </c>
      <c r="M526" s="71">
        <v>46078</v>
      </c>
      <c r="N526" t="s">
        <v>576</v>
      </c>
    </row>
    <row r="527" spans="2:14" hidden="1" x14ac:dyDescent="0.2">
      <c r="B527">
        <v>525</v>
      </c>
      <c r="C527" t="s">
        <v>324</v>
      </c>
      <c r="D527" t="str">
        <f>VLOOKUP(C527,'Master Anggota'!$E$2:$J$678,2,0)</f>
        <v>Aktif</v>
      </c>
      <c r="G527" t="str">
        <f>VLOOKUP(C527,'Master Anggota'!$E$2:$J$678,5,0)</f>
        <v>00626</v>
      </c>
      <c r="H527" s="56">
        <v>0</v>
      </c>
      <c r="I527" s="56">
        <v>0</v>
      </c>
      <c r="J527" s="56">
        <v>100000</v>
      </c>
      <c r="K527" s="56">
        <v>200000</v>
      </c>
      <c r="L527" t="s">
        <v>612</v>
      </c>
      <c r="M527" s="71">
        <v>46078</v>
      </c>
      <c r="N527" t="s">
        <v>576</v>
      </c>
    </row>
    <row r="528" spans="2:14" hidden="1" x14ac:dyDescent="0.2">
      <c r="B528">
        <v>526</v>
      </c>
      <c r="C528" t="s">
        <v>445</v>
      </c>
      <c r="D528" t="str">
        <f>VLOOKUP(C528,'Master Anggota'!$E$2:$J$678,2,0)</f>
        <v>Aktif</v>
      </c>
      <c r="G528" t="str">
        <f>VLOOKUP(C528,'Master Anggota'!$E$2:$J$678,5,0)</f>
        <v>00628</v>
      </c>
      <c r="H528" s="56">
        <v>0</v>
      </c>
      <c r="I528" s="56">
        <v>0</v>
      </c>
      <c r="J528" s="56">
        <v>100000</v>
      </c>
      <c r="K528" s="56">
        <v>150000</v>
      </c>
      <c r="L528" t="s">
        <v>612</v>
      </c>
      <c r="M528" s="71">
        <v>46078</v>
      </c>
      <c r="N528" t="s">
        <v>576</v>
      </c>
    </row>
    <row r="529" spans="2:14" hidden="1" x14ac:dyDescent="0.2">
      <c r="B529">
        <v>527</v>
      </c>
      <c r="C529" t="s">
        <v>425</v>
      </c>
      <c r="D529" t="str">
        <f>VLOOKUP(C529,'Master Anggota'!$E$2:$J$678,2,0)</f>
        <v>Aktif</v>
      </c>
      <c r="G529" t="str">
        <f>VLOOKUP(C529,'Master Anggota'!$E$2:$J$678,5,0)</f>
        <v>00629</v>
      </c>
      <c r="H529" s="56">
        <v>0</v>
      </c>
      <c r="I529" s="56">
        <v>0</v>
      </c>
      <c r="J529" s="56">
        <v>100000</v>
      </c>
      <c r="K529" s="56">
        <v>50000</v>
      </c>
      <c r="L529" t="s">
        <v>612</v>
      </c>
      <c r="M529" s="71">
        <v>46078</v>
      </c>
      <c r="N529" t="s">
        <v>576</v>
      </c>
    </row>
    <row r="530" spans="2:14" hidden="1" x14ac:dyDescent="0.2">
      <c r="B530">
        <v>528</v>
      </c>
      <c r="C530" t="s">
        <v>157</v>
      </c>
      <c r="D530" t="str">
        <f>VLOOKUP(C530,'Master Anggota'!$E$2:$J$678,2,0)</f>
        <v>Aktif</v>
      </c>
      <c r="G530" t="str">
        <f>VLOOKUP(C530,'Master Anggota'!$E$2:$J$678,5,0)</f>
        <v>00633</v>
      </c>
      <c r="H530" s="56">
        <v>0</v>
      </c>
      <c r="I530" s="56">
        <v>0</v>
      </c>
      <c r="J530" s="56">
        <v>100000</v>
      </c>
      <c r="K530" s="56">
        <v>12500</v>
      </c>
      <c r="L530" t="s">
        <v>612</v>
      </c>
      <c r="M530" s="71">
        <v>46078</v>
      </c>
      <c r="N530" t="s">
        <v>576</v>
      </c>
    </row>
    <row r="531" spans="2:14" hidden="1" x14ac:dyDescent="0.2">
      <c r="B531">
        <v>529</v>
      </c>
      <c r="C531" t="s">
        <v>435</v>
      </c>
      <c r="D531" t="str">
        <f>VLOOKUP(C531,'Master Anggota'!$E$2:$J$678,2,0)</f>
        <v>Aktif</v>
      </c>
      <c r="G531" t="str">
        <f>VLOOKUP(C531,'Master Anggota'!$E$2:$J$678,5,0)</f>
        <v>00637</v>
      </c>
      <c r="H531" s="56">
        <v>0</v>
      </c>
      <c r="I531" s="56">
        <v>0</v>
      </c>
      <c r="J531" s="56">
        <v>100000</v>
      </c>
      <c r="K531" s="56">
        <v>100000</v>
      </c>
      <c r="L531" t="s">
        <v>612</v>
      </c>
      <c r="M531" s="71">
        <v>46078</v>
      </c>
      <c r="N531" t="s">
        <v>576</v>
      </c>
    </row>
    <row r="532" spans="2:14" hidden="1" x14ac:dyDescent="0.2">
      <c r="B532">
        <v>530</v>
      </c>
      <c r="C532" t="s">
        <v>436</v>
      </c>
      <c r="D532" t="str">
        <f>VLOOKUP(C532,'Master Anggota'!$E$2:$J$678,2,0)</f>
        <v>Aktif</v>
      </c>
      <c r="G532" t="str">
        <f>VLOOKUP(C532,'Master Anggota'!$E$2:$J$678,5,0)</f>
        <v>01708</v>
      </c>
      <c r="H532" s="56">
        <v>0</v>
      </c>
      <c r="I532" s="56">
        <v>0</v>
      </c>
      <c r="J532" s="56">
        <v>100000</v>
      </c>
      <c r="K532" s="56">
        <v>100000</v>
      </c>
      <c r="L532" t="s">
        <v>612</v>
      </c>
      <c r="M532" s="71">
        <v>46078</v>
      </c>
      <c r="N532" t="s">
        <v>576</v>
      </c>
    </row>
    <row r="533" spans="2:14" hidden="1" x14ac:dyDescent="0.2">
      <c r="B533">
        <v>531</v>
      </c>
      <c r="C533" t="s">
        <v>160</v>
      </c>
      <c r="D533" t="str">
        <f>VLOOKUP(C533,'Master Anggota'!$E$2:$J$678,2,0)</f>
        <v>Aktif</v>
      </c>
      <c r="G533" t="str">
        <f>VLOOKUP(C533,'Master Anggota'!$E$2:$J$678,5,0)</f>
        <v>01166</v>
      </c>
      <c r="H533" s="56">
        <v>0</v>
      </c>
      <c r="I533" s="56">
        <v>0</v>
      </c>
      <c r="J533" s="56">
        <v>100000</v>
      </c>
      <c r="K533" s="56">
        <v>75000</v>
      </c>
      <c r="L533" t="s">
        <v>612</v>
      </c>
      <c r="M533" s="71">
        <v>46078</v>
      </c>
      <c r="N533" t="s">
        <v>576</v>
      </c>
    </row>
    <row r="534" spans="2:14" hidden="1" x14ac:dyDescent="0.2">
      <c r="B534">
        <v>532</v>
      </c>
      <c r="C534" t="s">
        <v>500</v>
      </c>
      <c r="D534" t="str">
        <f>VLOOKUP(C534,'Master Anggota'!$E$2:$J$678,2,0)</f>
        <v>Aktif</v>
      </c>
      <c r="G534" t="str">
        <f>VLOOKUP(C534,'Master Anggota'!$E$2:$J$678,5,0)</f>
        <v>01776</v>
      </c>
      <c r="H534" s="56">
        <v>0</v>
      </c>
      <c r="I534" s="56">
        <v>0</v>
      </c>
      <c r="J534" s="56">
        <v>100000</v>
      </c>
      <c r="K534" s="56">
        <v>200000</v>
      </c>
      <c r="L534" t="s">
        <v>612</v>
      </c>
      <c r="M534" s="71">
        <v>46078</v>
      </c>
      <c r="N534" t="s">
        <v>576</v>
      </c>
    </row>
    <row r="535" spans="2:14" hidden="1" x14ac:dyDescent="0.2">
      <c r="B535">
        <v>533</v>
      </c>
      <c r="C535" t="s">
        <v>449</v>
      </c>
      <c r="D535" t="str">
        <f>VLOOKUP(C535,'Master Anggota'!$E$2:$J$678,2,0)</f>
        <v>Aktif</v>
      </c>
      <c r="G535" t="str">
        <f>VLOOKUP(C535,'Master Anggota'!$E$2:$J$678,5,0)</f>
        <v>01739</v>
      </c>
      <c r="H535" s="56">
        <v>0</v>
      </c>
      <c r="I535" s="56">
        <v>0</v>
      </c>
      <c r="J535" s="56">
        <v>100000</v>
      </c>
      <c r="K535" s="56">
        <v>150000</v>
      </c>
      <c r="L535" t="s">
        <v>612</v>
      </c>
      <c r="M535" s="71">
        <v>46078</v>
      </c>
      <c r="N535" t="s">
        <v>576</v>
      </c>
    </row>
    <row r="536" spans="2:14" hidden="1" x14ac:dyDescent="0.2">
      <c r="B536">
        <v>534</v>
      </c>
      <c r="C536" t="s">
        <v>318</v>
      </c>
      <c r="D536" t="str">
        <f>VLOOKUP(C536,'Master Anggota'!$E$2:$J$678,2,0)</f>
        <v>Aktif</v>
      </c>
      <c r="G536" t="str">
        <f>VLOOKUP(C536,'Master Anggota'!$E$2:$J$678,5,0)</f>
        <v>01651</v>
      </c>
      <c r="H536" s="56">
        <v>0</v>
      </c>
      <c r="I536" s="56">
        <v>0</v>
      </c>
      <c r="J536" s="56">
        <v>100000</v>
      </c>
      <c r="K536" s="56">
        <v>100000</v>
      </c>
      <c r="L536" t="s">
        <v>612</v>
      </c>
      <c r="M536" s="71">
        <v>46078</v>
      </c>
      <c r="N536" t="s">
        <v>576</v>
      </c>
    </row>
    <row r="537" spans="2:14" hidden="1" x14ac:dyDescent="0.2">
      <c r="B537">
        <v>535</v>
      </c>
      <c r="C537" t="s">
        <v>446</v>
      </c>
      <c r="D537" t="str">
        <f>VLOOKUP(C537,'Master Anggota'!$E$2:$J$678,2,0)</f>
        <v>Aktif</v>
      </c>
      <c r="G537" t="str">
        <f>VLOOKUP(C537,'Master Anggota'!$E$2:$J$678,5,0)</f>
        <v>01740</v>
      </c>
      <c r="H537" s="56">
        <v>0</v>
      </c>
      <c r="I537" s="56">
        <v>0</v>
      </c>
      <c r="J537" s="56">
        <v>100000</v>
      </c>
      <c r="K537" s="56">
        <v>50000</v>
      </c>
      <c r="L537" t="s">
        <v>612</v>
      </c>
      <c r="M537" s="71">
        <v>46078</v>
      </c>
      <c r="N537" t="s">
        <v>576</v>
      </c>
    </row>
    <row r="538" spans="2:14" hidden="1" x14ac:dyDescent="0.2">
      <c r="B538">
        <v>536</v>
      </c>
      <c r="C538" t="s">
        <v>524</v>
      </c>
      <c r="D538" t="str">
        <f>VLOOKUP(C538,'Master Anggota'!$E$2:$J$678,2,0)</f>
        <v>Aktif</v>
      </c>
      <c r="G538" t="str">
        <f>VLOOKUP(C538,'Master Anggota'!$E$2:$J$678,5,0)</f>
        <v>01743</v>
      </c>
      <c r="H538" s="56">
        <v>0</v>
      </c>
      <c r="I538" s="56">
        <v>0</v>
      </c>
      <c r="J538" s="56">
        <v>100000</v>
      </c>
      <c r="K538" s="56">
        <v>100000</v>
      </c>
      <c r="L538" t="s">
        <v>612</v>
      </c>
      <c r="M538" s="71">
        <v>46078</v>
      </c>
      <c r="N538" t="s">
        <v>576</v>
      </c>
    </row>
    <row r="539" spans="2:14" hidden="1" x14ac:dyDescent="0.2">
      <c r="B539">
        <v>537</v>
      </c>
      <c r="C539" t="s">
        <v>327</v>
      </c>
      <c r="D539" t="str">
        <f>VLOOKUP(C539,'Master Anggota'!$E$2:$J$678,2,0)</f>
        <v>Aktif</v>
      </c>
      <c r="G539" t="str">
        <f>VLOOKUP(C539,'Master Anggota'!$E$2:$J$678,5,0)</f>
        <v>01665</v>
      </c>
      <c r="H539" s="56">
        <v>0</v>
      </c>
      <c r="I539" s="56">
        <v>0</v>
      </c>
      <c r="J539" s="56">
        <v>100000</v>
      </c>
      <c r="K539" s="56">
        <v>50000</v>
      </c>
      <c r="L539" t="s">
        <v>612</v>
      </c>
      <c r="M539" s="71">
        <v>46078</v>
      </c>
      <c r="N539" t="s">
        <v>576</v>
      </c>
    </row>
    <row r="540" spans="2:14" hidden="1" x14ac:dyDescent="0.2">
      <c r="B540">
        <v>538</v>
      </c>
      <c r="C540" t="s">
        <v>319</v>
      </c>
      <c r="D540" t="str">
        <f>VLOOKUP(C540,'Master Anggota'!$E$2:$J$678,2,0)</f>
        <v>Aktif</v>
      </c>
      <c r="G540" t="str">
        <f>VLOOKUP(C540,'Master Anggota'!$E$2:$J$678,5,0)</f>
        <v>01302</v>
      </c>
      <c r="H540" s="56">
        <v>0</v>
      </c>
      <c r="I540" s="56">
        <v>0</v>
      </c>
      <c r="J540" s="56">
        <v>100000</v>
      </c>
      <c r="K540" s="56">
        <v>175000</v>
      </c>
      <c r="L540" t="s">
        <v>612</v>
      </c>
      <c r="M540" s="71">
        <v>46078</v>
      </c>
      <c r="N540" t="s">
        <v>576</v>
      </c>
    </row>
    <row r="541" spans="2:14" hidden="1" x14ac:dyDescent="0.2">
      <c r="B541">
        <v>539</v>
      </c>
      <c r="C541" t="s">
        <v>498</v>
      </c>
      <c r="D541" t="str">
        <f>VLOOKUP(C541,'Master Anggota'!$E$2:$J$678,2,0)</f>
        <v>Aktif</v>
      </c>
      <c r="G541" t="str">
        <f>VLOOKUP(C541,'Master Anggota'!$E$2:$J$678,5,0)</f>
        <v>01721</v>
      </c>
      <c r="H541" s="56">
        <v>0</v>
      </c>
      <c r="I541" s="56">
        <v>0</v>
      </c>
      <c r="J541" s="56">
        <v>100000</v>
      </c>
      <c r="K541" s="56">
        <v>200000</v>
      </c>
      <c r="L541" t="s">
        <v>612</v>
      </c>
      <c r="M541" s="71">
        <v>46078</v>
      </c>
      <c r="N541" t="s">
        <v>576</v>
      </c>
    </row>
    <row r="542" spans="2:14" hidden="1" x14ac:dyDescent="0.2">
      <c r="B542">
        <v>540</v>
      </c>
      <c r="C542" t="s">
        <v>451</v>
      </c>
      <c r="D542" t="str">
        <f>VLOOKUP(C542,'Master Anggota'!$E$2:$J$678,2,0)</f>
        <v>Aktif</v>
      </c>
      <c r="G542" t="str">
        <f>VLOOKUP(C542,'Master Anggota'!$E$2:$J$678,5,0)</f>
        <v>01735</v>
      </c>
      <c r="H542" s="56">
        <v>0</v>
      </c>
      <c r="I542" s="56">
        <v>0</v>
      </c>
      <c r="J542" s="56">
        <v>100000</v>
      </c>
      <c r="K542" s="56">
        <v>150000</v>
      </c>
      <c r="L542" t="s">
        <v>612</v>
      </c>
      <c r="M542" s="71">
        <v>46078</v>
      </c>
      <c r="N542" t="s">
        <v>576</v>
      </c>
    </row>
    <row r="543" spans="2:14" hidden="1" x14ac:dyDescent="0.2">
      <c r="B543">
        <v>541</v>
      </c>
      <c r="C543" t="s">
        <v>491</v>
      </c>
      <c r="D543" t="str">
        <f>VLOOKUP(C543,'Master Anggota'!$E$2:$J$678,2,0)</f>
        <v>Aktif</v>
      </c>
      <c r="G543" t="str">
        <f>VLOOKUP(C543,'Master Anggota'!$E$2:$J$678,5,0)</f>
        <v>01720</v>
      </c>
      <c r="H543" s="56">
        <v>0</v>
      </c>
      <c r="I543" s="56">
        <v>0</v>
      </c>
      <c r="J543" s="56">
        <v>100000</v>
      </c>
      <c r="K543" s="56">
        <v>100000</v>
      </c>
      <c r="L543" t="s">
        <v>612</v>
      </c>
      <c r="M543" s="71">
        <v>46078</v>
      </c>
      <c r="N543" t="s">
        <v>576</v>
      </c>
    </row>
    <row r="544" spans="2:14" hidden="1" x14ac:dyDescent="0.2">
      <c r="B544">
        <v>542</v>
      </c>
      <c r="C544" t="s">
        <v>313</v>
      </c>
      <c r="D544" t="str">
        <f>VLOOKUP(C544,'Master Anggota'!$E$2:$J$678,2,0)</f>
        <v>Aktif</v>
      </c>
      <c r="G544" t="str">
        <f>VLOOKUP(C544,'Master Anggota'!$E$2:$J$678,5,0)</f>
        <v>01594</v>
      </c>
      <c r="H544" s="56">
        <v>0</v>
      </c>
      <c r="I544" s="56">
        <v>0</v>
      </c>
      <c r="J544" s="56">
        <v>100000</v>
      </c>
      <c r="K544" s="56">
        <v>50000</v>
      </c>
      <c r="L544" t="s">
        <v>612</v>
      </c>
      <c r="M544" s="71">
        <v>46078</v>
      </c>
      <c r="N544" t="s">
        <v>576</v>
      </c>
    </row>
    <row r="545" spans="2:14" hidden="1" x14ac:dyDescent="0.2">
      <c r="B545">
        <v>543</v>
      </c>
      <c r="C545" t="s">
        <v>493</v>
      </c>
      <c r="D545" t="str">
        <f>VLOOKUP(C545,'Master Anggota'!$E$2:$J$678,2,0)</f>
        <v>Aktif</v>
      </c>
      <c r="G545" t="str">
        <f>VLOOKUP(C545,'Master Anggota'!$E$2:$J$678,5,0)</f>
        <v>01731</v>
      </c>
      <c r="H545" s="56">
        <v>0</v>
      </c>
      <c r="I545" s="56">
        <v>0</v>
      </c>
      <c r="J545" s="56">
        <v>100000</v>
      </c>
      <c r="K545" s="56">
        <v>100000</v>
      </c>
      <c r="L545" t="s">
        <v>612</v>
      </c>
      <c r="M545" s="71">
        <v>46078</v>
      </c>
      <c r="N545" t="s">
        <v>576</v>
      </c>
    </row>
    <row r="546" spans="2:14" hidden="1" x14ac:dyDescent="0.2">
      <c r="B546">
        <v>544</v>
      </c>
      <c r="C546" t="s">
        <v>490</v>
      </c>
      <c r="D546" t="str">
        <f>VLOOKUP(C546,'Master Anggota'!$E$2:$J$678,2,0)</f>
        <v>Aktif</v>
      </c>
      <c r="G546" t="str">
        <f>VLOOKUP(C546,'Master Anggota'!$E$2:$J$678,5,0)</f>
        <v>01706</v>
      </c>
      <c r="H546" s="56">
        <v>0</v>
      </c>
      <c r="I546" s="56">
        <v>0</v>
      </c>
      <c r="J546" s="56">
        <v>100000</v>
      </c>
      <c r="K546" s="56">
        <v>100000</v>
      </c>
      <c r="L546" t="s">
        <v>612</v>
      </c>
      <c r="M546" s="71">
        <v>46078</v>
      </c>
      <c r="N546" t="s">
        <v>576</v>
      </c>
    </row>
    <row r="547" spans="2:14" hidden="1" x14ac:dyDescent="0.2">
      <c r="B547">
        <v>545</v>
      </c>
      <c r="C547" t="s">
        <v>439</v>
      </c>
      <c r="D547" t="str">
        <f>VLOOKUP(C547,'Master Anggota'!$E$2:$J$678,2,0)</f>
        <v>Aktif</v>
      </c>
      <c r="G547" t="str">
        <f>VLOOKUP(C547,'Master Anggota'!$E$2:$J$678,5,0)</f>
        <v>01730</v>
      </c>
      <c r="H547" s="56">
        <v>0</v>
      </c>
      <c r="I547" s="56">
        <v>0</v>
      </c>
      <c r="J547" s="56">
        <v>100000</v>
      </c>
      <c r="K547" s="56">
        <v>300000</v>
      </c>
      <c r="L547" t="s">
        <v>612</v>
      </c>
      <c r="M547" s="71">
        <v>46078</v>
      </c>
      <c r="N547" t="s">
        <v>576</v>
      </c>
    </row>
    <row r="548" spans="2:14" hidden="1" x14ac:dyDescent="0.2">
      <c r="B548">
        <v>546</v>
      </c>
      <c r="C548" t="s">
        <v>450</v>
      </c>
      <c r="D548" t="str">
        <f>VLOOKUP(C548,'Master Anggota'!$E$2:$J$678,2,0)</f>
        <v>Aktif</v>
      </c>
      <c r="G548" t="str">
        <f>VLOOKUP(C548,'Master Anggota'!$E$2:$J$678,5,0)</f>
        <v>01738</v>
      </c>
      <c r="H548" s="56">
        <v>0</v>
      </c>
      <c r="I548" s="56">
        <v>0</v>
      </c>
      <c r="J548" s="56">
        <v>100000</v>
      </c>
      <c r="K548" s="56">
        <v>50000</v>
      </c>
      <c r="L548" t="s">
        <v>612</v>
      </c>
      <c r="M548" s="71">
        <v>46078</v>
      </c>
      <c r="N548" t="s">
        <v>576</v>
      </c>
    </row>
    <row r="549" spans="2:14" hidden="1" x14ac:dyDescent="0.2">
      <c r="B549">
        <v>547</v>
      </c>
      <c r="C549" t="s">
        <v>497</v>
      </c>
      <c r="D549" t="str">
        <f>VLOOKUP(C549,'Master Anggota'!$E$2:$J$678,2,0)</f>
        <v>Aktif</v>
      </c>
      <c r="G549" t="str">
        <f>VLOOKUP(C549,'Master Anggota'!$E$2:$J$678,5,0)</f>
        <v>01719</v>
      </c>
      <c r="H549" s="56">
        <v>0</v>
      </c>
      <c r="I549" s="56">
        <v>0</v>
      </c>
      <c r="J549" s="56">
        <v>100000</v>
      </c>
      <c r="K549" s="56">
        <v>200000</v>
      </c>
      <c r="L549" t="s">
        <v>612</v>
      </c>
      <c r="M549" s="71">
        <v>46078</v>
      </c>
      <c r="N549" t="s">
        <v>576</v>
      </c>
    </row>
    <row r="550" spans="2:14" hidden="1" x14ac:dyDescent="0.2">
      <c r="B550">
        <v>548</v>
      </c>
      <c r="C550" t="s">
        <v>482</v>
      </c>
      <c r="D550" t="str">
        <f>VLOOKUP(C550,'Master Anggota'!$E$2:$J$678,2,0)</f>
        <v>Aktif</v>
      </c>
      <c r="G550" t="str">
        <f>VLOOKUP(C550,'Master Anggota'!$E$2:$J$678,5,0)</f>
        <v>01561</v>
      </c>
      <c r="H550" s="56">
        <v>0</v>
      </c>
      <c r="I550" s="56">
        <v>0</v>
      </c>
      <c r="J550" s="56">
        <v>100000</v>
      </c>
      <c r="K550" s="56">
        <v>100000</v>
      </c>
      <c r="L550" t="s">
        <v>612</v>
      </c>
      <c r="M550" s="71">
        <v>46078</v>
      </c>
      <c r="N550" t="s">
        <v>576</v>
      </c>
    </row>
    <row r="551" spans="2:14" hidden="1" x14ac:dyDescent="0.2">
      <c r="B551">
        <v>549</v>
      </c>
      <c r="C551" t="s">
        <v>499</v>
      </c>
      <c r="D551" t="str">
        <f>VLOOKUP(C551,'Master Anggota'!$E$2:$J$678,2,0)</f>
        <v>Aktif</v>
      </c>
      <c r="G551" t="str">
        <f>VLOOKUP(C551,'Master Anggota'!$E$2:$J$678,5,0)</f>
        <v>01775</v>
      </c>
      <c r="H551" s="56">
        <v>0</v>
      </c>
      <c r="I551" s="56">
        <v>0</v>
      </c>
      <c r="J551" s="56">
        <v>100000</v>
      </c>
      <c r="K551" s="56">
        <v>200000</v>
      </c>
      <c r="L551" t="s">
        <v>612</v>
      </c>
      <c r="M551" s="71">
        <v>46078</v>
      </c>
      <c r="N551" t="s">
        <v>576</v>
      </c>
    </row>
    <row r="552" spans="2:14" hidden="1" x14ac:dyDescent="0.2">
      <c r="B552">
        <v>550</v>
      </c>
      <c r="C552" t="s">
        <v>323</v>
      </c>
      <c r="D552" t="str">
        <f>VLOOKUP(C552,'Master Anggota'!$E$2:$J$678,2,0)</f>
        <v>Aktif</v>
      </c>
      <c r="G552" t="str">
        <f>VLOOKUP(C552,'Master Anggota'!$E$2:$J$678,5,0)</f>
        <v>01601</v>
      </c>
      <c r="H552" s="56">
        <v>0</v>
      </c>
      <c r="I552" s="56">
        <v>0</v>
      </c>
      <c r="J552" s="56">
        <v>100000</v>
      </c>
      <c r="K552" s="56">
        <v>150000</v>
      </c>
      <c r="L552" t="s">
        <v>612</v>
      </c>
      <c r="M552" s="71">
        <v>46078</v>
      </c>
      <c r="N552" t="s">
        <v>576</v>
      </c>
    </row>
    <row r="553" spans="2:14" hidden="1" x14ac:dyDescent="0.2">
      <c r="B553">
        <v>551</v>
      </c>
      <c r="C553" t="s">
        <v>304</v>
      </c>
      <c r="D553" t="str">
        <f>VLOOKUP(C553,'Master Anggota'!$E$2:$J$678,2,0)</f>
        <v>Aktif</v>
      </c>
      <c r="G553" t="str">
        <f>VLOOKUP(C553,'Master Anggota'!$E$2:$J$678,5,0)</f>
        <v>01541</v>
      </c>
      <c r="H553" s="56">
        <v>0</v>
      </c>
      <c r="I553" s="56">
        <v>0</v>
      </c>
      <c r="J553" s="56">
        <v>150000</v>
      </c>
      <c r="K553" s="56">
        <v>100000</v>
      </c>
      <c r="L553" t="s">
        <v>612</v>
      </c>
      <c r="M553" s="71">
        <v>46078</v>
      </c>
      <c r="N553" t="s">
        <v>576</v>
      </c>
    </row>
    <row r="554" spans="2:14" hidden="1" x14ac:dyDescent="0.2">
      <c r="B554">
        <v>552</v>
      </c>
      <c r="C554" t="s">
        <v>289</v>
      </c>
      <c r="D554" t="str">
        <f>VLOOKUP(C554,'Master Anggota'!$E$2:$J$678,2,0)</f>
        <v>Aktif</v>
      </c>
      <c r="G554" t="str">
        <f>VLOOKUP(C554,'Master Anggota'!$E$2:$J$678,5,0)</f>
        <v>01511</v>
      </c>
      <c r="H554" s="56">
        <v>0</v>
      </c>
      <c r="I554" s="56">
        <v>0</v>
      </c>
      <c r="J554" s="56">
        <v>100000</v>
      </c>
      <c r="K554" s="56">
        <v>75000</v>
      </c>
      <c r="L554" t="s">
        <v>612</v>
      </c>
      <c r="M554" s="71">
        <v>46078</v>
      </c>
      <c r="N554" t="s">
        <v>576</v>
      </c>
    </row>
    <row r="555" spans="2:14" hidden="1" x14ac:dyDescent="0.2">
      <c r="B555">
        <v>553</v>
      </c>
      <c r="C555" t="s">
        <v>367</v>
      </c>
      <c r="D555" t="str">
        <f>VLOOKUP(C555,'Master Anggota'!$E$2:$J$678,2,0)</f>
        <v>Aktif</v>
      </c>
      <c r="G555" t="str">
        <f>VLOOKUP(C555,'Master Anggota'!$E$2:$J$678,5,0)</f>
        <v>01679</v>
      </c>
      <c r="H555" s="56">
        <v>0</v>
      </c>
      <c r="I555" s="56">
        <v>0</v>
      </c>
      <c r="J555" s="56">
        <v>100000</v>
      </c>
      <c r="K555" s="56">
        <v>100000</v>
      </c>
      <c r="L555" t="s">
        <v>612</v>
      </c>
      <c r="M555" s="71">
        <v>46078</v>
      </c>
      <c r="N555" t="s">
        <v>576</v>
      </c>
    </row>
    <row r="556" spans="2:14" hidden="1" x14ac:dyDescent="0.2">
      <c r="B556">
        <v>554</v>
      </c>
      <c r="C556" t="s">
        <v>368</v>
      </c>
      <c r="D556" t="str">
        <f>VLOOKUP(C556,'Master Anggota'!$E$2:$J$678,2,0)</f>
        <v>Aktif</v>
      </c>
      <c r="G556" t="str">
        <f>VLOOKUP(C556,'Master Anggota'!$E$2:$J$678,5,0)</f>
        <v>01703</v>
      </c>
      <c r="H556" s="56">
        <v>0</v>
      </c>
      <c r="I556" s="56">
        <v>0</v>
      </c>
      <c r="J556" s="56">
        <v>100000</v>
      </c>
      <c r="K556" s="56">
        <v>100000</v>
      </c>
      <c r="L556" t="s">
        <v>612</v>
      </c>
      <c r="M556" s="71">
        <v>46078</v>
      </c>
      <c r="N556" t="s">
        <v>576</v>
      </c>
    </row>
    <row r="557" spans="2:14" hidden="1" x14ac:dyDescent="0.2">
      <c r="B557">
        <v>555</v>
      </c>
      <c r="C557" t="s">
        <v>317</v>
      </c>
      <c r="D557" t="str">
        <f>VLOOKUP(C557,'Master Anggota'!$E$2:$J$678,2,0)</f>
        <v>Aktif</v>
      </c>
      <c r="G557" t="str">
        <f>VLOOKUP(C557,'Master Anggota'!$E$2:$J$678,5,0)</f>
        <v>01573</v>
      </c>
      <c r="H557" s="56">
        <v>0</v>
      </c>
      <c r="I557" s="56">
        <v>0</v>
      </c>
      <c r="J557" s="56">
        <v>100000</v>
      </c>
      <c r="K557" s="56">
        <v>400000</v>
      </c>
      <c r="L557" t="s">
        <v>612</v>
      </c>
      <c r="M557" s="71">
        <v>46078</v>
      </c>
      <c r="N557" t="s">
        <v>576</v>
      </c>
    </row>
    <row r="558" spans="2:14" hidden="1" x14ac:dyDescent="0.2">
      <c r="B558">
        <v>556</v>
      </c>
      <c r="C558" t="s">
        <v>444</v>
      </c>
      <c r="D558" t="str">
        <f>VLOOKUP(C558,'Master Anggota'!$E$2:$J$678,2,0)</f>
        <v>Aktif</v>
      </c>
      <c r="G558" t="str">
        <f>VLOOKUP(C558,'Master Anggota'!$E$2:$J$678,5,0)</f>
        <v>01711</v>
      </c>
      <c r="H558" s="56">
        <v>0</v>
      </c>
      <c r="I558" s="56">
        <v>0</v>
      </c>
      <c r="J558" s="56">
        <v>100000</v>
      </c>
      <c r="K558" s="56">
        <v>150000</v>
      </c>
      <c r="L558" t="s">
        <v>612</v>
      </c>
      <c r="M558" s="71">
        <v>46078</v>
      </c>
      <c r="N558" t="s">
        <v>576</v>
      </c>
    </row>
    <row r="559" spans="2:14" hidden="1" x14ac:dyDescent="0.2">
      <c r="B559">
        <v>557</v>
      </c>
      <c r="C559" t="s">
        <v>316</v>
      </c>
      <c r="D559" t="str">
        <f>VLOOKUP(C559,'Master Anggota'!$E$2:$J$678,2,0)</f>
        <v>Aktif</v>
      </c>
      <c r="G559" t="str">
        <f>VLOOKUP(C559,'Master Anggota'!$E$2:$J$678,5,0)</f>
        <v>01544</v>
      </c>
      <c r="H559" s="56">
        <v>0</v>
      </c>
      <c r="I559" s="56">
        <v>0</v>
      </c>
      <c r="J559" s="56">
        <v>150000</v>
      </c>
      <c r="K559" s="56">
        <v>400000</v>
      </c>
      <c r="L559" t="s">
        <v>612</v>
      </c>
      <c r="M559" s="71">
        <v>46078</v>
      </c>
      <c r="N559" t="s">
        <v>576</v>
      </c>
    </row>
    <row r="560" spans="2:14" hidden="1" x14ac:dyDescent="0.2">
      <c r="B560">
        <v>558</v>
      </c>
      <c r="C560" t="s">
        <v>421</v>
      </c>
      <c r="D560" t="str">
        <f>VLOOKUP(C560,'Master Anggota'!$E$2:$J$678,2,0)</f>
        <v>Aktif</v>
      </c>
      <c r="G560" t="str">
        <f>VLOOKUP(C560,'Master Anggota'!$E$2:$J$678,5,0)</f>
        <v>01560</v>
      </c>
      <c r="H560" s="56">
        <v>0</v>
      </c>
      <c r="I560" s="56">
        <v>0</v>
      </c>
      <c r="J560" s="56">
        <v>100000</v>
      </c>
      <c r="K560" s="56">
        <v>250000</v>
      </c>
      <c r="L560" t="s">
        <v>612</v>
      </c>
      <c r="M560" s="71">
        <v>46078</v>
      </c>
      <c r="N560" t="s">
        <v>576</v>
      </c>
    </row>
    <row r="561" spans="2:14" hidden="1" x14ac:dyDescent="0.2">
      <c r="B561">
        <v>559</v>
      </c>
      <c r="C561" t="s">
        <v>501</v>
      </c>
      <c r="D561" t="str">
        <f>VLOOKUP(C561,'Master Anggota'!$E$2:$J$678,2,0)</f>
        <v>Purna Bakti 2026</v>
      </c>
      <c r="G561" t="str">
        <f>VLOOKUP(C561,'Master Anggota'!$E$2:$J$678,5,0)</f>
        <v>01777</v>
      </c>
      <c r="H561" s="56">
        <v>0</v>
      </c>
      <c r="I561" s="56">
        <v>0</v>
      </c>
      <c r="J561" s="56">
        <v>100000</v>
      </c>
      <c r="K561" s="56">
        <v>200000</v>
      </c>
      <c r="L561" t="s">
        <v>612</v>
      </c>
      <c r="M561" s="71">
        <v>46078</v>
      </c>
      <c r="N561" t="s">
        <v>576</v>
      </c>
    </row>
    <row r="562" spans="2:14" hidden="1" x14ac:dyDescent="0.2">
      <c r="B562">
        <v>560</v>
      </c>
      <c r="C562" t="s">
        <v>372</v>
      </c>
      <c r="D562" t="str">
        <f>VLOOKUP(C562,'Master Anggota'!$E$2:$J$678,2,0)</f>
        <v>Purna Bakti 2026</v>
      </c>
      <c r="G562" t="str">
        <f>VLOOKUP(C562,'Master Anggota'!$E$2:$J$678,5,0)</f>
        <v>01608</v>
      </c>
      <c r="H562" s="56">
        <v>0</v>
      </c>
      <c r="I562" s="56">
        <v>0</v>
      </c>
      <c r="J562" s="56">
        <v>100000</v>
      </c>
      <c r="K562" s="56">
        <v>150000</v>
      </c>
      <c r="L562" t="s">
        <v>612</v>
      </c>
      <c r="M562" s="71">
        <v>46078</v>
      </c>
      <c r="N562" t="s">
        <v>576</v>
      </c>
    </row>
    <row r="563" spans="2:14" hidden="1" x14ac:dyDescent="0.2">
      <c r="B563">
        <v>561</v>
      </c>
      <c r="C563" t="s">
        <v>492</v>
      </c>
      <c r="D563" t="str">
        <f>VLOOKUP(C563,'Master Anggota'!$E$2:$J$678,2,0)</f>
        <v>Aktif</v>
      </c>
      <c r="G563" t="str">
        <f>VLOOKUP(C563,'Master Anggota'!$E$2:$J$678,5,0)</f>
        <v>01728</v>
      </c>
      <c r="H563" s="56">
        <v>0</v>
      </c>
      <c r="I563" s="56">
        <v>0</v>
      </c>
      <c r="J563" s="56">
        <v>100000</v>
      </c>
      <c r="K563" s="56">
        <v>100000</v>
      </c>
      <c r="L563" t="s">
        <v>612</v>
      </c>
      <c r="M563" s="71">
        <v>46078</v>
      </c>
      <c r="N563" t="s">
        <v>576</v>
      </c>
    </row>
    <row r="564" spans="2:14" hidden="1" x14ac:dyDescent="0.2">
      <c r="B564">
        <v>562</v>
      </c>
      <c r="C564" t="s">
        <v>308</v>
      </c>
      <c r="D564" t="str">
        <f>VLOOKUP(C564,'Master Anggota'!$E$2:$J$678,2,0)</f>
        <v>Aktif</v>
      </c>
      <c r="G564" t="str">
        <f>VLOOKUP(C564,'Master Anggota'!$E$2:$J$678,5,0)</f>
        <v>01604</v>
      </c>
      <c r="H564" s="56">
        <v>0</v>
      </c>
      <c r="I564" s="56">
        <v>0</v>
      </c>
      <c r="J564" s="56">
        <v>100000</v>
      </c>
      <c r="K564" s="56">
        <v>100000</v>
      </c>
      <c r="L564" t="s">
        <v>612</v>
      </c>
      <c r="M564" s="71">
        <v>46078</v>
      </c>
      <c r="N564" t="s">
        <v>576</v>
      </c>
    </row>
    <row r="565" spans="2:14" hidden="1" x14ac:dyDescent="0.2">
      <c r="B565">
        <v>563</v>
      </c>
      <c r="C565" t="s">
        <v>495</v>
      </c>
      <c r="D565" t="str">
        <f>VLOOKUP(C565,'Master Anggota'!$E$2:$J$678,2,0)</f>
        <v>Aktif</v>
      </c>
      <c r="G565" t="str">
        <f>VLOOKUP(C565,'Master Anggota'!$E$2:$J$678,5,0)</f>
        <v>01754</v>
      </c>
      <c r="H565" s="56">
        <v>0</v>
      </c>
      <c r="I565" s="56">
        <v>0</v>
      </c>
      <c r="J565" s="56">
        <v>100000</v>
      </c>
      <c r="K565" s="56">
        <v>100000</v>
      </c>
      <c r="L565" t="s">
        <v>612</v>
      </c>
      <c r="M565" s="71">
        <v>46078</v>
      </c>
      <c r="N565" t="s">
        <v>576</v>
      </c>
    </row>
    <row r="566" spans="2:14" hidden="1" x14ac:dyDescent="0.2">
      <c r="B566">
        <v>564</v>
      </c>
      <c r="C566" t="s">
        <v>279</v>
      </c>
      <c r="D566" t="str">
        <f>VLOOKUP(C566,'Master Anggota'!$E$2:$J$678,2,0)</f>
        <v>Aktif</v>
      </c>
      <c r="G566" t="str">
        <f>VLOOKUP(C566,'Master Anggota'!$E$2:$J$678,5,0)</f>
        <v>01315</v>
      </c>
      <c r="H566" s="56">
        <v>0</v>
      </c>
      <c r="I566" s="56">
        <v>0</v>
      </c>
      <c r="J566" s="56">
        <v>100000</v>
      </c>
      <c r="K566" s="56">
        <v>50000</v>
      </c>
      <c r="L566" t="s">
        <v>612</v>
      </c>
      <c r="M566" s="71">
        <v>46078</v>
      </c>
      <c r="N566" t="s">
        <v>576</v>
      </c>
    </row>
    <row r="567" spans="2:14" hidden="1" x14ac:dyDescent="0.2">
      <c r="B567">
        <v>565</v>
      </c>
      <c r="C567" t="s">
        <v>311</v>
      </c>
      <c r="D567" t="str">
        <f>VLOOKUP(C567,'Master Anggota'!$E$2:$J$678,2,0)</f>
        <v>Aktif</v>
      </c>
      <c r="G567" t="str">
        <f>VLOOKUP(C567,'Master Anggota'!$E$2:$J$678,5,0)</f>
        <v>01602</v>
      </c>
      <c r="H567" s="56">
        <v>0</v>
      </c>
      <c r="I567" s="56">
        <v>0</v>
      </c>
      <c r="J567" s="56">
        <v>100000</v>
      </c>
      <c r="K567" s="56">
        <v>100000</v>
      </c>
      <c r="L567" t="s">
        <v>612</v>
      </c>
      <c r="M567" s="71">
        <v>46078</v>
      </c>
      <c r="N567" t="s">
        <v>576</v>
      </c>
    </row>
    <row r="568" spans="2:14" hidden="1" x14ac:dyDescent="0.2">
      <c r="B568">
        <v>566</v>
      </c>
      <c r="C568" t="s">
        <v>310</v>
      </c>
      <c r="D568" t="str">
        <f>VLOOKUP(C568,'Master Anggota'!$E$2:$J$678,2,0)</f>
        <v>Aktif</v>
      </c>
      <c r="G568" t="str">
        <f>VLOOKUP(C568,'Master Anggota'!$E$2:$J$678,5,0)</f>
        <v>01543</v>
      </c>
      <c r="H568" s="56">
        <v>0</v>
      </c>
      <c r="I568" s="56">
        <v>0</v>
      </c>
      <c r="J568" s="56">
        <v>150000</v>
      </c>
      <c r="K568" s="56">
        <v>100000</v>
      </c>
      <c r="L568" t="s">
        <v>612</v>
      </c>
      <c r="M568" s="71">
        <v>46078</v>
      </c>
      <c r="N568" t="s">
        <v>576</v>
      </c>
    </row>
    <row r="569" spans="2:14" hidden="1" x14ac:dyDescent="0.2">
      <c r="B569">
        <v>567</v>
      </c>
      <c r="C569" t="s">
        <v>358</v>
      </c>
      <c r="D569" t="str">
        <f>VLOOKUP(C569,'Master Anggota'!$E$2:$J$678,2,0)</f>
        <v>Aktif</v>
      </c>
      <c r="G569" t="str">
        <f>VLOOKUP(C569,'Master Anggota'!$E$2:$J$678,5,0)</f>
        <v>01530</v>
      </c>
      <c r="H569" s="56">
        <v>0</v>
      </c>
      <c r="I569" s="56">
        <v>0</v>
      </c>
      <c r="J569" s="56">
        <v>100000</v>
      </c>
      <c r="K569" s="56">
        <v>50000</v>
      </c>
      <c r="L569" t="s">
        <v>612</v>
      </c>
      <c r="M569" s="71">
        <v>46078</v>
      </c>
      <c r="N569" t="s">
        <v>576</v>
      </c>
    </row>
    <row r="570" spans="2:14" hidden="1" x14ac:dyDescent="0.2">
      <c r="B570">
        <v>568</v>
      </c>
      <c r="C570" t="s">
        <v>369</v>
      </c>
      <c r="D570" t="str">
        <f>VLOOKUP(C570,'Master Anggota'!$E$2:$J$678,2,0)</f>
        <v>Aktif</v>
      </c>
      <c r="G570" t="str">
        <f>VLOOKUP(C570,'Master Anggota'!$E$2:$J$678,5,0)</f>
        <v>01654</v>
      </c>
      <c r="H570" s="56">
        <v>0</v>
      </c>
      <c r="I570" s="56">
        <v>0</v>
      </c>
      <c r="J570" s="56">
        <v>100000</v>
      </c>
      <c r="K570" s="56">
        <v>100000</v>
      </c>
      <c r="L570" t="s">
        <v>612</v>
      </c>
      <c r="M570" s="71">
        <v>46078</v>
      </c>
      <c r="N570" t="s">
        <v>576</v>
      </c>
    </row>
    <row r="571" spans="2:14" hidden="1" x14ac:dyDescent="0.2">
      <c r="B571">
        <v>569</v>
      </c>
      <c r="C571" t="s">
        <v>539</v>
      </c>
      <c r="D571" t="str">
        <f>VLOOKUP(C571,'Master Anggota'!$E$2:$J$678,2,0)</f>
        <v>Aktif</v>
      </c>
      <c r="G571" t="str">
        <f>VLOOKUP(C571,'Master Anggota'!$E$2:$J$678,5,0)</f>
        <v>01800</v>
      </c>
      <c r="H571" s="56">
        <v>0</v>
      </c>
      <c r="I571" s="56">
        <v>0</v>
      </c>
      <c r="J571" s="56">
        <v>100000</v>
      </c>
      <c r="K571" s="56">
        <v>100000</v>
      </c>
      <c r="L571" t="s">
        <v>612</v>
      </c>
      <c r="M571" s="71">
        <v>46078</v>
      </c>
      <c r="N571" t="s">
        <v>576</v>
      </c>
    </row>
    <row r="572" spans="2:14" hidden="1" x14ac:dyDescent="0.2">
      <c r="B572">
        <v>570</v>
      </c>
      <c r="C572" t="s">
        <v>448</v>
      </c>
      <c r="D572" t="str">
        <f>VLOOKUP(C572,'Master Anggota'!$E$2:$J$678,2,0)</f>
        <v>Aktif</v>
      </c>
      <c r="G572" t="str">
        <f>VLOOKUP(C572,'Master Anggota'!$E$2:$J$678,5,0)</f>
        <v>01737</v>
      </c>
      <c r="H572" s="56">
        <v>0</v>
      </c>
      <c r="I572" s="56">
        <v>0</v>
      </c>
      <c r="J572" s="56">
        <v>100000</v>
      </c>
      <c r="K572" s="56">
        <v>150000</v>
      </c>
      <c r="L572" t="s">
        <v>612</v>
      </c>
      <c r="M572" s="71">
        <v>46078</v>
      </c>
      <c r="N572" t="s">
        <v>576</v>
      </c>
    </row>
    <row r="573" spans="2:14" hidden="1" x14ac:dyDescent="0.2">
      <c r="B573">
        <v>571</v>
      </c>
      <c r="C573" t="s">
        <v>169</v>
      </c>
      <c r="D573" t="str">
        <f>VLOOKUP(C573,'Master Anggota'!$E$2:$J$678,2,0)</f>
        <v>Aktif</v>
      </c>
      <c r="G573" t="str">
        <f>VLOOKUP(C573,'Master Anggota'!$E$2:$J$678,5,0)</f>
        <v>01157</v>
      </c>
      <c r="H573" s="56">
        <v>0</v>
      </c>
      <c r="I573" s="56">
        <v>0</v>
      </c>
      <c r="J573" s="56">
        <v>100000</v>
      </c>
      <c r="K573" s="56">
        <v>100000</v>
      </c>
      <c r="L573" t="s">
        <v>612</v>
      </c>
      <c r="M573" s="71">
        <v>46078</v>
      </c>
      <c r="N573" t="s">
        <v>576</v>
      </c>
    </row>
    <row r="574" spans="2:14" hidden="1" x14ac:dyDescent="0.2">
      <c r="B574">
        <v>572</v>
      </c>
      <c r="C574" t="s">
        <v>560</v>
      </c>
      <c r="D574" t="str">
        <f>VLOOKUP(C574,'Master Anggota'!$E$2:$J$678,2,0)</f>
        <v>Aktif</v>
      </c>
      <c r="G574" t="str">
        <f>VLOOKUP(C574,'Master Anggota'!$E$2:$J$678,5,0)</f>
        <v>01603</v>
      </c>
      <c r="H574" s="56">
        <v>0</v>
      </c>
      <c r="I574" s="56">
        <v>0</v>
      </c>
      <c r="J574" s="56">
        <v>100000</v>
      </c>
      <c r="K574" s="56">
        <v>200000</v>
      </c>
      <c r="L574" t="s">
        <v>612</v>
      </c>
      <c r="M574" s="71">
        <v>46078</v>
      </c>
      <c r="N574" t="s">
        <v>576</v>
      </c>
    </row>
    <row r="575" spans="2:14" hidden="1" x14ac:dyDescent="0.2">
      <c r="B575">
        <v>573</v>
      </c>
      <c r="C575" t="s">
        <v>287</v>
      </c>
      <c r="D575" t="str">
        <f>VLOOKUP(C575,'Master Anggota'!$E$2:$J$678,2,0)</f>
        <v>PHL</v>
      </c>
      <c r="G575" t="str">
        <f>VLOOKUP(C575,'Master Anggota'!$E$2:$J$678,5,0)</f>
        <v>01510</v>
      </c>
      <c r="H575" s="56">
        <v>0</v>
      </c>
      <c r="I575" s="56">
        <v>0</v>
      </c>
      <c r="J575" s="56">
        <v>0</v>
      </c>
      <c r="K575" s="56">
        <v>0</v>
      </c>
      <c r="L575" t="s">
        <v>612</v>
      </c>
      <c r="M575" s="71">
        <v>46078</v>
      </c>
      <c r="N575" t="s">
        <v>576</v>
      </c>
    </row>
    <row r="576" spans="2:14" hidden="1" x14ac:dyDescent="0.2">
      <c r="B576">
        <v>574</v>
      </c>
      <c r="C576" t="s">
        <v>294</v>
      </c>
      <c r="D576" t="str">
        <f>VLOOKUP(C576,'Master Anggota'!$E$2:$J$678,2,0)</f>
        <v>Purna Bakti 2026</v>
      </c>
      <c r="G576" t="str">
        <f>VLOOKUP(C576,'Master Anggota'!$E$2:$J$678,5,0)</f>
        <v>PHL</v>
      </c>
      <c r="H576" s="56">
        <v>0</v>
      </c>
      <c r="I576" s="56">
        <v>0</v>
      </c>
      <c r="J576" s="56">
        <v>100000</v>
      </c>
      <c r="K576" s="56">
        <v>200000</v>
      </c>
      <c r="L576" t="s">
        <v>612</v>
      </c>
      <c r="M576" s="71">
        <v>46078</v>
      </c>
      <c r="N576" t="s">
        <v>576</v>
      </c>
    </row>
    <row r="577" spans="2:14" hidden="1" x14ac:dyDescent="0.2">
      <c r="B577">
        <v>575</v>
      </c>
      <c r="C577" t="s">
        <v>295</v>
      </c>
      <c r="D577" t="str">
        <f>VLOOKUP(C577,'Master Anggota'!$E$2:$J$678,2,0)</f>
        <v>PHL</v>
      </c>
      <c r="G577" t="str">
        <f>VLOOKUP(C577,'Master Anggota'!$E$2:$J$678,5,0)</f>
        <v>PHL</v>
      </c>
      <c r="H577" s="56">
        <v>0</v>
      </c>
      <c r="I577" s="56">
        <v>0</v>
      </c>
      <c r="J577" s="56">
        <v>100000</v>
      </c>
      <c r="K577" s="56">
        <v>100000</v>
      </c>
      <c r="L577" t="s">
        <v>612</v>
      </c>
      <c r="M577" s="71">
        <v>46078</v>
      </c>
      <c r="N577" t="s">
        <v>576</v>
      </c>
    </row>
    <row r="578" spans="2:14" hidden="1" x14ac:dyDescent="0.2">
      <c r="B578">
        <v>576</v>
      </c>
      <c r="C578" t="s">
        <v>278</v>
      </c>
      <c r="D578" t="str">
        <f>VLOOKUP(C578,'Master Anggota'!$E$2:$J$678,2,0)</f>
        <v>Aktif</v>
      </c>
      <c r="G578" t="str">
        <f>VLOOKUP(C578,'Master Anggota'!$E$2:$J$678,5,0)</f>
        <v>PHL</v>
      </c>
      <c r="H578" s="82">
        <v>0</v>
      </c>
      <c r="I578" s="82">
        <v>0</v>
      </c>
      <c r="J578" s="82">
        <v>100000</v>
      </c>
      <c r="K578" s="82">
        <v>10000</v>
      </c>
      <c r="L578" t="s">
        <v>612</v>
      </c>
      <c r="M578" s="71">
        <v>46078</v>
      </c>
      <c r="N578" t="s">
        <v>576</v>
      </c>
    </row>
    <row r="579" spans="2:14" hidden="1" x14ac:dyDescent="0.2">
      <c r="B579">
        <v>577</v>
      </c>
      <c r="C579" t="s">
        <v>527</v>
      </c>
      <c r="D579" t="str">
        <f>VLOOKUP(C579,'Master Anggota'!$E$2:$J$678,2,0)</f>
        <v>Aktif</v>
      </c>
      <c r="G579" t="str">
        <f>VLOOKUP(C579,'Master Anggota'!$E$2:$J$678,5,0)</f>
        <v>PHL</v>
      </c>
      <c r="H579" s="56">
        <v>0</v>
      </c>
      <c r="I579" s="56">
        <v>0</v>
      </c>
      <c r="J579" s="56">
        <v>100000</v>
      </c>
      <c r="K579" s="56">
        <v>200000</v>
      </c>
      <c r="L579" t="s">
        <v>612</v>
      </c>
      <c r="M579" s="71">
        <v>46078</v>
      </c>
      <c r="N579" t="s">
        <v>576</v>
      </c>
    </row>
    <row r="580" spans="2:14" hidden="1" x14ac:dyDescent="0.2">
      <c r="B580">
        <v>578</v>
      </c>
      <c r="C580" t="s">
        <v>526</v>
      </c>
      <c r="D580" t="str">
        <f>VLOOKUP(C580,'Master Anggota'!$E$2:$J$678,2,0)</f>
        <v>Aktif</v>
      </c>
      <c r="G580" t="str">
        <f>VLOOKUP(C580,'Master Anggota'!$E$2:$J$678,5,0)</f>
        <v>PHL</v>
      </c>
      <c r="H580" s="56">
        <v>0</v>
      </c>
      <c r="I580" s="56">
        <v>0</v>
      </c>
      <c r="J580" s="56">
        <v>0</v>
      </c>
      <c r="K580" s="56">
        <v>0</v>
      </c>
      <c r="L580" t="s">
        <v>612</v>
      </c>
      <c r="M580" s="71">
        <v>46078</v>
      </c>
      <c r="N580" t="s">
        <v>576</v>
      </c>
    </row>
    <row r="581" spans="2:14" hidden="1" x14ac:dyDescent="0.2">
      <c r="B581">
        <v>579</v>
      </c>
      <c r="C581" t="s">
        <v>278</v>
      </c>
      <c r="D581" t="str">
        <f>VLOOKUP(C581,'Master Anggota'!$E$2:$J$678,2,0)</f>
        <v>Aktif</v>
      </c>
      <c r="G581" t="str">
        <f>VLOOKUP(C581,'Master Anggota'!$E$2:$J$678,5,0)</f>
        <v>PHL</v>
      </c>
      <c r="H581" s="82">
        <v>0</v>
      </c>
      <c r="I581" s="82">
        <v>7510261</v>
      </c>
      <c r="J581" s="82">
        <v>15436622</v>
      </c>
      <c r="K581" s="82">
        <v>1360000</v>
      </c>
      <c r="L581" t="s">
        <v>584</v>
      </c>
      <c r="M581" s="71">
        <v>46022</v>
      </c>
      <c r="N581" t="s">
        <v>673</v>
      </c>
    </row>
    <row r="582" spans="2:14" hidden="1" x14ac:dyDescent="0.2">
      <c r="B582">
        <v>580</v>
      </c>
      <c r="C582" t="s">
        <v>159</v>
      </c>
      <c r="D582" t="str">
        <f>VLOOKUP(C582,'Master Anggota'!$E$2:$J$678,2,0)</f>
        <v>Purna Bakti 2026</v>
      </c>
      <c r="G582" t="str">
        <f>VLOOKUP(C582,'Master Anggota'!$E$2:$J$678,5,0)</f>
        <v>00571</v>
      </c>
      <c r="H582" s="82">
        <v>0</v>
      </c>
      <c r="I582" s="82">
        <v>0</v>
      </c>
      <c r="J582" s="82">
        <v>-100000</v>
      </c>
      <c r="K582" s="82">
        <v>-50000</v>
      </c>
      <c r="L582" t="s">
        <v>644</v>
      </c>
      <c r="M582" s="71">
        <v>46083</v>
      </c>
      <c r="N582" t="s">
        <v>613</v>
      </c>
    </row>
    <row r="583" spans="2:14" hidden="1" x14ac:dyDescent="0.2">
      <c r="B583">
        <v>581</v>
      </c>
      <c r="C583" t="s">
        <v>530</v>
      </c>
      <c r="D583" t="str">
        <f>VLOOKUP(C583,'Master Anggota'!$E$2:$J$678,2,0)</f>
        <v>Purna Bakti 2026</v>
      </c>
      <c r="G583" t="str">
        <f>VLOOKUP(C583,'Master Anggota'!$E$2:$J$678,5,0)</f>
        <v>Nasabah</v>
      </c>
      <c r="H583" s="56">
        <v>0</v>
      </c>
      <c r="I583" s="56">
        <v>0</v>
      </c>
      <c r="J583" s="75">
        <v>100000</v>
      </c>
      <c r="K583" s="75">
        <v>100000</v>
      </c>
      <c r="L583" t="s">
        <v>612</v>
      </c>
      <c r="M583" s="76">
        <v>46064</v>
      </c>
      <c r="N583" t="s">
        <v>576</v>
      </c>
    </row>
    <row r="584" spans="2:14" hidden="1" x14ac:dyDescent="0.2">
      <c r="B584">
        <v>582</v>
      </c>
      <c r="C584" t="s">
        <v>532</v>
      </c>
      <c r="D584" t="str">
        <f>VLOOKUP(C584,'Master Anggota'!$E$2:$J$678,2,0)</f>
        <v>Aktif</v>
      </c>
      <c r="G584" t="str">
        <f>VLOOKUP(C584,'Master Anggota'!$E$2:$J$678,5,0)</f>
        <v>Nasabah</v>
      </c>
      <c r="H584" s="56">
        <v>0</v>
      </c>
      <c r="I584" s="56">
        <v>0</v>
      </c>
      <c r="J584" s="56">
        <v>100000</v>
      </c>
      <c r="K584" s="56">
        <v>100000</v>
      </c>
      <c r="L584" t="s">
        <v>612</v>
      </c>
      <c r="M584" s="71">
        <v>46064</v>
      </c>
      <c r="N584" t="s">
        <v>576</v>
      </c>
    </row>
    <row r="585" spans="2:14" hidden="1" x14ac:dyDescent="0.2">
      <c r="B585">
        <v>583</v>
      </c>
      <c r="C585" t="s">
        <v>533</v>
      </c>
      <c r="D585" t="str">
        <f>VLOOKUP(C585,'Master Anggota'!$E$2:$J$678,2,0)</f>
        <v>Aktif</v>
      </c>
      <c r="G585" t="str">
        <f>VLOOKUP(C585,'Master Anggota'!$E$2:$J$678,5,0)</f>
        <v>Nasabah</v>
      </c>
      <c r="H585" s="56">
        <v>0</v>
      </c>
      <c r="I585" s="56">
        <v>0</v>
      </c>
      <c r="J585" s="75">
        <v>100000</v>
      </c>
      <c r="K585" s="75">
        <v>400000</v>
      </c>
      <c r="L585" t="s">
        <v>607</v>
      </c>
      <c r="M585" s="76">
        <v>46064</v>
      </c>
      <c r="N585" t="s">
        <v>576</v>
      </c>
    </row>
    <row r="586" spans="2:14" hidden="1" x14ac:dyDescent="0.2">
      <c r="B586">
        <v>584</v>
      </c>
      <c r="C586" t="s">
        <v>159</v>
      </c>
      <c r="D586" t="str">
        <f>VLOOKUP(C586,'Master Anggota'!$E$2:$J$678,2,0)</f>
        <v>Purna Bakti 2026</v>
      </c>
      <c r="G586" t="str">
        <f>VLOOKUP(C586,'Master Anggota'!$E$2:$J$678,5,0)</f>
        <v>00571</v>
      </c>
      <c r="H586" s="56">
        <v>0</v>
      </c>
      <c r="I586" s="56">
        <v>-3669231</v>
      </c>
      <c r="J586" s="56">
        <v>-10129188</v>
      </c>
      <c r="K586" s="56">
        <v>-257037</v>
      </c>
      <c r="L586" t="s">
        <v>612</v>
      </c>
      <c r="M586" s="71">
        <v>46071</v>
      </c>
      <c r="N586" t="s">
        <v>613</v>
      </c>
    </row>
    <row r="587" spans="2:14" hidden="1" x14ac:dyDescent="0.2">
      <c r="B587">
        <v>585</v>
      </c>
      <c r="C587" t="s">
        <v>501</v>
      </c>
      <c r="D587" t="str">
        <f>VLOOKUP(C587,'Master Anggota'!$E$2:$J$678,2,0)</f>
        <v>Purna Bakti 2026</v>
      </c>
      <c r="G587" t="str">
        <f>VLOOKUP(C587,'Master Anggota'!$E$2:$J$678,5,0)</f>
        <v>01777</v>
      </c>
      <c r="H587" s="56">
        <v>0</v>
      </c>
      <c r="I587" s="56">
        <v>0</v>
      </c>
      <c r="J587" s="56">
        <v>-900000</v>
      </c>
      <c r="K587" s="56">
        <v>-1800000</v>
      </c>
      <c r="L587" t="s">
        <v>612</v>
      </c>
      <c r="M587" s="71">
        <v>46063</v>
      </c>
      <c r="N587" t="s">
        <v>613</v>
      </c>
    </row>
    <row r="588" spans="2:14" hidden="1" x14ac:dyDescent="0.2">
      <c r="B588">
        <v>586</v>
      </c>
      <c r="C588" t="s">
        <v>530</v>
      </c>
      <c r="D588" t="str">
        <f>VLOOKUP(C588,'Master Anggota'!$E$2:$J$678,2,0)</f>
        <v>Purna Bakti 2026</v>
      </c>
      <c r="G588" t="str">
        <f>VLOOKUP(C588,'Master Anggota'!$E$2:$J$678,5,0)</f>
        <v>Nasabah</v>
      </c>
      <c r="H588" s="56">
        <v>0</v>
      </c>
      <c r="I588" s="56">
        <v>-1265346</v>
      </c>
      <c r="J588" s="56">
        <v>-3800000</v>
      </c>
      <c r="K588" s="56">
        <v>-1100000</v>
      </c>
      <c r="L588" t="s">
        <v>644</v>
      </c>
      <c r="M588" s="73">
        <v>46093</v>
      </c>
      <c r="N588" t="s">
        <v>613</v>
      </c>
    </row>
    <row r="589" spans="2:14" hidden="1" x14ac:dyDescent="0.2">
      <c r="B589">
        <v>587</v>
      </c>
      <c r="C589" t="s">
        <v>486</v>
      </c>
      <c r="D589" t="str">
        <f>VLOOKUP(C589,'Master Anggota'!$E$2:$J$678,2,0)</f>
        <v>Aktif</v>
      </c>
      <c r="G589" t="str">
        <f>VLOOKUP(C589,'Master Anggota'!$E$2:$J$678,5,0)</f>
        <v>00281</v>
      </c>
      <c r="H589" s="56">
        <v>0</v>
      </c>
      <c r="I589" s="56">
        <v>0</v>
      </c>
      <c r="J589" s="56">
        <v>100000</v>
      </c>
      <c r="K589" s="56">
        <v>400000</v>
      </c>
      <c r="L589" t="s">
        <v>644</v>
      </c>
      <c r="M589" s="71">
        <v>46106</v>
      </c>
      <c r="N589" t="s">
        <v>576</v>
      </c>
    </row>
    <row r="590" spans="2:14" hidden="1" x14ac:dyDescent="0.2">
      <c r="B590">
        <v>588</v>
      </c>
      <c r="C590" t="s">
        <v>254</v>
      </c>
      <c r="D590" t="str">
        <f>VLOOKUP(C590,'Master Anggota'!$E$2:$J$678,2,0)</f>
        <v>Purna Bakti 2026</v>
      </c>
      <c r="G590" t="str">
        <f>VLOOKUP(C590,'Master Anggota'!$E$2:$J$678,5,0)</f>
        <v>00288</v>
      </c>
      <c r="H590" s="56">
        <v>0</v>
      </c>
      <c r="I590" s="56">
        <v>0</v>
      </c>
      <c r="J590" s="56">
        <v>100000</v>
      </c>
      <c r="K590" s="56">
        <v>100000</v>
      </c>
      <c r="L590" t="s">
        <v>644</v>
      </c>
      <c r="M590" s="71">
        <v>46106</v>
      </c>
      <c r="N590" t="s">
        <v>576</v>
      </c>
    </row>
    <row r="591" spans="2:14" hidden="1" x14ac:dyDescent="0.2">
      <c r="B591">
        <v>589</v>
      </c>
      <c r="C591" t="s">
        <v>135</v>
      </c>
      <c r="D591" t="str">
        <f>VLOOKUP(C591,'Master Anggota'!$E$2:$J$678,2,0)</f>
        <v>Aktif</v>
      </c>
      <c r="G591" t="str">
        <f>VLOOKUP(C591,'Master Anggota'!$E$2:$J$678,5,0)</f>
        <v>00293</v>
      </c>
      <c r="H591" s="56">
        <v>0</v>
      </c>
      <c r="I591" s="56">
        <v>0</v>
      </c>
      <c r="J591" s="56">
        <v>100000</v>
      </c>
      <c r="K591" s="56">
        <v>100000</v>
      </c>
      <c r="L591" t="s">
        <v>644</v>
      </c>
      <c r="M591" s="71">
        <v>46106</v>
      </c>
      <c r="N591" t="s">
        <v>576</v>
      </c>
    </row>
    <row r="592" spans="2:14" hidden="1" x14ac:dyDescent="0.2">
      <c r="B592">
        <v>590</v>
      </c>
      <c r="C592" t="s">
        <v>248</v>
      </c>
      <c r="D592" t="str">
        <f>VLOOKUP(C592,'Master Anggota'!$E$2:$J$678,2,0)</f>
        <v>Aktif</v>
      </c>
      <c r="G592" t="str">
        <f>VLOOKUP(C592,'Master Anggota'!$E$2:$J$678,5,0)</f>
        <v>00302</v>
      </c>
      <c r="H592" s="56">
        <v>0</v>
      </c>
      <c r="I592" s="56">
        <v>0</v>
      </c>
      <c r="J592" s="56">
        <v>100000</v>
      </c>
      <c r="K592" s="56">
        <v>10000</v>
      </c>
      <c r="L592" t="s">
        <v>644</v>
      </c>
      <c r="M592" s="71">
        <v>46106</v>
      </c>
      <c r="N592" t="s">
        <v>576</v>
      </c>
    </row>
    <row r="593" spans="2:14" hidden="1" x14ac:dyDescent="0.2">
      <c r="B593">
        <v>591</v>
      </c>
      <c r="C593" t="s">
        <v>335</v>
      </c>
      <c r="D593" t="str">
        <f>VLOOKUP(C593,'Master Anggota'!$E$2:$J$678,2,0)</f>
        <v>Aktif</v>
      </c>
      <c r="G593" t="str">
        <f>VLOOKUP(C593,'Master Anggota'!$E$2:$J$678,5,0)</f>
        <v>00311</v>
      </c>
      <c r="H593" s="56">
        <v>0</v>
      </c>
      <c r="I593" s="56">
        <v>0</v>
      </c>
      <c r="J593" s="56">
        <v>100000</v>
      </c>
      <c r="K593" s="56">
        <v>75000</v>
      </c>
      <c r="L593" t="s">
        <v>644</v>
      </c>
      <c r="M593" s="71">
        <v>46106</v>
      </c>
      <c r="N593" t="s">
        <v>576</v>
      </c>
    </row>
    <row r="594" spans="2:14" hidden="1" x14ac:dyDescent="0.2">
      <c r="B594">
        <v>592</v>
      </c>
      <c r="C594" t="s">
        <v>113</v>
      </c>
      <c r="D594" t="str">
        <f>VLOOKUP(C594,'Master Anggota'!$E$2:$J$678,2,0)</f>
        <v>Aktif</v>
      </c>
      <c r="G594" t="str">
        <f>VLOOKUP(C594,'Master Anggota'!$E$2:$J$678,5,0)</f>
        <v>00317</v>
      </c>
      <c r="H594" s="56">
        <v>0</v>
      </c>
      <c r="I594" s="56">
        <v>0</v>
      </c>
      <c r="J594" s="56">
        <v>100000</v>
      </c>
      <c r="K594" s="56">
        <v>15000</v>
      </c>
      <c r="L594" t="s">
        <v>644</v>
      </c>
      <c r="M594" s="71">
        <v>46106</v>
      </c>
      <c r="N594" t="s">
        <v>576</v>
      </c>
    </row>
    <row r="595" spans="2:14" hidden="1" x14ac:dyDescent="0.2">
      <c r="B595">
        <v>593</v>
      </c>
      <c r="C595" t="s">
        <v>83</v>
      </c>
      <c r="D595" t="str">
        <f>VLOOKUP(C595,'Master Anggota'!$E$2:$J$678,2,0)</f>
        <v>Aktif</v>
      </c>
      <c r="G595" t="str">
        <f>VLOOKUP(C595,'Master Anggota'!$E$2:$J$678,5,0)</f>
        <v>00322</v>
      </c>
      <c r="H595" s="56">
        <v>0</v>
      </c>
      <c r="I595" s="56">
        <v>0</v>
      </c>
      <c r="J595" s="56">
        <v>100000</v>
      </c>
      <c r="K595" s="56">
        <v>100000</v>
      </c>
      <c r="L595" t="s">
        <v>644</v>
      </c>
      <c r="M595" s="71">
        <v>46106</v>
      </c>
      <c r="N595" t="s">
        <v>576</v>
      </c>
    </row>
    <row r="596" spans="2:14" hidden="1" x14ac:dyDescent="0.2">
      <c r="B596">
        <v>594</v>
      </c>
      <c r="C596" t="s">
        <v>48</v>
      </c>
      <c r="D596" t="str">
        <f>VLOOKUP(C596,'Master Anggota'!$E$2:$J$678,2,0)</f>
        <v>Aktif</v>
      </c>
      <c r="G596" t="str">
        <f>VLOOKUP(C596,'Master Anggota'!$E$2:$J$678,5,0)</f>
        <v>00325</v>
      </c>
      <c r="H596" s="56">
        <v>0</v>
      </c>
      <c r="I596" s="56">
        <v>0</v>
      </c>
      <c r="J596" s="56">
        <v>100000</v>
      </c>
      <c r="K596" s="56">
        <v>75000</v>
      </c>
      <c r="L596" t="s">
        <v>644</v>
      </c>
      <c r="M596" s="71">
        <v>46106</v>
      </c>
      <c r="N596" t="s">
        <v>576</v>
      </c>
    </row>
    <row r="597" spans="2:14" hidden="1" x14ac:dyDescent="0.2">
      <c r="B597">
        <v>595</v>
      </c>
      <c r="C597" t="s">
        <v>198</v>
      </c>
      <c r="D597" t="str">
        <f>VLOOKUP(C597,'Master Anggota'!$E$2:$J$678,2,0)</f>
        <v>Aktif</v>
      </c>
      <c r="G597" t="str">
        <f>VLOOKUP(C597,'Master Anggota'!$E$2:$J$678,5,0)</f>
        <v>00327</v>
      </c>
      <c r="H597" s="56">
        <v>0</v>
      </c>
      <c r="I597" s="56">
        <v>0</v>
      </c>
      <c r="J597" s="56">
        <v>100000</v>
      </c>
      <c r="K597" s="56">
        <v>200000</v>
      </c>
      <c r="L597" t="s">
        <v>644</v>
      </c>
      <c r="M597" s="71">
        <v>46106</v>
      </c>
      <c r="N597" t="s">
        <v>576</v>
      </c>
    </row>
    <row r="598" spans="2:14" hidden="1" x14ac:dyDescent="0.2">
      <c r="B598">
        <v>596</v>
      </c>
      <c r="C598" t="s">
        <v>208</v>
      </c>
      <c r="D598" t="str">
        <f>VLOOKUP(C598,'Master Anggota'!$E$2:$J$678,2,0)</f>
        <v>Aktif</v>
      </c>
      <c r="G598" t="str">
        <f>VLOOKUP(C598,'Master Anggota'!$E$2:$J$678,5,0)</f>
        <v>00328</v>
      </c>
      <c r="H598" s="56">
        <v>0</v>
      </c>
      <c r="I598" s="56">
        <v>0</v>
      </c>
      <c r="J598" s="56">
        <v>100000</v>
      </c>
      <c r="K598" s="56">
        <v>250000</v>
      </c>
      <c r="L598" t="s">
        <v>644</v>
      </c>
      <c r="M598" s="71">
        <v>46106</v>
      </c>
      <c r="N598" t="s">
        <v>576</v>
      </c>
    </row>
    <row r="599" spans="2:14" hidden="1" x14ac:dyDescent="0.2">
      <c r="B599">
        <v>597</v>
      </c>
      <c r="C599" t="s">
        <v>348</v>
      </c>
      <c r="D599" t="str">
        <f>VLOOKUP(C599,'Master Anggota'!$E$2:$J$678,2,0)</f>
        <v>Aktif</v>
      </c>
      <c r="G599" t="str">
        <f>VLOOKUP(C599,'Master Anggota'!$E$2:$J$678,5,0)</f>
        <v>00334</v>
      </c>
      <c r="H599" s="56">
        <v>0</v>
      </c>
      <c r="I599" s="56">
        <v>0</v>
      </c>
      <c r="J599" s="56">
        <v>100000</v>
      </c>
      <c r="K599" s="56">
        <v>10000</v>
      </c>
      <c r="L599" t="s">
        <v>644</v>
      </c>
      <c r="M599" s="71">
        <v>46106</v>
      </c>
      <c r="N599" t="s">
        <v>576</v>
      </c>
    </row>
    <row r="600" spans="2:14" hidden="1" x14ac:dyDescent="0.2">
      <c r="B600">
        <v>598</v>
      </c>
      <c r="C600" t="s">
        <v>250</v>
      </c>
      <c r="D600" t="str">
        <f>VLOOKUP(C600,'Master Anggota'!$E$2:$J$678,2,0)</f>
        <v>Aktif</v>
      </c>
      <c r="G600" t="str">
        <f>VLOOKUP(C600,'Master Anggota'!$E$2:$J$678,5,0)</f>
        <v>00337</v>
      </c>
      <c r="H600" s="56">
        <v>0</v>
      </c>
      <c r="I600" s="56">
        <v>0</v>
      </c>
      <c r="J600" s="56">
        <v>100000</v>
      </c>
      <c r="K600" s="56">
        <v>50000</v>
      </c>
      <c r="L600" t="s">
        <v>644</v>
      </c>
      <c r="M600" s="71">
        <v>46106</v>
      </c>
      <c r="N600" t="s">
        <v>576</v>
      </c>
    </row>
    <row r="601" spans="2:14" hidden="1" x14ac:dyDescent="0.2">
      <c r="B601">
        <v>599</v>
      </c>
      <c r="C601" t="s">
        <v>341</v>
      </c>
      <c r="D601" t="str">
        <f>VLOOKUP(C601,'Master Anggota'!$E$2:$J$678,2,0)</f>
        <v>Aktif</v>
      </c>
      <c r="G601" t="str">
        <f>VLOOKUP(C601,'Master Anggota'!$E$2:$J$678,5,0)</f>
        <v>00339</v>
      </c>
      <c r="H601" s="56">
        <v>0</v>
      </c>
      <c r="I601" s="56">
        <v>0</v>
      </c>
      <c r="J601" s="56">
        <v>100000</v>
      </c>
      <c r="K601" s="56">
        <v>50000</v>
      </c>
      <c r="L601" t="s">
        <v>644</v>
      </c>
      <c r="M601" s="71">
        <v>46106</v>
      </c>
      <c r="N601" t="s">
        <v>576</v>
      </c>
    </row>
    <row r="602" spans="2:14" hidden="1" x14ac:dyDescent="0.2">
      <c r="B602">
        <v>600</v>
      </c>
      <c r="C602" t="s">
        <v>39</v>
      </c>
      <c r="D602" t="str">
        <f>VLOOKUP(C602,'Master Anggota'!$E$2:$J$678,2,0)</f>
        <v>Aktif</v>
      </c>
      <c r="G602" t="str">
        <f>VLOOKUP(C602,'Master Anggota'!$E$2:$J$678,5,0)</f>
        <v>00340</v>
      </c>
      <c r="H602" s="56">
        <v>0</v>
      </c>
      <c r="I602" s="56">
        <v>0</v>
      </c>
      <c r="J602" s="56">
        <v>100000</v>
      </c>
      <c r="K602" s="56">
        <v>1775000</v>
      </c>
      <c r="L602" t="s">
        <v>644</v>
      </c>
      <c r="M602" s="71">
        <v>46106</v>
      </c>
      <c r="N602" t="s">
        <v>576</v>
      </c>
    </row>
    <row r="603" spans="2:14" hidden="1" x14ac:dyDescent="0.2">
      <c r="B603">
        <v>601</v>
      </c>
      <c r="C603" t="s">
        <v>129</v>
      </c>
      <c r="D603" t="str">
        <f>VLOOKUP(C603,'Master Anggota'!$E$2:$J$678,2,0)</f>
        <v>Aktif</v>
      </c>
      <c r="G603" t="str">
        <f>VLOOKUP(C603,'Master Anggota'!$E$2:$J$678,5,0)</f>
        <v>00343</v>
      </c>
      <c r="H603" s="56">
        <v>0</v>
      </c>
      <c r="I603" s="56">
        <v>0</v>
      </c>
      <c r="J603" s="56">
        <v>100000</v>
      </c>
      <c r="K603" s="56">
        <v>150000</v>
      </c>
      <c r="L603" t="s">
        <v>644</v>
      </c>
      <c r="M603" s="71">
        <v>46106</v>
      </c>
      <c r="N603" t="s">
        <v>576</v>
      </c>
    </row>
    <row r="604" spans="2:14" hidden="1" x14ac:dyDescent="0.2">
      <c r="B604">
        <v>602</v>
      </c>
      <c r="C604" t="s">
        <v>480</v>
      </c>
      <c r="D604" t="str">
        <f>VLOOKUP(C604,'Master Anggota'!$E$2:$J$678,2,0)</f>
        <v>Aktif</v>
      </c>
      <c r="G604" t="str">
        <f>VLOOKUP(C604,'Master Anggota'!$E$2:$J$678,5,0)</f>
        <v>00351</v>
      </c>
      <c r="H604" s="56">
        <v>0</v>
      </c>
      <c r="I604" s="56">
        <v>0</v>
      </c>
      <c r="J604" s="56">
        <v>100000</v>
      </c>
      <c r="K604" s="56">
        <v>100000</v>
      </c>
      <c r="L604" t="s">
        <v>644</v>
      </c>
      <c r="M604" s="71">
        <v>46106</v>
      </c>
      <c r="N604" t="s">
        <v>576</v>
      </c>
    </row>
    <row r="605" spans="2:14" hidden="1" x14ac:dyDescent="0.2">
      <c r="B605">
        <v>603</v>
      </c>
      <c r="C605" t="s">
        <v>151</v>
      </c>
      <c r="D605" t="str">
        <f>VLOOKUP(C605,'Master Anggota'!$E$2:$J$678,2,0)</f>
        <v>Aktif</v>
      </c>
      <c r="G605" t="str">
        <f>VLOOKUP(C605,'Master Anggota'!$E$2:$J$678,5,0)</f>
        <v>00362</v>
      </c>
      <c r="H605" s="56">
        <v>0</v>
      </c>
      <c r="I605" s="56">
        <v>0</v>
      </c>
      <c r="J605" s="56">
        <v>100000</v>
      </c>
      <c r="K605" s="56">
        <v>250000</v>
      </c>
      <c r="L605" t="s">
        <v>644</v>
      </c>
      <c r="M605" s="71">
        <v>46106</v>
      </c>
      <c r="N605" t="s">
        <v>576</v>
      </c>
    </row>
    <row r="606" spans="2:14" hidden="1" x14ac:dyDescent="0.2">
      <c r="B606">
        <v>604</v>
      </c>
      <c r="C606" t="s">
        <v>90</v>
      </c>
      <c r="D606" t="str">
        <f>VLOOKUP(C606,'Master Anggota'!$E$2:$J$678,2,0)</f>
        <v>Aktif</v>
      </c>
      <c r="G606" t="str">
        <f>VLOOKUP(C606,'Master Anggota'!$E$2:$J$678,5,0)</f>
        <v>00363</v>
      </c>
      <c r="H606" s="56">
        <v>0</v>
      </c>
      <c r="I606" s="56">
        <v>0</v>
      </c>
      <c r="J606" s="56">
        <v>150000</v>
      </c>
      <c r="K606" s="56">
        <v>10000</v>
      </c>
      <c r="L606" t="s">
        <v>644</v>
      </c>
      <c r="M606" s="71">
        <v>46106</v>
      </c>
      <c r="N606" t="s">
        <v>576</v>
      </c>
    </row>
    <row r="607" spans="2:14" hidden="1" x14ac:dyDescent="0.2">
      <c r="B607">
        <v>605</v>
      </c>
      <c r="C607" t="s">
        <v>483</v>
      </c>
      <c r="D607" t="str">
        <f>VLOOKUP(C607,'Master Anggota'!$E$2:$J$678,2,0)</f>
        <v>Aktif</v>
      </c>
      <c r="G607" t="str">
        <f>VLOOKUP(C607,'Master Anggota'!$E$2:$J$678,5,0)</f>
        <v>00368</v>
      </c>
      <c r="H607" s="56">
        <v>0</v>
      </c>
      <c r="I607" s="56">
        <v>0</v>
      </c>
      <c r="J607" s="56">
        <v>100000</v>
      </c>
      <c r="K607" s="56">
        <v>100000</v>
      </c>
      <c r="L607" t="s">
        <v>644</v>
      </c>
      <c r="M607" s="71">
        <v>46106</v>
      </c>
      <c r="N607" t="s">
        <v>576</v>
      </c>
    </row>
    <row r="608" spans="2:14" hidden="1" x14ac:dyDescent="0.2">
      <c r="B608">
        <v>606</v>
      </c>
      <c r="C608" t="s">
        <v>328</v>
      </c>
      <c r="D608" t="str">
        <f>VLOOKUP(C608,'Master Anggota'!$E$2:$J$678,2,0)</f>
        <v>Aktif</v>
      </c>
      <c r="G608" t="str">
        <f>VLOOKUP(C608,'Master Anggota'!$E$2:$J$678,5,0)</f>
        <v>00369</v>
      </c>
      <c r="H608" s="56">
        <v>0</v>
      </c>
      <c r="I608" s="56">
        <v>0</v>
      </c>
      <c r="J608" s="56">
        <v>100000</v>
      </c>
      <c r="K608" s="56">
        <v>50000</v>
      </c>
      <c r="L608" t="s">
        <v>644</v>
      </c>
      <c r="M608" s="71">
        <v>46106</v>
      </c>
      <c r="N608" t="s">
        <v>576</v>
      </c>
    </row>
    <row r="609" spans="2:14" hidden="1" x14ac:dyDescent="0.2">
      <c r="B609">
        <v>607</v>
      </c>
      <c r="C609" t="s">
        <v>352</v>
      </c>
      <c r="D609" t="str">
        <f>VLOOKUP(C609,'Master Anggota'!$E$2:$J$678,2,0)</f>
        <v>Aktif</v>
      </c>
      <c r="G609" t="str">
        <f>VLOOKUP(C609,'Master Anggota'!$E$2:$J$678,5,0)</f>
        <v>00370</v>
      </c>
      <c r="H609" s="56">
        <v>0</v>
      </c>
      <c r="I609" s="56">
        <v>0</v>
      </c>
      <c r="J609" s="56">
        <v>100000</v>
      </c>
      <c r="K609" s="56">
        <v>10000</v>
      </c>
      <c r="L609" t="s">
        <v>644</v>
      </c>
      <c r="M609" s="71">
        <v>46106</v>
      </c>
      <c r="N609" t="s">
        <v>576</v>
      </c>
    </row>
    <row r="610" spans="2:14" hidden="1" x14ac:dyDescent="0.2">
      <c r="B610">
        <v>608</v>
      </c>
      <c r="C610" t="s">
        <v>481</v>
      </c>
      <c r="D610" t="str">
        <f>VLOOKUP(C610,'Master Anggota'!$E$2:$J$678,2,0)</f>
        <v>Aktif</v>
      </c>
      <c r="G610" t="str">
        <f>VLOOKUP(C610,'Master Anggota'!$E$2:$J$678,5,0)</f>
        <v>00371</v>
      </c>
      <c r="H610" s="56">
        <v>0</v>
      </c>
      <c r="I610" s="56">
        <v>0</v>
      </c>
      <c r="J610" s="56">
        <v>100000</v>
      </c>
      <c r="K610" s="56">
        <v>50000</v>
      </c>
      <c r="L610" t="s">
        <v>644</v>
      </c>
      <c r="M610" s="71">
        <v>46106</v>
      </c>
      <c r="N610" t="s">
        <v>576</v>
      </c>
    </row>
    <row r="611" spans="2:14" hidden="1" x14ac:dyDescent="0.2">
      <c r="B611">
        <v>609</v>
      </c>
      <c r="C611" t="s">
        <v>345</v>
      </c>
      <c r="D611" t="str">
        <f>VLOOKUP(C611,'Master Anggota'!$E$2:$J$678,2,0)</f>
        <v>Aktif</v>
      </c>
      <c r="G611" t="str">
        <f>VLOOKUP(C611,'Master Anggota'!$E$2:$J$678,5,0)</f>
        <v>00372</v>
      </c>
      <c r="H611" s="56">
        <v>0</v>
      </c>
      <c r="I611" s="56">
        <v>0</v>
      </c>
      <c r="J611" s="56">
        <v>100000</v>
      </c>
      <c r="K611" s="56">
        <v>12500</v>
      </c>
      <c r="L611" t="s">
        <v>644</v>
      </c>
      <c r="M611" s="71">
        <v>46106</v>
      </c>
      <c r="N611" t="s">
        <v>576</v>
      </c>
    </row>
    <row r="612" spans="2:14" hidden="1" x14ac:dyDescent="0.2">
      <c r="B612">
        <v>610</v>
      </c>
      <c r="C612" t="s">
        <v>521</v>
      </c>
      <c r="D612" t="str">
        <f>VLOOKUP(C612,'Master Anggota'!$E$2:$J$678,2,0)</f>
        <v>Aktif</v>
      </c>
      <c r="G612" t="str">
        <f>VLOOKUP(C612,'Master Anggota'!$E$2:$J$678,5,0)</f>
        <v>00376</v>
      </c>
      <c r="H612" s="56">
        <v>0</v>
      </c>
      <c r="I612" s="56">
        <v>0</v>
      </c>
      <c r="J612" s="56">
        <v>100000</v>
      </c>
      <c r="K612" s="56">
        <v>110000</v>
      </c>
      <c r="L612" t="s">
        <v>644</v>
      </c>
      <c r="M612" s="71">
        <v>46106</v>
      </c>
      <c r="N612" t="s">
        <v>576</v>
      </c>
    </row>
    <row r="613" spans="2:14" hidden="1" x14ac:dyDescent="0.2">
      <c r="B613">
        <v>611</v>
      </c>
      <c r="C613" t="s">
        <v>94</v>
      </c>
      <c r="D613" t="str">
        <f>VLOOKUP(C613,'Master Anggota'!$E$2:$J$678,2,0)</f>
        <v>Aktif</v>
      </c>
      <c r="G613" t="str">
        <f>VLOOKUP(C613,'Master Anggota'!$E$2:$J$678,5,0)</f>
        <v>00387</v>
      </c>
      <c r="H613" s="56">
        <v>0</v>
      </c>
      <c r="I613" s="56">
        <v>0</v>
      </c>
      <c r="J613" s="56">
        <v>100000</v>
      </c>
      <c r="K613" s="56">
        <v>10000</v>
      </c>
      <c r="L613" t="s">
        <v>644</v>
      </c>
      <c r="M613" s="71">
        <v>46106</v>
      </c>
      <c r="N613" t="s">
        <v>576</v>
      </c>
    </row>
    <row r="614" spans="2:14" hidden="1" x14ac:dyDescent="0.2">
      <c r="B614">
        <v>612</v>
      </c>
      <c r="C614" t="s">
        <v>258</v>
      </c>
      <c r="D614" t="str">
        <f>VLOOKUP(C614,'Master Anggota'!$E$2:$J$678,2,0)</f>
        <v>Aktif</v>
      </c>
      <c r="G614" t="str">
        <f>VLOOKUP(C614,'Master Anggota'!$E$2:$J$678,5,0)</f>
        <v>00390</v>
      </c>
      <c r="H614" s="56">
        <v>0</v>
      </c>
      <c r="I614" s="56">
        <v>0</v>
      </c>
      <c r="J614" s="56">
        <v>100000</v>
      </c>
      <c r="K614" s="56">
        <v>10000</v>
      </c>
      <c r="L614" t="s">
        <v>644</v>
      </c>
      <c r="M614" s="71">
        <v>46106</v>
      </c>
      <c r="N614" t="s">
        <v>576</v>
      </c>
    </row>
    <row r="615" spans="2:14" hidden="1" x14ac:dyDescent="0.2">
      <c r="B615">
        <v>613</v>
      </c>
      <c r="C615" t="s">
        <v>92</v>
      </c>
      <c r="D615" t="str">
        <f>VLOOKUP(C615,'Master Anggota'!$E$2:$J$678,2,0)</f>
        <v>Aktif</v>
      </c>
      <c r="G615" t="str">
        <f>VLOOKUP(C615,'Master Anggota'!$E$2:$J$678,5,0)</f>
        <v>00396</v>
      </c>
      <c r="H615" s="56">
        <v>0</v>
      </c>
      <c r="I615" s="56">
        <v>0</v>
      </c>
      <c r="J615" s="56">
        <v>150000</v>
      </c>
      <c r="K615" s="56">
        <v>200000</v>
      </c>
      <c r="L615" t="s">
        <v>644</v>
      </c>
      <c r="M615" s="71">
        <v>46106</v>
      </c>
      <c r="N615" t="s">
        <v>576</v>
      </c>
    </row>
    <row r="616" spans="2:14" hidden="1" x14ac:dyDescent="0.2">
      <c r="B616">
        <v>614</v>
      </c>
      <c r="C616" t="s">
        <v>103</v>
      </c>
      <c r="D616" t="str">
        <f>VLOOKUP(C616,'Master Anggota'!$E$2:$J$678,2,0)</f>
        <v>Aktif</v>
      </c>
      <c r="G616" t="str">
        <f>VLOOKUP(C616,'Master Anggota'!$E$2:$J$678,5,0)</f>
        <v>00401</v>
      </c>
      <c r="H616" s="56">
        <v>0</v>
      </c>
      <c r="I616" s="56">
        <v>0</v>
      </c>
      <c r="J616" s="56">
        <v>150000</v>
      </c>
      <c r="K616" s="56">
        <v>1000000</v>
      </c>
      <c r="L616" t="s">
        <v>644</v>
      </c>
      <c r="M616" s="71">
        <v>46106</v>
      </c>
      <c r="N616" t="s">
        <v>576</v>
      </c>
    </row>
    <row r="617" spans="2:14" hidden="1" x14ac:dyDescent="0.2">
      <c r="B617">
        <v>615</v>
      </c>
      <c r="C617" t="s">
        <v>122</v>
      </c>
      <c r="D617" t="str">
        <f>VLOOKUP(C617,'Master Anggota'!$E$2:$J$678,2,0)</f>
        <v>Aktif</v>
      </c>
      <c r="G617" t="str">
        <f>VLOOKUP(C617,'Master Anggota'!$E$2:$J$678,5,0)</f>
        <v>00485</v>
      </c>
      <c r="H617" s="56">
        <v>0</v>
      </c>
      <c r="I617" s="56">
        <v>0</v>
      </c>
      <c r="J617" s="56">
        <v>100000</v>
      </c>
      <c r="K617" s="56">
        <v>500000</v>
      </c>
      <c r="L617" t="s">
        <v>644</v>
      </c>
      <c r="M617" s="71">
        <v>46106</v>
      </c>
      <c r="N617" t="s">
        <v>576</v>
      </c>
    </row>
    <row r="618" spans="2:14" hidden="1" x14ac:dyDescent="0.2">
      <c r="B618">
        <v>616</v>
      </c>
      <c r="C618" t="s">
        <v>65</v>
      </c>
      <c r="D618" t="str">
        <f>VLOOKUP(C618,'Master Anggota'!$E$2:$J$678,2,0)</f>
        <v>Aktif</v>
      </c>
      <c r="G618" t="str">
        <f>VLOOKUP(C618,'Master Anggota'!$E$2:$J$678,5,0)</f>
        <v>00490</v>
      </c>
      <c r="H618" s="56">
        <v>0</v>
      </c>
      <c r="I618" s="56">
        <v>0</v>
      </c>
      <c r="J618" s="56">
        <v>100000</v>
      </c>
      <c r="K618" s="56">
        <v>200000</v>
      </c>
      <c r="L618" t="s">
        <v>644</v>
      </c>
      <c r="M618" s="71">
        <v>46106</v>
      </c>
      <c r="N618" t="s">
        <v>576</v>
      </c>
    </row>
    <row r="619" spans="2:14" hidden="1" x14ac:dyDescent="0.2">
      <c r="B619">
        <v>617</v>
      </c>
      <c r="C619" t="s">
        <v>69</v>
      </c>
      <c r="D619" t="str">
        <f>VLOOKUP(C619,'Master Anggota'!$E$2:$J$678,2,0)</f>
        <v>Aktif</v>
      </c>
      <c r="G619" t="str">
        <f>VLOOKUP(C619,'Master Anggota'!$E$2:$J$678,5,0)</f>
        <v>00496</v>
      </c>
      <c r="H619" s="56">
        <v>0</v>
      </c>
      <c r="I619" s="56">
        <v>0</v>
      </c>
      <c r="J619" s="56">
        <v>100000</v>
      </c>
      <c r="K619" s="56">
        <v>150000</v>
      </c>
      <c r="L619" t="s">
        <v>644</v>
      </c>
      <c r="M619" s="71">
        <v>46106</v>
      </c>
      <c r="N619" t="s">
        <v>576</v>
      </c>
    </row>
    <row r="620" spans="2:14" hidden="1" x14ac:dyDescent="0.2">
      <c r="B620">
        <v>618</v>
      </c>
      <c r="C620" t="s">
        <v>115</v>
      </c>
      <c r="D620" t="str">
        <f>VLOOKUP(C620,'Master Anggota'!$E$2:$J$678,2,0)</f>
        <v>Aktif</v>
      </c>
      <c r="G620" t="str">
        <f>VLOOKUP(C620,'Master Anggota'!$E$2:$J$678,5,0)</f>
        <v>00497</v>
      </c>
      <c r="H620" s="56">
        <v>0</v>
      </c>
      <c r="I620" s="56">
        <v>0</v>
      </c>
      <c r="J620" s="56">
        <v>100000</v>
      </c>
      <c r="K620" s="56">
        <v>500000</v>
      </c>
      <c r="L620" t="s">
        <v>644</v>
      </c>
      <c r="M620" s="71">
        <v>46106</v>
      </c>
      <c r="N620" t="s">
        <v>576</v>
      </c>
    </row>
    <row r="621" spans="2:14" hidden="1" x14ac:dyDescent="0.2">
      <c r="B621">
        <v>619</v>
      </c>
      <c r="C621" t="s">
        <v>117</v>
      </c>
      <c r="D621" t="str">
        <f>VLOOKUP(C621,'Master Anggota'!$E$2:$J$678,2,0)</f>
        <v>Aktif</v>
      </c>
      <c r="G621" t="str">
        <f>VLOOKUP(C621,'Master Anggota'!$E$2:$J$678,5,0)</f>
        <v>00497</v>
      </c>
      <c r="H621" s="56">
        <v>0</v>
      </c>
      <c r="I621" s="56">
        <v>0</v>
      </c>
      <c r="J621" s="56">
        <v>100000</v>
      </c>
      <c r="K621" s="56">
        <v>300000</v>
      </c>
      <c r="L621" t="s">
        <v>644</v>
      </c>
      <c r="M621" s="71">
        <v>46106</v>
      </c>
      <c r="N621" t="s">
        <v>576</v>
      </c>
    </row>
    <row r="622" spans="2:14" hidden="1" x14ac:dyDescent="0.2">
      <c r="B622">
        <v>620</v>
      </c>
      <c r="C622" t="s">
        <v>194</v>
      </c>
      <c r="D622" t="str">
        <f>VLOOKUP(C622,'Master Anggota'!$E$2:$J$678,2,0)</f>
        <v>Aktif</v>
      </c>
      <c r="G622" t="str">
        <f>VLOOKUP(C622,'Master Anggota'!$E$2:$J$678,5,0)</f>
        <v>00498</v>
      </c>
      <c r="H622" s="56">
        <v>0</v>
      </c>
      <c r="I622" s="56">
        <v>0</v>
      </c>
      <c r="J622" s="56">
        <v>200000</v>
      </c>
      <c r="K622" s="56">
        <v>500000</v>
      </c>
      <c r="L622" t="s">
        <v>644</v>
      </c>
      <c r="M622" s="71">
        <v>46106</v>
      </c>
      <c r="N622" t="s">
        <v>576</v>
      </c>
    </row>
    <row r="623" spans="2:14" hidden="1" x14ac:dyDescent="0.2">
      <c r="B623">
        <v>621</v>
      </c>
      <c r="C623" t="s">
        <v>155</v>
      </c>
      <c r="D623" t="str">
        <f>VLOOKUP(C623,'Master Anggota'!$E$2:$J$678,2,0)</f>
        <v>Aktif</v>
      </c>
      <c r="G623" t="str">
        <f>VLOOKUP(C623,'Master Anggota'!$E$2:$J$678,5,0)</f>
        <v>00499</v>
      </c>
      <c r="H623" s="56">
        <v>0</v>
      </c>
      <c r="I623" s="56">
        <v>0</v>
      </c>
      <c r="J623" s="56">
        <v>100000</v>
      </c>
      <c r="K623" s="56">
        <v>75000</v>
      </c>
      <c r="L623" t="s">
        <v>644</v>
      </c>
      <c r="M623" s="71">
        <v>46106</v>
      </c>
      <c r="N623" t="s">
        <v>576</v>
      </c>
    </row>
    <row r="624" spans="2:14" hidden="1" x14ac:dyDescent="0.2">
      <c r="B624">
        <v>622</v>
      </c>
      <c r="C624" t="s">
        <v>96</v>
      </c>
      <c r="D624" t="str">
        <f>VLOOKUP(C624,'Master Anggota'!$E$2:$J$678,2,0)</f>
        <v>Aktif</v>
      </c>
      <c r="G624" t="str">
        <f>VLOOKUP(C624,'Master Anggota'!$E$2:$J$678,5,0)</f>
        <v>00508</v>
      </c>
      <c r="H624" s="56">
        <v>0</v>
      </c>
      <c r="I624" s="56">
        <v>0</v>
      </c>
      <c r="J624" s="56">
        <v>100000</v>
      </c>
      <c r="K624" s="56">
        <v>50000</v>
      </c>
      <c r="L624" t="s">
        <v>644</v>
      </c>
      <c r="M624" s="71">
        <v>46106</v>
      </c>
      <c r="N624" t="s">
        <v>576</v>
      </c>
    </row>
    <row r="625" spans="2:14" hidden="1" x14ac:dyDescent="0.2">
      <c r="B625">
        <v>623</v>
      </c>
      <c r="C625" t="s">
        <v>270</v>
      </c>
      <c r="D625" t="str">
        <f>VLOOKUP(C625,'Master Anggota'!$E$2:$J$678,2,0)</f>
        <v>Aktif</v>
      </c>
      <c r="G625" t="str">
        <f>VLOOKUP(C625,'Master Anggota'!$E$2:$J$678,5,0)</f>
        <v>00509</v>
      </c>
      <c r="H625" s="56">
        <v>0</v>
      </c>
      <c r="I625" s="56">
        <v>0</v>
      </c>
      <c r="J625" s="56">
        <v>100000</v>
      </c>
      <c r="K625" s="56">
        <v>175000</v>
      </c>
      <c r="L625" t="s">
        <v>644</v>
      </c>
      <c r="M625" s="71">
        <v>46106</v>
      </c>
      <c r="N625" t="s">
        <v>576</v>
      </c>
    </row>
    <row r="626" spans="2:14" hidden="1" x14ac:dyDescent="0.2">
      <c r="B626">
        <v>624</v>
      </c>
      <c r="C626" t="s">
        <v>37</v>
      </c>
      <c r="D626" t="str">
        <f>VLOOKUP(C626,'Master Anggota'!$E$2:$J$678,2,0)</f>
        <v>Aktif</v>
      </c>
      <c r="G626" t="str">
        <f>VLOOKUP(C626,'Master Anggota'!$E$2:$J$678,5,0)</f>
        <v>00511</v>
      </c>
      <c r="H626" s="56">
        <v>0</v>
      </c>
      <c r="I626" s="56">
        <v>0</v>
      </c>
      <c r="J626" s="56">
        <v>100000</v>
      </c>
      <c r="K626" s="56">
        <v>50000</v>
      </c>
      <c r="L626" t="s">
        <v>644</v>
      </c>
      <c r="M626" s="71">
        <v>46106</v>
      </c>
      <c r="N626" t="s">
        <v>576</v>
      </c>
    </row>
    <row r="627" spans="2:14" hidden="1" x14ac:dyDescent="0.2">
      <c r="B627">
        <v>625</v>
      </c>
      <c r="C627" t="s">
        <v>202</v>
      </c>
      <c r="D627" t="str">
        <f>VLOOKUP(C627,'Master Anggota'!$E$2:$J$678,2,0)</f>
        <v>Aktif</v>
      </c>
      <c r="G627" t="str">
        <f>VLOOKUP(C627,'Master Anggota'!$E$2:$J$678,5,0)</f>
        <v>00512</v>
      </c>
      <c r="H627" s="56">
        <v>0</v>
      </c>
      <c r="I627" s="56">
        <v>0</v>
      </c>
      <c r="J627" s="56">
        <v>100000</v>
      </c>
      <c r="K627" s="56">
        <v>175000</v>
      </c>
      <c r="L627" t="s">
        <v>644</v>
      </c>
      <c r="M627" s="71">
        <v>46106</v>
      </c>
      <c r="N627" t="s">
        <v>576</v>
      </c>
    </row>
    <row r="628" spans="2:14" hidden="1" x14ac:dyDescent="0.2">
      <c r="B628">
        <v>626</v>
      </c>
      <c r="C628" t="s">
        <v>239</v>
      </c>
      <c r="D628" t="str">
        <f>VLOOKUP(C628,'Master Anggota'!$E$2:$J$678,2,0)</f>
        <v>Aktif</v>
      </c>
      <c r="G628" t="str">
        <f>VLOOKUP(C628,'Master Anggota'!$E$2:$J$678,5,0)</f>
        <v>00513</v>
      </c>
      <c r="H628" s="56">
        <v>0</v>
      </c>
      <c r="I628" s="56">
        <v>0</v>
      </c>
      <c r="J628" s="56">
        <v>100000</v>
      </c>
      <c r="K628" s="56">
        <v>125000</v>
      </c>
      <c r="L628" t="s">
        <v>644</v>
      </c>
      <c r="M628" s="71">
        <v>46106</v>
      </c>
      <c r="N628" t="s">
        <v>576</v>
      </c>
    </row>
    <row r="629" spans="2:14" hidden="1" x14ac:dyDescent="0.2">
      <c r="B629">
        <v>627</v>
      </c>
      <c r="C629" t="s">
        <v>223</v>
      </c>
      <c r="D629" t="str">
        <f>VLOOKUP(C629,'Master Anggota'!$E$2:$J$678,2,0)</f>
        <v>Aktif</v>
      </c>
      <c r="G629" t="str">
        <f>VLOOKUP(C629,'Master Anggota'!$E$2:$J$678,5,0)</f>
        <v>00514</v>
      </c>
      <c r="H629" s="56">
        <v>0</v>
      </c>
      <c r="I629" s="56">
        <v>0</v>
      </c>
      <c r="J629" s="56">
        <v>100000</v>
      </c>
      <c r="K629" s="56">
        <v>300000</v>
      </c>
      <c r="L629" t="s">
        <v>644</v>
      </c>
      <c r="M629" s="71">
        <v>46106</v>
      </c>
      <c r="N629" t="s">
        <v>576</v>
      </c>
    </row>
    <row r="630" spans="2:14" hidden="1" x14ac:dyDescent="0.2">
      <c r="B630">
        <v>628</v>
      </c>
      <c r="C630" t="s">
        <v>274</v>
      </c>
      <c r="D630" t="str">
        <f>VLOOKUP(C630,'Master Anggota'!$E$2:$J$678,2,0)</f>
        <v>Aktif</v>
      </c>
      <c r="G630" t="str">
        <f>VLOOKUP(C630,'Master Anggota'!$E$2:$J$678,5,0)</f>
        <v>00515</v>
      </c>
      <c r="H630" s="56">
        <v>0</v>
      </c>
      <c r="I630" s="56">
        <v>0</v>
      </c>
      <c r="J630" s="56">
        <v>100000</v>
      </c>
      <c r="K630" s="56">
        <v>100000</v>
      </c>
      <c r="L630" t="s">
        <v>644</v>
      </c>
      <c r="M630" s="71">
        <v>46106</v>
      </c>
      <c r="N630" t="s">
        <v>576</v>
      </c>
    </row>
    <row r="631" spans="2:14" hidden="1" x14ac:dyDescent="0.2">
      <c r="B631">
        <v>629</v>
      </c>
      <c r="C631" t="s">
        <v>233</v>
      </c>
      <c r="D631" t="str">
        <f>VLOOKUP(C631,'Master Anggota'!$E$2:$J$678,2,0)</f>
        <v>Aktif</v>
      </c>
      <c r="G631" t="str">
        <f>VLOOKUP(C631,'Master Anggota'!$E$2:$J$678,5,0)</f>
        <v>00516</v>
      </c>
      <c r="H631" s="56">
        <v>0</v>
      </c>
      <c r="I631" s="56">
        <v>0</v>
      </c>
      <c r="J631" s="56">
        <v>100000</v>
      </c>
      <c r="K631" s="56">
        <v>25000</v>
      </c>
      <c r="L631" t="s">
        <v>644</v>
      </c>
      <c r="M631" s="71">
        <v>46106</v>
      </c>
      <c r="N631" t="s">
        <v>576</v>
      </c>
    </row>
    <row r="632" spans="2:14" hidden="1" x14ac:dyDescent="0.2">
      <c r="B632">
        <v>630</v>
      </c>
      <c r="C632" t="s">
        <v>71</v>
      </c>
      <c r="D632" t="str">
        <f>VLOOKUP(C632,'Master Anggota'!$E$2:$J$678,2,0)</f>
        <v>Aktif</v>
      </c>
      <c r="G632" t="str">
        <f>VLOOKUP(C632,'Master Anggota'!$E$2:$J$678,5,0)</f>
        <v>00517</v>
      </c>
      <c r="H632" s="56">
        <v>0</v>
      </c>
      <c r="I632" s="56">
        <v>0</v>
      </c>
      <c r="J632" s="56">
        <v>100000</v>
      </c>
      <c r="K632" s="56">
        <v>400000</v>
      </c>
      <c r="L632" t="s">
        <v>644</v>
      </c>
      <c r="M632" s="71">
        <v>46106</v>
      </c>
      <c r="N632" t="s">
        <v>576</v>
      </c>
    </row>
    <row r="633" spans="2:14" hidden="1" x14ac:dyDescent="0.2">
      <c r="B633">
        <v>631</v>
      </c>
      <c r="C633" t="s">
        <v>62</v>
      </c>
      <c r="D633" t="str">
        <f>VLOOKUP(C633,'Master Anggota'!$E$2:$J$678,2,0)</f>
        <v>Aktif</v>
      </c>
      <c r="G633" t="str">
        <f>VLOOKUP(C633,'Master Anggota'!$E$2:$J$678,5,0)</f>
        <v>00518</v>
      </c>
      <c r="H633" s="56">
        <v>0</v>
      </c>
      <c r="I633" s="56">
        <v>0</v>
      </c>
      <c r="J633" s="56">
        <v>150000</v>
      </c>
      <c r="K633" s="56">
        <v>150000</v>
      </c>
      <c r="L633" t="s">
        <v>644</v>
      </c>
      <c r="M633" s="71">
        <v>46106</v>
      </c>
      <c r="N633" t="s">
        <v>576</v>
      </c>
    </row>
    <row r="634" spans="2:14" hidden="1" x14ac:dyDescent="0.2">
      <c r="B634">
        <v>632</v>
      </c>
      <c r="C634" t="s">
        <v>46</v>
      </c>
      <c r="D634" t="str">
        <f>VLOOKUP(C634,'Master Anggota'!$E$2:$J$678,2,0)</f>
        <v>Aktif</v>
      </c>
      <c r="G634" t="str">
        <f>VLOOKUP(C634,'Master Anggota'!$E$2:$J$678,5,0)</f>
        <v>00519</v>
      </c>
      <c r="H634" s="56">
        <v>0</v>
      </c>
      <c r="I634" s="56">
        <v>0</v>
      </c>
      <c r="J634" s="56">
        <v>100000</v>
      </c>
      <c r="K634" s="56">
        <v>125000</v>
      </c>
      <c r="L634" t="s">
        <v>644</v>
      </c>
      <c r="M634" s="71">
        <v>46106</v>
      </c>
      <c r="N634" t="s">
        <v>576</v>
      </c>
    </row>
    <row r="635" spans="2:14" hidden="1" x14ac:dyDescent="0.2">
      <c r="B635">
        <v>633</v>
      </c>
      <c r="C635" t="s">
        <v>200</v>
      </c>
      <c r="D635" t="str">
        <f>VLOOKUP(C635,'Master Anggota'!$E$2:$J$678,2,0)</f>
        <v>Aktif</v>
      </c>
      <c r="G635" t="str">
        <f>VLOOKUP(C635,'Master Anggota'!$E$2:$J$678,5,0)</f>
        <v>00520</v>
      </c>
      <c r="H635" s="56">
        <v>0</v>
      </c>
      <c r="I635" s="56">
        <v>0</v>
      </c>
      <c r="J635" s="56">
        <v>100000</v>
      </c>
      <c r="K635" s="56">
        <v>100000</v>
      </c>
      <c r="L635" t="s">
        <v>644</v>
      </c>
      <c r="M635" s="71">
        <v>46106</v>
      </c>
      <c r="N635" t="s">
        <v>576</v>
      </c>
    </row>
    <row r="636" spans="2:14" hidden="1" x14ac:dyDescent="0.2">
      <c r="B636">
        <v>634</v>
      </c>
      <c r="C636" t="s">
        <v>107</v>
      </c>
      <c r="D636" t="str">
        <f>VLOOKUP(C636,'Master Anggota'!$E$2:$J$678,2,0)</f>
        <v>Aktif</v>
      </c>
      <c r="G636" t="str">
        <f>VLOOKUP(C636,'Master Anggota'!$E$2:$J$678,5,0)</f>
        <v>00521</v>
      </c>
      <c r="H636" s="56">
        <v>0</v>
      </c>
      <c r="I636" s="56">
        <v>0</v>
      </c>
      <c r="J636" s="56">
        <v>100000</v>
      </c>
      <c r="K636" s="56">
        <v>200000</v>
      </c>
      <c r="L636" t="s">
        <v>644</v>
      </c>
      <c r="M636" s="71">
        <v>46106</v>
      </c>
      <c r="N636" t="s">
        <v>576</v>
      </c>
    </row>
    <row r="637" spans="2:14" hidden="1" x14ac:dyDescent="0.2">
      <c r="B637">
        <v>635</v>
      </c>
      <c r="C637" t="s">
        <v>235</v>
      </c>
      <c r="D637" t="str">
        <f>VLOOKUP(C637,'Master Anggota'!$E$2:$J$678,2,0)</f>
        <v>Aktif</v>
      </c>
      <c r="G637" t="str">
        <f>VLOOKUP(C637,'Master Anggota'!$E$2:$J$678,5,0)</f>
        <v>00523</v>
      </c>
      <c r="H637" s="56">
        <v>0</v>
      </c>
      <c r="I637" s="56">
        <v>0</v>
      </c>
      <c r="J637" s="56">
        <v>100000</v>
      </c>
      <c r="K637" s="56">
        <v>100000</v>
      </c>
      <c r="L637" t="s">
        <v>644</v>
      </c>
      <c r="M637" s="71">
        <v>46106</v>
      </c>
      <c r="N637" t="s">
        <v>576</v>
      </c>
    </row>
    <row r="638" spans="2:14" hidden="1" x14ac:dyDescent="0.2">
      <c r="B638">
        <v>636</v>
      </c>
      <c r="C638" t="s">
        <v>252</v>
      </c>
      <c r="D638" t="str">
        <f>VLOOKUP(C638,'Master Anggota'!$E$2:$J$678,2,0)</f>
        <v>Aktif</v>
      </c>
      <c r="G638" t="str">
        <f>VLOOKUP(C638,'Master Anggota'!$E$2:$J$678,5,0)</f>
        <v>00524</v>
      </c>
      <c r="H638" s="56">
        <v>0</v>
      </c>
      <c r="I638" s="56">
        <v>0</v>
      </c>
      <c r="J638" s="56">
        <v>100000</v>
      </c>
      <c r="K638" s="56">
        <v>200000</v>
      </c>
      <c r="L638" t="s">
        <v>644</v>
      </c>
      <c r="M638" s="71">
        <v>46106</v>
      </c>
      <c r="N638" t="s">
        <v>576</v>
      </c>
    </row>
    <row r="639" spans="2:14" hidden="1" x14ac:dyDescent="0.2">
      <c r="B639">
        <v>637</v>
      </c>
      <c r="C639" t="s">
        <v>206</v>
      </c>
      <c r="D639" t="str">
        <f>VLOOKUP(C639,'Master Anggota'!$E$2:$J$678,2,0)</f>
        <v>Aktif</v>
      </c>
      <c r="G639" t="str">
        <f>VLOOKUP(C639,'Master Anggota'!$E$2:$J$678,5,0)</f>
        <v>00525</v>
      </c>
      <c r="H639" s="56">
        <v>0</v>
      </c>
      <c r="I639" s="56">
        <v>0</v>
      </c>
      <c r="J639" s="56">
        <v>100000</v>
      </c>
      <c r="K639" s="56">
        <v>100000</v>
      </c>
      <c r="L639" t="s">
        <v>644</v>
      </c>
      <c r="M639" s="71">
        <v>46106</v>
      </c>
      <c r="N639" t="s">
        <v>576</v>
      </c>
    </row>
    <row r="640" spans="2:14" hidden="1" x14ac:dyDescent="0.2">
      <c r="B640">
        <v>638</v>
      </c>
      <c r="C640" t="s">
        <v>241</v>
      </c>
      <c r="D640" t="str">
        <f>VLOOKUP(C640,'Master Anggota'!$E$2:$J$678,2,0)</f>
        <v>Aktif</v>
      </c>
      <c r="G640" t="str">
        <f>VLOOKUP(C640,'Master Anggota'!$E$2:$J$678,5,0)</f>
        <v>00526</v>
      </c>
      <c r="H640" s="56">
        <v>0</v>
      </c>
      <c r="I640" s="56">
        <v>0</v>
      </c>
      <c r="J640" s="56">
        <v>100000</v>
      </c>
      <c r="K640" s="56">
        <v>100000</v>
      </c>
      <c r="L640" t="s">
        <v>644</v>
      </c>
      <c r="M640" s="71">
        <v>46106</v>
      </c>
      <c r="N640" t="s">
        <v>576</v>
      </c>
    </row>
    <row r="641" spans="2:14" hidden="1" x14ac:dyDescent="0.2">
      <c r="B641">
        <v>639</v>
      </c>
      <c r="C641" t="s">
        <v>147</v>
      </c>
      <c r="D641" t="str">
        <f>VLOOKUP(C641,'Master Anggota'!$E$2:$J$678,2,0)</f>
        <v>Aktif</v>
      </c>
      <c r="G641" t="str">
        <f>VLOOKUP(C641,'Master Anggota'!$E$2:$J$678,5,0)</f>
        <v>00527</v>
      </c>
      <c r="H641" s="56">
        <v>0</v>
      </c>
      <c r="I641" s="56">
        <v>0</v>
      </c>
      <c r="J641" s="56">
        <v>100000</v>
      </c>
      <c r="K641" s="56">
        <v>50000</v>
      </c>
      <c r="L641" t="s">
        <v>644</v>
      </c>
      <c r="M641" s="71">
        <v>46106</v>
      </c>
      <c r="N641" t="s">
        <v>576</v>
      </c>
    </row>
    <row r="642" spans="2:14" hidden="1" x14ac:dyDescent="0.2">
      <c r="B642">
        <v>640</v>
      </c>
      <c r="C642" t="s">
        <v>268</v>
      </c>
      <c r="D642" t="str">
        <f>VLOOKUP(C642,'Master Anggota'!$E$2:$J$678,2,0)</f>
        <v>Aktif</v>
      </c>
      <c r="G642" t="str">
        <f>VLOOKUP(C642,'Master Anggota'!$E$2:$J$678,5,0)</f>
        <v>00528</v>
      </c>
      <c r="H642" s="56">
        <v>0</v>
      </c>
      <c r="I642" s="56">
        <v>0</v>
      </c>
      <c r="J642" s="56">
        <v>100000</v>
      </c>
      <c r="K642" s="56">
        <v>100000</v>
      </c>
      <c r="L642" t="s">
        <v>644</v>
      </c>
      <c r="M642" s="71">
        <v>46106</v>
      </c>
      <c r="N642" t="s">
        <v>576</v>
      </c>
    </row>
    <row r="643" spans="2:14" x14ac:dyDescent="0.2">
      <c r="B643">
        <v>641</v>
      </c>
      <c r="C643" t="s">
        <v>214</v>
      </c>
      <c r="D643" t="str">
        <f>VLOOKUP(C643,'Master Anggota'!$E$2:$J$678,2,0)</f>
        <v>Aktif</v>
      </c>
      <c r="G643" t="str">
        <f>VLOOKUP(C643,'Master Anggota'!$E$2:$J$678,5,0)</f>
        <v>00529</v>
      </c>
      <c r="H643" s="56">
        <v>0</v>
      </c>
      <c r="I643" s="56">
        <v>0</v>
      </c>
      <c r="J643" s="56">
        <v>100000</v>
      </c>
      <c r="K643" s="56">
        <v>100000</v>
      </c>
      <c r="L643" t="s">
        <v>644</v>
      </c>
      <c r="M643" s="71">
        <v>46106</v>
      </c>
      <c r="N643" t="s">
        <v>576</v>
      </c>
    </row>
    <row r="644" spans="2:14" hidden="1" x14ac:dyDescent="0.2">
      <c r="B644">
        <v>642</v>
      </c>
      <c r="C644" t="s">
        <v>243</v>
      </c>
      <c r="D644" t="str">
        <f>VLOOKUP(C644,'Master Anggota'!$E$2:$J$678,2,0)</f>
        <v>Aktif</v>
      </c>
      <c r="G644" t="str">
        <f>VLOOKUP(C644,'Master Anggota'!$E$2:$J$678,5,0)</f>
        <v>00530</v>
      </c>
      <c r="H644" s="56">
        <v>0</v>
      </c>
      <c r="I644" s="56">
        <v>0</v>
      </c>
      <c r="J644" s="56">
        <v>100000</v>
      </c>
      <c r="K644" s="56">
        <v>250000</v>
      </c>
      <c r="L644" t="s">
        <v>644</v>
      </c>
      <c r="M644" s="71">
        <v>46106</v>
      </c>
      <c r="N644" t="s">
        <v>576</v>
      </c>
    </row>
    <row r="645" spans="2:14" hidden="1" x14ac:dyDescent="0.2">
      <c r="B645">
        <v>643</v>
      </c>
      <c r="C645" t="s">
        <v>225</v>
      </c>
      <c r="D645" t="str">
        <f>VLOOKUP(C645,'Master Anggota'!$E$2:$J$678,2,0)</f>
        <v>Aktif</v>
      </c>
      <c r="G645" t="str">
        <f>VLOOKUP(C645,'Master Anggota'!$E$2:$J$678,5,0)</f>
        <v>00531</v>
      </c>
      <c r="H645" s="56">
        <v>0</v>
      </c>
      <c r="I645" s="56">
        <v>0</v>
      </c>
      <c r="J645" s="56">
        <v>100000</v>
      </c>
      <c r="K645" s="56">
        <v>15000</v>
      </c>
      <c r="L645" t="s">
        <v>644</v>
      </c>
      <c r="M645" s="71">
        <v>46106</v>
      </c>
      <c r="N645" t="s">
        <v>576</v>
      </c>
    </row>
    <row r="646" spans="2:14" hidden="1" x14ac:dyDescent="0.2">
      <c r="B646">
        <v>644</v>
      </c>
      <c r="C646" t="s">
        <v>245</v>
      </c>
      <c r="D646" t="str">
        <f>VLOOKUP(C646,'Master Anggota'!$E$2:$J$678,2,0)</f>
        <v>Aktif</v>
      </c>
      <c r="G646" t="str">
        <f>VLOOKUP(C646,'Master Anggota'!$E$2:$J$678,5,0)</f>
        <v>00532</v>
      </c>
      <c r="H646" s="56">
        <v>0</v>
      </c>
      <c r="I646" s="56">
        <v>0</v>
      </c>
      <c r="J646" s="56">
        <v>100000</v>
      </c>
      <c r="K646" s="56">
        <v>100000</v>
      </c>
      <c r="L646" t="s">
        <v>644</v>
      </c>
      <c r="M646" s="71">
        <v>46106</v>
      </c>
      <c r="N646" t="s">
        <v>576</v>
      </c>
    </row>
    <row r="647" spans="2:14" hidden="1" x14ac:dyDescent="0.2">
      <c r="B647">
        <v>645</v>
      </c>
      <c r="C647" t="s">
        <v>522</v>
      </c>
      <c r="D647" t="str">
        <f>VLOOKUP(C647,'Master Anggota'!$E$2:$J$678,2,0)</f>
        <v>Aktif</v>
      </c>
      <c r="G647" t="str">
        <f>VLOOKUP(C647,'Master Anggota'!$E$2:$J$678,5,0)</f>
        <v>00533</v>
      </c>
      <c r="H647" s="56">
        <v>0</v>
      </c>
      <c r="I647" s="56">
        <v>0</v>
      </c>
      <c r="J647" s="56">
        <v>100000</v>
      </c>
      <c r="K647" s="56">
        <v>100000</v>
      </c>
      <c r="L647" t="s">
        <v>644</v>
      </c>
      <c r="M647" s="71">
        <v>46106</v>
      </c>
      <c r="N647" t="s">
        <v>576</v>
      </c>
    </row>
    <row r="648" spans="2:14" hidden="1" x14ac:dyDescent="0.2">
      <c r="B648">
        <v>646</v>
      </c>
      <c r="C648" t="s">
        <v>204</v>
      </c>
      <c r="D648" t="str">
        <f>VLOOKUP(C648,'Master Anggota'!$E$2:$J$678,2,0)</f>
        <v>Aktif</v>
      </c>
      <c r="G648" t="str">
        <f>VLOOKUP(C648,'Master Anggota'!$E$2:$J$678,5,0)</f>
        <v>00534</v>
      </c>
      <c r="H648" s="56">
        <v>0</v>
      </c>
      <c r="I648" s="56">
        <v>0</v>
      </c>
      <c r="J648" s="56">
        <v>100000</v>
      </c>
      <c r="K648" s="56">
        <v>125000</v>
      </c>
      <c r="L648" t="s">
        <v>644</v>
      </c>
      <c r="M648" s="71">
        <v>46106</v>
      </c>
      <c r="N648" t="s">
        <v>576</v>
      </c>
    </row>
    <row r="649" spans="2:14" hidden="1" x14ac:dyDescent="0.2">
      <c r="B649">
        <v>647</v>
      </c>
      <c r="C649" t="s">
        <v>189</v>
      </c>
      <c r="D649" t="str">
        <f>VLOOKUP(C649,'Master Anggota'!$E$2:$J$678,2,0)</f>
        <v>Aktif</v>
      </c>
      <c r="G649" t="str">
        <f>VLOOKUP(C649,'Master Anggota'!$E$2:$J$678,5,0)</f>
        <v>00535</v>
      </c>
      <c r="H649" s="56">
        <v>0</v>
      </c>
      <c r="I649" s="56">
        <v>0</v>
      </c>
      <c r="J649" s="56">
        <v>100000</v>
      </c>
      <c r="K649" s="56">
        <v>150000</v>
      </c>
      <c r="L649" t="s">
        <v>644</v>
      </c>
      <c r="M649" s="71">
        <v>46106</v>
      </c>
      <c r="N649" t="s">
        <v>576</v>
      </c>
    </row>
    <row r="650" spans="2:14" hidden="1" x14ac:dyDescent="0.2">
      <c r="B650">
        <v>648</v>
      </c>
      <c r="C650" t="s">
        <v>81</v>
      </c>
      <c r="D650" t="str">
        <f>VLOOKUP(C650,'Master Anggota'!$E$2:$J$678,2,0)</f>
        <v>Aktif</v>
      </c>
      <c r="G650" t="str">
        <f>VLOOKUP(C650,'Master Anggota'!$E$2:$J$678,5,0)</f>
        <v>00537</v>
      </c>
      <c r="H650" s="56">
        <v>0</v>
      </c>
      <c r="I650" s="56">
        <v>0</v>
      </c>
      <c r="J650" s="56">
        <v>100000</v>
      </c>
      <c r="K650" s="56">
        <v>100000</v>
      </c>
      <c r="L650" t="s">
        <v>644</v>
      </c>
      <c r="M650" s="71">
        <v>46106</v>
      </c>
      <c r="N650" t="s">
        <v>576</v>
      </c>
    </row>
    <row r="651" spans="2:14" hidden="1" x14ac:dyDescent="0.2">
      <c r="B651">
        <v>649</v>
      </c>
      <c r="C651" t="s">
        <v>55</v>
      </c>
      <c r="D651" t="str">
        <f>VLOOKUP(C651,'Master Anggota'!$E$2:$J$678,2,0)</f>
        <v>Aktif</v>
      </c>
      <c r="G651" t="str">
        <f>VLOOKUP(C651,'Master Anggota'!$E$2:$J$678,5,0)</f>
        <v>00539</v>
      </c>
      <c r="H651" s="56">
        <v>0</v>
      </c>
      <c r="I651" s="56">
        <v>0</v>
      </c>
      <c r="J651" s="56">
        <v>100000</v>
      </c>
      <c r="K651" s="56">
        <v>50000</v>
      </c>
      <c r="L651" t="s">
        <v>644</v>
      </c>
      <c r="M651" s="71">
        <v>46106</v>
      </c>
      <c r="N651" t="s">
        <v>576</v>
      </c>
    </row>
    <row r="652" spans="2:14" hidden="1" x14ac:dyDescent="0.2">
      <c r="B652">
        <v>650</v>
      </c>
      <c r="C652" t="s">
        <v>53</v>
      </c>
      <c r="D652" t="str">
        <f>VLOOKUP(C652,'Master Anggota'!$E$2:$J$678,2,0)</f>
        <v>Aktif</v>
      </c>
      <c r="G652" t="str">
        <f>VLOOKUP(C652,'Master Anggota'!$E$2:$J$678,5,0)</f>
        <v>00540</v>
      </c>
      <c r="H652" s="56">
        <v>0</v>
      </c>
      <c r="I652" s="56">
        <v>0</v>
      </c>
      <c r="J652" s="56">
        <v>100000</v>
      </c>
      <c r="K652" s="56">
        <v>125000</v>
      </c>
      <c r="L652" t="s">
        <v>644</v>
      </c>
      <c r="M652" s="71">
        <v>46106</v>
      </c>
      <c r="N652" t="s">
        <v>576</v>
      </c>
    </row>
    <row r="653" spans="2:14" hidden="1" x14ac:dyDescent="0.2">
      <c r="B653">
        <v>651</v>
      </c>
      <c r="C653" t="s">
        <v>79</v>
      </c>
      <c r="D653" t="str">
        <f>VLOOKUP(C653,'Master Anggota'!$E$2:$J$678,2,0)</f>
        <v>Aktif</v>
      </c>
      <c r="G653" t="str">
        <f>VLOOKUP(C653,'Master Anggota'!$E$2:$J$678,5,0)</f>
        <v>00541</v>
      </c>
      <c r="H653" s="56">
        <v>0</v>
      </c>
      <c r="I653" s="56">
        <v>0</v>
      </c>
      <c r="J653" s="56">
        <v>100000</v>
      </c>
      <c r="K653" s="56">
        <v>150000</v>
      </c>
      <c r="L653" t="s">
        <v>644</v>
      </c>
      <c r="M653" s="71">
        <v>46106</v>
      </c>
      <c r="N653" t="s">
        <v>576</v>
      </c>
    </row>
    <row r="654" spans="2:14" hidden="1" x14ac:dyDescent="0.2">
      <c r="B654">
        <v>652</v>
      </c>
      <c r="C654" t="s">
        <v>231</v>
      </c>
      <c r="D654" t="str">
        <f>VLOOKUP(C654,'Master Anggota'!$E$2:$J$678,2,0)</f>
        <v>Aktif</v>
      </c>
      <c r="G654" t="str">
        <f>VLOOKUP(C654,'Master Anggota'!$E$2:$J$678,5,0)</f>
        <v>00542</v>
      </c>
      <c r="H654" s="56">
        <v>0</v>
      </c>
      <c r="I654" s="56">
        <v>0</v>
      </c>
      <c r="J654" s="56">
        <v>100000</v>
      </c>
      <c r="K654" s="56">
        <v>100000</v>
      </c>
      <c r="L654" t="s">
        <v>644</v>
      </c>
      <c r="M654" s="71">
        <v>46106</v>
      </c>
      <c r="N654" t="s">
        <v>576</v>
      </c>
    </row>
    <row r="655" spans="2:14" hidden="1" x14ac:dyDescent="0.2">
      <c r="B655">
        <v>653</v>
      </c>
      <c r="C655" t="s">
        <v>51</v>
      </c>
      <c r="D655" t="str">
        <f>VLOOKUP(C655,'Master Anggota'!$E$2:$J$678,2,0)</f>
        <v>Aktif</v>
      </c>
      <c r="G655" t="str">
        <f>VLOOKUP(C655,'Master Anggota'!$E$2:$J$678,5,0)</f>
        <v>00543</v>
      </c>
      <c r="H655" s="56">
        <v>0</v>
      </c>
      <c r="I655" s="56">
        <v>0</v>
      </c>
      <c r="J655" s="56">
        <v>100000</v>
      </c>
      <c r="K655" s="56">
        <v>100000</v>
      </c>
      <c r="L655" t="s">
        <v>644</v>
      </c>
      <c r="M655" s="71">
        <v>46106</v>
      </c>
      <c r="N655" t="s">
        <v>576</v>
      </c>
    </row>
    <row r="656" spans="2:14" hidden="1" x14ac:dyDescent="0.2">
      <c r="B656">
        <v>654</v>
      </c>
      <c r="C656" t="s">
        <v>118</v>
      </c>
      <c r="D656" t="str">
        <f>VLOOKUP(C656,'Master Anggota'!$E$2:$J$678,2,0)</f>
        <v>Aktif</v>
      </c>
      <c r="G656" t="str">
        <f>VLOOKUP(C656,'Master Anggota'!$E$2:$J$678,5,0)</f>
        <v>00544</v>
      </c>
      <c r="H656" s="56">
        <v>0</v>
      </c>
      <c r="I656" s="56">
        <v>0</v>
      </c>
      <c r="J656" s="56">
        <v>100000</v>
      </c>
      <c r="K656" s="56">
        <v>50000</v>
      </c>
      <c r="L656" t="s">
        <v>644</v>
      </c>
      <c r="M656" s="71">
        <v>46106</v>
      </c>
      <c r="N656" t="s">
        <v>576</v>
      </c>
    </row>
    <row r="657" spans="2:14" hidden="1" x14ac:dyDescent="0.2">
      <c r="B657">
        <v>655</v>
      </c>
      <c r="C657" t="s">
        <v>366</v>
      </c>
      <c r="D657" t="str">
        <f>VLOOKUP(C657,'Master Anggota'!$E$2:$J$678,2,0)</f>
        <v>Aktif</v>
      </c>
      <c r="G657" t="str">
        <f>VLOOKUP(C657,'Master Anggota'!$E$2:$J$678,5,0)</f>
        <v>00545</v>
      </c>
      <c r="H657" s="56">
        <v>0</v>
      </c>
      <c r="I657" s="56">
        <v>0</v>
      </c>
      <c r="J657" s="56">
        <v>100000</v>
      </c>
      <c r="K657" s="56">
        <v>50000</v>
      </c>
      <c r="L657" t="s">
        <v>644</v>
      </c>
      <c r="M657" s="71">
        <v>46106</v>
      </c>
      <c r="N657" t="s">
        <v>576</v>
      </c>
    </row>
    <row r="658" spans="2:14" hidden="1" x14ac:dyDescent="0.2">
      <c r="B658">
        <v>656</v>
      </c>
      <c r="C658" t="s">
        <v>35</v>
      </c>
      <c r="D658" t="str">
        <f>VLOOKUP(C658,'Master Anggota'!$E$2:$J$678,2,0)</f>
        <v>Aktif</v>
      </c>
      <c r="G658" t="str">
        <f>VLOOKUP(C658,'Master Anggota'!$E$2:$J$678,5,0)</f>
        <v>00546</v>
      </c>
      <c r="H658" s="56">
        <v>0</v>
      </c>
      <c r="I658" s="56">
        <v>0</v>
      </c>
      <c r="J658" s="56">
        <v>100000</v>
      </c>
      <c r="K658" s="56">
        <v>50000</v>
      </c>
      <c r="L658" t="s">
        <v>644</v>
      </c>
      <c r="M658" s="71">
        <v>46106</v>
      </c>
      <c r="N658" t="s">
        <v>576</v>
      </c>
    </row>
    <row r="659" spans="2:14" hidden="1" x14ac:dyDescent="0.2">
      <c r="B659">
        <v>657</v>
      </c>
      <c r="C659" t="s">
        <v>85</v>
      </c>
      <c r="D659" t="str">
        <f>VLOOKUP(C659,'Master Anggota'!$E$2:$J$678,2,0)</f>
        <v>Aktif</v>
      </c>
      <c r="G659" t="str">
        <f>VLOOKUP(C659,'Master Anggota'!$E$2:$J$678,5,0)</f>
        <v>00547</v>
      </c>
      <c r="H659" s="56">
        <v>0</v>
      </c>
      <c r="I659" s="56">
        <v>0</v>
      </c>
      <c r="J659" s="56">
        <v>100000</v>
      </c>
      <c r="K659" s="56">
        <v>100000</v>
      </c>
      <c r="L659" t="s">
        <v>644</v>
      </c>
      <c r="M659" s="71">
        <v>46106</v>
      </c>
      <c r="N659" t="s">
        <v>576</v>
      </c>
    </row>
    <row r="660" spans="2:14" hidden="1" x14ac:dyDescent="0.2">
      <c r="B660">
        <v>658</v>
      </c>
      <c r="C660" t="s">
        <v>153</v>
      </c>
      <c r="D660" t="str">
        <f>VLOOKUP(C660,'Master Anggota'!$E$2:$J$678,2,0)</f>
        <v>Aktif</v>
      </c>
      <c r="G660" t="str">
        <f>VLOOKUP(C660,'Master Anggota'!$E$2:$J$678,5,0)</f>
        <v>00548</v>
      </c>
      <c r="H660" s="56">
        <v>0</v>
      </c>
      <c r="I660" s="56">
        <v>0</v>
      </c>
      <c r="J660" s="56">
        <v>100000</v>
      </c>
      <c r="K660" s="56">
        <v>75000</v>
      </c>
      <c r="L660" t="s">
        <v>644</v>
      </c>
      <c r="M660" s="71">
        <v>46106</v>
      </c>
      <c r="N660" t="s">
        <v>576</v>
      </c>
    </row>
    <row r="661" spans="2:14" hidden="1" x14ac:dyDescent="0.2">
      <c r="B661">
        <v>659</v>
      </c>
      <c r="C661" t="s">
        <v>525</v>
      </c>
      <c r="D661" t="str">
        <f>VLOOKUP(C661,'Master Anggota'!$E$2:$J$678,2,0)</f>
        <v>Aktif</v>
      </c>
      <c r="G661" t="str">
        <f>VLOOKUP(C661,'Master Anggota'!$E$2:$J$678,5,0)</f>
        <v>00549</v>
      </c>
      <c r="H661" s="56">
        <v>0</v>
      </c>
      <c r="I661" s="56">
        <v>0</v>
      </c>
      <c r="J661" s="56">
        <v>100000</v>
      </c>
      <c r="K661" s="56">
        <v>100000</v>
      </c>
      <c r="L661" t="s">
        <v>644</v>
      </c>
      <c r="M661" s="71">
        <v>46106</v>
      </c>
      <c r="N661" t="s">
        <v>576</v>
      </c>
    </row>
    <row r="662" spans="2:14" hidden="1" x14ac:dyDescent="0.2">
      <c r="B662">
        <v>660</v>
      </c>
      <c r="C662" t="s">
        <v>105</v>
      </c>
      <c r="D662" t="str">
        <f>VLOOKUP(C662,'Master Anggota'!$E$2:$J$678,2,0)</f>
        <v>Aktif</v>
      </c>
      <c r="G662" t="str">
        <f>VLOOKUP(C662,'Master Anggota'!$E$2:$J$678,5,0)</f>
        <v>00551</v>
      </c>
      <c r="H662" s="56">
        <v>0</v>
      </c>
      <c r="I662" s="56">
        <v>0</v>
      </c>
      <c r="J662" s="56">
        <v>100000</v>
      </c>
      <c r="K662" s="56">
        <v>50000</v>
      </c>
      <c r="L662" t="s">
        <v>644</v>
      </c>
      <c r="M662" s="71">
        <v>46106</v>
      </c>
      <c r="N662" t="s">
        <v>576</v>
      </c>
    </row>
    <row r="663" spans="2:14" hidden="1" x14ac:dyDescent="0.2">
      <c r="B663">
        <v>661</v>
      </c>
      <c r="C663" t="s">
        <v>484</v>
      </c>
      <c r="D663" t="str">
        <f>VLOOKUP(C663,'Master Anggota'!$E$2:$J$678,2,0)</f>
        <v>Aktif</v>
      </c>
      <c r="G663" t="str">
        <f>VLOOKUP(C663,'Master Anggota'!$E$2:$J$678,5,0)</f>
        <v>00552</v>
      </c>
      <c r="H663" s="56">
        <v>0</v>
      </c>
      <c r="I663" s="56">
        <v>0</v>
      </c>
      <c r="J663" s="56">
        <v>200000</v>
      </c>
      <c r="K663" s="56">
        <v>100000</v>
      </c>
      <c r="L663" t="s">
        <v>644</v>
      </c>
      <c r="M663" s="71">
        <v>46106</v>
      </c>
      <c r="N663" t="s">
        <v>576</v>
      </c>
    </row>
    <row r="664" spans="2:14" hidden="1" x14ac:dyDescent="0.2">
      <c r="B664">
        <v>662</v>
      </c>
      <c r="C664" t="s">
        <v>8</v>
      </c>
      <c r="D664" t="str">
        <f>VLOOKUP(C664,'Master Anggota'!$E$2:$J$678,2,0)</f>
        <v>Aktif</v>
      </c>
      <c r="G664" t="str">
        <f>VLOOKUP(C664,'Master Anggota'!$E$2:$J$678,5,0)</f>
        <v>00553</v>
      </c>
      <c r="H664" s="56">
        <v>0</v>
      </c>
      <c r="I664" s="56">
        <v>0</v>
      </c>
      <c r="J664" s="56">
        <v>100000</v>
      </c>
      <c r="K664" s="56">
        <v>150000</v>
      </c>
      <c r="L664" t="s">
        <v>644</v>
      </c>
      <c r="M664" s="71">
        <v>46106</v>
      </c>
      <c r="N664" t="s">
        <v>576</v>
      </c>
    </row>
    <row r="665" spans="2:14" hidden="1" x14ac:dyDescent="0.2">
      <c r="B665">
        <v>663</v>
      </c>
      <c r="C665" t="s">
        <v>87</v>
      </c>
      <c r="D665" t="str">
        <f>VLOOKUP(C665,'Master Anggota'!$E$2:$J$678,2,0)</f>
        <v>Aktif</v>
      </c>
      <c r="G665" t="str">
        <f>VLOOKUP(C665,'Master Anggota'!$E$2:$J$678,5,0)</f>
        <v>00554</v>
      </c>
      <c r="H665" s="56">
        <v>0</v>
      </c>
      <c r="I665" s="56">
        <v>0</v>
      </c>
      <c r="J665" s="56">
        <v>100000</v>
      </c>
      <c r="K665" s="56">
        <v>100000</v>
      </c>
      <c r="L665" t="s">
        <v>644</v>
      </c>
      <c r="M665" s="71">
        <v>46106</v>
      </c>
      <c r="N665" t="s">
        <v>576</v>
      </c>
    </row>
    <row r="666" spans="2:14" hidden="1" x14ac:dyDescent="0.2">
      <c r="B666">
        <v>664</v>
      </c>
      <c r="C666" t="s">
        <v>174</v>
      </c>
      <c r="D666" t="str">
        <f>VLOOKUP(C666,'Master Anggota'!$E$2:$J$678,2,0)</f>
        <v>Aktif</v>
      </c>
      <c r="G666" t="str">
        <f>VLOOKUP(C666,'Master Anggota'!$E$2:$J$678,5,0)</f>
        <v>00556</v>
      </c>
      <c r="H666" s="56">
        <v>0</v>
      </c>
      <c r="I666" s="56">
        <v>0</v>
      </c>
      <c r="J666" s="56">
        <v>100000</v>
      </c>
      <c r="K666" s="56">
        <v>100000</v>
      </c>
      <c r="L666" t="s">
        <v>644</v>
      </c>
      <c r="M666" s="71">
        <v>46106</v>
      </c>
      <c r="N666" t="s">
        <v>576</v>
      </c>
    </row>
    <row r="667" spans="2:14" hidden="1" x14ac:dyDescent="0.2">
      <c r="B667">
        <v>665</v>
      </c>
      <c r="C667" t="s">
        <v>109</v>
      </c>
      <c r="D667" t="str">
        <f>VLOOKUP(C667,'Master Anggota'!$E$2:$J$678,2,0)</f>
        <v>Aktif</v>
      </c>
      <c r="G667" t="str">
        <f>VLOOKUP(C667,'Master Anggota'!$E$2:$J$678,5,0)</f>
        <v>00557</v>
      </c>
      <c r="H667" s="56">
        <v>0</v>
      </c>
      <c r="I667" s="56">
        <v>0</v>
      </c>
      <c r="J667" s="56">
        <v>150000</v>
      </c>
      <c r="K667" s="56">
        <v>250000</v>
      </c>
      <c r="L667" t="s">
        <v>644</v>
      </c>
      <c r="M667" s="71">
        <v>46106</v>
      </c>
      <c r="N667" t="s">
        <v>576</v>
      </c>
    </row>
    <row r="668" spans="2:14" hidden="1" x14ac:dyDescent="0.2">
      <c r="B668">
        <v>666</v>
      </c>
      <c r="C668" t="s">
        <v>276</v>
      </c>
      <c r="D668" t="str">
        <f>VLOOKUP(C668,'Master Anggota'!$E$2:$J$678,2,0)</f>
        <v>Aktif</v>
      </c>
      <c r="G668" t="str">
        <f>VLOOKUP(C668,'Master Anggota'!$E$2:$J$678,5,0)</f>
        <v>00558</v>
      </c>
      <c r="H668" s="56">
        <v>0</v>
      </c>
      <c r="I668" s="56">
        <v>0</v>
      </c>
      <c r="J668" s="56">
        <v>200000</v>
      </c>
      <c r="K668" s="56">
        <v>300000</v>
      </c>
      <c r="L668" t="s">
        <v>644</v>
      </c>
      <c r="M668" s="71">
        <v>46106</v>
      </c>
      <c r="N668" t="s">
        <v>576</v>
      </c>
    </row>
    <row r="669" spans="2:14" hidden="1" x14ac:dyDescent="0.2">
      <c r="B669">
        <v>667</v>
      </c>
      <c r="C669" t="s">
        <v>171</v>
      </c>
      <c r="D669" t="str">
        <f>VLOOKUP(C669,'Master Anggota'!$E$2:$J$678,2,0)</f>
        <v>Aktif</v>
      </c>
      <c r="G669" t="str">
        <f>VLOOKUP(C669,'Master Anggota'!$E$2:$J$678,5,0)</f>
        <v>00560</v>
      </c>
      <c r="H669" s="56">
        <v>0</v>
      </c>
      <c r="I669" s="56">
        <v>0</v>
      </c>
      <c r="J669" s="56">
        <v>100000</v>
      </c>
      <c r="K669" s="56">
        <v>100000</v>
      </c>
      <c r="L669" t="s">
        <v>644</v>
      </c>
      <c r="M669" s="71">
        <v>46106</v>
      </c>
      <c r="N669" t="s">
        <v>576</v>
      </c>
    </row>
    <row r="670" spans="2:14" hidden="1" x14ac:dyDescent="0.2">
      <c r="B670">
        <v>668</v>
      </c>
      <c r="C670" t="s">
        <v>175</v>
      </c>
      <c r="D670" t="str">
        <f>VLOOKUP(C670,'Master Anggota'!$E$2:$J$678,2,0)</f>
        <v>Aktif</v>
      </c>
      <c r="G670" t="str">
        <f>VLOOKUP(C670,'Master Anggota'!$E$2:$J$678,5,0)</f>
        <v>00563</v>
      </c>
      <c r="H670" s="56">
        <v>0</v>
      </c>
      <c r="I670" s="56">
        <v>0</v>
      </c>
      <c r="J670" s="56">
        <v>100000</v>
      </c>
      <c r="K670" s="56">
        <v>150000</v>
      </c>
      <c r="L670" t="s">
        <v>644</v>
      </c>
      <c r="M670" s="71">
        <v>46106</v>
      </c>
      <c r="N670" t="s">
        <v>576</v>
      </c>
    </row>
    <row r="671" spans="2:14" hidden="1" x14ac:dyDescent="0.2">
      <c r="B671">
        <v>669</v>
      </c>
      <c r="C671" t="s">
        <v>277</v>
      </c>
      <c r="D671" t="str">
        <f>VLOOKUP(C671,'Master Anggota'!$E$2:$J$678,2,0)</f>
        <v>Aktif</v>
      </c>
      <c r="G671" t="str">
        <f>VLOOKUP(C671,'Master Anggota'!$E$2:$J$678,5,0)</f>
        <v>00564</v>
      </c>
      <c r="H671" s="56">
        <v>0</v>
      </c>
      <c r="I671" s="56">
        <v>0</v>
      </c>
      <c r="J671" s="56">
        <v>100000</v>
      </c>
      <c r="K671" s="56">
        <v>100000</v>
      </c>
      <c r="L671" t="s">
        <v>644</v>
      </c>
      <c r="M671" s="71">
        <v>46106</v>
      </c>
      <c r="N671" t="s">
        <v>576</v>
      </c>
    </row>
    <row r="672" spans="2:14" hidden="1" x14ac:dyDescent="0.2">
      <c r="B672">
        <v>670</v>
      </c>
      <c r="C672" t="s">
        <v>182</v>
      </c>
      <c r="D672" t="str">
        <f>VLOOKUP(C672,'Master Anggota'!$E$2:$J$678,2,0)</f>
        <v>Aktif</v>
      </c>
      <c r="G672" t="str">
        <f>VLOOKUP(C672,'Master Anggota'!$E$2:$J$678,5,0)</f>
        <v>00565</v>
      </c>
      <c r="H672" s="56">
        <v>0</v>
      </c>
      <c r="I672" s="56">
        <v>0</v>
      </c>
      <c r="J672" s="56">
        <v>100000</v>
      </c>
      <c r="K672" s="56">
        <v>400000</v>
      </c>
      <c r="L672" t="s">
        <v>644</v>
      </c>
      <c r="M672" s="71">
        <v>46106</v>
      </c>
      <c r="N672" t="s">
        <v>576</v>
      </c>
    </row>
    <row r="673" spans="2:14" hidden="1" x14ac:dyDescent="0.2">
      <c r="B673">
        <v>671</v>
      </c>
      <c r="C673" t="s">
        <v>178</v>
      </c>
      <c r="D673" t="str">
        <f>VLOOKUP(C673,'Master Anggota'!$E$2:$J$678,2,0)</f>
        <v>Aktif</v>
      </c>
      <c r="G673" t="str">
        <f>VLOOKUP(C673,'Master Anggota'!$E$2:$J$678,5,0)</f>
        <v>00566</v>
      </c>
      <c r="H673" s="56">
        <v>0</v>
      </c>
      <c r="I673" s="56">
        <v>0</v>
      </c>
      <c r="J673" s="56">
        <v>100000</v>
      </c>
      <c r="K673" s="56">
        <v>150000</v>
      </c>
      <c r="L673" t="s">
        <v>644</v>
      </c>
      <c r="M673" s="71">
        <v>46106</v>
      </c>
      <c r="N673" t="s">
        <v>576</v>
      </c>
    </row>
    <row r="674" spans="2:14" hidden="1" x14ac:dyDescent="0.2">
      <c r="B674">
        <v>672</v>
      </c>
      <c r="C674" t="s">
        <v>183</v>
      </c>
      <c r="D674" t="str">
        <f>VLOOKUP(C674,'Master Anggota'!$E$2:$J$678,2,0)</f>
        <v>Aktif</v>
      </c>
      <c r="G674" t="str">
        <f>VLOOKUP(C674,'Master Anggota'!$E$2:$J$678,5,0)</f>
        <v>00567</v>
      </c>
      <c r="H674" s="56">
        <v>0</v>
      </c>
      <c r="I674" s="56">
        <v>0</v>
      </c>
      <c r="J674" s="56">
        <v>100000</v>
      </c>
      <c r="K674" s="56">
        <v>400000</v>
      </c>
      <c r="L674" t="s">
        <v>644</v>
      </c>
      <c r="M674" s="71">
        <v>46106</v>
      </c>
      <c r="N674" t="s">
        <v>576</v>
      </c>
    </row>
    <row r="675" spans="2:14" hidden="1" x14ac:dyDescent="0.2">
      <c r="B675">
        <v>673</v>
      </c>
      <c r="C675" t="s">
        <v>176</v>
      </c>
      <c r="D675" t="str">
        <f>VLOOKUP(C675,'Master Anggota'!$E$2:$J$678,2,0)</f>
        <v>Aktif</v>
      </c>
      <c r="G675" t="str">
        <f>VLOOKUP(C675,'Master Anggota'!$E$2:$J$678,5,0)</f>
        <v>00568</v>
      </c>
      <c r="H675" s="56">
        <v>0</v>
      </c>
      <c r="I675" s="56">
        <v>0</v>
      </c>
      <c r="J675" s="56">
        <v>100000</v>
      </c>
      <c r="K675" s="56">
        <v>100000</v>
      </c>
      <c r="L675" t="s">
        <v>644</v>
      </c>
      <c r="M675" s="71">
        <v>46106</v>
      </c>
      <c r="N675" t="s">
        <v>576</v>
      </c>
    </row>
    <row r="676" spans="2:14" hidden="1" x14ac:dyDescent="0.2">
      <c r="B676">
        <v>674</v>
      </c>
      <c r="C676" t="s">
        <v>177</v>
      </c>
      <c r="D676" t="str">
        <f>VLOOKUP(C676,'Master Anggota'!$E$2:$J$678,2,0)</f>
        <v>Aktif</v>
      </c>
      <c r="G676" t="str">
        <f>VLOOKUP(C676,'Master Anggota'!$E$2:$J$678,5,0)</f>
        <v>00569</v>
      </c>
      <c r="H676" s="56">
        <v>0</v>
      </c>
      <c r="I676" s="56">
        <v>0</v>
      </c>
      <c r="J676" s="56">
        <v>100000</v>
      </c>
      <c r="K676" s="56">
        <v>150000</v>
      </c>
      <c r="L676" t="s">
        <v>644</v>
      </c>
      <c r="M676" s="71">
        <v>46106</v>
      </c>
      <c r="N676" t="s">
        <v>576</v>
      </c>
    </row>
    <row r="677" spans="2:14" hidden="1" x14ac:dyDescent="0.2">
      <c r="B677">
        <v>675</v>
      </c>
      <c r="C677" t="s">
        <v>362</v>
      </c>
      <c r="D677" t="str">
        <f>VLOOKUP(C677,'Master Anggota'!$E$2:$J$678,2,0)</f>
        <v>Aktif</v>
      </c>
      <c r="G677" t="str">
        <f>VLOOKUP(C677,'Master Anggota'!$E$2:$J$678,5,0)</f>
        <v>00570</v>
      </c>
      <c r="H677" s="56">
        <v>0</v>
      </c>
      <c r="I677" s="56">
        <v>0</v>
      </c>
      <c r="J677" s="56">
        <v>100000</v>
      </c>
      <c r="K677" s="56">
        <v>500000</v>
      </c>
      <c r="L677" t="s">
        <v>644</v>
      </c>
      <c r="M677" s="71">
        <v>46106</v>
      </c>
      <c r="N677" t="s">
        <v>576</v>
      </c>
    </row>
    <row r="678" spans="2:14" hidden="1" x14ac:dyDescent="0.2">
      <c r="B678">
        <v>676</v>
      </c>
      <c r="C678" t="s">
        <v>291</v>
      </c>
      <c r="D678" t="str">
        <f>VLOOKUP(C678,'Master Anggota'!$E$2:$J$678,2,0)</f>
        <v>Aktif</v>
      </c>
      <c r="G678" t="str">
        <f>VLOOKUP(C678,'Master Anggota'!$E$2:$J$678,5,0)</f>
        <v>00574</v>
      </c>
      <c r="H678" s="56">
        <v>0</v>
      </c>
      <c r="I678" s="56">
        <v>0</v>
      </c>
      <c r="J678" s="56">
        <v>100000</v>
      </c>
      <c r="K678" s="56">
        <v>75000</v>
      </c>
      <c r="L678" t="s">
        <v>644</v>
      </c>
      <c r="M678" s="71">
        <v>46106</v>
      </c>
      <c r="N678" t="s">
        <v>576</v>
      </c>
    </row>
    <row r="679" spans="2:14" hidden="1" x14ac:dyDescent="0.2">
      <c r="B679">
        <v>677</v>
      </c>
      <c r="C679" t="s">
        <v>363</v>
      </c>
      <c r="D679" t="str">
        <f>VLOOKUP(C679,'Master Anggota'!$E$2:$J$678,2,0)</f>
        <v>Aktif</v>
      </c>
      <c r="G679" t="str">
        <f>VLOOKUP(C679,'Master Anggota'!$E$2:$J$678,5,0)</f>
        <v>00576</v>
      </c>
      <c r="H679" s="56">
        <v>0</v>
      </c>
      <c r="I679" s="56">
        <v>0</v>
      </c>
      <c r="J679" s="56">
        <v>100000</v>
      </c>
      <c r="K679" s="56">
        <v>100000</v>
      </c>
      <c r="L679" t="s">
        <v>644</v>
      </c>
      <c r="M679" s="71">
        <v>46106</v>
      </c>
      <c r="N679" t="s">
        <v>576</v>
      </c>
    </row>
    <row r="680" spans="2:14" hidden="1" x14ac:dyDescent="0.2">
      <c r="B680">
        <v>678</v>
      </c>
      <c r="C680" t="s">
        <v>365</v>
      </c>
      <c r="D680" t="str">
        <f>VLOOKUP(C680,'Master Anggota'!$E$2:$J$678,2,0)</f>
        <v>Aktif</v>
      </c>
      <c r="G680" t="str">
        <f>VLOOKUP(C680,'Master Anggota'!$E$2:$J$678,5,0)</f>
        <v>00576</v>
      </c>
      <c r="H680" s="56">
        <v>0</v>
      </c>
      <c r="I680" s="56">
        <v>0</v>
      </c>
      <c r="J680" s="56">
        <v>100000</v>
      </c>
      <c r="K680" s="56">
        <v>50000</v>
      </c>
      <c r="L680" t="s">
        <v>644</v>
      </c>
      <c r="M680" s="71">
        <v>46106</v>
      </c>
      <c r="N680" t="s">
        <v>576</v>
      </c>
    </row>
    <row r="681" spans="2:14" hidden="1" x14ac:dyDescent="0.2">
      <c r="B681">
        <v>679</v>
      </c>
      <c r="C681" t="s">
        <v>467</v>
      </c>
      <c r="D681" t="str">
        <f>VLOOKUP(C681,'Master Anggota'!$E$2:$J$678,2,0)</f>
        <v>Aktif</v>
      </c>
      <c r="G681" t="str">
        <f>VLOOKUP(C681,'Master Anggota'!$E$2:$J$678,5,0)</f>
        <v>00577</v>
      </c>
      <c r="H681" s="56">
        <v>0</v>
      </c>
      <c r="I681" s="56">
        <v>0</v>
      </c>
      <c r="J681" s="56">
        <v>100000</v>
      </c>
      <c r="K681" s="56">
        <v>150000</v>
      </c>
      <c r="L681" t="s">
        <v>644</v>
      </c>
      <c r="M681" s="71">
        <v>46106</v>
      </c>
      <c r="N681" t="s">
        <v>576</v>
      </c>
    </row>
    <row r="682" spans="2:14" hidden="1" x14ac:dyDescent="0.2">
      <c r="B682">
        <v>680</v>
      </c>
      <c r="C682" t="s">
        <v>364</v>
      </c>
      <c r="D682" t="str">
        <f>VLOOKUP(C682,'Master Anggota'!$E$2:$J$678,2,0)</f>
        <v>Aktif</v>
      </c>
      <c r="G682" t="str">
        <f>VLOOKUP(C682,'Master Anggota'!$E$2:$J$678,5,0)</f>
        <v>00578</v>
      </c>
      <c r="H682" s="56">
        <v>0</v>
      </c>
      <c r="I682" s="56">
        <v>0</v>
      </c>
      <c r="J682" s="56">
        <v>100000</v>
      </c>
      <c r="K682" s="56">
        <v>100000</v>
      </c>
      <c r="L682" t="s">
        <v>644</v>
      </c>
      <c r="M682" s="71">
        <v>46106</v>
      </c>
      <c r="N682" t="s">
        <v>576</v>
      </c>
    </row>
    <row r="683" spans="2:14" hidden="1" x14ac:dyDescent="0.2">
      <c r="B683">
        <v>681</v>
      </c>
      <c r="C683" t="s">
        <v>523</v>
      </c>
      <c r="D683" t="str">
        <f>VLOOKUP(C683,'Master Anggota'!$E$2:$J$678,2,0)</f>
        <v>Aktif</v>
      </c>
      <c r="G683" t="str">
        <f>VLOOKUP(C683,'Master Anggota'!$E$2:$J$678,5,0)</f>
        <v>00579</v>
      </c>
      <c r="H683" s="56">
        <v>0</v>
      </c>
      <c r="I683" s="56">
        <v>0</v>
      </c>
      <c r="J683" s="56">
        <v>100000</v>
      </c>
      <c r="K683" s="56">
        <v>200000</v>
      </c>
      <c r="L683" t="s">
        <v>644</v>
      </c>
      <c r="M683" s="71">
        <v>46106</v>
      </c>
      <c r="N683" t="s">
        <v>576</v>
      </c>
    </row>
    <row r="684" spans="2:14" hidden="1" x14ac:dyDescent="0.2">
      <c r="B684">
        <v>682</v>
      </c>
      <c r="C684" t="s">
        <v>110</v>
      </c>
      <c r="D684" t="str">
        <f>VLOOKUP(C684,'Master Anggota'!$E$2:$J$678,2,0)</f>
        <v>Aktif</v>
      </c>
      <c r="G684" t="str">
        <f>VLOOKUP(C684,'Master Anggota'!$E$2:$J$678,5,0)</f>
        <v>00580</v>
      </c>
      <c r="H684" s="56">
        <v>0</v>
      </c>
      <c r="I684" s="56">
        <v>0</v>
      </c>
      <c r="J684" s="56">
        <v>100000</v>
      </c>
      <c r="K684" s="56">
        <v>50000</v>
      </c>
      <c r="L684" t="s">
        <v>644</v>
      </c>
      <c r="M684" s="71">
        <v>46106</v>
      </c>
      <c r="N684" t="s">
        <v>576</v>
      </c>
    </row>
    <row r="685" spans="2:14" hidden="1" x14ac:dyDescent="0.2">
      <c r="B685">
        <v>683</v>
      </c>
      <c r="C685" t="s">
        <v>180</v>
      </c>
      <c r="D685" t="str">
        <f>VLOOKUP(C685,'Master Anggota'!$E$2:$J$678,2,0)</f>
        <v>Purna Bakti 2026</v>
      </c>
      <c r="G685" t="str">
        <f>VLOOKUP(C685,'Master Anggota'!$E$2:$J$678,5,0)</f>
        <v>00581</v>
      </c>
      <c r="H685" s="56">
        <v>0</v>
      </c>
      <c r="I685" s="56">
        <v>0</v>
      </c>
      <c r="J685" s="56">
        <v>100000</v>
      </c>
      <c r="K685" s="56">
        <v>400000</v>
      </c>
      <c r="L685" t="s">
        <v>644</v>
      </c>
      <c r="M685" s="71">
        <v>46106</v>
      </c>
      <c r="N685" t="s">
        <v>576</v>
      </c>
    </row>
    <row r="686" spans="2:14" hidden="1" x14ac:dyDescent="0.2">
      <c r="B686">
        <v>684</v>
      </c>
      <c r="C686" t="s">
        <v>187</v>
      </c>
      <c r="D686" t="str">
        <f>VLOOKUP(C686,'Master Anggota'!$E$2:$J$678,2,0)</f>
        <v>Aktif</v>
      </c>
      <c r="G686" t="str">
        <f>VLOOKUP(C686,'Master Anggota'!$E$2:$J$678,5,0)</f>
        <v>00582</v>
      </c>
      <c r="H686" s="56">
        <v>0</v>
      </c>
      <c r="I686" s="56">
        <v>0</v>
      </c>
      <c r="J686" s="56">
        <v>200000</v>
      </c>
      <c r="K686" s="56">
        <v>300000</v>
      </c>
      <c r="L686" t="s">
        <v>644</v>
      </c>
      <c r="M686" s="71">
        <v>46106</v>
      </c>
      <c r="N686" t="s">
        <v>576</v>
      </c>
    </row>
    <row r="687" spans="2:14" hidden="1" x14ac:dyDescent="0.2">
      <c r="B687">
        <v>685</v>
      </c>
      <c r="C687" t="s">
        <v>173</v>
      </c>
      <c r="D687" t="str">
        <f>VLOOKUP(C687,'Master Anggota'!$E$2:$J$678,2,0)</f>
        <v>Aktif</v>
      </c>
      <c r="G687" t="str">
        <f>VLOOKUP(C687,'Master Anggota'!$E$2:$J$678,5,0)</f>
        <v>00583</v>
      </c>
      <c r="H687" s="56">
        <v>0</v>
      </c>
      <c r="I687" s="56">
        <v>0</v>
      </c>
      <c r="J687" s="56">
        <v>100000</v>
      </c>
      <c r="K687" s="56">
        <v>100000</v>
      </c>
      <c r="L687" t="s">
        <v>644</v>
      </c>
      <c r="M687" s="71">
        <v>46106</v>
      </c>
      <c r="N687" t="s">
        <v>576</v>
      </c>
    </row>
    <row r="688" spans="2:14" hidden="1" x14ac:dyDescent="0.2">
      <c r="B688">
        <v>686</v>
      </c>
      <c r="C688" t="s">
        <v>172</v>
      </c>
      <c r="D688" t="str">
        <f>VLOOKUP(C688,'Master Anggota'!$E$2:$J$678,2,0)</f>
        <v>Aktif</v>
      </c>
      <c r="G688" t="str">
        <f>VLOOKUP(C688,'Master Anggota'!$E$2:$J$678,5,0)</f>
        <v>00584</v>
      </c>
      <c r="H688" s="56">
        <v>0</v>
      </c>
      <c r="I688" s="56">
        <v>0</v>
      </c>
      <c r="J688" s="56">
        <v>100000</v>
      </c>
      <c r="K688" s="56">
        <v>100000</v>
      </c>
      <c r="L688" t="s">
        <v>644</v>
      </c>
      <c r="M688" s="71">
        <v>46106</v>
      </c>
      <c r="N688" t="s">
        <v>576</v>
      </c>
    </row>
    <row r="689" spans="2:14" hidden="1" x14ac:dyDescent="0.2">
      <c r="B689">
        <v>687</v>
      </c>
      <c r="C689" t="s">
        <v>300</v>
      </c>
      <c r="D689" t="str">
        <f>VLOOKUP(C689,'Master Anggota'!$E$2:$J$678,2,0)</f>
        <v>Aktif</v>
      </c>
      <c r="G689" t="str">
        <f>VLOOKUP(C689,'Master Anggota'!$E$2:$J$678,5,0)</f>
        <v>00585</v>
      </c>
      <c r="H689" s="56">
        <v>0</v>
      </c>
      <c r="I689" s="56">
        <v>0</v>
      </c>
      <c r="J689" s="56">
        <v>100000</v>
      </c>
      <c r="K689" s="56">
        <v>125000</v>
      </c>
      <c r="L689" t="s">
        <v>644</v>
      </c>
      <c r="M689" s="71">
        <v>46106</v>
      </c>
      <c r="N689" t="s">
        <v>576</v>
      </c>
    </row>
    <row r="690" spans="2:14" hidden="1" x14ac:dyDescent="0.2">
      <c r="B690">
        <v>688</v>
      </c>
      <c r="C690" t="s">
        <v>314</v>
      </c>
      <c r="D690" t="str">
        <f>VLOOKUP(C690,'Master Anggota'!$E$2:$J$678,2,0)</f>
        <v>Purna Bakti 2026</v>
      </c>
      <c r="G690" t="str">
        <f>VLOOKUP(C690,'Master Anggota'!$E$2:$J$678,5,0)</f>
        <v>00587</v>
      </c>
      <c r="H690" s="56">
        <v>0</v>
      </c>
      <c r="I690" s="56">
        <v>0</v>
      </c>
      <c r="J690" s="56">
        <v>100000</v>
      </c>
      <c r="K690" s="56">
        <v>400000</v>
      </c>
      <c r="L690" t="s">
        <v>644</v>
      </c>
      <c r="M690" s="71">
        <v>46106</v>
      </c>
      <c r="N690" t="s">
        <v>576</v>
      </c>
    </row>
    <row r="691" spans="2:14" hidden="1" x14ac:dyDescent="0.2">
      <c r="B691">
        <v>689</v>
      </c>
      <c r="C691" t="s">
        <v>186</v>
      </c>
      <c r="D691" t="str">
        <f>VLOOKUP(C691,'Master Anggota'!$E$2:$J$678,2,0)</f>
        <v>Aktif</v>
      </c>
      <c r="G691" t="str">
        <f>VLOOKUP(C691,'Master Anggota'!$E$2:$J$678,5,0)</f>
        <v>00588</v>
      </c>
      <c r="H691" s="56">
        <v>0</v>
      </c>
      <c r="I691" s="56">
        <v>0</v>
      </c>
      <c r="J691" s="56">
        <v>100000</v>
      </c>
      <c r="K691" s="56">
        <v>250000</v>
      </c>
      <c r="L691" t="s">
        <v>644</v>
      </c>
      <c r="M691" s="71">
        <v>46106</v>
      </c>
      <c r="N691" t="s">
        <v>576</v>
      </c>
    </row>
    <row r="692" spans="2:14" hidden="1" x14ac:dyDescent="0.2">
      <c r="B692">
        <v>690</v>
      </c>
      <c r="C692" t="s">
        <v>306</v>
      </c>
      <c r="D692" t="str">
        <f>VLOOKUP(C692,'Master Anggota'!$E$2:$J$678,2,0)</f>
        <v>Aktif</v>
      </c>
      <c r="G692" t="str">
        <f>VLOOKUP(C692,'Master Anggota'!$E$2:$J$678,5,0)</f>
        <v>00589</v>
      </c>
      <c r="H692" s="56">
        <v>0</v>
      </c>
      <c r="I692" s="56">
        <v>0</v>
      </c>
      <c r="J692" s="56">
        <v>100000</v>
      </c>
      <c r="K692" s="56">
        <v>100000</v>
      </c>
      <c r="L692" t="s">
        <v>644</v>
      </c>
      <c r="M692" s="71">
        <v>46106</v>
      </c>
      <c r="N692" t="s">
        <v>576</v>
      </c>
    </row>
    <row r="693" spans="2:14" hidden="1" x14ac:dyDescent="0.2">
      <c r="B693">
        <v>691</v>
      </c>
      <c r="C693" t="s">
        <v>307</v>
      </c>
      <c r="D693" t="str">
        <f>VLOOKUP(C693,'Master Anggota'!$E$2:$J$678,2,0)</f>
        <v>Aktif</v>
      </c>
      <c r="G693" t="str">
        <f>VLOOKUP(C693,'Master Anggota'!$E$2:$J$678,5,0)</f>
        <v>00591</v>
      </c>
      <c r="H693" s="56">
        <v>0</v>
      </c>
      <c r="I693" s="56">
        <v>0</v>
      </c>
      <c r="J693" s="56">
        <v>100000</v>
      </c>
      <c r="K693" s="56">
        <v>100000</v>
      </c>
      <c r="L693" t="s">
        <v>644</v>
      </c>
      <c r="M693" s="71">
        <v>46106</v>
      </c>
      <c r="N693" t="s">
        <v>576</v>
      </c>
    </row>
    <row r="694" spans="2:14" hidden="1" x14ac:dyDescent="0.2">
      <c r="B694">
        <v>692</v>
      </c>
      <c r="C694" t="s">
        <v>389</v>
      </c>
      <c r="D694" t="str">
        <f>VLOOKUP(C694,'Master Anggota'!$E$2:$J$678,2,0)</f>
        <v>Aktif</v>
      </c>
      <c r="G694" t="str">
        <f>VLOOKUP(C694,'Master Anggota'!$E$2:$J$678,5,0)</f>
        <v>00593</v>
      </c>
      <c r="H694" s="56">
        <v>0</v>
      </c>
      <c r="I694" s="56">
        <v>0</v>
      </c>
      <c r="J694" s="56">
        <v>100000</v>
      </c>
      <c r="K694" s="56">
        <v>250000</v>
      </c>
      <c r="L694" t="s">
        <v>644</v>
      </c>
      <c r="M694" s="71">
        <v>46106</v>
      </c>
      <c r="N694" t="s">
        <v>576</v>
      </c>
    </row>
    <row r="695" spans="2:14" hidden="1" x14ac:dyDescent="0.2">
      <c r="B695">
        <v>693</v>
      </c>
      <c r="C695" t="s">
        <v>188</v>
      </c>
      <c r="D695" t="str">
        <f>VLOOKUP(C695,'Master Anggota'!$E$2:$J$678,2,0)</f>
        <v>Aktif</v>
      </c>
      <c r="G695" t="str">
        <f>VLOOKUP(C695,'Master Anggota'!$E$2:$J$678,5,0)</f>
        <v>00596</v>
      </c>
      <c r="H695" s="56">
        <v>0</v>
      </c>
      <c r="I695" s="56">
        <v>0</v>
      </c>
      <c r="J695" s="56">
        <v>100000</v>
      </c>
      <c r="K695" s="56">
        <v>500000</v>
      </c>
      <c r="L695" t="s">
        <v>644</v>
      </c>
      <c r="M695" s="71">
        <v>46106</v>
      </c>
      <c r="N695" t="s">
        <v>576</v>
      </c>
    </row>
    <row r="696" spans="2:14" hidden="1" x14ac:dyDescent="0.2">
      <c r="B696">
        <v>694</v>
      </c>
      <c r="C696" t="s">
        <v>309</v>
      </c>
      <c r="D696" t="str">
        <f>VLOOKUP(C696,'Master Anggota'!$E$2:$J$678,2,0)</f>
        <v>Aktif</v>
      </c>
      <c r="G696" t="str">
        <f>VLOOKUP(C696,'Master Anggota'!$E$2:$J$678,5,0)</f>
        <v>00602</v>
      </c>
      <c r="H696" s="56">
        <v>0</v>
      </c>
      <c r="I696" s="56">
        <v>0</v>
      </c>
      <c r="J696" s="56">
        <v>100000</v>
      </c>
      <c r="K696" s="56">
        <v>50000</v>
      </c>
      <c r="L696" t="s">
        <v>644</v>
      </c>
      <c r="M696" s="71">
        <v>46106</v>
      </c>
      <c r="N696" t="s">
        <v>576</v>
      </c>
    </row>
    <row r="697" spans="2:14" hidden="1" x14ac:dyDescent="0.2">
      <c r="B697">
        <v>695</v>
      </c>
      <c r="C697" t="s">
        <v>325</v>
      </c>
      <c r="D697" t="str">
        <f>VLOOKUP(C697,'Master Anggota'!$E$2:$J$678,2,0)</f>
        <v>Purna Bakti 2026</v>
      </c>
      <c r="G697" t="str">
        <f>VLOOKUP(C697,'Master Anggota'!$E$2:$J$678,5,0)</f>
        <v>00607</v>
      </c>
      <c r="H697" s="56">
        <v>0</v>
      </c>
      <c r="I697" s="56">
        <v>0</v>
      </c>
      <c r="J697" s="56">
        <v>100000</v>
      </c>
      <c r="K697" s="56">
        <v>150000</v>
      </c>
      <c r="L697" t="s">
        <v>644</v>
      </c>
      <c r="M697" s="71">
        <v>46106</v>
      </c>
      <c r="N697" t="s">
        <v>576</v>
      </c>
    </row>
    <row r="698" spans="2:14" hidden="1" x14ac:dyDescent="0.2">
      <c r="B698">
        <v>696</v>
      </c>
      <c r="C698" t="s">
        <v>326</v>
      </c>
      <c r="D698" t="str">
        <f>VLOOKUP(C698,'Master Anggota'!$E$2:$J$678,2,0)</f>
        <v>Aktif</v>
      </c>
      <c r="G698" t="str">
        <f>VLOOKUP(C698,'Master Anggota'!$E$2:$J$678,5,0)</f>
        <v>00608</v>
      </c>
      <c r="H698" s="56">
        <v>0</v>
      </c>
      <c r="I698" s="56">
        <v>0</v>
      </c>
      <c r="J698" s="56">
        <v>100000</v>
      </c>
      <c r="K698" s="56">
        <v>100000</v>
      </c>
      <c r="L698" t="s">
        <v>644</v>
      </c>
      <c r="M698" s="71">
        <v>46106</v>
      </c>
      <c r="N698" t="s">
        <v>576</v>
      </c>
    </row>
    <row r="699" spans="2:14" hidden="1" x14ac:dyDescent="0.2">
      <c r="B699">
        <v>697</v>
      </c>
      <c r="C699" t="s">
        <v>370</v>
      </c>
      <c r="D699" t="str">
        <f>VLOOKUP(C699,'Master Anggota'!$E$2:$J$678,2,0)</f>
        <v>Aktif</v>
      </c>
      <c r="G699" t="str">
        <f>VLOOKUP(C699,'Master Anggota'!$E$2:$J$678,5,0)</f>
        <v>00610</v>
      </c>
      <c r="H699" s="56">
        <v>0</v>
      </c>
      <c r="I699" s="56">
        <v>0</v>
      </c>
      <c r="J699" s="56">
        <v>100000</v>
      </c>
      <c r="K699" s="56">
        <v>500000</v>
      </c>
      <c r="L699" t="s">
        <v>644</v>
      </c>
      <c r="M699" s="71">
        <v>46106</v>
      </c>
      <c r="N699" t="s">
        <v>576</v>
      </c>
    </row>
    <row r="700" spans="2:14" hidden="1" x14ac:dyDescent="0.2">
      <c r="B700">
        <v>698</v>
      </c>
      <c r="C700" t="s">
        <v>519</v>
      </c>
      <c r="D700" t="str">
        <f>VLOOKUP(C700,'Master Anggota'!$E$2:$J$678,2,0)</f>
        <v>Aktif</v>
      </c>
      <c r="G700" t="str">
        <f>VLOOKUP(C700,'Master Anggota'!$E$2:$J$678,5,0)</f>
        <v>00611</v>
      </c>
      <c r="H700" s="56">
        <v>0</v>
      </c>
      <c r="I700" s="56">
        <v>0</v>
      </c>
      <c r="J700" s="56">
        <v>100000</v>
      </c>
      <c r="K700" s="56">
        <v>100000</v>
      </c>
      <c r="L700" t="s">
        <v>644</v>
      </c>
      <c r="M700" s="71">
        <v>46106</v>
      </c>
      <c r="N700" t="s">
        <v>576</v>
      </c>
    </row>
    <row r="701" spans="2:14" hidden="1" x14ac:dyDescent="0.2">
      <c r="B701">
        <v>699</v>
      </c>
      <c r="C701" t="s">
        <v>442</v>
      </c>
      <c r="D701" t="str">
        <f>VLOOKUP(C701,'Master Anggota'!$E$2:$J$678,2,0)</f>
        <v>Aktif</v>
      </c>
      <c r="G701" t="str">
        <f>VLOOKUP(C701,'Master Anggota'!$E$2:$J$678,5,0)</f>
        <v>00613</v>
      </c>
      <c r="H701" s="56">
        <v>0</v>
      </c>
      <c r="I701" s="56">
        <v>0</v>
      </c>
      <c r="J701" s="56">
        <v>100000</v>
      </c>
      <c r="K701" s="56">
        <v>150000</v>
      </c>
      <c r="L701" t="s">
        <v>644</v>
      </c>
      <c r="M701" s="71">
        <v>46106</v>
      </c>
      <c r="N701" t="s">
        <v>576</v>
      </c>
    </row>
    <row r="702" spans="2:14" hidden="1" x14ac:dyDescent="0.2">
      <c r="B702">
        <v>700</v>
      </c>
      <c r="C702" t="s">
        <v>400</v>
      </c>
      <c r="D702" t="str">
        <f>VLOOKUP(C702,'Master Anggota'!$E$2:$J$678,2,0)</f>
        <v>Aktif</v>
      </c>
      <c r="G702" t="str">
        <f>VLOOKUP(C702,'Master Anggota'!$E$2:$J$678,5,0)</f>
        <v>00614</v>
      </c>
      <c r="H702" s="56">
        <v>0</v>
      </c>
      <c r="I702" s="56">
        <v>0</v>
      </c>
      <c r="J702" s="56">
        <v>100000</v>
      </c>
      <c r="K702" s="56">
        <v>100000</v>
      </c>
      <c r="L702" t="s">
        <v>644</v>
      </c>
      <c r="M702" s="71">
        <v>46106</v>
      </c>
      <c r="N702" t="s">
        <v>576</v>
      </c>
    </row>
    <row r="703" spans="2:14" hidden="1" x14ac:dyDescent="0.2">
      <c r="B703">
        <v>701</v>
      </c>
      <c r="C703" t="s">
        <v>438</v>
      </c>
      <c r="D703" t="str">
        <f>VLOOKUP(C703,'Master Anggota'!$E$2:$J$678,2,0)</f>
        <v>Aktif</v>
      </c>
      <c r="G703" t="str">
        <f>VLOOKUP(C703,'Master Anggota'!$E$2:$J$678,5,0)</f>
        <v>00616</v>
      </c>
      <c r="H703" s="56">
        <v>0</v>
      </c>
      <c r="I703" s="56">
        <v>0</v>
      </c>
      <c r="J703" s="56">
        <v>100000</v>
      </c>
      <c r="K703" s="56">
        <v>250000</v>
      </c>
      <c r="L703" t="s">
        <v>644</v>
      </c>
      <c r="M703" s="71">
        <v>46106</v>
      </c>
      <c r="N703" t="s">
        <v>576</v>
      </c>
    </row>
    <row r="704" spans="2:14" hidden="1" x14ac:dyDescent="0.2">
      <c r="B704">
        <v>702</v>
      </c>
      <c r="C704" t="s">
        <v>312</v>
      </c>
      <c r="D704" t="str">
        <f>VLOOKUP(C704,'Master Anggota'!$E$2:$J$678,2,0)</f>
        <v>Aktif</v>
      </c>
      <c r="G704" t="str">
        <f>VLOOKUP(C704,'Master Anggota'!$E$2:$J$678,5,0)</f>
        <v>00621</v>
      </c>
      <c r="H704" s="56">
        <v>0</v>
      </c>
      <c r="I704" s="56">
        <v>0</v>
      </c>
      <c r="J704" s="56">
        <v>100000</v>
      </c>
      <c r="K704" s="56">
        <v>100000</v>
      </c>
      <c r="L704" t="s">
        <v>644</v>
      </c>
      <c r="M704" s="71">
        <v>46106</v>
      </c>
      <c r="N704" t="s">
        <v>576</v>
      </c>
    </row>
    <row r="705" spans="2:14" hidden="1" x14ac:dyDescent="0.2">
      <c r="B705">
        <v>703</v>
      </c>
      <c r="C705" t="s">
        <v>452</v>
      </c>
      <c r="D705" t="str">
        <f>VLOOKUP(C705,'Master Anggota'!$E$2:$J$678,2,0)</f>
        <v>Aktif</v>
      </c>
      <c r="G705" t="str">
        <f>VLOOKUP(C705,'Master Anggota'!$E$2:$J$678,5,0)</f>
        <v>00623</v>
      </c>
      <c r="H705" s="56">
        <v>0</v>
      </c>
      <c r="I705" s="56">
        <v>0</v>
      </c>
      <c r="J705" s="56">
        <v>100000</v>
      </c>
      <c r="K705" s="56">
        <v>50000</v>
      </c>
      <c r="L705" t="s">
        <v>644</v>
      </c>
      <c r="M705" s="71">
        <v>46106</v>
      </c>
      <c r="N705" t="s">
        <v>576</v>
      </c>
    </row>
    <row r="706" spans="2:14" hidden="1" x14ac:dyDescent="0.2">
      <c r="B706">
        <v>704</v>
      </c>
      <c r="C706" t="s">
        <v>324</v>
      </c>
      <c r="D706" t="str">
        <f>VLOOKUP(C706,'Master Anggota'!$E$2:$J$678,2,0)</f>
        <v>Aktif</v>
      </c>
      <c r="G706" t="str">
        <f>VLOOKUP(C706,'Master Anggota'!$E$2:$J$678,5,0)</f>
        <v>00626</v>
      </c>
      <c r="H706" s="56">
        <v>0</v>
      </c>
      <c r="I706" s="56">
        <v>0</v>
      </c>
      <c r="J706" s="56">
        <v>100000</v>
      </c>
      <c r="K706" s="56">
        <v>200000</v>
      </c>
      <c r="L706" t="s">
        <v>644</v>
      </c>
      <c r="M706" s="71">
        <v>46106</v>
      </c>
      <c r="N706" t="s">
        <v>576</v>
      </c>
    </row>
    <row r="707" spans="2:14" hidden="1" x14ac:dyDescent="0.2">
      <c r="B707">
        <v>705</v>
      </c>
      <c r="C707" t="s">
        <v>445</v>
      </c>
      <c r="D707" t="str">
        <f>VLOOKUP(C707,'Master Anggota'!$E$2:$J$678,2,0)</f>
        <v>Aktif</v>
      </c>
      <c r="G707" t="str">
        <f>VLOOKUP(C707,'Master Anggota'!$E$2:$J$678,5,0)</f>
        <v>00628</v>
      </c>
      <c r="H707" s="56">
        <v>0</v>
      </c>
      <c r="I707" s="56">
        <v>0</v>
      </c>
      <c r="J707" s="56">
        <v>100000</v>
      </c>
      <c r="K707" s="56">
        <v>150000</v>
      </c>
      <c r="L707" t="s">
        <v>644</v>
      </c>
      <c r="M707" s="71">
        <v>46106</v>
      </c>
      <c r="N707" t="s">
        <v>576</v>
      </c>
    </row>
    <row r="708" spans="2:14" hidden="1" x14ac:dyDescent="0.2">
      <c r="B708">
        <v>706</v>
      </c>
      <c r="C708" t="s">
        <v>425</v>
      </c>
      <c r="D708" t="str">
        <f>VLOOKUP(C708,'Master Anggota'!$E$2:$J$678,2,0)</f>
        <v>Aktif</v>
      </c>
      <c r="G708" t="str">
        <f>VLOOKUP(C708,'Master Anggota'!$E$2:$J$678,5,0)</f>
        <v>00629</v>
      </c>
      <c r="H708" s="56">
        <v>0</v>
      </c>
      <c r="I708" s="56">
        <v>0</v>
      </c>
      <c r="J708" s="56">
        <v>100000</v>
      </c>
      <c r="K708" s="56">
        <v>50000</v>
      </c>
      <c r="L708" t="s">
        <v>644</v>
      </c>
      <c r="M708" s="71">
        <v>46106</v>
      </c>
      <c r="N708" t="s">
        <v>576</v>
      </c>
    </row>
    <row r="709" spans="2:14" hidden="1" x14ac:dyDescent="0.2">
      <c r="B709">
        <v>707</v>
      </c>
      <c r="C709" t="s">
        <v>157</v>
      </c>
      <c r="D709" t="str">
        <f>VLOOKUP(C709,'Master Anggota'!$E$2:$J$678,2,0)</f>
        <v>Aktif</v>
      </c>
      <c r="G709" t="str">
        <f>VLOOKUP(C709,'Master Anggota'!$E$2:$J$678,5,0)</f>
        <v>00633</v>
      </c>
      <c r="H709" s="56">
        <v>0</v>
      </c>
      <c r="I709" s="56">
        <v>0</v>
      </c>
      <c r="J709" s="56">
        <v>100000</v>
      </c>
      <c r="K709" s="56">
        <v>12500</v>
      </c>
      <c r="L709" t="s">
        <v>644</v>
      </c>
      <c r="M709" s="71">
        <v>46106</v>
      </c>
      <c r="N709" t="s">
        <v>576</v>
      </c>
    </row>
    <row r="710" spans="2:14" hidden="1" x14ac:dyDescent="0.2">
      <c r="B710">
        <v>708</v>
      </c>
      <c r="C710" t="s">
        <v>435</v>
      </c>
      <c r="D710" t="str">
        <f>VLOOKUP(C710,'Master Anggota'!$E$2:$J$678,2,0)</f>
        <v>Aktif</v>
      </c>
      <c r="G710" t="str">
        <f>VLOOKUP(C710,'Master Anggota'!$E$2:$J$678,5,0)</f>
        <v>00637</v>
      </c>
      <c r="H710" s="56">
        <v>0</v>
      </c>
      <c r="I710" s="56">
        <v>0</v>
      </c>
      <c r="J710" s="56">
        <v>100000</v>
      </c>
      <c r="K710" s="56">
        <v>100000</v>
      </c>
      <c r="L710" t="s">
        <v>644</v>
      </c>
      <c r="M710" s="71">
        <v>46106</v>
      </c>
      <c r="N710" t="s">
        <v>576</v>
      </c>
    </row>
    <row r="711" spans="2:14" hidden="1" x14ac:dyDescent="0.2">
      <c r="B711">
        <v>709</v>
      </c>
      <c r="C711" t="s">
        <v>436</v>
      </c>
      <c r="D711" t="str">
        <f>VLOOKUP(C711,'Master Anggota'!$E$2:$J$678,2,0)</f>
        <v>Aktif</v>
      </c>
      <c r="G711" t="str">
        <f>VLOOKUP(C711,'Master Anggota'!$E$2:$J$678,5,0)</f>
        <v>01708</v>
      </c>
      <c r="H711" s="56">
        <v>0</v>
      </c>
      <c r="I711" s="56">
        <v>0</v>
      </c>
      <c r="J711" s="56">
        <v>100000</v>
      </c>
      <c r="K711" s="56">
        <v>100000</v>
      </c>
      <c r="L711" t="s">
        <v>644</v>
      </c>
      <c r="M711" s="71">
        <v>46106</v>
      </c>
      <c r="N711" t="s">
        <v>576</v>
      </c>
    </row>
    <row r="712" spans="2:14" hidden="1" x14ac:dyDescent="0.2">
      <c r="B712">
        <v>710</v>
      </c>
      <c r="C712" t="s">
        <v>160</v>
      </c>
      <c r="D712" t="str">
        <f>VLOOKUP(C712,'Master Anggota'!$E$2:$J$678,2,0)</f>
        <v>Aktif</v>
      </c>
      <c r="G712" t="str">
        <f>VLOOKUP(C712,'Master Anggota'!$E$2:$J$678,5,0)</f>
        <v>01166</v>
      </c>
      <c r="H712" s="56">
        <v>0</v>
      </c>
      <c r="I712" s="56">
        <v>0</v>
      </c>
      <c r="J712" s="56">
        <v>100000</v>
      </c>
      <c r="K712" s="56">
        <v>75000</v>
      </c>
      <c r="L712" t="s">
        <v>644</v>
      </c>
      <c r="M712" s="71">
        <v>46106</v>
      </c>
      <c r="N712" t="s">
        <v>576</v>
      </c>
    </row>
    <row r="713" spans="2:14" hidden="1" x14ac:dyDescent="0.2">
      <c r="B713">
        <v>711</v>
      </c>
      <c r="C713" t="s">
        <v>500</v>
      </c>
      <c r="D713" t="str">
        <f>VLOOKUP(C713,'Master Anggota'!$E$2:$J$678,2,0)</f>
        <v>Aktif</v>
      </c>
      <c r="G713" t="str">
        <f>VLOOKUP(C713,'Master Anggota'!$E$2:$J$678,5,0)</f>
        <v>01776</v>
      </c>
      <c r="H713" s="56">
        <v>0</v>
      </c>
      <c r="I713" s="56">
        <v>0</v>
      </c>
      <c r="J713" s="56">
        <v>100000</v>
      </c>
      <c r="K713" s="56">
        <v>200000</v>
      </c>
      <c r="L713" t="s">
        <v>644</v>
      </c>
      <c r="M713" s="71">
        <v>46106</v>
      </c>
      <c r="N713" t="s">
        <v>576</v>
      </c>
    </row>
    <row r="714" spans="2:14" hidden="1" x14ac:dyDescent="0.2">
      <c r="B714">
        <v>712</v>
      </c>
      <c r="C714" t="s">
        <v>449</v>
      </c>
      <c r="D714" t="str">
        <f>VLOOKUP(C714,'Master Anggota'!$E$2:$J$678,2,0)</f>
        <v>Aktif</v>
      </c>
      <c r="G714" t="str">
        <f>VLOOKUP(C714,'Master Anggota'!$E$2:$J$678,5,0)</f>
        <v>01739</v>
      </c>
      <c r="H714" s="56">
        <v>0</v>
      </c>
      <c r="I714" s="56">
        <v>0</v>
      </c>
      <c r="J714" s="56">
        <v>100000</v>
      </c>
      <c r="K714" s="56">
        <v>150000</v>
      </c>
      <c r="L714" t="s">
        <v>644</v>
      </c>
      <c r="M714" s="71">
        <v>46106</v>
      </c>
      <c r="N714" t="s">
        <v>576</v>
      </c>
    </row>
    <row r="715" spans="2:14" hidden="1" x14ac:dyDescent="0.2">
      <c r="B715">
        <v>713</v>
      </c>
      <c r="C715" t="s">
        <v>318</v>
      </c>
      <c r="D715" t="str">
        <f>VLOOKUP(C715,'Master Anggota'!$E$2:$J$678,2,0)</f>
        <v>Aktif</v>
      </c>
      <c r="G715" t="str">
        <f>VLOOKUP(C715,'Master Anggota'!$E$2:$J$678,5,0)</f>
        <v>01651</v>
      </c>
      <c r="H715" s="56">
        <v>0</v>
      </c>
      <c r="I715" s="56">
        <v>0</v>
      </c>
      <c r="J715" s="56">
        <v>100000</v>
      </c>
      <c r="K715" s="56">
        <v>100000</v>
      </c>
      <c r="L715" t="s">
        <v>644</v>
      </c>
      <c r="M715" s="71">
        <v>46106</v>
      </c>
      <c r="N715" t="s">
        <v>576</v>
      </c>
    </row>
    <row r="716" spans="2:14" hidden="1" x14ac:dyDescent="0.2">
      <c r="B716">
        <v>714</v>
      </c>
      <c r="C716" t="s">
        <v>446</v>
      </c>
      <c r="D716" t="str">
        <f>VLOOKUP(C716,'Master Anggota'!$E$2:$J$678,2,0)</f>
        <v>Aktif</v>
      </c>
      <c r="G716" t="str">
        <f>VLOOKUP(C716,'Master Anggota'!$E$2:$J$678,5,0)</f>
        <v>01740</v>
      </c>
      <c r="H716" s="56">
        <v>0</v>
      </c>
      <c r="I716" s="56">
        <v>0</v>
      </c>
      <c r="J716" s="56">
        <v>100000</v>
      </c>
      <c r="K716" s="56">
        <v>50000</v>
      </c>
      <c r="L716" t="s">
        <v>644</v>
      </c>
      <c r="M716" s="71">
        <v>46106</v>
      </c>
      <c r="N716" t="s">
        <v>576</v>
      </c>
    </row>
    <row r="717" spans="2:14" hidden="1" x14ac:dyDescent="0.2">
      <c r="B717">
        <v>715</v>
      </c>
      <c r="C717" t="s">
        <v>524</v>
      </c>
      <c r="D717" t="str">
        <f>VLOOKUP(C717,'Master Anggota'!$E$2:$J$678,2,0)</f>
        <v>Aktif</v>
      </c>
      <c r="G717" t="str">
        <f>VLOOKUP(C717,'Master Anggota'!$E$2:$J$678,5,0)</f>
        <v>01743</v>
      </c>
      <c r="H717" s="56">
        <v>0</v>
      </c>
      <c r="I717" s="56">
        <v>0</v>
      </c>
      <c r="J717" s="56">
        <v>100000</v>
      </c>
      <c r="K717" s="56">
        <v>100000</v>
      </c>
      <c r="L717" t="s">
        <v>644</v>
      </c>
      <c r="M717" s="71">
        <v>46106</v>
      </c>
      <c r="N717" t="s">
        <v>576</v>
      </c>
    </row>
    <row r="718" spans="2:14" hidden="1" x14ac:dyDescent="0.2">
      <c r="B718">
        <v>716</v>
      </c>
      <c r="C718" t="s">
        <v>327</v>
      </c>
      <c r="D718" t="str">
        <f>VLOOKUP(C718,'Master Anggota'!$E$2:$J$678,2,0)</f>
        <v>Aktif</v>
      </c>
      <c r="G718" t="str">
        <f>VLOOKUP(C718,'Master Anggota'!$E$2:$J$678,5,0)</f>
        <v>01665</v>
      </c>
      <c r="H718" s="56">
        <v>0</v>
      </c>
      <c r="I718" s="56">
        <v>0</v>
      </c>
      <c r="J718" s="56">
        <v>100000</v>
      </c>
      <c r="K718" s="56">
        <v>50000</v>
      </c>
      <c r="L718" t="s">
        <v>644</v>
      </c>
      <c r="M718" s="71">
        <v>46106</v>
      </c>
      <c r="N718" t="s">
        <v>576</v>
      </c>
    </row>
    <row r="719" spans="2:14" hidden="1" x14ac:dyDescent="0.2">
      <c r="B719">
        <v>717</v>
      </c>
      <c r="C719" t="s">
        <v>319</v>
      </c>
      <c r="D719" t="str">
        <f>VLOOKUP(C719,'Master Anggota'!$E$2:$J$678,2,0)</f>
        <v>Aktif</v>
      </c>
      <c r="G719" t="str">
        <f>VLOOKUP(C719,'Master Anggota'!$E$2:$J$678,5,0)</f>
        <v>01302</v>
      </c>
      <c r="H719" s="56">
        <v>0</v>
      </c>
      <c r="I719" s="56">
        <v>0</v>
      </c>
      <c r="J719" s="56">
        <v>100000</v>
      </c>
      <c r="K719" s="56">
        <v>175000</v>
      </c>
      <c r="L719" t="s">
        <v>644</v>
      </c>
      <c r="M719" s="71">
        <v>46106</v>
      </c>
      <c r="N719" t="s">
        <v>576</v>
      </c>
    </row>
    <row r="720" spans="2:14" hidden="1" x14ac:dyDescent="0.2">
      <c r="B720">
        <v>718</v>
      </c>
      <c r="C720" t="s">
        <v>498</v>
      </c>
      <c r="D720" t="str">
        <f>VLOOKUP(C720,'Master Anggota'!$E$2:$J$678,2,0)</f>
        <v>Aktif</v>
      </c>
      <c r="G720" t="str">
        <f>VLOOKUP(C720,'Master Anggota'!$E$2:$J$678,5,0)</f>
        <v>01721</v>
      </c>
      <c r="H720" s="56">
        <v>0</v>
      </c>
      <c r="I720" s="56">
        <v>0</v>
      </c>
      <c r="J720" s="56">
        <v>100000</v>
      </c>
      <c r="K720" s="56">
        <v>200000</v>
      </c>
      <c r="L720" t="s">
        <v>644</v>
      </c>
      <c r="M720" s="71">
        <v>46106</v>
      </c>
      <c r="N720" t="s">
        <v>576</v>
      </c>
    </row>
    <row r="721" spans="2:14" hidden="1" x14ac:dyDescent="0.2">
      <c r="B721">
        <v>719</v>
      </c>
      <c r="C721" t="s">
        <v>451</v>
      </c>
      <c r="D721" t="str">
        <f>VLOOKUP(C721,'Master Anggota'!$E$2:$J$678,2,0)</f>
        <v>Aktif</v>
      </c>
      <c r="G721" t="str">
        <f>VLOOKUP(C721,'Master Anggota'!$E$2:$J$678,5,0)</f>
        <v>01735</v>
      </c>
      <c r="H721" s="56">
        <v>0</v>
      </c>
      <c r="I721" s="56">
        <v>0</v>
      </c>
      <c r="J721" s="56">
        <v>100000</v>
      </c>
      <c r="K721" s="56">
        <v>150000</v>
      </c>
      <c r="L721" t="s">
        <v>644</v>
      </c>
      <c r="M721" s="71">
        <v>46106</v>
      </c>
      <c r="N721" t="s">
        <v>576</v>
      </c>
    </row>
    <row r="722" spans="2:14" hidden="1" x14ac:dyDescent="0.2">
      <c r="B722">
        <v>720</v>
      </c>
      <c r="C722" t="s">
        <v>491</v>
      </c>
      <c r="D722" t="str">
        <f>VLOOKUP(C722,'Master Anggota'!$E$2:$J$678,2,0)</f>
        <v>Aktif</v>
      </c>
      <c r="G722" t="str">
        <f>VLOOKUP(C722,'Master Anggota'!$E$2:$J$678,5,0)</f>
        <v>01720</v>
      </c>
      <c r="H722" s="56">
        <v>0</v>
      </c>
      <c r="I722" s="56">
        <v>0</v>
      </c>
      <c r="J722" s="56">
        <v>100000</v>
      </c>
      <c r="K722" s="56">
        <v>100000</v>
      </c>
      <c r="L722" t="s">
        <v>644</v>
      </c>
      <c r="M722" s="71">
        <v>46106</v>
      </c>
      <c r="N722" t="s">
        <v>576</v>
      </c>
    </row>
    <row r="723" spans="2:14" hidden="1" x14ac:dyDescent="0.2">
      <c r="B723">
        <v>721</v>
      </c>
      <c r="C723" t="s">
        <v>313</v>
      </c>
      <c r="D723" t="str">
        <f>VLOOKUP(C723,'Master Anggota'!$E$2:$J$678,2,0)</f>
        <v>Aktif</v>
      </c>
      <c r="G723" t="str">
        <f>VLOOKUP(C723,'Master Anggota'!$E$2:$J$678,5,0)</f>
        <v>01594</v>
      </c>
      <c r="H723" s="56">
        <v>0</v>
      </c>
      <c r="I723" s="56">
        <v>0</v>
      </c>
      <c r="J723" s="56">
        <v>100000</v>
      </c>
      <c r="K723" s="56">
        <v>50000</v>
      </c>
      <c r="L723" t="s">
        <v>644</v>
      </c>
      <c r="M723" s="71">
        <v>46106</v>
      </c>
      <c r="N723" t="s">
        <v>576</v>
      </c>
    </row>
    <row r="724" spans="2:14" hidden="1" x14ac:dyDescent="0.2">
      <c r="B724">
        <v>722</v>
      </c>
      <c r="C724" t="s">
        <v>493</v>
      </c>
      <c r="D724" t="str">
        <f>VLOOKUP(C724,'Master Anggota'!$E$2:$J$678,2,0)</f>
        <v>Aktif</v>
      </c>
      <c r="G724" t="str">
        <f>VLOOKUP(C724,'Master Anggota'!$E$2:$J$678,5,0)</f>
        <v>01731</v>
      </c>
      <c r="H724" s="56">
        <v>0</v>
      </c>
      <c r="I724" s="56">
        <v>0</v>
      </c>
      <c r="J724" s="56">
        <v>100000</v>
      </c>
      <c r="K724" s="56">
        <v>100000</v>
      </c>
      <c r="L724" t="s">
        <v>644</v>
      </c>
      <c r="M724" s="71">
        <v>46106</v>
      </c>
      <c r="N724" t="s">
        <v>576</v>
      </c>
    </row>
    <row r="725" spans="2:14" hidden="1" x14ac:dyDescent="0.2">
      <c r="B725">
        <v>723</v>
      </c>
      <c r="C725" t="s">
        <v>490</v>
      </c>
      <c r="D725" t="str">
        <f>VLOOKUP(C725,'Master Anggota'!$E$2:$J$678,2,0)</f>
        <v>Aktif</v>
      </c>
      <c r="G725" t="str">
        <f>VLOOKUP(C725,'Master Anggota'!$E$2:$J$678,5,0)</f>
        <v>01706</v>
      </c>
      <c r="H725" s="56">
        <v>0</v>
      </c>
      <c r="I725" s="56">
        <v>0</v>
      </c>
      <c r="J725" s="56">
        <v>100000</v>
      </c>
      <c r="K725" s="56">
        <v>100000</v>
      </c>
      <c r="L725" t="s">
        <v>644</v>
      </c>
      <c r="M725" s="71">
        <v>46106</v>
      </c>
      <c r="N725" t="s">
        <v>576</v>
      </c>
    </row>
    <row r="726" spans="2:14" hidden="1" x14ac:dyDescent="0.2">
      <c r="B726">
        <v>724</v>
      </c>
      <c r="C726" t="s">
        <v>439</v>
      </c>
      <c r="D726" t="str">
        <f>VLOOKUP(C726,'Master Anggota'!$E$2:$J$678,2,0)</f>
        <v>Aktif</v>
      </c>
      <c r="G726" t="str">
        <f>VLOOKUP(C726,'Master Anggota'!$E$2:$J$678,5,0)</f>
        <v>01730</v>
      </c>
      <c r="H726" s="56">
        <v>0</v>
      </c>
      <c r="I726" s="56">
        <v>0</v>
      </c>
      <c r="J726" s="56">
        <v>100000</v>
      </c>
      <c r="K726" s="56">
        <v>300000</v>
      </c>
      <c r="L726" t="s">
        <v>644</v>
      </c>
      <c r="M726" s="71">
        <v>46106</v>
      </c>
      <c r="N726" t="s">
        <v>576</v>
      </c>
    </row>
    <row r="727" spans="2:14" hidden="1" x14ac:dyDescent="0.2">
      <c r="B727">
        <v>725</v>
      </c>
      <c r="C727" t="s">
        <v>450</v>
      </c>
      <c r="D727" t="str">
        <f>VLOOKUP(C727,'Master Anggota'!$E$2:$J$678,2,0)</f>
        <v>Aktif</v>
      </c>
      <c r="G727" t="str">
        <f>VLOOKUP(C727,'Master Anggota'!$E$2:$J$678,5,0)</f>
        <v>01738</v>
      </c>
      <c r="H727" s="56">
        <v>0</v>
      </c>
      <c r="I727" s="56">
        <v>0</v>
      </c>
      <c r="J727" s="56">
        <v>100000</v>
      </c>
      <c r="K727" s="56">
        <v>50000</v>
      </c>
      <c r="L727" t="s">
        <v>644</v>
      </c>
      <c r="M727" s="71">
        <v>46106</v>
      </c>
      <c r="N727" t="s">
        <v>576</v>
      </c>
    </row>
    <row r="728" spans="2:14" hidden="1" x14ac:dyDescent="0.2">
      <c r="B728">
        <v>726</v>
      </c>
      <c r="C728" t="s">
        <v>497</v>
      </c>
      <c r="D728" t="str">
        <f>VLOOKUP(C728,'Master Anggota'!$E$2:$J$678,2,0)</f>
        <v>Aktif</v>
      </c>
      <c r="G728" t="str">
        <f>VLOOKUP(C728,'Master Anggota'!$E$2:$J$678,5,0)</f>
        <v>01719</v>
      </c>
      <c r="H728" s="56">
        <v>0</v>
      </c>
      <c r="I728" s="56">
        <v>0</v>
      </c>
      <c r="J728" s="56">
        <v>100000</v>
      </c>
      <c r="K728" s="56">
        <v>200000</v>
      </c>
      <c r="L728" t="s">
        <v>644</v>
      </c>
      <c r="M728" s="71">
        <v>46106</v>
      </c>
      <c r="N728" t="s">
        <v>576</v>
      </c>
    </row>
    <row r="729" spans="2:14" hidden="1" x14ac:dyDescent="0.2">
      <c r="B729">
        <v>727</v>
      </c>
      <c r="C729" t="s">
        <v>482</v>
      </c>
      <c r="D729" t="str">
        <f>VLOOKUP(C729,'Master Anggota'!$E$2:$J$678,2,0)</f>
        <v>Aktif</v>
      </c>
      <c r="G729" t="str">
        <f>VLOOKUP(C729,'Master Anggota'!$E$2:$J$678,5,0)</f>
        <v>01561</v>
      </c>
      <c r="H729" s="56">
        <v>0</v>
      </c>
      <c r="I729" s="56">
        <v>0</v>
      </c>
      <c r="J729" s="56">
        <v>100000</v>
      </c>
      <c r="K729" s="56">
        <v>100000</v>
      </c>
      <c r="L729" t="s">
        <v>644</v>
      </c>
      <c r="M729" s="71">
        <v>46106</v>
      </c>
      <c r="N729" t="s">
        <v>576</v>
      </c>
    </row>
    <row r="730" spans="2:14" hidden="1" x14ac:dyDescent="0.2">
      <c r="B730">
        <v>728</v>
      </c>
      <c r="C730" t="s">
        <v>499</v>
      </c>
      <c r="D730" t="str">
        <f>VLOOKUP(C730,'Master Anggota'!$E$2:$J$678,2,0)</f>
        <v>Aktif</v>
      </c>
      <c r="G730" t="str">
        <f>VLOOKUP(C730,'Master Anggota'!$E$2:$J$678,5,0)</f>
        <v>01775</v>
      </c>
      <c r="H730" s="56">
        <v>0</v>
      </c>
      <c r="I730" s="56">
        <v>0</v>
      </c>
      <c r="J730" s="56">
        <v>100000</v>
      </c>
      <c r="K730" s="56">
        <v>200000</v>
      </c>
      <c r="L730" t="s">
        <v>644</v>
      </c>
      <c r="M730" s="71">
        <v>46106</v>
      </c>
      <c r="N730" t="s">
        <v>576</v>
      </c>
    </row>
    <row r="731" spans="2:14" hidden="1" x14ac:dyDescent="0.2">
      <c r="B731">
        <v>729</v>
      </c>
      <c r="C731" t="s">
        <v>323</v>
      </c>
      <c r="D731" t="str">
        <f>VLOOKUP(C731,'Master Anggota'!$E$2:$J$678,2,0)</f>
        <v>Aktif</v>
      </c>
      <c r="G731" t="str">
        <f>VLOOKUP(C731,'Master Anggota'!$E$2:$J$678,5,0)</f>
        <v>01601</v>
      </c>
      <c r="H731" s="56">
        <v>0</v>
      </c>
      <c r="I731" s="56">
        <v>0</v>
      </c>
      <c r="J731" s="56">
        <v>100000</v>
      </c>
      <c r="K731" s="56">
        <v>150000</v>
      </c>
      <c r="L731" t="s">
        <v>644</v>
      </c>
      <c r="M731" s="71">
        <v>46106</v>
      </c>
      <c r="N731" t="s">
        <v>576</v>
      </c>
    </row>
    <row r="732" spans="2:14" hidden="1" x14ac:dyDescent="0.2">
      <c r="B732">
        <v>730</v>
      </c>
      <c r="C732" t="s">
        <v>304</v>
      </c>
      <c r="D732" t="str">
        <f>VLOOKUP(C732,'Master Anggota'!$E$2:$J$678,2,0)</f>
        <v>Aktif</v>
      </c>
      <c r="G732" t="str">
        <f>VLOOKUP(C732,'Master Anggota'!$E$2:$J$678,5,0)</f>
        <v>01541</v>
      </c>
      <c r="H732" s="56">
        <v>0</v>
      </c>
      <c r="I732" s="56">
        <v>0</v>
      </c>
      <c r="J732" s="56">
        <v>150000</v>
      </c>
      <c r="K732" s="56">
        <v>100000</v>
      </c>
      <c r="L732" t="s">
        <v>644</v>
      </c>
      <c r="M732" s="71">
        <v>46106</v>
      </c>
      <c r="N732" t="s">
        <v>576</v>
      </c>
    </row>
    <row r="733" spans="2:14" hidden="1" x14ac:dyDescent="0.2">
      <c r="B733">
        <v>731</v>
      </c>
      <c r="C733" t="s">
        <v>289</v>
      </c>
      <c r="D733" t="str">
        <f>VLOOKUP(C733,'Master Anggota'!$E$2:$J$678,2,0)</f>
        <v>Aktif</v>
      </c>
      <c r="G733" t="str">
        <f>VLOOKUP(C733,'Master Anggota'!$E$2:$J$678,5,0)</f>
        <v>01511</v>
      </c>
      <c r="H733" s="56">
        <v>0</v>
      </c>
      <c r="I733" s="56">
        <v>0</v>
      </c>
      <c r="J733" s="56">
        <v>100000</v>
      </c>
      <c r="K733" s="56">
        <v>75000</v>
      </c>
      <c r="L733" t="s">
        <v>644</v>
      </c>
      <c r="M733" s="71">
        <v>46106</v>
      </c>
      <c r="N733" t="s">
        <v>576</v>
      </c>
    </row>
    <row r="734" spans="2:14" hidden="1" x14ac:dyDescent="0.2">
      <c r="B734">
        <v>732</v>
      </c>
      <c r="C734" t="s">
        <v>367</v>
      </c>
      <c r="D734" t="str">
        <f>VLOOKUP(C734,'Master Anggota'!$E$2:$J$678,2,0)</f>
        <v>Aktif</v>
      </c>
      <c r="G734" t="str">
        <f>VLOOKUP(C734,'Master Anggota'!$E$2:$J$678,5,0)</f>
        <v>01679</v>
      </c>
      <c r="H734" s="56">
        <v>0</v>
      </c>
      <c r="I734" s="56">
        <v>0</v>
      </c>
      <c r="J734" s="56">
        <v>100000</v>
      </c>
      <c r="K734" s="56">
        <v>100000</v>
      </c>
      <c r="L734" t="s">
        <v>644</v>
      </c>
      <c r="M734" s="71">
        <v>46106</v>
      </c>
      <c r="N734" t="s">
        <v>576</v>
      </c>
    </row>
    <row r="735" spans="2:14" hidden="1" x14ac:dyDescent="0.2">
      <c r="B735">
        <v>733</v>
      </c>
      <c r="C735" t="s">
        <v>368</v>
      </c>
      <c r="D735" t="str">
        <f>VLOOKUP(C735,'Master Anggota'!$E$2:$J$678,2,0)</f>
        <v>Aktif</v>
      </c>
      <c r="G735" t="str">
        <f>VLOOKUP(C735,'Master Anggota'!$E$2:$J$678,5,0)</f>
        <v>01703</v>
      </c>
      <c r="H735" s="56">
        <v>0</v>
      </c>
      <c r="I735" s="56">
        <v>0</v>
      </c>
      <c r="J735" s="56">
        <v>100000</v>
      </c>
      <c r="K735" s="56">
        <v>100000</v>
      </c>
      <c r="L735" t="s">
        <v>644</v>
      </c>
      <c r="M735" s="71">
        <v>46106</v>
      </c>
      <c r="N735" t="s">
        <v>576</v>
      </c>
    </row>
    <row r="736" spans="2:14" hidden="1" x14ac:dyDescent="0.2">
      <c r="B736">
        <v>734</v>
      </c>
      <c r="C736" t="s">
        <v>317</v>
      </c>
      <c r="D736" t="str">
        <f>VLOOKUP(C736,'Master Anggota'!$E$2:$J$678,2,0)</f>
        <v>Aktif</v>
      </c>
      <c r="G736" t="str">
        <f>VLOOKUP(C736,'Master Anggota'!$E$2:$J$678,5,0)</f>
        <v>01573</v>
      </c>
      <c r="H736" s="56">
        <v>0</v>
      </c>
      <c r="I736" s="56">
        <v>0</v>
      </c>
      <c r="J736" s="56">
        <v>100000</v>
      </c>
      <c r="K736" s="56">
        <v>400000</v>
      </c>
      <c r="L736" t="s">
        <v>644</v>
      </c>
      <c r="M736" s="71">
        <v>46106</v>
      </c>
      <c r="N736" t="s">
        <v>576</v>
      </c>
    </row>
    <row r="737" spans="2:14" hidden="1" x14ac:dyDescent="0.2">
      <c r="B737">
        <v>735</v>
      </c>
      <c r="C737" t="s">
        <v>444</v>
      </c>
      <c r="D737" t="str">
        <f>VLOOKUP(C737,'Master Anggota'!$E$2:$J$678,2,0)</f>
        <v>Aktif</v>
      </c>
      <c r="G737" t="str">
        <f>VLOOKUP(C737,'Master Anggota'!$E$2:$J$678,5,0)</f>
        <v>01711</v>
      </c>
      <c r="H737" s="56">
        <v>0</v>
      </c>
      <c r="I737" s="56">
        <v>0</v>
      </c>
      <c r="J737" s="56">
        <v>100000</v>
      </c>
      <c r="K737" s="56">
        <v>150000</v>
      </c>
      <c r="L737" t="s">
        <v>644</v>
      </c>
      <c r="M737" s="71">
        <v>46106</v>
      </c>
      <c r="N737" t="s">
        <v>576</v>
      </c>
    </row>
    <row r="738" spans="2:14" hidden="1" x14ac:dyDescent="0.2">
      <c r="B738">
        <v>736</v>
      </c>
      <c r="C738" t="s">
        <v>316</v>
      </c>
      <c r="D738" t="str">
        <f>VLOOKUP(C738,'Master Anggota'!$E$2:$J$678,2,0)</f>
        <v>Aktif</v>
      </c>
      <c r="G738" t="str">
        <f>VLOOKUP(C738,'Master Anggota'!$E$2:$J$678,5,0)</f>
        <v>01544</v>
      </c>
      <c r="H738" s="56">
        <v>0</v>
      </c>
      <c r="I738" s="56">
        <v>0</v>
      </c>
      <c r="J738" s="56">
        <v>150000</v>
      </c>
      <c r="K738" s="56">
        <v>400000</v>
      </c>
      <c r="L738" t="s">
        <v>644</v>
      </c>
      <c r="M738" s="71">
        <v>46106</v>
      </c>
      <c r="N738" t="s">
        <v>576</v>
      </c>
    </row>
    <row r="739" spans="2:14" hidden="1" x14ac:dyDescent="0.2">
      <c r="B739">
        <v>737</v>
      </c>
      <c r="C739" t="s">
        <v>421</v>
      </c>
      <c r="D739" t="str">
        <f>VLOOKUP(C739,'Master Anggota'!$E$2:$J$678,2,0)</f>
        <v>Aktif</v>
      </c>
      <c r="G739" t="str">
        <f>VLOOKUP(C739,'Master Anggota'!$E$2:$J$678,5,0)</f>
        <v>01560</v>
      </c>
      <c r="H739" s="56">
        <v>0</v>
      </c>
      <c r="I739" s="56">
        <v>0</v>
      </c>
      <c r="J739" s="56">
        <v>100000</v>
      </c>
      <c r="K739" s="56">
        <v>250000</v>
      </c>
      <c r="L739" t="s">
        <v>644</v>
      </c>
      <c r="M739" s="71">
        <v>46106</v>
      </c>
      <c r="N739" t="s">
        <v>576</v>
      </c>
    </row>
    <row r="740" spans="2:14" hidden="1" x14ac:dyDescent="0.2">
      <c r="B740">
        <v>738</v>
      </c>
      <c r="C740" t="s">
        <v>501</v>
      </c>
      <c r="D740" t="str">
        <f>VLOOKUP(C740,'Master Anggota'!$E$2:$J$678,2,0)</f>
        <v>Purna Bakti 2026</v>
      </c>
      <c r="G740" t="str">
        <f>VLOOKUP(C740,'Master Anggota'!$E$2:$J$678,5,0)</f>
        <v>01777</v>
      </c>
      <c r="H740" s="56">
        <v>0</v>
      </c>
      <c r="I740" s="56">
        <v>0</v>
      </c>
      <c r="J740" s="56">
        <v>100000</v>
      </c>
      <c r="K740" s="56">
        <v>200000</v>
      </c>
      <c r="L740" t="s">
        <v>644</v>
      </c>
      <c r="M740" s="71">
        <v>46106</v>
      </c>
      <c r="N740" t="s">
        <v>576</v>
      </c>
    </row>
    <row r="741" spans="2:14" hidden="1" x14ac:dyDescent="0.2">
      <c r="B741">
        <v>739</v>
      </c>
      <c r="C741" t="s">
        <v>372</v>
      </c>
      <c r="D741" t="str">
        <f>VLOOKUP(C741,'Master Anggota'!$E$2:$J$678,2,0)</f>
        <v>Purna Bakti 2026</v>
      </c>
      <c r="G741" t="str">
        <f>VLOOKUP(C741,'Master Anggota'!$E$2:$J$678,5,0)</f>
        <v>01608</v>
      </c>
      <c r="H741" s="56">
        <v>0</v>
      </c>
      <c r="I741" s="56">
        <v>0</v>
      </c>
      <c r="J741" s="56">
        <v>100000</v>
      </c>
      <c r="K741" s="56">
        <v>150000</v>
      </c>
      <c r="L741" t="s">
        <v>644</v>
      </c>
      <c r="M741" s="71">
        <v>46106</v>
      </c>
      <c r="N741" t="s">
        <v>576</v>
      </c>
    </row>
    <row r="742" spans="2:14" hidden="1" x14ac:dyDescent="0.2">
      <c r="B742">
        <v>740</v>
      </c>
      <c r="C742" t="s">
        <v>492</v>
      </c>
      <c r="D742" t="str">
        <f>VLOOKUP(C742,'Master Anggota'!$E$2:$J$678,2,0)</f>
        <v>Aktif</v>
      </c>
      <c r="G742" t="str">
        <f>VLOOKUP(C742,'Master Anggota'!$E$2:$J$678,5,0)</f>
        <v>01728</v>
      </c>
      <c r="H742" s="56">
        <v>0</v>
      </c>
      <c r="I742" s="56">
        <v>0</v>
      </c>
      <c r="J742" s="56">
        <v>100000</v>
      </c>
      <c r="K742" s="56">
        <v>100000</v>
      </c>
      <c r="L742" t="s">
        <v>644</v>
      </c>
      <c r="M742" s="71">
        <v>46106</v>
      </c>
      <c r="N742" t="s">
        <v>576</v>
      </c>
    </row>
    <row r="743" spans="2:14" hidden="1" x14ac:dyDescent="0.2">
      <c r="B743">
        <v>741</v>
      </c>
      <c r="C743" t="s">
        <v>308</v>
      </c>
      <c r="D743" t="str">
        <f>VLOOKUP(C743,'Master Anggota'!$E$2:$J$678,2,0)</f>
        <v>Aktif</v>
      </c>
      <c r="G743" t="str">
        <f>VLOOKUP(C743,'Master Anggota'!$E$2:$J$678,5,0)</f>
        <v>01604</v>
      </c>
      <c r="H743" s="56">
        <v>0</v>
      </c>
      <c r="I743" s="56">
        <v>0</v>
      </c>
      <c r="J743" s="56">
        <v>100000</v>
      </c>
      <c r="K743" s="56">
        <v>100000</v>
      </c>
      <c r="L743" t="s">
        <v>644</v>
      </c>
      <c r="M743" s="71">
        <v>46106</v>
      </c>
      <c r="N743" t="s">
        <v>576</v>
      </c>
    </row>
    <row r="744" spans="2:14" hidden="1" x14ac:dyDescent="0.2">
      <c r="B744">
        <v>742</v>
      </c>
      <c r="C744" t="s">
        <v>495</v>
      </c>
      <c r="D744" t="str">
        <f>VLOOKUP(C744,'Master Anggota'!$E$2:$J$678,2,0)</f>
        <v>Aktif</v>
      </c>
      <c r="G744" t="str">
        <f>VLOOKUP(C744,'Master Anggota'!$E$2:$J$678,5,0)</f>
        <v>01754</v>
      </c>
      <c r="H744" s="56">
        <v>0</v>
      </c>
      <c r="I744" s="56">
        <v>0</v>
      </c>
      <c r="J744" s="56">
        <v>100000</v>
      </c>
      <c r="K744" s="56">
        <v>100000</v>
      </c>
      <c r="L744" t="s">
        <v>644</v>
      </c>
      <c r="M744" s="71">
        <v>46106</v>
      </c>
      <c r="N744" t="s">
        <v>576</v>
      </c>
    </row>
    <row r="745" spans="2:14" hidden="1" x14ac:dyDescent="0.2">
      <c r="B745">
        <v>743</v>
      </c>
      <c r="C745" t="s">
        <v>279</v>
      </c>
      <c r="D745" t="str">
        <f>VLOOKUP(C745,'Master Anggota'!$E$2:$J$678,2,0)</f>
        <v>Aktif</v>
      </c>
      <c r="G745" t="str">
        <f>VLOOKUP(C745,'Master Anggota'!$E$2:$J$678,5,0)</f>
        <v>01315</v>
      </c>
      <c r="H745" s="56">
        <v>0</v>
      </c>
      <c r="I745" s="56">
        <v>0</v>
      </c>
      <c r="J745" s="56">
        <v>100000</v>
      </c>
      <c r="K745" s="56">
        <v>50000</v>
      </c>
      <c r="L745" t="s">
        <v>644</v>
      </c>
      <c r="M745" s="71">
        <v>46106</v>
      </c>
      <c r="N745" t="s">
        <v>576</v>
      </c>
    </row>
    <row r="746" spans="2:14" hidden="1" x14ac:dyDescent="0.2">
      <c r="B746">
        <v>744</v>
      </c>
      <c r="C746" t="s">
        <v>311</v>
      </c>
      <c r="D746" t="str">
        <f>VLOOKUP(C746,'Master Anggota'!$E$2:$J$678,2,0)</f>
        <v>Aktif</v>
      </c>
      <c r="G746" t="str">
        <f>VLOOKUP(C746,'Master Anggota'!$E$2:$J$678,5,0)</f>
        <v>01602</v>
      </c>
      <c r="H746" s="56">
        <v>0</v>
      </c>
      <c r="I746" s="56">
        <v>0</v>
      </c>
      <c r="J746" s="56">
        <v>100000</v>
      </c>
      <c r="K746" s="56">
        <v>100000</v>
      </c>
      <c r="L746" t="s">
        <v>644</v>
      </c>
      <c r="M746" s="71">
        <v>46106</v>
      </c>
      <c r="N746" t="s">
        <v>576</v>
      </c>
    </row>
    <row r="747" spans="2:14" hidden="1" x14ac:dyDescent="0.2">
      <c r="B747">
        <v>745</v>
      </c>
      <c r="C747" t="s">
        <v>310</v>
      </c>
      <c r="D747" t="str">
        <f>VLOOKUP(C747,'Master Anggota'!$E$2:$J$678,2,0)</f>
        <v>Aktif</v>
      </c>
      <c r="G747" t="str">
        <f>VLOOKUP(C747,'Master Anggota'!$E$2:$J$678,5,0)</f>
        <v>01543</v>
      </c>
      <c r="H747" s="56">
        <v>0</v>
      </c>
      <c r="I747" s="56">
        <v>0</v>
      </c>
      <c r="J747" s="56">
        <v>150000</v>
      </c>
      <c r="K747" s="56">
        <v>100000</v>
      </c>
      <c r="L747" t="s">
        <v>644</v>
      </c>
      <c r="M747" s="71">
        <v>46106</v>
      </c>
      <c r="N747" t="s">
        <v>576</v>
      </c>
    </row>
    <row r="748" spans="2:14" hidden="1" x14ac:dyDescent="0.2">
      <c r="B748">
        <v>746</v>
      </c>
      <c r="C748" t="s">
        <v>358</v>
      </c>
      <c r="D748" t="str">
        <f>VLOOKUP(C748,'Master Anggota'!$E$2:$J$678,2,0)</f>
        <v>Aktif</v>
      </c>
      <c r="G748" t="str">
        <f>VLOOKUP(C748,'Master Anggota'!$E$2:$J$678,5,0)</f>
        <v>01530</v>
      </c>
      <c r="H748" s="56">
        <v>0</v>
      </c>
      <c r="I748" s="56">
        <v>0</v>
      </c>
      <c r="J748" s="56">
        <v>100000</v>
      </c>
      <c r="K748" s="56">
        <v>50000</v>
      </c>
      <c r="L748" t="s">
        <v>644</v>
      </c>
      <c r="M748" s="71">
        <v>46106</v>
      </c>
      <c r="N748" t="s">
        <v>576</v>
      </c>
    </row>
    <row r="749" spans="2:14" hidden="1" x14ac:dyDescent="0.2">
      <c r="B749">
        <v>747</v>
      </c>
      <c r="C749" t="s">
        <v>369</v>
      </c>
      <c r="D749" t="str">
        <f>VLOOKUP(C749,'Master Anggota'!$E$2:$J$678,2,0)</f>
        <v>Aktif</v>
      </c>
      <c r="G749" t="str">
        <f>VLOOKUP(C749,'Master Anggota'!$E$2:$J$678,5,0)</f>
        <v>01654</v>
      </c>
      <c r="H749" s="56">
        <v>0</v>
      </c>
      <c r="I749" s="56">
        <v>0</v>
      </c>
      <c r="J749" s="56">
        <v>100000</v>
      </c>
      <c r="K749" s="56">
        <v>100000</v>
      </c>
      <c r="L749" t="s">
        <v>644</v>
      </c>
      <c r="M749" s="71">
        <v>46106</v>
      </c>
      <c r="N749" t="s">
        <v>576</v>
      </c>
    </row>
    <row r="750" spans="2:14" hidden="1" x14ac:dyDescent="0.2">
      <c r="B750">
        <v>748</v>
      </c>
      <c r="C750" t="s">
        <v>539</v>
      </c>
      <c r="D750" t="str">
        <f>VLOOKUP(C750,'Master Anggota'!$E$2:$J$678,2,0)</f>
        <v>Aktif</v>
      </c>
      <c r="G750" t="str">
        <f>VLOOKUP(C750,'Master Anggota'!$E$2:$J$678,5,0)</f>
        <v>01800</v>
      </c>
      <c r="H750" s="56">
        <v>0</v>
      </c>
      <c r="I750" s="56">
        <v>0</v>
      </c>
      <c r="J750" s="56">
        <v>100000</v>
      </c>
      <c r="K750" s="56">
        <v>100000</v>
      </c>
      <c r="L750" t="s">
        <v>644</v>
      </c>
      <c r="M750" s="71">
        <v>46106</v>
      </c>
      <c r="N750" t="s">
        <v>576</v>
      </c>
    </row>
    <row r="751" spans="2:14" hidden="1" x14ac:dyDescent="0.2">
      <c r="B751">
        <v>749</v>
      </c>
      <c r="C751" t="s">
        <v>448</v>
      </c>
      <c r="D751" t="str">
        <f>VLOOKUP(C751,'Master Anggota'!$E$2:$J$678,2,0)</f>
        <v>Aktif</v>
      </c>
      <c r="G751" t="str">
        <f>VLOOKUP(C751,'Master Anggota'!$E$2:$J$678,5,0)</f>
        <v>01737</v>
      </c>
      <c r="H751" s="56">
        <v>0</v>
      </c>
      <c r="I751" s="56">
        <v>0</v>
      </c>
      <c r="J751" s="56">
        <v>100000</v>
      </c>
      <c r="K751" s="56">
        <v>150000</v>
      </c>
      <c r="L751" t="s">
        <v>644</v>
      </c>
      <c r="M751" s="71">
        <v>46106</v>
      </c>
      <c r="N751" t="s">
        <v>576</v>
      </c>
    </row>
    <row r="752" spans="2:14" hidden="1" x14ac:dyDescent="0.2">
      <c r="B752">
        <v>750</v>
      </c>
      <c r="C752" t="s">
        <v>169</v>
      </c>
      <c r="D752" t="str">
        <f>VLOOKUP(C752,'Master Anggota'!$E$2:$J$678,2,0)</f>
        <v>Aktif</v>
      </c>
      <c r="G752" t="str">
        <f>VLOOKUP(C752,'Master Anggota'!$E$2:$J$678,5,0)</f>
        <v>01157</v>
      </c>
      <c r="H752" s="56">
        <v>0</v>
      </c>
      <c r="I752" s="56">
        <v>0</v>
      </c>
      <c r="J752" s="56">
        <v>100000</v>
      </c>
      <c r="K752" s="56">
        <v>100000</v>
      </c>
      <c r="L752" t="s">
        <v>644</v>
      </c>
      <c r="M752" s="71">
        <v>46106</v>
      </c>
      <c r="N752" t="s">
        <v>576</v>
      </c>
    </row>
    <row r="753" spans="2:14" hidden="1" x14ac:dyDescent="0.2">
      <c r="B753">
        <v>751</v>
      </c>
      <c r="C753" t="s">
        <v>560</v>
      </c>
      <c r="D753" t="str">
        <f>VLOOKUP(C753,'Master Anggota'!$E$2:$J$678,2,0)</f>
        <v>Aktif</v>
      </c>
      <c r="G753" t="str">
        <f>VLOOKUP(C753,'Master Anggota'!$E$2:$J$678,5,0)</f>
        <v>01603</v>
      </c>
      <c r="H753" s="56">
        <v>0</v>
      </c>
      <c r="I753" s="56">
        <v>0</v>
      </c>
      <c r="J753" s="56">
        <v>100000</v>
      </c>
      <c r="K753" s="56">
        <v>200000</v>
      </c>
      <c r="L753" t="s">
        <v>644</v>
      </c>
      <c r="M753" s="71">
        <v>46106</v>
      </c>
      <c r="N753" t="s">
        <v>576</v>
      </c>
    </row>
    <row r="754" spans="2:14" hidden="1" x14ac:dyDescent="0.2">
      <c r="B754">
        <v>752</v>
      </c>
      <c r="C754" t="s">
        <v>287</v>
      </c>
      <c r="D754" t="str">
        <f>VLOOKUP(C754,'Master Anggota'!$E$2:$J$678,2,0)</f>
        <v>PHL</v>
      </c>
      <c r="G754" t="str">
        <f>VLOOKUP(C754,'Master Anggota'!$E$2:$J$678,5,0)</f>
        <v>01510</v>
      </c>
      <c r="H754" s="56">
        <v>0</v>
      </c>
      <c r="I754" s="56">
        <v>0</v>
      </c>
      <c r="J754" s="56">
        <v>100000</v>
      </c>
      <c r="K754" s="56">
        <v>100000</v>
      </c>
      <c r="L754" t="s">
        <v>644</v>
      </c>
      <c r="M754" s="71">
        <v>46106</v>
      </c>
      <c r="N754" t="s">
        <v>576</v>
      </c>
    </row>
    <row r="755" spans="2:14" hidden="1" x14ac:dyDescent="0.2">
      <c r="B755">
        <v>753</v>
      </c>
      <c r="C755" t="s">
        <v>294</v>
      </c>
      <c r="D755" t="str">
        <f>VLOOKUP(C755,'Master Anggota'!$E$2:$J$678,2,0)</f>
        <v>Purna Bakti 2026</v>
      </c>
      <c r="G755" t="str">
        <f>VLOOKUP(C755,'Master Anggota'!$E$2:$J$678,5,0)</f>
        <v>PHL</v>
      </c>
      <c r="H755" s="56">
        <v>0</v>
      </c>
      <c r="I755" s="56">
        <v>0</v>
      </c>
      <c r="J755" s="56">
        <v>100000</v>
      </c>
      <c r="K755" s="56">
        <v>200000</v>
      </c>
      <c r="L755" t="s">
        <v>644</v>
      </c>
      <c r="M755" s="71">
        <v>46106</v>
      </c>
      <c r="N755" t="s">
        <v>576</v>
      </c>
    </row>
    <row r="756" spans="2:14" hidden="1" x14ac:dyDescent="0.2">
      <c r="B756">
        <v>754</v>
      </c>
      <c r="C756" t="s">
        <v>295</v>
      </c>
      <c r="D756" t="str">
        <f>VLOOKUP(C756,'Master Anggota'!$E$2:$J$678,2,0)</f>
        <v>PHL</v>
      </c>
      <c r="G756" t="str">
        <f>VLOOKUP(C756,'Master Anggota'!$E$2:$J$678,5,0)</f>
        <v>PHL</v>
      </c>
      <c r="H756" s="56">
        <v>0</v>
      </c>
      <c r="I756" s="56">
        <v>0</v>
      </c>
      <c r="J756" s="56">
        <v>100000</v>
      </c>
      <c r="K756" s="56">
        <v>100000</v>
      </c>
      <c r="L756" t="s">
        <v>644</v>
      </c>
      <c r="M756" s="71">
        <v>46106</v>
      </c>
      <c r="N756" t="s">
        <v>576</v>
      </c>
    </row>
    <row r="757" spans="2:14" hidden="1" x14ac:dyDescent="0.2">
      <c r="B757">
        <v>755</v>
      </c>
      <c r="C757" t="s">
        <v>278</v>
      </c>
      <c r="D757" t="str">
        <f>VLOOKUP(C757,'Master Anggota'!$E$2:$J$678,2,0)</f>
        <v>Aktif</v>
      </c>
      <c r="G757" t="str">
        <f>VLOOKUP(C757,'Master Anggota'!$E$2:$J$678,5,0)</f>
        <v>PHL</v>
      </c>
      <c r="H757" s="56">
        <v>0</v>
      </c>
      <c r="I757" s="56">
        <v>0</v>
      </c>
      <c r="J757" s="56">
        <v>100000</v>
      </c>
      <c r="K757" s="56">
        <v>10000</v>
      </c>
      <c r="L757" t="s">
        <v>644</v>
      </c>
      <c r="M757" s="71">
        <v>46106</v>
      </c>
      <c r="N757" t="s">
        <v>576</v>
      </c>
    </row>
    <row r="758" spans="2:14" hidden="1" x14ac:dyDescent="0.2">
      <c r="B758">
        <v>756</v>
      </c>
      <c r="C758" t="s">
        <v>527</v>
      </c>
      <c r="D758" t="str">
        <f>VLOOKUP(C758,'Master Anggota'!$E$2:$J$678,2,0)</f>
        <v>Aktif</v>
      </c>
      <c r="G758" t="str">
        <f>VLOOKUP(C758,'Master Anggota'!$E$2:$J$678,5,0)</f>
        <v>PHL</v>
      </c>
      <c r="H758" s="56">
        <v>0</v>
      </c>
      <c r="I758" s="56">
        <v>0</v>
      </c>
      <c r="J758" s="56">
        <v>100000</v>
      </c>
      <c r="K758" s="56">
        <v>200000</v>
      </c>
      <c r="L758" t="s">
        <v>644</v>
      </c>
      <c r="M758" s="71">
        <v>46106</v>
      </c>
      <c r="N758" t="s">
        <v>576</v>
      </c>
    </row>
    <row r="759" spans="2:14" hidden="1" x14ac:dyDescent="0.2">
      <c r="B759">
        <v>757</v>
      </c>
      <c r="C759" t="s">
        <v>526</v>
      </c>
      <c r="D759" t="str">
        <f>VLOOKUP(C759,'Master Anggota'!$E$2:$J$678,2,0)</f>
        <v>Aktif</v>
      </c>
      <c r="G759" t="str">
        <f>VLOOKUP(C759,'Master Anggota'!$E$2:$J$678,5,0)</f>
        <v>PHL</v>
      </c>
      <c r="H759" s="56">
        <v>0</v>
      </c>
      <c r="I759" s="56">
        <v>0</v>
      </c>
      <c r="J759" s="56">
        <v>100000</v>
      </c>
      <c r="K759" s="56">
        <v>200000</v>
      </c>
      <c r="L759" t="s">
        <v>644</v>
      </c>
      <c r="M759" s="71">
        <v>46106</v>
      </c>
      <c r="N759" t="s">
        <v>576</v>
      </c>
    </row>
    <row r="760" spans="2:14" hidden="1" x14ac:dyDescent="0.2">
      <c r="C760" t="s">
        <v>562</v>
      </c>
      <c r="D760" t="str">
        <f>VLOOKUP(C760,'Master Anggota'!$E$2:$J$678,2,0)</f>
        <v>Aktif</v>
      </c>
      <c r="G760" t="str">
        <f>VLOOKUP(C760,'Master Anggota'!$E$2:$J$678,5,0)</f>
        <v>PHL KJP</v>
      </c>
      <c r="H760" s="56">
        <v>0</v>
      </c>
      <c r="I760" s="56">
        <v>0</v>
      </c>
      <c r="J760" s="56">
        <v>100000</v>
      </c>
      <c r="K760" s="56">
        <v>150000</v>
      </c>
      <c r="L760" t="s">
        <v>612</v>
      </c>
      <c r="M760" s="71">
        <v>46081</v>
      </c>
      <c r="N760" t="s">
        <v>576</v>
      </c>
    </row>
    <row r="761" spans="2:14" hidden="1" x14ac:dyDescent="0.2">
      <c r="C761" t="s">
        <v>561</v>
      </c>
      <c r="D761" t="str">
        <f>VLOOKUP(C761,'Master Anggota'!$E$2:$J$678,2,0)</f>
        <v>Aktif</v>
      </c>
      <c r="G761" t="str">
        <f>VLOOKUP(C761,'Master Anggota'!$E$2:$J$678,5,0)</f>
        <v>PHL KJP</v>
      </c>
      <c r="H761" s="56">
        <v>0</v>
      </c>
      <c r="I761" s="56">
        <v>0</v>
      </c>
      <c r="J761" s="56">
        <v>100000</v>
      </c>
      <c r="K761" s="56">
        <v>150000</v>
      </c>
      <c r="L761" t="s">
        <v>612</v>
      </c>
      <c r="M761" s="71">
        <v>46081</v>
      </c>
      <c r="N761" t="s">
        <v>576</v>
      </c>
    </row>
    <row r="762" spans="2:14" hidden="1" x14ac:dyDescent="0.2">
      <c r="C762" t="s">
        <v>563</v>
      </c>
      <c r="D762" t="str">
        <f>VLOOKUP(C762,'Master Anggota'!$E$2:$J$678,2,0)</f>
        <v>Aktif</v>
      </c>
      <c r="G762" t="str">
        <f>VLOOKUP(C762,'Master Anggota'!$E$2:$J$678,5,0)</f>
        <v>PHL KJP</v>
      </c>
      <c r="H762" s="56">
        <v>0</v>
      </c>
      <c r="I762" s="56">
        <v>0</v>
      </c>
      <c r="J762" s="56">
        <v>100000</v>
      </c>
      <c r="K762" s="56">
        <v>150000</v>
      </c>
      <c r="L762" t="s">
        <v>612</v>
      </c>
      <c r="M762" s="71">
        <v>46081</v>
      </c>
      <c r="N762" t="s">
        <v>576</v>
      </c>
    </row>
    <row r="763" spans="2:14" hidden="1" x14ac:dyDescent="0.2">
      <c r="C763" t="s">
        <v>547</v>
      </c>
      <c r="D763" t="str">
        <f>VLOOKUP(C763,'Master Anggota'!$E$2:$J$678,2,0)</f>
        <v>Aktif</v>
      </c>
      <c r="G763" t="str">
        <f>VLOOKUP(C763,'Master Anggota'!$E$2:$J$678,5,0)</f>
        <v>PHL Distribusi</v>
      </c>
      <c r="H763" s="56">
        <v>0</v>
      </c>
      <c r="I763" s="56">
        <v>0</v>
      </c>
      <c r="J763" s="56">
        <v>100000</v>
      </c>
      <c r="K763" s="56">
        <v>100000</v>
      </c>
      <c r="L763" t="s">
        <v>612</v>
      </c>
      <c r="M763" s="71">
        <v>46081</v>
      </c>
      <c r="N763" t="s">
        <v>576</v>
      </c>
    </row>
    <row r="764" spans="2:14" hidden="1" x14ac:dyDescent="0.2">
      <c r="C764" t="s">
        <v>548</v>
      </c>
      <c r="D764" t="str">
        <f>VLOOKUP(C764,'Master Anggota'!$E$2:$J$678,2,0)</f>
        <v>Aktif</v>
      </c>
      <c r="G764" t="str">
        <f>VLOOKUP(C764,'Master Anggota'!$E$2:$J$678,5,0)</f>
        <v>PHL Distribusi</v>
      </c>
      <c r="H764" s="56">
        <v>0</v>
      </c>
      <c r="I764" s="56">
        <v>0</v>
      </c>
      <c r="J764" s="56">
        <v>100000</v>
      </c>
      <c r="K764" s="56">
        <v>1000000</v>
      </c>
      <c r="L764" t="s">
        <v>612</v>
      </c>
      <c r="M764" s="71">
        <v>46081</v>
      </c>
      <c r="N764" t="s">
        <v>576</v>
      </c>
    </row>
    <row r="765" spans="2:14" hidden="1" x14ac:dyDescent="0.2">
      <c r="C765" t="s">
        <v>546</v>
      </c>
      <c r="D765" t="str">
        <f>VLOOKUP(C765,'Master Anggota'!$E$2:$J$678,2,0)</f>
        <v>Aktif</v>
      </c>
      <c r="G765" t="str">
        <f>VLOOKUP(C765,'Master Anggota'!$E$2:$J$678,5,0)</f>
        <v>PHL Distribusi</v>
      </c>
      <c r="H765" s="56">
        <v>0</v>
      </c>
      <c r="I765" s="56">
        <v>0</v>
      </c>
      <c r="J765" s="56">
        <v>100000</v>
      </c>
      <c r="K765" s="56">
        <v>150000</v>
      </c>
      <c r="L765" t="s">
        <v>612</v>
      </c>
      <c r="M765" s="71">
        <v>46081</v>
      </c>
      <c r="N765" t="s">
        <v>576</v>
      </c>
    </row>
    <row r="766" spans="2:14" hidden="1" x14ac:dyDescent="0.2">
      <c r="C766" t="s">
        <v>550</v>
      </c>
      <c r="D766" t="str">
        <f>VLOOKUP(C766,'Master Anggota'!$E$2:$J$678,2,0)</f>
        <v>Aktif</v>
      </c>
      <c r="G766" t="str">
        <f>VLOOKUP(C766,'Master Anggota'!$E$2:$J$678,5,0)</f>
        <v>PHL Distribusi</v>
      </c>
      <c r="H766" s="56">
        <v>0</v>
      </c>
      <c r="I766" s="56">
        <v>0</v>
      </c>
      <c r="J766" s="56">
        <v>100000</v>
      </c>
      <c r="K766" s="56">
        <v>100000</v>
      </c>
      <c r="L766" t="s">
        <v>612</v>
      </c>
      <c r="M766" s="71">
        <v>46081</v>
      </c>
      <c r="N766" t="s">
        <v>576</v>
      </c>
    </row>
    <row r="767" spans="2:14" hidden="1" x14ac:dyDescent="0.2">
      <c r="C767" t="s">
        <v>549</v>
      </c>
      <c r="D767" t="str">
        <f>VLOOKUP(C767,'Master Anggota'!$E$2:$J$678,2,0)</f>
        <v>Aktif</v>
      </c>
      <c r="G767" t="str">
        <f>VLOOKUP(C767,'Master Anggota'!$E$2:$J$678,5,0)</f>
        <v>PHL Distribusi</v>
      </c>
      <c r="H767" s="56">
        <v>0</v>
      </c>
      <c r="I767" s="56">
        <v>0</v>
      </c>
      <c r="J767" s="56">
        <v>100000</v>
      </c>
      <c r="K767" s="56">
        <v>50000</v>
      </c>
      <c r="L767" t="s">
        <v>612</v>
      </c>
      <c r="M767" s="71">
        <v>46081</v>
      </c>
      <c r="N767" t="s">
        <v>576</v>
      </c>
    </row>
    <row r="768" spans="2:14" hidden="1" x14ac:dyDescent="0.2">
      <c r="C768" t="s">
        <v>551</v>
      </c>
      <c r="D768" t="str">
        <f>VLOOKUP(C768,'Master Anggota'!$E$2:$J$678,2,0)</f>
        <v>Aktif</v>
      </c>
      <c r="G768" t="str">
        <f>VLOOKUP(C768,'Master Anggota'!$E$2:$J$678,5,0)</f>
        <v>PHL Distribusi</v>
      </c>
      <c r="H768" s="56">
        <v>0</v>
      </c>
      <c r="I768" s="56">
        <v>0</v>
      </c>
      <c r="J768" s="56">
        <v>100000</v>
      </c>
      <c r="K768" s="56">
        <v>100000</v>
      </c>
      <c r="L768" t="s">
        <v>612</v>
      </c>
      <c r="M768" s="71">
        <v>46081</v>
      </c>
      <c r="N768" t="s">
        <v>576</v>
      </c>
    </row>
    <row r="769" spans="3:14" hidden="1" x14ac:dyDescent="0.2">
      <c r="C769" t="s">
        <v>551</v>
      </c>
      <c r="D769" t="str">
        <f>VLOOKUP(C769,'Master Anggota'!$E$2:$J$678,2,0)</f>
        <v>Aktif</v>
      </c>
      <c r="G769" t="str">
        <f>VLOOKUP(C769,'Master Anggota'!$E$2:$J$678,5,0)</f>
        <v>PHL Distribusi</v>
      </c>
      <c r="H769" s="56">
        <v>0</v>
      </c>
      <c r="I769" s="56">
        <v>0</v>
      </c>
      <c r="J769" s="56">
        <v>100000</v>
      </c>
      <c r="K769" s="56">
        <v>100000</v>
      </c>
      <c r="L769" t="s">
        <v>644</v>
      </c>
      <c r="M769" s="71">
        <v>46112</v>
      </c>
      <c r="N769" t="s">
        <v>576</v>
      </c>
    </row>
    <row r="770" spans="3:14" hidden="1" x14ac:dyDescent="0.2">
      <c r="C770" t="s">
        <v>562</v>
      </c>
      <c r="D770" t="str">
        <f>VLOOKUP(C770,'Master Anggota'!$E$2:$J$678,2,0)</f>
        <v>Aktif</v>
      </c>
      <c r="G770" t="str">
        <f>VLOOKUP(C770,'Master Anggota'!$E$2:$J$678,5,0)</f>
        <v>PHL KJP</v>
      </c>
      <c r="H770" s="56">
        <v>0</v>
      </c>
      <c r="I770" s="56">
        <v>0</v>
      </c>
      <c r="J770" s="56">
        <v>100000</v>
      </c>
      <c r="K770" s="56">
        <v>150000</v>
      </c>
      <c r="L770" t="s">
        <v>644</v>
      </c>
      <c r="M770" s="71">
        <v>46112</v>
      </c>
      <c r="N770" t="s">
        <v>576</v>
      </c>
    </row>
    <row r="771" spans="3:14" hidden="1" x14ac:dyDescent="0.2">
      <c r="C771" t="s">
        <v>561</v>
      </c>
      <c r="D771" t="str">
        <f>VLOOKUP(C771,'Master Anggota'!$E$2:$J$678,2,0)</f>
        <v>Aktif</v>
      </c>
      <c r="G771" t="str">
        <f>VLOOKUP(C771,'Master Anggota'!$E$2:$J$678,5,0)</f>
        <v>PHL KJP</v>
      </c>
      <c r="H771" s="56">
        <v>0</v>
      </c>
      <c r="I771" s="56">
        <v>0</v>
      </c>
      <c r="J771" s="56">
        <v>100000</v>
      </c>
      <c r="K771" s="56">
        <v>150000</v>
      </c>
      <c r="L771" t="s">
        <v>644</v>
      </c>
      <c r="M771" s="71">
        <v>46112</v>
      </c>
      <c r="N771" t="s">
        <v>576</v>
      </c>
    </row>
    <row r="772" spans="3:14" hidden="1" x14ac:dyDescent="0.2">
      <c r="C772" t="s">
        <v>563</v>
      </c>
      <c r="D772" t="str">
        <f>VLOOKUP(C772,'Master Anggota'!$E$2:$J$678,2,0)</f>
        <v>Aktif</v>
      </c>
      <c r="G772" t="str">
        <f>VLOOKUP(C772,'Master Anggota'!$E$2:$J$678,5,0)</f>
        <v>PHL KJP</v>
      </c>
      <c r="H772" s="56">
        <v>0</v>
      </c>
      <c r="I772" s="56">
        <v>0</v>
      </c>
      <c r="J772" s="56">
        <v>100000</v>
      </c>
      <c r="K772" s="56">
        <v>150000</v>
      </c>
      <c r="L772" t="s">
        <v>644</v>
      </c>
      <c r="M772" s="71">
        <v>46112</v>
      </c>
      <c r="N772" t="s">
        <v>576</v>
      </c>
    </row>
    <row r="773" spans="3:14" hidden="1" x14ac:dyDescent="0.2">
      <c r="C773" t="s">
        <v>547</v>
      </c>
      <c r="D773" t="str">
        <f>VLOOKUP(C773,'Master Anggota'!$E$2:$J$678,2,0)</f>
        <v>Aktif</v>
      </c>
      <c r="G773" t="str">
        <f>VLOOKUP(C773,'Master Anggota'!$E$2:$J$678,5,0)</f>
        <v>PHL Distribusi</v>
      </c>
      <c r="H773" s="56">
        <v>0</v>
      </c>
      <c r="I773" s="56">
        <v>0</v>
      </c>
      <c r="J773" s="56">
        <v>100000</v>
      </c>
      <c r="K773" s="56">
        <v>100000</v>
      </c>
      <c r="L773" t="s">
        <v>644</v>
      </c>
      <c r="M773" s="71">
        <v>46112</v>
      </c>
      <c r="N773" t="s">
        <v>576</v>
      </c>
    </row>
    <row r="774" spans="3:14" hidden="1" x14ac:dyDescent="0.2">
      <c r="C774" t="s">
        <v>548</v>
      </c>
      <c r="D774" t="str">
        <f>VLOOKUP(C774,'Master Anggota'!$E$2:$J$678,2,0)</f>
        <v>Aktif</v>
      </c>
      <c r="G774" t="str">
        <f>VLOOKUP(C774,'Master Anggota'!$E$2:$J$678,5,0)</f>
        <v>PHL Distribusi</v>
      </c>
      <c r="H774" s="56">
        <v>0</v>
      </c>
      <c r="I774" s="56">
        <v>0</v>
      </c>
      <c r="J774" s="56">
        <v>100000</v>
      </c>
      <c r="K774" s="56">
        <v>1000000</v>
      </c>
      <c r="L774" t="s">
        <v>644</v>
      </c>
      <c r="M774" s="71">
        <v>46112</v>
      </c>
      <c r="N774" t="s">
        <v>576</v>
      </c>
    </row>
    <row r="775" spans="3:14" hidden="1" x14ac:dyDescent="0.2">
      <c r="C775" t="s">
        <v>546</v>
      </c>
      <c r="D775" t="str">
        <f>VLOOKUP(C775,'Master Anggota'!$E$2:$J$678,2,0)</f>
        <v>Aktif</v>
      </c>
      <c r="G775" t="str">
        <f>VLOOKUP(C775,'Master Anggota'!$E$2:$J$678,5,0)</f>
        <v>PHL Distribusi</v>
      </c>
      <c r="H775" s="56">
        <v>0</v>
      </c>
      <c r="I775" s="56">
        <v>0</v>
      </c>
      <c r="J775" s="56">
        <v>100000</v>
      </c>
      <c r="K775" s="56">
        <v>150000</v>
      </c>
      <c r="L775" t="s">
        <v>644</v>
      </c>
      <c r="M775" s="71">
        <v>46112</v>
      </c>
      <c r="N775" t="s">
        <v>576</v>
      </c>
    </row>
    <row r="776" spans="3:14" hidden="1" x14ac:dyDescent="0.2">
      <c r="C776" t="s">
        <v>550</v>
      </c>
      <c r="D776" t="str">
        <f>VLOOKUP(C776,'Master Anggota'!$E$2:$J$678,2,0)</f>
        <v>Aktif</v>
      </c>
      <c r="G776" t="str">
        <f>VLOOKUP(C776,'Master Anggota'!$E$2:$J$678,5,0)</f>
        <v>PHL Distribusi</v>
      </c>
      <c r="H776" s="56">
        <v>0</v>
      </c>
      <c r="I776" s="56">
        <v>0</v>
      </c>
      <c r="J776" s="56">
        <v>100000</v>
      </c>
      <c r="K776" s="56">
        <v>100000</v>
      </c>
      <c r="L776" t="s">
        <v>644</v>
      </c>
      <c r="M776" s="71">
        <v>46112</v>
      </c>
      <c r="N776" t="s">
        <v>576</v>
      </c>
    </row>
    <row r="777" spans="3:14" hidden="1" x14ac:dyDescent="0.2">
      <c r="C777" t="s">
        <v>549</v>
      </c>
      <c r="D777" t="str">
        <f>VLOOKUP(C777,'Master Anggota'!$E$2:$J$678,2,0)</f>
        <v>Aktif</v>
      </c>
      <c r="G777" t="str">
        <f>VLOOKUP(C777,'Master Anggota'!$E$2:$J$678,5,0)</f>
        <v>PHL Distribusi</v>
      </c>
      <c r="H777" s="56">
        <v>0</v>
      </c>
      <c r="I777" s="56">
        <v>0</v>
      </c>
      <c r="J777" s="56">
        <v>100000</v>
      </c>
      <c r="K777" s="56">
        <v>50000</v>
      </c>
      <c r="L777" t="s">
        <v>644</v>
      </c>
      <c r="M777" s="71">
        <v>46112</v>
      </c>
      <c r="N777" t="s">
        <v>576</v>
      </c>
    </row>
    <row r="778" spans="3:14" hidden="1" x14ac:dyDescent="0.2">
      <c r="C778" t="s">
        <v>183</v>
      </c>
      <c r="D778" t="str">
        <f>VLOOKUP(C778,'Master Anggota'!$E$2:$J$678,2,0)</f>
        <v>Aktif</v>
      </c>
      <c r="G778" t="str">
        <f>VLOOKUP(C778,'Master Anggota'!$E$2:$J$678,5,0)</f>
        <v>00567</v>
      </c>
      <c r="H778" s="82">
        <v>0</v>
      </c>
      <c r="I778" s="82">
        <v>0</v>
      </c>
      <c r="J778" s="82">
        <v>0</v>
      </c>
      <c r="K778" s="82">
        <v>-1500000</v>
      </c>
      <c r="L778" t="s">
        <v>644</v>
      </c>
      <c r="M778" s="71">
        <v>46112</v>
      </c>
      <c r="N778" t="s">
        <v>611</v>
      </c>
    </row>
    <row r="779" spans="3:14" hidden="1" x14ac:dyDescent="0.2">
      <c r="C779" t="s">
        <v>183</v>
      </c>
      <c r="D779" t="str">
        <f>VLOOKUP(C779,'Master Anggota'!$E$2:$J$678,2,0)</f>
        <v>Aktif</v>
      </c>
      <c r="G779" t="str">
        <f>VLOOKUP(C779,'Master Anggota'!$E$2:$J$678,5,0)</f>
        <v>00567</v>
      </c>
      <c r="H779" s="56">
        <v>0</v>
      </c>
      <c r="I779" s="56">
        <v>0</v>
      </c>
      <c r="J779" s="56">
        <v>0</v>
      </c>
      <c r="K779" s="56">
        <v>-2300000</v>
      </c>
      <c r="L779" t="s">
        <v>584</v>
      </c>
      <c r="M779" s="71">
        <v>46013</v>
      </c>
      <c r="N779" t="s">
        <v>611</v>
      </c>
    </row>
    <row r="780" spans="3:14" hidden="1" x14ac:dyDescent="0.2">
      <c r="C780" t="s">
        <v>318</v>
      </c>
      <c r="D780" t="str">
        <f>VLOOKUP(C780,'Master Anggota'!$E$2:$J$678,2,0)</f>
        <v>Aktif</v>
      </c>
      <c r="G780" t="str">
        <f>VLOOKUP(C780,'Master Anggota'!$E$2:$J$678,5,0)</f>
        <v>01651</v>
      </c>
      <c r="H780" s="82">
        <v>0</v>
      </c>
      <c r="I780" s="82">
        <v>0</v>
      </c>
      <c r="J780" s="82">
        <v>0</v>
      </c>
      <c r="K780" s="82">
        <v>-500000</v>
      </c>
      <c r="L780" t="s">
        <v>659</v>
      </c>
      <c r="M780" s="71">
        <v>46126</v>
      </c>
      <c r="N780" t="s">
        <v>611</v>
      </c>
    </row>
    <row r="781" spans="3:14" x14ac:dyDescent="0.2">
      <c r="C781" t="s">
        <v>214</v>
      </c>
      <c r="D781" t="str">
        <f>VLOOKUP(C781,'Master Anggota'!$E$2:$J$678,2,0)</f>
        <v>Aktif</v>
      </c>
      <c r="G781" t="str">
        <f>VLOOKUP(C781,'Master Anggota'!$E$2:$J$678,5,0)</f>
        <v>00529</v>
      </c>
      <c r="H781" s="82">
        <v>0</v>
      </c>
      <c r="I781" s="82">
        <v>0</v>
      </c>
      <c r="J781" s="82">
        <v>0</v>
      </c>
      <c r="K781" s="82">
        <v>-1000000</v>
      </c>
      <c r="L781" t="s">
        <v>659</v>
      </c>
      <c r="M781" s="71">
        <v>46129</v>
      </c>
      <c r="N781" t="s">
        <v>611</v>
      </c>
    </row>
    <row r="782" spans="3:14" hidden="1" x14ac:dyDescent="0.2">
      <c r="C782" t="s">
        <v>178</v>
      </c>
      <c r="D782" t="str">
        <f>VLOOKUP(C782,'Master Anggota'!$E$2:$J$678,2,0)</f>
        <v>Aktif</v>
      </c>
      <c r="G782" t="str">
        <f>VLOOKUP(C782,'Master Anggota'!$E$2:$J$678,5,0)</f>
        <v>00566</v>
      </c>
      <c r="H782" s="82">
        <v>0</v>
      </c>
      <c r="I782" s="82">
        <v>0</v>
      </c>
      <c r="J782" s="82">
        <v>0</v>
      </c>
      <c r="K782" s="82">
        <v>-4000000</v>
      </c>
      <c r="L782" t="s">
        <v>659</v>
      </c>
      <c r="M782" s="71">
        <v>46129</v>
      </c>
      <c r="N782" t="s">
        <v>611</v>
      </c>
    </row>
    <row r="783" spans="3:14" hidden="1" x14ac:dyDescent="0.2">
      <c r="C783" t="s">
        <v>294</v>
      </c>
      <c r="D783" t="str">
        <f>VLOOKUP(C783,'Master Anggota'!$E$2:$J$678,2,0)</f>
        <v>Purna Bakti 2026</v>
      </c>
      <c r="G783" t="str">
        <f>VLOOKUP(C783,'Master Anggota'!$E$2:$J$678,5,0)</f>
        <v>PHL</v>
      </c>
      <c r="H783" s="56">
        <v>0</v>
      </c>
      <c r="I783" s="56">
        <v>-5729499</v>
      </c>
      <c r="J783" s="56">
        <v>-11785283</v>
      </c>
      <c r="K783" s="56">
        <v>-3900000</v>
      </c>
      <c r="L783" t="s">
        <v>644</v>
      </c>
      <c r="M783" s="71">
        <v>46118</v>
      </c>
      <c r="N783" t="s">
        <v>613</v>
      </c>
    </row>
    <row r="784" spans="3:14" hidden="1" x14ac:dyDescent="0.2">
      <c r="C784" t="s">
        <v>501</v>
      </c>
      <c r="D784" t="str">
        <f>VLOOKUP(C784,'Master Anggota'!$E$2:$J$678,2,0)</f>
        <v>Purna Bakti 2026</v>
      </c>
      <c r="G784" t="str">
        <f>VLOOKUP(C784,'Master Anggota'!$E$2:$J$678,5,0)</f>
        <v>01777</v>
      </c>
      <c r="H784" s="56">
        <v>0</v>
      </c>
      <c r="I784" s="56">
        <v>0</v>
      </c>
      <c r="J784" s="109">
        <v>-200000</v>
      </c>
      <c r="K784" s="109">
        <v>-400000</v>
      </c>
      <c r="L784" t="s">
        <v>644</v>
      </c>
      <c r="M784" s="71">
        <v>46106</v>
      </c>
      <c r="N784" t="s">
        <v>613</v>
      </c>
    </row>
    <row r="785" spans="3:14" hidden="1" x14ac:dyDescent="0.2">
      <c r="C785" t="s">
        <v>316</v>
      </c>
      <c r="D785" t="str">
        <f>VLOOKUP(C785,'Master Anggota'!$E$2:$J$678,2,0)</f>
        <v>Aktif</v>
      </c>
      <c r="G785" t="str">
        <f>VLOOKUP(C785,'Master Anggota'!$E$2:$J$678,5,0)</f>
        <v>01544</v>
      </c>
      <c r="H785" s="56">
        <v>0</v>
      </c>
      <c r="I785" s="56">
        <v>0</v>
      </c>
      <c r="J785" s="56">
        <v>0</v>
      </c>
      <c r="K785" s="56">
        <v>-300000</v>
      </c>
      <c r="L785" t="s">
        <v>644</v>
      </c>
      <c r="M785" s="71">
        <v>46108</v>
      </c>
      <c r="N785" t="s">
        <v>576</v>
      </c>
    </row>
    <row r="786" spans="3:14" hidden="1" x14ac:dyDescent="0.2">
      <c r="C786" t="s">
        <v>486</v>
      </c>
      <c r="D786" t="str">
        <f>VLOOKUP(C786,'Master Anggota'!$E$2:$J$678,2,0)</f>
        <v>Aktif</v>
      </c>
      <c r="G786" t="str">
        <f>VLOOKUP(C786,'Master Anggota'!$E$2:$J$678,5,0)</f>
        <v>00281</v>
      </c>
      <c r="H786" s="56">
        <v>0</v>
      </c>
      <c r="I786" s="56">
        <v>0</v>
      </c>
      <c r="J786" s="56">
        <v>100000</v>
      </c>
      <c r="K786" s="56">
        <v>400000</v>
      </c>
      <c r="L786" t="s">
        <v>659</v>
      </c>
      <c r="M786" s="71">
        <v>46136</v>
      </c>
      <c r="N786" t="s">
        <v>576</v>
      </c>
    </row>
    <row r="787" spans="3:14" hidden="1" x14ac:dyDescent="0.2">
      <c r="C787" t="s">
        <v>135</v>
      </c>
      <c r="D787" t="str">
        <f>VLOOKUP(C787,'Master Anggota'!$E$2:$J$678,2,0)</f>
        <v>Aktif</v>
      </c>
      <c r="G787" t="str">
        <f>VLOOKUP(C787,'Master Anggota'!$E$2:$J$678,5,0)</f>
        <v>00293</v>
      </c>
      <c r="H787" s="56">
        <v>0</v>
      </c>
      <c r="I787" s="56">
        <v>0</v>
      </c>
      <c r="J787" s="56">
        <v>100000</v>
      </c>
      <c r="K787" s="56">
        <v>100000</v>
      </c>
      <c r="L787" t="s">
        <v>659</v>
      </c>
      <c r="M787" s="71">
        <v>46136</v>
      </c>
      <c r="N787" t="s">
        <v>576</v>
      </c>
    </row>
    <row r="788" spans="3:14" hidden="1" x14ac:dyDescent="0.2">
      <c r="C788" t="s">
        <v>248</v>
      </c>
      <c r="D788" t="str">
        <f>VLOOKUP(C788,'Master Anggota'!$E$2:$J$678,2,0)</f>
        <v>Aktif</v>
      </c>
      <c r="G788" t="str">
        <f>VLOOKUP(C788,'Master Anggota'!$E$2:$J$678,5,0)</f>
        <v>00302</v>
      </c>
      <c r="H788" s="56">
        <v>0</v>
      </c>
      <c r="I788" s="56">
        <v>0</v>
      </c>
      <c r="J788" s="56">
        <v>100000</v>
      </c>
      <c r="K788" s="56">
        <v>10000</v>
      </c>
      <c r="L788" t="s">
        <v>659</v>
      </c>
      <c r="M788" s="71">
        <v>46136</v>
      </c>
      <c r="N788" t="s">
        <v>576</v>
      </c>
    </row>
    <row r="789" spans="3:14" hidden="1" x14ac:dyDescent="0.2">
      <c r="C789" t="s">
        <v>335</v>
      </c>
      <c r="D789" t="str">
        <f>VLOOKUP(C789,'Master Anggota'!$E$2:$J$678,2,0)</f>
        <v>Aktif</v>
      </c>
      <c r="G789" t="str">
        <f>VLOOKUP(C789,'Master Anggota'!$E$2:$J$678,5,0)</f>
        <v>00311</v>
      </c>
      <c r="H789" s="56">
        <v>0</v>
      </c>
      <c r="I789" s="56">
        <v>0</v>
      </c>
      <c r="J789" s="56">
        <v>150000</v>
      </c>
      <c r="K789" s="56">
        <v>25000</v>
      </c>
      <c r="L789" t="s">
        <v>659</v>
      </c>
      <c r="M789" s="71">
        <v>46136</v>
      </c>
      <c r="N789" t="s">
        <v>576</v>
      </c>
    </row>
    <row r="790" spans="3:14" hidden="1" x14ac:dyDescent="0.2">
      <c r="C790" t="s">
        <v>113</v>
      </c>
      <c r="D790" t="str">
        <f>VLOOKUP(C790,'Master Anggota'!$E$2:$J$678,2,0)</f>
        <v>Aktif</v>
      </c>
      <c r="G790" t="str">
        <f>VLOOKUP(C790,'Master Anggota'!$E$2:$J$678,5,0)</f>
        <v>00317</v>
      </c>
      <c r="H790" s="56">
        <v>0</v>
      </c>
      <c r="I790" s="56">
        <v>0</v>
      </c>
      <c r="J790" s="56">
        <v>100000</v>
      </c>
      <c r="K790" s="56">
        <v>15000</v>
      </c>
      <c r="L790" t="s">
        <v>659</v>
      </c>
      <c r="M790" s="71">
        <v>46136</v>
      </c>
      <c r="N790" t="s">
        <v>576</v>
      </c>
    </row>
    <row r="791" spans="3:14" hidden="1" x14ac:dyDescent="0.2">
      <c r="C791" t="s">
        <v>83</v>
      </c>
      <c r="D791" t="str">
        <f>VLOOKUP(C791,'Master Anggota'!$E$2:$J$678,2,0)</f>
        <v>Aktif</v>
      </c>
      <c r="G791" t="str">
        <f>VLOOKUP(C791,'Master Anggota'!$E$2:$J$678,5,0)</f>
        <v>00322</v>
      </c>
      <c r="H791" s="56">
        <v>0</v>
      </c>
      <c r="I791" s="56">
        <v>0</v>
      </c>
      <c r="J791" s="56">
        <v>100000</v>
      </c>
      <c r="K791" s="56">
        <v>100000</v>
      </c>
      <c r="L791" t="s">
        <v>659</v>
      </c>
      <c r="M791" s="71">
        <v>46136</v>
      </c>
      <c r="N791" t="s">
        <v>576</v>
      </c>
    </row>
    <row r="792" spans="3:14" hidden="1" x14ac:dyDescent="0.2">
      <c r="C792" t="s">
        <v>48</v>
      </c>
      <c r="D792" t="str">
        <f>VLOOKUP(C792,'Master Anggota'!$E$2:$J$678,2,0)</f>
        <v>Aktif</v>
      </c>
      <c r="G792" t="str">
        <f>VLOOKUP(C792,'Master Anggota'!$E$2:$J$678,5,0)</f>
        <v>00325</v>
      </c>
      <c r="H792" s="56">
        <v>0</v>
      </c>
      <c r="I792" s="56">
        <v>0</v>
      </c>
      <c r="J792" s="56">
        <v>100000</v>
      </c>
      <c r="K792" s="56">
        <v>75000</v>
      </c>
      <c r="L792" t="s">
        <v>659</v>
      </c>
      <c r="M792" s="71">
        <v>46136</v>
      </c>
      <c r="N792" t="s">
        <v>576</v>
      </c>
    </row>
    <row r="793" spans="3:14" hidden="1" x14ac:dyDescent="0.2">
      <c r="C793" t="s">
        <v>198</v>
      </c>
      <c r="D793" t="str">
        <f>VLOOKUP(C793,'Master Anggota'!$E$2:$J$678,2,0)</f>
        <v>Aktif</v>
      </c>
      <c r="G793" t="str">
        <f>VLOOKUP(C793,'Master Anggota'!$E$2:$J$678,5,0)</f>
        <v>00327</v>
      </c>
      <c r="H793" s="56">
        <v>0</v>
      </c>
      <c r="I793" s="56">
        <v>0</v>
      </c>
      <c r="J793" s="56">
        <v>100000</v>
      </c>
      <c r="K793" s="56">
        <v>200000</v>
      </c>
      <c r="L793" t="s">
        <v>659</v>
      </c>
      <c r="M793" s="71">
        <v>46136</v>
      </c>
      <c r="N793" t="s">
        <v>576</v>
      </c>
    </row>
    <row r="794" spans="3:14" hidden="1" x14ac:dyDescent="0.2">
      <c r="C794" t="s">
        <v>208</v>
      </c>
      <c r="D794" t="str">
        <f>VLOOKUP(C794,'Master Anggota'!$E$2:$J$678,2,0)</f>
        <v>Aktif</v>
      </c>
      <c r="G794" t="str">
        <f>VLOOKUP(C794,'Master Anggota'!$E$2:$J$678,5,0)</f>
        <v>00328</v>
      </c>
      <c r="H794" s="56">
        <v>0</v>
      </c>
      <c r="I794" s="56">
        <v>0</v>
      </c>
      <c r="J794" s="56">
        <v>100000</v>
      </c>
      <c r="K794" s="56">
        <v>250000</v>
      </c>
      <c r="L794" t="s">
        <v>659</v>
      </c>
      <c r="M794" s="71">
        <v>46136</v>
      </c>
      <c r="N794" t="s">
        <v>576</v>
      </c>
    </row>
    <row r="795" spans="3:14" hidden="1" x14ac:dyDescent="0.2">
      <c r="C795" t="s">
        <v>348</v>
      </c>
      <c r="D795" t="str">
        <f>VLOOKUP(C795,'Master Anggota'!$E$2:$J$678,2,0)</f>
        <v>Aktif</v>
      </c>
      <c r="G795" t="str">
        <f>VLOOKUP(C795,'Master Anggota'!$E$2:$J$678,5,0)</f>
        <v>00334</v>
      </c>
      <c r="H795" s="56">
        <v>0</v>
      </c>
      <c r="I795" s="56">
        <v>0</v>
      </c>
      <c r="J795" s="56">
        <v>100000</v>
      </c>
      <c r="K795" s="56">
        <v>10000</v>
      </c>
      <c r="L795" t="s">
        <v>659</v>
      </c>
      <c r="M795" s="71">
        <v>46136</v>
      </c>
      <c r="N795" t="s">
        <v>576</v>
      </c>
    </row>
    <row r="796" spans="3:14" hidden="1" x14ac:dyDescent="0.2">
      <c r="C796" t="s">
        <v>250</v>
      </c>
      <c r="D796" t="str">
        <f>VLOOKUP(C796,'Master Anggota'!$E$2:$J$678,2,0)</f>
        <v>Aktif</v>
      </c>
      <c r="G796" t="str">
        <f>VLOOKUP(C796,'Master Anggota'!$E$2:$J$678,5,0)</f>
        <v>00337</v>
      </c>
      <c r="H796" s="56">
        <v>0</v>
      </c>
      <c r="I796" s="56">
        <v>0</v>
      </c>
      <c r="J796" s="56">
        <v>100000</v>
      </c>
      <c r="K796" s="56">
        <v>50000</v>
      </c>
      <c r="L796" t="s">
        <v>659</v>
      </c>
      <c r="M796" s="71">
        <v>46136</v>
      </c>
      <c r="N796" t="s">
        <v>576</v>
      </c>
    </row>
    <row r="797" spans="3:14" hidden="1" x14ac:dyDescent="0.2">
      <c r="C797" t="s">
        <v>341</v>
      </c>
      <c r="D797" t="str">
        <f>VLOOKUP(C797,'Master Anggota'!$E$2:$J$678,2,0)</f>
        <v>Aktif</v>
      </c>
      <c r="G797" t="str">
        <f>VLOOKUP(C797,'Master Anggota'!$E$2:$J$678,5,0)</f>
        <v>00339</v>
      </c>
      <c r="H797" s="56">
        <v>0</v>
      </c>
      <c r="I797" s="56">
        <v>0</v>
      </c>
      <c r="J797" s="56">
        <v>100000</v>
      </c>
      <c r="K797" s="56">
        <v>50000</v>
      </c>
      <c r="L797" t="s">
        <v>659</v>
      </c>
      <c r="M797" s="71">
        <v>46136</v>
      </c>
      <c r="N797" t="s">
        <v>576</v>
      </c>
    </row>
    <row r="798" spans="3:14" hidden="1" x14ac:dyDescent="0.2">
      <c r="C798" t="s">
        <v>39</v>
      </c>
      <c r="D798" t="str">
        <f>VLOOKUP(C798,'Master Anggota'!$E$2:$J$678,2,0)</f>
        <v>Aktif</v>
      </c>
      <c r="G798" t="str">
        <f>VLOOKUP(C798,'Master Anggota'!$E$2:$J$678,5,0)</f>
        <v>00340</v>
      </c>
      <c r="H798" s="56">
        <v>0</v>
      </c>
      <c r="I798" s="56">
        <v>0</v>
      </c>
      <c r="J798" s="56">
        <v>100000</v>
      </c>
      <c r="K798" s="56">
        <v>1775000</v>
      </c>
      <c r="L798" t="s">
        <v>659</v>
      </c>
      <c r="M798" s="71">
        <v>46136</v>
      </c>
      <c r="N798" t="s">
        <v>576</v>
      </c>
    </row>
    <row r="799" spans="3:14" hidden="1" x14ac:dyDescent="0.2">
      <c r="C799" t="s">
        <v>129</v>
      </c>
      <c r="D799" t="str">
        <f>VLOOKUP(C799,'Master Anggota'!$E$2:$J$678,2,0)</f>
        <v>Aktif</v>
      </c>
      <c r="G799" t="str">
        <f>VLOOKUP(C799,'Master Anggota'!$E$2:$J$678,5,0)</f>
        <v>00343</v>
      </c>
      <c r="H799" s="56">
        <v>0</v>
      </c>
      <c r="I799" s="56">
        <v>0</v>
      </c>
      <c r="J799" s="56">
        <v>100000</v>
      </c>
      <c r="K799" s="56">
        <v>150000</v>
      </c>
      <c r="L799" t="s">
        <v>659</v>
      </c>
      <c r="M799" s="71">
        <v>46136</v>
      </c>
      <c r="N799" t="s">
        <v>576</v>
      </c>
    </row>
    <row r="800" spans="3:14" hidden="1" x14ac:dyDescent="0.2">
      <c r="C800" t="s">
        <v>480</v>
      </c>
      <c r="D800" t="str">
        <f>VLOOKUP(C800,'Master Anggota'!$E$2:$J$678,2,0)</f>
        <v>Aktif</v>
      </c>
      <c r="G800" t="str">
        <f>VLOOKUP(C800,'Master Anggota'!$E$2:$J$678,5,0)</f>
        <v>00351</v>
      </c>
      <c r="H800" s="56">
        <v>0</v>
      </c>
      <c r="I800" s="56">
        <v>0</v>
      </c>
      <c r="J800" s="56">
        <v>100000</v>
      </c>
      <c r="K800" s="56">
        <v>100000</v>
      </c>
      <c r="L800" t="s">
        <v>659</v>
      </c>
      <c r="M800" s="71">
        <v>46136</v>
      </c>
      <c r="N800" t="s">
        <v>576</v>
      </c>
    </row>
    <row r="801" spans="3:14" hidden="1" x14ac:dyDescent="0.2">
      <c r="C801" t="s">
        <v>151</v>
      </c>
      <c r="D801" t="str">
        <f>VLOOKUP(C801,'Master Anggota'!$E$2:$J$678,2,0)</f>
        <v>Aktif</v>
      </c>
      <c r="G801" t="str">
        <f>VLOOKUP(C801,'Master Anggota'!$E$2:$J$678,5,0)</f>
        <v>00362</v>
      </c>
      <c r="H801" s="56">
        <v>0</v>
      </c>
      <c r="I801" s="56">
        <v>0</v>
      </c>
      <c r="J801" s="56">
        <v>100000</v>
      </c>
      <c r="K801" s="56">
        <v>250000</v>
      </c>
      <c r="L801" t="s">
        <v>659</v>
      </c>
      <c r="M801" s="71">
        <v>46136</v>
      </c>
      <c r="N801" t="s">
        <v>576</v>
      </c>
    </row>
    <row r="802" spans="3:14" hidden="1" x14ac:dyDescent="0.2">
      <c r="C802" t="s">
        <v>90</v>
      </c>
      <c r="D802" t="str">
        <f>VLOOKUP(C802,'Master Anggota'!$E$2:$J$678,2,0)</f>
        <v>Aktif</v>
      </c>
      <c r="G802" t="str">
        <f>VLOOKUP(C802,'Master Anggota'!$E$2:$J$678,5,0)</f>
        <v>00363</v>
      </c>
      <c r="H802" s="56">
        <v>0</v>
      </c>
      <c r="I802" s="56">
        <v>0</v>
      </c>
      <c r="J802" s="56">
        <v>150000</v>
      </c>
      <c r="K802" s="56">
        <v>10000</v>
      </c>
      <c r="L802" t="s">
        <v>659</v>
      </c>
      <c r="M802" s="71">
        <v>46136</v>
      </c>
      <c r="N802" t="s">
        <v>576</v>
      </c>
    </row>
    <row r="803" spans="3:14" hidden="1" x14ac:dyDescent="0.2">
      <c r="C803" t="s">
        <v>483</v>
      </c>
      <c r="D803" t="str">
        <f>VLOOKUP(C803,'Master Anggota'!$E$2:$J$678,2,0)</f>
        <v>Aktif</v>
      </c>
      <c r="G803" t="str">
        <f>VLOOKUP(C803,'Master Anggota'!$E$2:$J$678,5,0)</f>
        <v>00368</v>
      </c>
      <c r="H803" s="56">
        <v>0</v>
      </c>
      <c r="I803" s="56">
        <v>0</v>
      </c>
      <c r="J803" s="56">
        <v>100000</v>
      </c>
      <c r="K803" s="56">
        <v>100000</v>
      </c>
      <c r="L803" t="s">
        <v>659</v>
      </c>
      <c r="M803" s="71">
        <v>46136</v>
      </c>
      <c r="N803" t="s">
        <v>576</v>
      </c>
    </row>
    <row r="804" spans="3:14" hidden="1" x14ac:dyDescent="0.2">
      <c r="C804" t="s">
        <v>328</v>
      </c>
      <c r="D804" t="str">
        <f>VLOOKUP(C804,'Master Anggota'!$E$2:$J$678,2,0)</f>
        <v>Aktif</v>
      </c>
      <c r="G804" t="str">
        <f>VLOOKUP(C804,'Master Anggota'!$E$2:$J$678,5,0)</f>
        <v>00369</v>
      </c>
      <c r="H804" s="56">
        <v>0</v>
      </c>
      <c r="I804" s="56">
        <v>0</v>
      </c>
      <c r="J804" s="56">
        <v>150000</v>
      </c>
      <c r="K804" s="56">
        <v>50000</v>
      </c>
      <c r="L804" t="s">
        <v>659</v>
      </c>
      <c r="M804" s="71">
        <v>46136</v>
      </c>
      <c r="N804" t="s">
        <v>576</v>
      </c>
    </row>
    <row r="805" spans="3:14" hidden="1" x14ac:dyDescent="0.2">
      <c r="C805" t="s">
        <v>352</v>
      </c>
      <c r="D805" t="str">
        <f>VLOOKUP(C805,'Master Anggota'!$E$2:$J$678,2,0)</f>
        <v>Aktif</v>
      </c>
      <c r="G805" t="str">
        <f>VLOOKUP(C805,'Master Anggota'!$E$2:$J$678,5,0)</f>
        <v>00370</v>
      </c>
      <c r="H805" s="56">
        <v>0</v>
      </c>
      <c r="I805" s="56">
        <v>0</v>
      </c>
      <c r="J805" s="56">
        <v>100000</v>
      </c>
      <c r="K805" s="56">
        <v>10000</v>
      </c>
      <c r="L805" t="s">
        <v>659</v>
      </c>
      <c r="M805" s="71">
        <v>46136</v>
      </c>
      <c r="N805" t="s">
        <v>576</v>
      </c>
    </row>
    <row r="806" spans="3:14" hidden="1" x14ac:dyDescent="0.2">
      <c r="C806" t="s">
        <v>481</v>
      </c>
      <c r="D806" t="str">
        <f>VLOOKUP(C806,'Master Anggota'!$E$2:$J$678,2,0)</f>
        <v>Aktif</v>
      </c>
      <c r="G806" t="str">
        <f>VLOOKUP(C806,'Master Anggota'!$E$2:$J$678,5,0)</f>
        <v>00371</v>
      </c>
      <c r="H806" s="56">
        <v>0</v>
      </c>
      <c r="I806" s="56">
        <v>0</v>
      </c>
      <c r="J806" s="56">
        <v>100000</v>
      </c>
      <c r="K806" s="56">
        <v>50000</v>
      </c>
      <c r="L806" t="s">
        <v>659</v>
      </c>
      <c r="M806" s="71">
        <v>46136</v>
      </c>
      <c r="N806" t="s">
        <v>576</v>
      </c>
    </row>
    <row r="807" spans="3:14" hidden="1" x14ac:dyDescent="0.2">
      <c r="C807" t="s">
        <v>345</v>
      </c>
      <c r="D807" t="str">
        <f>VLOOKUP(C807,'Master Anggota'!$E$2:$J$678,2,0)</f>
        <v>Aktif</v>
      </c>
      <c r="G807" t="str">
        <f>VLOOKUP(C807,'Master Anggota'!$E$2:$J$678,5,0)</f>
        <v>00372</v>
      </c>
      <c r="H807" s="56">
        <v>0</v>
      </c>
      <c r="I807" s="56">
        <v>0</v>
      </c>
      <c r="J807" s="56">
        <v>100000</v>
      </c>
      <c r="K807" s="56">
        <v>12500</v>
      </c>
      <c r="L807" t="s">
        <v>659</v>
      </c>
      <c r="M807" s="71">
        <v>46136</v>
      </c>
      <c r="N807" t="s">
        <v>576</v>
      </c>
    </row>
    <row r="808" spans="3:14" hidden="1" x14ac:dyDescent="0.2">
      <c r="C808" t="s">
        <v>521</v>
      </c>
      <c r="D808" t="str">
        <f>VLOOKUP(C808,'Master Anggota'!$E$2:$J$678,2,0)</f>
        <v>Aktif</v>
      </c>
      <c r="G808" t="str">
        <f>VLOOKUP(C808,'Master Anggota'!$E$2:$J$678,5,0)</f>
        <v>00376</v>
      </c>
      <c r="H808" s="56">
        <v>0</v>
      </c>
      <c r="I808" s="56">
        <v>0</v>
      </c>
      <c r="J808" s="56">
        <v>100000</v>
      </c>
      <c r="K808" s="56">
        <v>110000</v>
      </c>
      <c r="L808" t="s">
        <v>659</v>
      </c>
      <c r="M808" s="71">
        <v>46136</v>
      </c>
      <c r="N808" t="s">
        <v>576</v>
      </c>
    </row>
    <row r="809" spans="3:14" hidden="1" x14ac:dyDescent="0.2">
      <c r="C809" t="s">
        <v>94</v>
      </c>
      <c r="D809" t="str">
        <f>VLOOKUP(C809,'Master Anggota'!$E$2:$J$678,2,0)</f>
        <v>Aktif</v>
      </c>
      <c r="G809" t="str">
        <f>VLOOKUP(C809,'Master Anggota'!$E$2:$J$678,5,0)</f>
        <v>00387</v>
      </c>
      <c r="H809" s="56">
        <v>0</v>
      </c>
      <c r="I809" s="56">
        <v>0</v>
      </c>
      <c r="J809" s="56">
        <v>100000</v>
      </c>
      <c r="K809" s="56">
        <v>10000</v>
      </c>
      <c r="L809" t="s">
        <v>659</v>
      </c>
      <c r="M809" s="71">
        <v>46136</v>
      </c>
      <c r="N809" t="s">
        <v>576</v>
      </c>
    </row>
    <row r="810" spans="3:14" hidden="1" x14ac:dyDescent="0.2">
      <c r="C810" t="s">
        <v>258</v>
      </c>
      <c r="D810" t="str">
        <f>VLOOKUP(C810,'Master Anggota'!$E$2:$J$678,2,0)</f>
        <v>Aktif</v>
      </c>
      <c r="G810" t="str">
        <f>VLOOKUP(C810,'Master Anggota'!$E$2:$J$678,5,0)</f>
        <v>00390</v>
      </c>
      <c r="H810" s="56">
        <v>0</v>
      </c>
      <c r="I810" s="56">
        <v>0</v>
      </c>
      <c r="J810" s="56">
        <v>100000</v>
      </c>
      <c r="K810" s="56">
        <v>10000</v>
      </c>
      <c r="L810" t="s">
        <v>659</v>
      </c>
      <c r="M810" s="71">
        <v>46136</v>
      </c>
      <c r="N810" t="s">
        <v>576</v>
      </c>
    </row>
    <row r="811" spans="3:14" hidden="1" x14ac:dyDescent="0.2">
      <c r="C811" t="s">
        <v>92</v>
      </c>
      <c r="D811" t="str">
        <f>VLOOKUP(C811,'Master Anggota'!$E$2:$J$678,2,0)</f>
        <v>Aktif</v>
      </c>
      <c r="G811" t="str">
        <f>VLOOKUP(C811,'Master Anggota'!$E$2:$J$678,5,0)</f>
        <v>00396</v>
      </c>
      <c r="H811" s="56">
        <v>0</v>
      </c>
      <c r="I811" s="56">
        <v>0</v>
      </c>
      <c r="J811" s="56">
        <v>150000</v>
      </c>
      <c r="K811" s="56">
        <v>200000</v>
      </c>
      <c r="L811" t="s">
        <v>659</v>
      </c>
      <c r="M811" s="71">
        <v>46136</v>
      </c>
      <c r="N811" t="s">
        <v>576</v>
      </c>
    </row>
    <row r="812" spans="3:14" hidden="1" x14ac:dyDescent="0.2">
      <c r="C812" t="s">
        <v>103</v>
      </c>
      <c r="D812" t="str">
        <f>VLOOKUP(C812,'Master Anggota'!$E$2:$J$678,2,0)</f>
        <v>Aktif</v>
      </c>
      <c r="G812" t="str">
        <f>VLOOKUP(C812,'Master Anggota'!$E$2:$J$678,5,0)</f>
        <v>00401</v>
      </c>
      <c r="H812" s="56">
        <v>0</v>
      </c>
      <c r="I812" s="56">
        <v>0</v>
      </c>
      <c r="J812" s="56">
        <v>150000</v>
      </c>
      <c r="K812" s="56">
        <v>1000000</v>
      </c>
      <c r="L812" t="s">
        <v>659</v>
      </c>
      <c r="M812" s="71">
        <v>46136</v>
      </c>
      <c r="N812" t="s">
        <v>576</v>
      </c>
    </row>
    <row r="813" spans="3:14" hidden="1" x14ac:dyDescent="0.2">
      <c r="C813" t="s">
        <v>122</v>
      </c>
      <c r="D813" t="str">
        <f>VLOOKUP(C813,'Master Anggota'!$E$2:$J$678,2,0)</f>
        <v>Aktif</v>
      </c>
      <c r="G813" t="str">
        <f>VLOOKUP(C813,'Master Anggota'!$E$2:$J$678,5,0)</f>
        <v>00485</v>
      </c>
      <c r="H813" s="56">
        <v>0</v>
      </c>
      <c r="I813" s="56">
        <v>0</v>
      </c>
      <c r="J813" s="56">
        <v>100000</v>
      </c>
      <c r="K813" s="56">
        <v>500000</v>
      </c>
      <c r="L813" t="s">
        <v>659</v>
      </c>
      <c r="M813" s="71">
        <v>46136</v>
      </c>
      <c r="N813" t="s">
        <v>576</v>
      </c>
    </row>
    <row r="814" spans="3:14" hidden="1" x14ac:dyDescent="0.2">
      <c r="C814" t="s">
        <v>65</v>
      </c>
      <c r="D814" t="str">
        <f>VLOOKUP(C814,'Master Anggota'!$E$2:$J$678,2,0)</f>
        <v>Aktif</v>
      </c>
      <c r="G814" t="str">
        <f>VLOOKUP(C814,'Master Anggota'!$E$2:$J$678,5,0)</f>
        <v>00490</v>
      </c>
      <c r="H814" s="56">
        <v>0</v>
      </c>
      <c r="I814" s="56">
        <v>0</v>
      </c>
      <c r="J814" s="56">
        <v>150000</v>
      </c>
      <c r="K814" s="56">
        <v>200000</v>
      </c>
      <c r="L814" t="s">
        <v>659</v>
      </c>
      <c r="M814" s="71">
        <v>46136</v>
      </c>
      <c r="N814" t="s">
        <v>576</v>
      </c>
    </row>
    <row r="815" spans="3:14" hidden="1" x14ac:dyDescent="0.2">
      <c r="C815" t="s">
        <v>69</v>
      </c>
      <c r="D815" t="str">
        <f>VLOOKUP(C815,'Master Anggota'!$E$2:$J$678,2,0)</f>
        <v>Aktif</v>
      </c>
      <c r="G815" t="str">
        <f>VLOOKUP(C815,'Master Anggota'!$E$2:$J$678,5,0)</f>
        <v>00496</v>
      </c>
      <c r="H815" s="56">
        <v>0</v>
      </c>
      <c r="I815" s="56">
        <v>0</v>
      </c>
      <c r="J815" s="56">
        <v>100000</v>
      </c>
      <c r="K815" s="56">
        <v>150000</v>
      </c>
      <c r="L815" t="s">
        <v>659</v>
      </c>
      <c r="M815" s="71">
        <v>46136</v>
      </c>
      <c r="N815" t="s">
        <v>576</v>
      </c>
    </row>
    <row r="816" spans="3:14" hidden="1" x14ac:dyDescent="0.2">
      <c r="C816" t="s">
        <v>115</v>
      </c>
      <c r="D816" t="str">
        <f>VLOOKUP(C816,'Master Anggota'!$E$2:$J$678,2,0)</f>
        <v>Aktif</v>
      </c>
      <c r="G816" t="str">
        <f>VLOOKUP(C816,'Master Anggota'!$E$2:$J$678,5,0)</f>
        <v>00497</v>
      </c>
      <c r="H816" s="56">
        <v>0</v>
      </c>
      <c r="I816" s="56">
        <v>0</v>
      </c>
      <c r="J816" s="56">
        <v>100000</v>
      </c>
      <c r="K816" s="56">
        <v>500000</v>
      </c>
      <c r="L816" t="s">
        <v>659</v>
      </c>
      <c r="M816" s="71">
        <v>46136</v>
      </c>
      <c r="N816" t="s">
        <v>576</v>
      </c>
    </row>
    <row r="817" spans="3:14" hidden="1" x14ac:dyDescent="0.2">
      <c r="C817" t="s">
        <v>117</v>
      </c>
      <c r="D817" t="str">
        <f>VLOOKUP(C817,'Master Anggota'!$E$2:$J$678,2,0)</f>
        <v>Aktif</v>
      </c>
      <c r="G817" t="str">
        <f>VLOOKUP(C817,'Master Anggota'!$E$2:$J$678,5,0)</f>
        <v>00497</v>
      </c>
      <c r="H817" s="56">
        <v>0</v>
      </c>
      <c r="I817" s="56">
        <v>0</v>
      </c>
      <c r="J817" s="56">
        <v>100000</v>
      </c>
      <c r="K817" s="56">
        <v>300000</v>
      </c>
      <c r="L817" t="s">
        <v>659</v>
      </c>
      <c r="M817" s="71">
        <v>46136</v>
      </c>
      <c r="N817" t="s">
        <v>576</v>
      </c>
    </row>
    <row r="818" spans="3:14" hidden="1" x14ac:dyDescent="0.2">
      <c r="C818" t="s">
        <v>194</v>
      </c>
      <c r="D818" t="str">
        <f>VLOOKUP(C818,'Master Anggota'!$E$2:$J$678,2,0)</f>
        <v>Aktif</v>
      </c>
      <c r="G818" t="str">
        <f>VLOOKUP(C818,'Master Anggota'!$E$2:$J$678,5,0)</f>
        <v>00498</v>
      </c>
      <c r="H818" s="56">
        <v>0</v>
      </c>
      <c r="I818" s="56">
        <v>0</v>
      </c>
      <c r="J818" s="56">
        <v>100000</v>
      </c>
      <c r="K818" s="56">
        <v>600000</v>
      </c>
      <c r="L818" t="s">
        <v>659</v>
      </c>
      <c r="M818" s="71">
        <v>46136</v>
      </c>
      <c r="N818" t="s">
        <v>576</v>
      </c>
    </row>
    <row r="819" spans="3:14" hidden="1" x14ac:dyDescent="0.2">
      <c r="C819" t="s">
        <v>155</v>
      </c>
      <c r="D819" t="str">
        <f>VLOOKUP(C819,'Master Anggota'!$E$2:$J$678,2,0)</f>
        <v>Aktif</v>
      </c>
      <c r="G819" t="str">
        <f>VLOOKUP(C819,'Master Anggota'!$E$2:$J$678,5,0)</f>
        <v>00499</v>
      </c>
      <c r="H819" s="56">
        <v>0</v>
      </c>
      <c r="I819" s="56">
        <v>0</v>
      </c>
      <c r="J819" s="56">
        <v>100000</v>
      </c>
      <c r="K819" s="56">
        <v>75000</v>
      </c>
      <c r="L819" t="s">
        <v>659</v>
      </c>
      <c r="M819" s="71">
        <v>46136</v>
      </c>
      <c r="N819" t="s">
        <v>576</v>
      </c>
    </row>
    <row r="820" spans="3:14" hidden="1" x14ac:dyDescent="0.2">
      <c r="C820" t="s">
        <v>96</v>
      </c>
      <c r="D820" t="str">
        <f>VLOOKUP(C820,'Master Anggota'!$E$2:$J$678,2,0)</f>
        <v>Aktif</v>
      </c>
      <c r="G820" t="str">
        <f>VLOOKUP(C820,'Master Anggota'!$E$2:$J$678,5,0)</f>
        <v>00508</v>
      </c>
      <c r="H820" s="56">
        <v>0</v>
      </c>
      <c r="I820" s="56">
        <v>0</v>
      </c>
      <c r="J820" s="56">
        <v>100000</v>
      </c>
      <c r="K820" s="56">
        <v>50000</v>
      </c>
      <c r="L820" t="s">
        <v>659</v>
      </c>
      <c r="M820" s="71">
        <v>46136</v>
      </c>
      <c r="N820" t="s">
        <v>576</v>
      </c>
    </row>
    <row r="821" spans="3:14" hidden="1" x14ac:dyDescent="0.2">
      <c r="C821" t="s">
        <v>270</v>
      </c>
      <c r="D821" t="str">
        <f>VLOOKUP(C821,'Master Anggota'!$E$2:$J$678,2,0)</f>
        <v>Aktif</v>
      </c>
      <c r="G821" t="str">
        <f>VLOOKUP(C821,'Master Anggota'!$E$2:$J$678,5,0)</f>
        <v>00509</v>
      </c>
      <c r="H821" s="56">
        <v>0</v>
      </c>
      <c r="I821" s="56">
        <v>0</v>
      </c>
      <c r="J821" s="56">
        <v>100000</v>
      </c>
      <c r="K821" s="56">
        <v>175000</v>
      </c>
      <c r="L821" t="s">
        <v>659</v>
      </c>
      <c r="M821" s="71">
        <v>46136</v>
      </c>
      <c r="N821" t="s">
        <v>576</v>
      </c>
    </row>
    <row r="822" spans="3:14" hidden="1" x14ac:dyDescent="0.2">
      <c r="C822" t="s">
        <v>37</v>
      </c>
      <c r="D822" t="str">
        <f>VLOOKUP(C822,'Master Anggota'!$E$2:$J$678,2,0)</f>
        <v>Aktif</v>
      </c>
      <c r="G822" t="str">
        <f>VLOOKUP(C822,'Master Anggota'!$E$2:$J$678,5,0)</f>
        <v>00511</v>
      </c>
      <c r="H822" s="56">
        <v>0</v>
      </c>
      <c r="I822" s="56">
        <v>0</v>
      </c>
      <c r="J822" s="56">
        <v>100000</v>
      </c>
      <c r="K822" s="56">
        <v>50000</v>
      </c>
      <c r="L822" t="s">
        <v>659</v>
      </c>
      <c r="M822" s="71">
        <v>46136</v>
      </c>
      <c r="N822" t="s">
        <v>576</v>
      </c>
    </row>
    <row r="823" spans="3:14" hidden="1" x14ac:dyDescent="0.2">
      <c r="C823" t="s">
        <v>202</v>
      </c>
      <c r="D823" t="str">
        <f>VLOOKUP(C823,'Master Anggota'!$E$2:$J$678,2,0)</f>
        <v>Aktif</v>
      </c>
      <c r="G823" t="str">
        <f>VLOOKUP(C823,'Master Anggota'!$E$2:$J$678,5,0)</f>
        <v>00512</v>
      </c>
      <c r="H823" s="56">
        <v>0</v>
      </c>
      <c r="I823" s="56">
        <v>0</v>
      </c>
      <c r="J823" s="56">
        <v>100000</v>
      </c>
      <c r="K823" s="56">
        <v>175000</v>
      </c>
      <c r="L823" t="s">
        <v>659</v>
      </c>
      <c r="M823" s="71">
        <v>46136</v>
      </c>
      <c r="N823" t="s">
        <v>576</v>
      </c>
    </row>
    <row r="824" spans="3:14" hidden="1" x14ac:dyDescent="0.2">
      <c r="C824" t="s">
        <v>239</v>
      </c>
      <c r="D824" t="str">
        <f>VLOOKUP(C824,'Master Anggota'!$E$2:$J$678,2,0)</f>
        <v>Aktif</v>
      </c>
      <c r="G824" t="str">
        <f>VLOOKUP(C824,'Master Anggota'!$E$2:$J$678,5,0)</f>
        <v>00513</v>
      </c>
      <c r="H824" s="56">
        <v>0</v>
      </c>
      <c r="I824" s="56">
        <v>0</v>
      </c>
      <c r="J824" s="56">
        <v>100000</v>
      </c>
      <c r="K824" s="56">
        <v>125000</v>
      </c>
      <c r="L824" t="s">
        <v>659</v>
      </c>
      <c r="M824" s="71">
        <v>46136</v>
      </c>
      <c r="N824" t="s">
        <v>576</v>
      </c>
    </row>
    <row r="825" spans="3:14" hidden="1" x14ac:dyDescent="0.2">
      <c r="C825" t="s">
        <v>223</v>
      </c>
      <c r="D825" t="str">
        <f>VLOOKUP(C825,'Master Anggota'!$E$2:$J$678,2,0)</f>
        <v>Aktif</v>
      </c>
      <c r="G825" t="str">
        <f>VLOOKUP(C825,'Master Anggota'!$E$2:$J$678,5,0)</f>
        <v>00514</v>
      </c>
      <c r="H825" s="56">
        <v>0</v>
      </c>
      <c r="I825" s="56">
        <v>0</v>
      </c>
      <c r="J825" s="56">
        <v>100000</v>
      </c>
      <c r="K825" s="56">
        <v>300000</v>
      </c>
      <c r="L825" t="s">
        <v>659</v>
      </c>
      <c r="M825" s="71">
        <v>46136</v>
      </c>
      <c r="N825" t="s">
        <v>576</v>
      </c>
    </row>
    <row r="826" spans="3:14" hidden="1" x14ac:dyDescent="0.2">
      <c r="C826" t="s">
        <v>274</v>
      </c>
      <c r="D826" t="str">
        <f>VLOOKUP(C826,'Master Anggota'!$E$2:$J$678,2,0)</f>
        <v>Aktif</v>
      </c>
      <c r="G826" t="str">
        <f>VLOOKUP(C826,'Master Anggota'!$E$2:$J$678,5,0)</f>
        <v>00515</v>
      </c>
      <c r="H826" s="56">
        <v>0</v>
      </c>
      <c r="I826" s="56">
        <v>0</v>
      </c>
      <c r="J826" s="56">
        <v>100000</v>
      </c>
      <c r="K826" s="56">
        <v>100000</v>
      </c>
      <c r="L826" t="s">
        <v>659</v>
      </c>
      <c r="M826" s="71">
        <v>46136</v>
      </c>
      <c r="N826" t="s">
        <v>576</v>
      </c>
    </row>
    <row r="827" spans="3:14" hidden="1" x14ac:dyDescent="0.2">
      <c r="C827" t="s">
        <v>233</v>
      </c>
      <c r="D827" t="str">
        <f>VLOOKUP(C827,'Master Anggota'!$E$2:$J$678,2,0)</f>
        <v>Aktif</v>
      </c>
      <c r="G827" t="str">
        <f>VLOOKUP(C827,'Master Anggota'!$E$2:$J$678,5,0)</f>
        <v>00516</v>
      </c>
      <c r="H827" s="56">
        <v>0</v>
      </c>
      <c r="I827" s="56">
        <v>0</v>
      </c>
      <c r="J827" s="56">
        <v>100000</v>
      </c>
      <c r="K827" s="56">
        <v>25000</v>
      </c>
      <c r="L827" t="s">
        <v>659</v>
      </c>
      <c r="M827" s="71">
        <v>46136</v>
      </c>
      <c r="N827" t="s">
        <v>576</v>
      </c>
    </row>
    <row r="828" spans="3:14" hidden="1" x14ac:dyDescent="0.2">
      <c r="C828" t="s">
        <v>71</v>
      </c>
      <c r="D828" t="str">
        <f>VLOOKUP(C828,'Master Anggota'!$E$2:$J$678,2,0)</f>
        <v>Aktif</v>
      </c>
      <c r="G828" t="str">
        <f>VLOOKUP(C828,'Master Anggota'!$E$2:$J$678,5,0)</f>
        <v>00517</v>
      </c>
      <c r="H828" s="56">
        <v>0</v>
      </c>
      <c r="I828" s="56">
        <v>0</v>
      </c>
      <c r="J828" s="56">
        <v>100000</v>
      </c>
      <c r="K828" s="56">
        <v>400000</v>
      </c>
      <c r="L828" t="s">
        <v>659</v>
      </c>
      <c r="M828" s="71">
        <v>46136</v>
      </c>
      <c r="N828" t="s">
        <v>576</v>
      </c>
    </row>
    <row r="829" spans="3:14" hidden="1" x14ac:dyDescent="0.2">
      <c r="C829" t="s">
        <v>62</v>
      </c>
      <c r="D829" t="str">
        <f>VLOOKUP(C829,'Master Anggota'!$E$2:$J$678,2,0)</f>
        <v>Aktif</v>
      </c>
      <c r="G829" t="str">
        <f>VLOOKUP(C829,'Master Anggota'!$E$2:$J$678,5,0)</f>
        <v>00518</v>
      </c>
      <c r="H829" s="56">
        <v>0</v>
      </c>
      <c r="I829" s="56">
        <v>0</v>
      </c>
      <c r="J829" s="56">
        <v>200000</v>
      </c>
      <c r="K829" s="56">
        <v>100000</v>
      </c>
      <c r="L829" t="s">
        <v>659</v>
      </c>
      <c r="M829" s="71">
        <v>46136</v>
      </c>
      <c r="N829" t="s">
        <v>576</v>
      </c>
    </row>
    <row r="830" spans="3:14" hidden="1" x14ac:dyDescent="0.2">
      <c r="C830" t="s">
        <v>46</v>
      </c>
      <c r="D830" t="str">
        <f>VLOOKUP(C830,'Master Anggota'!$E$2:$J$678,2,0)</f>
        <v>Aktif</v>
      </c>
      <c r="G830" t="str">
        <f>VLOOKUP(C830,'Master Anggota'!$E$2:$J$678,5,0)</f>
        <v>00519</v>
      </c>
      <c r="H830" s="56">
        <v>0</v>
      </c>
      <c r="I830" s="56">
        <v>0</v>
      </c>
      <c r="J830" s="56">
        <v>100000</v>
      </c>
      <c r="K830" s="56">
        <v>125000</v>
      </c>
      <c r="L830" t="s">
        <v>659</v>
      </c>
      <c r="M830" s="71">
        <v>46136</v>
      </c>
      <c r="N830" t="s">
        <v>576</v>
      </c>
    </row>
    <row r="831" spans="3:14" hidden="1" x14ac:dyDescent="0.2">
      <c r="C831" t="s">
        <v>200</v>
      </c>
      <c r="D831" t="str">
        <f>VLOOKUP(C831,'Master Anggota'!$E$2:$J$678,2,0)</f>
        <v>Aktif</v>
      </c>
      <c r="G831" t="str">
        <f>VLOOKUP(C831,'Master Anggota'!$E$2:$J$678,5,0)</f>
        <v>00520</v>
      </c>
      <c r="H831" s="56">
        <v>0</v>
      </c>
      <c r="I831" s="56">
        <v>0</v>
      </c>
      <c r="J831" s="56">
        <v>100000</v>
      </c>
      <c r="K831" s="56">
        <v>100000</v>
      </c>
      <c r="L831" t="s">
        <v>659</v>
      </c>
      <c r="M831" s="71">
        <v>46136</v>
      </c>
      <c r="N831" t="s">
        <v>576</v>
      </c>
    </row>
    <row r="832" spans="3:14" hidden="1" x14ac:dyDescent="0.2">
      <c r="C832" t="s">
        <v>107</v>
      </c>
      <c r="D832" t="str">
        <f>VLOOKUP(C832,'Master Anggota'!$E$2:$J$678,2,0)</f>
        <v>Aktif</v>
      </c>
      <c r="G832" t="str">
        <f>VLOOKUP(C832,'Master Anggota'!$E$2:$J$678,5,0)</f>
        <v>00521</v>
      </c>
      <c r="H832" s="56">
        <v>0</v>
      </c>
      <c r="I832" s="56">
        <v>0</v>
      </c>
      <c r="J832" s="56">
        <v>150000</v>
      </c>
      <c r="K832" s="56">
        <v>150000</v>
      </c>
      <c r="L832" t="s">
        <v>659</v>
      </c>
      <c r="M832" s="71">
        <v>46136</v>
      </c>
      <c r="N832" t="s">
        <v>576</v>
      </c>
    </row>
    <row r="833" spans="3:14" hidden="1" x14ac:dyDescent="0.2">
      <c r="C833" t="s">
        <v>235</v>
      </c>
      <c r="D833" t="str">
        <f>VLOOKUP(C833,'Master Anggota'!$E$2:$J$678,2,0)</f>
        <v>Aktif</v>
      </c>
      <c r="G833" t="str">
        <f>VLOOKUP(C833,'Master Anggota'!$E$2:$J$678,5,0)</f>
        <v>00523</v>
      </c>
      <c r="H833" s="56">
        <v>0</v>
      </c>
      <c r="I833" s="56">
        <v>0</v>
      </c>
      <c r="J833" s="56">
        <v>100000</v>
      </c>
      <c r="K833" s="56">
        <v>100000</v>
      </c>
      <c r="L833" t="s">
        <v>659</v>
      </c>
      <c r="M833" s="71">
        <v>46136</v>
      </c>
      <c r="N833" t="s">
        <v>576</v>
      </c>
    </row>
    <row r="834" spans="3:14" hidden="1" x14ac:dyDescent="0.2">
      <c r="C834" t="s">
        <v>252</v>
      </c>
      <c r="D834" t="str">
        <f>VLOOKUP(C834,'Master Anggota'!$E$2:$J$678,2,0)</f>
        <v>Aktif</v>
      </c>
      <c r="G834" t="str">
        <f>VLOOKUP(C834,'Master Anggota'!$E$2:$J$678,5,0)</f>
        <v>00524</v>
      </c>
      <c r="H834" s="56">
        <v>0</v>
      </c>
      <c r="I834" s="56">
        <v>0</v>
      </c>
      <c r="J834" s="56">
        <v>100000</v>
      </c>
      <c r="K834" s="56">
        <v>200000</v>
      </c>
      <c r="L834" t="s">
        <v>659</v>
      </c>
      <c r="M834" s="71">
        <v>46136</v>
      </c>
      <c r="N834" t="s">
        <v>576</v>
      </c>
    </row>
    <row r="835" spans="3:14" hidden="1" x14ac:dyDescent="0.2">
      <c r="C835" t="s">
        <v>206</v>
      </c>
      <c r="D835" t="str">
        <f>VLOOKUP(C835,'Master Anggota'!$E$2:$J$678,2,0)</f>
        <v>Aktif</v>
      </c>
      <c r="G835" t="str">
        <f>VLOOKUP(C835,'Master Anggota'!$E$2:$J$678,5,0)</f>
        <v>00525</v>
      </c>
      <c r="H835" s="56">
        <v>0</v>
      </c>
      <c r="I835" s="56">
        <v>0</v>
      </c>
      <c r="J835" s="56">
        <v>100000</v>
      </c>
      <c r="K835" s="56">
        <v>100000</v>
      </c>
      <c r="L835" t="s">
        <v>659</v>
      </c>
      <c r="M835" s="71">
        <v>46136</v>
      </c>
      <c r="N835" t="s">
        <v>576</v>
      </c>
    </row>
    <row r="836" spans="3:14" hidden="1" x14ac:dyDescent="0.2">
      <c r="C836" t="s">
        <v>241</v>
      </c>
      <c r="D836" t="str">
        <f>VLOOKUP(C836,'Master Anggota'!$E$2:$J$678,2,0)</f>
        <v>Aktif</v>
      </c>
      <c r="G836" t="str">
        <f>VLOOKUP(C836,'Master Anggota'!$E$2:$J$678,5,0)</f>
        <v>00526</v>
      </c>
      <c r="H836" s="56">
        <v>0</v>
      </c>
      <c r="I836" s="56">
        <v>0</v>
      </c>
      <c r="J836" s="56">
        <v>100000</v>
      </c>
      <c r="K836" s="56">
        <v>100000</v>
      </c>
      <c r="L836" t="s">
        <v>659</v>
      </c>
      <c r="M836" s="71">
        <v>46136</v>
      </c>
      <c r="N836" t="s">
        <v>576</v>
      </c>
    </row>
    <row r="837" spans="3:14" hidden="1" x14ac:dyDescent="0.2">
      <c r="C837" t="s">
        <v>147</v>
      </c>
      <c r="D837" t="str">
        <f>VLOOKUP(C837,'Master Anggota'!$E$2:$J$678,2,0)</f>
        <v>Aktif</v>
      </c>
      <c r="G837" t="str">
        <f>VLOOKUP(C837,'Master Anggota'!$E$2:$J$678,5,0)</f>
        <v>00527</v>
      </c>
      <c r="H837" s="56">
        <v>0</v>
      </c>
      <c r="I837" s="56">
        <v>0</v>
      </c>
      <c r="J837" s="56">
        <v>100000</v>
      </c>
      <c r="K837" s="56">
        <v>50000</v>
      </c>
      <c r="L837" t="s">
        <v>659</v>
      </c>
      <c r="M837" s="71">
        <v>46136</v>
      </c>
      <c r="N837" t="s">
        <v>576</v>
      </c>
    </row>
    <row r="838" spans="3:14" hidden="1" x14ac:dyDescent="0.2">
      <c r="C838" t="s">
        <v>268</v>
      </c>
      <c r="D838" t="str">
        <f>VLOOKUP(C838,'Master Anggota'!$E$2:$J$678,2,0)</f>
        <v>Aktif</v>
      </c>
      <c r="G838" t="str">
        <f>VLOOKUP(C838,'Master Anggota'!$E$2:$J$678,5,0)</f>
        <v>00528</v>
      </c>
      <c r="H838" s="56">
        <v>0</v>
      </c>
      <c r="I838" s="56">
        <v>0</v>
      </c>
      <c r="J838" s="56">
        <v>100000</v>
      </c>
      <c r="K838" s="56">
        <v>100000</v>
      </c>
      <c r="L838" t="s">
        <v>659</v>
      </c>
      <c r="M838" s="71">
        <v>46136</v>
      </c>
      <c r="N838" t="s">
        <v>576</v>
      </c>
    </row>
    <row r="839" spans="3:14" x14ac:dyDescent="0.2">
      <c r="C839" t="s">
        <v>214</v>
      </c>
      <c r="D839" t="str">
        <f>VLOOKUP(C839,'Master Anggota'!$E$2:$J$678,2,0)</f>
        <v>Aktif</v>
      </c>
      <c r="G839" t="str">
        <f>VLOOKUP(C839,'Master Anggota'!$E$2:$J$678,5,0)</f>
        <v>00529</v>
      </c>
      <c r="H839" s="56">
        <v>0</v>
      </c>
      <c r="I839" s="56">
        <v>0</v>
      </c>
      <c r="J839" s="56">
        <v>100000</v>
      </c>
      <c r="K839" s="56">
        <v>100000</v>
      </c>
      <c r="L839" t="s">
        <v>659</v>
      </c>
      <c r="M839" s="71">
        <v>46136</v>
      </c>
      <c r="N839" t="s">
        <v>576</v>
      </c>
    </row>
    <row r="840" spans="3:14" hidden="1" x14ac:dyDescent="0.2">
      <c r="C840" t="s">
        <v>243</v>
      </c>
      <c r="D840" t="str">
        <f>VLOOKUP(C840,'Master Anggota'!$E$2:$J$678,2,0)</f>
        <v>Aktif</v>
      </c>
      <c r="G840" t="str">
        <f>VLOOKUP(C840,'Master Anggota'!$E$2:$J$678,5,0)</f>
        <v>00530</v>
      </c>
      <c r="H840" s="56">
        <v>0</v>
      </c>
      <c r="I840" s="56">
        <v>0</v>
      </c>
      <c r="J840" s="56">
        <v>100000</v>
      </c>
      <c r="K840" s="56">
        <v>250000</v>
      </c>
      <c r="L840" t="s">
        <v>659</v>
      </c>
      <c r="M840" s="71">
        <v>46136</v>
      </c>
      <c r="N840" t="s">
        <v>576</v>
      </c>
    </row>
    <row r="841" spans="3:14" hidden="1" x14ac:dyDescent="0.2">
      <c r="C841" t="s">
        <v>225</v>
      </c>
      <c r="D841" t="str">
        <f>VLOOKUP(C841,'Master Anggota'!$E$2:$J$678,2,0)</f>
        <v>Aktif</v>
      </c>
      <c r="G841" t="str">
        <f>VLOOKUP(C841,'Master Anggota'!$E$2:$J$678,5,0)</f>
        <v>00531</v>
      </c>
      <c r="H841" s="56">
        <v>0</v>
      </c>
      <c r="I841" s="56">
        <v>0</v>
      </c>
      <c r="J841" s="56">
        <v>100000</v>
      </c>
      <c r="K841" s="56">
        <v>15000</v>
      </c>
      <c r="L841" t="s">
        <v>659</v>
      </c>
      <c r="M841" s="71">
        <v>46136</v>
      </c>
      <c r="N841" t="s">
        <v>576</v>
      </c>
    </row>
    <row r="842" spans="3:14" hidden="1" x14ac:dyDescent="0.2">
      <c r="C842" t="s">
        <v>245</v>
      </c>
      <c r="D842" t="str">
        <f>VLOOKUP(C842,'Master Anggota'!$E$2:$J$678,2,0)</f>
        <v>Aktif</v>
      </c>
      <c r="G842" t="str">
        <f>VLOOKUP(C842,'Master Anggota'!$E$2:$J$678,5,0)</f>
        <v>00532</v>
      </c>
      <c r="H842" s="56">
        <v>0</v>
      </c>
      <c r="I842" s="56">
        <v>0</v>
      </c>
      <c r="J842" s="56">
        <v>100000</v>
      </c>
      <c r="K842" s="56">
        <v>100000</v>
      </c>
      <c r="L842" t="s">
        <v>659</v>
      </c>
      <c r="M842" s="71">
        <v>46136</v>
      </c>
      <c r="N842" t="s">
        <v>576</v>
      </c>
    </row>
    <row r="843" spans="3:14" hidden="1" x14ac:dyDescent="0.2">
      <c r="C843" t="s">
        <v>522</v>
      </c>
      <c r="D843" t="str">
        <f>VLOOKUP(C843,'Master Anggota'!$E$2:$J$678,2,0)</f>
        <v>Aktif</v>
      </c>
      <c r="G843" t="str">
        <f>VLOOKUP(C843,'Master Anggota'!$E$2:$J$678,5,0)</f>
        <v>00533</v>
      </c>
      <c r="H843" s="56">
        <v>0</v>
      </c>
      <c r="I843" s="56">
        <v>0</v>
      </c>
      <c r="J843" s="56">
        <v>100000</v>
      </c>
      <c r="K843" s="56">
        <v>100000</v>
      </c>
      <c r="L843" t="s">
        <v>659</v>
      </c>
      <c r="M843" s="71">
        <v>46136</v>
      </c>
      <c r="N843" t="s">
        <v>576</v>
      </c>
    </row>
    <row r="844" spans="3:14" hidden="1" x14ac:dyDescent="0.2">
      <c r="C844" t="s">
        <v>204</v>
      </c>
      <c r="D844" t="str">
        <f>VLOOKUP(C844,'Master Anggota'!$E$2:$J$678,2,0)</f>
        <v>Aktif</v>
      </c>
      <c r="G844" t="str">
        <f>VLOOKUP(C844,'Master Anggota'!$E$2:$J$678,5,0)</f>
        <v>00534</v>
      </c>
      <c r="H844" s="56">
        <v>0</v>
      </c>
      <c r="I844" s="56">
        <v>0</v>
      </c>
      <c r="J844" s="56">
        <v>100000</v>
      </c>
      <c r="K844" s="56">
        <v>125000</v>
      </c>
      <c r="L844" t="s">
        <v>659</v>
      </c>
      <c r="M844" s="71">
        <v>46136</v>
      </c>
      <c r="N844" t="s">
        <v>576</v>
      </c>
    </row>
    <row r="845" spans="3:14" hidden="1" x14ac:dyDescent="0.2">
      <c r="C845" t="s">
        <v>189</v>
      </c>
      <c r="D845" t="str">
        <f>VLOOKUP(C845,'Master Anggota'!$E$2:$J$678,2,0)</f>
        <v>Aktif</v>
      </c>
      <c r="G845" t="str">
        <f>VLOOKUP(C845,'Master Anggota'!$E$2:$J$678,5,0)</f>
        <v>00535</v>
      </c>
      <c r="H845" s="56">
        <v>0</v>
      </c>
      <c r="I845" s="56">
        <v>0</v>
      </c>
      <c r="J845" s="56">
        <v>150000</v>
      </c>
      <c r="K845" s="56">
        <v>100000</v>
      </c>
      <c r="L845" t="s">
        <v>659</v>
      </c>
      <c r="M845" s="71">
        <v>46136</v>
      </c>
      <c r="N845" t="s">
        <v>576</v>
      </c>
    </row>
    <row r="846" spans="3:14" hidden="1" x14ac:dyDescent="0.2">
      <c r="C846" t="s">
        <v>81</v>
      </c>
      <c r="D846" t="str">
        <f>VLOOKUP(C846,'Master Anggota'!$E$2:$J$678,2,0)</f>
        <v>Aktif</v>
      </c>
      <c r="G846" t="str">
        <f>VLOOKUP(C846,'Master Anggota'!$E$2:$J$678,5,0)</f>
        <v>00537</v>
      </c>
      <c r="H846" s="56">
        <v>0</v>
      </c>
      <c r="I846" s="56">
        <v>0</v>
      </c>
      <c r="J846" s="56">
        <v>150000</v>
      </c>
      <c r="K846" s="56">
        <v>50000</v>
      </c>
      <c r="L846" t="s">
        <v>659</v>
      </c>
      <c r="M846" s="71">
        <v>46136</v>
      </c>
      <c r="N846" t="s">
        <v>576</v>
      </c>
    </row>
    <row r="847" spans="3:14" hidden="1" x14ac:dyDescent="0.2">
      <c r="C847" t="s">
        <v>55</v>
      </c>
      <c r="D847" t="str">
        <f>VLOOKUP(C847,'Master Anggota'!$E$2:$J$678,2,0)</f>
        <v>Aktif</v>
      </c>
      <c r="G847" t="str">
        <f>VLOOKUP(C847,'Master Anggota'!$E$2:$J$678,5,0)</f>
        <v>00539</v>
      </c>
      <c r="H847" s="56">
        <v>0</v>
      </c>
      <c r="I847" s="56">
        <v>0</v>
      </c>
      <c r="J847" s="56">
        <v>100000</v>
      </c>
      <c r="K847" s="56">
        <v>50000</v>
      </c>
      <c r="L847" t="s">
        <v>659</v>
      </c>
      <c r="M847" s="71">
        <v>46136</v>
      </c>
      <c r="N847" t="s">
        <v>576</v>
      </c>
    </row>
    <row r="848" spans="3:14" hidden="1" x14ac:dyDescent="0.2">
      <c r="C848" t="s">
        <v>53</v>
      </c>
      <c r="D848" t="str">
        <f>VLOOKUP(C848,'Master Anggota'!$E$2:$J$678,2,0)</f>
        <v>Aktif</v>
      </c>
      <c r="G848" t="str">
        <f>VLOOKUP(C848,'Master Anggota'!$E$2:$J$678,5,0)</f>
        <v>00540</v>
      </c>
      <c r="H848" s="56">
        <v>0</v>
      </c>
      <c r="I848" s="56">
        <v>0</v>
      </c>
      <c r="J848" s="56">
        <v>100000</v>
      </c>
      <c r="K848" s="56">
        <v>125000</v>
      </c>
      <c r="L848" t="s">
        <v>659</v>
      </c>
      <c r="M848" s="71">
        <v>46136</v>
      </c>
      <c r="N848" t="s">
        <v>576</v>
      </c>
    </row>
    <row r="849" spans="3:14" hidden="1" x14ac:dyDescent="0.2">
      <c r="C849" t="s">
        <v>79</v>
      </c>
      <c r="D849" t="str">
        <f>VLOOKUP(C849,'Master Anggota'!$E$2:$J$678,2,0)</f>
        <v>Aktif</v>
      </c>
      <c r="G849" t="str">
        <f>VLOOKUP(C849,'Master Anggota'!$E$2:$J$678,5,0)</f>
        <v>00541</v>
      </c>
      <c r="H849" s="56">
        <v>0</v>
      </c>
      <c r="I849" s="56">
        <v>0</v>
      </c>
      <c r="J849" s="56">
        <v>100000</v>
      </c>
      <c r="K849" s="56">
        <v>150000</v>
      </c>
      <c r="L849" t="s">
        <v>659</v>
      </c>
      <c r="M849" s="71">
        <v>46136</v>
      </c>
      <c r="N849" t="s">
        <v>576</v>
      </c>
    </row>
    <row r="850" spans="3:14" hidden="1" x14ac:dyDescent="0.2">
      <c r="C850" t="s">
        <v>231</v>
      </c>
      <c r="D850" t="str">
        <f>VLOOKUP(C850,'Master Anggota'!$E$2:$J$678,2,0)</f>
        <v>Aktif</v>
      </c>
      <c r="G850" t="str">
        <f>VLOOKUP(C850,'Master Anggota'!$E$2:$J$678,5,0)</f>
        <v>00542</v>
      </c>
      <c r="H850" s="56">
        <v>0</v>
      </c>
      <c r="I850" s="56">
        <v>0</v>
      </c>
      <c r="J850" s="56">
        <v>100000</v>
      </c>
      <c r="K850" s="56">
        <v>100000</v>
      </c>
      <c r="L850" t="s">
        <v>659</v>
      </c>
      <c r="M850" s="71">
        <v>46136</v>
      </c>
      <c r="N850" t="s">
        <v>576</v>
      </c>
    </row>
    <row r="851" spans="3:14" hidden="1" x14ac:dyDescent="0.2">
      <c r="C851" t="s">
        <v>51</v>
      </c>
      <c r="D851" t="str">
        <f>VLOOKUP(C851,'Master Anggota'!$E$2:$J$678,2,0)</f>
        <v>Aktif</v>
      </c>
      <c r="G851" t="str">
        <f>VLOOKUP(C851,'Master Anggota'!$E$2:$J$678,5,0)</f>
        <v>00543</v>
      </c>
      <c r="H851" s="56">
        <v>0</v>
      </c>
      <c r="I851" s="56">
        <v>0</v>
      </c>
      <c r="J851" s="56">
        <v>100000</v>
      </c>
      <c r="K851" s="56">
        <v>100000</v>
      </c>
      <c r="L851" t="s">
        <v>659</v>
      </c>
      <c r="M851" s="71">
        <v>46136</v>
      </c>
      <c r="N851" t="s">
        <v>576</v>
      </c>
    </row>
    <row r="852" spans="3:14" hidden="1" x14ac:dyDescent="0.2">
      <c r="C852" t="s">
        <v>118</v>
      </c>
      <c r="D852" t="str">
        <f>VLOOKUP(C852,'Master Anggota'!$E$2:$J$678,2,0)</f>
        <v>Aktif</v>
      </c>
      <c r="G852" t="str">
        <f>VLOOKUP(C852,'Master Anggota'!$E$2:$J$678,5,0)</f>
        <v>00544</v>
      </c>
      <c r="H852" s="56">
        <v>0</v>
      </c>
      <c r="I852" s="56">
        <v>0</v>
      </c>
      <c r="J852" s="56">
        <v>100000</v>
      </c>
      <c r="K852" s="56">
        <v>50000</v>
      </c>
      <c r="L852" t="s">
        <v>659</v>
      </c>
      <c r="M852" s="71">
        <v>46136</v>
      </c>
      <c r="N852" t="s">
        <v>576</v>
      </c>
    </row>
    <row r="853" spans="3:14" hidden="1" x14ac:dyDescent="0.2">
      <c r="C853" t="s">
        <v>366</v>
      </c>
      <c r="D853" t="str">
        <f>VLOOKUP(C853,'Master Anggota'!$E$2:$J$678,2,0)</f>
        <v>Aktif</v>
      </c>
      <c r="G853" t="str">
        <f>VLOOKUP(C853,'Master Anggota'!$E$2:$J$678,5,0)</f>
        <v>00545</v>
      </c>
      <c r="H853" s="56">
        <v>0</v>
      </c>
      <c r="I853" s="56">
        <v>0</v>
      </c>
      <c r="J853" s="56">
        <v>150000</v>
      </c>
      <c r="K853" s="56">
        <v>50000</v>
      </c>
      <c r="L853" t="s">
        <v>659</v>
      </c>
      <c r="M853" s="71">
        <v>46136</v>
      </c>
      <c r="N853" t="s">
        <v>576</v>
      </c>
    </row>
    <row r="854" spans="3:14" hidden="1" x14ac:dyDescent="0.2">
      <c r="C854" t="s">
        <v>35</v>
      </c>
      <c r="D854" t="str">
        <f>VLOOKUP(C854,'Master Anggota'!$E$2:$J$678,2,0)</f>
        <v>Aktif</v>
      </c>
      <c r="G854" t="str">
        <f>VLOOKUP(C854,'Master Anggota'!$E$2:$J$678,5,0)</f>
        <v>00546</v>
      </c>
      <c r="H854" s="56">
        <v>0</v>
      </c>
      <c r="I854" s="56">
        <v>0</v>
      </c>
      <c r="J854" s="56">
        <v>100000</v>
      </c>
      <c r="K854" s="56">
        <v>50000</v>
      </c>
      <c r="L854" t="s">
        <v>659</v>
      </c>
      <c r="M854" s="71">
        <v>46136</v>
      </c>
      <c r="N854" t="s">
        <v>576</v>
      </c>
    </row>
    <row r="855" spans="3:14" hidden="1" x14ac:dyDescent="0.2">
      <c r="C855" t="s">
        <v>85</v>
      </c>
      <c r="D855" t="str">
        <f>VLOOKUP(C855,'Master Anggota'!$E$2:$J$678,2,0)</f>
        <v>Aktif</v>
      </c>
      <c r="G855" t="str">
        <f>VLOOKUP(C855,'Master Anggota'!$E$2:$J$678,5,0)</f>
        <v>00547</v>
      </c>
      <c r="H855" s="56">
        <v>0</v>
      </c>
      <c r="I855" s="56">
        <v>0</v>
      </c>
      <c r="J855" s="56">
        <v>100000</v>
      </c>
      <c r="K855" s="56">
        <v>100000</v>
      </c>
      <c r="L855" t="s">
        <v>659</v>
      </c>
      <c r="M855" s="71">
        <v>46136</v>
      </c>
      <c r="N855" t="s">
        <v>576</v>
      </c>
    </row>
    <row r="856" spans="3:14" hidden="1" x14ac:dyDescent="0.2">
      <c r="C856" t="s">
        <v>153</v>
      </c>
      <c r="D856" t="str">
        <f>VLOOKUP(C856,'Master Anggota'!$E$2:$J$678,2,0)</f>
        <v>Aktif</v>
      </c>
      <c r="G856" t="str">
        <f>VLOOKUP(C856,'Master Anggota'!$E$2:$J$678,5,0)</f>
        <v>00548</v>
      </c>
      <c r="H856" s="56">
        <v>0</v>
      </c>
      <c r="I856" s="56">
        <v>0</v>
      </c>
      <c r="J856" s="56">
        <v>100000</v>
      </c>
      <c r="K856" s="56">
        <v>75000</v>
      </c>
      <c r="L856" t="s">
        <v>659</v>
      </c>
      <c r="M856" s="71">
        <v>46136</v>
      </c>
      <c r="N856" t="s">
        <v>576</v>
      </c>
    </row>
    <row r="857" spans="3:14" hidden="1" x14ac:dyDescent="0.2">
      <c r="C857" t="s">
        <v>525</v>
      </c>
      <c r="D857" t="str">
        <f>VLOOKUP(C857,'Master Anggota'!$E$2:$J$678,2,0)</f>
        <v>Aktif</v>
      </c>
      <c r="G857" t="str">
        <f>VLOOKUP(C857,'Master Anggota'!$E$2:$J$678,5,0)</f>
        <v>00549</v>
      </c>
      <c r="H857" s="56">
        <v>0</v>
      </c>
      <c r="I857" s="56">
        <v>0</v>
      </c>
      <c r="J857" s="56">
        <v>100000</v>
      </c>
      <c r="K857" s="56">
        <v>100000</v>
      </c>
      <c r="L857" t="s">
        <v>659</v>
      </c>
      <c r="M857" s="71">
        <v>46136</v>
      </c>
      <c r="N857" t="s">
        <v>576</v>
      </c>
    </row>
    <row r="858" spans="3:14" hidden="1" x14ac:dyDescent="0.2">
      <c r="C858" t="s">
        <v>105</v>
      </c>
      <c r="D858" t="str">
        <f>VLOOKUP(C858,'Master Anggota'!$E$2:$J$678,2,0)</f>
        <v>Aktif</v>
      </c>
      <c r="G858" t="str">
        <f>VLOOKUP(C858,'Master Anggota'!$E$2:$J$678,5,0)</f>
        <v>00551</v>
      </c>
      <c r="H858" s="56">
        <v>0</v>
      </c>
      <c r="I858" s="56">
        <v>0</v>
      </c>
      <c r="J858" s="56">
        <v>150000</v>
      </c>
      <c r="K858" s="56">
        <v>50000</v>
      </c>
      <c r="L858" t="s">
        <v>659</v>
      </c>
      <c r="M858" s="71">
        <v>46136</v>
      </c>
      <c r="N858" t="s">
        <v>576</v>
      </c>
    </row>
    <row r="859" spans="3:14" hidden="1" x14ac:dyDescent="0.2">
      <c r="C859" t="s">
        <v>484</v>
      </c>
      <c r="D859" t="str">
        <f>VLOOKUP(C859,'Master Anggota'!$E$2:$J$678,2,0)</f>
        <v>Aktif</v>
      </c>
      <c r="G859" t="str">
        <f>VLOOKUP(C859,'Master Anggota'!$E$2:$J$678,5,0)</f>
        <v>00552</v>
      </c>
      <c r="H859" s="56">
        <v>0</v>
      </c>
      <c r="I859" s="56">
        <v>0</v>
      </c>
      <c r="J859" s="56">
        <v>100000</v>
      </c>
      <c r="K859" s="56">
        <v>200000</v>
      </c>
      <c r="L859" t="s">
        <v>659</v>
      </c>
      <c r="M859" s="71">
        <v>46136</v>
      </c>
      <c r="N859" t="s">
        <v>576</v>
      </c>
    </row>
    <row r="860" spans="3:14" hidden="1" x14ac:dyDescent="0.2">
      <c r="C860" t="s">
        <v>8</v>
      </c>
      <c r="D860" t="str">
        <f>VLOOKUP(C860,'Master Anggota'!$E$2:$J$678,2,0)</f>
        <v>Aktif</v>
      </c>
      <c r="G860" t="str">
        <f>VLOOKUP(C860,'Master Anggota'!$E$2:$J$678,5,0)</f>
        <v>00553</v>
      </c>
      <c r="H860" s="56">
        <v>0</v>
      </c>
      <c r="I860" s="56">
        <v>0</v>
      </c>
      <c r="J860" s="56">
        <v>100000</v>
      </c>
      <c r="K860" s="56">
        <v>150000</v>
      </c>
      <c r="L860" t="s">
        <v>659</v>
      </c>
      <c r="M860" s="71">
        <v>46136</v>
      </c>
      <c r="N860" t="s">
        <v>576</v>
      </c>
    </row>
    <row r="861" spans="3:14" hidden="1" x14ac:dyDescent="0.2">
      <c r="C861" t="s">
        <v>87</v>
      </c>
      <c r="D861" t="str">
        <f>VLOOKUP(C861,'Master Anggota'!$E$2:$J$678,2,0)</f>
        <v>Aktif</v>
      </c>
      <c r="G861" t="str">
        <f>VLOOKUP(C861,'Master Anggota'!$E$2:$J$678,5,0)</f>
        <v>00554</v>
      </c>
      <c r="H861" s="56">
        <v>0</v>
      </c>
      <c r="I861" s="56">
        <v>0</v>
      </c>
      <c r="J861" s="56">
        <v>100000</v>
      </c>
      <c r="K861" s="56">
        <v>100000</v>
      </c>
      <c r="L861" t="s">
        <v>659</v>
      </c>
      <c r="M861" s="71">
        <v>46136</v>
      </c>
      <c r="N861" t="s">
        <v>576</v>
      </c>
    </row>
    <row r="862" spans="3:14" hidden="1" x14ac:dyDescent="0.2">
      <c r="C862" t="s">
        <v>174</v>
      </c>
      <c r="D862" t="str">
        <f>VLOOKUP(C862,'Master Anggota'!$E$2:$J$678,2,0)</f>
        <v>Aktif</v>
      </c>
      <c r="G862" t="str">
        <f>VLOOKUP(C862,'Master Anggota'!$E$2:$J$678,5,0)</f>
        <v>00556</v>
      </c>
      <c r="H862" s="56">
        <v>0</v>
      </c>
      <c r="I862" s="56">
        <v>0</v>
      </c>
      <c r="J862" s="56">
        <v>100000</v>
      </c>
      <c r="K862" s="56">
        <v>100000</v>
      </c>
      <c r="L862" t="s">
        <v>659</v>
      </c>
      <c r="M862" s="71">
        <v>46136</v>
      </c>
      <c r="N862" t="s">
        <v>576</v>
      </c>
    </row>
    <row r="863" spans="3:14" hidden="1" x14ac:dyDescent="0.2">
      <c r="C863" t="s">
        <v>109</v>
      </c>
      <c r="D863" t="str">
        <f>VLOOKUP(C863,'Master Anggota'!$E$2:$J$678,2,0)</f>
        <v>Aktif</v>
      </c>
      <c r="G863" t="str">
        <f>VLOOKUP(C863,'Master Anggota'!$E$2:$J$678,5,0)</f>
        <v>00557</v>
      </c>
      <c r="H863" s="56">
        <v>0</v>
      </c>
      <c r="I863" s="56">
        <v>0</v>
      </c>
      <c r="J863" s="56">
        <v>200000</v>
      </c>
      <c r="K863" s="56">
        <v>200000</v>
      </c>
      <c r="L863" t="s">
        <v>659</v>
      </c>
      <c r="M863" s="71">
        <v>46136</v>
      </c>
      <c r="N863" t="s">
        <v>576</v>
      </c>
    </row>
    <row r="864" spans="3:14" hidden="1" x14ac:dyDescent="0.2">
      <c r="C864" t="s">
        <v>276</v>
      </c>
      <c r="D864" t="str">
        <f>VLOOKUP(C864,'Master Anggota'!$E$2:$J$678,2,0)</f>
        <v>Aktif</v>
      </c>
      <c r="G864" t="str">
        <f>VLOOKUP(C864,'Master Anggota'!$E$2:$J$678,5,0)</f>
        <v>00558</v>
      </c>
      <c r="H864" s="56">
        <v>0</v>
      </c>
      <c r="I864" s="56">
        <v>0</v>
      </c>
      <c r="J864" s="56">
        <v>200000</v>
      </c>
      <c r="K864" s="56">
        <v>300000</v>
      </c>
      <c r="L864" t="s">
        <v>659</v>
      </c>
      <c r="M864" s="71">
        <v>46136</v>
      </c>
      <c r="N864" t="s">
        <v>576</v>
      </c>
    </row>
    <row r="865" spans="3:14" hidden="1" x14ac:dyDescent="0.2">
      <c r="C865" t="s">
        <v>171</v>
      </c>
      <c r="D865" t="str">
        <f>VLOOKUP(C865,'Master Anggota'!$E$2:$J$678,2,0)</f>
        <v>Aktif</v>
      </c>
      <c r="G865" t="str">
        <f>VLOOKUP(C865,'Master Anggota'!$E$2:$J$678,5,0)</f>
        <v>00560</v>
      </c>
      <c r="H865" s="56">
        <v>0</v>
      </c>
      <c r="I865" s="56">
        <v>0</v>
      </c>
      <c r="J865" s="56">
        <v>100000</v>
      </c>
      <c r="K865" s="56">
        <v>100000</v>
      </c>
      <c r="L865" t="s">
        <v>659</v>
      </c>
      <c r="M865" s="71">
        <v>46136</v>
      </c>
      <c r="N865" t="s">
        <v>576</v>
      </c>
    </row>
    <row r="866" spans="3:14" hidden="1" x14ac:dyDescent="0.2">
      <c r="C866" t="s">
        <v>175</v>
      </c>
      <c r="D866" t="str">
        <f>VLOOKUP(C866,'Master Anggota'!$E$2:$J$678,2,0)</f>
        <v>Aktif</v>
      </c>
      <c r="G866" t="str">
        <f>VLOOKUP(C866,'Master Anggota'!$E$2:$J$678,5,0)</f>
        <v>00563</v>
      </c>
      <c r="H866" s="56">
        <v>0</v>
      </c>
      <c r="I866" s="56">
        <v>0</v>
      </c>
      <c r="J866" s="56">
        <v>100000</v>
      </c>
      <c r="K866" s="56">
        <v>150000</v>
      </c>
      <c r="L866" t="s">
        <v>659</v>
      </c>
      <c r="M866" s="71">
        <v>46136</v>
      </c>
      <c r="N866" t="s">
        <v>576</v>
      </c>
    </row>
    <row r="867" spans="3:14" hidden="1" x14ac:dyDescent="0.2">
      <c r="C867" t="s">
        <v>277</v>
      </c>
      <c r="D867" t="str">
        <f>VLOOKUP(C867,'Master Anggota'!$E$2:$J$678,2,0)</f>
        <v>Aktif</v>
      </c>
      <c r="G867" t="str">
        <f>VLOOKUP(C867,'Master Anggota'!$E$2:$J$678,5,0)</f>
        <v>00564</v>
      </c>
      <c r="H867" s="56">
        <v>0</v>
      </c>
      <c r="I867" s="56">
        <v>0</v>
      </c>
      <c r="J867" s="56">
        <v>100000</v>
      </c>
      <c r="K867" s="56">
        <v>100000</v>
      </c>
      <c r="L867" t="s">
        <v>659</v>
      </c>
      <c r="M867" s="71">
        <v>46136</v>
      </c>
      <c r="N867" t="s">
        <v>576</v>
      </c>
    </row>
    <row r="868" spans="3:14" hidden="1" x14ac:dyDescent="0.2">
      <c r="C868" t="s">
        <v>182</v>
      </c>
      <c r="D868" t="str">
        <f>VLOOKUP(C868,'Master Anggota'!$E$2:$J$678,2,0)</f>
        <v>Aktif</v>
      </c>
      <c r="G868" t="str">
        <f>VLOOKUP(C868,'Master Anggota'!$E$2:$J$678,5,0)</f>
        <v>00565</v>
      </c>
      <c r="H868" s="56">
        <v>0</v>
      </c>
      <c r="I868" s="56">
        <v>0</v>
      </c>
      <c r="J868" s="56">
        <v>100000</v>
      </c>
      <c r="K868" s="56">
        <v>400000</v>
      </c>
      <c r="L868" t="s">
        <v>659</v>
      </c>
      <c r="M868" s="71">
        <v>46136</v>
      </c>
      <c r="N868" t="s">
        <v>576</v>
      </c>
    </row>
    <row r="869" spans="3:14" hidden="1" x14ac:dyDescent="0.2">
      <c r="C869" t="s">
        <v>178</v>
      </c>
      <c r="D869" t="str">
        <f>VLOOKUP(C869,'Master Anggota'!$E$2:$J$678,2,0)</f>
        <v>Aktif</v>
      </c>
      <c r="G869" t="str">
        <f>VLOOKUP(C869,'Master Anggota'!$E$2:$J$678,5,0)</f>
        <v>00566</v>
      </c>
      <c r="H869" s="56">
        <v>0</v>
      </c>
      <c r="I869" s="56">
        <v>0</v>
      </c>
      <c r="J869" s="56">
        <v>100000</v>
      </c>
      <c r="K869" s="56">
        <v>150000</v>
      </c>
      <c r="L869" t="s">
        <v>659</v>
      </c>
      <c r="M869" s="71">
        <v>46136</v>
      </c>
      <c r="N869" t="s">
        <v>576</v>
      </c>
    </row>
    <row r="870" spans="3:14" hidden="1" x14ac:dyDescent="0.2">
      <c r="C870" t="s">
        <v>183</v>
      </c>
      <c r="D870" t="str">
        <f>VLOOKUP(C870,'Master Anggota'!$E$2:$J$678,2,0)</f>
        <v>Aktif</v>
      </c>
      <c r="G870" t="str">
        <f>VLOOKUP(C870,'Master Anggota'!$E$2:$J$678,5,0)</f>
        <v>00567</v>
      </c>
      <c r="H870" s="56">
        <v>0</v>
      </c>
      <c r="I870" s="56">
        <v>0</v>
      </c>
      <c r="J870" s="56">
        <v>200000</v>
      </c>
      <c r="K870" s="56">
        <v>300000</v>
      </c>
      <c r="L870" t="s">
        <v>659</v>
      </c>
      <c r="M870" s="71">
        <v>46136</v>
      </c>
      <c r="N870" t="s">
        <v>576</v>
      </c>
    </row>
    <row r="871" spans="3:14" hidden="1" x14ac:dyDescent="0.2">
      <c r="C871" t="s">
        <v>176</v>
      </c>
      <c r="D871" t="str">
        <f>VLOOKUP(C871,'Master Anggota'!$E$2:$J$678,2,0)</f>
        <v>Aktif</v>
      </c>
      <c r="G871" t="str">
        <f>VLOOKUP(C871,'Master Anggota'!$E$2:$J$678,5,0)</f>
        <v>00568</v>
      </c>
      <c r="H871" s="56">
        <v>0</v>
      </c>
      <c r="I871" s="56">
        <v>0</v>
      </c>
      <c r="J871" s="56">
        <v>100000</v>
      </c>
      <c r="K871" s="56">
        <v>100000</v>
      </c>
      <c r="L871" t="s">
        <v>659</v>
      </c>
      <c r="M871" s="71">
        <v>46136</v>
      </c>
      <c r="N871" t="s">
        <v>576</v>
      </c>
    </row>
    <row r="872" spans="3:14" hidden="1" x14ac:dyDescent="0.2">
      <c r="C872" t="s">
        <v>177</v>
      </c>
      <c r="D872" t="str">
        <f>VLOOKUP(C872,'Master Anggota'!$E$2:$J$678,2,0)</f>
        <v>Aktif</v>
      </c>
      <c r="G872" t="str">
        <f>VLOOKUP(C872,'Master Anggota'!$E$2:$J$678,5,0)</f>
        <v>00569</v>
      </c>
      <c r="H872" s="56">
        <v>0</v>
      </c>
      <c r="I872" s="56">
        <v>0</v>
      </c>
      <c r="J872" s="56">
        <v>100000</v>
      </c>
      <c r="K872" s="56">
        <v>150000</v>
      </c>
      <c r="L872" t="s">
        <v>659</v>
      </c>
      <c r="M872" s="71">
        <v>46136</v>
      </c>
      <c r="N872" t="s">
        <v>576</v>
      </c>
    </row>
    <row r="873" spans="3:14" hidden="1" x14ac:dyDescent="0.2">
      <c r="C873" t="s">
        <v>362</v>
      </c>
      <c r="D873" t="str">
        <f>VLOOKUP(C873,'Master Anggota'!$E$2:$J$678,2,0)</f>
        <v>Aktif</v>
      </c>
      <c r="G873" t="str">
        <f>VLOOKUP(C873,'Master Anggota'!$E$2:$J$678,5,0)</f>
        <v>00570</v>
      </c>
      <c r="H873" s="56">
        <v>0</v>
      </c>
      <c r="I873" s="56">
        <v>0</v>
      </c>
      <c r="J873" s="56">
        <v>100000</v>
      </c>
      <c r="K873" s="56">
        <v>500000</v>
      </c>
      <c r="L873" t="s">
        <v>659</v>
      </c>
      <c r="M873" s="71">
        <v>46136</v>
      </c>
      <c r="N873" t="s">
        <v>576</v>
      </c>
    </row>
    <row r="874" spans="3:14" hidden="1" x14ac:dyDescent="0.2">
      <c r="C874" t="s">
        <v>291</v>
      </c>
      <c r="D874" t="str">
        <f>VLOOKUP(C874,'Master Anggota'!$E$2:$J$678,2,0)</f>
        <v>Aktif</v>
      </c>
      <c r="G874" t="str">
        <f>VLOOKUP(C874,'Master Anggota'!$E$2:$J$678,5,0)</f>
        <v>00574</v>
      </c>
      <c r="H874" s="56">
        <v>0</v>
      </c>
      <c r="I874" s="56">
        <v>0</v>
      </c>
      <c r="J874" s="56">
        <v>100000</v>
      </c>
      <c r="K874" s="56">
        <v>75000</v>
      </c>
      <c r="L874" t="s">
        <v>659</v>
      </c>
      <c r="M874" s="71">
        <v>46136</v>
      </c>
      <c r="N874" t="s">
        <v>576</v>
      </c>
    </row>
    <row r="875" spans="3:14" hidden="1" x14ac:dyDescent="0.2">
      <c r="C875" t="s">
        <v>363</v>
      </c>
      <c r="D875" t="str">
        <f>VLOOKUP(C875,'Master Anggota'!$E$2:$J$678,2,0)</f>
        <v>Aktif</v>
      </c>
      <c r="G875" t="str">
        <f>VLOOKUP(C875,'Master Anggota'!$E$2:$J$678,5,0)</f>
        <v>00576</v>
      </c>
      <c r="H875" s="56">
        <v>0</v>
      </c>
      <c r="I875" s="56">
        <v>0</v>
      </c>
      <c r="J875" s="56">
        <v>100000</v>
      </c>
      <c r="K875" s="56">
        <v>100000</v>
      </c>
      <c r="L875" t="s">
        <v>659</v>
      </c>
      <c r="M875" s="71">
        <v>46136</v>
      </c>
      <c r="N875" t="s">
        <v>576</v>
      </c>
    </row>
    <row r="876" spans="3:14" hidden="1" x14ac:dyDescent="0.2">
      <c r="C876" t="s">
        <v>365</v>
      </c>
      <c r="D876" t="str">
        <f>VLOOKUP(C876,'Master Anggota'!$E$2:$J$678,2,0)</f>
        <v>Aktif</v>
      </c>
      <c r="G876" t="str">
        <f>VLOOKUP(C876,'Master Anggota'!$E$2:$J$678,5,0)</f>
        <v>00576</v>
      </c>
      <c r="H876" s="56">
        <v>0</v>
      </c>
      <c r="I876" s="56">
        <v>0</v>
      </c>
      <c r="J876" s="56">
        <v>100000</v>
      </c>
      <c r="K876" s="56">
        <v>50000</v>
      </c>
      <c r="L876" t="s">
        <v>659</v>
      </c>
      <c r="M876" s="71">
        <v>46136</v>
      </c>
      <c r="N876" t="s">
        <v>576</v>
      </c>
    </row>
    <row r="877" spans="3:14" hidden="1" x14ac:dyDescent="0.2">
      <c r="C877" t="s">
        <v>467</v>
      </c>
      <c r="D877" t="str">
        <f>VLOOKUP(C877,'Master Anggota'!$E$2:$J$678,2,0)</f>
        <v>Aktif</v>
      </c>
      <c r="G877" t="str">
        <f>VLOOKUP(C877,'Master Anggota'!$E$2:$J$678,5,0)</f>
        <v>00577</v>
      </c>
      <c r="H877" s="56">
        <v>0</v>
      </c>
      <c r="I877" s="56">
        <v>0</v>
      </c>
      <c r="J877" s="56">
        <v>100000</v>
      </c>
      <c r="K877" s="56">
        <v>150000</v>
      </c>
      <c r="L877" t="s">
        <v>659</v>
      </c>
      <c r="M877" s="71">
        <v>46136</v>
      </c>
      <c r="N877" t="s">
        <v>576</v>
      </c>
    </row>
    <row r="878" spans="3:14" hidden="1" x14ac:dyDescent="0.2">
      <c r="C878" t="s">
        <v>364</v>
      </c>
      <c r="D878" t="str">
        <f>VLOOKUP(C878,'Master Anggota'!$E$2:$J$678,2,0)</f>
        <v>Aktif</v>
      </c>
      <c r="G878" t="str">
        <f>VLOOKUP(C878,'Master Anggota'!$E$2:$J$678,5,0)</f>
        <v>00578</v>
      </c>
      <c r="H878" s="56">
        <v>0</v>
      </c>
      <c r="I878" s="56">
        <v>0</v>
      </c>
      <c r="J878" s="56">
        <v>100000</v>
      </c>
      <c r="K878" s="56">
        <v>100000</v>
      </c>
      <c r="L878" t="s">
        <v>659</v>
      </c>
      <c r="M878" s="71">
        <v>46136</v>
      </c>
      <c r="N878" t="s">
        <v>576</v>
      </c>
    </row>
    <row r="879" spans="3:14" hidden="1" x14ac:dyDescent="0.2">
      <c r="C879" t="s">
        <v>523</v>
      </c>
      <c r="D879" t="str">
        <f>VLOOKUP(C879,'Master Anggota'!$E$2:$J$678,2,0)</f>
        <v>Aktif</v>
      </c>
      <c r="G879" t="str">
        <f>VLOOKUP(C879,'Master Anggota'!$E$2:$J$678,5,0)</f>
        <v>00579</v>
      </c>
      <c r="H879" s="56">
        <v>0</v>
      </c>
      <c r="I879" s="56">
        <v>0</v>
      </c>
      <c r="J879" s="56">
        <v>100000</v>
      </c>
      <c r="K879" s="56">
        <v>200000</v>
      </c>
      <c r="L879" t="s">
        <v>659</v>
      </c>
      <c r="M879" s="71">
        <v>46136</v>
      </c>
      <c r="N879" t="s">
        <v>576</v>
      </c>
    </row>
    <row r="880" spans="3:14" hidden="1" x14ac:dyDescent="0.2">
      <c r="C880" t="s">
        <v>110</v>
      </c>
      <c r="D880" t="str">
        <f>VLOOKUP(C880,'Master Anggota'!$E$2:$J$678,2,0)</f>
        <v>Aktif</v>
      </c>
      <c r="G880" t="str">
        <f>VLOOKUP(C880,'Master Anggota'!$E$2:$J$678,5,0)</f>
        <v>00580</v>
      </c>
      <c r="H880" s="56">
        <v>0</v>
      </c>
      <c r="I880" s="56">
        <v>0</v>
      </c>
      <c r="J880" s="56">
        <v>100000</v>
      </c>
      <c r="K880" s="56">
        <v>50000</v>
      </c>
      <c r="L880" t="s">
        <v>659</v>
      </c>
      <c r="M880" s="71">
        <v>46136</v>
      </c>
      <c r="N880" t="s">
        <v>576</v>
      </c>
    </row>
    <row r="881" spans="3:14" hidden="1" x14ac:dyDescent="0.2">
      <c r="C881" t="s">
        <v>180</v>
      </c>
      <c r="D881" t="str">
        <f>VLOOKUP(C881,'Master Anggota'!$E$2:$J$678,2,0)</f>
        <v>Purna Bakti 2026</v>
      </c>
      <c r="G881" t="str">
        <f>VLOOKUP(C881,'Master Anggota'!$E$2:$J$678,5,0)</f>
        <v>00581</v>
      </c>
      <c r="H881" s="56">
        <v>0</v>
      </c>
      <c r="I881" s="56">
        <v>0</v>
      </c>
      <c r="J881" s="56">
        <v>100000</v>
      </c>
      <c r="K881" s="56">
        <v>400000</v>
      </c>
      <c r="L881" t="s">
        <v>659</v>
      </c>
      <c r="M881" s="71">
        <v>46136</v>
      </c>
      <c r="N881" t="s">
        <v>576</v>
      </c>
    </row>
    <row r="882" spans="3:14" hidden="1" x14ac:dyDescent="0.2">
      <c r="C882" t="s">
        <v>187</v>
      </c>
      <c r="D882" t="str">
        <f>VLOOKUP(C882,'Master Anggota'!$E$2:$J$678,2,0)</f>
        <v>Aktif</v>
      </c>
      <c r="G882" t="str">
        <f>VLOOKUP(C882,'Master Anggota'!$E$2:$J$678,5,0)</f>
        <v>00582</v>
      </c>
      <c r="H882" s="56">
        <v>0</v>
      </c>
      <c r="I882" s="56">
        <v>0</v>
      </c>
      <c r="J882" s="56">
        <v>200000</v>
      </c>
      <c r="K882" s="56">
        <v>300000</v>
      </c>
      <c r="L882" t="s">
        <v>659</v>
      </c>
      <c r="M882" s="71">
        <v>46136</v>
      </c>
      <c r="N882" t="s">
        <v>576</v>
      </c>
    </row>
    <row r="883" spans="3:14" hidden="1" x14ac:dyDescent="0.2">
      <c r="C883" t="s">
        <v>173</v>
      </c>
      <c r="D883" t="str">
        <f>VLOOKUP(C883,'Master Anggota'!$E$2:$J$678,2,0)</f>
        <v>Aktif</v>
      </c>
      <c r="G883" t="str">
        <f>VLOOKUP(C883,'Master Anggota'!$E$2:$J$678,5,0)</f>
        <v>00583</v>
      </c>
      <c r="H883" s="56">
        <v>0</v>
      </c>
      <c r="I883" s="56">
        <v>0</v>
      </c>
      <c r="J883" s="56">
        <v>100000</v>
      </c>
      <c r="K883" s="56">
        <v>100000</v>
      </c>
      <c r="L883" t="s">
        <v>659</v>
      </c>
      <c r="M883" s="71">
        <v>46136</v>
      </c>
      <c r="N883" t="s">
        <v>576</v>
      </c>
    </row>
    <row r="884" spans="3:14" hidden="1" x14ac:dyDescent="0.2">
      <c r="C884" t="s">
        <v>172</v>
      </c>
      <c r="D884" t="str">
        <f>VLOOKUP(C884,'Master Anggota'!$E$2:$J$678,2,0)</f>
        <v>Aktif</v>
      </c>
      <c r="G884" t="str">
        <f>VLOOKUP(C884,'Master Anggota'!$E$2:$J$678,5,0)</f>
        <v>00584</v>
      </c>
      <c r="H884" s="56">
        <v>0</v>
      </c>
      <c r="I884" s="56">
        <v>0</v>
      </c>
      <c r="J884" s="56">
        <v>100000</v>
      </c>
      <c r="K884" s="56">
        <v>100000</v>
      </c>
      <c r="L884" t="s">
        <v>659</v>
      </c>
      <c r="M884" s="71">
        <v>46136</v>
      </c>
      <c r="N884" t="s">
        <v>576</v>
      </c>
    </row>
    <row r="885" spans="3:14" hidden="1" x14ac:dyDescent="0.2">
      <c r="C885" t="s">
        <v>300</v>
      </c>
      <c r="D885" t="str">
        <f>VLOOKUP(C885,'Master Anggota'!$E$2:$J$678,2,0)</f>
        <v>Aktif</v>
      </c>
      <c r="G885" t="str">
        <f>VLOOKUP(C885,'Master Anggota'!$E$2:$J$678,5,0)</f>
        <v>00585</v>
      </c>
      <c r="H885" s="56">
        <v>0</v>
      </c>
      <c r="I885" s="56">
        <v>0</v>
      </c>
      <c r="J885" s="56">
        <v>100000</v>
      </c>
      <c r="K885" s="56">
        <v>125000</v>
      </c>
      <c r="L885" t="s">
        <v>659</v>
      </c>
      <c r="M885" s="71">
        <v>46136</v>
      </c>
      <c r="N885" t="s">
        <v>576</v>
      </c>
    </row>
    <row r="886" spans="3:14" hidden="1" x14ac:dyDescent="0.2">
      <c r="C886" t="s">
        <v>314</v>
      </c>
      <c r="D886" t="str">
        <f>VLOOKUP(C886,'Master Anggota'!$E$2:$J$678,2,0)</f>
        <v>Purna Bakti 2026</v>
      </c>
      <c r="G886" t="str">
        <f>VLOOKUP(C886,'Master Anggota'!$E$2:$J$678,5,0)</f>
        <v>00587</v>
      </c>
      <c r="H886" s="56">
        <v>0</v>
      </c>
      <c r="I886" s="56">
        <v>0</v>
      </c>
      <c r="J886" s="56">
        <v>100000</v>
      </c>
      <c r="K886" s="56">
        <v>400000</v>
      </c>
      <c r="L886" t="s">
        <v>659</v>
      </c>
      <c r="M886" s="71">
        <v>46136</v>
      </c>
      <c r="N886" t="s">
        <v>576</v>
      </c>
    </row>
    <row r="887" spans="3:14" hidden="1" x14ac:dyDescent="0.2">
      <c r="C887" t="s">
        <v>186</v>
      </c>
      <c r="D887" t="str">
        <f>VLOOKUP(C887,'Master Anggota'!$E$2:$J$678,2,0)</f>
        <v>Aktif</v>
      </c>
      <c r="G887" t="str">
        <f>VLOOKUP(C887,'Master Anggota'!$E$2:$J$678,5,0)</f>
        <v>00588</v>
      </c>
      <c r="H887" s="56">
        <v>0</v>
      </c>
      <c r="I887" s="56">
        <v>0</v>
      </c>
      <c r="J887" s="56">
        <v>100000</v>
      </c>
      <c r="K887" s="56">
        <v>250000</v>
      </c>
      <c r="L887" t="s">
        <v>659</v>
      </c>
      <c r="M887" s="71">
        <v>46136</v>
      </c>
      <c r="N887" t="s">
        <v>576</v>
      </c>
    </row>
    <row r="888" spans="3:14" hidden="1" x14ac:dyDescent="0.2">
      <c r="C888" t="s">
        <v>306</v>
      </c>
      <c r="D888" t="str">
        <f>VLOOKUP(C888,'Master Anggota'!$E$2:$J$678,2,0)</f>
        <v>Aktif</v>
      </c>
      <c r="G888" t="str">
        <f>VLOOKUP(C888,'Master Anggota'!$E$2:$J$678,5,0)</f>
        <v>00589</v>
      </c>
      <c r="H888" s="56">
        <v>0</v>
      </c>
      <c r="I888" s="56">
        <v>0</v>
      </c>
      <c r="J888" s="56">
        <v>100000</v>
      </c>
      <c r="K888" s="56">
        <v>100000</v>
      </c>
      <c r="L888" t="s">
        <v>659</v>
      </c>
      <c r="M888" s="71">
        <v>46136</v>
      </c>
      <c r="N888" t="s">
        <v>576</v>
      </c>
    </row>
    <row r="889" spans="3:14" hidden="1" x14ac:dyDescent="0.2">
      <c r="C889" t="s">
        <v>307</v>
      </c>
      <c r="D889" t="str">
        <f>VLOOKUP(C889,'Master Anggota'!$E$2:$J$678,2,0)</f>
        <v>Aktif</v>
      </c>
      <c r="G889" t="str">
        <f>VLOOKUP(C889,'Master Anggota'!$E$2:$J$678,5,0)</f>
        <v>00591</v>
      </c>
      <c r="H889" s="56">
        <v>0</v>
      </c>
      <c r="I889" s="56">
        <v>0</v>
      </c>
      <c r="J889" s="56">
        <v>150000</v>
      </c>
      <c r="K889" s="56">
        <v>50000</v>
      </c>
      <c r="L889" t="s">
        <v>659</v>
      </c>
      <c r="M889" s="71">
        <v>46136</v>
      </c>
      <c r="N889" t="s">
        <v>576</v>
      </c>
    </row>
    <row r="890" spans="3:14" hidden="1" x14ac:dyDescent="0.2">
      <c r="C890" t="s">
        <v>389</v>
      </c>
      <c r="D890" t="str">
        <f>VLOOKUP(C890,'Master Anggota'!$E$2:$J$678,2,0)</f>
        <v>Aktif</v>
      </c>
      <c r="G890" t="str">
        <f>VLOOKUP(C890,'Master Anggota'!$E$2:$J$678,5,0)</f>
        <v>00593</v>
      </c>
      <c r="H890" s="56">
        <v>0</v>
      </c>
      <c r="I890" s="56">
        <v>0</v>
      </c>
      <c r="J890" s="56">
        <v>100000</v>
      </c>
      <c r="K890" s="56">
        <v>250000</v>
      </c>
      <c r="L890" t="s">
        <v>659</v>
      </c>
      <c r="M890" s="71">
        <v>46136</v>
      </c>
      <c r="N890" t="s">
        <v>576</v>
      </c>
    </row>
    <row r="891" spans="3:14" hidden="1" x14ac:dyDescent="0.2">
      <c r="C891" t="s">
        <v>188</v>
      </c>
      <c r="D891" t="str">
        <f>VLOOKUP(C891,'Master Anggota'!$E$2:$J$678,2,0)</f>
        <v>Aktif</v>
      </c>
      <c r="G891" t="str">
        <f>VLOOKUP(C891,'Master Anggota'!$E$2:$J$678,5,0)</f>
        <v>00596</v>
      </c>
      <c r="H891" s="56">
        <v>0</v>
      </c>
      <c r="I891" s="56">
        <v>0</v>
      </c>
      <c r="J891" s="56">
        <v>100000</v>
      </c>
      <c r="K891" s="56">
        <v>500000</v>
      </c>
      <c r="L891" t="s">
        <v>659</v>
      </c>
      <c r="M891" s="71">
        <v>46136</v>
      </c>
      <c r="N891" t="s">
        <v>576</v>
      </c>
    </row>
    <row r="892" spans="3:14" hidden="1" x14ac:dyDescent="0.2">
      <c r="C892" t="s">
        <v>309</v>
      </c>
      <c r="D892" t="str">
        <f>VLOOKUP(C892,'Master Anggota'!$E$2:$J$678,2,0)</f>
        <v>Aktif</v>
      </c>
      <c r="G892" t="str">
        <f>VLOOKUP(C892,'Master Anggota'!$E$2:$J$678,5,0)</f>
        <v>00602</v>
      </c>
      <c r="H892" s="56">
        <v>0</v>
      </c>
      <c r="I892" s="56">
        <v>0</v>
      </c>
      <c r="J892" s="56">
        <v>100000</v>
      </c>
      <c r="K892" s="56">
        <v>50000</v>
      </c>
      <c r="L892" t="s">
        <v>659</v>
      </c>
      <c r="M892" s="71">
        <v>46136</v>
      </c>
      <c r="N892" t="s">
        <v>576</v>
      </c>
    </row>
    <row r="893" spans="3:14" hidden="1" x14ac:dyDescent="0.2">
      <c r="C893" t="s">
        <v>325</v>
      </c>
      <c r="D893" t="str">
        <f>VLOOKUP(C893,'Master Anggota'!$E$2:$J$678,2,0)</f>
        <v>Purna Bakti 2026</v>
      </c>
      <c r="G893" t="str">
        <f>VLOOKUP(C893,'Master Anggota'!$E$2:$J$678,5,0)</f>
        <v>00607</v>
      </c>
      <c r="H893" s="56">
        <v>0</v>
      </c>
      <c r="I893" s="56">
        <v>0</v>
      </c>
      <c r="J893" s="56">
        <v>100000</v>
      </c>
      <c r="K893" s="56">
        <v>150000</v>
      </c>
      <c r="L893" t="s">
        <v>659</v>
      </c>
      <c r="M893" s="71">
        <v>46136</v>
      </c>
      <c r="N893" t="s">
        <v>576</v>
      </c>
    </row>
    <row r="894" spans="3:14" hidden="1" x14ac:dyDescent="0.2">
      <c r="C894" t="s">
        <v>326</v>
      </c>
      <c r="D894" t="str">
        <f>VLOOKUP(C894,'Master Anggota'!$E$2:$J$678,2,0)</f>
        <v>Aktif</v>
      </c>
      <c r="G894" t="str">
        <f>VLOOKUP(C894,'Master Anggota'!$E$2:$J$678,5,0)</f>
        <v>00608</v>
      </c>
      <c r="H894" s="56">
        <v>0</v>
      </c>
      <c r="I894" s="56">
        <v>0</v>
      </c>
      <c r="J894" s="56">
        <v>100000</v>
      </c>
      <c r="K894" s="56">
        <v>100000</v>
      </c>
      <c r="L894" t="s">
        <v>659</v>
      </c>
      <c r="M894" s="71">
        <v>46136</v>
      </c>
      <c r="N894" t="s">
        <v>576</v>
      </c>
    </row>
    <row r="895" spans="3:14" hidden="1" x14ac:dyDescent="0.2">
      <c r="C895" t="s">
        <v>370</v>
      </c>
      <c r="D895" t="str">
        <f>VLOOKUP(C895,'Master Anggota'!$E$2:$J$678,2,0)</f>
        <v>Aktif</v>
      </c>
      <c r="G895" t="str">
        <f>VLOOKUP(C895,'Master Anggota'!$E$2:$J$678,5,0)</f>
        <v>00610</v>
      </c>
      <c r="H895" s="56">
        <v>0</v>
      </c>
      <c r="I895" s="56">
        <v>0</v>
      </c>
      <c r="J895" s="56">
        <v>100000</v>
      </c>
      <c r="K895" s="56">
        <v>500000</v>
      </c>
      <c r="L895" t="s">
        <v>659</v>
      </c>
      <c r="M895" s="71">
        <v>46136</v>
      </c>
      <c r="N895" t="s">
        <v>576</v>
      </c>
    </row>
    <row r="896" spans="3:14" hidden="1" x14ac:dyDescent="0.2">
      <c r="C896" t="s">
        <v>519</v>
      </c>
      <c r="D896" t="str">
        <f>VLOOKUP(C896,'Master Anggota'!$E$2:$J$678,2,0)</f>
        <v>Aktif</v>
      </c>
      <c r="G896" t="str">
        <f>VLOOKUP(C896,'Master Anggota'!$E$2:$J$678,5,0)</f>
        <v>00611</v>
      </c>
      <c r="H896" s="56">
        <v>0</v>
      </c>
      <c r="I896" s="56">
        <v>0</v>
      </c>
      <c r="J896" s="56">
        <v>100000</v>
      </c>
      <c r="K896" s="56">
        <v>100000</v>
      </c>
      <c r="L896" t="s">
        <v>659</v>
      </c>
      <c r="M896" s="71">
        <v>46136</v>
      </c>
      <c r="N896" t="s">
        <v>576</v>
      </c>
    </row>
    <row r="897" spans="3:14" hidden="1" x14ac:dyDescent="0.2">
      <c r="C897" t="s">
        <v>442</v>
      </c>
      <c r="D897" t="str">
        <f>VLOOKUP(C897,'Master Anggota'!$E$2:$J$678,2,0)</f>
        <v>Aktif</v>
      </c>
      <c r="G897" t="str">
        <f>VLOOKUP(C897,'Master Anggota'!$E$2:$J$678,5,0)</f>
        <v>00613</v>
      </c>
      <c r="H897" s="56">
        <v>0</v>
      </c>
      <c r="I897" s="56">
        <v>0</v>
      </c>
      <c r="J897" s="56">
        <v>100000</v>
      </c>
      <c r="K897" s="56">
        <v>150000</v>
      </c>
      <c r="L897" t="s">
        <v>659</v>
      </c>
      <c r="M897" s="71">
        <v>46136</v>
      </c>
      <c r="N897" t="s">
        <v>576</v>
      </c>
    </row>
    <row r="898" spans="3:14" hidden="1" x14ac:dyDescent="0.2">
      <c r="C898" t="s">
        <v>400</v>
      </c>
      <c r="D898" t="str">
        <f>VLOOKUP(C898,'Master Anggota'!$E$2:$J$678,2,0)</f>
        <v>Aktif</v>
      </c>
      <c r="G898" t="str">
        <f>VLOOKUP(C898,'Master Anggota'!$E$2:$J$678,5,0)</f>
        <v>00614</v>
      </c>
      <c r="H898" s="56">
        <v>0</v>
      </c>
      <c r="I898" s="56">
        <v>0</v>
      </c>
      <c r="J898" s="56">
        <v>100000</v>
      </c>
      <c r="K898" s="56">
        <v>100000</v>
      </c>
      <c r="L898" t="s">
        <v>659</v>
      </c>
      <c r="M898" s="71">
        <v>46136</v>
      </c>
      <c r="N898" t="s">
        <v>576</v>
      </c>
    </row>
    <row r="899" spans="3:14" hidden="1" x14ac:dyDescent="0.2">
      <c r="C899" t="s">
        <v>438</v>
      </c>
      <c r="D899" t="str">
        <f>VLOOKUP(C899,'Master Anggota'!$E$2:$J$678,2,0)</f>
        <v>Aktif</v>
      </c>
      <c r="G899" t="str">
        <f>VLOOKUP(C899,'Master Anggota'!$E$2:$J$678,5,0)</f>
        <v>00616</v>
      </c>
      <c r="H899" s="56">
        <v>0</v>
      </c>
      <c r="I899" s="56">
        <v>0</v>
      </c>
      <c r="J899" s="56">
        <v>100000</v>
      </c>
      <c r="K899" s="56">
        <v>250000</v>
      </c>
      <c r="L899" t="s">
        <v>659</v>
      </c>
      <c r="M899" s="71">
        <v>46136</v>
      </c>
      <c r="N899" t="s">
        <v>576</v>
      </c>
    </row>
    <row r="900" spans="3:14" hidden="1" x14ac:dyDescent="0.2">
      <c r="C900" t="s">
        <v>312</v>
      </c>
      <c r="D900" t="str">
        <f>VLOOKUP(C900,'Master Anggota'!$E$2:$J$678,2,0)</f>
        <v>Aktif</v>
      </c>
      <c r="G900" t="str">
        <f>VLOOKUP(C900,'Master Anggota'!$E$2:$J$678,5,0)</f>
        <v>00621</v>
      </c>
      <c r="H900" s="56">
        <v>0</v>
      </c>
      <c r="I900" s="56">
        <v>0</v>
      </c>
      <c r="J900" s="56">
        <v>100000</v>
      </c>
      <c r="K900" s="56">
        <v>100000</v>
      </c>
      <c r="L900" t="s">
        <v>659</v>
      </c>
      <c r="M900" s="71">
        <v>46136</v>
      </c>
      <c r="N900" t="s">
        <v>576</v>
      </c>
    </row>
    <row r="901" spans="3:14" hidden="1" x14ac:dyDescent="0.2">
      <c r="C901" t="s">
        <v>452</v>
      </c>
      <c r="D901" t="str">
        <f>VLOOKUP(C901,'Master Anggota'!$E$2:$J$678,2,0)</f>
        <v>Aktif</v>
      </c>
      <c r="G901" t="str">
        <f>VLOOKUP(C901,'Master Anggota'!$E$2:$J$678,5,0)</f>
        <v>00623</v>
      </c>
      <c r="H901" s="56">
        <v>0</v>
      </c>
      <c r="I901" s="56">
        <v>0</v>
      </c>
      <c r="J901" s="56">
        <v>100000</v>
      </c>
      <c r="K901" s="56">
        <v>50000</v>
      </c>
      <c r="L901" t="s">
        <v>659</v>
      </c>
      <c r="M901" s="71">
        <v>46136</v>
      </c>
      <c r="N901" t="s">
        <v>576</v>
      </c>
    </row>
    <row r="902" spans="3:14" hidden="1" x14ac:dyDescent="0.2">
      <c r="C902" t="s">
        <v>324</v>
      </c>
      <c r="D902" t="str">
        <f>VLOOKUP(C902,'Master Anggota'!$E$2:$J$678,2,0)</f>
        <v>Aktif</v>
      </c>
      <c r="G902" t="str">
        <f>VLOOKUP(C902,'Master Anggota'!$E$2:$J$678,5,0)</f>
        <v>00626</v>
      </c>
      <c r="H902" s="56">
        <v>0</v>
      </c>
      <c r="I902" s="56">
        <v>0</v>
      </c>
      <c r="J902" s="56">
        <v>100000</v>
      </c>
      <c r="K902" s="56">
        <v>200000</v>
      </c>
      <c r="L902" t="s">
        <v>659</v>
      </c>
      <c r="M902" s="71">
        <v>46136</v>
      </c>
      <c r="N902" t="s">
        <v>576</v>
      </c>
    </row>
    <row r="903" spans="3:14" hidden="1" x14ac:dyDescent="0.2">
      <c r="C903" t="s">
        <v>445</v>
      </c>
      <c r="D903" t="str">
        <f>VLOOKUP(C903,'Master Anggota'!$E$2:$J$678,2,0)</f>
        <v>Aktif</v>
      </c>
      <c r="G903" t="str">
        <f>VLOOKUP(C903,'Master Anggota'!$E$2:$J$678,5,0)</f>
        <v>00628</v>
      </c>
      <c r="H903" s="56">
        <v>0</v>
      </c>
      <c r="I903" s="56">
        <v>0</v>
      </c>
      <c r="J903" s="56">
        <v>100000</v>
      </c>
      <c r="K903" s="56">
        <v>150000</v>
      </c>
      <c r="L903" t="s">
        <v>659</v>
      </c>
      <c r="M903" s="71">
        <v>46136</v>
      </c>
      <c r="N903" t="s">
        <v>576</v>
      </c>
    </row>
    <row r="904" spans="3:14" hidden="1" x14ac:dyDescent="0.2">
      <c r="C904" t="s">
        <v>425</v>
      </c>
      <c r="D904" t="str">
        <f>VLOOKUP(C904,'Master Anggota'!$E$2:$J$678,2,0)</f>
        <v>Aktif</v>
      </c>
      <c r="G904" t="str">
        <f>VLOOKUP(C904,'Master Anggota'!$E$2:$J$678,5,0)</f>
        <v>00629</v>
      </c>
      <c r="H904" s="56">
        <v>0</v>
      </c>
      <c r="I904" s="56">
        <v>0</v>
      </c>
      <c r="J904" s="56">
        <v>100000</v>
      </c>
      <c r="K904" s="56">
        <v>50000</v>
      </c>
      <c r="L904" t="s">
        <v>659</v>
      </c>
      <c r="M904" s="71">
        <v>46136</v>
      </c>
      <c r="N904" t="s">
        <v>576</v>
      </c>
    </row>
    <row r="905" spans="3:14" hidden="1" x14ac:dyDescent="0.2">
      <c r="C905" t="s">
        <v>157</v>
      </c>
      <c r="D905" t="str">
        <f>VLOOKUP(C905,'Master Anggota'!$E$2:$J$678,2,0)</f>
        <v>Aktif</v>
      </c>
      <c r="G905" t="str">
        <f>VLOOKUP(C905,'Master Anggota'!$E$2:$J$678,5,0)</f>
        <v>00633</v>
      </c>
      <c r="H905" s="56">
        <v>0</v>
      </c>
      <c r="I905" s="56">
        <v>0</v>
      </c>
      <c r="J905" s="56">
        <v>100000</v>
      </c>
      <c r="K905" s="56">
        <v>12500</v>
      </c>
      <c r="L905" t="s">
        <v>659</v>
      </c>
      <c r="M905" s="71">
        <v>46136</v>
      </c>
      <c r="N905" t="s">
        <v>576</v>
      </c>
    </row>
    <row r="906" spans="3:14" hidden="1" x14ac:dyDescent="0.2">
      <c r="C906" t="s">
        <v>435</v>
      </c>
      <c r="D906" t="str">
        <f>VLOOKUP(C906,'Master Anggota'!$E$2:$J$678,2,0)</f>
        <v>Aktif</v>
      </c>
      <c r="G906" t="str">
        <f>VLOOKUP(C906,'Master Anggota'!$E$2:$J$678,5,0)</f>
        <v>00637</v>
      </c>
      <c r="H906" s="56">
        <v>0</v>
      </c>
      <c r="I906" s="56">
        <v>0</v>
      </c>
      <c r="J906" s="56">
        <v>100000</v>
      </c>
      <c r="K906" s="56">
        <v>100000</v>
      </c>
      <c r="L906" t="s">
        <v>659</v>
      </c>
      <c r="M906" s="71">
        <v>46136</v>
      </c>
      <c r="N906" t="s">
        <v>576</v>
      </c>
    </row>
    <row r="907" spans="3:14" hidden="1" x14ac:dyDescent="0.2">
      <c r="C907" t="s">
        <v>436</v>
      </c>
      <c r="D907" t="str">
        <f>VLOOKUP(C907,'Master Anggota'!$E$2:$J$678,2,0)</f>
        <v>Aktif</v>
      </c>
      <c r="G907" t="str">
        <f>VLOOKUP(C907,'Master Anggota'!$E$2:$J$678,5,0)</f>
        <v>01708</v>
      </c>
      <c r="H907" s="56">
        <v>0</v>
      </c>
      <c r="I907" s="56">
        <v>0</v>
      </c>
      <c r="J907" s="56">
        <v>100000</v>
      </c>
      <c r="K907" s="56">
        <v>100000</v>
      </c>
      <c r="L907" t="s">
        <v>659</v>
      </c>
      <c r="M907" s="71">
        <v>46136</v>
      </c>
      <c r="N907" t="s">
        <v>576</v>
      </c>
    </row>
    <row r="908" spans="3:14" hidden="1" x14ac:dyDescent="0.2">
      <c r="C908" t="s">
        <v>160</v>
      </c>
      <c r="D908" t="str">
        <f>VLOOKUP(C908,'Master Anggota'!$E$2:$J$678,2,0)</f>
        <v>Aktif</v>
      </c>
      <c r="G908" t="str">
        <f>VLOOKUP(C908,'Master Anggota'!$E$2:$J$678,5,0)</f>
        <v>01166</v>
      </c>
      <c r="H908" s="56">
        <v>0</v>
      </c>
      <c r="I908" s="56">
        <v>0</v>
      </c>
      <c r="J908" s="56">
        <v>100000</v>
      </c>
      <c r="K908" s="56">
        <v>75000</v>
      </c>
      <c r="L908" t="s">
        <v>659</v>
      </c>
      <c r="M908" s="71">
        <v>46136</v>
      </c>
      <c r="N908" t="s">
        <v>576</v>
      </c>
    </row>
    <row r="909" spans="3:14" hidden="1" x14ac:dyDescent="0.2">
      <c r="C909" t="s">
        <v>319</v>
      </c>
      <c r="D909" t="str">
        <f>VLOOKUP(C909,'Master Anggota'!$E$2:$J$678,2,0)</f>
        <v>Aktif</v>
      </c>
      <c r="G909" t="str">
        <f>VLOOKUP(C909,'Master Anggota'!$E$2:$J$678,5,0)</f>
        <v>01302</v>
      </c>
      <c r="H909" s="56">
        <v>0</v>
      </c>
      <c r="I909" s="56">
        <v>0</v>
      </c>
      <c r="J909" s="56">
        <v>100000</v>
      </c>
      <c r="K909" s="56">
        <v>175000</v>
      </c>
      <c r="L909" t="s">
        <v>659</v>
      </c>
      <c r="M909" s="71">
        <v>46136</v>
      </c>
      <c r="N909" t="s">
        <v>576</v>
      </c>
    </row>
    <row r="910" spans="3:14" hidden="1" x14ac:dyDescent="0.2">
      <c r="C910" t="s">
        <v>289</v>
      </c>
      <c r="D910" t="str">
        <f>VLOOKUP(C910,'Master Anggota'!$E$2:$J$678,2,0)</f>
        <v>Aktif</v>
      </c>
      <c r="G910" t="str">
        <f>VLOOKUP(C910,'Master Anggota'!$E$2:$J$678,5,0)</f>
        <v>01511</v>
      </c>
      <c r="H910" s="56">
        <v>0</v>
      </c>
      <c r="I910" s="56">
        <v>0</v>
      </c>
      <c r="J910" s="56">
        <v>100000</v>
      </c>
      <c r="K910" s="56">
        <v>75000</v>
      </c>
      <c r="L910" t="s">
        <v>659</v>
      </c>
      <c r="M910" s="71">
        <v>46136</v>
      </c>
      <c r="N910" t="s">
        <v>576</v>
      </c>
    </row>
    <row r="911" spans="3:14" hidden="1" x14ac:dyDescent="0.2">
      <c r="C911" t="s">
        <v>169</v>
      </c>
      <c r="D911" t="str">
        <f>VLOOKUP(C911,'Master Anggota'!$E$2:$J$678,2,0)</f>
        <v>Aktif</v>
      </c>
      <c r="G911" t="str">
        <f>VLOOKUP(C911,'Master Anggota'!$E$2:$J$678,5,0)</f>
        <v>01157</v>
      </c>
      <c r="H911" s="56">
        <v>0</v>
      </c>
      <c r="I911" s="56">
        <v>0</v>
      </c>
      <c r="J911" s="56">
        <v>100000</v>
      </c>
      <c r="K911" s="56">
        <v>100000</v>
      </c>
      <c r="L911" t="s">
        <v>659</v>
      </c>
      <c r="M911" s="71">
        <v>46136</v>
      </c>
      <c r="N911" t="s">
        <v>576</v>
      </c>
    </row>
    <row r="912" spans="3:14" hidden="1" x14ac:dyDescent="0.2">
      <c r="C912" t="s">
        <v>279</v>
      </c>
      <c r="D912" t="str">
        <f>VLOOKUP(C912,'Master Anggota'!$E$2:$J$678,2,0)</f>
        <v>Aktif</v>
      </c>
      <c r="G912" t="str">
        <f>VLOOKUP(C912,'Master Anggota'!$E$2:$J$678,5,0)</f>
        <v>01315</v>
      </c>
      <c r="H912" s="56">
        <v>0</v>
      </c>
      <c r="I912" s="56">
        <v>0</v>
      </c>
      <c r="J912" s="56">
        <v>100000</v>
      </c>
      <c r="K912" s="56">
        <v>50000</v>
      </c>
      <c r="L912" t="s">
        <v>659</v>
      </c>
      <c r="M912" s="71">
        <v>46136</v>
      </c>
      <c r="N912" t="s">
        <v>576</v>
      </c>
    </row>
    <row r="913" spans="3:14" hidden="1" x14ac:dyDescent="0.2">
      <c r="C913" t="s">
        <v>358</v>
      </c>
      <c r="D913" t="str">
        <f>VLOOKUP(C913,'Master Anggota'!$E$2:$J$678,2,0)</f>
        <v>Aktif</v>
      </c>
      <c r="G913" t="str">
        <f>VLOOKUP(C913,'Master Anggota'!$E$2:$J$678,5,0)</f>
        <v>01530</v>
      </c>
      <c r="H913" s="56">
        <v>0</v>
      </c>
      <c r="I913" s="56">
        <v>0</v>
      </c>
      <c r="J913" s="56">
        <v>100000</v>
      </c>
      <c r="K913" s="56">
        <v>50000</v>
      </c>
      <c r="L913" t="s">
        <v>659</v>
      </c>
      <c r="M913" s="71">
        <v>46136</v>
      </c>
      <c r="N913" t="s">
        <v>576</v>
      </c>
    </row>
    <row r="914" spans="3:14" hidden="1" x14ac:dyDescent="0.2">
      <c r="C914" t="s">
        <v>304</v>
      </c>
      <c r="D914" t="str">
        <f>VLOOKUP(C914,'Master Anggota'!$E$2:$J$678,2,0)</f>
        <v>Aktif</v>
      </c>
      <c r="G914" t="str">
        <f>VLOOKUP(C914,'Master Anggota'!$E$2:$J$678,5,0)</f>
        <v>01541</v>
      </c>
      <c r="H914" s="56">
        <v>0</v>
      </c>
      <c r="I914" s="56">
        <v>0</v>
      </c>
      <c r="J914" s="56">
        <v>100000</v>
      </c>
      <c r="K914" s="56">
        <v>150000</v>
      </c>
      <c r="L914" t="s">
        <v>659</v>
      </c>
      <c r="M914" s="71">
        <v>46136</v>
      </c>
      <c r="N914" t="s">
        <v>576</v>
      </c>
    </row>
    <row r="915" spans="3:14" hidden="1" x14ac:dyDescent="0.2">
      <c r="C915" t="s">
        <v>310</v>
      </c>
      <c r="D915" t="str">
        <f>VLOOKUP(C915,'Master Anggota'!$E$2:$J$678,2,0)</f>
        <v>Aktif</v>
      </c>
      <c r="G915" t="str">
        <f>VLOOKUP(C915,'Master Anggota'!$E$2:$J$678,5,0)</f>
        <v>01543</v>
      </c>
      <c r="H915" s="56">
        <v>0</v>
      </c>
      <c r="I915" s="56">
        <v>0</v>
      </c>
      <c r="J915" s="56">
        <v>100000</v>
      </c>
      <c r="K915" s="56">
        <v>150000</v>
      </c>
      <c r="L915" t="s">
        <v>659</v>
      </c>
      <c r="M915" s="71">
        <v>46136</v>
      </c>
      <c r="N915" t="s">
        <v>576</v>
      </c>
    </row>
    <row r="916" spans="3:14" hidden="1" x14ac:dyDescent="0.2">
      <c r="C916" t="s">
        <v>316</v>
      </c>
      <c r="D916" t="str">
        <f>VLOOKUP(C916,'Master Anggota'!$E$2:$J$678,2,0)</f>
        <v>Aktif</v>
      </c>
      <c r="G916" t="str">
        <f>VLOOKUP(C916,'Master Anggota'!$E$2:$J$678,5,0)</f>
        <v>01544</v>
      </c>
      <c r="H916" s="56">
        <v>0</v>
      </c>
      <c r="I916" s="56">
        <v>0</v>
      </c>
      <c r="J916" s="56">
        <v>100000</v>
      </c>
      <c r="K916" s="56">
        <v>150000</v>
      </c>
      <c r="L916" t="s">
        <v>659</v>
      </c>
      <c r="M916" s="71">
        <v>46136</v>
      </c>
      <c r="N916" t="s">
        <v>576</v>
      </c>
    </row>
    <row r="917" spans="3:14" hidden="1" x14ac:dyDescent="0.2">
      <c r="C917" t="s">
        <v>421</v>
      </c>
      <c r="D917" t="str">
        <f>VLOOKUP(C917,'Master Anggota'!$E$2:$J$678,2,0)</f>
        <v>Aktif</v>
      </c>
      <c r="G917" t="str">
        <f>VLOOKUP(C917,'Master Anggota'!$E$2:$J$678,5,0)</f>
        <v>01560</v>
      </c>
      <c r="H917" s="56">
        <v>0</v>
      </c>
      <c r="I917" s="56">
        <v>0</v>
      </c>
      <c r="J917" s="56">
        <v>100000</v>
      </c>
      <c r="K917" s="56">
        <v>250000</v>
      </c>
      <c r="L917" t="s">
        <v>659</v>
      </c>
      <c r="M917" s="71">
        <v>46136</v>
      </c>
      <c r="N917" t="s">
        <v>576</v>
      </c>
    </row>
    <row r="918" spans="3:14" hidden="1" x14ac:dyDescent="0.2">
      <c r="C918" t="s">
        <v>482</v>
      </c>
      <c r="D918" t="str">
        <f>VLOOKUP(C918,'Master Anggota'!$E$2:$J$678,2,0)</f>
        <v>Aktif</v>
      </c>
      <c r="G918" t="str">
        <f>VLOOKUP(C918,'Master Anggota'!$E$2:$J$678,5,0)</f>
        <v>01561</v>
      </c>
      <c r="H918" s="56">
        <v>0</v>
      </c>
      <c r="I918" s="56">
        <v>0</v>
      </c>
      <c r="J918" s="56">
        <v>100000</v>
      </c>
      <c r="K918" s="56">
        <v>100000</v>
      </c>
      <c r="L918" t="s">
        <v>659</v>
      </c>
      <c r="M918" s="71">
        <v>46136</v>
      </c>
      <c r="N918" t="s">
        <v>576</v>
      </c>
    </row>
    <row r="919" spans="3:14" hidden="1" x14ac:dyDescent="0.2">
      <c r="C919" t="s">
        <v>317</v>
      </c>
      <c r="D919" t="str">
        <f>VLOOKUP(C919,'Master Anggota'!$E$2:$J$678,2,0)</f>
        <v>Aktif</v>
      </c>
      <c r="G919" t="str">
        <f>VLOOKUP(C919,'Master Anggota'!$E$2:$J$678,5,0)</f>
        <v>01573</v>
      </c>
      <c r="H919" s="56">
        <v>0</v>
      </c>
      <c r="I919" s="56">
        <v>0</v>
      </c>
      <c r="J919" s="56">
        <v>100000</v>
      </c>
      <c r="K919" s="56">
        <v>400000</v>
      </c>
      <c r="L919" t="s">
        <v>659</v>
      </c>
      <c r="M919" s="71">
        <v>46136</v>
      </c>
      <c r="N919" t="s">
        <v>576</v>
      </c>
    </row>
    <row r="920" spans="3:14" hidden="1" x14ac:dyDescent="0.2">
      <c r="C920" t="s">
        <v>313</v>
      </c>
      <c r="D920" t="str">
        <f>VLOOKUP(C920,'Master Anggota'!$E$2:$J$678,2,0)</f>
        <v>Aktif</v>
      </c>
      <c r="G920" t="str">
        <f>VLOOKUP(C920,'Master Anggota'!$E$2:$J$678,5,0)</f>
        <v>01594</v>
      </c>
      <c r="H920" s="56">
        <v>0</v>
      </c>
      <c r="I920" s="56">
        <v>0</v>
      </c>
      <c r="J920" s="56">
        <v>100000</v>
      </c>
      <c r="K920" s="56">
        <v>50000</v>
      </c>
      <c r="L920" t="s">
        <v>659</v>
      </c>
      <c r="M920" s="71">
        <v>46136</v>
      </c>
      <c r="N920" t="s">
        <v>576</v>
      </c>
    </row>
    <row r="921" spans="3:14" hidden="1" x14ac:dyDescent="0.2">
      <c r="C921" t="s">
        <v>323</v>
      </c>
      <c r="D921" t="str">
        <f>VLOOKUP(C921,'Master Anggota'!$E$2:$J$678,2,0)</f>
        <v>Aktif</v>
      </c>
      <c r="G921" t="str">
        <f>VLOOKUP(C921,'Master Anggota'!$E$2:$J$678,5,0)</f>
        <v>01601</v>
      </c>
      <c r="H921" s="56">
        <v>0</v>
      </c>
      <c r="I921" s="56">
        <v>0</v>
      </c>
      <c r="J921" s="56">
        <v>100000</v>
      </c>
      <c r="K921" s="56">
        <v>150000</v>
      </c>
      <c r="L921" t="s">
        <v>659</v>
      </c>
      <c r="M921" s="71">
        <v>46136</v>
      </c>
      <c r="N921" t="s">
        <v>576</v>
      </c>
    </row>
    <row r="922" spans="3:14" hidden="1" x14ac:dyDescent="0.2">
      <c r="C922" t="s">
        <v>311</v>
      </c>
      <c r="D922" t="str">
        <f>VLOOKUP(C922,'Master Anggota'!$E$2:$J$678,2,0)</f>
        <v>Aktif</v>
      </c>
      <c r="G922" t="str">
        <f>VLOOKUP(C922,'Master Anggota'!$E$2:$J$678,5,0)</f>
        <v>01602</v>
      </c>
      <c r="H922" s="56">
        <v>0</v>
      </c>
      <c r="I922" s="56">
        <v>0</v>
      </c>
      <c r="J922" s="56">
        <v>100000</v>
      </c>
      <c r="K922" s="56">
        <v>100000</v>
      </c>
      <c r="L922" t="s">
        <v>659</v>
      </c>
      <c r="M922" s="71">
        <v>46136</v>
      </c>
      <c r="N922" t="s">
        <v>576</v>
      </c>
    </row>
    <row r="923" spans="3:14" hidden="1" x14ac:dyDescent="0.2">
      <c r="C923" t="s">
        <v>560</v>
      </c>
      <c r="D923" t="str">
        <f>VLOOKUP(C923,'Master Anggota'!$E$2:$J$678,2,0)</f>
        <v>Aktif</v>
      </c>
      <c r="G923" t="str">
        <f>VLOOKUP(C923,'Master Anggota'!$E$2:$J$678,5,0)</f>
        <v>01603</v>
      </c>
      <c r="H923" s="56">
        <v>0</v>
      </c>
      <c r="I923" s="56">
        <v>0</v>
      </c>
      <c r="J923" s="56">
        <v>100000</v>
      </c>
      <c r="K923" s="56">
        <v>200000</v>
      </c>
      <c r="L923" t="s">
        <v>659</v>
      </c>
      <c r="M923" s="71">
        <v>46136</v>
      </c>
      <c r="N923" t="s">
        <v>576</v>
      </c>
    </row>
    <row r="924" spans="3:14" hidden="1" x14ac:dyDescent="0.2">
      <c r="C924" t="s">
        <v>308</v>
      </c>
      <c r="D924" t="str">
        <f>VLOOKUP(C924,'Master Anggota'!$E$2:$J$678,2,0)</f>
        <v>Aktif</v>
      </c>
      <c r="G924" t="str">
        <f>VLOOKUP(C924,'Master Anggota'!$E$2:$J$678,5,0)</f>
        <v>01604</v>
      </c>
      <c r="H924" s="56">
        <v>0</v>
      </c>
      <c r="I924" s="56">
        <v>0</v>
      </c>
      <c r="J924" s="56">
        <v>100000</v>
      </c>
      <c r="K924" s="56">
        <v>100000</v>
      </c>
      <c r="L924" t="s">
        <v>659</v>
      </c>
      <c r="M924" s="71">
        <v>46136</v>
      </c>
      <c r="N924" t="s">
        <v>576</v>
      </c>
    </row>
    <row r="925" spans="3:14" hidden="1" x14ac:dyDescent="0.2">
      <c r="C925" t="s">
        <v>372</v>
      </c>
      <c r="D925" t="str">
        <f>VLOOKUP(C925,'Master Anggota'!$E$2:$J$678,2,0)</f>
        <v>Purna Bakti 2026</v>
      </c>
      <c r="G925" t="str">
        <f>VLOOKUP(C925,'Master Anggota'!$E$2:$J$678,5,0)</f>
        <v>01608</v>
      </c>
      <c r="H925" s="56">
        <v>0</v>
      </c>
      <c r="I925" s="56">
        <v>0</v>
      </c>
      <c r="J925" s="56">
        <v>100000</v>
      </c>
      <c r="K925" s="56">
        <v>150000</v>
      </c>
      <c r="L925" t="s">
        <v>659</v>
      </c>
      <c r="M925" s="71">
        <v>46136</v>
      </c>
      <c r="N925" t="s">
        <v>576</v>
      </c>
    </row>
    <row r="926" spans="3:14" hidden="1" x14ac:dyDescent="0.2">
      <c r="C926" t="s">
        <v>318</v>
      </c>
      <c r="D926" t="str">
        <f>VLOOKUP(C926,'Master Anggota'!$E$2:$J$678,2,0)</f>
        <v>Aktif</v>
      </c>
      <c r="G926" t="str">
        <f>VLOOKUP(C926,'Master Anggota'!$E$2:$J$678,5,0)</f>
        <v>01651</v>
      </c>
      <c r="H926" s="56">
        <v>0</v>
      </c>
      <c r="I926" s="56">
        <v>0</v>
      </c>
      <c r="J926" s="56">
        <v>100000</v>
      </c>
      <c r="K926" s="56">
        <v>100000</v>
      </c>
      <c r="L926" t="s">
        <v>659</v>
      </c>
      <c r="M926" s="71">
        <v>46136</v>
      </c>
      <c r="N926" t="s">
        <v>576</v>
      </c>
    </row>
    <row r="927" spans="3:14" hidden="1" x14ac:dyDescent="0.2">
      <c r="C927" t="s">
        <v>369</v>
      </c>
      <c r="D927" t="str">
        <f>VLOOKUP(C927,'Master Anggota'!$E$2:$J$678,2,0)</f>
        <v>Aktif</v>
      </c>
      <c r="G927" t="str">
        <f>VLOOKUP(C927,'Master Anggota'!$E$2:$J$678,5,0)</f>
        <v>01654</v>
      </c>
      <c r="H927" s="56">
        <v>0</v>
      </c>
      <c r="I927" s="56">
        <v>0</v>
      </c>
      <c r="J927" s="56">
        <v>100000</v>
      </c>
      <c r="K927" s="56">
        <v>100000</v>
      </c>
      <c r="L927" t="s">
        <v>659</v>
      </c>
      <c r="M927" s="71">
        <v>46136</v>
      </c>
      <c r="N927" t="s">
        <v>576</v>
      </c>
    </row>
    <row r="928" spans="3:14" hidden="1" x14ac:dyDescent="0.2">
      <c r="C928" t="s">
        <v>327</v>
      </c>
      <c r="D928" t="str">
        <f>VLOOKUP(C928,'Master Anggota'!$E$2:$J$678,2,0)</f>
        <v>Aktif</v>
      </c>
      <c r="G928" t="str">
        <f>VLOOKUP(C928,'Master Anggota'!$E$2:$J$678,5,0)</f>
        <v>01665</v>
      </c>
      <c r="H928" s="56">
        <v>0</v>
      </c>
      <c r="I928" s="56">
        <v>0</v>
      </c>
      <c r="J928" s="56">
        <v>100000</v>
      </c>
      <c r="K928" s="56">
        <v>50000</v>
      </c>
      <c r="L928" t="s">
        <v>659</v>
      </c>
      <c r="M928" s="71">
        <v>46136</v>
      </c>
      <c r="N928" t="s">
        <v>576</v>
      </c>
    </row>
    <row r="929" spans="3:14" hidden="1" x14ac:dyDescent="0.2">
      <c r="C929" t="s">
        <v>367</v>
      </c>
      <c r="D929" t="str">
        <f>VLOOKUP(C929,'Master Anggota'!$E$2:$J$678,2,0)</f>
        <v>Aktif</v>
      </c>
      <c r="G929" t="str">
        <f>VLOOKUP(C929,'Master Anggota'!$E$2:$J$678,5,0)</f>
        <v>01679</v>
      </c>
      <c r="H929" s="56">
        <v>0</v>
      </c>
      <c r="I929" s="56">
        <v>0</v>
      </c>
      <c r="J929" s="56">
        <v>100000</v>
      </c>
      <c r="K929" s="56">
        <v>100000</v>
      </c>
      <c r="L929" t="s">
        <v>659</v>
      </c>
      <c r="M929" s="71">
        <v>46136</v>
      </c>
      <c r="N929" t="s">
        <v>576</v>
      </c>
    </row>
    <row r="930" spans="3:14" hidden="1" x14ac:dyDescent="0.2">
      <c r="C930" t="s">
        <v>368</v>
      </c>
      <c r="D930" t="str">
        <f>VLOOKUP(C930,'Master Anggota'!$E$2:$J$678,2,0)</f>
        <v>Aktif</v>
      </c>
      <c r="G930" t="str">
        <f>VLOOKUP(C930,'Master Anggota'!$E$2:$J$678,5,0)</f>
        <v>01703</v>
      </c>
      <c r="H930" s="56">
        <v>0</v>
      </c>
      <c r="I930" s="56">
        <v>0</v>
      </c>
      <c r="J930" s="56">
        <v>100000</v>
      </c>
      <c r="K930" s="56">
        <v>100000</v>
      </c>
      <c r="L930" t="s">
        <v>659</v>
      </c>
      <c r="M930" s="71">
        <v>46136</v>
      </c>
      <c r="N930" t="s">
        <v>576</v>
      </c>
    </row>
    <row r="931" spans="3:14" hidden="1" x14ac:dyDescent="0.2">
      <c r="C931" t="s">
        <v>490</v>
      </c>
      <c r="D931" t="str">
        <f>VLOOKUP(C931,'Master Anggota'!$E$2:$J$678,2,0)</f>
        <v>Aktif</v>
      </c>
      <c r="G931" t="str">
        <f>VLOOKUP(C931,'Master Anggota'!$E$2:$J$678,5,0)</f>
        <v>01706</v>
      </c>
      <c r="H931" s="56">
        <v>0</v>
      </c>
      <c r="I931" s="56">
        <v>0</v>
      </c>
      <c r="J931" s="56">
        <v>100000</v>
      </c>
      <c r="K931" s="56">
        <v>100000</v>
      </c>
      <c r="L931" t="s">
        <v>659</v>
      </c>
      <c r="M931" s="71">
        <v>46136</v>
      </c>
      <c r="N931" t="s">
        <v>576</v>
      </c>
    </row>
    <row r="932" spans="3:14" hidden="1" x14ac:dyDescent="0.2">
      <c r="C932" t="s">
        <v>444</v>
      </c>
      <c r="D932" t="str">
        <f>VLOOKUP(C932,'Master Anggota'!$E$2:$J$678,2,0)</f>
        <v>Aktif</v>
      </c>
      <c r="G932" t="str">
        <f>VLOOKUP(C932,'Master Anggota'!$E$2:$J$678,5,0)</f>
        <v>01711</v>
      </c>
      <c r="H932" s="56">
        <v>0</v>
      </c>
      <c r="I932" s="56">
        <v>0</v>
      </c>
      <c r="J932" s="56">
        <v>100000</v>
      </c>
      <c r="K932" s="56">
        <v>150000</v>
      </c>
      <c r="L932" t="s">
        <v>659</v>
      </c>
      <c r="M932" s="71">
        <v>46136</v>
      </c>
      <c r="N932" t="s">
        <v>576</v>
      </c>
    </row>
    <row r="933" spans="3:14" hidden="1" x14ac:dyDescent="0.2">
      <c r="C933" t="s">
        <v>497</v>
      </c>
      <c r="D933" t="str">
        <f>VLOOKUP(C933,'Master Anggota'!$E$2:$J$678,2,0)</f>
        <v>Aktif</v>
      </c>
      <c r="G933" t="str">
        <f>VLOOKUP(C933,'Master Anggota'!$E$2:$J$678,5,0)</f>
        <v>01719</v>
      </c>
      <c r="H933" s="56">
        <v>0</v>
      </c>
      <c r="I933" s="56">
        <v>0</v>
      </c>
      <c r="J933" s="56">
        <v>100000</v>
      </c>
      <c r="K933" s="56">
        <v>200000</v>
      </c>
      <c r="L933" t="s">
        <v>659</v>
      </c>
      <c r="M933" s="71">
        <v>46136</v>
      </c>
      <c r="N933" t="s">
        <v>576</v>
      </c>
    </row>
    <row r="934" spans="3:14" hidden="1" x14ac:dyDescent="0.2">
      <c r="C934" t="s">
        <v>491</v>
      </c>
      <c r="D934" t="str">
        <f>VLOOKUP(C934,'Master Anggota'!$E$2:$J$678,2,0)</f>
        <v>Aktif</v>
      </c>
      <c r="G934" t="str">
        <f>VLOOKUP(C934,'Master Anggota'!$E$2:$J$678,5,0)</f>
        <v>01720</v>
      </c>
      <c r="H934" s="56">
        <v>0</v>
      </c>
      <c r="I934" s="56">
        <v>0</v>
      </c>
      <c r="J934" s="56">
        <v>100000</v>
      </c>
      <c r="K934" s="56">
        <v>100000</v>
      </c>
      <c r="L934" t="s">
        <v>659</v>
      </c>
      <c r="M934" s="71">
        <v>46136</v>
      </c>
      <c r="N934" t="s">
        <v>576</v>
      </c>
    </row>
    <row r="935" spans="3:14" hidden="1" x14ac:dyDescent="0.2">
      <c r="C935" t="s">
        <v>498</v>
      </c>
      <c r="D935" t="str">
        <f>VLOOKUP(C935,'Master Anggota'!$E$2:$J$678,2,0)</f>
        <v>Aktif</v>
      </c>
      <c r="G935" t="str">
        <f>VLOOKUP(C935,'Master Anggota'!$E$2:$J$678,5,0)</f>
        <v>01721</v>
      </c>
      <c r="H935" s="56">
        <v>0</v>
      </c>
      <c r="I935" s="56">
        <v>0</v>
      </c>
      <c r="J935" s="56">
        <v>100000</v>
      </c>
      <c r="K935" s="56">
        <v>200000</v>
      </c>
      <c r="L935" t="s">
        <v>659</v>
      </c>
      <c r="M935" s="71">
        <v>46136</v>
      </c>
      <c r="N935" t="s">
        <v>576</v>
      </c>
    </row>
    <row r="936" spans="3:14" hidden="1" x14ac:dyDescent="0.2">
      <c r="C936" t="s">
        <v>492</v>
      </c>
      <c r="D936" t="str">
        <f>VLOOKUP(C936,'Master Anggota'!$E$2:$J$678,2,0)</f>
        <v>Aktif</v>
      </c>
      <c r="G936" t="str">
        <f>VLOOKUP(C936,'Master Anggota'!$E$2:$J$678,5,0)</f>
        <v>01728</v>
      </c>
      <c r="H936" s="56">
        <v>0</v>
      </c>
      <c r="I936" s="56">
        <v>0</v>
      </c>
      <c r="J936" s="56">
        <v>100000</v>
      </c>
      <c r="K936" s="56">
        <v>100000</v>
      </c>
      <c r="L936" t="s">
        <v>659</v>
      </c>
      <c r="M936" s="71">
        <v>46136</v>
      </c>
      <c r="N936" t="s">
        <v>576</v>
      </c>
    </row>
    <row r="937" spans="3:14" hidden="1" x14ac:dyDescent="0.2">
      <c r="C937" t="s">
        <v>439</v>
      </c>
      <c r="D937" t="str">
        <f>VLOOKUP(C937,'Master Anggota'!$E$2:$J$678,2,0)</f>
        <v>Aktif</v>
      </c>
      <c r="G937" t="str">
        <f>VLOOKUP(C937,'Master Anggota'!$E$2:$J$678,5,0)</f>
        <v>01730</v>
      </c>
      <c r="H937" s="56">
        <v>0</v>
      </c>
      <c r="I937" s="56">
        <v>0</v>
      </c>
      <c r="J937" s="56">
        <v>100000</v>
      </c>
      <c r="K937" s="56">
        <v>300000</v>
      </c>
      <c r="L937" t="s">
        <v>659</v>
      </c>
      <c r="M937" s="71">
        <v>46136</v>
      </c>
      <c r="N937" t="s">
        <v>576</v>
      </c>
    </row>
    <row r="938" spans="3:14" hidden="1" x14ac:dyDescent="0.2">
      <c r="C938" t="s">
        <v>493</v>
      </c>
      <c r="D938" t="str">
        <f>VLOOKUP(C938,'Master Anggota'!$E$2:$J$678,2,0)</f>
        <v>Aktif</v>
      </c>
      <c r="G938" t="str">
        <f>VLOOKUP(C938,'Master Anggota'!$E$2:$J$678,5,0)</f>
        <v>01731</v>
      </c>
      <c r="H938" s="56">
        <v>0</v>
      </c>
      <c r="I938" s="56">
        <v>0</v>
      </c>
      <c r="J938" s="56">
        <v>100000</v>
      </c>
      <c r="K938" s="56">
        <v>100000</v>
      </c>
      <c r="L938" t="s">
        <v>659</v>
      </c>
      <c r="M938" s="71">
        <v>46136</v>
      </c>
      <c r="N938" t="s">
        <v>576</v>
      </c>
    </row>
    <row r="939" spans="3:14" hidden="1" x14ac:dyDescent="0.2">
      <c r="C939" t="s">
        <v>451</v>
      </c>
      <c r="D939" t="str">
        <f>VLOOKUP(C939,'Master Anggota'!$E$2:$J$678,2,0)</f>
        <v>Aktif</v>
      </c>
      <c r="G939" t="str">
        <f>VLOOKUP(C939,'Master Anggota'!$E$2:$J$678,5,0)</f>
        <v>01735</v>
      </c>
      <c r="H939" s="56">
        <v>0</v>
      </c>
      <c r="I939" s="56">
        <v>0</v>
      </c>
      <c r="J939" s="56">
        <v>100000</v>
      </c>
      <c r="K939" s="56">
        <v>150000</v>
      </c>
      <c r="L939" t="s">
        <v>659</v>
      </c>
      <c r="M939" s="71">
        <v>46136</v>
      </c>
      <c r="N939" t="s">
        <v>576</v>
      </c>
    </row>
    <row r="940" spans="3:14" hidden="1" x14ac:dyDescent="0.2">
      <c r="C940" t="s">
        <v>448</v>
      </c>
      <c r="D940" t="str">
        <f>VLOOKUP(C940,'Master Anggota'!$E$2:$J$678,2,0)</f>
        <v>Aktif</v>
      </c>
      <c r="G940" t="str">
        <f>VLOOKUP(C940,'Master Anggota'!$E$2:$J$678,5,0)</f>
        <v>01737</v>
      </c>
      <c r="H940" s="56">
        <v>0</v>
      </c>
      <c r="I940" s="56">
        <v>0</v>
      </c>
      <c r="J940" s="56">
        <v>100000</v>
      </c>
      <c r="K940" s="56">
        <v>150000</v>
      </c>
      <c r="L940" t="s">
        <v>659</v>
      </c>
      <c r="M940" s="71">
        <v>46136</v>
      </c>
      <c r="N940" t="s">
        <v>576</v>
      </c>
    </row>
    <row r="941" spans="3:14" hidden="1" x14ac:dyDescent="0.2">
      <c r="C941" t="s">
        <v>450</v>
      </c>
      <c r="D941" t="str">
        <f>VLOOKUP(C941,'Master Anggota'!$E$2:$J$678,2,0)</f>
        <v>Aktif</v>
      </c>
      <c r="G941" t="str">
        <f>VLOOKUP(C941,'Master Anggota'!$E$2:$J$678,5,0)</f>
        <v>01738</v>
      </c>
      <c r="H941" s="56">
        <v>0</v>
      </c>
      <c r="I941" s="56">
        <v>0</v>
      </c>
      <c r="J941" s="56">
        <v>100000</v>
      </c>
      <c r="K941" s="56">
        <v>50000</v>
      </c>
      <c r="L941" t="s">
        <v>659</v>
      </c>
      <c r="M941" s="71">
        <v>46136</v>
      </c>
      <c r="N941" t="s">
        <v>576</v>
      </c>
    </row>
    <row r="942" spans="3:14" hidden="1" x14ac:dyDescent="0.2">
      <c r="C942" t="s">
        <v>449</v>
      </c>
      <c r="D942" t="str">
        <f>VLOOKUP(C942,'Master Anggota'!$E$2:$J$678,2,0)</f>
        <v>Aktif</v>
      </c>
      <c r="G942" t="str">
        <f>VLOOKUP(C942,'Master Anggota'!$E$2:$J$678,5,0)</f>
        <v>01739</v>
      </c>
      <c r="H942" s="56">
        <v>0</v>
      </c>
      <c r="I942" s="56">
        <v>0</v>
      </c>
      <c r="J942" s="56">
        <v>100000</v>
      </c>
      <c r="K942" s="56">
        <v>150000</v>
      </c>
      <c r="L942" t="s">
        <v>659</v>
      </c>
      <c r="M942" s="71">
        <v>46136</v>
      </c>
      <c r="N942" t="s">
        <v>576</v>
      </c>
    </row>
    <row r="943" spans="3:14" hidden="1" x14ac:dyDescent="0.2">
      <c r="C943" t="s">
        <v>446</v>
      </c>
      <c r="D943" t="str">
        <f>VLOOKUP(C943,'Master Anggota'!$E$2:$J$678,2,0)</f>
        <v>Aktif</v>
      </c>
      <c r="G943" t="str">
        <f>VLOOKUP(C943,'Master Anggota'!$E$2:$J$678,5,0)</f>
        <v>01740</v>
      </c>
      <c r="H943" s="56">
        <v>0</v>
      </c>
      <c r="I943" s="56">
        <v>0</v>
      </c>
      <c r="J943" s="56">
        <v>100000</v>
      </c>
      <c r="K943" s="56">
        <v>50000</v>
      </c>
      <c r="L943" t="s">
        <v>659</v>
      </c>
      <c r="M943" s="71">
        <v>46136</v>
      </c>
      <c r="N943" t="s">
        <v>576</v>
      </c>
    </row>
    <row r="944" spans="3:14" hidden="1" x14ac:dyDescent="0.2">
      <c r="C944" t="s">
        <v>524</v>
      </c>
      <c r="D944" t="str">
        <f>VLOOKUP(C944,'Master Anggota'!$E$2:$J$678,2,0)</f>
        <v>Aktif</v>
      </c>
      <c r="G944" t="str">
        <f>VLOOKUP(C944,'Master Anggota'!$E$2:$J$678,5,0)</f>
        <v>01743</v>
      </c>
      <c r="H944" s="56">
        <v>0</v>
      </c>
      <c r="I944" s="56">
        <v>0</v>
      </c>
      <c r="J944" s="56">
        <v>100000</v>
      </c>
      <c r="K944" s="56">
        <v>100000</v>
      </c>
      <c r="L944" t="s">
        <v>659</v>
      </c>
      <c r="M944" s="71">
        <v>46136</v>
      </c>
      <c r="N944" t="s">
        <v>576</v>
      </c>
    </row>
    <row r="945" spans="3:14" hidden="1" x14ac:dyDescent="0.2">
      <c r="C945" t="s">
        <v>495</v>
      </c>
      <c r="D945" t="str">
        <f>VLOOKUP(C945,'Master Anggota'!$E$2:$J$678,2,0)</f>
        <v>Aktif</v>
      </c>
      <c r="G945" t="str">
        <f>VLOOKUP(C945,'Master Anggota'!$E$2:$J$678,5,0)</f>
        <v>01754</v>
      </c>
      <c r="H945" s="56">
        <v>0</v>
      </c>
      <c r="I945" s="56">
        <v>0</v>
      </c>
      <c r="J945" s="56">
        <v>100000</v>
      </c>
      <c r="K945" s="56">
        <v>100000</v>
      </c>
      <c r="L945" t="s">
        <v>659</v>
      </c>
      <c r="M945" s="71">
        <v>46136</v>
      </c>
      <c r="N945" t="s">
        <v>576</v>
      </c>
    </row>
    <row r="946" spans="3:14" hidden="1" x14ac:dyDescent="0.2">
      <c r="C946" t="s">
        <v>499</v>
      </c>
      <c r="D946" t="str">
        <f>VLOOKUP(C946,'Master Anggota'!$E$2:$J$678,2,0)</f>
        <v>Aktif</v>
      </c>
      <c r="G946" t="str">
        <f>VLOOKUP(C946,'Master Anggota'!$E$2:$J$678,5,0)</f>
        <v>01775</v>
      </c>
      <c r="H946" s="56">
        <v>0</v>
      </c>
      <c r="I946" s="56">
        <v>0</v>
      </c>
      <c r="J946" s="56">
        <v>100000</v>
      </c>
      <c r="K946" s="56">
        <v>200000</v>
      </c>
      <c r="L946" t="s">
        <v>659</v>
      </c>
      <c r="M946" s="71">
        <v>46136</v>
      </c>
      <c r="N946" t="s">
        <v>576</v>
      </c>
    </row>
    <row r="947" spans="3:14" hidden="1" x14ac:dyDescent="0.2">
      <c r="C947" t="s">
        <v>500</v>
      </c>
      <c r="D947" t="str">
        <f>VLOOKUP(C947,'Master Anggota'!$E$2:$J$678,2,0)</f>
        <v>Aktif</v>
      </c>
      <c r="G947" t="str">
        <f>VLOOKUP(C947,'Master Anggota'!$E$2:$J$678,5,0)</f>
        <v>01776</v>
      </c>
      <c r="H947" s="56">
        <v>0</v>
      </c>
      <c r="I947" s="56">
        <v>0</v>
      </c>
      <c r="J947" s="56">
        <v>100000</v>
      </c>
      <c r="K947" s="56">
        <v>200000</v>
      </c>
      <c r="L947" t="s">
        <v>659</v>
      </c>
      <c r="M947" s="71">
        <v>46136</v>
      </c>
      <c r="N947" t="s">
        <v>576</v>
      </c>
    </row>
    <row r="948" spans="3:14" hidden="1" x14ac:dyDescent="0.2">
      <c r="C948" t="s">
        <v>539</v>
      </c>
      <c r="D948" t="str">
        <f>VLOOKUP(C948,'Master Anggota'!$E$2:$J$678,2,0)</f>
        <v>Aktif</v>
      </c>
      <c r="G948" t="str">
        <f>VLOOKUP(C948,'Master Anggota'!$E$2:$J$678,5,0)</f>
        <v>01800</v>
      </c>
      <c r="H948" s="56">
        <v>0</v>
      </c>
      <c r="I948" s="56">
        <v>0</v>
      </c>
      <c r="J948" s="56">
        <v>100000</v>
      </c>
      <c r="K948" s="56">
        <v>100000</v>
      </c>
      <c r="L948" t="s">
        <v>659</v>
      </c>
      <c r="M948" s="71">
        <v>46136</v>
      </c>
      <c r="N948" t="s">
        <v>576</v>
      </c>
    </row>
    <row r="949" spans="3:14" hidden="1" x14ac:dyDescent="0.2">
      <c r="C949" t="s">
        <v>526</v>
      </c>
      <c r="D949" t="str">
        <f>VLOOKUP(C949,'Master Anggota'!$E$2:$J$678,2,0)</f>
        <v>Aktif</v>
      </c>
      <c r="G949" t="str">
        <f>VLOOKUP(C949,'Master Anggota'!$E$2:$J$678,5,0)</f>
        <v>PHL</v>
      </c>
      <c r="H949" s="56">
        <v>0</v>
      </c>
      <c r="I949" s="56">
        <v>0</v>
      </c>
      <c r="J949" s="56">
        <v>100000</v>
      </c>
      <c r="K949" s="56">
        <v>200000</v>
      </c>
      <c r="L949" t="s">
        <v>659</v>
      </c>
      <c r="M949" s="71">
        <v>46136</v>
      </c>
      <c r="N949" t="s">
        <v>576</v>
      </c>
    </row>
    <row r="950" spans="3:14" hidden="1" x14ac:dyDescent="0.2">
      <c r="C950" t="s">
        <v>527</v>
      </c>
      <c r="D950" t="str">
        <f>VLOOKUP(C950,'Master Anggota'!$E$2:$J$678,2,0)</f>
        <v>Aktif</v>
      </c>
      <c r="G950" t="str">
        <f>VLOOKUP(C950,'Master Anggota'!$E$2:$J$678,5,0)</f>
        <v>PHL</v>
      </c>
      <c r="H950" s="56">
        <v>0</v>
      </c>
      <c r="I950" s="56">
        <v>0</v>
      </c>
      <c r="J950" s="56">
        <v>100000</v>
      </c>
      <c r="K950" s="56">
        <v>200000</v>
      </c>
      <c r="L950" t="s">
        <v>659</v>
      </c>
      <c r="M950" s="71">
        <v>46136</v>
      </c>
      <c r="N950" t="s">
        <v>576</v>
      </c>
    </row>
    <row r="951" spans="3:14" hidden="1" x14ac:dyDescent="0.2">
      <c r="C951" t="s">
        <v>287</v>
      </c>
      <c r="D951" t="str">
        <f>VLOOKUP(C951,'Master Anggota'!$E$2:$J$678,2,0)</f>
        <v>PHL</v>
      </c>
      <c r="G951" t="str">
        <f>VLOOKUP(C951,'Master Anggota'!$E$2:$J$678,5,0)</f>
        <v>01510</v>
      </c>
      <c r="H951" s="56">
        <v>0</v>
      </c>
      <c r="I951" s="56">
        <v>0</v>
      </c>
      <c r="J951" s="56">
        <v>100000</v>
      </c>
      <c r="K951" s="56">
        <v>100000</v>
      </c>
      <c r="L951" t="s">
        <v>659</v>
      </c>
      <c r="M951" s="71">
        <v>46136</v>
      </c>
      <c r="N951" t="s">
        <v>576</v>
      </c>
    </row>
    <row r="952" spans="3:14" hidden="1" x14ac:dyDescent="0.2">
      <c r="C952" t="s">
        <v>295</v>
      </c>
      <c r="D952" t="str">
        <f>VLOOKUP(C952,'Master Anggota'!$E$2:$J$678,2,0)</f>
        <v>PHL</v>
      </c>
      <c r="G952" t="str">
        <f>VLOOKUP(C952,'Master Anggota'!$E$2:$J$678,5,0)</f>
        <v>PHL</v>
      </c>
      <c r="H952" s="56">
        <v>0</v>
      </c>
      <c r="I952" s="56">
        <v>0</v>
      </c>
      <c r="J952" s="56">
        <v>100000</v>
      </c>
      <c r="K952" s="56">
        <v>100000</v>
      </c>
      <c r="L952" t="s">
        <v>659</v>
      </c>
      <c r="M952" s="71">
        <v>46136</v>
      </c>
      <c r="N952" t="s">
        <v>576</v>
      </c>
    </row>
    <row r="953" spans="3:14" hidden="1" x14ac:dyDescent="0.2">
      <c r="C953" t="s">
        <v>278</v>
      </c>
      <c r="D953" t="str">
        <f>VLOOKUP(C953,'Master Anggota'!$E$2:$J$678,2,0)</f>
        <v>Aktif</v>
      </c>
      <c r="G953" t="str">
        <f>VLOOKUP(C953,'Master Anggota'!$E$2:$J$678,5,0)</f>
        <v>PHL</v>
      </c>
      <c r="H953" s="56">
        <v>0</v>
      </c>
      <c r="I953" s="56">
        <v>0</v>
      </c>
      <c r="J953" s="56">
        <v>100000</v>
      </c>
      <c r="K953" s="56">
        <v>10000</v>
      </c>
      <c r="L953" t="s">
        <v>659</v>
      </c>
      <c r="M953" s="71">
        <v>46136</v>
      </c>
      <c r="N953" t="s">
        <v>576</v>
      </c>
    </row>
    <row r="954" spans="3:14" hidden="1" x14ac:dyDescent="0.2">
      <c r="C954" t="s">
        <v>307</v>
      </c>
      <c r="D954" t="str">
        <f>VLOOKUP(C954,'Master Anggota'!$E$2:$J$678,2,0)</f>
        <v>Aktif</v>
      </c>
      <c r="G954" t="str">
        <f>VLOOKUP(C954,'Master Anggota'!$E$2:$J$678,5,0)</f>
        <v>00591</v>
      </c>
      <c r="H954" s="82">
        <v>0</v>
      </c>
      <c r="I954" s="82">
        <v>0</v>
      </c>
      <c r="J954" s="82">
        <v>0</v>
      </c>
      <c r="K954" s="82">
        <v>-2500000</v>
      </c>
      <c r="L954" t="s">
        <v>659</v>
      </c>
      <c r="M954" s="71">
        <v>46141</v>
      </c>
      <c r="N954" t="s">
        <v>611</v>
      </c>
    </row>
    <row r="955" spans="3:14" hidden="1" x14ac:dyDescent="0.2">
      <c r="C955" t="s">
        <v>526</v>
      </c>
      <c r="D955" t="str">
        <f>VLOOKUP(C955,'Master Anggota'!$E$2:$J$678,2,0)</f>
        <v>Aktif</v>
      </c>
      <c r="G955" t="str">
        <f>VLOOKUP(C955,'Master Anggota'!$E$2:$J$678,5,0)</f>
        <v>PHL</v>
      </c>
      <c r="H955" s="82">
        <v>0</v>
      </c>
      <c r="I955" s="82">
        <v>0</v>
      </c>
      <c r="J955" s="82">
        <v>0</v>
      </c>
      <c r="K955" s="82">
        <v>-1000000</v>
      </c>
      <c r="L955" t="s">
        <v>659</v>
      </c>
      <c r="M955" s="71">
        <v>46141</v>
      </c>
      <c r="N955" t="s">
        <v>611</v>
      </c>
    </row>
    <row r="956" spans="3:14" hidden="1" x14ac:dyDescent="0.2">
      <c r="C956" t="s">
        <v>198</v>
      </c>
      <c r="D956" t="str">
        <f>VLOOKUP(C956,'Master Anggota'!$E$2:$J$678,2,0)</f>
        <v>Aktif</v>
      </c>
      <c r="G956" t="str">
        <f>VLOOKUP(C956,'Master Anggota'!$E$2:$J$678,5,0)</f>
        <v>00327</v>
      </c>
      <c r="H956" s="82">
        <v>0</v>
      </c>
      <c r="I956" s="82">
        <v>0</v>
      </c>
      <c r="J956" s="82">
        <v>0</v>
      </c>
      <c r="K956" s="82">
        <f>-3000000*0</f>
        <v>0</v>
      </c>
      <c r="L956" s="13" t="s">
        <v>663</v>
      </c>
      <c r="M956" s="71">
        <v>46148</v>
      </c>
      <c r="N956" t="s">
        <v>674</v>
      </c>
    </row>
    <row r="957" spans="3:14" hidden="1" x14ac:dyDescent="0.2">
      <c r="C957" t="s">
        <v>141</v>
      </c>
      <c r="D957" t="str">
        <f>VLOOKUP(C957,'Master Anggota'!$E$2:$J$678,2,0)</f>
        <v>Purna Bakti 2025</v>
      </c>
      <c r="G957" t="str">
        <f>VLOOKUP(C957,'Master Anggota'!$E$2:$J$678,5,0)</f>
        <v>00259</v>
      </c>
      <c r="H957" s="56">
        <v>0</v>
      </c>
      <c r="I957" s="56">
        <v>-12022343</v>
      </c>
      <c r="J957" s="56">
        <v>-36085756.349024199</v>
      </c>
      <c r="K957" s="56">
        <v>-4021000</v>
      </c>
      <c r="L957" t="s">
        <v>584</v>
      </c>
      <c r="M957" t="s">
        <v>585</v>
      </c>
      <c r="N957" t="s">
        <v>664</v>
      </c>
    </row>
    <row r="958" spans="3:14" hidden="1" x14ac:dyDescent="0.2">
      <c r="C958" t="s">
        <v>41</v>
      </c>
      <c r="D958" t="str">
        <f>VLOOKUP(C958,'Master Anggota'!$E$2:$J$678,2,0)</f>
        <v>Purna Bakti 2026</v>
      </c>
      <c r="G958" t="str">
        <f>VLOOKUP(C958,'Master Anggota'!$E$2:$J$678,5,0)</f>
        <v>00345</v>
      </c>
      <c r="H958" s="56">
        <v>0</v>
      </c>
      <c r="I958" s="56">
        <v>-19495094</v>
      </c>
      <c r="J958" s="56">
        <v>-17329845</v>
      </c>
      <c r="K958" s="56">
        <v>-14899000</v>
      </c>
      <c r="L958" t="s">
        <v>644</v>
      </c>
      <c r="M958" t="s">
        <v>630</v>
      </c>
      <c r="N958" t="s">
        <v>613</v>
      </c>
    </row>
    <row r="959" spans="3:14" hidden="1" x14ac:dyDescent="0.2">
      <c r="C959" t="s">
        <v>99</v>
      </c>
      <c r="D959" t="str">
        <f>VLOOKUP(C959,'Master Anggota'!$E$2:$J$678,2,0)</f>
        <v>Purna Bakti 2026</v>
      </c>
      <c r="G959" t="str">
        <f>VLOOKUP(C959,'Master Anggota'!$E$2:$J$678,5,0)</f>
        <v>00360</v>
      </c>
      <c r="H959" s="56">
        <v>0</v>
      </c>
      <c r="I959" s="56">
        <v>0</v>
      </c>
      <c r="J959" s="56">
        <v>-25000000</v>
      </c>
      <c r="K959" s="56">
        <v>0</v>
      </c>
      <c r="L959" t="s">
        <v>644</v>
      </c>
      <c r="M959" s="73">
        <v>46084</v>
      </c>
      <c r="N959" t="s">
        <v>611</v>
      </c>
    </row>
    <row r="960" spans="3:14" hidden="1" x14ac:dyDescent="0.2">
      <c r="C960" t="s">
        <v>254</v>
      </c>
      <c r="D960" t="str">
        <f>VLOOKUP(C960,'Master Anggota'!$E$2:$J$678,2,0)</f>
        <v>Purna Bakti 2026</v>
      </c>
      <c r="G960" t="str">
        <f>VLOOKUP(C960,'Master Anggota'!$E$2:$J$678,5,0)</f>
        <v>00288</v>
      </c>
      <c r="H960" s="56">
        <v>0</v>
      </c>
      <c r="I960" s="56">
        <v>-7558590</v>
      </c>
      <c r="J960" s="56">
        <v>-17764595.057615198</v>
      </c>
      <c r="K960" s="56">
        <v>-2821000</v>
      </c>
      <c r="L960" t="s">
        <v>659</v>
      </c>
      <c r="M960" s="71">
        <v>46127</v>
      </c>
      <c r="N960" t="s">
        <v>576</v>
      </c>
    </row>
    <row r="961" spans="3:14" hidden="1" x14ac:dyDescent="0.2">
      <c r="C961" t="s">
        <v>529</v>
      </c>
      <c r="D961" t="str">
        <f>VLOOKUP(C961,'Master Anggota'!$E$2:$J$678,2,0)</f>
        <v>Purna Bakti 2026</v>
      </c>
      <c r="G961" t="str">
        <f>VLOOKUP(C961,'Master Anggota'!$E$2:$J$678,5,0)</f>
        <v>Nasabah</v>
      </c>
      <c r="H961" s="56">
        <v>0</v>
      </c>
      <c r="I961" s="56">
        <v>0</v>
      </c>
      <c r="J961" s="56">
        <v>100000</v>
      </c>
      <c r="K961" s="56">
        <v>100000</v>
      </c>
      <c r="L961" t="s">
        <v>659</v>
      </c>
      <c r="M961" s="71">
        <v>46142</v>
      </c>
      <c r="N961" t="s">
        <v>576</v>
      </c>
    </row>
    <row r="962" spans="3:14" hidden="1" x14ac:dyDescent="0.2">
      <c r="C962" t="s">
        <v>533</v>
      </c>
      <c r="D962" t="str">
        <f>VLOOKUP(C962,'Master Anggota'!$E$2:$J$678,2,0)</f>
        <v>Aktif</v>
      </c>
      <c r="G962" t="str">
        <f>VLOOKUP(C962,'Master Anggota'!$E$2:$J$678,5,0)</f>
        <v>Nasabah</v>
      </c>
      <c r="H962" s="56">
        <v>0</v>
      </c>
      <c r="I962" s="56">
        <v>0</v>
      </c>
      <c r="J962" s="75">
        <v>100000</v>
      </c>
      <c r="K962" s="75">
        <v>400000</v>
      </c>
      <c r="L962" s="78" t="s">
        <v>644</v>
      </c>
      <c r="M962" s="76">
        <v>46126</v>
      </c>
      <c r="N962" t="s">
        <v>576</v>
      </c>
    </row>
    <row r="963" spans="3:14" hidden="1" x14ac:dyDescent="0.2">
      <c r="C963" t="s">
        <v>534</v>
      </c>
      <c r="D963" t="str">
        <f>VLOOKUP(C963,'Master Anggota'!$E$2:$J$678,2,0)</f>
        <v>Aktif</v>
      </c>
      <c r="G963" t="str">
        <f>VLOOKUP(C963,'Master Anggota'!$E$2:$J$678,5,0)</f>
        <v>Koka</v>
      </c>
      <c r="H963" s="56">
        <v>0</v>
      </c>
      <c r="I963" s="56">
        <v>0</v>
      </c>
      <c r="J963" s="56">
        <v>100000</v>
      </c>
      <c r="K963" s="56">
        <v>100000</v>
      </c>
      <c r="L963" t="s">
        <v>659</v>
      </c>
      <c r="M963" s="71">
        <v>46142</v>
      </c>
      <c r="N963" t="s">
        <v>576</v>
      </c>
    </row>
    <row r="964" spans="3:14" hidden="1" x14ac:dyDescent="0.2">
      <c r="C964" t="s">
        <v>531</v>
      </c>
      <c r="D964" t="str">
        <f>VLOOKUP(C964,'Master Anggota'!$E$2:$J$678,2,0)</f>
        <v>Aktif</v>
      </c>
      <c r="G964" t="str">
        <f>VLOOKUP(C964,'Master Anggota'!$E$2:$J$678,5,0)</f>
        <v>PHL</v>
      </c>
      <c r="H964" s="56">
        <v>0</v>
      </c>
      <c r="I964" s="56">
        <v>0</v>
      </c>
      <c r="J964" s="56">
        <v>100000</v>
      </c>
      <c r="K964" s="56">
        <v>200000</v>
      </c>
      <c r="L964" t="s">
        <v>659</v>
      </c>
      <c r="M964" s="71">
        <v>46142</v>
      </c>
      <c r="N964" t="s">
        <v>576</v>
      </c>
    </row>
    <row r="965" spans="3:14" hidden="1" x14ac:dyDescent="0.2">
      <c r="C965" t="s">
        <v>325</v>
      </c>
      <c r="D965" t="str">
        <f>VLOOKUP(C965,'Master Anggota'!$E$2:$J$678,2,0)</f>
        <v>Purna Bakti 2026</v>
      </c>
      <c r="G965" t="str">
        <f>VLOOKUP(C965,'Master Anggota'!$E$2:$J$678,5,0)</f>
        <v>00607</v>
      </c>
      <c r="H965" s="56">
        <v>0</v>
      </c>
      <c r="I965" s="56">
        <v>-1139362</v>
      </c>
      <c r="J965" s="56">
        <v>-3000000</v>
      </c>
      <c r="K965" s="56">
        <v>-4500000</v>
      </c>
      <c r="L965" t="s">
        <v>663</v>
      </c>
      <c r="M965" s="71">
        <v>46150</v>
      </c>
      <c r="N965" t="s">
        <v>613</v>
      </c>
    </row>
    <row r="966" spans="3:14" hidden="1" x14ac:dyDescent="0.2">
      <c r="C966" t="s">
        <v>372</v>
      </c>
      <c r="D966" t="str">
        <f>VLOOKUP(C966,'Master Anggota'!$E$2:$J$678,2,0)</f>
        <v>Purna Bakti 2026</v>
      </c>
      <c r="G966" t="str">
        <f>VLOOKUP(C966,'Master Anggota'!$E$2:$J$678,5,0)</f>
        <v>01608</v>
      </c>
      <c r="H966" s="56">
        <v>0</v>
      </c>
      <c r="I966" s="56">
        <v>-126757</v>
      </c>
      <c r="J966" s="56">
        <v>-1800000</v>
      </c>
      <c r="K966" s="56">
        <v>-2700000</v>
      </c>
      <c r="L966" t="s">
        <v>663</v>
      </c>
      <c r="M966" s="71">
        <v>46150</v>
      </c>
      <c r="N966" t="s">
        <v>613</v>
      </c>
    </row>
    <row r="967" spans="3:14" s="124" customFormat="1" hidden="1" x14ac:dyDescent="0.2">
      <c r="C967" s="124" t="s">
        <v>59</v>
      </c>
      <c r="D967" s="124" t="str">
        <f>VLOOKUP(C967,'Master Anggota'!$E$2:$J$678,2,0)</f>
        <v>Purna Bakti 2025</v>
      </c>
      <c r="G967" s="124" t="str">
        <f>VLOOKUP(C967,'Master Anggota'!$E$2:$J$678,5,0)</f>
        <v>00380</v>
      </c>
      <c r="H967" s="125">
        <v>0</v>
      </c>
      <c r="I967" s="125">
        <v>-8361372</v>
      </c>
      <c r="J967" s="125">
        <v>-16267444.380552299</v>
      </c>
      <c r="K967" s="125">
        <v>-6655000</v>
      </c>
      <c r="L967" s="124" t="s">
        <v>584</v>
      </c>
      <c r="M967" s="124" t="s">
        <v>585</v>
      </c>
      <c r="N967" s="124" t="s">
        <v>664</v>
      </c>
    </row>
    <row r="968" spans="3:14" s="124" customFormat="1" hidden="1" x14ac:dyDescent="0.2">
      <c r="C968" s="124" t="s">
        <v>131</v>
      </c>
      <c r="D968" s="124" t="str">
        <f>VLOOKUP(C968,'Master Anggota'!$E$2:$J$678,2,0)</f>
        <v>Purna Bakti 2025</v>
      </c>
      <c r="G968" s="124" t="str">
        <f>VLOOKUP(C968,'Master Anggota'!$E$2:$J$678,5,0)</f>
        <v>00392</v>
      </c>
      <c r="H968" s="125">
        <v>0</v>
      </c>
      <c r="I968" s="125">
        <v>-4876583</v>
      </c>
      <c r="J968" s="125">
        <v>-16940561.380345199</v>
      </c>
      <c r="K968" s="125">
        <v>16823061.380345199</v>
      </c>
      <c r="L968" s="124" t="s">
        <v>584</v>
      </c>
      <c r="M968" s="124" t="s">
        <v>585</v>
      </c>
      <c r="N968" s="124" t="s">
        <v>664</v>
      </c>
    </row>
    <row r="969" spans="3:14" s="124" customFormat="1" hidden="1" x14ac:dyDescent="0.2">
      <c r="C969" s="124" t="s">
        <v>301</v>
      </c>
      <c r="D969" s="124" t="str">
        <f>VLOOKUP(C969,'Master Anggota'!$E$2:$J$678,2,0)</f>
        <v>PHL</v>
      </c>
      <c r="G969" s="124" t="str">
        <f>VLOOKUP(C969,'Master Anggota'!$E$2:$J$678,5,0)</f>
        <v>01535</v>
      </c>
      <c r="H969" s="125">
        <v>0</v>
      </c>
      <c r="I969" s="125">
        <v>0</v>
      </c>
      <c r="J969" s="125">
        <v>0</v>
      </c>
      <c r="K969" s="125">
        <v>0</v>
      </c>
      <c r="L969" s="124" t="s">
        <v>584</v>
      </c>
      <c r="M969" s="124" t="s">
        <v>585</v>
      </c>
      <c r="N969" s="124" t="s">
        <v>664</v>
      </c>
    </row>
    <row r="970" spans="3:14" hidden="1" x14ac:dyDescent="0.2">
      <c r="C970" t="s">
        <v>486</v>
      </c>
      <c r="D970" t="str">
        <f>VLOOKUP(C970,'Master Anggota'!$E$2:$J$678,2,0)</f>
        <v>Aktif</v>
      </c>
      <c r="G970" t="str">
        <f>VLOOKUP(C970,'Master Anggota'!$E$2:$J$678,5,0)</f>
        <v>00281</v>
      </c>
      <c r="H970" s="56">
        <v>0</v>
      </c>
      <c r="I970" s="56">
        <v>0</v>
      </c>
      <c r="J970" s="56">
        <v>100000</v>
      </c>
      <c r="K970" s="56">
        <v>400000</v>
      </c>
      <c r="L970" t="s">
        <v>663</v>
      </c>
      <c r="M970" s="71">
        <v>46167</v>
      </c>
      <c r="N970" t="s">
        <v>576</v>
      </c>
    </row>
    <row r="971" spans="3:14" hidden="1" x14ac:dyDescent="0.2">
      <c r="C971" t="s">
        <v>135</v>
      </c>
      <c r="D971" t="str">
        <f>VLOOKUP(C971,'Master Anggota'!$E$2:$J$678,2,0)</f>
        <v>Aktif</v>
      </c>
      <c r="G971" t="str">
        <f>VLOOKUP(C971,'Master Anggota'!$E$2:$J$678,5,0)</f>
        <v>00293</v>
      </c>
      <c r="H971" s="56">
        <v>0</v>
      </c>
      <c r="I971" s="56">
        <v>0</v>
      </c>
      <c r="J971" s="56">
        <v>100000</v>
      </c>
      <c r="K971" s="56">
        <v>100000</v>
      </c>
      <c r="L971" t="s">
        <v>663</v>
      </c>
      <c r="M971" s="71">
        <v>46167</v>
      </c>
      <c r="N971" t="s">
        <v>576</v>
      </c>
    </row>
    <row r="972" spans="3:14" hidden="1" x14ac:dyDescent="0.2">
      <c r="C972" t="s">
        <v>248</v>
      </c>
      <c r="D972" t="str">
        <f>VLOOKUP(C972,'Master Anggota'!$E$2:$J$678,2,0)</f>
        <v>Aktif</v>
      </c>
      <c r="G972" t="str">
        <f>VLOOKUP(C972,'Master Anggota'!$E$2:$J$678,5,0)</f>
        <v>00302</v>
      </c>
      <c r="H972" s="56">
        <v>0</v>
      </c>
      <c r="I972" s="56">
        <v>0</v>
      </c>
      <c r="J972" s="56">
        <v>100000</v>
      </c>
      <c r="K972" s="56">
        <v>10000</v>
      </c>
      <c r="L972" t="s">
        <v>663</v>
      </c>
      <c r="M972" s="71">
        <v>46167</v>
      </c>
      <c r="N972" t="s">
        <v>576</v>
      </c>
    </row>
    <row r="973" spans="3:14" hidden="1" x14ac:dyDescent="0.2">
      <c r="C973" t="s">
        <v>335</v>
      </c>
      <c r="D973" t="str">
        <f>VLOOKUP(C973,'Master Anggota'!$E$2:$J$678,2,0)</f>
        <v>Aktif</v>
      </c>
      <c r="G973" t="str">
        <f>VLOOKUP(C973,'Master Anggota'!$E$2:$J$678,5,0)</f>
        <v>00311</v>
      </c>
      <c r="H973" s="56">
        <v>0</v>
      </c>
      <c r="I973" s="56">
        <v>0</v>
      </c>
      <c r="J973" s="56">
        <v>150000</v>
      </c>
      <c r="K973" s="56">
        <v>25000</v>
      </c>
      <c r="L973" t="s">
        <v>663</v>
      </c>
      <c r="M973" s="71">
        <v>46167</v>
      </c>
      <c r="N973" t="s">
        <v>576</v>
      </c>
    </row>
    <row r="974" spans="3:14" hidden="1" x14ac:dyDescent="0.2">
      <c r="C974" t="s">
        <v>113</v>
      </c>
      <c r="D974" t="str">
        <f>VLOOKUP(C974,'Master Anggota'!$E$2:$J$678,2,0)</f>
        <v>Aktif</v>
      </c>
      <c r="G974" t="str">
        <f>VLOOKUP(C974,'Master Anggota'!$E$2:$J$678,5,0)</f>
        <v>00317</v>
      </c>
      <c r="H974" s="56">
        <v>0</v>
      </c>
      <c r="I974" s="56">
        <v>0</v>
      </c>
      <c r="J974" s="56">
        <v>100000</v>
      </c>
      <c r="K974" s="56">
        <v>15000</v>
      </c>
      <c r="L974" t="s">
        <v>663</v>
      </c>
      <c r="M974" s="71">
        <v>46167</v>
      </c>
      <c r="N974" t="s">
        <v>576</v>
      </c>
    </row>
    <row r="975" spans="3:14" hidden="1" x14ac:dyDescent="0.2">
      <c r="C975" t="s">
        <v>83</v>
      </c>
      <c r="D975" t="str">
        <f>VLOOKUP(C975,'Master Anggota'!$E$2:$J$678,2,0)</f>
        <v>Aktif</v>
      </c>
      <c r="G975" t="str">
        <f>VLOOKUP(C975,'Master Anggota'!$E$2:$J$678,5,0)</f>
        <v>00322</v>
      </c>
      <c r="H975" s="56">
        <v>0</v>
      </c>
      <c r="I975" s="56">
        <v>0</v>
      </c>
      <c r="J975" s="56">
        <v>100000</v>
      </c>
      <c r="K975" s="56">
        <v>100000</v>
      </c>
      <c r="L975" t="s">
        <v>663</v>
      </c>
      <c r="M975" s="71">
        <v>46167</v>
      </c>
      <c r="N975" t="s">
        <v>576</v>
      </c>
    </row>
    <row r="976" spans="3:14" hidden="1" x14ac:dyDescent="0.2">
      <c r="C976" t="s">
        <v>48</v>
      </c>
      <c r="D976" t="str">
        <f>VLOOKUP(C976,'Master Anggota'!$E$2:$J$678,2,0)</f>
        <v>Aktif</v>
      </c>
      <c r="G976" t="str">
        <f>VLOOKUP(C976,'Master Anggota'!$E$2:$J$678,5,0)</f>
        <v>00325</v>
      </c>
      <c r="H976" s="56">
        <v>0</v>
      </c>
      <c r="I976" s="56">
        <v>0</v>
      </c>
      <c r="J976" s="56">
        <v>100000</v>
      </c>
      <c r="K976" s="56">
        <v>75000</v>
      </c>
      <c r="L976" t="s">
        <v>663</v>
      </c>
      <c r="M976" s="71">
        <v>46167</v>
      </c>
      <c r="N976" t="s">
        <v>576</v>
      </c>
    </row>
    <row r="977" spans="3:14" hidden="1" x14ac:dyDescent="0.2">
      <c r="C977" t="s">
        <v>198</v>
      </c>
      <c r="D977" t="str">
        <f>VLOOKUP(C977,'Master Anggota'!$E$2:$J$678,2,0)</f>
        <v>Aktif</v>
      </c>
      <c r="G977" t="str">
        <f>VLOOKUP(C977,'Master Anggota'!$E$2:$J$678,5,0)</f>
        <v>00327</v>
      </c>
      <c r="H977" s="56">
        <v>0</v>
      </c>
      <c r="I977" s="56">
        <v>0</v>
      </c>
      <c r="J977" s="56">
        <v>100000</v>
      </c>
      <c r="K977" s="56">
        <v>200000</v>
      </c>
      <c r="L977" t="s">
        <v>663</v>
      </c>
      <c r="M977" s="71">
        <v>46167</v>
      </c>
      <c r="N977" t="s">
        <v>576</v>
      </c>
    </row>
    <row r="978" spans="3:14" hidden="1" x14ac:dyDescent="0.2">
      <c r="C978" t="s">
        <v>208</v>
      </c>
      <c r="D978" t="str">
        <f>VLOOKUP(C978,'Master Anggota'!$E$2:$J$678,2,0)</f>
        <v>Aktif</v>
      </c>
      <c r="G978" t="str">
        <f>VLOOKUP(C978,'Master Anggota'!$E$2:$J$678,5,0)</f>
        <v>00328</v>
      </c>
      <c r="H978" s="56">
        <v>0</v>
      </c>
      <c r="I978" s="56">
        <v>0</v>
      </c>
      <c r="J978" s="56">
        <v>100000</v>
      </c>
      <c r="K978" s="56">
        <v>250000</v>
      </c>
      <c r="L978" t="s">
        <v>663</v>
      </c>
      <c r="M978" s="71">
        <v>46167</v>
      </c>
      <c r="N978" t="s">
        <v>576</v>
      </c>
    </row>
    <row r="979" spans="3:14" hidden="1" x14ac:dyDescent="0.2">
      <c r="C979" t="s">
        <v>348</v>
      </c>
      <c r="D979" t="str">
        <f>VLOOKUP(C979,'Master Anggota'!$E$2:$J$678,2,0)</f>
        <v>Aktif</v>
      </c>
      <c r="G979" t="str">
        <f>VLOOKUP(C979,'Master Anggota'!$E$2:$J$678,5,0)</f>
        <v>00334</v>
      </c>
      <c r="H979" s="56">
        <v>0</v>
      </c>
      <c r="I979" s="56">
        <v>0</v>
      </c>
      <c r="J979" s="56">
        <v>100000</v>
      </c>
      <c r="K979" s="56">
        <v>10000</v>
      </c>
      <c r="L979" t="s">
        <v>663</v>
      </c>
      <c r="M979" s="71">
        <v>46167</v>
      </c>
      <c r="N979" t="s">
        <v>576</v>
      </c>
    </row>
    <row r="980" spans="3:14" hidden="1" x14ac:dyDescent="0.2">
      <c r="C980" t="s">
        <v>250</v>
      </c>
      <c r="D980" t="str">
        <f>VLOOKUP(C980,'Master Anggota'!$E$2:$J$678,2,0)</f>
        <v>Aktif</v>
      </c>
      <c r="G980" t="str">
        <f>VLOOKUP(C980,'Master Anggota'!$E$2:$J$678,5,0)</f>
        <v>00337</v>
      </c>
      <c r="H980" s="56">
        <v>0</v>
      </c>
      <c r="I980" s="56">
        <v>0</v>
      </c>
      <c r="J980" s="56">
        <v>100000</v>
      </c>
      <c r="K980" s="56">
        <v>50000</v>
      </c>
      <c r="L980" t="s">
        <v>663</v>
      </c>
      <c r="M980" s="71">
        <v>46167</v>
      </c>
      <c r="N980" t="s">
        <v>576</v>
      </c>
    </row>
    <row r="981" spans="3:14" hidden="1" x14ac:dyDescent="0.2">
      <c r="C981" t="s">
        <v>341</v>
      </c>
      <c r="D981" t="str">
        <f>VLOOKUP(C981,'Master Anggota'!$E$2:$J$678,2,0)</f>
        <v>Aktif</v>
      </c>
      <c r="G981" t="str">
        <f>VLOOKUP(C981,'Master Anggota'!$E$2:$J$678,5,0)</f>
        <v>00339</v>
      </c>
      <c r="H981" s="56">
        <v>0</v>
      </c>
      <c r="I981" s="56">
        <v>0</v>
      </c>
      <c r="J981" s="56">
        <v>100000</v>
      </c>
      <c r="K981" s="56">
        <v>50000</v>
      </c>
      <c r="L981" t="s">
        <v>663</v>
      </c>
      <c r="M981" s="71">
        <v>46167</v>
      </c>
      <c r="N981" t="s">
        <v>576</v>
      </c>
    </row>
    <row r="982" spans="3:14" hidden="1" x14ac:dyDescent="0.2">
      <c r="C982" t="s">
        <v>39</v>
      </c>
      <c r="D982" t="str">
        <f>VLOOKUP(C982,'Master Anggota'!$E$2:$J$678,2,0)</f>
        <v>Aktif</v>
      </c>
      <c r="G982" t="str">
        <f>VLOOKUP(C982,'Master Anggota'!$E$2:$J$678,5,0)</f>
        <v>00340</v>
      </c>
      <c r="H982" s="56">
        <v>0</v>
      </c>
      <c r="I982" s="56">
        <v>0</v>
      </c>
      <c r="J982" s="56">
        <v>100000</v>
      </c>
      <c r="K982" s="56">
        <v>1775000</v>
      </c>
      <c r="L982" t="s">
        <v>663</v>
      </c>
      <c r="M982" s="71">
        <v>46167</v>
      </c>
      <c r="N982" t="s">
        <v>576</v>
      </c>
    </row>
    <row r="983" spans="3:14" hidden="1" x14ac:dyDescent="0.2">
      <c r="C983" t="s">
        <v>129</v>
      </c>
      <c r="D983" t="str">
        <f>VLOOKUP(C983,'Master Anggota'!$E$2:$J$678,2,0)</f>
        <v>Aktif</v>
      </c>
      <c r="G983" t="str">
        <f>VLOOKUP(C983,'Master Anggota'!$E$2:$J$678,5,0)</f>
        <v>00343</v>
      </c>
      <c r="H983" s="56">
        <v>0</v>
      </c>
      <c r="I983" s="56">
        <v>0</v>
      </c>
      <c r="J983" s="56">
        <v>100000</v>
      </c>
      <c r="K983" s="56">
        <v>150000</v>
      </c>
      <c r="L983" t="s">
        <v>663</v>
      </c>
      <c r="M983" s="71">
        <v>46167</v>
      </c>
      <c r="N983" t="s">
        <v>576</v>
      </c>
    </row>
    <row r="984" spans="3:14" hidden="1" x14ac:dyDescent="0.2">
      <c r="C984" t="s">
        <v>480</v>
      </c>
      <c r="D984" t="str">
        <f>VLOOKUP(C984,'Master Anggota'!$E$2:$J$678,2,0)</f>
        <v>Aktif</v>
      </c>
      <c r="G984" t="str">
        <f>VLOOKUP(C984,'Master Anggota'!$E$2:$J$678,5,0)</f>
        <v>00351</v>
      </c>
      <c r="H984" s="56">
        <v>0</v>
      </c>
      <c r="I984" s="56">
        <v>0</v>
      </c>
      <c r="J984" s="56">
        <v>100000</v>
      </c>
      <c r="K984" s="56">
        <v>100000</v>
      </c>
      <c r="L984" t="s">
        <v>663</v>
      </c>
      <c r="M984" s="71">
        <v>46167</v>
      </c>
      <c r="N984" t="s">
        <v>576</v>
      </c>
    </row>
    <row r="985" spans="3:14" hidden="1" x14ac:dyDescent="0.2">
      <c r="C985" t="s">
        <v>151</v>
      </c>
      <c r="D985" t="str">
        <f>VLOOKUP(C985,'Master Anggota'!$E$2:$J$678,2,0)</f>
        <v>Aktif</v>
      </c>
      <c r="G985" t="str">
        <f>VLOOKUP(C985,'Master Anggota'!$E$2:$J$678,5,0)</f>
        <v>00362</v>
      </c>
      <c r="H985" s="56">
        <v>0</v>
      </c>
      <c r="I985" s="56">
        <v>0</v>
      </c>
      <c r="J985" s="56">
        <v>100000</v>
      </c>
      <c r="K985" s="56">
        <v>250000</v>
      </c>
      <c r="L985" t="s">
        <v>663</v>
      </c>
      <c r="M985" s="71">
        <v>46167</v>
      </c>
      <c r="N985" t="s">
        <v>576</v>
      </c>
    </row>
    <row r="986" spans="3:14" hidden="1" x14ac:dyDescent="0.2">
      <c r="C986" t="s">
        <v>90</v>
      </c>
      <c r="D986" t="str">
        <f>VLOOKUP(C986,'Master Anggota'!$E$2:$J$678,2,0)</f>
        <v>Aktif</v>
      </c>
      <c r="G986" t="str">
        <f>VLOOKUP(C986,'Master Anggota'!$E$2:$J$678,5,0)</f>
        <v>00363</v>
      </c>
      <c r="H986" s="56">
        <v>0</v>
      </c>
      <c r="I986" s="56">
        <v>0</v>
      </c>
      <c r="J986" s="56">
        <v>150000</v>
      </c>
      <c r="K986" s="56">
        <v>10000</v>
      </c>
      <c r="L986" t="s">
        <v>663</v>
      </c>
      <c r="M986" s="71">
        <v>46167</v>
      </c>
      <c r="N986" t="s">
        <v>576</v>
      </c>
    </row>
    <row r="987" spans="3:14" hidden="1" x14ac:dyDescent="0.2">
      <c r="C987" t="s">
        <v>483</v>
      </c>
      <c r="D987" t="str">
        <f>VLOOKUP(C987,'Master Anggota'!$E$2:$J$678,2,0)</f>
        <v>Aktif</v>
      </c>
      <c r="G987" t="str">
        <f>VLOOKUP(C987,'Master Anggota'!$E$2:$J$678,5,0)</f>
        <v>00368</v>
      </c>
      <c r="H987" s="56">
        <v>0</v>
      </c>
      <c r="I987" s="56">
        <v>0</v>
      </c>
      <c r="J987" s="56">
        <v>100000</v>
      </c>
      <c r="K987" s="56">
        <v>100000</v>
      </c>
      <c r="L987" t="s">
        <v>663</v>
      </c>
      <c r="M987" s="71">
        <v>46167</v>
      </c>
      <c r="N987" t="s">
        <v>576</v>
      </c>
    </row>
    <row r="988" spans="3:14" hidden="1" x14ac:dyDescent="0.2">
      <c r="C988" t="s">
        <v>328</v>
      </c>
      <c r="D988" t="str">
        <f>VLOOKUP(C988,'Master Anggota'!$E$2:$J$678,2,0)</f>
        <v>Aktif</v>
      </c>
      <c r="G988" t="str">
        <f>VLOOKUP(C988,'Master Anggota'!$E$2:$J$678,5,0)</f>
        <v>00369</v>
      </c>
      <c r="H988" s="56">
        <v>0</v>
      </c>
      <c r="I988" s="56">
        <v>0</v>
      </c>
      <c r="J988" s="56">
        <v>150000</v>
      </c>
      <c r="K988" s="56">
        <v>50000</v>
      </c>
      <c r="L988" t="s">
        <v>663</v>
      </c>
      <c r="M988" s="71">
        <v>46167</v>
      </c>
      <c r="N988" t="s">
        <v>576</v>
      </c>
    </row>
    <row r="989" spans="3:14" hidden="1" x14ac:dyDescent="0.2">
      <c r="C989" t="s">
        <v>352</v>
      </c>
      <c r="D989" t="str">
        <f>VLOOKUP(C989,'Master Anggota'!$E$2:$J$678,2,0)</f>
        <v>Aktif</v>
      </c>
      <c r="G989" t="str">
        <f>VLOOKUP(C989,'Master Anggota'!$E$2:$J$678,5,0)</f>
        <v>00370</v>
      </c>
      <c r="H989" s="56">
        <v>0</v>
      </c>
      <c r="I989" s="56">
        <v>0</v>
      </c>
      <c r="J989" s="56">
        <v>100000</v>
      </c>
      <c r="K989" s="56">
        <v>10000</v>
      </c>
      <c r="L989" t="s">
        <v>663</v>
      </c>
      <c r="M989" s="71">
        <v>46167</v>
      </c>
      <c r="N989" t="s">
        <v>576</v>
      </c>
    </row>
    <row r="990" spans="3:14" hidden="1" x14ac:dyDescent="0.2">
      <c r="C990" t="s">
        <v>481</v>
      </c>
      <c r="D990" t="str">
        <f>VLOOKUP(C990,'Master Anggota'!$E$2:$J$678,2,0)</f>
        <v>Aktif</v>
      </c>
      <c r="G990" t="str">
        <f>VLOOKUP(C990,'Master Anggota'!$E$2:$J$678,5,0)</f>
        <v>00371</v>
      </c>
      <c r="H990" s="56">
        <v>0</v>
      </c>
      <c r="I990" s="56">
        <v>0</v>
      </c>
      <c r="J990" s="56">
        <v>100000</v>
      </c>
      <c r="K990" s="56">
        <v>50000</v>
      </c>
      <c r="L990" t="s">
        <v>663</v>
      </c>
      <c r="M990" s="71">
        <v>46167</v>
      </c>
      <c r="N990" t="s">
        <v>576</v>
      </c>
    </row>
    <row r="991" spans="3:14" hidden="1" x14ac:dyDescent="0.2">
      <c r="C991" t="s">
        <v>345</v>
      </c>
      <c r="D991" t="str">
        <f>VLOOKUP(C991,'Master Anggota'!$E$2:$J$678,2,0)</f>
        <v>Aktif</v>
      </c>
      <c r="G991" t="str">
        <f>VLOOKUP(C991,'Master Anggota'!$E$2:$J$678,5,0)</f>
        <v>00372</v>
      </c>
      <c r="H991" s="56">
        <v>0</v>
      </c>
      <c r="I991" s="56">
        <v>0</v>
      </c>
      <c r="J991" s="56">
        <v>100000</v>
      </c>
      <c r="K991" s="56">
        <v>12500</v>
      </c>
      <c r="L991" t="s">
        <v>663</v>
      </c>
      <c r="M991" s="71">
        <v>46167</v>
      </c>
      <c r="N991" t="s">
        <v>576</v>
      </c>
    </row>
    <row r="992" spans="3:14" hidden="1" x14ac:dyDescent="0.2">
      <c r="C992" t="s">
        <v>521</v>
      </c>
      <c r="D992" t="str">
        <f>VLOOKUP(C992,'Master Anggota'!$E$2:$J$678,2,0)</f>
        <v>Aktif</v>
      </c>
      <c r="G992" t="str">
        <f>VLOOKUP(C992,'Master Anggota'!$E$2:$J$678,5,0)</f>
        <v>00376</v>
      </c>
      <c r="H992" s="56">
        <v>0</v>
      </c>
      <c r="I992" s="56">
        <v>0</v>
      </c>
      <c r="J992" s="56">
        <v>100000</v>
      </c>
      <c r="K992" s="56">
        <v>110000</v>
      </c>
      <c r="L992" t="s">
        <v>663</v>
      </c>
      <c r="M992" s="71">
        <v>46167</v>
      </c>
      <c r="N992" t="s">
        <v>576</v>
      </c>
    </row>
    <row r="993" spans="3:14" hidden="1" x14ac:dyDescent="0.2">
      <c r="C993" t="s">
        <v>94</v>
      </c>
      <c r="D993" t="str">
        <f>VLOOKUP(C993,'Master Anggota'!$E$2:$J$678,2,0)</f>
        <v>Aktif</v>
      </c>
      <c r="G993" t="str">
        <f>VLOOKUP(C993,'Master Anggota'!$E$2:$J$678,5,0)</f>
        <v>00387</v>
      </c>
      <c r="H993" s="56">
        <v>0</v>
      </c>
      <c r="I993" s="56">
        <v>0</v>
      </c>
      <c r="J993" s="56">
        <v>100000</v>
      </c>
      <c r="K993" s="56">
        <v>10000</v>
      </c>
      <c r="L993" t="s">
        <v>663</v>
      </c>
      <c r="M993" s="71">
        <v>46167</v>
      </c>
      <c r="N993" t="s">
        <v>576</v>
      </c>
    </row>
    <row r="994" spans="3:14" hidden="1" x14ac:dyDescent="0.2">
      <c r="C994" t="s">
        <v>258</v>
      </c>
      <c r="D994" t="str">
        <f>VLOOKUP(C994,'Master Anggota'!$E$2:$J$678,2,0)</f>
        <v>Aktif</v>
      </c>
      <c r="G994" t="str">
        <f>VLOOKUP(C994,'Master Anggota'!$E$2:$J$678,5,0)</f>
        <v>00390</v>
      </c>
      <c r="H994" s="56">
        <v>0</v>
      </c>
      <c r="I994" s="56">
        <v>0</v>
      </c>
      <c r="J994" s="56">
        <v>100000</v>
      </c>
      <c r="K994" s="56">
        <v>10000</v>
      </c>
      <c r="L994" t="s">
        <v>663</v>
      </c>
      <c r="M994" s="71">
        <v>46167</v>
      </c>
      <c r="N994" t="s">
        <v>576</v>
      </c>
    </row>
    <row r="995" spans="3:14" hidden="1" x14ac:dyDescent="0.2">
      <c r="C995" t="s">
        <v>92</v>
      </c>
      <c r="D995" t="str">
        <f>VLOOKUP(C995,'Master Anggota'!$E$2:$J$678,2,0)</f>
        <v>Aktif</v>
      </c>
      <c r="G995" t="str">
        <f>VLOOKUP(C995,'Master Anggota'!$E$2:$J$678,5,0)</f>
        <v>00396</v>
      </c>
      <c r="H995" s="56">
        <v>0</v>
      </c>
      <c r="I995" s="56">
        <v>0</v>
      </c>
      <c r="J995" s="56">
        <v>150000</v>
      </c>
      <c r="K995" s="56">
        <v>200000</v>
      </c>
      <c r="L995" t="s">
        <v>663</v>
      </c>
      <c r="M995" s="71">
        <v>46167</v>
      </c>
      <c r="N995" t="s">
        <v>576</v>
      </c>
    </row>
    <row r="996" spans="3:14" hidden="1" x14ac:dyDescent="0.2">
      <c r="C996" t="s">
        <v>103</v>
      </c>
      <c r="D996" t="str">
        <f>VLOOKUP(C996,'Master Anggota'!$E$2:$J$678,2,0)</f>
        <v>Aktif</v>
      </c>
      <c r="G996" t="str">
        <f>VLOOKUP(C996,'Master Anggota'!$E$2:$J$678,5,0)</f>
        <v>00401</v>
      </c>
      <c r="H996" s="56">
        <v>0</v>
      </c>
      <c r="I996" s="56">
        <v>0</v>
      </c>
      <c r="J996" s="56">
        <v>150000</v>
      </c>
      <c r="K996" s="56">
        <v>1000000</v>
      </c>
      <c r="L996" t="s">
        <v>663</v>
      </c>
      <c r="M996" s="71">
        <v>46167</v>
      </c>
      <c r="N996" t="s">
        <v>576</v>
      </c>
    </row>
    <row r="997" spans="3:14" hidden="1" x14ac:dyDescent="0.2">
      <c r="C997" t="s">
        <v>122</v>
      </c>
      <c r="D997" t="str">
        <f>VLOOKUP(C997,'Master Anggota'!$E$2:$J$678,2,0)</f>
        <v>Aktif</v>
      </c>
      <c r="G997" t="str">
        <f>VLOOKUP(C997,'Master Anggota'!$E$2:$J$678,5,0)</f>
        <v>00485</v>
      </c>
      <c r="H997" s="56">
        <v>0</v>
      </c>
      <c r="I997" s="56">
        <v>0</v>
      </c>
      <c r="J997" s="56">
        <v>100000</v>
      </c>
      <c r="K997" s="56">
        <v>500000</v>
      </c>
      <c r="L997" t="s">
        <v>663</v>
      </c>
      <c r="M997" s="71">
        <v>46167</v>
      </c>
      <c r="N997" t="s">
        <v>576</v>
      </c>
    </row>
    <row r="998" spans="3:14" hidden="1" x14ac:dyDescent="0.2">
      <c r="C998" t="s">
        <v>65</v>
      </c>
      <c r="D998" t="str">
        <f>VLOOKUP(C998,'Master Anggota'!$E$2:$J$678,2,0)</f>
        <v>Aktif</v>
      </c>
      <c r="G998" t="str">
        <f>VLOOKUP(C998,'Master Anggota'!$E$2:$J$678,5,0)</f>
        <v>00490</v>
      </c>
      <c r="H998" s="56">
        <v>0</v>
      </c>
      <c r="I998" s="56">
        <v>0</v>
      </c>
      <c r="J998" s="56">
        <v>150000</v>
      </c>
      <c r="K998" s="56">
        <v>200000</v>
      </c>
      <c r="L998" t="s">
        <v>663</v>
      </c>
      <c r="M998" s="71">
        <v>46167</v>
      </c>
      <c r="N998" t="s">
        <v>576</v>
      </c>
    </row>
    <row r="999" spans="3:14" hidden="1" x14ac:dyDescent="0.2">
      <c r="C999" t="s">
        <v>69</v>
      </c>
      <c r="D999" t="str">
        <f>VLOOKUP(C999,'Master Anggota'!$E$2:$J$678,2,0)</f>
        <v>Aktif</v>
      </c>
      <c r="G999" t="str">
        <f>VLOOKUP(C999,'Master Anggota'!$E$2:$J$678,5,0)</f>
        <v>00496</v>
      </c>
      <c r="H999" s="56">
        <v>0</v>
      </c>
      <c r="I999" s="56">
        <v>0</v>
      </c>
      <c r="J999" s="56">
        <v>100000</v>
      </c>
      <c r="K999" s="56">
        <v>150000</v>
      </c>
      <c r="L999" t="s">
        <v>663</v>
      </c>
      <c r="M999" s="71">
        <v>46167</v>
      </c>
      <c r="N999" t="s">
        <v>576</v>
      </c>
    </row>
    <row r="1000" spans="3:14" hidden="1" x14ac:dyDescent="0.2">
      <c r="C1000" t="s">
        <v>115</v>
      </c>
      <c r="D1000" t="str">
        <f>VLOOKUP(C1000,'Master Anggota'!$E$2:$J$678,2,0)</f>
        <v>Aktif</v>
      </c>
      <c r="G1000" t="str">
        <f>VLOOKUP(C1000,'Master Anggota'!$E$2:$J$678,5,0)</f>
        <v>00497</v>
      </c>
      <c r="H1000" s="56">
        <v>0</v>
      </c>
      <c r="I1000" s="56">
        <v>0</v>
      </c>
      <c r="J1000" s="56">
        <v>100000</v>
      </c>
      <c r="K1000" s="56">
        <v>500000</v>
      </c>
      <c r="L1000" t="s">
        <v>663</v>
      </c>
      <c r="M1000" s="71">
        <v>46167</v>
      </c>
      <c r="N1000" t="s">
        <v>576</v>
      </c>
    </row>
    <row r="1001" spans="3:14" hidden="1" x14ac:dyDescent="0.2">
      <c r="C1001" t="s">
        <v>117</v>
      </c>
      <c r="D1001" t="str">
        <f>VLOOKUP(C1001,'Master Anggota'!$E$2:$J$678,2,0)</f>
        <v>Aktif</v>
      </c>
      <c r="G1001" t="str">
        <f>VLOOKUP(C1001,'Master Anggota'!$E$2:$J$678,5,0)</f>
        <v>00497</v>
      </c>
      <c r="H1001" s="56">
        <v>0</v>
      </c>
      <c r="I1001" s="56">
        <v>0</v>
      </c>
      <c r="J1001" s="56">
        <v>100000</v>
      </c>
      <c r="K1001" s="56">
        <v>300000</v>
      </c>
      <c r="L1001" t="s">
        <v>663</v>
      </c>
      <c r="M1001" s="71">
        <v>46167</v>
      </c>
      <c r="N1001" t="s">
        <v>576</v>
      </c>
    </row>
    <row r="1002" spans="3:14" hidden="1" x14ac:dyDescent="0.2">
      <c r="C1002" t="s">
        <v>194</v>
      </c>
      <c r="D1002" t="str">
        <f>VLOOKUP(C1002,'Master Anggota'!$E$2:$J$678,2,0)</f>
        <v>Aktif</v>
      </c>
      <c r="G1002" t="str">
        <f>VLOOKUP(C1002,'Master Anggota'!$E$2:$J$678,5,0)</f>
        <v>00498</v>
      </c>
      <c r="H1002" s="56">
        <v>0</v>
      </c>
      <c r="I1002" s="56">
        <v>0</v>
      </c>
      <c r="J1002" s="56">
        <v>100000</v>
      </c>
      <c r="K1002" s="56">
        <v>600000</v>
      </c>
      <c r="L1002" t="s">
        <v>663</v>
      </c>
      <c r="M1002" s="71">
        <v>46167</v>
      </c>
      <c r="N1002" t="s">
        <v>576</v>
      </c>
    </row>
    <row r="1003" spans="3:14" hidden="1" x14ac:dyDescent="0.2">
      <c r="C1003" t="s">
        <v>155</v>
      </c>
      <c r="D1003" t="str">
        <f>VLOOKUP(C1003,'Master Anggota'!$E$2:$J$678,2,0)</f>
        <v>Aktif</v>
      </c>
      <c r="G1003" t="str">
        <f>VLOOKUP(C1003,'Master Anggota'!$E$2:$J$678,5,0)</f>
        <v>00499</v>
      </c>
      <c r="H1003" s="56">
        <v>0</v>
      </c>
      <c r="I1003" s="56">
        <v>0</v>
      </c>
      <c r="J1003" s="56">
        <v>100000</v>
      </c>
      <c r="K1003" s="56">
        <v>75000</v>
      </c>
      <c r="L1003" t="s">
        <v>663</v>
      </c>
      <c r="M1003" s="71">
        <v>46167</v>
      </c>
      <c r="N1003" t="s">
        <v>576</v>
      </c>
    </row>
    <row r="1004" spans="3:14" hidden="1" x14ac:dyDescent="0.2">
      <c r="C1004" t="s">
        <v>96</v>
      </c>
      <c r="D1004" t="str">
        <f>VLOOKUP(C1004,'Master Anggota'!$E$2:$J$678,2,0)</f>
        <v>Aktif</v>
      </c>
      <c r="G1004" t="str">
        <f>VLOOKUP(C1004,'Master Anggota'!$E$2:$J$678,5,0)</f>
        <v>00508</v>
      </c>
      <c r="H1004" s="56">
        <v>0</v>
      </c>
      <c r="I1004" s="56">
        <v>0</v>
      </c>
      <c r="J1004" s="56">
        <v>100000</v>
      </c>
      <c r="K1004" s="56">
        <v>50000</v>
      </c>
      <c r="L1004" t="s">
        <v>663</v>
      </c>
      <c r="M1004" s="71">
        <v>46167</v>
      </c>
      <c r="N1004" t="s">
        <v>576</v>
      </c>
    </row>
    <row r="1005" spans="3:14" hidden="1" x14ac:dyDescent="0.2">
      <c r="C1005" t="s">
        <v>270</v>
      </c>
      <c r="D1005" t="str">
        <f>VLOOKUP(C1005,'Master Anggota'!$E$2:$J$678,2,0)</f>
        <v>Aktif</v>
      </c>
      <c r="G1005" t="str">
        <f>VLOOKUP(C1005,'Master Anggota'!$E$2:$J$678,5,0)</f>
        <v>00509</v>
      </c>
      <c r="H1005" s="56">
        <v>0</v>
      </c>
      <c r="I1005" s="56">
        <v>0</v>
      </c>
      <c r="J1005" s="56">
        <v>100000</v>
      </c>
      <c r="K1005" s="56">
        <v>175000</v>
      </c>
      <c r="L1005" t="s">
        <v>663</v>
      </c>
      <c r="M1005" s="71">
        <v>46167</v>
      </c>
      <c r="N1005" t="s">
        <v>576</v>
      </c>
    </row>
    <row r="1006" spans="3:14" hidden="1" x14ac:dyDescent="0.2">
      <c r="C1006" t="s">
        <v>37</v>
      </c>
      <c r="D1006" t="str">
        <f>VLOOKUP(C1006,'Master Anggota'!$E$2:$J$678,2,0)</f>
        <v>Aktif</v>
      </c>
      <c r="G1006" t="str">
        <f>VLOOKUP(C1006,'Master Anggota'!$E$2:$J$678,5,0)</f>
        <v>00511</v>
      </c>
      <c r="H1006" s="56">
        <v>0</v>
      </c>
      <c r="I1006" s="56">
        <v>0</v>
      </c>
      <c r="J1006" s="56">
        <v>100000</v>
      </c>
      <c r="K1006" s="56">
        <v>50000</v>
      </c>
      <c r="L1006" t="s">
        <v>663</v>
      </c>
      <c r="M1006" s="71">
        <v>46167</v>
      </c>
      <c r="N1006" t="s">
        <v>576</v>
      </c>
    </row>
    <row r="1007" spans="3:14" hidden="1" x14ac:dyDescent="0.2">
      <c r="C1007" t="s">
        <v>202</v>
      </c>
      <c r="D1007" t="str">
        <f>VLOOKUP(C1007,'Master Anggota'!$E$2:$J$678,2,0)</f>
        <v>Aktif</v>
      </c>
      <c r="G1007" t="str">
        <f>VLOOKUP(C1007,'Master Anggota'!$E$2:$J$678,5,0)</f>
        <v>00512</v>
      </c>
      <c r="H1007" s="56">
        <v>0</v>
      </c>
      <c r="I1007" s="56">
        <v>0</v>
      </c>
      <c r="J1007" s="56">
        <v>100000</v>
      </c>
      <c r="K1007" s="56">
        <v>175000</v>
      </c>
      <c r="L1007" t="s">
        <v>663</v>
      </c>
      <c r="M1007" s="71">
        <v>46167</v>
      </c>
      <c r="N1007" t="s">
        <v>576</v>
      </c>
    </row>
    <row r="1008" spans="3:14" hidden="1" x14ac:dyDescent="0.2">
      <c r="C1008" t="s">
        <v>239</v>
      </c>
      <c r="D1008" t="str">
        <f>VLOOKUP(C1008,'Master Anggota'!$E$2:$J$678,2,0)</f>
        <v>Aktif</v>
      </c>
      <c r="G1008" t="str">
        <f>VLOOKUP(C1008,'Master Anggota'!$E$2:$J$678,5,0)</f>
        <v>00513</v>
      </c>
      <c r="H1008" s="56">
        <v>0</v>
      </c>
      <c r="I1008" s="56">
        <v>0</v>
      </c>
      <c r="J1008" s="56">
        <v>100000</v>
      </c>
      <c r="K1008" s="56">
        <v>125000</v>
      </c>
      <c r="L1008" t="s">
        <v>663</v>
      </c>
      <c r="M1008" s="71">
        <v>46167</v>
      </c>
      <c r="N1008" t="s">
        <v>576</v>
      </c>
    </row>
    <row r="1009" spans="3:14" hidden="1" x14ac:dyDescent="0.2">
      <c r="C1009" t="s">
        <v>223</v>
      </c>
      <c r="D1009" t="str">
        <f>VLOOKUP(C1009,'Master Anggota'!$E$2:$J$678,2,0)</f>
        <v>Aktif</v>
      </c>
      <c r="G1009" t="str">
        <f>VLOOKUP(C1009,'Master Anggota'!$E$2:$J$678,5,0)</f>
        <v>00514</v>
      </c>
      <c r="H1009" s="56">
        <v>0</v>
      </c>
      <c r="I1009" s="56">
        <v>0</v>
      </c>
      <c r="J1009" s="56">
        <v>100000</v>
      </c>
      <c r="K1009" s="56">
        <v>300000</v>
      </c>
      <c r="L1009" t="s">
        <v>663</v>
      </c>
      <c r="M1009" s="71">
        <v>46167</v>
      </c>
      <c r="N1009" t="s">
        <v>576</v>
      </c>
    </row>
    <row r="1010" spans="3:14" hidden="1" x14ac:dyDescent="0.2">
      <c r="C1010" t="s">
        <v>274</v>
      </c>
      <c r="D1010" t="str">
        <f>VLOOKUP(C1010,'Master Anggota'!$E$2:$J$678,2,0)</f>
        <v>Aktif</v>
      </c>
      <c r="G1010" t="str">
        <f>VLOOKUP(C1010,'Master Anggota'!$E$2:$J$678,5,0)</f>
        <v>00515</v>
      </c>
      <c r="H1010" s="56">
        <v>0</v>
      </c>
      <c r="I1010" s="56">
        <v>0</v>
      </c>
      <c r="J1010" s="56">
        <v>100000</v>
      </c>
      <c r="K1010" s="56">
        <v>100000</v>
      </c>
      <c r="L1010" t="s">
        <v>663</v>
      </c>
      <c r="M1010" s="71">
        <v>46167</v>
      </c>
      <c r="N1010" t="s">
        <v>576</v>
      </c>
    </row>
    <row r="1011" spans="3:14" hidden="1" x14ac:dyDescent="0.2">
      <c r="C1011" t="s">
        <v>233</v>
      </c>
      <c r="D1011" t="str">
        <f>VLOOKUP(C1011,'Master Anggota'!$E$2:$J$678,2,0)</f>
        <v>Aktif</v>
      </c>
      <c r="G1011" t="str">
        <f>VLOOKUP(C1011,'Master Anggota'!$E$2:$J$678,5,0)</f>
        <v>00516</v>
      </c>
      <c r="H1011" s="56">
        <v>0</v>
      </c>
      <c r="I1011" s="56">
        <v>0</v>
      </c>
      <c r="J1011" s="56">
        <v>100000</v>
      </c>
      <c r="K1011" s="56">
        <v>25000</v>
      </c>
      <c r="L1011" t="s">
        <v>663</v>
      </c>
      <c r="M1011" s="71">
        <v>46167</v>
      </c>
      <c r="N1011" t="s">
        <v>576</v>
      </c>
    </row>
    <row r="1012" spans="3:14" hidden="1" x14ac:dyDescent="0.2">
      <c r="C1012" t="s">
        <v>71</v>
      </c>
      <c r="D1012" t="str">
        <f>VLOOKUP(C1012,'Master Anggota'!$E$2:$J$678,2,0)</f>
        <v>Aktif</v>
      </c>
      <c r="G1012" t="str">
        <f>VLOOKUP(C1012,'Master Anggota'!$E$2:$J$678,5,0)</f>
        <v>00517</v>
      </c>
      <c r="H1012" s="56">
        <v>0</v>
      </c>
      <c r="I1012" s="56">
        <v>0</v>
      </c>
      <c r="J1012" s="56">
        <v>100000</v>
      </c>
      <c r="K1012" s="56">
        <v>400000</v>
      </c>
      <c r="L1012" t="s">
        <v>663</v>
      </c>
      <c r="M1012" s="71">
        <v>46167</v>
      </c>
      <c r="N1012" t="s">
        <v>576</v>
      </c>
    </row>
    <row r="1013" spans="3:14" hidden="1" x14ac:dyDescent="0.2">
      <c r="C1013" t="s">
        <v>62</v>
      </c>
      <c r="D1013" t="str">
        <f>VLOOKUP(C1013,'Master Anggota'!$E$2:$J$678,2,0)</f>
        <v>Aktif</v>
      </c>
      <c r="G1013" t="str">
        <f>VLOOKUP(C1013,'Master Anggota'!$E$2:$J$678,5,0)</f>
        <v>00518</v>
      </c>
      <c r="H1013" s="56">
        <v>0</v>
      </c>
      <c r="I1013" s="56">
        <v>0</v>
      </c>
      <c r="J1013" s="56">
        <v>200000</v>
      </c>
      <c r="K1013" s="56">
        <v>100000</v>
      </c>
      <c r="L1013" t="s">
        <v>663</v>
      </c>
      <c r="M1013" s="71">
        <v>46167</v>
      </c>
      <c r="N1013" t="s">
        <v>576</v>
      </c>
    </row>
    <row r="1014" spans="3:14" hidden="1" x14ac:dyDescent="0.2">
      <c r="C1014" t="s">
        <v>46</v>
      </c>
      <c r="D1014" t="str">
        <f>VLOOKUP(C1014,'Master Anggota'!$E$2:$J$678,2,0)</f>
        <v>Aktif</v>
      </c>
      <c r="G1014" t="str">
        <f>VLOOKUP(C1014,'Master Anggota'!$E$2:$J$678,5,0)</f>
        <v>00519</v>
      </c>
      <c r="H1014" s="56">
        <v>0</v>
      </c>
      <c r="I1014" s="56">
        <v>0</v>
      </c>
      <c r="J1014" s="56">
        <v>100000</v>
      </c>
      <c r="K1014" s="56">
        <v>125000</v>
      </c>
      <c r="L1014" t="s">
        <v>663</v>
      </c>
      <c r="M1014" s="71">
        <v>46167</v>
      </c>
      <c r="N1014" t="s">
        <v>576</v>
      </c>
    </row>
    <row r="1015" spans="3:14" hidden="1" x14ac:dyDescent="0.2">
      <c r="C1015" t="s">
        <v>200</v>
      </c>
      <c r="D1015" t="str">
        <f>VLOOKUP(C1015,'Master Anggota'!$E$2:$J$678,2,0)</f>
        <v>Aktif</v>
      </c>
      <c r="G1015" t="str">
        <f>VLOOKUP(C1015,'Master Anggota'!$E$2:$J$678,5,0)</f>
        <v>00520</v>
      </c>
      <c r="H1015" s="56">
        <v>0</v>
      </c>
      <c r="I1015" s="56">
        <v>0</v>
      </c>
      <c r="J1015" s="56">
        <v>100000</v>
      </c>
      <c r="K1015" s="56">
        <v>100000</v>
      </c>
      <c r="L1015" t="s">
        <v>663</v>
      </c>
      <c r="M1015" s="71">
        <v>46167</v>
      </c>
      <c r="N1015" t="s">
        <v>576</v>
      </c>
    </row>
    <row r="1016" spans="3:14" hidden="1" x14ac:dyDescent="0.2">
      <c r="C1016" t="s">
        <v>107</v>
      </c>
      <c r="D1016" t="str">
        <f>VLOOKUP(C1016,'Master Anggota'!$E$2:$J$678,2,0)</f>
        <v>Aktif</v>
      </c>
      <c r="G1016" t="str">
        <f>VLOOKUP(C1016,'Master Anggota'!$E$2:$J$678,5,0)</f>
        <v>00521</v>
      </c>
      <c r="H1016" s="56">
        <v>0</v>
      </c>
      <c r="I1016" s="56">
        <v>0</v>
      </c>
      <c r="J1016" s="56">
        <v>150000</v>
      </c>
      <c r="K1016" s="56">
        <v>150000</v>
      </c>
      <c r="L1016" t="s">
        <v>663</v>
      </c>
      <c r="M1016" s="71">
        <v>46167</v>
      </c>
      <c r="N1016" t="s">
        <v>576</v>
      </c>
    </row>
    <row r="1017" spans="3:14" hidden="1" x14ac:dyDescent="0.2">
      <c r="C1017" t="s">
        <v>235</v>
      </c>
      <c r="D1017" t="str">
        <f>VLOOKUP(C1017,'Master Anggota'!$E$2:$J$678,2,0)</f>
        <v>Aktif</v>
      </c>
      <c r="G1017" t="str">
        <f>VLOOKUP(C1017,'Master Anggota'!$E$2:$J$678,5,0)</f>
        <v>00523</v>
      </c>
      <c r="H1017" s="56">
        <v>0</v>
      </c>
      <c r="I1017" s="56">
        <v>0</v>
      </c>
      <c r="J1017" s="56">
        <v>100000</v>
      </c>
      <c r="K1017" s="56">
        <v>100000</v>
      </c>
      <c r="L1017" t="s">
        <v>663</v>
      </c>
      <c r="M1017" s="71">
        <v>46167</v>
      </c>
      <c r="N1017" t="s">
        <v>576</v>
      </c>
    </row>
    <row r="1018" spans="3:14" hidden="1" x14ac:dyDescent="0.2">
      <c r="C1018" t="s">
        <v>252</v>
      </c>
      <c r="D1018" t="str">
        <f>VLOOKUP(C1018,'Master Anggota'!$E$2:$J$678,2,0)</f>
        <v>Aktif</v>
      </c>
      <c r="G1018" t="str">
        <f>VLOOKUP(C1018,'Master Anggota'!$E$2:$J$678,5,0)</f>
        <v>00524</v>
      </c>
      <c r="H1018" s="56">
        <v>0</v>
      </c>
      <c r="I1018" s="56">
        <v>0</v>
      </c>
      <c r="J1018" s="56">
        <v>100000</v>
      </c>
      <c r="K1018" s="56">
        <v>200000</v>
      </c>
      <c r="L1018" t="s">
        <v>663</v>
      </c>
      <c r="M1018" s="71">
        <v>46167</v>
      </c>
      <c r="N1018" t="s">
        <v>576</v>
      </c>
    </row>
    <row r="1019" spans="3:14" hidden="1" x14ac:dyDescent="0.2">
      <c r="C1019" t="s">
        <v>206</v>
      </c>
      <c r="D1019" t="str">
        <f>VLOOKUP(C1019,'Master Anggota'!$E$2:$J$678,2,0)</f>
        <v>Aktif</v>
      </c>
      <c r="G1019" t="str">
        <f>VLOOKUP(C1019,'Master Anggota'!$E$2:$J$678,5,0)</f>
        <v>00525</v>
      </c>
      <c r="H1019" s="56">
        <v>0</v>
      </c>
      <c r="I1019" s="56">
        <v>0</v>
      </c>
      <c r="J1019" s="56">
        <v>100000</v>
      </c>
      <c r="K1019" s="56">
        <v>100000</v>
      </c>
      <c r="L1019" t="s">
        <v>663</v>
      </c>
      <c r="M1019" s="71">
        <v>46167</v>
      </c>
      <c r="N1019" t="s">
        <v>576</v>
      </c>
    </row>
    <row r="1020" spans="3:14" hidden="1" x14ac:dyDescent="0.2">
      <c r="C1020" t="s">
        <v>241</v>
      </c>
      <c r="D1020" t="str">
        <f>VLOOKUP(C1020,'Master Anggota'!$E$2:$J$678,2,0)</f>
        <v>Aktif</v>
      </c>
      <c r="G1020" t="str">
        <f>VLOOKUP(C1020,'Master Anggota'!$E$2:$J$678,5,0)</f>
        <v>00526</v>
      </c>
      <c r="H1020" s="56">
        <v>0</v>
      </c>
      <c r="I1020" s="56">
        <v>0</v>
      </c>
      <c r="J1020" s="56">
        <v>100000</v>
      </c>
      <c r="K1020" s="56">
        <v>100000</v>
      </c>
      <c r="L1020" t="s">
        <v>663</v>
      </c>
      <c r="M1020" s="71">
        <v>46167</v>
      </c>
      <c r="N1020" t="s">
        <v>576</v>
      </c>
    </row>
    <row r="1021" spans="3:14" hidden="1" x14ac:dyDescent="0.2">
      <c r="C1021" t="s">
        <v>147</v>
      </c>
      <c r="D1021" t="str">
        <f>VLOOKUP(C1021,'Master Anggota'!$E$2:$J$678,2,0)</f>
        <v>Aktif</v>
      </c>
      <c r="G1021" t="str">
        <f>VLOOKUP(C1021,'Master Anggota'!$E$2:$J$678,5,0)</f>
        <v>00527</v>
      </c>
      <c r="H1021" s="56">
        <v>0</v>
      </c>
      <c r="I1021" s="56">
        <v>0</v>
      </c>
      <c r="J1021" s="56">
        <v>100000</v>
      </c>
      <c r="K1021" s="56">
        <v>50000</v>
      </c>
      <c r="L1021" t="s">
        <v>663</v>
      </c>
      <c r="M1021" s="71">
        <v>46167</v>
      </c>
      <c r="N1021" t="s">
        <v>576</v>
      </c>
    </row>
    <row r="1022" spans="3:14" hidden="1" x14ac:dyDescent="0.2">
      <c r="C1022" t="s">
        <v>268</v>
      </c>
      <c r="D1022" t="str">
        <f>VLOOKUP(C1022,'Master Anggota'!$E$2:$J$678,2,0)</f>
        <v>Aktif</v>
      </c>
      <c r="G1022" t="str">
        <f>VLOOKUP(C1022,'Master Anggota'!$E$2:$J$678,5,0)</f>
        <v>00528</v>
      </c>
      <c r="H1022" s="56">
        <v>0</v>
      </c>
      <c r="I1022" s="56">
        <v>0</v>
      </c>
      <c r="J1022" s="56">
        <v>100000</v>
      </c>
      <c r="K1022" s="56">
        <v>100000</v>
      </c>
      <c r="L1022" t="s">
        <v>663</v>
      </c>
      <c r="M1022" s="71">
        <v>46167</v>
      </c>
      <c r="N1022" t="s">
        <v>576</v>
      </c>
    </row>
    <row r="1023" spans="3:14" x14ac:dyDescent="0.2">
      <c r="C1023" t="s">
        <v>214</v>
      </c>
      <c r="D1023" t="str">
        <f>VLOOKUP(C1023,'Master Anggota'!$E$2:$J$678,2,0)</f>
        <v>Aktif</v>
      </c>
      <c r="G1023" t="str">
        <f>VLOOKUP(C1023,'Master Anggota'!$E$2:$J$678,5,0)</f>
        <v>00529</v>
      </c>
      <c r="H1023" s="56">
        <v>0</v>
      </c>
      <c r="I1023" s="56">
        <v>0</v>
      </c>
      <c r="J1023" s="56">
        <v>100000</v>
      </c>
      <c r="K1023" s="56">
        <v>100000</v>
      </c>
      <c r="L1023" t="s">
        <v>663</v>
      </c>
      <c r="M1023" s="71">
        <v>46167</v>
      </c>
      <c r="N1023" t="s">
        <v>576</v>
      </c>
    </row>
    <row r="1024" spans="3:14" hidden="1" x14ac:dyDescent="0.2">
      <c r="C1024" t="s">
        <v>243</v>
      </c>
      <c r="D1024" t="str">
        <f>VLOOKUP(C1024,'Master Anggota'!$E$2:$J$678,2,0)</f>
        <v>Aktif</v>
      </c>
      <c r="G1024" t="str">
        <f>VLOOKUP(C1024,'Master Anggota'!$E$2:$J$678,5,0)</f>
        <v>00530</v>
      </c>
      <c r="H1024" s="56">
        <v>0</v>
      </c>
      <c r="I1024" s="56">
        <v>0</v>
      </c>
      <c r="J1024" s="56">
        <v>100000</v>
      </c>
      <c r="K1024" s="56">
        <v>250000</v>
      </c>
      <c r="L1024" t="s">
        <v>663</v>
      </c>
      <c r="M1024" s="71">
        <v>46167</v>
      </c>
      <c r="N1024" t="s">
        <v>576</v>
      </c>
    </row>
    <row r="1025" spans="3:14" hidden="1" x14ac:dyDescent="0.2">
      <c r="C1025" t="s">
        <v>225</v>
      </c>
      <c r="D1025" t="str">
        <f>VLOOKUP(C1025,'Master Anggota'!$E$2:$J$678,2,0)</f>
        <v>Aktif</v>
      </c>
      <c r="G1025" t="str">
        <f>VLOOKUP(C1025,'Master Anggota'!$E$2:$J$678,5,0)</f>
        <v>00531</v>
      </c>
      <c r="H1025" s="56">
        <v>0</v>
      </c>
      <c r="I1025" s="56">
        <v>0</v>
      </c>
      <c r="J1025" s="56">
        <v>100000</v>
      </c>
      <c r="K1025" s="56">
        <v>15000</v>
      </c>
      <c r="L1025" t="s">
        <v>663</v>
      </c>
      <c r="M1025" s="71">
        <v>46167</v>
      </c>
      <c r="N1025" t="s">
        <v>576</v>
      </c>
    </row>
    <row r="1026" spans="3:14" hidden="1" x14ac:dyDescent="0.2">
      <c r="C1026" t="s">
        <v>245</v>
      </c>
      <c r="D1026" t="str">
        <f>VLOOKUP(C1026,'Master Anggota'!$E$2:$J$678,2,0)</f>
        <v>Aktif</v>
      </c>
      <c r="G1026" t="str">
        <f>VLOOKUP(C1026,'Master Anggota'!$E$2:$J$678,5,0)</f>
        <v>00532</v>
      </c>
      <c r="H1026" s="56">
        <v>0</v>
      </c>
      <c r="I1026" s="56">
        <v>0</v>
      </c>
      <c r="J1026" s="56">
        <v>100000</v>
      </c>
      <c r="K1026" s="56">
        <v>100000</v>
      </c>
      <c r="L1026" t="s">
        <v>663</v>
      </c>
      <c r="M1026" s="71">
        <v>46167</v>
      </c>
      <c r="N1026" t="s">
        <v>576</v>
      </c>
    </row>
    <row r="1027" spans="3:14" hidden="1" x14ac:dyDescent="0.2">
      <c r="C1027" t="s">
        <v>522</v>
      </c>
      <c r="D1027" t="str">
        <f>VLOOKUP(C1027,'Master Anggota'!$E$2:$J$678,2,0)</f>
        <v>Aktif</v>
      </c>
      <c r="G1027" t="str">
        <f>VLOOKUP(C1027,'Master Anggota'!$E$2:$J$678,5,0)</f>
        <v>00533</v>
      </c>
      <c r="H1027" s="56">
        <v>0</v>
      </c>
      <c r="I1027" s="56">
        <v>0</v>
      </c>
      <c r="J1027" s="56">
        <v>100000</v>
      </c>
      <c r="K1027" s="56">
        <v>100000</v>
      </c>
      <c r="L1027" t="s">
        <v>663</v>
      </c>
      <c r="M1027" s="71">
        <v>46167</v>
      </c>
      <c r="N1027" t="s">
        <v>576</v>
      </c>
    </row>
    <row r="1028" spans="3:14" hidden="1" x14ac:dyDescent="0.2">
      <c r="C1028" t="s">
        <v>204</v>
      </c>
      <c r="D1028" t="str">
        <f>VLOOKUP(C1028,'Master Anggota'!$E$2:$J$678,2,0)</f>
        <v>Aktif</v>
      </c>
      <c r="G1028" t="str">
        <f>VLOOKUP(C1028,'Master Anggota'!$E$2:$J$678,5,0)</f>
        <v>00534</v>
      </c>
      <c r="H1028" s="56">
        <v>0</v>
      </c>
      <c r="I1028" s="56">
        <v>0</v>
      </c>
      <c r="J1028" s="56">
        <v>100000</v>
      </c>
      <c r="K1028" s="56">
        <v>125000</v>
      </c>
      <c r="L1028" t="s">
        <v>663</v>
      </c>
      <c r="M1028" s="71">
        <v>46167</v>
      </c>
      <c r="N1028" t="s">
        <v>576</v>
      </c>
    </row>
    <row r="1029" spans="3:14" hidden="1" x14ac:dyDescent="0.2">
      <c r="C1029" t="s">
        <v>189</v>
      </c>
      <c r="D1029" t="str">
        <f>VLOOKUP(C1029,'Master Anggota'!$E$2:$J$678,2,0)</f>
        <v>Aktif</v>
      </c>
      <c r="G1029" t="str">
        <f>VLOOKUP(C1029,'Master Anggota'!$E$2:$J$678,5,0)</f>
        <v>00535</v>
      </c>
      <c r="H1029" s="56">
        <v>0</v>
      </c>
      <c r="I1029" s="56">
        <v>0</v>
      </c>
      <c r="J1029" s="56">
        <v>150000</v>
      </c>
      <c r="K1029" s="56">
        <v>100000</v>
      </c>
      <c r="L1029" t="s">
        <v>663</v>
      </c>
      <c r="M1029" s="71">
        <v>46167</v>
      </c>
      <c r="N1029" t="s">
        <v>576</v>
      </c>
    </row>
    <row r="1030" spans="3:14" hidden="1" x14ac:dyDescent="0.2">
      <c r="C1030" t="s">
        <v>81</v>
      </c>
      <c r="D1030" t="str">
        <f>VLOOKUP(C1030,'Master Anggota'!$E$2:$J$678,2,0)</f>
        <v>Aktif</v>
      </c>
      <c r="G1030" t="str">
        <f>VLOOKUP(C1030,'Master Anggota'!$E$2:$J$678,5,0)</f>
        <v>00537</v>
      </c>
      <c r="H1030" s="56">
        <v>0</v>
      </c>
      <c r="I1030" s="56">
        <v>0</v>
      </c>
      <c r="J1030" s="56">
        <v>150000</v>
      </c>
      <c r="K1030" s="56">
        <v>50000</v>
      </c>
      <c r="L1030" t="s">
        <v>663</v>
      </c>
      <c r="M1030" s="71">
        <v>46167</v>
      </c>
      <c r="N1030" t="s">
        <v>576</v>
      </c>
    </row>
    <row r="1031" spans="3:14" hidden="1" x14ac:dyDescent="0.2">
      <c r="C1031" t="s">
        <v>55</v>
      </c>
      <c r="D1031" t="str">
        <f>VLOOKUP(C1031,'Master Anggota'!$E$2:$J$678,2,0)</f>
        <v>Aktif</v>
      </c>
      <c r="G1031" t="str">
        <f>VLOOKUP(C1031,'Master Anggota'!$E$2:$J$678,5,0)</f>
        <v>00539</v>
      </c>
      <c r="H1031" s="56">
        <v>0</v>
      </c>
      <c r="I1031" s="56">
        <v>0</v>
      </c>
      <c r="J1031" s="56">
        <v>100000</v>
      </c>
      <c r="K1031" s="56">
        <v>50000</v>
      </c>
      <c r="L1031" t="s">
        <v>663</v>
      </c>
      <c r="M1031" s="71">
        <v>46167</v>
      </c>
      <c r="N1031" t="s">
        <v>576</v>
      </c>
    </row>
    <row r="1032" spans="3:14" hidden="1" x14ac:dyDescent="0.2">
      <c r="C1032" t="s">
        <v>53</v>
      </c>
      <c r="D1032" t="str">
        <f>VLOOKUP(C1032,'Master Anggota'!$E$2:$J$678,2,0)</f>
        <v>Aktif</v>
      </c>
      <c r="G1032" t="str">
        <f>VLOOKUP(C1032,'Master Anggota'!$E$2:$J$678,5,0)</f>
        <v>00540</v>
      </c>
      <c r="H1032" s="56">
        <v>0</v>
      </c>
      <c r="I1032" s="56">
        <v>0</v>
      </c>
      <c r="J1032" s="56">
        <v>100000</v>
      </c>
      <c r="K1032" s="56">
        <v>125000</v>
      </c>
      <c r="L1032" t="s">
        <v>663</v>
      </c>
      <c r="M1032" s="71">
        <v>46167</v>
      </c>
      <c r="N1032" t="s">
        <v>576</v>
      </c>
    </row>
    <row r="1033" spans="3:14" hidden="1" x14ac:dyDescent="0.2">
      <c r="C1033" t="s">
        <v>79</v>
      </c>
      <c r="D1033" t="str">
        <f>VLOOKUP(C1033,'Master Anggota'!$E$2:$J$678,2,0)</f>
        <v>Aktif</v>
      </c>
      <c r="G1033" t="str">
        <f>VLOOKUP(C1033,'Master Anggota'!$E$2:$J$678,5,0)</f>
        <v>00541</v>
      </c>
      <c r="H1033" s="56">
        <v>0</v>
      </c>
      <c r="I1033" s="56">
        <v>0</v>
      </c>
      <c r="J1033" s="56">
        <v>100000</v>
      </c>
      <c r="K1033" s="56">
        <v>150000</v>
      </c>
      <c r="L1033" t="s">
        <v>663</v>
      </c>
      <c r="M1033" s="71">
        <v>46167</v>
      </c>
      <c r="N1033" t="s">
        <v>576</v>
      </c>
    </row>
    <row r="1034" spans="3:14" hidden="1" x14ac:dyDescent="0.2">
      <c r="C1034" t="s">
        <v>231</v>
      </c>
      <c r="D1034" t="str">
        <f>VLOOKUP(C1034,'Master Anggota'!$E$2:$J$678,2,0)</f>
        <v>Aktif</v>
      </c>
      <c r="G1034" t="str">
        <f>VLOOKUP(C1034,'Master Anggota'!$E$2:$J$678,5,0)</f>
        <v>00542</v>
      </c>
      <c r="H1034" s="56">
        <v>0</v>
      </c>
      <c r="I1034" s="56">
        <v>0</v>
      </c>
      <c r="J1034" s="56">
        <v>100000</v>
      </c>
      <c r="K1034" s="56">
        <v>100000</v>
      </c>
      <c r="L1034" t="s">
        <v>663</v>
      </c>
      <c r="M1034" s="71">
        <v>46167</v>
      </c>
      <c r="N1034" t="s">
        <v>576</v>
      </c>
    </row>
    <row r="1035" spans="3:14" hidden="1" x14ac:dyDescent="0.2">
      <c r="C1035" t="s">
        <v>51</v>
      </c>
      <c r="D1035" t="str">
        <f>VLOOKUP(C1035,'Master Anggota'!$E$2:$J$678,2,0)</f>
        <v>Aktif</v>
      </c>
      <c r="G1035" t="str">
        <f>VLOOKUP(C1035,'Master Anggota'!$E$2:$J$678,5,0)</f>
        <v>00543</v>
      </c>
      <c r="H1035" s="56">
        <v>0</v>
      </c>
      <c r="I1035" s="56">
        <v>0</v>
      </c>
      <c r="J1035" s="56">
        <v>100000</v>
      </c>
      <c r="K1035" s="56">
        <v>100000</v>
      </c>
      <c r="L1035" t="s">
        <v>663</v>
      </c>
      <c r="M1035" s="71">
        <v>46167</v>
      </c>
      <c r="N1035" t="s">
        <v>576</v>
      </c>
    </row>
    <row r="1036" spans="3:14" hidden="1" x14ac:dyDescent="0.2">
      <c r="C1036" t="s">
        <v>118</v>
      </c>
      <c r="D1036" t="str">
        <f>VLOOKUP(C1036,'Master Anggota'!$E$2:$J$678,2,0)</f>
        <v>Aktif</v>
      </c>
      <c r="G1036" t="str">
        <f>VLOOKUP(C1036,'Master Anggota'!$E$2:$J$678,5,0)</f>
        <v>00544</v>
      </c>
      <c r="H1036" s="56">
        <v>0</v>
      </c>
      <c r="I1036" s="56">
        <v>0</v>
      </c>
      <c r="J1036" s="56">
        <v>100000</v>
      </c>
      <c r="K1036" s="56">
        <v>50000</v>
      </c>
      <c r="L1036" t="s">
        <v>663</v>
      </c>
      <c r="M1036" s="71">
        <v>46167</v>
      </c>
      <c r="N1036" t="s">
        <v>576</v>
      </c>
    </row>
    <row r="1037" spans="3:14" hidden="1" x14ac:dyDescent="0.2">
      <c r="C1037" t="s">
        <v>366</v>
      </c>
      <c r="D1037" t="str">
        <f>VLOOKUP(C1037,'Master Anggota'!$E$2:$J$678,2,0)</f>
        <v>Aktif</v>
      </c>
      <c r="G1037" t="str">
        <f>VLOOKUP(C1037,'Master Anggota'!$E$2:$J$678,5,0)</f>
        <v>00545</v>
      </c>
      <c r="H1037" s="56">
        <v>0</v>
      </c>
      <c r="I1037" s="56">
        <v>0</v>
      </c>
      <c r="J1037" s="56">
        <v>150000</v>
      </c>
      <c r="K1037" s="56">
        <v>50000</v>
      </c>
      <c r="L1037" t="s">
        <v>663</v>
      </c>
      <c r="M1037" s="71">
        <v>46167</v>
      </c>
      <c r="N1037" t="s">
        <v>576</v>
      </c>
    </row>
    <row r="1038" spans="3:14" hidden="1" x14ac:dyDescent="0.2">
      <c r="C1038" t="s">
        <v>35</v>
      </c>
      <c r="D1038" t="str">
        <f>VLOOKUP(C1038,'Master Anggota'!$E$2:$J$678,2,0)</f>
        <v>Aktif</v>
      </c>
      <c r="G1038" t="str">
        <f>VLOOKUP(C1038,'Master Anggota'!$E$2:$J$678,5,0)</f>
        <v>00546</v>
      </c>
      <c r="H1038" s="56">
        <v>0</v>
      </c>
      <c r="I1038" s="56">
        <v>0</v>
      </c>
      <c r="J1038" s="56">
        <v>100000</v>
      </c>
      <c r="K1038" s="56">
        <v>50000</v>
      </c>
      <c r="L1038" t="s">
        <v>663</v>
      </c>
      <c r="M1038" s="71">
        <v>46167</v>
      </c>
      <c r="N1038" t="s">
        <v>576</v>
      </c>
    </row>
    <row r="1039" spans="3:14" hidden="1" x14ac:dyDescent="0.2">
      <c r="C1039" t="s">
        <v>85</v>
      </c>
      <c r="D1039" t="str">
        <f>VLOOKUP(C1039,'Master Anggota'!$E$2:$J$678,2,0)</f>
        <v>Aktif</v>
      </c>
      <c r="G1039" t="str">
        <f>VLOOKUP(C1039,'Master Anggota'!$E$2:$J$678,5,0)</f>
        <v>00547</v>
      </c>
      <c r="H1039" s="56">
        <v>0</v>
      </c>
      <c r="I1039" s="56">
        <v>0</v>
      </c>
      <c r="J1039" s="56">
        <v>100000</v>
      </c>
      <c r="K1039" s="56">
        <v>100000</v>
      </c>
      <c r="L1039" t="s">
        <v>663</v>
      </c>
      <c r="M1039" s="71">
        <v>46167</v>
      </c>
      <c r="N1039" t="s">
        <v>576</v>
      </c>
    </row>
    <row r="1040" spans="3:14" hidden="1" x14ac:dyDescent="0.2">
      <c r="C1040" t="s">
        <v>153</v>
      </c>
      <c r="D1040" t="str">
        <f>VLOOKUP(C1040,'Master Anggota'!$E$2:$J$678,2,0)</f>
        <v>Aktif</v>
      </c>
      <c r="G1040" t="str">
        <f>VLOOKUP(C1040,'Master Anggota'!$E$2:$J$678,5,0)</f>
        <v>00548</v>
      </c>
      <c r="H1040" s="56">
        <v>0</v>
      </c>
      <c r="I1040" s="56">
        <v>0</v>
      </c>
      <c r="J1040" s="56">
        <v>100000</v>
      </c>
      <c r="K1040" s="56">
        <v>75000</v>
      </c>
      <c r="L1040" t="s">
        <v>663</v>
      </c>
      <c r="M1040" s="71">
        <v>46167</v>
      </c>
      <c r="N1040" t="s">
        <v>576</v>
      </c>
    </row>
    <row r="1041" spans="3:14" hidden="1" x14ac:dyDescent="0.2">
      <c r="C1041" t="s">
        <v>525</v>
      </c>
      <c r="D1041" t="str">
        <f>VLOOKUP(C1041,'Master Anggota'!$E$2:$J$678,2,0)</f>
        <v>Aktif</v>
      </c>
      <c r="G1041" t="str">
        <f>VLOOKUP(C1041,'Master Anggota'!$E$2:$J$678,5,0)</f>
        <v>00549</v>
      </c>
      <c r="H1041" s="56">
        <v>0</v>
      </c>
      <c r="I1041" s="56">
        <v>0</v>
      </c>
      <c r="J1041" s="56">
        <v>100000</v>
      </c>
      <c r="K1041" s="56">
        <v>100000</v>
      </c>
      <c r="L1041" t="s">
        <v>663</v>
      </c>
      <c r="M1041" s="71">
        <v>46167</v>
      </c>
      <c r="N1041" t="s">
        <v>576</v>
      </c>
    </row>
    <row r="1042" spans="3:14" hidden="1" x14ac:dyDescent="0.2">
      <c r="C1042" t="s">
        <v>105</v>
      </c>
      <c r="D1042" t="str">
        <f>VLOOKUP(C1042,'Master Anggota'!$E$2:$J$678,2,0)</f>
        <v>Aktif</v>
      </c>
      <c r="G1042" t="str">
        <f>VLOOKUP(C1042,'Master Anggota'!$E$2:$J$678,5,0)</f>
        <v>00551</v>
      </c>
      <c r="H1042" s="56">
        <v>0</v>
      </c>
      <c r="I1042" s="56">
        <v>0</v>
      </c>
      <c r="J1042" s="56">
        <v>150000</v>
      </c>
      <c r="K1042" s="56">
        <v>50000</v>
      </c>
      <c r="L1042" t="s">
        <v>663</v>
      </c>
      <c r="M1042" s="71">
        <v>46167</v>
      </c>
      <c r="N1042" t="s">
        <v>576</v>
      </c>
    </row>
    <row r="1043" spans="3:14" hidden="1" x14ac:dyDescent="0.2">
      <c r="C1043" t="s">
        <v>484</v>
      </c>
      <c r="D1043" t="str">
        <f>VLOOKUP(C1043,'Master Anggota'!$E$2:$J$678,2,0)</f>
        <v>Aktif</v>
      </c>
      <c r="G1043" t="str">
        <f>VLOOKUP(C1043,'Master Anggota'!$E$2:$J$678,5,0)</f>
        <v>00552</v>
      </c>
      <c r="H1043" s="56">
        <v>0</v>
      </c>
      <c r="I1043" s="56">
        <v>0</v>
      </c>
      <c r="J1043" s="56">
        <v>100000</v>
      </c>
      <c r="K1043" s="56">
        <v>200000</v>
      </c>
      <c r="L1043" t="s">
        <v>663</v>
      </c>
      <c r="M1043" s="71">
        <v>46167</v>
      </c>
      <c r="N1043" t="s">
        <v>576</v>
      </c>
    </row>
    <row r="1044" spans="3:14" hidden="1" x14ac:dyDescent="0.2">
      <c r="C1044" t="s">
        <v>8</v>
      </c>
      <c r="D1044" t="str">
        <f>VLOOKUP(C1044,'Master Anggota'!$E$2:$J$678,2,0)</f>
        <v>Aktif</v>
      </c>
      <c r="G1044" t="str">
        <f>VLOOKUP(C1044,'Master Anggota'!$E$2:$J$678,5,0)</f>
        <v>00553</v>
      </c>
      <c r="H1044" s="56">
        <v>0</v>
      </c>
      <c r="I1044" s="56">
        <v>0</v>
      </c>
      <c r="J1044" s="56">
        <v>100000</v>
      </c>
      <c r="K1044" s="56">
        <v>150000</v>
      </c>
      <c r="L1044" t="s">
        <v>663</v>
      </c>
      <c r="M1044" s="71">
        <v>46167</v>
      </c>
      <c r="N1044" t="s">
        <v>576</v>
      </c>
    </row>
    <row r="1045" spans="3:14" hidden="1" x14ac:dyDescent="0.2">
      <c r="C1045" t="s">
        <v>87</v>
      </c>
      <c r="D1045" t="str">
        <f>VLOOKUP(C1045,'Master Anggota'!$E$2:$J$678,2,0)</f>
        <v>Aktif</v>
      </c>
      <c r="G1045" t="str">
        <f>VLOOKUP(C1045,'Master Anggota'!$E$2:$J$678,5,0)</f>
        <v>00554</v>
      </c>
      <c r="H1045" s="56">
        <v>0</v>
      </c>
      <c r="I1045" s="56">
        <v>0</v>
      </c>
      <c r="J1045" s="56">
        <v>100000</v>
      </c>
      <c r="K1045" s="56">
        <v>100000</v>
      </c>
      <c r="L1045" t="s">
        <v>663</v>
      </c>
      <c r="M1045" s="71">
        <v>46167</v>
      </c>
      <c r="N1045" t="s">
        <v>576</v>
      </c>
    </row>
    <row r="1046" spans="3:14" hidden="1" x14ac:dyDescent="0.2">
      <c r="C1046" t="s">
        <v>174</v>
      </c>
      <c r="D1046" t="str">
        <f>VLOOKUP(C1046,'Master Anggota'!$E$2:$J$678,2,0)</f>
        <v>Aktif</v>
      </c>
      <c r="G1046" t="str">
        <f>VLOOKUP(C1046,'Master Anggota'!$E$2:$J$678,5,0)</f>
        <v>00556</v>
      </c>
      <c r="H1046" s="56">
        <v>0</v>
      </c>
      <c r="I1046" s="56">
        <v>0</v>
      </c>
      <c r="J1046" s="56">
        <v>100000</v>
      </c>
      <c r="K1046" s="56">
        <v>100000</v>
      </c>
      <c r="L1046" t="s">
        <v>663</v>
      </c>
      <c r="M1046" s="71">
        <v>46167</v>
      </c>
      <c r="N1046" t="s">
        <v>576</v>
      </c>
    </row>
    <row r="1047" spans="3:14" hidden="1" x14ac:dyDescent="0.2">
      <c r="C1047" t="s">
        <v>109</v>
      </c>
      <c r="D1047" t="str">
        <f>VLOOKUP(C1047,'Master Anggota'!$E$2:$J$678,2,0)</f>
        <v>Aktif</v>
      </c>
      <c r="G1047" t="str">
        <f>VLOOKUP(C1047,'Master Anggota'!$E$2:$J$678,5,0)</f>
        <v>00557</v>
      </c>
      <c r="H1047" s="56">
        <v>0</v>
      </c>
      <c r="I1047" s="56">
        <v>0</v>
      </c>
      <c r="J1047" s="56">
        <v>200000</v>
      </c>
      <c r="K1047" s="56">
        <v>200000</v>
      </c>
      <c r="L1047" t="s">
        <v>663</v>
      </c>
      <c r="M1047" s="71">
        <v>46167</v>
      </c>
      <c r="N1047" t="s">
        <v>576</v>
      </c>
    </row>
    <row r="1048" spans="3:14" hidden="1" x14ac:dyDescent="0.2">
      <c r="C1048" t="s">
        <v>276</v>
      </c>
      <c r="D1048" t="str">
        <f>VLOOKUP(C1048,'Master Anggota'!$E$2:$J$678,2,0)</f>
        <v>Aktif</v>
      </c>
      <c r="G1048" t="str">
        <f>VLOOKUP(C1048,'Master Anggota'!$E$2:$J$678,5,0)</f>
        <v>00558</v>
      </c>
      <c r="H1048" s="56">
        <v>0</v>
      </c>
      <c r="I1048" s="56">
        <v>0</v>
      </c>
      <c r="J1048" s="56">
        <v>200000</v>
      </c>
      <c r="K1048" s="56">
        <v>300000</v>
      </c>
      <c r="L1048" t="s">
        <v>663</v>
      </c>
      <c r="M1048" s="71">
        <v>46167</v>
      </c>
      <c r="N1048" t="s">
        <v>576</v>
      </c>
    </row>
    <row r="1049" spans="3:14" hidden="1" x14ac:dyDescent="0.2">
      <c r="C1049" t="s">
        <v>171</v>
      </c>
      <c r="D1049" t="str">
        <f>VLOOKUP(C1049,'Master Anggota'!$E$2:$J$678,2,0)</f>
        <v>Aktif</v>
      </c>
      <c r="G1049" t="str">
        <f>VLOOKUP(C1049,'Master Anggota'!$E$2:$J$678,5,0)</f>
        <v>00560</v>
      </c>
      <c r="H1049" s="56">
        <v>0</v>
      </c>
      <c r="I1049" s="56">
        <v>0</v>
      </c>
      <c r="J1049" s="56">
        <v>100000</v>
      </c>
      <c r="K1049" s="56">
        <v>100000</v>
      </c>
      <c r="L1049" t="s">
        <v>663</v>
      </c>
      <c r="M1049" s="71">
        <v>46167</v>
      </c>
      <c r="N1049" t="s">
        <v>576</v>
      </c>
    </row>
    <row r="1050" spans="3:14" hidden="1" x14ac:dyDescent="0.2">
      <c r="C1050" t="s">
        <v>175</v>
      </c>
      <c r="D1050" t="str">
        <f>VLOOKUP(C1050,'Master Anggota'!$E$2:$J$678,2,0)</f>
        <v>Aktif</v>
      </c>
      <c r="G1050" t="str">
        <f>VLOOKUP(C1050,'Master Anggota'!$E$2:$J$678,5,0)</f>
        <v>00563</v>
      </c>
      <c r="H1050" s="56">
        <v>0</v>
      </c>
      <c r="I1050" s="56">
        <v>0</v>
      </c>
      <c r="J1050" s="56">
        <v>100000</v>
      </c>
      <c r="K1050" s="56">
        <v>150000</v>
      </c>
      <c r="L1050" t="s">
        <v>663</v>
      </c>
      <c r="M1050" s="71">
        <v>46167</v>
      </c>
      <c r="N1050" t="s">
        <v>576</v>
      </c>
    </row>
    <row r="1051" spans="3:14" hidden="1" x14ac:dyDescent="0.2">
      <c r="C1051" t="s">
        <v>277</v>
      </c>
      <c r="D1051" t="str">
        <f>VLOOKUP(C1051,'Master Anggota'!$E$2:$J$678,2,0)</f>
        <v>Aktif</v>
      </c>
      <c r="G1051" t="str">
        <f>VLOOKUP(C1051,'Master Anggota'!$E$2:$J$678,5,0)</f>
        <v>00564</v>
      </c>
      <c r="H1051" s="56">
        <v>0</v>
      </c>
      <c r="I1051" s="56">
        <v>0</v>
      </c>
      <c r="J1051" s="56">
        <v>100000</v>
      </c>
      <c r="K1051" s="56">
        <v>100000</v>
      </c>
      <c r="L1051" t="s">
        <v>663</v>
      </c>
      <c r="M1051" s="71">
        <v>46167</v>
      </c>
      <c r="N1051" t="s">
        <v>576</v>
      </c>
    </row>
    <row r="1052" spans="3:14" hidden="1" x14ac:dyDescent="0.2">
      <c r="C1052" t="s">
        <v>182</v>
      </c>
      <c r="D1052" t="str">
        <f>VLOOKUP(C1052,'Master Anggota'!$E$2:$J$678,2,0)</f>
        <v>Aktif</v>
      </c>
      <c r="G1052" t="str">
        <f>VLOOKUP(C1052,'Master Anggota'!$E$2:$J$678,5,0)</f>
        <v>00565</v>
      </c>
      <c r="H1052" s="56">
        <v>0</v>
      </c>
      <c r="I1052" s="56">
        <v>0</v>
      </c>
      <c r="J1052" s="56">
        <v>100000</v>
      </c>
      <c r="K1052" s="56">
        <v>400000</v>
      </c>
      <c r="L1052" t="s">
        <v>663</v>
      </c>
      <c r="M1052" s="71">
        <v>46167</v>
      </c>
      <c r="N1052" t="s">
        <v>576</v>
      </c>
    </row>
    <row r="1053" spans="3:14" hidden="1" x14ac:dyDescent="0.2">
      <c r="C1053" t="s">
        <v>178</v>
      </c>
      <c r="D1053" t="str">
        <f>VLOOKUP(C1053,'Master Anggota'!$E$2:$J$678,2,0)</f>
        <v>Aktif</v>
      </c>
      <c r="G1053" t="str">
        <f>VLOOKUP(C1053,'Master Anggota'!$E$2:$J$678,5,0)</f>
        <v>00566</v>
      </c>
      <c r="H1053" s="56">
        <v>0</v>
      </c>
      <c r="I1053" s="56">
        <v>0</v>
      </c>
      <c r="J1053" s="56">
        <v>100000</v>
      </c>
      <c r="K1053" s="56">
        <v>150000</v>
      </c>
      <c r="L1053" t="s">
        <v>663</v>
      </c>
      <c r="M1053" s="71">
        <v>46167</v>
      </c>
      <c r="N1053" t="s">
        <v>576</v>
      </c>
    </row>
    <row r="1054" spans="3:14" hidden="1" x14ac:dyDescent="0.2">
      <c r="C1054" t="s">
        <v>183</v>
      </c>
      <c r="D1054" t="str">
        <f>VLOOKUP(C1054,'Master Anggota'!$E$2:$J$678,2,0)</f>
        <v>Aktif</v>
      </c>
      <c r="G1054" t="str">
        <f>VLOOKUP(C1054,'Master Anggota'!$E$2:$J$678,5,0)</f>
        <v>00567</v>
      </c>
      <c r="H1054" s="56">
        <v>0</v>
      </c>
      <c r="I1054" s="56">
        <v>0</v>
      </c>
      <c r="J1054" s="56">
        <v>200000</v>
      </c>
      <c r="K1054" s="56">
        <v>300000</v>
      </c>
      <c r="L1054" t="s">
        <v>663</v>
      </c>
      <c r="M1054" s="71">
        <v>46167</v>
      </c>
      <c r="N1054" t="s">
        <v>576</v>
      </c>
    </row>
    <row r="1055" spans="3:14" hidden="1" x14ac:dyDescent="0.2">
      <c r="C1055" t="s">
        <v>176</v>
      </c>
      <c r="D1055" t="str">
        <f>VLOOKUP(C1055,'Master Anggota'!$E$2:$J$678,2,0)</f>
        <v>Aktif</v>
      </c>
      <c r="G1055" t="str">
        <f>VLOOKUP(C1055,'Master Anggota'!$E$2:$J$678,5,0)</f>
        <v>00568</v>
      </c>
      <c r="H1055" s="56">
        <v>0</v>
      </c>
      <c r="I1055" s="56">
        <v>0</v>
      </c>
      <c r="J1055" s="56">
        <v>100000</v>
      </c>
      <c r="K1055" s="56">
        <v>100000</v>
      </c>
      <c r="L1055" t="s">
        <v>663</v>
      </c>
      <c r="M1055" s="71">
        <v>46167</v>
      </c>
      <c r="N1055" t="s">
        <v>576</v>
      </c>
    </row>
    <row r="1056" spans="3:14" hidden="1" x14ac:dyDescent="0.2">
      <c r="C1056" t="s">
        <v>177</v>
      </c>
      <c r="D1056" t="str">
        <f>VLOOKUP(C1056,'Master Anggota'!$E$2:$J$678,2,0)</f>
        <v>Aktif</v>
      </c>
      <c r="G1056" t="str">
        <f>VLOOKUP(C1056,'Master Anggota'!$E$2:$J$678,5,0)</f>
        <v>00569</v>
      </c>
      <c r="H1056" s="56">
        <v>0</v>
      </c>
      <c r="I1056" s="56">
        <v>0</v>
      </c>
      <c r="J1056" s="56">
        <v>100000</v>
      </c>
      <c r="K1056" s="56">
        <v>150000</v>
      </c>
      <c r="L1056" t="s">
        <v>663</v>
      </c>
      <c r="M1056" s="71">
        <v>46167</v>
      </c>
      <c r="N1056" t="s">
        <v>576</v>
      </c>
    </row>
    <row r="1057" spans="3:14" hidden="1" x14ac:dyDescent="0.2">
      <c r="C1057" t="s">
        <v>362</v>
      </c>
      <c r="D1057" t="str">
        <f>VLOOKUP(C1057,'Master Anggota'!$E$2:$J$678,2,0)</f>
        <v>Aktif</v>
      </c>
      <c r="G1057" t="str">
        <f>VLOOKUP(C1057,'Master Anggota'!$E$2:$J$678,5,0)</f>
        <v>00570</v>
      </c>
      <c r="H1057" s="56">
        <v>0</v>
      </c>
      <c r="I1057" s="56">
        <v>0</v>
      </c>
      <c r="J1057" s="56">
        <v>100000</v>
      </c>
      <c r="K1057" s="56">
        <v>500000</v>
      </c>
      <c r="L1057" t="s">
        <v>663</v>
      </c>
      <c r="M1057" s="71">
        <v>46167</v>
      </c>
      <c r="N1057" t="s">
        <v>576</v>
      </c>
    </row>
    <row r="1058" spans="3:14" hidden="1" x14ac:dyDescent="0.2">
      <c r="C1058" t="s">
        <v>291</v>
      </c>
      <c r="D1058" t="str">
        <f>VLOOKUP(C1058,'Master Anggota'!$E$2:$J$678,2,0)</f>
        <v>Aktif</v>
      </c>
      <c r="G1058" t="str">
        <f>VLOOKUP(C1058,'Master Anggota'!$E$2:$J$678,5,0)</f>
        <v>00574</v>
      </c>
      <c r="H1058" s="56">
        <v>0</v>
      </c>
      <c r="I1058" s="56">
        <v>0</v>
      </c>
      <c r="J1058" s="56">
        <v>100000</v>
      </c>
      <c r="K1058" s="56">
        <v>75000</v>
      </c>
      <c r="L1058" t="s">
        <v>663</v>
      </c>
      <c r="M1058" s="71">
        <v>46167</v>
      </c>
      <c r="N1058" t="s">
        <v>576</v>
      </c>
    </row>
    <row r="1059" spans="3:14" hidden="1" x14ac:dyDescent="0.2">
      <c r="C1059" t="s">
        <v>363</v>
      </c>
      <c r="D1059" t="str">
        <f>VLOOKUP(C1059,'Master Anggota'!$E$2:$J$678,2,0)</f>
        <v>Aktif</v>
      </c>
      <c r="G1059" t="str">
        <f>VLOOKUP(C1059,'Master Anggota'!$E$2:$J$678,5,0)</f>
        <v>00576</v>
      </c>
      <c r="H1059" s="56">
        <v>0</v>
      </c>
      <c r="I1059" s="56">
        <v>0</v>
      </c>
      <c r="J1059" s="56">
        <v>100000</v>
      </c>
      <c r="K1059" s="56">
        <v>100000</v>
      </c>
      <c r="L1059" t="s">
        <v>663</v>
      </c>
      <c r="M1059" s="71">
        <v>46167</v>
      </c>
      <c r="N1059" t="s">
        <v>576</v>
      </c>
    </row>
    <row r="1060" spans="3:14" hidden="1" x14ac:dyDescent="0.2">
      <c r="C1060" t="s">
        <v>365</v>
      </c>
      <c r="D1060" t="str">
        <f>VLOOKUP(C1060,'Master Anggota'!$E$2:$J$678,2,0)</f>
        <v>Aktif</v>
      </c>
      <c r="G1060" t="str">
        <f>VLOOKUP(C1060,'Master Anggota'!$E$2:$J$678,5,0)</f>
        <v>00576</v>
      </c>
      <c r="H1060" s="56">
        <v>0</v>
      </c>
      <c r="I1060" s="56">
        <v>0</v>
      </c>
      <c r="J1060" s="56">
        <v>100000</v>
      </c>
      <c r="K1060" s="56">
        <v>50000</v>
      </c>
      <c r="L1060" t="s">
        <v>663</v>
      </c>
      <c r="M1060" s="71">
        <v>46167</v>
      </c>
      <c r="N1060" t="s">
        <v>576</v>
      </c>
    </row>
    <row r="1061" spans="3:14" hidden="1" x14ac:dyDescent="0.2">
      <c r="C1061" t="s">
        <v>467</v>
      </c>
      <c r="D1061" t="str">
        <f>VLOOKUP(C1061,'Master Anggota'!$E$2:$J$678,2,0)</f>
        <v>Aktif</v>
      </c>
      <c r="G1061" t="str">
        <f>VLOOKUP(C1061,'Master Anggota'!$E$2:$J$678,5,0)</f>
        <v>00577</v>
      </c>
      <c r="H1061" s="56">
        <v>0</v>
      </c>
      <c r="I1061" s="56">
        <v>0</v>
      </c>
      <c r="J1061" s="56">
        <v>100000</v>
      </c>
      <c r="K1061" s="56">
        <v>150000</v>
      </c>
      <c r="L1061" t="s">
        <v>663</v>
      </c>
      <c r="M1061" s="71">
        <v>46167</v>
      </c>
      <c r="N1061" t="s">
        <v>576</v>
      </c>
    </row>
    <row r="1062" spans="3:14" hidden="1" x14ac:dyDescent="0.2">
      <c r="C1062" t="s">
        <v>364</v>
      </c>
      <c r="D1062" t="str">
        <f>VLOOKUP(C1062,'Master Anggota'!$E$2:$J$678,2,0)</f>
        <v>Aktif</v>
      </c>
      <c r="G1062" t="str">
        <f>VLOOKUP(C1062,'Master Anggota'!$E$2:$J$678,5,0)</f>
        <v>00578</v>
      </c>
      <c r="H1062" s="56">
        <v>0</v>
      </c>
      <c r="I1062" s="56">
        <v>0</v>
      </c>
      <c r="J1062" s="56">
        <v>100000</v>
      </c>
      <c r="K1062" s="56">
        <v>100000</v>
      </c>
      <c r="L1062" t="s">
        <v>663</v>
      </c>
      <c r="M1062" s="71">
        <v>46167</v>
      </c>
      <c r="N1062" t="s">
        <v>576</v>
      </c>
    </row>
    <row r="1063" spans="3:14" hidden="1" x14ac:dyDescent="0.2">
      <c r="C1063" t="s">
        <v>523</v>
      </c>
      <c r="D1063" t="str">
        <f>VLOOKUP(C1063,'Master Anggota'!$E$2:$J$678,2,0)</f>
        <v>Aktif</v>
      </c>
      <c r="G1063" t="str">
        <f>VLOOKUP(C1063,'Master Anggota'!$E$2:$J$678,5,0)</f>
        <v>00579</v>
      </c>
      <c r="H1063" s="56">
        <v>0</v>
      </c>
      <c r="I1063" s="56">
        <v>0</v>
      </c>
      <c r="J1063" s="56">
        <v>100000</v>
      </c>
      <c r="K1063" s="56">
        <v>200000</v>
      </c>
      <c r="L1063" t="s">
        <v>663</v>
      </c>
      <c r="M1063" s="71">
        <v>46167</v>
      </c>
      <c r="N1063" t="s">
        <v>576</v>
      </c>
    </row>
    <row r="1064" spans="3:14" hidden="1" x14ac:dyDescent="0.2">
      <c r="C1064" t="s">
        <v>110</v>
      </c>
      <c r="D1064" t="str">
        <f>VLOOKUP(C1064,'Master Anggota'!$E$2:$J$678,2,0)</f>
        <v>Aktif</v>
      </c>
      <c r="G1064" t="str">
        <f>VLOOKUP(C1064,'Master Anggota'!$E$2:$J$678,5,0)</f>
        <v>00580</v>
      </c>
      <c r="H1064" s="56">
        <v>0</v>
      </c>
      <c r="I1064" s="56">
        <v>0</v>
      </c>
      <c r="J1064" s="56">
        <v>100000</v>
      </c>
      <c r="K1064" s="56">
        <v>50000</v>
      </c>
      <c r="L1064" t="s">
        <v>663</v>
      </c>
      <c r="M1064" s="71">
        <v>46167</v>
      </c>
      <c r="N1064" t="s">
        <v>576</v>
      </c>
    </row>
    <row r="1065" spans="3:14" hidden="1" x14ac:dyDescent="0.2">
      <c r="C1065" t="s">
        <v>180</v>
      </c>
      <c r="D1065" t="str">
        <f>VLOOKUP(C1065,'Master Anggota'!$E$2:$J$678,2,0)</f>
        <v>Purna Bakti 2026</v>
      </c>
      <c r="G1065" t="str">
        <f>VLOOKUP(C1065,'Master Anggota'!$E$2:$J$678,5,0)</f>
        <v>00581</v>
      </c>
      <c r="H1065" s="56">
        <v>0</v>
      </c>
      <c r="I1065" s="56">
        <v>0</v>
      </c>
      <c r="J1065" s="56">
        <v>100000</v>
      </c>
      <c r="K1065" s="56">
        <v>400000</v>
      </c>
      <c r="L1065" t="s">
        <v>663</v>
      </c>
      <c r="M1065" s="71">
        <v>46167</v>
      </c>
      <c r="N1065" t="s">
        <v>576</v>
      </c>
    </row>
    <row r="1066" spans="3:14" hidden="1" x14ac:dyDescent="0.2">
      <c r="C1066" t="s">
        <v>187</v>
      </c>
      <c r="D1066" t="str">
        <f>VLOOKUP(C1066,'Master Anggota'!$E$2:$J$678,2,0)</f>
        <v>Aktif</v>
      </c>
      <c r="G1066" t="str">
        <f>VLOOKUP(C1066,'Master Anggota'!$E$2:$J$678,5,0)</f>
        <v>00582</v>
      </c>
      <c r="H1066" s="56">
        <v>0</v>
      </c>
      <c r="I1066" s="56">
        <v>0</v>
      </c>
      <c r="J1066" s="56">
        <v>200000</v>
      </c>
      <c r="K1066" s="56">
        <v>300000</v>
      </c>
      <c r="L1066" t="s">
        <v>663</v>
      </c>
      <c r="M1066" s="71">
        <v>46167</v>
      </c>
      <c r="N1066" t="s">
        <v>576</v>
      </c>
    </row>
    <row r="1067" spans="3:14" hidden="1" x14ac:dyDescent="0.2">
      <c r="C1067" t="s">
        <v>173</v>
      </c>
      <c r="D1067" t="str">
        <f>VLOOKUP(C1067,'Master Anggota'!$E$2:$J$678,2,0)</f>
        <v>Aktif</v>
      </c>
      <c r="G1067" t="str">
        <f>VLOOKUP(C1067,'Master Anggota'!$E$2:$J$678,5,0)</f>
        <v>00583</v>
      </c>
      <c r="H1067" s="56">
        <v>0</v>
      </c>
      <c r="I1067" s="56">
        <v>0</v>
      </c>
      <c r="J1067" s="56">
        <v>100000</v>
      </c>
      <c r="K1067" s="56">
        <v>100000</v>
      </c>
      <c r="L1067" t="s">
        <v>663</v>
      </c>
      <c r="M1067" s="71">
        <v>46167</v>
      </c>
      <c r="N1067" t="s">
        <v>576</v>
      </c>
    </row>
    <row r="1068" spans="3:14" hidden="1" x14ac:dyDescent="0.2">
      <c r="C1068" t="s">
        <v>172</v>
      </c>
      <c r="D1068" t="str">
        <f>VLOOKUP(C1068,'Master Anggota'!$E$2:$J$678,2,0)</f>
        <v>Aktif</v>
      </c>
      <c r="G1068" t="str">
        <f>VLOOKUP(C1068,'Master Anggota'!$E$2:$J$678,5,0)</f>
        <v>00584</v>
      </c>
      <c r="H1068" s="56">
        <v>0</v>
      </c>
      <c r="I1068" s="56">
        <v>0</v>
      </c>
      <c r="J1068" s="56">
        <v>100000</v>
      </c>
      <c r="K1068" s="56">
        <v>100000</v>
      </c>
      <c r="L1068" t="s">
        <v>663</v>
      </c>
      <c r="M1068" s="71">
        <v>46167</v>
      </c>
      <c r="N1068" t="s">
        <v>576</v>
      </c>
    </row>
    <row r="1069" spans="3:14" hidden="1" x14ac:dyDescent="0.2">
      <c r="C1069" t="s">
        <v>300</v>
      </c>
      <c r="D1069" t="str">
        <f>VLOOKUP(C1069,'Master Anggota'!$E$2:$J$678,2,0)</f>
        <v>Aktif</v>
      </c>
      <c r="G1069" t="str">
        <f>VLOOKUP(C1069,'Master Anggota'!$E$2:$J$678,5,0)</f>
        <v>00585</v>
      </c>
      <c r="H1069" s="56">
        <v>0</v>
      </c>
      <c r="I1069" s="56">
        <v>0</v>
      </c>
      <c r="J1069" s="56">
        <v>100000</v>
      </c>
      <c r="K1069" s="56">
        <v>125000</v>
      </c>
      <c r="L1069" t="s">
        <v>663</v>
      </c>
      <c r="M1069" s="71">
        <v>46167</v>
      </c>
      <c r="N1069" t="s">
        <v>576</v>
      </c>
    </row>
    <row r="1070" spans="3:14" hidden="1" x14ac:dyDescent="0.2">
      <c r="C1070" t="s">
        <v>314</v>
      </c>
      <c r="D1070" t="str">
        <f>VLOOKUP(C1070,'Master Anggota'!$E$2:$J$678,2,0)</f>
        <v>Purna Bakti 2026</v>
      </c>
      <c r="G1070" t="str">
        <f>VLOOKUP(C1070,'Master Anggota'!$E$2:$J$678,5,0)</f>
        <v>00587</v>
      </c>
      <c r="H1070" s="56">
        <v>0</v>
      </c>
      <c r="I1070" s="56">
        <v>0</v>
      </c>
      <c r="J1070" s="56">
        <v>100000</v>
      </c>
      <c r="K1070" s="56">
        <v>400000</v>
      </c>
      <c r="L1070" t="s">
        <v>663</v>
      </c>
      <c r="M1070" s="71">
        <v>46167</v>
      </c>
      <c r="N1070" t="s">
        <v>576</v>
      </c>
    </row>
    <row r="1071" spans="3:14" hidden="1" x14ac:dyDescent="0.2">
      <c r="C1071" t="s">
        <v>186</v>
      </c>
      <c r="D1071" t="str">
        <f>VLOOKUP(C1071,'Master Anggota'!$E$2:$J$678,2,0)</f>
        <v>Aktif</v>
      </c>
      <c r="G1071" t="str">
        <f>VLOOKUP(C1071,'Master Anggota'!$E$2:$J$678,5,0)</f>
        <v>00588</v>
      </c>
      <c r="H1071" s="56">
        <v>0</v>
      </c>
      <c r="I1071" s="56">
        <v>0</v>
      </c>
      <c r="J1071" s="56">
        <v>100000</v>
      </c>
      <c r="K1071" s="56">
        <v>250000</v>
      </c>
      <c r="L1071" t="s">
        <v>663</v>
      </c>
      <c r="M1071" s="71">
        <v>46167</v>
      </c>
      <c r="N1071" t="s">
        <v>576</v>
      </c>
    </row>
    <row r="1072" spans="3:14" hidden="1" x14ac:dyDescent="0.2">
      <c r="C1072" t="s">
        <v>306</v>
      </c>
      <c r="D1072" t="str">
        <f>VLOOKUP(C1072,'Master Anggota'!$E$2:$J$678,2,0)</f>
        <v>Aktif</v>
      </c>
      <c r="G1072" t="str">
        <f>VLOOKUP(C1072,'Master Anggota'!$E$2:$J$678,5,0)</f>
        <v>00589</v>
      </c>
      <c r="H1072" s="56">
        <v>0</v>
      </c>
      <c r="I1072" s="56">
        <v>0</v>
      </c>
      <c r="J1072" s="56">
        <v>100000</v>
      </c>
      <c r="K1072" s="56">
        <v>100000</v>
      </c>
      <c r="L1072" t="s">
        <v>663</v>
      </c>
      <c r="M1072" s="71">
        <v>46167</v>
      </c>
      <c r="N1072" t="s">
        <v>576</v>
      </c>
    </row>
    <row r="1073" spans="3:14" hidden="1" x14ac:dyDescent="0.2">
      <c r="C1073" t="s">
        <v>307</v>
      </c>
      <c r="D1073" t="str">
        <f>VLOOKUP(C1073,'Master Anggota'!$E$2:$J$678,2,0)</f>
        <v>Aktif</v>
      </c>
      <c r="G1073" t="str">
        <f>VLOOKUP(C1073,'Master Anggota'!$E$2:$J$678,5,0)</f>
        <v>00591</v>
      </c>
      <c r="H1073" s="56">
        <v>0</v>
      </c>
      <c r="I1073" s="56">
        <v>0</v>
      </c>
      <c r="J1073" s="56">
        <v>150000</v>
      </c>
      <c r="K1073" s="56">
        <v>50000</v>
      </c>
      <c r="L1073" t="s">
        <v>663</v>
      </c>
      <c r="M1073" s="71">
        <v>46167</v>
      </c>
      <c r="N1073" t="s">
        <v>576</v>
      </c>
    </row>
    <row r="1074" spans="3:14" hidden="1" x14ac:dyDescent="0.2">
      <c r="C1074" t="s">
        <v>389</v>
      </c>
      <c r="D1074" t="str">
        <f>VLOOKUP(C1074,'Master Anggota'!$E$2:$J$678,2,0)</f>
        <v>Aktif</v>
      </c>
      <c r="G1074" t="str">
        <f>VLOOKUP(C1074,'Master Anggota'!$E$2:$J$678,5,0)</f>
        <v>00593</v>
      </c>
      <c r="H1074" s="56">
        <v>0</v>
      </c>
      <c r="I1074" s="56">
        <v>0</v>
      </c>
      <c r="J1074" s="56">
        <v>100000</v>
      </c>
      <c r="K1074" s="56">
        <v>250000</v>
      </c>
      <c r="L1074" t="s">
        <v>663</v>
      </c>
      <c r="M1074" s="71">
        <v>46167</v>
      </c>
      <c r="N1074" t="s">
        <v>576</v>
      </c>
    </row>
    <row r="1075" spans="3:14" hidden="1" x14ac:dyDescent="0.2">
      <c r="C1075" t="s">
        <v>188</v>
      </c>
      <c r="D1075" t="str">
        <f>VLOOKUP(C1075,'Master Anggota'!$E$2:$J$678,2,0)</f>
        <v>Aktif</v>
      </c>
      <c r="G1075" t="str">
        <f>VLOOKUP(C1075,'Master Anggota'!$E$2:$J$678,5,0)</f>
        <v>00596</v>
      </c>
      <c r="H1075" s="56">
        <v>0</v>
      </c>
      <c r="I1075" s="56">
        <v>0</v>
      </c>
      <c r="J1075" s="56">
        <v>100000</v>
      </c>
      <c r="K1075" s="56">
        <v>500000</v>
      </c>
      <c r="L1075" t="s">
        <v>663</v>
      </c>
      <c r="M1075" s="71">
        <v>46167</v>
      </c>
      <c r="N1075" t="s">
        <v>576</v>
      </c>
    </row>
    <row r="1076" spans="3:14" hidden="1" x14ac:dyDescent="0.2">
      <c r="C1076" t="s">
        <v>309</v>
      </c>
      <c r="D1076" t="str">
        <f>VLOOKUP(C1076,'Master Anggota'!$E$2:$J$678,2,0)</f>
        <v>Aktif</v>
      </c>
      <c r="G1076" t="str">
        <f>VLOOKUP(C1076,'Master Anggota'!$E$2:$J$678,5,0)</f>
        <v>00602</v>
      </c>
      <c r="H1076" s="56">
        <v>0</v>
      </c>
      <c r="I1076" s="56">
        <v>0</v>
      </c>
      <c r="J1076" s="56">
        <v>100000</v>
      </c>
      <c r="K1076" s="56">
        <v>50000</v>
      </c>
      <c r="L1076" t="s">
        <v>663</v>
      </c>
      <c r="M1076" s="71">
        <v>46167</v>
      </c>
      <c r="N1076" t="s">
        <v>576</v>
      </c>
    </row>
    <row r="1077" spans="3:14" hidden="1" x14ac:dyDescent="0.2">
      <c r="C1077" t="s">
        <v>326</v>
      </c>
      <c r="D1077" t="str">
        <f>VLOOKUP(C1077,'Master Anggota'!$E$2:$J$678,2,0)</f>
        <v>Aktif</v>
      </c>
      <c r="G1077" t="str">
        <f>VLOOKUP(C1077,'Master Anggota'!$E$2:$J$678,5,0)</f>
        <v>00608</v>
      </c>
      <c r="H1077" s="56">
        <v>0</v>
      </c>
      <c r="I1077" s="56">
        <v>0</v>
      </c>
      <c r="J1077" s="56">
        <v>100000</v>
      </c>
      <c r="K1077" s="56">
        <v>100000</v>
      </c>
      <c r="L1077" t="s">
        <v>663</v>
      </c>
      <c r="M1077" s="71">
        <v>46167</v>
      </c>
      <c r="N1077" t="s">
        <v>576</v>
      </c>
    </row>
    <row r="1078" spans="3:14" hidden="1" x14ac:dyDescent="0.2">
      <c r="C1078" t="s">
        <v>370</v>
      </c>
      <c r="D1078" t="str">
        <f>VLOOKUP(C1078,'Master Anggota'!$E$2:$J$678,2,0)</f>
        <v>Aktif</v>
      </c>
      <c r="G1078" t="str">
        <f>VLOOKUP(C1078,'Master Anggota'!$E$2:$J$678,5,0)</f>
        <v>00610</v>
      </c>
      <c r="H1078" s="56">
        <v>0</v>
      </c>
      <c r="I1078" s="56">
        <v>0</v>
      </c>
      <c r="J1078" s="56">
        <v>100000</v>
      </c>
      <c r="K1078" s="56">
        <v>500000</v>
      </c>
      <c r="L1078" t="s">
        <v>663</v>
      </c>
      <c r="M1078" s="71">
        <v>46167</v>
      </c>
      <c r="N1078" t="s">
        <v>576</v>
      </c>
    </row>
    <row r="1079" spans="3:14" hidden="1" x14ac:dyDescent="0.2">
      <c r="C1079" t="s">
        <v>519</v>
      </c>
      <c r="D1079" t="str">
        <f>VLOOKUP(C1079,'Master Anggota'!$E$2:$J$678,2,0)</f>
        <v>Aktif</v>
      </c>
      <c r="G1079" t="str">
        <f>VLOOKUP(C1079,'Master Anggota'!$E$2:$J$678,5,0)</f>
        <v>00611</v>
      </c>
      <c r="H1079" s="56">
        <v>0</v>
      </c>
      <c r="I1079" s="56">
        <v>0</v>
      </c>
      <c r="J1079" s="56">
        <v>100000</v>
      </c>
      <c r="K1079" s="56">
        <v>100000</v>
      </c>
      <c r="L1079" t="s">
        <v>663</v>
      </c>
      <c r="M1079" s="71">
        <v>46167</v>
      </c>
      <c r="N1079" t="s">
        <v>576</v>
      </c>
    </row>
    <row r="1080" spans="3:14" hidden="1" x14ac:dyDescent="0.2">
      <c r="C1080" t="s">
        <v>442</v>
      </c>
      <c r="D1080" t="str">
        <f>VLOOKUP(C1080,'Master Anggota'!$E$2:$J$678,2,0)</f>
        <v>Aktif</v>
      </c>
      <c r="G1080" t="str">
        <f>VLOOKUP(C1080,'Master Anggota'!$E$2:$J$678,5,0)</f>
        <v>00613</v>
      </c>
      <c r="H1080" s="56">
        <v>0</v>
      </c>
      <c r="I1080" s="56">
        <v>0</v>
      </c>
      <c r="J1080" s="56">
        <v>100000</v>
      </c>
      <c r="K1080" s="56">
        <v>150000</v>
      </c>
      <c r="L1080" t="s">
        <v>663</v>
      </c>
      <c r="M1080" s="71">
        <v>46167</v>
      </c>
      <c r="N1080" t="s">
        <v>576</v>
      </c>
    </row>
    <row r="1081" spans="3:14" hidden="1" x14ac:dyDescent="0.2">
      <c r="C1081" t="s">
        <v>400</v>
      </c>
      <c r="D1081" t="str">
        <f>VLOOKUP(C1081,'Master Anggota'!$E$2:$J$678,2,0)</f>
        <v>Aktif</v>
      </c>
      <c r="G1081" t="str">
        <f>VLOOKUP(C1081,'Master Anggota'!$E$2:$J$678,5,0)</f>
        <v>00614</v>
      </c>
      <c r="H1081" s="56">
        <v>0</v>
      </c>
      <c r="I1081" s="56">
        <v>0</v>
      </c>
      <c r="J1081" s="56">
        <v>100000</v>
      </c>
      <c r="K1081" s="56">
        <v>100000</v>
      </c>
      <c r="L1081" t="s">
        <v>663</v>
      </c>
      <c r="M1081" s="71">
        <v>46167</v>
      </c>
      <c r="N1081" t="s">
        <v>576</v>
      </c>
    </row>
    <row r="1082" spans="3:14" hidden="1" x14ac:dyDescent="0.2">
      <c r="C1082" t="s">
        <v>438</v>
      </c>
      <c r="D1082" t="str">
        <f>VLOOKUP(C1082,'Master Anggota'!$E$2:$J$678,2,0)</f>
        <v>Aktif</v>
      </c>
      <c r="G1082" t="str">
        <f>VLOOKUP(C1082,'Master Anggota'!$E$2:$J$678,5,0)</f>
        <v>00616</v>
      </c>
      <c r="H1082" s="56">
        <v>0</v>
      </c>
      <c r="I1082" s="56">
        <v>0</v>
      </c>
      <c r="J1082" s="56">
        <v>100000</v>
      </c>
      <c r="K1082" s="56">
        <v>250000</v>
      </c>
      <c r="L1082" t="s">
        <v>663</v>
      </c>
      <c r="M1082" s="71">
        <v>46167</v>
      </c>
      <c r="N1082" t="s">
        <v>576</v>
      </c>
    </row>
    <row r="1083" spans="3:14" hidden="1" x14ac:dyDescent="0.2">
      <c r="C1083" t="s">
        <v>312</v>
      </c>
      <c r="D1083" t="str">
        <f>VLOOKUP(C1083,'Master Anggota'!$E$2:$J$678,2,0)</f>
        <v>Aktif</v>
      </c>
      <c r="G1083" t="str">
        <f>VLOOKUP(C1083,'Master Anggota'!$E$2:$J$678,5,0)</f>
        <v>00621</v>
      </c>
      <c r="H1083" s="56">
        <v>0</v>
      </c>
      <c r="I1083" s="56">
        <v>0</v>
      </c>
      <c r="J1083" s="56">
        <v>100000</v>
      </c>
      <c r="K1083" s="56">
        <v>100000</v>
      </c>
      <c r="L1083" t="s">
        <v>663</v>
      </c>
      <c r="M1083" s="71">
        <v>46167</v>
      </c>
      <c r="N1083" t="s">
        <v>576</v>
      </c>
    </row>
    <row r="1084" spans="3:14" hidden="1" x14ac:dyDescent="0.2">
      <c r="C1084" t="s">
        <v>452</v>
      </c>
      <c r="D1084" t="str">
        <f>VLOOKUP(C1084,'Master Anggota'!$E$2:$J$678,2,0)</f>
        <v>Aktif</v>
      </c>
      <c r="G1084" t="str">
        <f>VLOOKUP(C1084,'Master Anggota'!$E$2:$J$678,5,0)</f>
        <v>00623</v>
      </c>
      <c r="H1084" s="56">
        <v>0</v>
      </c>
      <c r="I1084" s="56">
        <v>0</v>
      </c>
      <c r="J1084" s="56">
        <v>100000</v>
      </c>
      <c r="K1084" s="56">
        <v>50000</v>
      </c>
      <c r="L1084" t="s">
        <v>663</v>
      </c>
      <c r="M1084" s="71">
        <v>46167</v>
      </c>
      <c r="N1084" t="s">
        <v>576</v>
      </c>
    </row>
    <row r="1085" spans="3:14" hidden="1" x14ac:dyDescent="0.2">
      <c r="C1085" t="s">
        <v>324</v>
      </c>
      <c r="D1085" t="str">
        <f>VLOOKUP(C1085,'Master Anggota'!$E$2:$J$678,2,0)</f>
        <v>Aktif</v>
      </c>
      <c r="G1085" t="str">
        <f>VLOOKUP(C1085,'Master Anggota'!$E$2:$J$678,5,0)</f>
        <v>00626</v>
      </c>
      <c r="H1085" s="56">
        <v>0</v>
      </c>
      <c r="I1085" s="56">
        <v>0</v>
      </c>
      <c r="J1085" s="56">
        <v>100000</v>
      </c>
      <c r="K1085" s="56">
        <v>200000</v>
      </c>
      <c r="L1085" t="s">
        <v>663</v>
      </c>
      <c r="M1085" s="71">
        <v>46167</v>
      </c>
      <c r="N1085" t="s">
        <v>576</v>
      </c>
    </row>
    <row r="1086" spans="3:14" hidden="1" x14ac:dyDescent="0.2">
      <c r="C1086" t="s">
        <v>445</v>
      </c>
      <c r="D1086" t="str">
        <f>VLOOKUP(C1086,'Master Anggota'!$E$2:$J$678,2,0)</f>
        <v>Aktif</v>
      </c>
      <c r="G1086" t="str">
        <f>VLOOKUP(C1086,'Master Anggota'!$E$2:$J$678,5,0)</f>
        <v>00628</v>
      </c>
      <c r="H1086" s="56">
        <v>0</v>
      </c>
      <c r="I1086" s="56">
        <v>0</v>
      </c>
      <c r="J1086" s="56">
        <v>100000</v>
      </c>
      <c r="K1086" s="56">
        <v>150000</v>
      </c>
      <c r="L1086" t="s">
        <v>663</v>
      </c>
      <c r="M1086" s="71">
        <v>46167</v>
      </c>
      <c r="N1086" t="s">
        <v>576</v>
      </c>
    </row>
    <row r="1087" spans="3:14" hidden="1" x14ac:dyDescent="0.2">
      <c r="C1087" t="s">
        <v>425</v>
      </c>
      <c r="D1087" t="str">
        <f>VLOOKUP(C1087,'Master Anggota'!$E$2:$J$678,2,0)</f>
        <v>Aktif</v>
      </c>
      <c r="G1087" t="str">
        <f>VLOOKUP(C1087,'Master Anggota'!$E$2:$J$678,5,0)</f>
        <v>00629</v>
      </c>
      <c r="H1087" s="56">
        <v>0</v>
      </c>
      <c r="I1087" s="56">
        <v>0</v>
      </c>
      <c r="J1087" s="56">
        <v>100000</v>
      </c>
      <c r="K1087" s="56">
        <v>50000</v>
      </c>
      <c r="L1087" t="s">
        <v>663</v>
      </c>
      <c r="M1087" s="71">
        <v>46167</v>
      </c>
      <c r="N1087" t="s">
        <v>576</v>
      </c>
    </row>
    <row r="1088" spans="3:14" hidden="1" x14ac:dyDescent="0.2">
      <c r="C1088" t="s">
        <v>157</v>
      </c>
      <c r="D1088" t="str">
        <f>VLOOKUP(C1088,'Master Anggota'!$E$2:$J$678,2,0)</f>
        <v>Aktif</v>
      </c>
      <c r="G1088" t="str">
        <f>VLOOKUP(C1088,'Master Anggota'!$E$2:$J$678,5,0)</f>
        <v>00633</v>
      </c>
      <c r="H1088" s="56">
        <v>0</v>
      </c>
      <c r="I1088" s="56">
        <v>0</v>
      </c>
      <c r="J1088" s="56">
        <v>100000</v>
      </c>
      <c r="K1088" s="56">
        <v>12500</v>
      </c>
      <c r="L1088" t="s">
        <v>663</v>
      </c>
      <c r="M1088" s="71">
        <v>46167</v>
      </c>
      <c r="N1088" t="s">
        <v>576</v>
      </c>
    </row>
    <row r="1089" spans="3:14" hidden="1" x14ac:dyDescent="0.2">
      <c r="C1089" t="s">
        <v>435</v>
      </c>
      <c r="D1089" t="str">
        <f>VLOOKUP(C1089,'Master Anggota'!$E$2:$J$678,2,0)</f>
        <v>Aktif</v>
      </c>
      <c r="G1089" t="str">
        <f>VLOOKUP(C1089,'Master Anggota'!$E$2:$J$678,5,0)</f>
        <v>00637</v>
      </c>
      <c r="H1089" s="56">
        <v>0</v>
      </c>
      <c r="I1089" s="56">
        <v>0</v>
      </c>
      <c r="J1089" s="56">
        <v>100000</v>
      </c>
      <c r="K1089" s="56">
        <v>100000</v>
      </c>
      <c r="L1089" t="s">
        <v>663</v>
      </c>
      <c r="M1089" s="71">
        <v>46167</v>
      </c>
      <c r="N1089" t="s">
        <v>576</v>
      </c>
    </row>
    <row r="1090" spans="3:14" hidden="1" x14ac:dyDescent="0.2">
      <c r="C1090" t="s">
        <v>436</v>
      </c>
      <c r="D1090" t="str">
        <f>VLOOKUP(C1090,'Master Anggota'!$E$2:$J$678,2,0)</f>
        <v>Aktif</v>
      </c>
      <c r="G1090" t="str">
        <f>VLOOKUP(C1090,'Master Anggota'!$E$2:$J$678,5,0)</f>
        <v>01708</v>
      </c>
      <c r="H1090" s="56">
        <v>0</v>
      </c>
      <c r="I1090" s="56">
        <v>0</v>
      </c>
      <c r="J1090" s="56">
        <v>100000</v>
      </c>
      <c r="K1090" s="56">
        <v>100000</v>
      </c>
      <c r="L1090" t="s">
        <v>663</v>
      </c>
      <c r="M1090" s="71">
        <v>46167</v>
      </c>
      <c r="N1090" t="s">
        <v>576</v>
      </c>
    </row>
    <row r="1091" spans="3:14" hidden="1" x14ac:dyDescent="0.2">
      <c r="C1091" t="s">
        <v>160</v>
      </c>
      <c r="D1091" t="str">
        <f>VLOOKUP(C1091,'Master Anggota'!$E$2:$J$678,2,0)</f>
        <v>Aktif</v>
      </c>
      <c r="G1091" t="str">
        <f>VLOOKUP(C1091,'Master Anggota'!$E$2:$J$678,5,0)</f>
        <v>01166</v>
      </c>
      <c r="H1091" s="56">
        <v>0</v>
      </c>
      <c r="I1091" s="56">
        <v>0</v>
      </c>
      <c r="J1091" s="56">
        <v>100000</v>
      </c>
      <c r="K1091" s="56">
        <v>75000</v>
      </c>
      <c r="L1091" t="s">
        <v>663</v>
      </c>
      <c r="M1091" s="71">
        <v>46167</v>
      </c>
      <c r="N1091" t="s">
        <v>576</v>
      </c>
    </row>
    <row r="1092" spans="3:14" hidden="1" x14ac:dyDescent="0.2">
      <c r="C1092" t="s">
        <v>676</v>
      </c>
      <c r="D1092" t="str">
        <f>VLOOKUP(C1092,'Master Anggota'!$E$2:$J$678,2,0)</f>
        <v>Aktif</v>
      </c>
      <c r="G1092" t="str">
        <f>VLOOKUP(C1092,'Master Anggota'!$E$2:$J$678,5,0)</f>
        <v>00643</v>
      </c>
      <c r="H1092" s="56">
        <v>0</v>
      </c>
      <c r="I1092" s="56">
        <v>0</v>
      </c>
      <c r="J1092" s="56">
        <v>100000</v>
      </c>
      <c r="K1092" s="56">
        <v>100000</v>
      </c>
      <c r="L1092" t="s">
        <v>663</v>
      </c>
      <c r="M1092" s="71">
        <v>46167</v>
      </c>
      <c r="N1092" t="s">
        <v>576</v>
      </c>
    </row>
    <row r="1093" spans="3:14" hidden="1" x14ac:dyDescent="0.2">
      <c r="C1093" t="s">
        <v>319</v>
      </c>
      <c r="D1093" t="str">
        <f>VLOOKUP(C1093,'Master Anggota'!$E$2:$J$678,2,0)</f>
        <v>Aktif</v>
      </c>
      <c r="G1093" t="str">
        <f>VLOOKUP(C1093,'Master Anggota'!$E$2:$J$678,5,0)</f>
        <v>01302</v>
      </c>
      <c r="H1093" s="56">
        <v>0</v>
      </c>
      <c r="I1093" s="56">
        <v>0</v>
      </c>
      <c r="J1093" s="56">
        <v>100000</v>
      </c>
      <c r="K1093" s="56">
        <v>175000</v>
      </c>
      <c r="L1093" t="s">
        <v>663</v>
      </c>
      <c r="M1093" s="71">
        <v>46167</v>
      </c>
      <c r="N1093" t="s">
        <v>576</v>
      </c>
    </row>
    <row r="1094" spans="3:14" hidden="1" x14ac:dyDescent="0.2">
      <c r="C1094" t="s">
        <v>289</v>
      </c>
      <c r="D1094" t="str">
        <f>VLOOKUP(C1094,'Master Anggota'!$E$2:$J$678,2,0)</f>
        <v>Aktif</v>
      </c>
      <c r="G1094" t="str">
        <f>VLOOKUP(C1094,'Master Anggota'!$E$2:$J$678,5,0)</f>
        <v>01511</v>
      </c>
      <c r="H1094" s="56">
        <v>0</v>
      </c>
      <c r="I1094" s="56">
        <v>0</v>
      </c>
      <c r="J1094" s="56">
        <v>100000</v>
      </c>
      <c r="K1094" s="56">
        <v>75000</v>
      </c>
      <c r="L1094" t="s">
        <v>663</v>
      </c>
      <c r="M1094" s="71">
        <v>46167</v>
      </c>
      <c r="N1094" t="s">
        <v>576</v>
      </c>
    </row>
    <row r="1095" spans="3:14" hidden="1" x14ac:dyDescent="0.2">
      <c r="C1095" t="s">
        <v>169</v>
      </c>
      <c r="D1095" t="str">
        <f>VLOOKUP(C1095,'Master Anggota'!$E$2:$J$678,2,0)</f>
        <v>Aktif</v>
      </c>
      <c r="G1095" t="str">
        <f>VLOOKUP(C1095,'Master Anggota'!$E$2:$J$678,5,0)</f>
        <v>01157</v>
      </c>
      <c r="H1095" s="56">
        <v>0</v>
      </c>
      <c r="I1095" s="56">
        <v>0</v>
      </c>
      <c r="J1095" s="56">
        <v>100000</v>
      </c>
      <c r="K1095" s="56">
        <v>100000</v>
      </c>
      <c r="L1095" t="s">
        <v>663</v>
      </c>
      <c r="M1095" s="71">
        <v>46167</v>
      </c>
      <c r="N1095" t="s">
        <v>576</v>
      </c>
    </row>
    <row r="1096" spans="3:14" hidden="1" x14ac:dyDescent="0.2">
      <c r="C1096" t="s">
        <v>279</v>
      </c>
      <c r="D1096" t="str">
        <f>VLOOKUP(C1096,'Master Anggota'!$E$2:$J$678,2,0)</f>
        <v>Aktif</v>
      </c>
      <c r="G1096" t="str">
        <f>VLOOKUP(C1096,'Master Anggota'!$E$2:$J$678,5,0)</f>
        <v>01315</v>
      </c>
      <c r="H1096" s="56">
        <v>0</v>
      </c>
      <c r="I1096" s="56">
        <v>0</v>
      </c>
      <c r="J1096" s="56">
        <v>100000</v>
      </c>
      <c r="K1096" s="56">
        <v>50000</v>
      </c>
      <c r="L1096" t="s">
        <v>663</v>
      </c>
      <c r="M1096" s="71">
        <v>46167</v>
      </c>
      <c r="N1096" t="s">
        <v>576</v>
      </c>
    </row>
    <row r="1097" spans="3:14" hidden="1" x14ac:dyDescent="0.2">
      <c r="C1097" t="s">
        <v>358</v>
      </c>
      <c r="D1097" t="str">
        <f>VLOOKUP(C1097,'Master Anggota'!$E$2:$J$678,2,0)</f>
        <v>Aktif</v>
      </c>
      <c r="G1097" t="str">
        <f>VLOOKUP(C1097,'Master Anggota'!$E$2:$J$678,5,0)</f>
        <v>01530</v>
      </c>
      <c r="H1097" s="56">
        <v>0</v>
      </c>
      <c r="I1097" s="56">
        <v>0</v>
      </c>
      <c r="J1097" s="56">
        <v>100000</v>
      </c>
      <c r="K1097" s="56">
        <v>50000</v>
      </c>
      <c r="L1097" t="s">
        <v>663</v>
      </c>
      <c r="M1097" s="71">
        <v>46167</v>
      </c>
      <c r="N1097" t="s">
        <v>576</v>
      </c>
    </row>
    <row r="1098" spans="3:14" hidden="1" x14ac:dyDescent="0.2">
      <c r="C1098" t="s">
        <v>677</v>
      </c>
      <c r="D1098" t="str">
        <f>VLOOKUP(C1098,'Master Anggota'!$E$2:$J$678,2,0)</f>
        <v>Aktif</v>
      </c>
      <c r="G1098" t="str">
        <f>VLOOKUP(C1098,'Master Anggota'!$E$2:$J$678,5,0)</f>
        <v>K924</v>
      </c>
      <c r="H1098" s="56">
        <v>0</v>
      </c>
      <c r="I1098" s="56">
        <v>0</v>
      </c>
      <c r="J1098" s="56">
        <v>100000</v>
      </c>
      <c r="K1098" s="56">
        <v>150000</v>
      </c>
      <c r="L1098" t="s">
        <v>663</v>
      </c>
      <c r="M1098" s="71">
        <v>46167</v>
      </c>
      <c r="N1098" t="s">
        <v>576</v>
      </c>
    </row>
    <row r="1099" spans="3:14" hidden="1" x14ac:dyDescent="0.2">
      <c r="C1099" t="s">
        <v>304</v>
      </c>
      <c r="D1099" t="str">
        <f>VLOOKUP(C1099,'Master Anggota'!$E$2:$J$678,2,0)</f>
        <v>Aktif</v>
      </c>
      <c r="G1099" t="str">
        <f>VLOOKUP(C1099,'Master Anggota'!$E$2:$J$678,5,0)</f>
        <v>01541</v>
      </c>
      <c r="H1099" s="56">
        <v>0</v>
      </c>
      <c r="I1099" s="56">
        <v>0</v>
      </c>
      <c r="J1099" s="56">
        <v>100000</v>
      </c>
      <c r="K1099" s="56">
        <v>150000</v>
      </c>
      <c r="L1099" t="s">
        <v>663</v>
      </c>
      <c r="M1099" s="71">
        <v>46167</v>
      </c>
      <c r="N1099" t="s">
        <v>576</v>
      </c>
    </row>
    <row r="1100" spans="3:14" hidden="1" x14ac:dyDescent="0.2">
      <c r="C1100" t="s">
        <v>310</v>
      </c>
      <c r="D1100" t="str">
        <f>VLOOKUP(C1100,'Master Anggota'!$E$2:$J$678,2,0)</f>
        <v>Aktif</v>
      </c>
      <c r="G1100" t="str">
        <f>VLOOKUP(C1100,'Master Anggota'!$E$2:$J$678,5,0)</f>
        <v>01543</v>
      </c>
      <c r="H1100" s="56">
        <v>0</v>
      </c>
      <c r="I1100" s="56">
        <v>0</v>
      </c>
      <c r="J1100" s="56">
        <v>100000</v>
      </c>
      <c r="K1100" s="56">
        <v>150000</v>
      </c>
      <c r="L1100" t="s">
        <v>663</v>
      </c>
      <c r="M1100" s="71">
        <v>46167</v>
      </c>
      <c r="N1100" t="s">
        <v>576</v>
      </c>
    </row>
    <row r="1101" spans="3:14" hidden="1" x14ac:dyDescent="0.2">
      <c r="C1101" t="s">
        <v>316</v>
      </c>
      <c r="D1101" t="str">
        <f>VLOOKUP(C1101,'Master Anggota'!$E$2:$J$678,2,0)</f>
        <v>Aktif</v>
      </c>
      <c r="G1101" t="str">
        <f>VLOOKUP(C1101,'Master Anggota'!$E$2:$J$678,5,0)</f>
        <v>01544</v>
      </c>
      <c r="H1101" s="56">
        <v>0</v>
      </c>
      <c r="I1101" s="56">
        <v>0</v>
      </c>
      <c r="J1101" s="56">
        <v>100000</v>
      </c>
      <c r="K1101" s="56">
        <v>150000</v>
      </c>
      <c r="L1101" t="s">
        <v>663</v>
      </c>
      <c r="M1101" s="71">
        <v>46167</v>
      </c>
      <c r="N1101" t="s">
        <v>576</v>
      </c>
    </row>
    <row r="1102" spans="3:14" hidden="1" x14ac:dyDescent="0.2">
      <c r="C1102" t="s">
        <v>421</v>
      </c>
      <c r="D1102" t="str">
        <f>VLOOKUP(C1102,'Master Anggota'!$E$2:$J$678,2,0)</f>
        <v>Aktif</v>
      </c>
      <c r="G1102" t="str">
        <f>VLOOKUP(C1102,'Master Anggota'!$E$2:$J$678,5,0)</f>
        <v>01560</v>
      </c>
      <c r="H1102" s="56">
        <v>0</v>
      </c>
      <c r="I1102" s="56">
        <v>0</v>
      </c>
      <c r="J1102" s="56">
        <v>100000</v>
      </c>
      <c r="K1102" s="56">
        <v>250000</v>
      </c>
      <c r="L1102" t="s">
        <v>663</v>
      </c>
      <c r="M1102" s="71">
        <v>46167</v>
      </c>
      <c r="N1102" t="s">
        <v>576</v>
      </c>
    </row>
    <row r="1103" spans="3:14" hidden="1" x14ac:dyDescent="0.2">
      <c r="C1103" t="s">
        <v>482</v>
      </c>
      <c r="D1103" t="str">
        <f>VLOOKUP(C1103,'Master Anggota'!$E$2:$J$678,2,0)</f>
        <v>Aktif</v>
      </c>
      <c r="G1103" t="str">
        <f>VLOOKUP(C1103,'Master Anggota'!$E$2:$J$678,5,0)</f>
        <v>01561</v>
      </c>
      <c r="H1103" s="56">
        <v>0</v>
      </c>
      <c r="I1103" s="56">
        <v>0</v>
      </c>
      <c r="J1103" s="56">
        <v>100000</v>
      </c>
      <c r="K1103" s="56">
        <v>100000</v>
      </c>
      <c r="L1103" t="s">
        <v>663</v>
      </c>
      <c r="M1103" s="71">
        <v>46167</v>
      </c>
      <c r="N1103" t="s">
        <v>576</v>
      </c>
    </row>
    <row r="1104" spans="3:14" hidden="1" x14ac:dyDescent="0.2">
      <c r="C1104" t="s">
        <v>317</v>
      </c>
      <c r="D1104" t="str">
        <f>VLOOKUP(C1104,'Master Anggota'!$E$2:$J$678,2,0)</f>
        <v>Aktif</v>
      </c>
      <c r="G1104" t="str">
        <f>VLOOKUP(C1104,'Master Anggota'!$E$2:$J$678,5,0)</f>
        <v>01573</v>
      </c>
      <c r="H1104" s="56">
        <v>0</v>
      </c>
      <c r="I1104" s="56">
        <v>0</v>
      </c>
      <c r="J1104" s="56">
        <v>100000</v>
      </c>
      <c r="K1104" s="56">
        <v>400000</v>
      </c>
      <c r="L1104" t="s">
        <v>663</v>
      </c>
      <c r="M1104" s="71">
        <v>46167</v>
      </c>
      <c r="N1104" t="s">
        <v>576</v>
      </c>
    </row>
    <row r="1105" spans="3:14" hidden="1" x14ac:dyDescent="0.2">
      <c r="C1105" t="s">
        <v>313</v>
      </c>
      <c r="D1105" t="str">
        <f>VLOOKUP(C1105,'Master Anggota'!$E$2:$J$678,2,0)</f>
        <v>Aktif</v>
      </c>
      <c r="G1105" t="str">
        <f>VLOOKUP(C1105,'Master Anggota'!$E$2:$J$678,5,0)</f>
        <v>01594</v>
      </c>
      <c r="H1105" s="56">
        <v>0</v>
      </c>
      <c r="I1105" s="56">
        <v>0</v>
      </c>
      <c r="J1105" s="56">
        <v>100000</v>
      </c>
      <c r="K1105" s="56">
        <v>50000</v>
      </c>
      <c r="L1105" t="s">
        <v>663</v>
      </c>
      <c r="M1105" s="71">
        <v>46167</v>
      </c>
      <c r="N1105" t="s">
        <v>576</v>
      </c>
    </row>
    <row r="1106" spans="3:14" hidden="1" x14ac:dyDescent="0.2">
      <c r="C1106" t="s">
        <v>323</v>
      </c>
      <c r="D1106" t="str">
        <f>VLOOKUP(C1106,'Master Anggota'!$E$2:$J$678,2,0)</f>
        <v>Aktif</v>
      </c>
      <c r="G1106" t="str">
        <f>VLOOKUP(C1106,'Master Anggota'!$E$2:$J$678,5,0)</f>
        <v>01601</v>
      </c>
      <c r="H1106" s="56">
        <v>0</v>
      </c>
      <c r="I1106" s="56">
        <v>0</v>
      </c>
      <c r="J1106" s="56">
        <v>100000</v>
      </c>
      <c r="K1106" s="56">
        <v>150000</v>
      </c>
      <c r="L1106" t="s">
        <v>663</v>
      </c>
      <c r="M1106" s="71">
        <v>46167</v>
      </c>
      <c r="N1106" t="s">
        <v>576</v>
      </c>
    </row>
    <row r="1107" spans="3:14" hidden="1" x14ac:dyDescent="0.2">
      <c r="C1107" t="s">
        <v>311</v>
      </c>
      <c r="D1107" t="str">
        <f>VLOOKUP(C1107,'Master Anggota'!$E$2:$J$678,2,0)</f>
        <v>Aktif</v>
      </c>
      <c r="G1107" t="str">
        <f>VLOOKUP(C1107,'Master Anggota'!$E$2:$J$678,5,0)</f>
        <v>01602</v>
      </c>
      <c r="H1107" s="56">
        <v>0</v>
      </c>
      <c r="I1107" s="56">
        <v>0</v>
      </c>
      <c r="J1107" s="56">
        <v>100000</v>
      </c>
      <c r="K1107" s="56">
        <v>100000</v>
      </c>
      <c r="L1107" t="s">
        <v>663</v>
      </c>
      <c r="M1107" s="71">
        <v>46167</v>
      </c>
      <c r="N1107" t="s">
        <v>576</v>
      </c>
    </row>
    <row r="1108" spans="3:14" hidden="1" x14ac:dyDescent="0.2">
      <c r="C1108" t="s">
        <v>560</v>
      </c>
      <c r="D1108" t="str">
        <f>VLOOKUP(C1108,'Master Anggota'!$E$2:$J$678,2,0)</f>
        <v>Aktif</v>
      </c>
      <c r="G1108" t="str">
        <f>VLOOKUP(C1108,'Master Anggota'!$E$2:$J$678,5,0)</f>
        <v>01603</v>
      </c>
      <c r="H1108" s="56">
        <v>0</v>
      </c>
      <c r="I1108" s="56">
        <v>0</v>
      </c>
      <c r="J1108" s="56">
        <v>100000</v>
      </c>
      <c r="K1108" s="56">
        <v>200000</v>
      </c>
      <c r="L1108" t="s">
        <v>663</v>
      </c>
      <c r="M1108" s="71">
        <v>46167</v>
      </c>
      <c r="N1108" t="s">
        <v>576</v>
      </c>
    </row>
    <row r="1109" spans="3:14" hidden="1" x14ac:dyDescent="0.2">
      <c r="C1109" t="s">
        <v>308</v>
      </c>
      <c r="D1109" t="str">
        <f>VLOOKUP(C1109,'Master Anggota'!$E$2:$J$678,2,0)</f>
        <v>Aktif</v>
      </c>
      <c r="G1109" t="str">
        <f>VLOOKUP(C1109,'Master Anggota'!$E$2:$J$678,5,0)</f>
        <v>01604</v>
      </c>
      <c r="H1109" s="56">
        <v>0</v>
      </c>
      <c r="I1109" s="56">
        <v>0</v>
      </c>
      <c r="J1109" s="56">
        <v>100000</v>
      </c>
      <c r="K1109" s="56">
        <v>100000</v>
      </c>
      <c r="L1109" t="s">
        <v>663</v>
      </c>
      <c r="M1109" s="71">
        <v>46167</v>
      </c>
      <c r="N1109" t="s">
        <v>576</v>
      </c>
    </row>
    <row r="1110" spans="3:14" hidden="1" x14ac:dyDescent="0.2">
      <c r="C1110" t="s">
        <v>318</v>
      </c>
      <c r="D1110" t="str">
        <f>VLOOKUP(C1110,'Master Anggota'!$E$2:$J$678,2,0)</f>
        <v>Aktif</v>
      </c>
      <c r="G1110" t="str">
        <f>VLOOKUP(C1110,'Master Anggota'!$E$2:$J$678,5,0)</f>
        <v>01651</v>
      </c>
      <c r="H1110" s="56">
        <v>0</v>
      </c>
      <c r="I1110" s="56">
        <v>0</v>
      </c>
      <c r="J1110" s="56">
        <v>100000</v>
      </c>
      <c r="K1110" s="56">
        <v>100000</v>
      </c>
      <c r="L1110" t="s">
        <v>663</v>
      </c>
      <c r="M1110" s="71">
        <v>46167</v>
      </c>
      <c r="N1110" t="s">
        <v>576</v>
      </c>
    </row>
    <row r="1111" spans="3:14" hidden="1" x14ac:dyDescent="0.2">
      <c r="C1111" t="s">
        <v>369</v>
      </c>
      <c r="D1111" t="str">
        <f>VLOOKUP(C1111,'Master Anggota'!$E$2:$J$678,2,0)</f>
        <v>Aktif</v>
      </c>
      <c r="G1111" t="str">
        <f>VLOOKUP(C1111,'Master Anggota'!$E$2:$J$678,5,0)</f>
        <v>01654</v>
      </c>
      <c r="H1111" s="56">
        <v>0</v>
      </c>
      <c r="I1111" s="56">
        <v>0</v>
      </c>
      <c r="J1111" s="56">
        <v>100000</v>
      </c>
      <c r="K1111" s="56">
        <v>100000</v>
      </c>
      <c r="L1111" t="s">
        <v>663</v>
      </c>
      <c r="M1111" s="71">
        <v>46167</v>
      </c>
      <c r="N1111" t="s">
        <v>576</v>
      </c>
    </row>
    <row r="1112" spans="3:14" hidden="1" x14ac:dyDescent="0.2">
      <c r="C1112" t="s">
        <v>327</v>
      </c>
      <c r="D1112" t="str">
        <f>VLOOKUP(C1112,'Master Anggota'!$E$2:$J$678,2,0)</f>
        <v>Aktif</v>
      </c>
      <c r="G1112" t="str">
        <f>VLOOKUP(C1112,'Master Anggota'!$E$2:$J$678,5,0)</f>
        <v>01665</v>
      </c>
      <c r="H1112" s="56">
        <v>0</v>
      </c>
      <c r="I1112" s="56">
        <v>0</v>
      </c>
      <c r="J1112" s="56">
        <v>100000</v>
      </c>
      <c r="K1112" s="56">
        <v>50000</v>
      </c>
      <c r="L1112" t="s">
        <v>663</v>
      </c>
      <c r="M1112" s="71">
        <v>46167</v>
      </c>
      <c r="N1112" t="s">
        <v>576</v>
      </c>
    </row>
    <row r="1113" spans="3:14" hidden="1" x14ac:dyDescent="0.2">
      <c r="C1113" t="s">
        <v>367</v>
      </c>
      <c r="D1113" t="str">
        <f>VLOOKUP(C1113,'Master Anggota'!$E$2:$J$678,2,0)</f>
        <v>Aktif</v>
      </c>
      <c r="G1113" t="str">
        <f>VLOOKUP(C1113,'Master Anggota'!$E$2:$J$678,5,0)</f>
        <v>01679</v>
      </c>
      <c r="H1113" s="56">
        <v>0</v>
      </c>
      <c r="I1113" s="56">
        <v>0</v>
      </c>
      <c r="J1113" s="56">
        <v>100000</v>
      </c>
      <c r="K1113" s="56">
        <v>100000</v>
      </c>
      <c r="L1113" t="s">
        <v>663</v>
      </c>
      <c r="M1113" s="71">
        <v>46167</v>
      </c>
      <c r="N1113" t="s">
        <v>576</v>
      </c>
    </row>
    <row r="1114" spans="3:14" hidden="1" x14ac:dyDescent="0.2">
      <c r="C1114" t="s">
        <v>368</v>
      </c>
      <c r="D1114" t="str">
        <f>VLOOKUP(C1114,'Master Anggota'!$E$2:$J$678,2,0)</f>
        <v>Aktif</v>
      </c>
      <c r="G1114" t="str">
        <f>VLOOKUP(C1114,'Master Anggota'!$E$2:$J$678,5,0)</f>
        <v>01703</v>
      </c>
      <c r="H1114" s="56">
        <v>0</v>
      </c>
      <c r="I1114" s="56">
        <v>0</v>
      </c>
      <c r="J1114" s="56">
        <v>100000</v>
      </c>
      <c r="K1114" s="56">
        <v>100000</v>
      </c>
      <c r="L1114" t="s">
        <v>663</v>
      </c>
      <c r="M1114" s="71">
        <v>46167</v>
      </c>
      <c r="N1114" t="s">
        <v>576</v>
      </c>
    </row>
    <row r="1115" spans="3:14" hidden="1" x14ac:dyDescent="0.2">
      <c r="C1115" t="s">
        <v>490</v>
      </c>
      <c r="D1115" t="str">
        <f>VLOOKUP(C1115,'Master Anggota'!$E$2:$J$678,2,0)</f>
        <v>Aktif</v>
      </c>
      <c r="G1115" t="str">
        <f>VLOOKUP(C1115,'Master Anggota'!$E$2:$J$678,5,0)</f>
        <v>01706</v>
      </c>
      <c r="H1115" s="56">
        <v>0</v>
      </c>
      <c r="I1115" s="56">
        <v>0</v>
      </c>
      <c r="J1115" s="56">
        <v>100000</v>
      </c>
      <c r="K1115" s="56">
        <v>100000</v>
      </c>
      <c r="L1115" t="s">
        <v>663</v>
      </c>
      <c r="M1115" s="71">
        <v>46167</v>
      </c>
      <c r="N1115" t="s">
        <v>576</v>
      </c>
    </row>
    <row r="1116" spans="3:14" hidden="1" x14ac:dyDescent="0.2">
      <c r="C1116" t="s">
        <v>444</v>
      </c>
      <c r="D1116" t="str">
        <f>VLOOKUP(C1116,'Master Anggota'!$E$2:$J$678,2,0)</f>
        <v>Aktif</v>
      </c>
      <c r="G1116" t="str">
        <f>VLOOKUP(C1116,'Master Anggota'!$E$2:$J$678,5,0)</f>
        <v>01711</v>
      </c>
      <c r="H1116" s="56">
        <v>0</v>
      </c>
      <c r="I1116" s="56">
        <v>0</v>
      </c>
      <c r="J1116" s="56">
        <v>100000</v>
      </c>
      <c r="K1116" s="56">
        <v>150000</v>
      </c>
      <c r="L1116" t="s">
        <v>663</v>
      </c>
      <c r="M1116" s="71">
        <v>46167</v>
      </c>
      <c r="N1116" t="s">
        <v>576</v>
      </c>
    </row>
    <row r="1117" spans="3:14" hidden="1" x14ac:dyDescent="0.2">
      <c r="C1117" t="s">
        <v>497</v>
      </c>
      <c r="D1117" t="str">
        <f>VLOOKUP(C1117,'Master Anggota'!$E$2:$J$678,2,0)</f>
        <v>Aktif</v>
      </c>
      <c r="G1117" t="str">
        <f>VLOOKUP(C1117,'Master Anggota'!$E$2:$J$678,5,0)</f>
        <v>01719</v>
      </c>
      <c r="H1117" s="56">
        <v>0</v>
      </c>
      <c r="I1117" s="56">
        <v>0</v>
      </c>
      <c r="J1117" s="56">
        <v>100000</v>
      </c>
      <c r="K1117" s="56">
        <v>200000</v>
      </c>
      <c r="L1117" t="s">
        <v>663</v>
      </c>
      <c r="M1117" s="71">
        <v>46167</v>
      </c>
      <c r="N1117" t="s">
        <v>576</v>
      </c>
    </row>
    <row r="1118" spans="3:14" hidden="1" x14ac:dyDescent="0.2">
      <c r="C1118" t="s">
        <v>491</v>
      </c>
      <c r="D1118" t="str">
        <f>VLOOKUP(C1118,'Master Anggota'!$E$2:$J$678,2,0)</f>
        <v>Aktif</v>
      </c>
      <c r="G1118" t="str">
        <f>VLOOKUP(C1118,'Master Anggota'!$E$2:$J$678,5,0)</f>
        <v>01720</v>
      </c>
      <c r="H1118" s="56">
        <v>0</v>
      </c>
      <c r="I1118" s="56">
        <v>0</v>
      </c>
      <c r="J1118" s="56">
        <v>100000</v>
      </c>
      <c r="K1118" s="56">
        <v>100000</v>
      </c>
      <c r="L1118" t="s">
        <v>663</v>
      </c>
      <c r="M1118" s="71">
        <v>46167</v>
      </c>
      <c r="N1118" t="s">
        <v>576</v>
      </c>
    </row>
    <row r="1119" spans="3:14" hidden="1" x14ac:dyDescent="0.2">
      <c r="C1119" t="s">
        <v>498</v>
      </c>
      <c r="D1119" t="str">
        <f>VLOOKUP(C1119,'Master Anggota'!$E$2:$J$678,2,0)</f>
        <v>Aktif</v>
      </c>
      <c r="G1119" t="str">
        <f>VLOOKUP(C1119,'Master Anggota'!$E$2:$J$678,5,0)</f>
        <v>01721</v>
      </c>
      <c r="H1119" s="56">
        <v>0</v>
      </c>
      <c r="I1119" s="56">
        <v>0</v>
      </c>
      <c r="J1119" s="56">
        <v>100000</v>
      </c>
      <c r="K1119" s="56">
        <v>200000</v>
      </c>
      <c r="L1119" t="s">
        <v>663</v>
      </c>
      <c r="M1119" s="71">
        <v>46167</v>
      </c>
      <c r="N1119" t="s">
        <v>576</v>
      </c>
    </row>
    <row r="1120" spans="3:14" hidden="1" x14ac:dyDescent="0.2">
      <c r="C1120" t="s">
        <v>492</v>
      </c>
      <c r="D1120" t="str">
        <f>VLOOKUP(C1120,'Master Anggota'!$E$2:$J$678,2,0)</f>
        <v>Aktif</v>
      </c>
      <c r="G1120" t="str">
        <f>VLOOKUP(C1120,'Master Anggota'!$E$2:$J$678,5,0)</f>
        <v>01728</v>
      </c>
      <c r="H1120" s="56">
        <v>0</v>
      </c>
      <c r="I1120" s="56">
        <v>0</v>
      </c>
      <c r="J1120" s="56">
        <v>100000</v>
      </c>
      <c r="K1120" s="56">
        <v>100000</v>
      </c>
      <c r="L1120" t="s">
        <v>663</v>
      </c>
      <c r="M1120" s="71">
        <v>46167</v>
      </c>
      <c r="N1120" t="s">
        <v>576</v>
      </c>
    </row>
    <row r="1121" spans="3:14" hidden="1" x14ac:dyDescent="0.2">
      <c r="C1121" t="s">
        <v>439</v>
      </c>
      <c r="D1121" t="str">
        <f>VLOOKUP(C1121,'Master Anggota'!$E$2:$J$678,2,0)</f>
        <v>Aktif</v>
      </c>
      <c r="G1121" t="str">
        <f>VLOOKUP(C1121,'Master Anggota'!$E$2:$J$678,5,0)</f>
        <v>01730</v>
      </c>
      <c r="H1121" s="56">
        <v>0</v>
      </c>
      <c r="I1121" s="56">
        <v>0</v>
      </c>
      <c r="J1121" s="56">
        <v>100000</v>
      </c>
      <c r="K1121" s="56">
        <v>300000</v>
      </c>
      <c r="L1121" t="s">
        <v>663</v>
      </c>
      <c r="M1121" s="71">
        <v>46167</v>
      </c>
      <c r="N1121" t="s">
        <v>576</v>
      </c>
    </row>
    <row r="1122" spans="3:14" hidden="1" x14ac:dyDescent="0.2">
      <c r="C1122" t="s">
        <v>493</v>
      </c>
      <c r="D1122" t="str">
        <f>VLOOKUP(C1122,'Master Anggota'!$E$2:$J$678,2,0)</f>
        <v>Aktif</v>
      </c>
      <c r="G1122" t="str">
        <f>VLOOKUP(C1122,'Master Anggota'!$E$2:$J$678,5,0)</f>
        <v>01731</v>
      </c>
      <c r="H1122" s="56">
        <v>0</v>
      </c>
      <c r="I1122" s="56">
        <v>0</v>
      </c>
      <c r="J1122" s="56">
        <v>100000</v>
      </c>
      <c r="K1122" s="56">
        <v>100000</v>
      </c>
      <c r="L1122" t="s">
        <v>663</v>
      </c>
      <c r="M1122" s="71">
        <v>46167</v>
      </c>
      <c r="N1122" t="s">
        <v>576</v>
      </c>
    </row>
    <row r="1123" spans="3:14" hidden="1" x14ac:dyDescent="0.2">
      <c r="C1123" t="s">
        <v>451</v>
      </c>
      <c r="D1123" t="str">
        <f>VLOOKUP(C1123,'Master Anggota'!$E$2:$J$678,2,0)</f>
        <v>Aktif</v>
      </c>
      <c r="G1123" t="str">
        <f>VLOOKUP(C1123,'Master Anggota'!$E$2:$J$678,5,0)</f>
        <v>01735</v>
      </c>
      <c r="H1123" s="56">
        <v>0</v>
      </c>
      <c r="I1123" s="56">
        <v>0</v>
      </c>
      <c r="J1123" s="56">
        <v>100000</v>
      </c>
      <c r="K1123" s="56">
        <v>150000</v>
      </c>
      <c r="L1123" t="s">
        <v>663</v>
      </c>
      <c r="M1123" s="71">
        <v>46167</v>
      </c>
      <c r="N1123" t="s">
        <v>576</v>
      </c>
    </row>
    <row r="1124" spans="3:14" hidden="1" x14ac:dyDescent="0.2">
      <c r="C1124" t="s">
        <v>448</v>
      </c>
      <c r="D1124" t="str">
        <f>VLOOKUP(C1124,'Master Anggota'!$E$2:$J$678,2,0)</f>
        <v>Aktif</v>
      </c>
      <c r="G1124" t="str">
        <f>VLOOKUP(C1124,'Master Anggota'!$E$2:$J$678,5,0)</f>
        <v>01737</v>
      </c>
      <c r="H1124" s="56">
        <v>0</v>
      </c>
      <c r="I1124" s="56">
        <v>0</v>
      </c>
      <c r="J1124" s="56">
        <v>100000</v>
      </c>
      <c r="K1124" s="56">
        <v>150000</v>
      </c>
      <c r="L1124" t="s">
        <v>663</v>
      </c>
      <c r="M1124" s="71">
        <v>46167</v>
      </c>
      <c r="N1124" t="s">
        <v>576</v>
      </c>
    </row>
    <row r="1125" spans="3:14" hidden="1" x14ac:dyDescent="0.2">
      <c r="C1125" t="s">
        <v>450</v>
      </c>
      <c r="D1125" t="str">
        <f>VLOOKUP(C1125,'Master Anggota'!$E$2:$J$678,2,0)</f>
        <v>Aktif</v>
      </c>
      <c r="G1125" t="str">
        <f>VLOOKUP(C1125,'Master Anggota'!$E$2:$J$678,5,0)</f>
        <v>01738</v>
      </c>
      <c r="H1125" s="56">
        <v>0</v>
      </c>
      <c r="I1125" s="56">
        <v>0</v>
      </c>
      <c r="J1125" s="56">
        <v>100000</v>
      </c>
      <c r="K1125" s="56">
        <v>50000</v>
      </c>
      <c r="L1125" t="s">
        <v>663</v>
      </c>
      <c r="M1125" s="71">
        <v>46167</v>
      </c>
      <c r="N1125" t="s">
        <v>576</v>
      </c>
    </row>
    <row r="1126" spans="3:14" hidden="1" x14ac:dyDescent="0.2">
      <c r="C1126" t="s">
        <v>449</v>
      </c>
      <c r="D1126" t="str">
        <f>VLOOKUP(C1126,'Master Anggota'!$E$2:$J$678,2,0)</f>
        <v>Aktif</v>
      </c>
      <c r="G1126" t="str">
        <f>VLOOKUP(C1126,'Master Anggota'!$E$2:$J$678,5,0)</f>
        <v>01739</v>
      </c>
      <c r="H1126" s="56">
        <v>0</v>
      </c>
      <c r="I1126" s="56">
        <v>0</v>
      </c>
      <c r="J1126" s="56">
        <v>100000</v>
      </c>
      <c r="K1126" s="56">
        <v>150000</v>
      </c>
      <c r="L1126" t="s">
        <v>663</v>
      </c>
      <c r="M1126" s="71">
        <v>46167</v>
      </c>
      <c r="N1126" t="s">
        <v>576</v>
      </c>
    </row>
    <row r="1127" spans="3:14" hidden="1" x14ac:dyDescent="0.2">
      <c r="C1127" t="s">
        <v>446</v>
      </c>
      <c r="D1127" t="str">
        <f>VLOOKUP(C1127,'Master Anggota'!$E$2:$J$678,2,0)</f>
        <v>Aktif</v>
      </c>
      <c r="G1127" t="str">
        <f>VLOOKUP(C1127,'Master Anggota'!$E$2:$J$678,5,0)</f>
        <v>01740</v>
      </c>
      <c r="H1127" s="56">
        <v>0</v>
      </c>
      <c r="I1127" s="56">
        <v>0</v>
      </c>
      <c r="J1127" s="56">
        <v>100000</v>
      </c>
      <c r="K1127" s="56">
        <v>50000</v>
      </c>
      <c r="L1127" t="s">
        <v>663</v>
      </c>
      <c r="M1127" s="71">
        <v>46167</v>
      </c>
      <c r="N1127" t="s">
        <v>576</v>
      </c>
    </row>
    <row r="1128" spans="3:14" hidden="1" x14ac:dyDescent="0.2">
      <c r="C1128" t="s">
        <v>524</v>
      </c>
      <c r="D1128" t="str">
        <f>VLOOKUP(C1128,'Master Anggota'!$E$2:$J$678,2,0)</f>
        <v>Aktif</v>
      </c>
      <c r="G1128" t="str">
        <f>VLOOKUP(C1128,'Master Anggota'!$E$2:$J$678,5,0)</f>
        <v>01743</v>
      </c>
      <c r="H1128" s="56">
        <v>0</v>
      </c>
      <c r="I1128" s="56">
        <v>0</v>
      </c>
      <c r="J1128" s="56">
        <v>100000</v>
      </c>
      <c r="K1128" s="56">
        <v>100000</v>
      </c>
      <c r="L1128" t="s">
        <v>663</v>
      </c>
      <c r="M1128" s="71">
        <v>46167</v>
      </c>
      <c r="N1128" t="s">
        <v>576</v>
      </c>
    </row>
    <row r="1129" spans="3:14" hidden="1" x14ac:dyDescent="0.2">
      <c r="C1129" t="s">
        <v>495</v>
      </c>
      <c r="D1129" t="str">
        <f>VLOOKUP(C1129,'Master Anggota'!$E$2:$J$678,2,0)</f>
        <v>Aktif</v>
      </c>
      <c r="G1129" t="str">
        <f>VLOOKUP(C1129,'Master Anggota'!$E$2:$J$678,5,0)</f>
        <v>01754</v>
      </c>
      <c r="H1129" s="56">
        <v>0</v>
      </c>
      <c r="I1129" s="56">
        <v>0</v>
      </c>
      <c r="J1129" s="56">
        <v>100000</v>
      </c>
      <c r="K1129" s="56">
        <v>100000</v>
      </c>
      <c r="L1129" t="s">
        <v>663</v>
      </c>
      <c r="M1129" s="71">
        <v>46167</v>
      </c>
      <c r="N1129" t="s">
        <v>576</v>
      </c>
    </row>
    <row r="1130" spans="3:14" hidden="1" x14ac:dyDescent="0.2">
      <c r="C1130" t="s">
        <v>499</v>
      </c>
      <c r="D1130" t="str">
        <f>VLOOKUP(C1130,'Master Anggota'!$E$2:$J$678,2,0)</f>
        <v>Aktif</v>
      </c>
      <c r="G1130" t="str">
        <f>VLOOKUP(C1130,'Master Anggota'!$E$2:$J$678,5,0)</f>
        <v>01775</v>
      </c>
      <c r="H1130" s="56">
        <v>0</v>
      </c>
      <c r="I1130" s="56">
        <v>0</v>
      </c>
      <c r="J1130" s="56">
        <v>100000</v>
      </c>
      <c r="K1130" s="56">
        <v>200000</v>
      </c>
      <c r="L1130" t="s">
        <v>663</v>
      </c>
      <c r="M1130" s="71">
        <v>46167</v>
      </c>
      <c r="N1130" t="s">
        <v>576</v>
      </c>
    </row>
    <row r="1131" spans="3:14" hidden="1" x14ac:dyDescent="0.2">
      <c r="C1131" t="s">
        <v>500</v>
      </c>
      <c r="D1131" t="str">
        <f>VLOOKUP(C1131,'Master Anggota'!$E$2:$J$678,2,0)</f>
        <v>Aktif</v>
      </c>
      <c r="G1131" t="str">
        <f>VLOOKUP(C1131,'Master Anggota'!$E$2:$J$678,5,0)</f>
        <v>01776</v>
      </c>
      <c r="H1131" s="56">
        <v>0</v>
      </c>
      <c r="I1131" s="56">
        <v>0</v>
      </c>
      <c r="J1131" s="56">
        <v>100000</v>
      </c>
      <c r="K1131" s="56">
        <v>200000</v>
      </c>
      <c r="L1131" t="s">
        <v>663</v>
      </c>
      <c r="M1131" s="71">
        <v>46167</v>
      </c>
      <c r="N1131" t="s">
        <v>576</v>
      </c>
    </row>
    <row r="1132" spans="3:14" hidden="1" x14ac:dyDescent="0.2">
      <c r="C1132" t="s">
        <v>539</v>
      </c>
      <c r="D1132" t="str">
        <f>VLOOKUP(C1132,'Master Anggota'!$E$2:$J$678,2,0)</f>
        <v>Aktif</v>
      </c>
      <c r="G1132" t="str">
        <f>VLOOKUP(C1132,'Master Anggota'!$E$2:$J$678,5,0)</f>
        <v>01800</v>
      </c>
      <c r="H1132" s="56">
        <v>0</v>
      </c>
      <c r="I1132" s="56">
        <v>0</v>
      </c>
      <c r="J1132" s="56">
        <v>100000</v>
      </c>
      <c r="K1132" s="56">
        <v>100000</v>
      </c>
      <c r="L1132" t="s">
        <v>663</v>
      </c>
      <c r="M1132" s="71">
        <v>46167</v>
      </c>
      <c r="N1132" t="s">
        <v>576</v>
      </c>
    </row>
    <row r="1133" spans="3:14" hidden="1" x14ac:dyDescent="0.2">
      <c r="C1133" t="s">
        <v>526</v>
      </c>
      <c r="D1133" t="str">
        <f>VLOOKUP(C1133,'Master Anggota'!$E$2:$J$678,2,0)</f>
        <v>Aktif</v>
      </c>
      <c r="G1133" t="str">
        <f>VLOOKUP(C1133,'Master Anggota'!$E$2:$J$678,5,0)</f>
        <v>PHL</v>
      </c>
      <c r="H1133" s="56">
        <v>0</v>
      </c>
      <c r="I1133" s="56">
        <v>0</v>
      </c>
      <c r="J1133" s="56">
        <v>100000</v>
      </c>
      <c r="K1133" s="56">
        <v>200000</v>
      </c>
      <c r="L1133" t="s">
        <v>663</v>
      </c>
      <c r="M1133" s="71">
        <v>46167</v>
      </c>
      <c r="N1133" t="s">
        <v>576</v>
      </c>
    </row>
    <row r="1134" spans="3:14" hidden="1" x14ac:dyDescent="0.2">
      <c r="C1134" t="s">
        <v>527</v>
      </c>
      <c r="D1134" t="str">
        <f>VLOOKUP(C1134,'Master Anggota'!$E$2:$J$678,2,0)</f>
        <v>Aktif</v>
      </c>
      <c r="G1134" t="str">
        <f>VLOOKUP(C1134,'Master Anggota'!$E$2:$J$678,5,0)</f>
        <v>PHL</v>
      </c>
      <c r="H1134" s="56">
        <v>0</v>
      </c>
      <c r="I1134" s="56">
        <v>0</v>
      </c>
      <c r="J1134" s="56">
        <v>100000</v>
      </c>
      <c r="K1134" s="56">
        <v>200000</v>
      </c>
      <c r="L1134" t="s">
        <v>663</v>
      </c>
      <c r="M1134" s="71">
        <v>46167</v>
      </c>
      <c r="N1134" t="s">
        <v>576</v>
      </c>
    </row>
    <row r="1135" spans="3:14" hidden="1" x14ac:dyDescent="0.2">
      <c r="C1135" t="s">
        <v>287</v>
      </c>
      <c r="D1135" t="str">
        <f>VLOOKUP(C1135,'Master Anggota'!$E$2:$J$678,2,0)</f>
        <v>PHL</v>
      </c>
      <c r="G1135" t="str">
        <f>VLOOKUP(C1135,'Master Anggota'!$E$2:$J$678,5,0)</f>
        <v>01510</v>
      </c>
      <c r="H1135" s="56">
        <v>0</v>
      </c>
      <c r="I1135" s="56">
        <v>0</v>
      </c>
      <c r="J1135" s="56">
        <v>100000</v>
      </c>
      <c r="K1135" s="56">
        <v>100000</v>
      </c>
      <c r="L1135" t="s">
        <v>663</v>
      </c>
      <c r="M1135" s="71">
        <v>46167</v>
      </c>
      <c r="N1135" t="s">
        <v>576</v>
      </c>
    </row>
    <row r="1136" spans="3:14" hidden="1" x14ac:dyDescent="0.2">
      <c r="C1136" t="s">
        <v>295</v>
      </c>
      <c r="D1136" t="str">
        <f>VLOOKUP(C1136,'Master Anggota'!$E$2:$J$678,2,0)</f>
        <v>PHL</v>
      </c>
      <c r="G1136" t="str">
        <f>VLOOKUP(C1136,'Master Anggota'!$E$2:$J$678,5,0)</f>
        <v>PHL</v>
      </c>
      <c r="H1136" s="56">
        <v>0</v>
      </c>
      <c r="I1136" s="56">
        <v>0</v>
      </c>
      <c r="J1136" s="56">
        <v>100000</v>
      </c>
      <c r="K1136" s="56">
        <v>100000</v>
      </c>
      <c r="L1136" t="s">
        <v>663</v>
      </c>
      <c r="M1136" s="71">
        <v>46167</v>
      </c>
      <c r="N1136" t="s">
        <v>576</v>
      </c>
    </row>
    <row r="1137" spans="3:14" hidden="1" x14ac:dyDescent="0.2">
      <c r="C1137" t="s">
        <v>278</v>
      </c>
      <c r="D1137" t="str">
        <f>VLOOKUP(C1137,'Master Anggota'!$E$2:$J$678,2,0)</f>
        <v>Aktif</v>
      </c>
      <c r="G1137" t="str">
        <f>VLOOKUP(C1137,'Master Anggota'!$E$2:$J$678,5,0)</f>
        <v>PHL</v>
      </c>
      <c r="H1137" s="56">
        <v>0</v>
      </c>
      <c r="I1137" s="56">
        <v>0</v>
      </c>
      <c r="J1137" s="56">
        <v>100000</v>
      </c>
      <c r="K1137" s="56">
        <v>10000</v>
      </c>
      <c r="L1137" t="s">
        <v>663</v>
      </c>
      <c r="M1137" s="71">
        <v>46167</v>
      </c>
      <c r="N1137" t="s">
        <v>576</v>
      </c>
    </row>
    <row r="1138" spans="3:14" hidden="1" x14ac:dyDescent="0.2">
      <c r="C1138" t="s">
        <v>277</v>
      </c>
      <c r="D1138" t="str">
        <f>VLOOKUP(C1138,'Master Anggota'!$E$2:$J$678,2,0)</f>
        <v>Aktif</v>
      </c>
      <c r="G1138" t="str">
        <f>VLOOKUP(C1138,'Master Anggota'!$E$2:$J$678,5,0)</f>
        <v>00564</v>
      </c>
      <c r="H1138" s="82">
        <v>0</v>
      </c>
      <c r="I1138" s="82">
        <v>0</v>
      </c>
      <c r="J1138" s="82">
        <v>0</v>
      </c>
      <c r="K1138" s="82">
        <v>-1700000</v>
      </c>
      <c r="L1138" t="s">
        <v>680</v>
      </c>
      <c r="M1138" s="71">
        <v>46182</v>
      </c>
      <c r="N1138" t="s">
        <v>611</v>
      </c>
    </row>
    <row r="1139" spans="3:14" hidden="1" x14ac:dyDescent="0.2">
      <c r="C1139" t="s">
        <v>534</v>
      </c>
      <c r="D1139" t="str">
        <f>VLOOKUP(C1139,'Master Anggota'!$E$2:$J$678,2,0)</f>
        <v>Aktif</v>
      </c>
      <c r="G1139" t="str">
        <f>VLOOKUP(C1139,'Master Anggota'!$E$2:$J$678,5,0)</f>
        <v>Koka</v>
      </c>
      <c r="H1139" s="56">
        <v>0</v>
      </c>
      <c r="I1139" s="56">
        <v>0</v>
      </c>
      <c r="J1139" s="56">
        <v>100000</v>
      </c>
      <c r="K1139" s="56">
        <v>100000</v>
      </c>
      <c r="L1139" t="s">
        <v>663</v>
      </c>
      <c r="M1139" s="71">
        <v>46175</v>
      </c>
      <c r="N1139" t="s">
        <v>576</v>
      </c>
    </row>
    <row r="1140" spans="3:14" hidden="1" x14ac:dyDescent="0.2">
      <c r="C1140" t="s">
        <v>531</v>
      </c>
      <c r="D1140" t="str">
        <f>VLOOKUP(C1140,'Master Anggota'!$E$2:$J$678,2,0)</f>
        <v>Aktif</v>
      </c>
      <c r="G1140" t="str">
        <f>VLOOKUP(C1140,'Master Anggota'!$E$2:$J$678,5,0)</f>
        <v>PHL</v>
      </c>
      <c r="H1140" s="56">
        <v>0</v>
      </c>
      <c r="I1140" s="56">
        <v>0</v>
      </c>
      <c r="J1140" s="56">
        <v>100000</v>
      </c>
      <c r="K1140" s="56">
        <v>200000</v>
      </c>
      <c r="L1140" t="s">
        <v>663</v>
      </c>
      <c r="M1140" s="71">
        <v>46175</v>
      </c>
      <c r="N1140" t="s">
        <v>576</v>
      </c>
    </row>
    <row r="1141" spans="3:14" hidden="1" x14ac:dyDescent="0.2">
      <c r="C1141" t="s">
        <v>529</v>
      </c>
      <c r="D1141" t="str">
        <f>VLOOKUP(C1141,'Master Anggota'!$E$2:$J$678,2,0)</f>
        <v>Purna Bakti 2026</v>
      </c>
      <c r="G1141" t="str">
        <f>VLOOKUP(C1141,'Master Anggota'!$E$2:$J$678,5,0)</f>
        <v>Nasabah</v>
      </c>
      <c r="H1141" s="56">
        <v>0</v>
      </c>
      <c r="I1141" s="56">
        <v>0</v>
      </c>
      <c r="J1141" s="56">
        <v>100000</v>
      </c>
      <c r="K1141" s="56">
        <v>100000</v>
      </c>
      <c r="L1141" t="s">
        <v>663</v>
      </c>
      <c r="M1141" s="71">
        <v>46175</v>
      </c>
      <c r="N1141" t="s">
        <v>576</v>
      </c>
    </row>
    <row r="1142" spans="3:14" hidden="1" x14ac:dyDescent="0.2">
      <c r="C1142" t="s">
        <v>562</v>
      </c>
      <c r="D1142" t="str">
        <f>VLOOKUP(C1142,'Master Anggota'!$E$2:$J$678,2,0)</f>
        <v>Aktif</v>
      </c>
      <c r="G1142" t="str">
        <f>VLOOKUP(C1142,'Master Anggota'!$E$2:$J$678,5,0)</f>
        <v>PHL KJP</v>
      </c>
      <c r="H1142" s="56">
        <v>0</v>
      </c>
      <c r="I1142" s="56">
        <v>0</v>
      </c>
      <c r="J1142" s="56">
        <v>100000</v>
      </c>
      <c r="K1142" s="56">
        <v>150000</v>
      </c>
      <c r="L1142" t="s">
        <v>659</v>
      </c>
      <c r="M1142" s="71">
        <v>46156</v>
      </c>
      <c r="N1142" t="s">
        <v>576</v>
      </c>
    </row>
    <row r="1143" spans="3:14" hidden="1" x14ac:dyDescent="0.2">
      <c r="C1143" t="s">
        <v>561</v>
      </c>
      <c r="D1143" t="str">
        <f>VLOOKUP(C1143,'Master Anggota'!$E$2:$J$678,2,0)</f>
        <v>Aktif</v>
      </c>
      <c r="G1143" t="str">
        <f>VLOOKUP(C1143,'Master Anggota'!$E$2:$J$678,5,0)</f>
        <v>PHL KJP</v>
      </c>
      <c r="H1143" s="56">
        <v>0</v>
      </c>
      <c r="I1143" s="56">
        <v>0</v>
      </c>
      <c r="J1143" s="56">
        <v>100000</v>
      </c>
      <c r="K1143" s="56">
        <v>150000</v>
      </c>
      <c r="L1143" t="s">
        <v>659</v>
      </c>
      <c r="M1143" s="71">
        <v>46156</v>
      </c>
      <c r="N1143" t="s">
        <v>576</v>
      </c>
    </row>
    <row r="1144" spans="3:14" hidden="1" x14ac:dyDescent="0.2">
      <c r="C1144" t="s">
        <v>563</v>
      </c>
      <c r="D1144" t="str">
        <f>VLOOKUP(C1144,'Master Anggota'!$E$2:$J$678,2,0)</f>
        <v>Aktif</v>
      </c>
      <c r="G1144" t="str">
        <f>VLOOKUP(C1144,'Master Anggota'!$E$2:$J$678,5,0)</f>
        <v>PHL KJP</v>
      </c>
      <c r="H1144" s="56">
        <v>0</v>
      </c>
      <c r="I1144" s="56">
        <v>0</v>
      </c>
      <c r="J1144" s="56">
        <v>100000</v>
      </c>
      <c r="K1144" s="56">
        <v>150000</v>
      </c>
      <c r="L1144" t="s">
        <v>659</v>
      </c>
      <c r="M1144" s="71">
        <v>46156</v>
      </c>
      <c r="N1144" t="s">
        <v>576</v>
      </c>
    </row>
    <row r="1145" spans="3:14" hidden="1" x14ac:dyDescent="0.2">
      <c r="C1145" t="s">
        <v>546</v>
      </c>
      <c r="D1145" t="str">
        <f>VLOOKUP(C1145,'Master Anggota'!$E$2:$J$678,2,0)</f>
        <v>Aktif</v>
      </c>
      <c r="G1145" t="str">
        <f>VLOOKUP(C1145,'Master Anggota'!$E$2:$J$678,5,0)</f>
        <v>PHL Distribusi</v>
      </c>
      <c r="H1145" s="56">
        <v>0</v>
      </c>
      <c r="I1145" s="56">
        <v>0</v>
      </c>
      <c r="J1145" s="56">
        <v>100000</v>
      </c>
      <c r="K1145" s="56">
        <v>150000</v>
      </c>
      <c r="L1145" t="s">
        <v>659</v>
      </c>
      <c r="M1145" s="71">
        <v>46156</v>
      </c>
      <c r="N1145" t="s">
        <v>576</v>
      </c>
    </row>
    <row r="1146" spans="3:14" hidden="1" x14ac:dyDescent="0.2">
      <c r="C1146" t="s">
        <v>547</v>
      </c>
      <c r="D1146" t="str">
        <f>VLOOKUP(C1146,'Master Anggota'!$E$2:$J$678,2,0)</f>
        <v>Aktif</v>
      </c>
      <c r="G1146" t="str">
        <f>VLOOKUP(C1146,'Master Anggota'!$E$2:$J$678,5,0)</f>
        <v>PHL Distribusi</v>
      </c>
      <c r="H1146" s="56">
        <v>0</v>
      </c>
      <c r="I1146" s="56">
        <v>0</v>
      </c>
      <c r="J1146" s="56">
        <v>100000</v>
      </c>
      <c r="K1146" s="56">
        <v>100000</v>
      </c>
      <c r="L1146" t="s">
        <v>659</v>
      </c>
      <c r="M1146" s="71">
        <v>46156</v>
      </c>
      <c r="N1146" t="s">
        <v>576</v>
      </c>
    </row>
    <row r="1147" spans="3:14" hidden="1" x14ac:dyDescent="0.2">
      <c r="C1147" t="s">
        <v>550</v>
      </c>
      <c r="D1147" t="str">
        <f>VLOOKUP(C1147,'Master Anggota'!$E$2:$J$678,2,0)</f>
        <v>Aktif</v>
      </c>
      <c r="G1147" t="str">
        <f>VLOOKUP(C1147,'Master Anggota'!$E$2:$J$678,5,0)</f>
        <v>PHL Distribusi</v>
      </c>
      <c r="H1147" s="56">
        <v>0</v>
      </c>
      <c r="I1147" s="56">
        <v>0</v>
      </c>
      <c r="J1147" s="56">
        <v>100000</v>
      </c>
      <c r="K1147" s="56">
        <v>100000</v>
      </c>
      <c r="L1147" t="s">
        <v>659</v>
      </c>
      <c r="M1147" s="71">
        <v>46156</v>
      </c>
      <c r="N1147" t="s">
        <v>576</v>
      </c>
    </row>
    <row r="1148" spans="3:14" hidden="1" x14ac:dyDescent="0.2">
      <c r="C1148" t="s">
        <v>549</v>
      </c>
      <c r="D1148" t="str">
        <f>VLOOKUP(C1148,'Master Anggota'!$E$2:$J$678,2,0)</f>
        <v>Aktif</v>
      </c>
      <c r="G1148" t="str">
        <f>VLOOKUP(C1148,'Master Anggota'!$E$2:$J$678,5,0)</f>
        <v>PHL Distribusi</v>
      </c>
      <c r="H1148" s="56">
        <v>0</v>
      </c>
      <c r="I1148" s="56">
        <v>0</v>
      </c>
      <c r="J1148" s="56">
        <v>100000</v>
      </c>
      <c r="K1148" s="56">
        <v>50000</v>
      </c>
      <c r="L1148" t="s">
        <v>659</v>
      </c>
      <c r="M1148" s="71">
        <v>46156</v>
      </c>
      <c r="N1148" t="s">
        <v>576</v>
      </c>
    </row>
    <row r="1149" spans="3:14" hidden="1" x14ac:dyDescent="0.2">
      <c r="C1149" t="s">
        <v>548</v>
      </c>
      <c r="D1149" t="str">
        <f>VLOOKUP(C1149,'Master Anggota'!$E$2:$J$678,2,0)</f>
        <v>Aktif</v>
      </c>
      <c r="G1149" t="str">
        <f>VLOOKUP(C1149,'Master Anggota'!$E$2:$J$678,5,0)</f>
        <v>PHL Distribusi</v>
      </c>
      <c r="H1149" s="56">
        <v>0</v>
      </c>
      <c r="I1149" s="56">
        <v>0</v>
      </c>
      <c r="J1149" s="56">
        <v>100000</v>
      </c>
      <c r="K1149" s="56">
        <v>1000000</v>
      </c>
      <c r="L1149" t="s">
        <v>659</v>
      </c>
      <c r="M1149" s="71">
        <v>46156</v>
      </c>
      <c r="N1149" t="s">
        <v>576</v>
      </c>
    </row>
    <row r="1150" spans="3:14" hidden="1" x14ac:dyDescent="0.2">
      <c r="C1150" t="s">
        <v>551</v>
      </c>
      <c r="D1150" t="str">
        <f>VLOOKUP(C1150,'Master Anggota'!$E$2:$J$678,2,0)</f>
        <v>Aktif</v>
      </c>
      <c r="G1150" t="str">
        <f>VLOOKUP(C1150,'Master Anggota'!$E$2:$J$678,5,0)</f>
        <v>PHL Distribusi</v>
      </c>
      <c r="H1150" s="56">
        <v>0</v>
      </c>
      <c r="I1150" s="56">
        <v>0</v>
      </c>
      <c r="J1150" s="56">
        <v>100000</v>
      </c>
      <c r="K1150" s="56">
        <v>100000</v>
      </c>
      <c r="L1150" t="s">
        <v>659</v>
      </c>
      <c r="M1150" s="71">
        <v>46156</v>
      </c>
      <c r="N1150" t="s">
        <v>576</v>
      </c>
    </row>
    <row r="1151" spans="3:14" hidden="1" x14ac:dyDescent="0.2">
      <c r="C1151" t="s">
        <v>188</v>
      </c>
      <c r="D1151" t="str">
        <f>VLOOKUP(C1151,'Master Anggota'!$E$2:$J$678,2,0)</f>
        <v>Aktif</v>
      </c>
      <c r="G1151" t="str">
        <f>VLOOKUP(C1151,'Master Anggota'!$E$2:$J$678,5,0)</f>
        <v>00596</v>
      </c>
      <c r="H1151" s="82">
        <v>0</v>
      </c>
      <c r="I1151" s="82">
        <v>0</v>
      </c>
      <c r="J1151" s="82">
        <v>0</v>
      </c>
      <c r="K1151" s="82">
        <v>-4000000</v>
      </c>
      <c r="L1151" t="s">
        <v>680</v>
      </c>
      <c r="M1151" s="71">
        <v>46185</v>
      </c>
      <c r="N1151" t="s">
        <v>611</v>
      </c>
    </row>
    <row r="1152" spans="3:14" hidden="1" x14ac:dyDescent="0.2">
      <c r="C1152" t="s">
        <v>389</v>
      </c>
      <c r="D1152" t="str">
        <f>VLOOKUP(C1152,'Master Anggota'!$E$2:$J$678,2,0)</f>
        <v>Aktif</v>
      </c>
      <c r="G1152" t="str">
        <f>VLOOKUP(C1152,'Master Anggota'!$E$2:$J$678,5,0)</f>
        <v>00593</v>
      </c>
      <c r="H1152" s="82">
        <v>0</v>
      </c>
      <c r="I1152" s="82">
        <v>0</v>
      </c>
      <c r="J1152" s="82">
        <v>0</v>
      </c>
      <c r="K1152" s="82">
        <v>-3000000</v>
      </c>
      <c r="L1152" t="s">
        <v>680</v>
      </c>
      <c r="M1152" s="71">
        <v>46181</v>
      </c>
      <c r="N1152" t="s">
        <v>611</v>
      </c>
    </row>
    <row r="1153" spans="3:14" hidden="1" x14ac:dyDescent="0.2">
      <c r="C1153" t="s">
        <v>306</v>
      </c>
      <c r="D1153" t="str">
        <f>VLOOKUP(C1153,'Master Anggota'!$E$2:$J$678,2,0)</f>
        <v>Aktif</v>
      </c>
      <c r="G1153" t="str">
        <f>VLOOKUP(C1153,'Master Anggota'!$E$2:$J$678,5,0)</f>
        <v>00589</v>
      </c>
      <c r="H1153" s="82">
        <v>0</v>
      </c>
      <c r="I1153" s="82">
        <v>0</v>
      </c>
      <c r="J1153" s="82">
        <v>0</v>
      </c>
      <c r="K1153" s="82">
        <v>-3000000</v>
      </c>
      <c r="L1153" t="s">
        <v>680</v>
      </c>
      <c r="M1153" s="71">
        <v>46185</v>
      </c>
      <c r="N1153" t="s">
        <v>611</v>
      </c>
    </row>
    <row r="1154" spans="3:14" hidden="1" x14ac:dyDescent="0.2">
      <c r="C1154" t="s">
        <v>129</v>
      </c>
      <c r="D1154" t="str">
        <f>VLOOKUP(C1154,'Master Anggota'!$E$2:$J$678,2,0)</f>
        <v>Aktif</v>
      </c>
      <c r="G1154" t="str">
        <f>VLOOKUP(C1154,'Master Anggota'!$E$2:$J$678,5,0)</f>
        <v>00343</v>
      </c>
      <c r="H1154" s="56">
        <v>0</v>
      </c>
      <c r="I1154" s="56">
        <v>0</v>
      </c>
      <c r="J1154" s="56">
        <v>0</v>
      </c>
      <c r="K1154" s="56">
        <v>-2000000</v>
      </c>
      <c r="L1154" t="s">
        <v>680</v>
      </c>
      <c r="M1154" s="71">
        <v>46185</v>
      </c>
      <c r="N1154" t="s">
        <v>611</v>
      </c>
    </row>
    <row r="1155" spans="3:14" hidden="1" x14ac:dyDescent="0.2">
      <c r="C1155" t="s">
        <v>53</v>
      </c>
      <c r="D1155" t="str">
        <f>VLOOKUP(C1155,'Master Anggota'!$E$2:$J$678,2,0)</f>
        <v>Aktif</v>
      </c>
      <c r="G1155" t="str">
        <f>VLOOKUP(C1155,'Master Anggota'!$E$2:$J$678,5,0)</f>
        <v>00540</v>
      </c>
      <c r="H1155" s="56">
        <v>0</v>
      </c>
      <c r="I1155" s="56">
        <v>0</v>
      </c>
      <c r="J1155" s="56">
        <v>0</v>
      </c>
      <c r="K1155" s="56">
        <v>-1500000</v>
      </c>
      <c r="L1155" t="s">
        <v>680</v>
      </c>
      <c r="M1155" s="71">
        <v>46185</v>
      </c>
      <c r="N1155" t="s">
        <v>611</v>
      </c>
    </row>
    <row r="1156" spans="3:14" hidden="1" x14ac:dyDescent="0.2">
      <c r="C1156" t="s">
        <v>551</v>
      </c>
      <c r="D1156" t="str">
        <f>VLOOKUP(C1156,'Master Anggota'!$E$2:$J$678,2,0)</f>
        <v>Aktif</v>
      </c>
      <c r="G1156" t="str">
        <f>VLOOKUP(C1156,'Master Anggota'!$E$2:$J$678,5,0)</f>
        <v>PHL Distribusi</v>
      </c>
      <c r="H1156" s="82">
        <v>0</v>
      </c>
      <c r="I1156" s="82">
        <v>0</v>
      </c>
      <c r="J1156" s="82">
        <v>0</v>
      </c>
      <c r="K1156" s="82">
        <v>-500000</v>
      </c>
      <c r="L1156" t="s">
        <v>680</v>
      </c>
      <c r="M1156" s="71">
        <v>46185</v>
      </c>
      <c r="N1156" t="s">
        <v>611</v>
      </c>
    </row>
    <row r="1157" spans="3:14" hidden="1" x14ac:dyDescent="0.2">
      <c r="C1157" t="s">
        <v>319</v>
      </c>
      <c r="D1157" t="str">
        <f>VLOOKUP(C1157,'Master Anggota'!$E$2:$J$678,2,0)</f>
        <v>Aktif</v>
      </c>
      <c r="G1157" t="str">
        <f>VLOOKUP(C1157,'Master Anggota'!$E$2:$J$678,5,0)</f>
        <v>01302</v>
      </c>
      <c r="H1157" s="56">
        <v>0</v>
      </c>
      <c r="I1157" s="56">
        <v>0</v>
      </c>
      <c r="J1157" s="56">
        <v>0</v>
      </c>
      <c r="K1157" s="56">
        <v>-7000000</v>
      </c>
      <c r="L1157" t="s">
        <v>680</v>
      </c>
      <c r="M1157" s="71">
        <v>46190</v>
      </c>
      <c r="N1157" t="s">
        <v>611</v>
      </c>
    </row>
    <row r="1158" spans="3:14" hidden="1" x14ac:dyDescent="0.2">
      <c r="C1158" t="s">
        <v>529</v>
      </c>
      <c r="D1158" t="str">
        <f>VLOOKUP(C1158,'Master Anggota'!$E$2:$J$678,2,0)</f>
        <v>Purna Bakti 2026</v>
      </c>
      <c r="G1158" t="str">
        <f>VLOOKUP(C1158,'Master Anggota'!$E$2:$J$678,5,0)</f>
        <v>Nasabah</v>
      </c>
      <c r="H1158" s="56">
        <v>0</v>
      </c>
      <c r="I1158" s="56">
        <v>-1205393</v>
      </c>
      <c r="J1158" s="56">
        <v>-3400000</v>
      </c>
      <c r="K1158" s="56">
        <v>-2730000</v>
      </c>
      <c r="L1158" t="s">
        <v>680</v>
      </c>
      <c r="M1158" s="71">
        <v>46190</v>
      </c>
      <c r="N1158" t="s">
        <v>613</v>
      </c>
    </row>
    <row r="1159" spans="3:14" hidden="1" x14ac:dyDescent="0.2">
      <c r="C1159" t="s">
        <v>79</v>
      </c>
      <c r="D1159" t="str">
        <f>VLOOKUP(C1159,'Master Anggota'!$E$2:$J$678,2,0)</f>
        <v>Aktif</v>
      </c>
      <c r="G1159" t="str">
        <f>VLOOKUP(C1159,'Master Anggota'!$E$2:$J$678,5,0)</f>
        <v>00541</v>
      </c>
      <c r="H1159" s="82">
        <v>0</v>
      </c>
      <c r="I1159" s="82">
        <v>0</v>
      </c>
      <c r="J1159" s="82">
        <v>0</v>
      </c>
      <c r="K1159" s="82">
        <v>-2000000</v>
      </c>
      <c r="L1159" t="s">
        <v>680</v>
      </c>
      <c r="M1159" s="71">
        <v>46192</v>
      </c>
      <c r="N1159" t="s">
        <v>611</v>
      </c>
    </row>
    <row r="1160" spans="3:14" hidden="1" x14ac:dyDescent="0.2">
      <c r="C1160" t="s">
        <v>175</v>
      </c>
      <c r="D1160" t="str">
        <f>VLOOKUP(C1160,'Master Anggota'!$E$2:$J$678,2,0)</f>
        <v>Aktif</v>
      </c>
      <c r="G1160" t="str">
        <f>VLOOKUP(C1160,'Master Anggota'!$E$2:$J$678,5,0)</f>
        <v>00563</v>
      </c>
      <c r="H1160" s="82">
        <v>0</v>
      </c>
      <c r="I1160" s="82">
        <v>0</v>
      </c>
      <c r="J1160" s="82">
        <v>0</v>
      </c>
      <c r="K1160" s="82">
        <v>-2500000</v>
      </c>
      <c r="L1160" t="s">
        <v>680</v>
      </c>
      <c r="M1160" s="71">
        <v>46192</v>
      </c>
      <c r="N1160" t="s">
        <v>611</v>
      </c>
    </row>
    <row r="1161" spans="3:14" hidden="1" x14ac:dyDescent="0.2">
      <c r="C1161" t="s">
        <v>147</v>
      </c>
      <c r="D1161" t="str">
        <f>VLOOKUP(C1161,'Master Anggota'!$E$2:$J$678,2,0)</f>
        <v>Aktif</v>
      </c>
      <c r="G1161" t="str">
        <f>VLOOKUP(C1161,'Master Anggota'!$E$2:$J$678,5,0)</f>
        <v>00527</v>
      </c>
      <c r="H1161" s="82">
        <v>0</v>
      </c>
      <c r="I1161" s="82">
        <v>0</v>
      </c>
      <c r="J1161" s="82">
        <v>0</v>
      </c>
      <c r="K1161" s="82">
        <v>-1500000</v>
      </c>
      <c r="L1161" t="s">
        <v>680</v>
      </c>
      <c r="M1161" s="71">
        <v>46205</v>
      </c>
      <c r="N1161" t="s">
        <v>611</v>
      </c>
    </row>
    <row r="1162" spans="3:14" hidden="1" x14ac:dyDescent="0.2">
      <c r="C1162" t="s">
        <v>481</v>
      </c>
      <c r="D1162" t="str">
        <f>VLOOKUP(C1162,'Master Anggota'!$E$2:$J$678,2,0)</f>
        <v>Aktif</v>
      </c>
      <c r="G1162" t="str">
        <f>VLOOKUP(C1162,'Master Anggota'!$E$2:$J$678,5,0)</f>
        <v>00371</v>
      </c>
      <c r="H1162" s="82">
        <v>0</v>
      </c>
      <c r="I1162" s="82">
        <v>0</v>
      </c>
      <c r="J1162" s="82">
        <v>0</v>
      </c>
      <c r="K1162" s="82">
        <v>-2000000</v>
      </c>
      <c r="L1162" t="s">
        <v>680</v>
      </c>
      <c r="M1162" s="71">
        <v>46199</v>
      </c>
      <c r="N1162" t="s">
        <v>611</v>
      </c>
    </row>
    <row r="1163" spans="3:14" hidden="1" x14ac:dyDescent="0.2">
      <c r="C1163" t="s">
        <v>363</v>
      </c>
      <c r="D1163" t="str">
        <f>VLOOKUP(C1163,'Master Anggota'!$E$2:$J$678,2,0)</f>
        <v>Aktif</v>
      </c>
      <c r="G1163" t="str">
        <f>VLOOKUP(C1163,'Master Anggota'!$E$2:$J$678,5,0)</f>
        <v>00576</v>
      </c>
      <c r="H1163" s="82">
        <v>0</v>
      </c>
      <c r="I1163" s="82">
        <v>0</v>
      </c>
      <c r="J1163" s="82">
        <v>0</v>
      </c>
      <c r="K1163" s="82">
        <v>-2500000</v>
      </c>
      <c r="L1163" t="s">
        <v>680</v>
      </c>
      <c r="M1163" s="71">
        <v>46205</v>
      </c>
      <c r="N1163" t="s">
        <v>611</v>
      </c>
    </row>
    <row r="1164" spans="3:14" hidden="1" x14ac:dyDescent="0.2">
      <c r="C1164" t="s">
        <v>180</v>
      </c>
      <c r="D1164" t="str">
        <f>VLOOKUP(C1164,'Master Anggota'!$E$2:$J$678,2,0)</f>
        <v>Purna Bakti 2026</v>
      </c>
      <c r="G1164" t="str">
        <f>VLOOKUP(C1164,'Master Anggota'!$E$2:$J$678,5,0)</f>
        <v>00581</v>
      </c>
      <c r="H1164" s="82">
        <v>0</v>
      </c>
      <c r="I1164" s="82">
        <v>-4736091</v>
      </c>
      <c r="J1164" s="82">
        <v>-6130030</v>
      </c>
      <c r="K1164" s="82">
        <v>-12381668</v>
      </c>
      <c r="L1164" t="s">
        <v>680</v>
      </c>
      <c r="M1164" s="71">
        <v>46196</v>
      </c>
      <c r="N1164" t="s">
        <v>611</v>
      </c>
    </row>
    <row r="1165" spans="3:14" hidden="1" x14ac:dyDescent="0.2">
      <c r="C1165" t="s">
        <v>486</v>
      </c>
      <c r="D1165" t="str">
        <f>VLOOKUP(C1165,'Master Anggota'!$E$2:$J$678,2,0)</f>
        <v>Aktif</v>
      </c>
      <c r="G1165" t="str">
        <f>VLOOKUP(C1165,'Master Anggota'!$E$2:$J$678,5,0)</f>
        <v>00281</v>
      </c>
      <c r="H1165" s="56">
        <v>0</v>
      </c>
      <c r="I1165" s="56">
        <v>0</v>
      </c>
      <c r="J1165" s="56">
        <v>100000</v>
      </c>
      <c r="K1165" s="56">
        <v>400000</v>
      </c>
      <c r="L1165" t="s">
        <v>680</v>
      </c>
      <c r="M1165" s="71">
        <v>46198</v>
      </c>
      <c r="N1165" t="s">
        <v>576</v>
      </c>
    </row>
    <row r="1166" spans="3:14" hidden="1" x14ac:dyDescent="0.2">
      <c r="C1166" t="s">
        <v>135</v>
      </c>
      <c r="D1166" t="str">
        <f>VLOOKUP(C1166,'Master Anggota'!$E$2:$J$678,2,0)</f>
        <v>Aktif</v>
      </c>
      <c r="G1166" t="str">
        <f>VLOOKUP(C1166,'Master Anggota'!$E$2:$J$678,5,0)</f>
        <v>00293</v>
      </c>
      <c r="H1166" s="56">
        <v>0</v>
      </c>
      <c r="I1166" s="56">
        <v>0</v>
      </c>
      <c r="J1166" s="56">
        <v>100000</v>
      </c>
      <c r="K1166" s="56">
        <v>100000</v>
      </c>
      <c r="L1166" t="s">
        <v>680</v>
      </c>
      <c r="M1166" s="71">
        <v>46198</v>
      </c>
      <c r="N1166" t="s">
        <v>576</v>
      </c>
    </row>
    <row r="1167" spans="3:14" hidden="1" x14ac:dyDescent="0.2">
      <c r="C1167" t="s">
        <v>248</v>
      </c>
      <c r="D1167" t="str">
        <f>VLOOKUP(C1167,'Master Anggota'!$E$2:$J$678,2,0)</f>
        <v>Aktif</v>
      </c>
      <c r="G1167" t="str">
        <f>VLOOKUP(C1167,'Master Anggota'!$E$2:$J$678,5,0)</f>
        <v>00302</v>
      </c>
      <c r="H1167" s="56">
        <v>0</v>
      </c>
      <c r="I1167" s="56">
        <v>0</v>
      </c>
      <c r="J1167" s="56">
        <v>100000</v>
      </c>
      <c r="K1167" s="56">
        <v>10000</v>
      </c>
      <c r="L1167" t="s">
        <v>680</v>
      </c>
      <c r="M1167" s="71">
        <v>46198</v>
      </c>
      <c r="N1167" t="s">
        <v>576</v>
      </c>
    </row>
    <row r="1168" spans="3:14" hidden="1" x14ac:dyDescent="0.2">
      <c r="C1168" t="s">
        <v>335</v>
      </c>
      <c r="D1168" t="str">
        <f>VLOOKUP(C1168,'Master Anggota'!$E$2:$J$678,2,0)</f>
        <v>Aktif</v>
      </c>
      <c r="G1168" t="str">
        <f>VLOOKUP(C1168,'Master Anggota'!$E$2:$J$678,5,0)</f>
        <v>00311</v>
      </c>
      <c r="H1168" s="56">
        <v>0</v>
      </c>
      <c r="I1168" s="56">
        <v>0</v>
      </c>
      <c r="J1168" s="56">
        <v>150000</v>
      </c>
      <c r="K1168" s="56">
        <v>25000</v>
      </c>
      <c r="L1168" t="s">
        <v>680</v>
      </c>
      <c r="M1168" s="71">
        <v>46198</v>
      </c>
      <c r="N1168" t="s">
        <v>576</v>
      </c>
    </row>
    <row r="1169" spans="3:14" hidden="1" x14ac:dyDescent="0.2">
      <c r="C1169" t="s">
        <v>113</v>
      </c>
      <c r="D1169" t="str">
        <f>VLOOKUP(C1169,'Master Anggota'!$E$2:$J$678,2,0)</f>
        <v>Aktif</v>
      </c>
      <c r="G1169" t="str">
        <f>VLOOKUP(C1169,'Master Anggota'!$E$2:$J$678,5,0)</f>
        <v>00317</v>
      </c>
      <c r="H1169" s="56">
        <v>0</v>
      </c>
      <c r="I1169" s="56">
        <v>0</v>
      </c>
      <c r="J1169" s="56">
        <v>100000</v>
      </c>
      <c r="K1169" s="56">
        <v>15000</v>
      </c>
      <c r="L1169" t="s">
        <v>680</v>
      </c>
      <c r="M1169" s="71">
        <v>46198</v>
      </c>
      <c r="N1169" t="s">
        <v>576</v>
      </c>
    </row>
    <row r="1170" spans="3:14" hidden="1" x14ac:dyDescent="0.2">
      <c r="C1170" t="s">
        <v>83</v>
      </c>
      <c r="D1170" t="str">
        <f>VLOOKUP(C1170,'Master Anggota'!$E$2:$J$678,2,0)</f>
        <v>Aktif</v>
      </c>
      <c r="G1170" t="str">
        <f>VLOOKUP(C1170,'Master Anggota'!$E$2:$J$678,5,0)</f>
        <v>00322</v>
      </c>
      <c r="H1170" s="56">
        <v>0</v>
      </c>
      <c r="I1170" s="56">
        <v>0</v>
      </c>
      <c r="J1170" s="56">
        <v>100000</v>
      </c>
      <c r="K1170" s="56">
        <v>100000</v>
      </c>
      <c r="L1170" t="s">
        <v>680</v>
      </c>
      <c r="M1170" s="71">
        <v>46198</v>
      </c>
      <c r="N1170" t="s">
        <v>576</v>
      </c>
    </row>
    <row r="1171" spans="3:14" hidden="1" x14ac:dyDescent="0.2">
      <c r="C1171" t="s">
        <v>48</v>
      </c>
      <c r="D1171" t="str">
        <f>VLOOKUP(C1171,'Master Anggota'!$E$2:$J$678,2,0)</f>
        <v>Aktif</v>
      </c>
      <c r="G1171" t="str">
        <f>VLOOKUP(C1171,'Master Anggota'!$E$2:$J$678,5,0)</f>
        <v>00325</v>
      </c>
      <c r="H1171" s="56">
        <v>0</v>
      </c>
      <c r="I1171" s="56">
        <v>0</v>
      </c>
      <c r="J1171" s="56">
        <v>100000</v>
      </c>
      <c r="K1171" s="56">
        <v>75000</v>
      </c>
      <c r="L1171" t="s">
        <v>680</v>
      </c>
      <c r="M1171" s="71">
        <v>46198</v>
      </c>
      <c r="N1171" t="s">
        <v>576</v>
      </c>
    </row>
    <row r="1172" spans="3:14" hidden="1" x14ac:dyDescent="0.2">
      <c r="C1172" t="s">
        <v>198</v>
      </c>
      <c r="D1172" t="str">
        <f>VLOOKUP(C1172,'Master Anggota'!$E$2:$J$678,2,0)</f>
        <v>Aktif</v>
      </c>
      <c r="G1172" t="str">
        <f>VLOOKUP(C1172,'Master Anggota'!$E$2:$J$678,5,0)</f>
        <v>00327</v>
      </c>
      <c r="H1172" s="56">
        <v>0</v>
      </c>
      <c r="I1172" s="56">
        <v>0</v>
      </c>
      <c r="J1172" s="56">
        <v>100000</v>
      </c>
      <c r="K1172" s="56">
        <v>200000</v>
      </c>
      <c r="L1172" t="s">
        <v>680</v>
      </c>
      <c r="M1172" s="71">
        <v>46198</v>
      </c>
      <c r="N1172" t="s">
        <v>576</v>
      </c>
    </row>
    <row r="1173" spans="3:14" hidden="1" x14ac:dyDescent="0.2">
      <c r="C1173" t="s">
        <v>208</v>
      </c>
      <c r="D1173" t="str">
        <f>VLOOKUP(C1173,'Master Anggota'!$E$2:$J$678,2,0)</f>
        <v>Aktif</v>
      </c>
      <c r="G1173" t="str">
        <f>VLOOKUP(C1173,'Master Anggota'!$E$2:$J$678,5,0)</f>
        <v>00328</v>
      </c>
      <c r="H1173" s="56">
        <v>0</v>
      </c>
      <c r="I1173" s="56">
        <v>0</v>
      </c>
      <c r="J1173" s="56">
        <v>100000</v>
      </c>
      <c r="K1173" s="56">
        <v>250000</v>
      </c>
      <c r="L1173" t="s">
        <v>680</v>
      </c>
      <c r="M1173" s="71">
        <v>46198</v>
      </c>
      <c r="N1173" t="s">
        <v>576</v>
      </c>
    </row>
    <row r="1174" spans="3:14" hidden="1" x14ac:dyDescent="0.2">
      <c r="C1174" t="s">
        <v>348</v>
      </c>
      <c r="D1174" t="str">
        <f>VLOOKUP(C1174,'Master Anggota'!$E$2:$J$678,2,0)</f>
        <v>Aktif</v>
      </c>
      <c r="G1174" t="str">
        <f>VLOOKUP(C1174,'Master Anggota'!$E$2:$J$678,5,0)</f>
        <v>00334</v>
      </c>
      <c r="H1174" s="56">
        <v>0</v>
      </c>
      <c r="I1174" s="56">
        <v>0</v>
      </c>
      <c r="J1174" s="56">
        <v>100000</v>
      </c>
      <c r="K1174" s="56">
        <v>10000</v>
      </c>
      <c r="L1174" t="s">
        <v>680</v>
      </c>
      <c r="M1174" s="71">
        <v>46198</v>
      </c>
      <c r="N1174" t="s">
        <v>576</v>
      </c>
    </row>
    <row r="1175" spans="3:14" hidden="1" x14ac:dyDescent="0.2">
      <c r="C1175" t="s">
        <v>250</v>
      </c>
      <c r="D1175" t="str">
        <f>VLOOKUP(C1175,'Master Anggota'!$E$2:$J$678,2,0)</f>
        <v>Aktif</v>
      </c>
      <c r="G1175" t="str">
        <f>VLOOKUP(C1175,'Master Anggota'!$E$2:$J$678,5,0)</f>
        <v>00337</v>
      </c>
      <c r="H1175" s="56">
        <v>0</v>
      </c>
      <c r="I1175" s="56">
        <v>0</v>
      </c>
      <c r="J1175" s="56">
        <v>100000</v>
      </c>
      <c r="K1175" s="56">
        <v>50000</v>
      </c>
      <c r="L1175" t="s">
        <v>680</v>
      </c>
      <c r="M1175" s="71">
        <v>46198</v>
      </c>
      <c r="N1175" t="s">
        <v>576</v>
      </c>
    </row>
    <row r="1176" spans="3:14" hidden="1" x14ac:dyDescent="0.2">
      <c r="C1176" t="s">
        <v>341</v>
      </c>
      <c r="D1176" t="str">
        <f>VLOOKUP(C1176,'Master Anggota'!$E$2:$J$678,2,0)</f>
        <v>Aktif</v>
      </c>
      <c r="G1176" t="str">
        <f>VLOOKUP(C1176,'Master Anggota'!$E$2:$J$678,5,0)</f>
        <v>00339</v>
      </c>
      <c r="H1176" s="56">
        <v>0</v>
      </c>
      <c r="I1176" s="56">
        <v>0</v>
      </c>
      <c r="J1176" s="56">
        <v>100000</v>
      </c>
      <c r="K1176" s="56">
        <v>50000</v>
      </c>
      <c r="L1176" t="s">
        <v>680</v>
      </c>
      <c r="M1176" s="71">
        <v>46198</v>
      </c>
      <c r="N1176" t="s">
        <v>576</v>
      </c>
    </row>
    <row r="1177" spans="3:14" hidden="1" x14ac:dyDescent="0.2">
      <c r="C1177" t="s">
        <v>39</v>
      </c>
      <c r="D1177" t="str">
        <f>VLOOKUP(C1177,'Master Anggota'!$E$2:$J$678,2,0)</f>
        <v>Aktif</v>
      </c>
      <c r="G1177" t="str">
        <f>VLOOKUP(C1177,'Master Anggota'!$E$2:$J$678,5,0)</f>
        <v>00340</v>
      </c>
      <c r="H1177" s="56">
        <v>0</v>
      </c>
      <c r="I1177" s="56">
        <v>0</v>
      </c>
      <c r="J1177" s="56">
        <v>100000</v>
      </c>
      <c r="K1177" s="56">
        <v>1775000</v>
      </c>
      <c r="L1177" t="s">
        <v>680</v>
      </c>
      <c r="M1177" s="71">
        <v>46198</v>
      </c>
      <c r="N1177" t="s">
        <v>576</v>
      </c>
    </row>
    <row r="1178" spans="3:14" hidden="1" x14ac:dyDescent="0.2">
      <c r="C1178" t="s">
        <v>129</v>
      </c>
      <c r="D1178" t="str">
        <f>VLOOKUP(C1178,'Master Anggota'!$E$2:$J$678,2,0)</f>
        <v>Aktif</v>
      </c>
      <c r="G1178" t="str">
        <f>VLOOKUP(C1178,'Master Anggota'!$E$2:$J$678,5,0)</f>
        <v>00343</v>
      </c>
      <c r="H1178" s="56">
        <v>0</v>
      </c>
      <c r="I1178" s="56">
        <v>0</v>
      </c>
      <c r="J1178" s="56">
        <v>100000</v>
      </c>
      <c r="K1178" s="56">
        <v>150000</v>
      </c>
      <c r="L1178" t="s">
        <v>680</v>
      </c>
      <c r="M1178" s="71">
        <v>46198</v>
      </c>
      <c r="N1178" t="s">
        <v>576</v>
      </c>
    </row>
    <row r="1179" spans="3:14" hidden="1" x14ac:dyDescent="0.2">
      <c r="C1179" t="s">
        <v>480</v>
      </c>
      <c r="D1179" t="str">
        <f>VLOOKUP(C1179,'Master Anggota'!$E$2:$J$678,2,0)</f>
        <v>Aktif</v>
      </c>
      <c r="G1179" t="str">
        <f>VLOOKUP(C1179,'Master Anggota'!$E$2:$J$678,5,0)</f>
        <v>00351</v>
      </c>
      <c r="H1179" s="56">
        <v>0</v>
      </c>
      <c r="I1179" s="56">
        <v>0</v>
      </c>
      <c r="J1179" s="56">
        <v>100000</v>
      </c>
      <c r="K1179" s="56">
        <v>100000</v>
      </c>
      <c r="L1179" t="s">
        <v>680</v>
      </c>
      <c r="M1179" s="71">
        <v>46198</v>
      </c>
      <c r="N1179" t="s">
        <v>576</v>
      </c>
    </row>
    <row r="1180" spans="3:14" hidden="1" x14ac:dyDescent="0.2">
      <c r="C1180" t="s">
        <v>151</v>
      </c>
      <c r="D1180" t="str">
        <f>VLOOKUP(C1180,'Master Anggota'!$E$2:$J$678,2,0)</f>
        <v>Aktif</v>
      </c>
      <c r="G1180" t="str">
        <f>VLOOKUP(C1180,'Master Anggota'!$E$2:$J$678,5,0)</f>
        <v>00362</v>
      </c>
      <c r="H1180" s="56">
        <v>0</v>
      </c>
      <c r="I1180" s="56">
        <v>0</v>
      </c>
      <c r="J1180" s="56">
        <v>100000</v>
      </c>
      <c r="K1180" s="56">
        <v>250000</v>
      </c>
      <c r="L1180" t="s">
        <v>680</v>
      </c>
      <c r="M1180" s="71">
        <v>46198</v>
      </c>
      <c r="N1180" t="s">
        <v>576</v>
      </c>
    </row>
    <row r="1181" spans="3:14" hidden="1" x14ac:dyDescent="0.2">
      <c r="C1181" t="s">
        <v>90</v>
      </c>
      <c r="D1181" t="str">
        <f>VLOOKUP(C1181,'Master Anggota'!$E$2:$J$678,2,0)</f>
        <v>Aktif</v>
      </c>
      <c r="G1181" t="str">
        <f>VLOOKUP(C1181,'Master Anggota'!$E$2:$J$678,5,0)</f>
        <v>00363</v>
      </c>
      <c r="H1181" s="56">
        <v>0</v>
      </c>
      <c r="I1181" s="56">
        <v>0</v>
      </c>
      <c r="J1181" s="56">
        <v>150000</v>
      </c>
      <c r="K1181" s="56">
        <v>10000</v>
      </c>
      <c r="L1181" t="s">
        <v>680</v>
      </c>
      <c r="M1181" s="71">
        <v>46198</v>
      </c>
      <c r="N1181" t="s">
        <v>576</v>
      </c>
    </row>
    <row r="1182" spans="3:14" hidden="1" x14ac:dyDescent="0.2">
      <c r="C1182" t="s">
        <v>483</v>
      </c>
      <c r="D1182" t="str">
        <f>VLOOKUP(C1182,'Master Anggota'!$E$2:$J$678,2,0)</f>
        <v>Aktif</v>
      </c>
      <c r="G1182" t="str">
        <f>VLOOKUP(C1182,'Master Anggota'!$E$2:$J$678,5,0)</f>
        <v>00368</v>
      </c>
      <c r="H1182" s="56">
        <v>0</v>
      </c>
      <c r="I1182" s="56">
        <v>0</v>
      </c>
      <c r="J1182" s="56">
        <v>100000</v>
      </c>
      <c r="K1182" s="56">
        <v>100000</v>
      </c>
      <c r="L1182" t="s">
        <v>680</v>
      </c>
      <c r="M1182" s="71">
        <v>46198</v>
      </c>
      <c r="N1182" t="s">
        <v>576</v>
      </c>
    </row>
    <row r="1183" spans="3:14" hidden="1" x14ac:dyDescent="0.2">
      <c r="C1183" t="s">
        <v>328</v>
      </c>
      <c r="D1183" t="str">
        <f>VLOOKUP(C1183,'Master Anggota'!$E$2:$J$678,2,0)</f>
        <v>Aktif</v>
      </c>
      <c r="G1183" t="str">
        <f>VLOOKUP(C1183,'Master Anggota'!$E$2:$J$678,5,0)</f>
        <v>00369</v>
      </c>
      <c r="H1183" s="56">
        <v>0</v>
      </c>
      <c r="I1183" s="56">
        <v>0</v>
      </c>
      <c r="J1183" s="56">
        <v>150000</v>
      </c>
      <c r="K1183" s="56">
        <v>50000</v>
      </c>
      <c r="L1183" t="s">
        <v>680</v>
      </c>
      <c r="M1183" s="71">
        <v>46198</v>
      </c>
      <c r="N1183" t="s">
        <v>576</v>
      </c>
    </row>
    <row r="1184" spans="3:14" hidden="1" x14ac:dyDescent="0.2">
      <c r="C1184" t="s">
        <v>352</v>
      </c>
      <c r="D1184" t="str">
        <f>VLOOKUP(C1184,'Master Anggota'!$E$2:$J$678,2,0)</f>
        <v>Aktif</v>
      </c>
      <c r="G1184" t="str">
        <f>VLOOKUP(C1184,'Master Anggota'!$E$2:$J$678,5,0)</f>
        <v>00370</v>
      </c>
      <c r="H1184" s="56">
        <v>0</v>
      </c>
      <c r="I1184" s="56">
        <v>0</v>
      </c>
      <c r="J1184" s="56">
        <v>100000</v>
      </c>
      <c r="K1184" s="56">
        <v>10000</v>
      </c>
      <c r="L1184" t="s">
        <v>680</v>
      </c>
      <c r="M1184" s="71">
        <v>46198</v>
      </c>
      <c r="N1184" t="s">
        <v>576</v>
      </c>
    </row>
    <row r="1185" spans="3:14" hidden="1" x14ac:dyDescent="0.2">
      <c r="C1185" t="s">
        <v>481</v>
      </c>
      <c r="D1185" t="str">
        <f>VLOOKUP(C1185,'Master Anggota'!$E$2:$J$678,2,0)</f>
        <v>Aktif</v>
      </c>
      <c r="G1185" t="str">
        <f>VLOOKUP(C1185,'Master Anggota'!$E$2:$J$678,5,0)</f>
        <v>00371</v>
      </c>
      <c r="H1185" s="56">
        <v>0</v>
      </c>
      <c r="I1185" s="56">
        <v>0</v>
      </c>
      <c r="J1185" s="56">
        <v>100000</v>
      </c>
      <c r="K1185" s="56">
        <v>50000</v>
      </c>
      <c r="L1185" t="s">
        <v>680</v>
      </c>
      <c r="M1185" s="71">
        <v>46198</v>
      </c>
      <c r="N1185" t="s">
        <v>576</v>
      </c>
    </row>
    <row r="1186" spans="3:14" hidden="1" x14ac:dyDescent="0.2">
      <c r="C1186" t="s">
        <v>345</v>
      </c>
      <c r="D1186" t="str">
        <f>VLOOKUP(C1186,'Master Anggota'!$E$2:$J$678,2,0)</f>
        <v>Aktif</v>
      </c>
      <c r="G1186" t="str">
        <f>VLOOKUP(C1186,'Master Anggota'!$E$2:$J$678,5,0)</f>
        <v>00372</v>
      </c>
      <c r="H1186" s="56">
        <v>0</v>
      </c>
      <c r="I1186" s="56">
        <v>0</v>
      </c>
      <c r="J1186" s="56">
        <v>100000</v>
      </c>
      <c r="K1186" s="56">
        <v>12500</v>
      </c>
      <c r="L1186" t="s">
        <v>680</v>
      </c>
      <c r="M1186" s="71">
        <v>46198</v>
      </c>
      <c r="N1186" t="s">
        <v>576</v>
      </c>
    </row>
    <row r="1187" spans="3:14" hidden="1" x14ac:dyDescent="0.2">
      <c r="C1187" t="s">
        <v>521</v>
      </c>
      <c r="D1187" t="str">
        <f>VLOOKUP(C1187,'Master Anggota'!$E$2:$J$678,2,0)</f>
        <v>Aktif</v>
      </c>
      <c r="G1187" t="str">
        <f>VLOOKUP(C1187,'Master Anggota'!$E$2:$J$678,5,0)</f>
        <v>00376</v>
      </c>
      <c r="H1187" s="56">
        <v>0</v>
      </c>
      <c r="I1187" s="56">
        <v>0</v>
      </c>
      <c r="J1187" s="56">
        <v>100000</v>
      </c>
      <c r="K1187" s="56">
        <v>110000</v>
      </c>
      <c r="L1187" t="s">
        <v>680</v>
      </c>
      <c r="M1187" s="71">
        <v>46198</v>
      </c>
      <c r="N1187" t="s">
        <v>576</v>
      </c>
    </row>
    <row r="1188" spans="3:14" hidden="1" x14ac:dyDescent="0.2">
      <c r="C1188" t="s">
        <v>94</v>
      </c>
      <c r="D1188" t="str">
        <f>VLOOKUP(C1188,'Master Anggota'!$E$2:$J$678,2,0)</f>
        <v>Aktif</v>
      </c>
      <c r="G1188" t="str">
        <f>VLOOKUP(C1188,'Master Anggota'!$E$2:$J$678,5,0)</f>
        <v>00387</v>
      </c>
      <c r="H1188" s="56">
        <v>0</v>
      </c>
      <c r="I1188" s="56">
        <v>0</v>
      </c>
      <c r="J1188" s="56">
        <v>100000</v>
      </c>
      <c r="K1188" s="56">
        <v>10000</v>
      </c>
      <c r="L1188" t="s">
        <v>680</v>
      </c>
      <c r="M1188" s="71">
        <v>46198</v>
      </c>
      <c r="N1188" t="s">
        <v>576</v>
      </c>
    </row>
    <row r="1189" spans="3:14" hidden="1" x14ac:dyDescent="0.2">
      <c r="C1189" t="s">
        <v>258</v>
      </c>
      <c r="D1189" t="str">
        <f>VLOOKUP(C1189,'Master Anggota'!$E$2:$J$678,2,0)</f>
        <v>Aktif</v>
      </c>
      <c r="G1189" t="str">
        <f>VLOOKUP(C1189,'Master Anggota'!$E$2:$J$678,5,0)</f>
        <v>00390</v>
      </c>
      <c r="H1189" s="56">
        <v>0</v>
      </c>
      <c r="I1189" s="56">
        <v>0</v>
      </c>
      <c r="J1189" s="56">
        <v>100000</v>
      </c>
      <c r="K1189" s="56">
        <v>10000</v>
      </c>
      <c r="L1189" t="s">
        <v>680</v>
      </c>
      <c r="M1189" s="71">
        <v>46198</v>
      </c>
      <c r="N1189" t="s">
        <v>576</v>
      </c>
    </row>
    <row r="1190" spans="3:14" hidden="1" x14ac:dyDescent="0.2">
      <c r="C1190" t="s">
        <v>92</v>
      </c>
      <c r="D1190" t="str">
        <f>VLOOKUP(C1190,'Master Anggota'!$E$2:$J$678,2,0)</f>
        <v>Aktif</v>
      </c>
      <c r="G1190" t="str">
        <f>VLOOKUP(C1190,'Master Anggota'!$E$2:$J$678,5,0)</f>
        <v>00396</v>
      </c>
      <c r="H1190" s="56">
        <v>0</v>
      </c>
      <c r="I1190" s="56">
        <v>0</v>
      </c>
      <c r="J1190" s="56">
        <v>150000</v>
      </c>
      <c r="K1190" s="56">
        <v>200000</v>
      </c>
      <c r="L1190" t="s">
        <v>680</v>
      </c>
      <c r="M1190" s="71">
        <v>46198</v>
      </c>
      <c r="N1190" t="s">
        <v>576</v>
      </c>
    </row>
    <row r="1191" spans="3:14" hidden="1" x14ac:dyDescent="0.2">
      <c r="C1191" t="s">
        <v>103</v>
      </c>
      <c r="D1191" t="str">
        <f>VLOOKUP(C1191,'Master Anggota'!$E$2:$J$678,2,0)</f>
        <v>Aktif</v>
      </c>
      <c r="G1191" t="str">
        <f>VLOOKUP(C1191,'Master Anggota'!$E$2:$J$678,5,0)</f>
        <v>00401</v>
      </c>
      <c r="H1191" s="56">
        <v>0</v>
      </c>
      <c r="I1191" s="56">
        <v>0</v>
      </c>
      <c r="J1191" s="56">
        <v>150000</v>
      </c>
      <c r="K1191" s="56">
        <v>1000000</v>
      </c>
      <c r="L1191" t="s">
        <v>680</v>
      </c>
      <c r="M1191" s="71">
        <v>46198</v>
      </c>
      <c r="N1191" t="s">
        <v>576</v>
      </c>
    </row>
    <row r="1192" spans="3:14" hidden="1" x14ac:dyDescent="0.2">
      <c r="C1192" t="s">
        <v>122</v>
      </c>
      <c r="D1192" t="str">
        <f>VLOOKUP(C1192,'Master Anggota'!$E$2:$J$678,2,0)</f>
        <v>Aktif</v>
      </c>
      <c r="G1192" t="str">
        <f>VLOOKUP(C1192,'Master Anggota'!$E$2:$J$678,5,0)</f>
        <v>00485</v>
      </c>
      <c r="H1192" s="56">
        <v>0</v>
      </c>
      <c r="I1192" s="56">
        <v>0</v>
      </c>
      <c r="J1192" s="56">
        <v>100000</v>
      </c>
      <c r="K1192" s="56">
        <v>500000</v>
      </c>
      <c r="L1192" t="s">
        <v>680</v>
      </c>
      <c r="M1192" s="71">
        <v>46198</v>
      </c>
      <c r="N1192" t="s">
        <v>576</v>
      </c>
    </row>
    <row r="1193" spans="3:14" hidden="1" x14ac:dyDescent="0.2">
      <c r="C1193" t="s">
        <v>65</v>
      </c>
      <c r="D1193" t="str">
        <f>VLOOKUP(C1193,'Master Anggota'!$E$2:$J$678,2,0)</f>
        <v>Aktif</v>
      </c>
      <c r="G1193" t="str">
        <f>VLOOKUP(C1193,'Master Anggota'!$E$2:$J$678,5,0)</f>
        <v>00490</v>
      </c>
      <c r="H1193" s="56">
        <v>0</v>
      </c>
      <c r="I1193" s="56">
        <v>0</v>
      </c>
      <c r="J1193" s="56">
        <v>150000</v>
      </c>
      <c r="K1193" s="56">
        <v>200000</v>
      </c>
      <c r="L1193" t="s">
        <v>680</v>
      </c>
      <c r="M1193" s="71">
        <v>46198</v>
      </c>
      <c r="N1193" t="s">
        <v>576</v>
      </c>
    </row>
    <row r="1194" spans="3:14" hidden="1" x14ac:dyDescent="0.2">
      <c r="C1194" t="s">
        <v>69</v>
      </c>
      <c r="D1194" t="str">
        <f>VLOOKUP(C1194,'Master Anggota'!$E$2:$J$678,2,0)</f>
        <v>Aktif</v>
      </c>
      <c r="G1194" t="str">
        <f>VLOOKUP(C1194,'Master Anggota'!$E$2:$J$678,5,0)</f>
        <v>00496</v>
      </c>
      <c r="H1194" s="56">
        <v>0</v>
      </c>
      <c r="I1194" s="56">
        <v>0</v>
      </c>
      <c r="J1194" s="56">
        <v>100000</v>
      </c>
      <c r="K1194" s="56">
        <v>150000</v>
      </c>
      <c r="L1194" t="s">
        <v>680</v>
      </c>
      <c r="M1194" s="71">
        <v>46198</v>
      </c>
      <c r="N1194" t="s">
        <v>576</v>
      </c>
    </row>
    <row r="1195" spans="3:14" hidden="1" x14ac:dyDescent="0.2">
      <c r="C1195" t="s">
        <v>115</v>
      </c>
      <c r="D1195" t="str">
        <f>VLOOKUP(C1195,'Master Anggota'!$E$2:$J$678,2,0)</f>
        <v>Aktif</v>
      </c>
      <c r="G1195" t="str">
        <f>VLOOKUP(C1195,'Master Anggota'!$E$2:$J$678,5,0)</f>
        <v>00497</v>
      </c>
      <c r="H1195" s="56">
        <v>0</v>
      </c>
      <c r="I1195" s="56">
        <v>0</v>
      </c>
      <c r="J1195" s="56">
        <v>100000</v>
      </c>
      <c r="K1195" s="56">
        <v>500000</v>
      </c>
      <c r="L1195" t="s">
        <v>680</v>
      </c>
      <c r="M1195" s="71">
        <v>46198</v>
      </c>
      <c r="N1195" t="s">
        <v>576</v>
      </c>
    </row>
    <row r="1196" spans="3:14" hidden="1" x14ac:dyDescent="0.2">
      <c r="C1196" t="s">
        <v>117</v>
      </c>
      <c r="D1196" t="str">
        <f>VLOOKUP(C1196,'Master Anggota'!$E$2:$J$678,2,0)</f>
        <v>Aktif</v>
      </c>
      <c r="G1196" t="str">
        <f>VLOOKUP(C1196,'Master Anggota'!$E$2:$J$678,5,0)</f>
        <v>00497</v>
      </c>
      <c r="H1196" s="56">
        <v>0</v>
      </c>
      <c r="I1196" s="56">
        <v>0</v>
      </c>
      <c r="J1196" s="56">
        <v>100000</v>
      </c>
      <c r="K1196" s="56">
        <v>300000</v>
      </c>
      <c r="L1196" t="s">
        <v>680</v>
      </c>
      <c r="M1196" s="71">
        <v>46198</v>
      </c>
      <c r="N1196" t="s">
        <v>576</v>
      </c>
    </row>
    <row r="1197" spans="3:14" hidden="1" x14ac:dyDescent="0.2">
      <c r="C1197" t="s">
        <v>194</v>
      </c>
      <c r="D1197" t="str">
        <f>VLOOKUP(C1197,'Master Anggota'!$E$2:$J$678,2,0)</f>
        <v>Aktif</v>
      </c>
      <c r="G1197" t="str">
        <f>VLOOKUP(C1197,'Master Anggota'!$E$2:$J$678,5,0)</f>
        <v>00498</v>
      </c>
      <c r="H1197" s="56">
        <v>0</v>
      </c>
      <c r="I1197" s="56">
        <v>0</v>
      </c>
      <c r="J1197" s="56">
        <v>100000</v>
      </c>
      <c r="K1197" s="56">
        <v>600000</v>
      </c>
      <c r="L1197" t="s">
        <v>680</v>
      </c>
      <c r="M1197" s="71">
        <v>46198</v>
      </c>
      <c r="N1197" t="s">
        <v>576</v>
      </c>
    </row>
    <row r="1198" spans="3:14" hidden="1" x14ac:dyDescent="0.2">
      <c r="C1198" t="s">
        <v>155</v>
      </c>
      <c r="D1198" t="str">
        <f>VLOOKUP(C1198,'Master Anggota'!$E$2:$J$678,2,0)</f>
        <v>Aktif</v>
      </c>
      <c r="G1198" t="str">
        <f>VLOOKUP(C1198,'Master Anggota'!$E$2:$J$678,5,0)</f>
        <v>00499</v>
      </c>
      <c r="H1198" s="56">
        <v>0</v>
      </c>
      <c r="I1198" s="56">
        <v>0</v>
      </c>
      <c r="J1198" s="56">
        <v>100000</v>
      </c>
      <c r="K1198" s="56">
        <v>75000</v>
      </c>
      <c r="L1198" t="s">
        <v>680</v>
      </c>
      <c r="M1198" s="71">
        <v>46198</v>
      </c>
      <c r="N1198" t="s">
        <v>576</v>
      </c>
    </row>
    <row r="1199" spans="3:14" hidden="1" x14ac:dyDescent="0.2">
      <c r="C1199" t="s">
        <v>96</v>
      </c>
      <c r="D1199" t="str">
        <f>VLOOKUP(C1199,'Master Anggota'!$E$2:$J$678,2,0)</f>
        <v>Aktif</v>
      </c>
      <c r="G1199" t="str">
        <f>VLOOKUP(C1199,'Master Anggota'!$E$2:$J$678,5,0)</f>
        <v>00508</v>
      </c>
      <c r="H1199" s="56">
        <v>0</v>
      </c>
      <c r="I1199" s="56">
        <v>0</v>
      </c>
      <c r="J1199" s="56">
        <v>100000</v>
      </c>
      <c r="K1199" s="56">
        <v>50000</v>
      </c>
      <c r="L1199" t="s">
        <v>680</v>
      </c>
      <c r="M1199" s="71">
        <v>46198</v>
      </c>
      <c r="N1199" t="s">
        <v>576</v>
      </c>
    </row>
    <row r="1200" spans="3:14" hidden="1" x14ac:dyDescent="0.2">
      <c r="C1200" t="s">
        <v>270</v>
      </c>
      <c r="D1200" t="str">
        <f>VLOOKUP(C1200,'Master Anggota'!$E$2:$J$678,2,0)</f>
        <v>Aktif</v>
      </c>
      <c r="G1200" t="str">
        <f>VLOOKUP(C1200,'Master Anggota'!$E$2:$J$678,5,0)</f>
        <v>00509</v>
      </c>
      <c r="H1200" s="56">
        <v>0</v>
      </c>
      <c r="I1200" s="56">
        <v>0</v>
      </c>
      <c r="J1200" s="56">
        <v>100000</v>
      </c>
      <c r="K1200" s="56">
        <v>175000</v>
      </c>
      <c r="L1200" t="s">
        <v>680</v>
      </c>
      <c r="M1200" s="71">
        <v>46198</v>
      </c>
      <c r="N1200" t="s">
        <v>576</v>
      </c>
    </row>
    <row r="1201" spans="3:14" hidden="1" x14ac:dyDescent="0.2">
      <c r="C1201" t="s">
        <v>37</v>
      </c>
      <c r="D1201" t="str">
        <f>VLOOKUP(C1201,'Master Anggota'!$E$2:$J$678,2,0)</f>
        <v>Aktif</v>
      </c>
      <c r="G1201" t="str">
        <f>VLOOKUP(C1201,'Master Anggota'!$E$2:$J$678,5,0)</f>
        <v>00511</v>
      </c>
      <c r="H1201" s="56">
        <v>0</v>
      </c>
      <c r="I1201" s="56">
        <v>0</v>
      </c>
      <c r="J1201" s="56">
        <v>100000</v>
      </c>
      <c r="K1201" s="56">
        <v>50000</v>
      </c>
      <c r="L1201" t="s">
        <v>680</v>
      </c>
      <c r="M1201" s="71">
        <v>46198</v>
      </c>
      <c r="N1201" t="s">
        <v>576</v>
      </c>
    </row>
    <row r="1202" spans="3:14" hidden="1" x14ac:dyDescent="0.2">
      <c r="C1202" t="s">
        <v>202</v>
      </c>
      <c r="D1202" t="str">
        <f>VLOOKUP(C1202,'Master Anggota'!$E$2:$J$678,2,0)</f>
        <v>Aktif</v>
      </c>
      <c r="G1202" t="str">
        <f>VLOOKUP(C1202,'Master Anggota'!$E$2:$J$678,5,0)</f>
        <v>00512</v>
      </c>
      <c r="H1202" s="56">
        <v>0</v>
      </c>
      <c r="I1202" s="56">
        <v>0</v>
      </c>
      <c r="J1202" s="56">
        <v>100000</v>
      </c>
      <c r="K1202" s="56">
        <v>175000</v>
      </c>
      <c r="L1202" t="s">
        <v>680</v>
      </c>
      <c r="M1202" s="71">
        <v>46198</v>
      </c>
      <c r="N1202" t="s">
        <v>576</v>
      </c>
    </row>
    <row r="1203" spans="3:14" hidden="1" x14ac:dyDescent="0.2">
      <c r="C1203" t="s">
        <v>239</v>
      </c>
      <c r="D1203" t="str">
        <f>VLOOKUP(C1203,'Master Anggota'!$E$2:$J$678,2,0)</f>
        <v>Aktif</v>
      </c>
      <c r="G1203" t="str">
        <f>VLOOKUP(C1203,'Master Anggota'!$E$2:$J$678,5,0)</f>
        <v>00513</v>
      </c>
      <c r="H1203" s="56">
        <v>0</v>
      </c>
      <c r="I1203" s="56">
        <v>0</v>
      </c>
      <c r="J1203" s="56">
        <v>100000</v>
      </c>
      <c r="K1203" s="56">
        <v>125000</v>
      </c>
      <c r="L1203" t="s">
        <v>680</v>
      </c>
      <c r="M1203" s="71">
        <v>46198</v>
      </c>
      <c r="N1203" t="s">
        <v>576</v>
      </c>
    </row>
    <row r="1204" spans="3:14" hidden="1" x14ac:dyDescent="0.2">
      <c r="C1204" t="s">
        <v>223</v>
      </c>
      <c r="D1204" t="str">
        <f>VLOOKUP(C1204,'Master Anggota'!$E$2:$J$678,2,0)</f>
        <v>Aktif</v>
      </c>
      <c r="G1204" t="str">
        <f>VLOOKUP(C1204,'Master Anggota'!$E$2:$J$678,5,0)</f>
        <v>00514</v>
      </c>
      <c r="H1204" s="56">
        <v>0</v>
      </c>
      <c r="I1204" s="56">
        <v>0</v>
      </c>
      <c r="J1204" s="56">
        <v>100000</v>
      </c>
      <c r="K1204" s="56">
        <v>300000</v>
      </c>
      <c r="L1204" t="s">
        <v>680</v>
      </c>
      <c r="M1204" s="71">
        <v>46198</v>
      </c>
      <c r="N1204" t="s">
        <v>576</v>
      </c>
    </row>
    <row r="1205" spans="3:14" hidden="1" x14ac:dyDescent="0.2">
      <c r="C1205" t="s">
        <v>274</v>
      </c>
      <c r="D1205" t="str">
        <f>VLOOKUP(C1205,'Master Anggota'!$E$2:$J$678,2,0)</f>
        <v>Aktif</v>
      </c>
      <c r="G1205" t="str">
        <f>VLOOKUP(C1205,'Master Anggota'!$E$2:$J$678,5,0)</f>
        <v>00515</v>
      </c>
      <c r="H1205" s="56">
        <v>0</v>
      </c>
      <c r="I1205" s="56">
        <v>0</v>
      </c>
      <c r="J1205" s="56">
        <v>100000</v>
      </c>
      <c r="K1205" s="56">
        <v>100000</v>
      </c>
      <c r="L1205" t="s">
        <v>680</v>
      </c>
      <c r="M1205" s="71">
        <v>46198</v>
      </c>
      <c r="N1205" t="s">
        <v>576</v>
      </c>
    </row>
    <row r="1206" spans="3:14" hidden="1" x14ac:dyDescent="0.2">
      <c r="C1206" t="s">
        <v>233</v>
      </c>
      <c r="D1206" t="str">
        <f>VLOOKUP(C1206,'Master Anggota'!$E$2:$J$678,2,0)</f>
        <v>Aktif</v>
      </c>
      <c r="G1206" t="str">
        <f>VLOOKUP(C1206,'Master Anggota'!$E$2:$J$678,5,0)</f>
        <v>00516</v>
      </c>
      <c r="H1206" s="56">
        <v>0</v>
      </c>
      <c r="I1206" s="56">
        <v>0</v>
      </c>
      <c r="J1206" s="56">
        <v>100000</v>
      </c>
      <c r="K1206" s="56">
        <v>25000</v>
      </c>
      <c r="L1206" t="s">
        <v>680</v>
      </c>
      <c r="M1206" s="71">
        <v>46198</v>
      </c>
      <c r="N1206" t="s">
        <v>576</v>
      </c>
    </row>
    <row r="1207" spans="3:14" hidden="1" x14ac:dyDescent="0.2">
      <c r="C1207" t="s">
        <v>71</v>
      </c>
      <c r="D1207" t="str">
        <f>VLOOKUP(C1207,'Master Anggota'!$E$2:$J$678,2,0)</f>
        <v>Aktif</v>
      </c>
      <c r="G1207" t="str">
        <f>VLOOKUP(C1207,'Master Anggota'!$E$2:$J$678,5,0)</f>
        <v>00517</v>
      </c>
      <c r="H1207" s="56">
        <v>0</v>
      </c>
      <c r="I1207" s="56">
        <v>0</v>
      </c>
      <c r="J1207" s="56">
        <v>100000</v>
      </c>
      <c r="K1207" s="56">
        <v>400000</v>
      </c>
      <c r="L1207" t="s">
        <v>680</v>
      </c>
      <c r="M1207" s="71">
        <v>46198</v>
      </c>
      <c r="N1207" t="s">
        <v>576</v>
      </c>
    </row>
    <row r="1208" spans="3:14" hidden="1" x14ac:dyDescent="0.2">
      <c r="C1208" t="s">
        <v>62</v>
      </c>
      <c r="D1208" t="str">
        <f>VLOOKUP(C1208,'Master Anggota'!$E$2:$J$678,2,0)</f>
        <v>Aktif</v>
      </c>
      <c r="G1208" t="str">
        <f>VLOOKUP(C1208,'Master Anggota'!$E$2:$J$678,5,0)</f>
        <v>00518</v>
      </c>
      <c r="H1208" s="56">
        <v>0</v>
      </c>
      <c r="I1208" s="56">
        <v>0</v>
      </c>
      <c r="J1208" s="56">
        <v>200000</v>
      </c>
      <c r="K1208" s="56">
        <v>100000</v>
      </c>
      <c r="L1208" t="s">
        <v>680</v>
      </c>
      <c r="M1208" s="71">
        <v>46198</v>
      </c>
      <c r="N1208" t="s">
        <v>576</v>
      </c>
    </row>
    <row r="1209" spans="3:14" hidden="1" x14ac:dyDescent="0.2">
      <c r="C1209" t="s">
        <v>46</v>
      </c>
      <c r="D1209" t="str">
        <f>VLOOKUP(C1209,'Master Anggota'!$E$2:$J$678,2,0)</f>
        <v>Aktif</v>
      </c>
      <c r="G1209" t="str">
        <f>VLOOKUP(C1209,'Master Anggota'!$E$2:$J$678,5,0)</f>
        <v>00519</v>
      </c>
      <c r="H1209" s="56">
        <v>0</v>
      </c>
      <c r="I1209" s="56">
        <v>0</v>
      </c>
      <c r="J1209" s="56">
        <v>100000</v>
      </c>
      <c r="K1209" s="56">
        <v>125000</v>
      </c>
      <c r="L1209" t="s">
        <v>680</v>
      </c>
      <c r="M1209" s="71">
        <v>46198</v>
      </c>
      <c r="N1209" t="s">
        <v>576</v>
      </c>
    </row>
    <row r="1210" spans="3:14" hidden="1" x14ac:dyDescent="0.2">
      <c r="C1210" t="s">
        <v>200</v>
      </c>
      <c r="D1210" t="str">
        <f>VLOOKUP(C1210,'Master Anggota'!$E$2:$J$678,2,0)</f>
        <v>Aktif</v>
      </c>
      <c r="G1210" t="str">
        <f>VLOOKUP(C1210,'Master Anggota'!$E$2:$J$678,5,0)</f>
        <v>00520</v>
      </c>
      <c r="H1210" s="56">
        <v>0</v>
      </c>
      <c r="I1210" s="56">
        <v>0</v>
      </c>
      <c r="J1210" s="56">
        <v>100000</v>
      </c>
      <c r="K1210" s="56">
        <v>100000</v>
      </c>
      <c r="L1210" t="s">
        <v>680</v>
      </c>
      <c r="M1210" s="71">
        <v>46198</v>
      </c>
      <c r="N1210" t="s">
        <v>576</v>
      </c>
    </row>
    <row r="1211" spans="3:14" hidden="1" x14ac:dyDescent="0.2">
      <c r="C1211" t="s">
        <v>107</v>
      </c>
      <c r="D1211" t="str">
        <f>VLOOKUP(C1211,'Master Anggota'!$E$2:$J$678,2,0)</f>
        <v>Aktif</v>
      </c>
      <c r="G1211" t="str">
        <f>VLOOKUP(C1211,'Master Anggota'!$E$2:$J$678,5,0)</f>
        <v>00521</v>
      </c>
      <c r="H1211" s="56">
        <v>0</v>
      </c>
      <c r="I1211" s="56">
        <v>0</v>
      </c>
      <c r="J1211" s="56">
        <v>150000</v>
      </c>
      <c r="K1211" s="56">
        <v>150000</v>
      </c>
      <c r="L1211" t="s">
        <v>680</v>
      </c>
      <c r="M1211" s="71">
        <v>46198</v>
      </c>
      <c r="N1211" t="s">
        <v>576</v>
      </c>
    </row>
    <row r="1212" spans="3:14" hidden="1" x14ac:dyDescent="0.2">
      <c r="C1212" t="s">
        <v>235</v>
      </c>
      <c r="D1212" t="str">
        <f>VLOOKUP(C1212,'Master Anggota'!$E$2:$J$678,2,0)</f>
        <v>Aktif</v>
      </c>
      <c r="G1212" t="str">
        <f>VLOOKUP(C1212,'Master Anggota'!$E$2:$J$678,5,0)</f>
        <v>00523</v>
      </c>
      <c r="H1212" s="56">
        <v>0</v>
      </c>
      <c r="I1212" s="56">
        <v>0</v>
      </c>
      <c r="J1212" s="56">
        <v>100000</v>
      </c>
      <c r="K1212" s="56">
        <v>100000</v>
      </c>
      <c r="L1212" t="s">
        <v>680</v>
      </c>
      <c r="M1212" s="71">
        <v>46198</v>
      </c>
      <c r="N1212" t="s">
        <v>576</v>
      </c>
    </row>
    <row r="1213" spans="3:14" hidden="1" x14ac:dyDescent="0.2">
      <c r="C1213" t="s">
        <v>252</v>
      </c>
      <c r="D1213" t="str">
        <f>VLOOKUP(C1213,'Master Anggota'!$E$2:$J$678,2,0)</f>
        <v>Aktif</v>
      </c>
      <c r="G1213" t="str">
        <f>VLOOKUP(C1213,'Master Anggota'!$E$2:$J$678,5,0)</f>
        <v>00524</v>
      </c>
      <c r="H1213" s="56">
        <v>0</v>
      </c>
      <c r="I1213" s="56">
        <v>0</v>
      </c>
      <c r="J1213" s="56">
        <v>100000</v>
      </c>
      <c r="K1213" s="56">
        <v>200000</v>
      </c>
      <c r="L1213" t="s">
        <v>680</v>
      </c>
      <c r="M1213" s="71">
        <v>46198</v>
      </c>
      <c r="N1213" t="s">
        <v>576</v>
      </c>
    </row>
    <row r="1214" spans="3:14" hidden="1" x14ac:dyDescent="0.2">
      <c r="C1214" t="s">
        <v>206</v>
      </c>
      <c r="D1214" t="str">
        <f>VLOOKUP(C1214,'Master Anggota'!$E$2:$J$678,2,0)</f>
        <v>Aktif</v>
      </c>
      <c r="G1214" t="str">
        <f>VLOOKUP(C1214,'Master Anggota'!$E$2:$J$678,5,0)</f>
        <v>00525</v>
      </c>
      <c r="H1214" s="56">
        <v>0</v>
      </c>
      <c r="I1214" s="56">
        <v>0</v>
      </c>
      <c r="J1214" s="56">
        <v>100000</v>
      </c>
      <c r="K1214" s="56">
        <v>100000</v>
      </c>
      <c r="L1214" t="s">
        <v>680</v>
      </c>
      <c r="M1214" s="71">
        <v>46198</v>
      </c>
      <c r="N1214" t="s">
        <v>576</v>
      </c>
    </row>
    <row r="1215" spans="3:14" hidden="1" x14ac:dyDescent="0.2">
      <c r="C1215" t="s">
        <v>241</v>
      </c>
      <c r="D1215" t="str">
        <f>VLOOKUP(C1215,'Master Anggota'!$E$2:$J$678,2,0)</f>
        <v>Aktif</v>
      </c>
      <c r="G1215" t="str">
        <f>VLOOKUP(C1215,'Master Anggota'!$E$2:$J$678,5,0)</f>
        <v>00526</v>
      </c>
      <c r="H1215" s="56">
        <v>0</v>
      </c>
      <c r="I1215" s="56">
        <v>0</v>
      </c>
      <c r="J1215" s="56">
        <v>100000</v>
      </c>
      <c r="K1215" s="56">
        <v>100000</v>
      </c>
      <c r="L1215" t="s">
        <v>680</v>
      </c>
      <c r="M1215" s="71">
        <v>46198</v>
      </c>
      <c r="N1215" t="s">
        <v>576</v>
      </c>
    </row>
    <row r="1216" spans="3:14" hidden="1" x14ac:dyDescent="0.2">
      <c r="C1216" t="s">
        <v>147</v>
      </c>
      <c r="D1216" t="str">
        <f>VLOOKUP(C1216,'Master Anggota'!$E$2:$J$678,2,0)</f>
        <v>Aktif</v>
      </c>
      <c r="G1216" t="str">
        <f>VLOOKUP(C1216,'Master Anggota'!$E$2:$J$678,5,0)</f>
        <v>00527</v>
      </c>
      <c r="H1216" s="56">
        <v>0</v>
      </c>
      <c r="I1216" s="56">
        <v>0</v>
      </c>
      <c r="J1216" s="56">
        <v>100000</v>
      </c>
      <c r="K1216" s="56">
        <v>50000</v>
      </c>
      <c r="L1216" t="s">
        <v>680</v>
      </c>
      <c r="M1216" s="71">
        <v>46198</v>
      </c>
      <c r="N1216" t="s">
        <v>576</v>
      </c>
    </row>
    <row r="1217" spans="3:14" hidden="1" x14ac:dyDescent="0.2">
      <c r="C1217" t="s">
        <v>268</v>
      </c>
      <c r="D1217" t="str">
        <f>VLOOKUP(C1217,'Master Anggota'!$E$2:$J$678,2,0)</f>
        <v>Aktif</v>
      </c>
      <c r="G1217" t="str">
        <f>VLOOKUP(C1217,'Master Anggota'!$E$2:$J$678,5,0)</f>
        <v>00528</v>
      </c>
      <c r="H1217" s="56">
        <v>0</v>
      </c>
      <c r="I1217" s="56">
        <v>0</v>
      </c>
      <c r="J1217" s="56">
        <v>100000</v>
      </c>
      <c r="K1217" s="56">
        <v>100000</v>
      </c>
      <c r="L1217" t="s">
        <v>680</v>
      </c>
      <c r="M1217" s="71">
        <v>46198</v>
      </c>
      <c r="N1217" t="s">
        <v>576</v>
      </c>
    </row>
    <row r="1218" spans="3:14" x14ac:dyDescent="0.2">
      <c r="C1218" t="s">
        <v>214</v>
      </c>
      <c r="D1218" t="str">
        <f>VLOOKUP(C1218,'Master Anggota'!$E$2:$J$678,2,0)</f>
        <v>Aktif</v>
      </c>
      <c r="G1218" t="str">
        <f>VLOOKUP(C1218,'Master Anggota'!$E$2:$J$678,5,0)</f>
        <v>00529</v>
      </c>
      <c r="H1218" s="56">
        <v>0</v>
      </c>
      <c r="I1218" s="56">
        <v>0</v>
      </c>
      <c r="J1218" s="56">
        <v>100000</v>
      </c>
      <c r="K1218" s="56">
        <v>100000</v>
      </c>
      <c r="L1218" t="s">
        <v>680</v>
      </c>
      <c r="M1218" s="71">
        <v>46198</v>
      </c>
      <c r="N1218" t="s">
        <v>576</v>
      </c>
    </row>
    <row r="1219" spans="3:14" hidden="1" x14ac:dyDescent="0.2">
      <c r="C1219" t="s">
        <v>243</v>
      </c>
      <c r="D1219" t="str">
        <f>VLOOKUP(C1219,'Master Anggota'!$E$2:$J$678,2,0)</f>
        <v>Aktif</v>
      </c>
      <c r="G1219" t="str">
        <f>VLOOKUP(C1219,'Master Anggota'!$E$2:$J$678,5,0)</f>
        <v>00530</v>
      </c>
      <c r="H1219" s="56">
        <v>0</v>
      </c>
      <c r="I1219" s="56">
        <v>0</v>
      </c>
      <c r="J1219" s="56">
        <v>100000</v>
      </c>
      <c r="K1219" s="56">
        <v>250000</v>
      </c>
      <c r="L1219" t="s">
        <v>680</v>
      </c>
      <c r="M1219" s="71">
        <v>46198</v>
      </c>
      <c r="N1219" t="s">
        <v>576</v>
      </c>
    </row>
    <row r="1220" spans="3:14" hidden="1" x14ac:dyDescent="0.2">
      <c r="C1220" t="s">
        <v>225</v>
      </c>
      <c r="D1220" t="str">
        <f>VLOOKUP(C1220,'Master Anggota'!$E$2:$J$678,2,0)</f>
        <v>Aktif</v>
      </c>
      <c r="G1220" t="str">
        <f>VLOOKUP(C1220,'Master Anggota'!$E$2:$J$678,5,0)</f>
        <v>00531</v>
      </c>
      <c r="H1220" s="56">
        <v>0</v>
      </c>
      <c r="I1220" s="56">
        <v>0</v>
      </c>
      <c r="J1220" s="56">
        <v>100000</v>
      </c>
      <c r="K1220" s="56">
        <v>15000</v>
      </c>
      <c r="L1220" t="s">
        <v>680</v>
      </c>
      <c r="M1220" s="71">
        <v>46198</v>
      </c>
      <c r="N1220" t="s">
        <v>576</v>
      </c>
    </row>
    <row r="1221" spans="3:14" hidden="1" x14ac:dyDescent="0.2">
      <c r="C1221" t="s">
        <v>245</v>
      </c>
      <c r="D1221" t="str">
        <f>VLOOKUP(C1221,'Master Anggota'!$E$2:$J$678,2,0)</f>
        <v>Aktif</v>
      </c>
      <c r="G1221" t="str">
        <f>VLOOKUP(C1221,'Master Anggota'!$E$2:$J$678,5,0)</f>
        <v>00532</v>
      </c>
      <c r="H1221" s="56">
        <v>0</v>
      </c>
      <c r="I1221" s="56">
        <v>0</v>
      </c>
      <c r="J1221" s="56">
        <v>100000</v>
      </c>
      <c r="K1221" s="56">
        <v>100000</v>
      </c>
      <c r="L1221" t="s">
        <v>680</v>
      </c>
      <c r="M1221" s="71">
        <v>46198</v>
      </c>
      <c r="N1221" t="s">
        <v>576</v>
      </c>
    </row>
    <row r="1222" spans="3:14" hidden="1" x14ac:dyDescent="0.2">
      <c r="C1222" t="s">
        <v>522</v>
      </c>
      <c r="D1222" t="str">
        <f>VLOOKUP(C1222,'Master Anggota'!$E$2:$J$678,2,0)</f>
        <v>Aktif</v>
      </c>
      <c r="G1222" t="str">
        <f>VLOOKUP(C1222,'Master Anggota'!$E$2:$J$678,5,0)</f>
        <v>00533</v>
      </c>
      <c r="H1222" s="56">
        <v>0</v>
      </c>
      <c r="I1222" s="56">
        <v>0</v>
      </c>
      <c r="J1222" s="56">
        <v>100000</v>
      </c>
      <c r="K1222" s="56">
        <v>100000</v>
      </c>
      <c r="L1222" t="s">
        <v>680</v>
      </c>
      <c r="M1222" s="71">
        <v>46198</v>
      </c>
      <c r="N1222" t="s">
        <v>576</v>
      </c>
    </row>
    <row r="1223" spans="3:14" hidden="1" x14ac:dyDescent="0.2">
      <c r="C1223" t="s">
        <v>204</v>
      </c>
      <c r="D1223" t="str">
        <f>VLOOKUP(C1223,'Master Anggota'!$E$2:$J$678,2,0)</f>
        <v>Aktif</v>
      </c>
      <c r="G1223" t="str">
        <f>VLOOKUP(C1223,'Master Anggota'!$E$2:$J$678,5,0)</f>
        <v>00534</v>
      </c>
      <c r="H1223" s="56">
        <v>0</v>
      </c>
      <c r="I1223" s="56">
        <v>0</v>
      </c>
      <c r="J1223" s="56">
        <v>100000</v>
      </c>
      <c r="K1223" s="56">
        <v>125000</v>
      </c>
      <c r="L1223" t="s">
        <v>680</v>
      </c>
      <c r="M1223" s="71">
        <v>46198</v>
      </c>
      <c r="N1223" t="s">
        <v>576</v>
      </c>
    </row>
    <row r="1224" spans="3:14" hidden="1" x14ac:dyDescent="0.2">
      <c r="C1224" t="s">
        <v>189</v>
      </c>
      <c r="D1224" t="str">
        <f>VLOOKUP(C1224,'Master Anggota'!$E$2:$J$678,2,0)</f>
        <v>Aktif</v>
      </c>
      <c r="G1224" t="str">
        <f>VLOOKUP(C1224,'Master Anggota'!$E$2:$J$678,5,0)</f>
        <v>00535</v>
      </c>
      <c r="H1224" s="56">
        <v>0</v>
      </c>
      <c r="I1224" s="56">
        <v>0</v>
      </c>
      <c r="J1224" s="56">
        <v>150000</v>
      </c>
      <c r="K1224" s="56">
        <v>100000</v>
      </c>
      <c r="L1224" t="s">
        <v>680</v>
      </c>
      <c r="M1224" s="71">
        <v>46198</v>
      </c>
      <c r="N1224" t="s">
        <v>576</v>
      </c>
    </row>
    <row r="1225" spans="3:14" hidden="1" x14ac:dyDescent="0.2">
      <c r="C1225" t="s">
        <v>81</v>
      </c>
      <c r="D1225" t="str">
        <f>VLOOKUP(C1225,'Master Anggota'!$E$2:$J$678,2,0)</f>
        <v>Aktif</v>
      </c>
      <c r="G1225" t="str">
        <f>VLOOKUP(C1225,'Master Anggota'!$E$2:$J$678,5,0)</f>
        <v>00537</v>
      </c>
      <c r="H1225" s="56">
        <v>0</v>
      </c>
      <c r="I1225" s="56">
        <v>0</v>
      </c>
      <c r="J1225" s="56">
        <v>150000</v>
      </c>
      <c r="K1225" s="56">
        <v>50000</v>
      </c>
      <c r="L1225" t="s">
        <v>680</v>
      </c>
      <c r="M1225" s="71">
        <v>46198</v>
      </c>
      <c r="N1225" t="s">
        <v>576</v>
      </c>
    </row>
    <row r="1226" spans="3:14" hidden="1" x14ac:dyDescent="0.2">
      <c r="C1226" t="s">
        <v>55</v>
      </c>
      <c r="D1226" t="str">
        <f>VLOOKUP(C1226,'Master Anggota'!$E$2:$J$678,2,0)</f>
        <v>Aktif</v>
      </c>
      <c r="G1226" t="str">
        <f>VLOOKUP(C1226,'Master Anggota'!$E$2:$J$678,5,0)</f>
        <v>00539</v>
      </c>
      <c r="H1226" s="56">
        <v>0</v>
      </c>
      <c r="I1226" s="56">
        <v>0</v>
      </c>
      <c r="J1226" s="56">
        <v>100000</v>
      </c>
      <c r="K1226" s="56">
        <v>50000</v>
      </c>
      <c r="L1226" t="s">
        <v>680</v>
      </c>
      <c r="M1226" s="71">
        <v>46198</v>
      </c>
      <c r="N1226" t="s">
        <v>576</v>
      </c>
    </row>
    <row r="1227" spans="3:14" hidden="1" x14ac:dyDescent="0.2">
      <c r="C1227" t="s">
        <v>53</v>
      </c>
      <c r="D1227" t="str">
        <f>VLOOKUP(C1227,'Master Anggota'!$E$2:$J$678,2,0)</f>
        <v>Aktif</v>
      </c>
      <c r="G1227" t="str">
        <f>VLOOKUP(C1227,'Master Anggota'!$E$2:$J$678,5,0)</f>
        <v>00540</v>
      </c>
      <c r="H1227" s="56">
        <v>0</v>
      </c>
      <c r="I1227" s="56">
        <v>0</v>
      </c>
      <c r="J1227" s="56">
        <v>100000</v>
      </c>
      <c r="K1227" s="56">
        <v>125000</v>
      </c>
      <c r="L1227" t="s">
        <v>680</v>
      </c>
      <c r="M1227" s="71">
        <v>46198</v>
      </c>
      <c r="N1227" t="s">
        <v>576</v>
      </c>
    </row>
    <row r="1228" spans="3:14" hidden="1" x14ac:dyDescent="0.2">
      <c r="C1228" t="s">
        <v>79</v>
      </c>
      <c r="D1228" t="str">
        <f>VLOOKUP(C1228,'Master Anggota'!$E$2:$J$678,2,0)</f>
        <v>Aktif</v>
      </c>
      <c r="G1228" t="str">
        <f>VLOOKUP(C1228,'Master Anggota'!$E$2:$J$678,5,0)</f>
        <v>00541</v>
      </c>
      <c r="H1228" s="56">
        <v>0</v>
      </c>
      <c r="I1228" s="56">
        <v>0</v>
      </c>
      <c r="J1228" s="56">
        <v>100000</v>
      </c>
      <c r="K1228" s="56">
        <v>150000</v>
      </c>
      <c r="L1228" t="s">
        <v>680</v>
      </c>
      <c r="M1228" s="71">
        <v>46198</v>
      </c>
      <c r="N1228" t="s">
        <v>576</v>
      </c>
    </row>
    <row r="1229" spans="3:14" hidden="1" x14ac:dyDescent="0.2">
      <c r="C1229" t="s">
        <v>231</v>
      </c>
      <c r="D1229" t="str">
        <f>VLOOKUP(C1229,'Master Anggota'!$E$2:$J$678,2,0)</f>
        <v>Aktif</v>
      </c>
      <c r="G1229" t="str">
        <f>VLOOKUP(C1229,'Master Anggota'!$E$2:$J$678,5,0)</f>
        <v>00542</v>
      </c>
      <c r="H1229" s="56">
        <v>0</v>
      </c>
      <c r="I1229" s="56">
        <v>0</v>
      </c>
      <c r="J1229" s="56">
        <v>100000</v>
      </c>
      <c r="K1229" s="56">
        <v>100000</v>
      </c>
      <c r="L1229" t="s">
        <v>680</v>
      </c>
      <c r="M1229" s="71">
        <v>46198</v>
      </c>
      <c r="N1229" t="s">
        <v>576</v>
      </c>
    </row>
    <row r="1230" spans="3:14" hidden="1" x14ac:dyDescent="0.2">
      <c r="C1230" t="s">
        <v>51</v>
      </c>
      <c r="D1230" t="str">
        <f>VLOOKUP(C1230,'Master Anggota'!$E$2:$J$678,2,0)</f>
        <v>Aktif</v>
      </c>
      <c r="G1230" t="str">
        <f>VLOOKUP(C1230,'Master Anggota'!$E$2:$J$678,5,0)</f>
        <v>00543</v>
      </c>
      <c r="H1230" s="56">
        <v>0</v>
      </c>
      <c r="I1230" s="56">
        <v>0</v>
      </c>
      <c r="J1230" s="56">
        <v>100000</v>
      </c>
      <c r="K1230" s="56">
        <v>100000</v>
      </c>
      <c r="L1230" t="s">
        <v>680</v>
      </c>
      <c r="M1230" s="71">
        <v>46198</v>
      </c>
      <c r="N1230" t="s">
        <v>576</v>
      </c>
    </row>
    <row r="1231" spans="3:14" hidden="1" x14ac:dyDescent="0.2">
      <c r="C1231" t="s">
        <v>118</v>
      </c>
      <c r="D1231" t="str">
        <f>VLOOKUP(C1231,'Master Anggota'!$E$2:$J$678,2,0)</f>
        <v>Aktif</v>
      </c>
      <c r="G1231" t="str">
        <f>VLOOKUP(C1231,'Master Anggota'!$E$2:$J$678,5,0)</f>
        <v>00544</v>
      </c>
      <c r="H1231" s="56">
        <v>0</v>
      </c>
      <c r="I1231" s="56">
        <v>0</v>
      </c>
      <c r="J1231" s="56">
        <v>100000</v>
      </c>
      <c r="K1231" s="56">
        <v>50000</v>
      </c>
      <c r="L1231" t="s">
        <v>680</v>
      </c>
      <c r="M1231" s="71">
        <v>46198</v>
      </c>
      <c r="N1231" t="s">
        <v>576</v>
      </c>
    </row>
    <row r="1232" spans="3:14" hidden="1" x14ac:dyDescent="0.2">
      <c r="C1232" t="s">
        <v>366</v>
      </c>
      <c r="D1232" t="str">
        <f>VLOOKUP(C1232,'Master Anggota'!$E$2:$J$678,2,0)</f>
        <v>Aktif</v>
      </c>
      <c r="G1232" t="str">
        <f>VLOOKUP(C1232,'Master Anggota'!$E$2:$J$678,5,0)</f>
        <v>00545</v>
      </c>
      <c r="H1232" s="56">
        <v>0</v>
      </c>
      <c r="I1232" s="56">
        <v>0</v>
      </c>
      <c r="J1232" s="56">
        <v>150000</v>
      </c>
      <c r="K1232" s="56">
        <v>50000</v>
      </c>
      <c r="L1232" t="s">
        <v>680</v>
      </c>
      <c r="M1232" s="71">
        <v>46198</v>
      </c>
      <c r="N1232" t="s">
        <v>576</v>
      </c>
    </row>
    <row r="1233" spans="3:14" hidden="1" x14ac:dyDescent="0.2">
      <c r="C1233" t="s">
        <v>35</v>
      </c>
      <c r="D1233" t="str">
        <f>VLOOKUP(C1233,'Master Anggota'!$E$2:$J$678,2,0)</f>
        <v>Aktif</v>
      </c>
      <c r="G1233" t="str">
        <f>VLOOKUP(C1233,'Master Anggota'!$E$2:$J$678,5,0)</f>
        <v>00546</v>
      </c>
      <c r="H1233" s="56">
        <v>0</v>
      </c>
      <c r="I1233" s="56">
        <v>0</v>
      </c>
      <c r="J1233" s="56">
        <v>100000</v>
      </c>
      <c r="K1233" s="56">
        <v>50000</v>
      </c>
      <c r="L1233" t="s">
        <v>680</v>
      </c>
      <c r="M1233" s="71">
        <v>46198</v>
      </c>
      <c r="N1233" t="s">
        <v>576</v>
      </c>
    </row>
    <row r="1234" spans="3:14" hidden="1" x14ac:dyDescent="0.2">
      <c r="C1234" t="s">
        <v>85</v>
      </c>
      <c r="D1234" t="str">
        <f>VLOOKUP(C1234,'Master Anggota'!$E$2:$J$678,2,0)</f>
        <v>Aktif</v>
      </c>
      <c r="G1234" t="str">
        <f>VLOOKUP(C1234,'Master Anggota'!$E$2:$J$678,5,0)</f>
        <v>00547</v>
      </c>
      <c r="H1234" s="56">
        <v>0</v>
      </c>
      <c r="I1234" s="56">
        <v>0</v>
      </c>
      <c r="J1234" s="56">
        <v>100000</v>
      </c>
      <c r="K1234" s="56">
        <v>100000</v>
      </c>
      <c r="L1234" t="s">
        <v>680</v>
      </c>
      <c r="M1234" s="71">
        <v>46198</v>
      </c>
      <c r="N1234" t="s">
        <v>576</v>
      </c>
    </row>
    <row r="1235" spans="3:14" hidden="1" x14ac:dyDescent="0.2">
      <c r="C1235" t="s">
        <v>153</v>
      </c>
      <c r="D1235" t="str">
        <f>VLOOKUP(C1235,'Master Anggota'!$E$2:$J$678,2,0)</f>
        <v>Aktif</v>
      </c>
      <c r="G1235" t="str">
        <f>VLOOKUP(C1235,'Master Anggota'!$E$2:$J$678,5,0)</f>
        <v>00548</v>
      </c>
      <c r="H1235" s="56">
        <v>0</v>
      </c>
      <c r="I1235" s="56">
        <v>0</v>
      </c>
      <c r="J1235" s="56">
        <v>100000</v>
      </c>
      <c r="K1235" s="56">
        <v>75000</v>
      </c>
      <c r="L1235" t="s">
        <v>680</v>
      </c>
      <c r="M1235" s="71">
        <v>46198</v>
      </c>
      <c r="N1235" t="s">
        <v>576</v>
      </c>
    </row>
    <row r="1236" spans="3:14" hidden="1" x14ac:dyDescent="0.2">
      <c r="C1236" t="s">
        <v>525</v>
      </c>
      <c r="D1236" t="str">
        <f>VLOOKUP(C1236,'Master Anggota'!$E$2:$J$678,2,0)</f>
        <v>Aktif</v>
      </c>
      <c r="G1236" t="str">
        <f>VLOOKUP(C1236,'Master Anggota'!$E$2:$J$678,5,0)</f>
        <v>00549</v>
      </c>
      <c r="H1236" s="56">
        <v>0</v>
      </c>
      <c r="I1236" s="56">
        <v>0</v>
      </c>
      <c r="J1236" s="56">
        <v>100000</v>
      </c>
      <c r="K1236" s="56">
        <v>100000</v>
      </c>
      <c r="L1236" t="s">
        <v>680</v>
      </c>
      <c r="M1236" s="71">
        <v>46198</v>
      </c>
      <c r="N1236" t="s">
        <v>576</v>
      </c>
    </row>
    <row r="1237" spans="3:14" hidden="1" x14ac:dyDescent="0.2">
      <c r="C1237" t="s">
        <v>105</v>
      </c>
      <c r="D1237" t="str">
        <f>VLOOKUP(C1237,'Master Anggota'!$E$2:$J$678,2,0)</f>
        <v>Aktif</v>
      </c>
      <c r="G1237" t="str">
        <f>VLOOKUP(C1237,'Master Anggota'!$E$2:$J$678,5,0)</f>
        <v>00551</v>
      </c>
      <c r="H1237" s="56">
        <v>0</v>
      </c>
      <c r="I1237" s="56">
        <v>0</v>
      </c>
      <c r="J1237" s="56">
        <v>150000</v>
      </c>
      <c r="K1237" s="56">
        <v>50000</v>
      </c>
      <c r="L1237" t="s">
        <v>680</v>
      </c>
      <c r="M1237" s="71">
        <v>46198</v>
      </c>
      <c r="N1237" t="s">
        <v>576</v>
      </c>
    </row>
    <row r="1238" spans="3:14" hidden="1" x14ac:dyDescent="0.2">
      <c r="C1238" t="s">
        <v>484</v>
      </c>
      <c r="D1238" t="str">
        <f>VLOOKUP(C1238,'Master Anggota'!$E$2:$J$678,2,0)</f>
        <v>Aktif</v>
      </c>
      <c r="G1238" t="str">
        <f>VLOOKUP(C1238,'Master Anggota'!$E$2:$J$678,5,0)</f>
        <v>00552</v>
      </c>
      <c r="H1238" s="56">
        <v>0</v>
      </c>
      <c r="I1238" s="56">
        <v>0</v>
      </c>
      <c r="J1238" s="56">
        <v>100000</v>
      </c>
      <c r="K1238" s="56">
        <v>200000</v>
      </c>
      <c r="L1238" t="s">
        <v>680</v>
      </c>
      <c r="M1238" s="71">
        <v>46198</v>
      </c>
      <c r="N1238" t="s">
        <v>576</v>
      </c>
    </row>
    <row r="1239" spans="3:14" hidden="1" x14ac:dyDescent="0.2">
      <c r="C1239" t="s">
        <v>8</v>
      </c>
      <c r="D1239" t="str">
        <f>VLOOKUP(C1239,'Master Anggota'!$E$2:$J$678,2,0)</f>
        <v>Aktif</v>
      </c>
      <c r="G1239" t="str">
        <f>VLOOKUP(C1239,'Master Anggota'!$E$2:$J$678,5,0)</f>
        <v>00553</v>
      </c>
      <c r="H1239" s="56">
        <v>0</v>
      </c>
      <c r="I1239" s="56">
        <v>0</v>
      </c>
      <c r="J1239" s="56">
        <v>100000</v>
      </c>
      <c r="K1239" s="56">
        <v>150000</v>
      </c>
      <c r="L1239" t="s">
        <v>680</v>
      </c>
      <c r="M1239" s="71">
        <v>46198</v>
      </c>
      <c r="N1239" t="s">
        <v>576</v>
      </c>
    </row>
    <row r="1240" spans="3:14" hidden="1" x14ac:dyDescent="0.2">
      <c r="C1240" t="s">
        <v>87</v>
      </c>
      <c r="D1240" t="str">
        <f>VLOOKUP(C1240,'Master Anggota'!$E$2:$J$678,2,0)</f>
        <v>Aktif</v>
      </c>
      <c r="G1240" t="str">
        <f>VLOOKUP(C1240,'Master Anggota'!$E$2:$J$678,5,0)</f>
        <v>00554</v>
      </c>
      <c r="H1240" s="56">
        <v>0</v>
      </c>
      <c r="I1240" s="56">
        <v>0</v>
      </c>
      <c r="J1240" s="56">
        <v>100000</v>
      </c>
      <c r="K1240" s="56">
        <v>100000</v>
      </c>
      <c r="L1240" t="s">
        <v>680</v>
      </c>
      <c r="M1240" s="71">
        <v>46198</v>
      </c>
      <c r="N1240" t="s">
        <v>576</v>
      </c>
    </row>
    <row r="1241" spans="3:14" hidden="1" x14ac:dyDescent="0.2">
      <c r="C1241" t="s">
        <v>174</v>
      </c>
      <c r="D1241" t="str">
        <f>VLOOKUP(C1241,'Master Anggota'!$E$2:$J$678,2,0)</f>
        <v>Aktif</v>
      </c>
      <c r="G1241" t="str">
        <f>VLOOKUP(C1241,'Master Anggota'!$E$2:$J$678,5,0)</f>
        <v>00556</v>
      </c>
      <c r="H1241" s="56">
        <v>0</v>
      </c>
      <c r="I1241" s="56">
        <v>0</v>
      </c>
      <c r="J1241" s="56">
        <v>100000</v>
      </c>
      <c r="K1241" s="56">
        <v>100000</v>
      </c>
      <c r="L1241" t="s">
        <v>680</v>
      </c>
      <c r="M1241" s="71">
        <v>46198</v>
      </c>
      <c r="N1241" t="s">
        <v>576</v>
      </c>
    </row>
    <row r="1242" spans="3:14" hidden="1" x14ac:dyDescent="0.2">
      <c r="C1242" t="s">
        <v>109</v>
      </c>
      <c r="D1242" t="str">
        <f>VLOOKUP(C1242,'Master Anggota'!$E$2:$J$678,2,0)</f>
        <v>Aktif</v>
      </c>
      <c r="G1242" t="str">
        <f>VLOOKUP(C1242,'Master Anggota'!$E$2:$J$678,5,0)</f>
        <v>00557</v>
      </c>
      <c r="H1242" s="56">
        <v>0</v>
      </c>
      <c r="I1242" s="56">
        <v>0</v>
      </c>
      <c r="J1242" s="56">
        <v>200000</v>
      </c>
      <c r="K1242" s="56">
        <v>200000</v>
      </c>
      <c r="L1242" t="s">
        <v>680</v>
      </c>
      <c r="M1242" s="71">
        <v>46198</v>
      </c>
      <c r="N1242" t="s">
        <v>576</v>
      </c>
    </row>
    <row r="1243" spans="3:14" hidden="1" x14ac:dyDescent="0.2">
      <c r="C1243" t="s">
        <v>276</v>
      </c>
      <c r="D1243" t="str">
        <f>VLOOKUP(C1243,'Master Anggota'!$E$2:$J$678,2,0)</f>
        <v>Aktif</v>
      </c>
      <c r="G1243" t="str">
        <f>VLOOKUP(C1243,'Master Anggota'!$E$2:$J$678,5,0)</f>
        <v>00558</v>
      </c>
      <c r="H1243" s="56">
        <v>0</v>
      </c>
      <c r="I1243" s="56">
        <v>0</v>
      </c>
      <c r="J1243" s="56">
        <v>200000</v>
      </c>
      <c r="K1243" s="56">
        <v>300000</v>
      </c>
      <c r="L1243" t="s">
        <v>680</v>
      </c>
      <c r="M1243" s="71">
        <v>46198</v>
      </c>
      <c r="N1243" t="s">
        <v>576</v>
      </c>
    </row>
    <row r="1244" spans="3:14" hidden="1" x14ac:dyDescent="0.2">
      <c r="C1244" t="s">
        <v>171</v>
      </c>
      <c r="D1244" t="str">
        <f>VLOOKUP(C1244,'Master Anggota'!$E$2:$J$678,2,0)</f>
        <v>Aktif</v>
      </c>
      <c r="G1244" t="str">
        <f>VLOOKUP(C1244,'Master Anggota'!$E$2:$J$678,5,0)</f>
        <v>00560</v>
      </c>
      <c r="H1244" s="56">
        <v>0</v>
      </c>
      <c r="I1244" s="56">
        <v>0</v>
      </c>
      <c r="J1244" s="56">
        <v>100000</v>
      </c>
      <c r="K1244" s="56">
        <v>100000</v>
      </c>
      <c r="L1244" t="s">
        <v>680</v>
      </c>
      <c r="M1244" s="71">
        <v>46198</v>
      </c>
      <c r="N1244" t="s">
        <v>576</v>
      </c>
    </row>
    <row r="1245" spans="3:14" hidden="1" x14ac:dyDescent="0.2">
      <c r="C1245" t="s">
        <v>175</v>
      </c>
      <c r="D1245" t="str">
        <f>VLOOKUP(C1245,'Master Anggota'!$E$2:$J$678,2,0)</f>
        <v>Aktif</v>
      </c>
      <c r="G1245" t="str">
        <f>VLOOKUP(C1245,'Master Anggota'!$E$2:$J$678,5,0)</f>
        <v>00563</v>
      </c>
      <c r="H1245" s="56">
        <v>0</v>
      </c>
      <c r="I1245" s="56">
        <v>0</v>
      </c>
      <c r="J1245" s="56">
        <v>100000</v>
      </c>
      <c r="K1245" s="56">
        <v>150000</v>
      </c>
      <c r="L1245" t="s">
        <v>680</v>
      </c>
      <c r="M1245" s="71">
        <v>46198</v>
      </c>
      <c r="N1245" t="s">
        <v>576</v>
      </c>
    </row>
    <row r="1246" spans="3:14" hidden="1" x14ac:dyDescent="0.2">
      <c r="C1246" t="s">
        <v>277</v>
      </c>
      <c r="D1246" t="str">
        <f>VLOOKUP(C1246,'Master Anggota'!$E$2:$J$678,2,0)</f>
        <v>Aktif</v>
      </c>
      <c r="G1246" t="str">
        <f>VLOOKUP(C1246,'Master Anggota'!$E$2:$J$678,5,0)</f>
        <v>00564</v>
      </c>
      <c r="H1246" s="56">
        <v>0</v>
      </c>
      <c r="I1246" s="56">
        <v>0</v>
      </c>
      <c r="J1246" s="56">
        <v>100000</v>
      </c>
      <c r="K1246" s="56">
        <v>100000</v>
      </c>
      <c r="L1246" t="s">
        <v>680</v>
      </c>
      <c r="M1246" s="71">
        <v>46198</v>
      </c>
      <c r="N1246" t="s">
        <v>576</v>
      </c>
    </row>
    <row r="1247" spans="3:14" hidden="1" x14ac:dyDescent="0.2">
      <c r="C1247" t="s">
        <v>182</v>
      </c>
      <c r="D1247" t="str">
        <f>VLOOKUP(C1247,'Master Anggota'!$E$2:$J$678,2,0)</f>
        <v>Aktif</v>
      </c>
      <c r="G1247" t="str">
        <f>VLOOKUP(C1247,'Master Anggota'!$E$2:$J$678,5,0)</f>
        <v>00565</v>
      </c>
      <c r="H1247" s="56">
        <v>0</v>
      </c>
      <c r="I1247" s="56">
        <v>0</v>
      </c>
      <c r="J1247" s="56">
        <v>100000</v>
      </c>
      <c r="K1247" s="56">
        <v>400000</v>
      </c>
      <c r="L1247" t="s">
        <v>680</v>
      </c>
      <c r="M1247" s="71">
        <v>46198</v>
      </c>
      <c r="N1247" t="s">
        <v>576</v>
      </c>
    </row>
    <row r="1248" spans="3:14" hidden="1" x14ac:dyDescent="0.2">
      <c r="C1248" t="s">
        <v>178</v>
      </c>
      <c r="D1248" t="str">
        <f>VLOOKUP(C1248,'Master Anggota'!$E$2:$J$678,2,0)</f>
        <v>Aktif</v>
      </c>
      <c r="G1248" t="str">
        <f>VLOOKUP(C1248,'Master Anggota'!$E$2:$J$678,5,0)</f>
        <v>00566</v>
      </c>
      <c r="H1248" s="56">
        <v>0</v>
      </c>
      <c r="I1248" s="56">
        <v>0</v>
      </c>
      <c r="J1248" s="56">
        <v>100000</v>
      </c>
      <c r="K1248" s="56">
        <v>150000</v>
      </c>
      <c r="L1248" t="s">
        <v>680</v>
      </c>
      <c r="M1248" s="71">
        <v>46198</v>
      </c>
      <c r="N1248" t="s">
        <v>576</v>
      </c>
    </row>
    <row r="1249" spans="3:14" hidden="1" x14ac:dyDescent="0.2">
      <c r="C1249" t="s">
        <v>183</v>
      </c>
      <c r="D1249" t="str">
        <f>VLOOKUP(C1249,'Master Anggota'!$E$2:$J$678,2,0)</f>
        <v>Aktif</v>
      </c>
      <c r="G1249" t="str">
        <f>VLOOKUP(C1249,'Master Anggota'!$E$2:$J$678,5,0)</f>
        <v>00567</v>
      </c>
      <c r="H1249" s="56">
        <v>0</v>
      </c>
      <c r="I1249" s="56">
        <v>0</v>
      </c>
      <c r="J1249" s="56">
        <v>200000</v>
      </c>
      <c r="K1249" s="56">
        <v>300000</v>
      </c>
      <c r="L1249" t="s">
        <v>680</v>
      </c>
      <c r="M1249" s="71">
        <v>46198</v>
      </c>
      <c r="N1249" t="s">
        <v>576</v>
      </c>
    </row>
    <row r="1250" spans="3:14" hidden="1" x14ac:dyDescent="0.2">
      <c r="C1250" t="s">
        <v>176</v>
      </c>
      <c r="D1250" t="str">
        <f>VLOOKUP(C1250,'Master Anggota'!$E$2:$J$678,2,0)</f>
        <v>Aktif</v>
      </c>
      <c r="G1250" t="str">
        <f>VLOOKUP(C1250,'Master Anggota'!$E$2:$J$678,5,0)</f>
        <v>00568</v>
      </c>
      <c r="H1250" s="56">
        <v>0</v>
      </c>
      <c r="I1250" s="56">
        <v>0</v>
      </c>
      <c r="J1250" s="56">
        <v>100000</v>
      </c>
      <c r="K1250" s="56">
        <v>100000</v>
      </c>
      <c r="L1250" t="s">
        <v>680</v>
      </c>
      <c r="M1250" s="71">
        <v>46198</v>
      </c>
      <c r="N1250" t="s">
        <v>576</v>
      </c>
    </row>
    <row r="1251" spans="3:14" hidden="1" x14ac:dyDescent="0.2">
      <c r="C1251" t="s">
        <v>177</v>
      </c>
      <c r="D1251" t="str">
        <f>VLOOKUP(C1251,'Master Anggota'!$E$2:$J$678,2,0)</f>
        <v>Aktif</v>
      </c>
      <c r="G1251" t="str">
        <f>VLOOKUP(C1251,'Master Anggota'!$E$2:$J$678,5,0)</f>
        <v>00569</v>
      </c>
      <c r="H1251" s="56">
        <v>0</v>
      </c>
      <c r="I1251" s="56">
        <v>0</v>
      </c>
      <c r="J1251" s="56">
        <v>100000</v>
      </c>
      <c r="K1251" s="56">
        <v>150000</v>
      </c>
      <c r="L1251" t="s">
        <v>680</v>
      </c>
      <c r="M1251" s="71">
        <v>46198</v>
      </c>
      <c r="N1251" t="s">
        <v>576</v>
      </c>
    </row>
    <row r="1252" spans="3:14" hidden="1" x14ac:dyDescent="0.2">
      <c r="C1252" t="s">
        <v>362</v>
      </c>
      <c r="D1252" t="str">
        <f>VLOOKUP(C1252,'Master Anggota'!$E$2:$J$678,2,0)</f>
        <v>Aktif</v>
      </c>
      <c r="G1252" t="str">
        <f>VLOOKUP(C1252,'Master Anggota'!$E$2:$J$678,5,0)</f>
        <v>00570</v>
      </c>
      <c r="H1252" s="56">
        <v>0</v>
      </c>
      <c r="I1252" s="56">
        <v>0</v>
      </c>
      <c r="J1252" s="56">
        <v>100000</v>
      </c>
      <c r="K1252" s="56">
        <v>500000</v>
      </c>
      <c r="L1252" t="s">
        <v>680</v>
      </c>
      <c r="M1252" s="71">
        <v>46198</v>
      </c>
      <c r="N1252" t="s">
        <v>576</v>
      </c>
    </row>
    <row r="1253" spans="3:14" hidden="1" x14ac:dyDescent="0.2">
      <c r="C1253" t="s">
        <v>291</v>
      </c>
      <c r="D1253" t="str">
        <f>VLOOKUP(C1253,'Master Anggota'!$E$2:$J$678,2,0)</f>
        <v>Aktif</v>
      </c>
      <c r="G1253" t="str">
        <f>VLOOKUP(C1253,'Master Anggota'!$E$2:$J$678,5,0)</f>
        <v>00574</v>
      </c>
      <c r="H1253" s="56">
        <v>0</v>
      </c>
      <c r="I1253" s="56">
        <v>0</v>
      </c>
      <c r="J1253" s="56">
        <v>100000</v>
      </c>
      <c r="K1253" s="56">
        <v>75000</v>
      </c>
      <c r="L1253" t="s">
        <v>680</v>
      </c>
      <c r="M1253" s="71">
        <v>46198</v>
      </c>
      <c r="N1253" t="s">
        <v>576</v>
      </c>
    </row>
    <row r="1254" spans="3:14" hidden="1" x14ac:dyDescent="0.2">
      <c r="C1254" t="s">
        <v>704</v>
      </c>
      <c r="D1254" t="str">
        <f>VLOOKUP(C1254,'Master Anggota'!$E$2:$J$678,2,0)</f>
        <v>Aktif</v>
      </c>
      <c r="G1254" t="str">
        <f>VLOOKUP(C1254,'Master Anggota'!$E$2:$J$678,5,0)</f>
        <v>00575</v>
      </c>
      <c r="H1254" s="56">
        <v>0</v>
      </c>
      <c r="I1254" s="56">
        <v>0</v>
      </c>
      <c r="J1254" s="56">
        <v>150000</v>
      </c>
      <c r="K1254" s="56">
        <v>100000</v>
      </c>
      <c r="L1254" t="s">
        <v>680</v>
      </c>
      <c r="M1254" s="71">
        <v>46198</v>
      </c>
      <c r="N1254" t="s">
        <v>576</v>
      </c>
    </row>
    <row r="1255" spans="3:14" hidden="1" x14ac:dyDescent="0.2">
      <c r="C1255" t="s">
        <v>363</v>
      </c>
      <c r="D1255" t="str">
        <f>VLOOKUP(C1255,'Master Anggota'!$E$2:$J$678,2,0)</f>
        <v>Aktif</v>
      </c>
      <c r="G1255" t="str">
        <f>VLOOKUP(C1255,'Master Anggota'!$E$2:$J$678,5,0)</f>
        <v>00576</v>
      </c>
      <c r="H1255" s="56">
        <v>0</v>
      </c>
      <c r="I1255" s="56">
        <v>0</v>
      </c>
      <c r="J1255" s="56">
        <v>100000</v>
      </c>
      <c r="K1255" s="56">
        <v>100000</v>
      </c>
      <c r="L1255" t="s">
        <v>680</v>
      </c>
      <c r="M1255" s="71">
        <v>46198</v>
      </c>
      <c r="N1255" t="s">
        <v>576</v>
      </c>
    </row>
    <row r="1256" spans="3:14" hidden="1" x14ac:dyDescent="0.2">
      <c r="C1256" t="s">
        <v>365</v>
      </c>
      <c r="D1256" t="str">
        <f>VLOOKUP(C1256,'Master Anggota'!$E$2:$J$678,2,0)</f>
        <v>Aktif</v>
      </c>
      <c r="G1256" t="str">
        <f>VLOOKUP(C1256,'Master Anggota'!$E$2:$J$678,5,0)</f>
        <v>00576</v>
      </c>
      <c r="H1256" s="56">
        <v>0</v>
      </c>
      <c r="I1256" s="56">
        <v>0</v>
      </c>
      <c r="J1256" s="56">
        <v>100000</v>
      </c>
      <c r="K1256" s="56">
        <v>50000</v>
      </c>
      <c r="L1256" t="s">
        <v>680</v>
      </c>
      <c r="M1256" s="71">
        <v>46198</v>
      </c>
      <c r="N1256" t="s">
        <v>576</v>
      </c>
    </row>
    <row r="1257" spans="3:14" hidden="1" x14ac:dyDescent="0.2">
      <c r="C1257" t="s">
        <v>467</v>
      </c>
      <c r="D1257" t="str">
        <f>VLOOKUP(C1257,'Master Anggota'!$E$2:$J$678,2,0)</f>
        <v>Aktif</v>
      </c>
      <c r="G1257" t="str">
        <f>VLOOKUP(C1257,'Master Anggota'!$E$2:$J$678,5,0)</f>
        <v>00577</v>
      </c>
      <c r="H1257" s="56">
        <v>0</v>
      </c>
      <c r="I1257" s="56">
        <v>0</v>
      </c>
      <c r="J1257" s="56">
        <v>100000</v>
      </c>
      <c r="K1257" s="56">
        <v>150000</v>
      </c>
      <c r="L1257" t="s">
        <v>680</v>
      </c>
      <c r="M1257" s="71">
        <v>46198</v>
      </c>
      <c r="N1257" t="s">
        <v>576</v>
      </c>
    </row>
    <row r="1258" spans="3:14" hidden="1" x14ac:dyDescent="0.2">
      <c r="C1258" t="s">
        <v>364</v>
      </c>
      <c r="D1258" t="str">
        <f>VLOOKUP(C1258,'Master Anggota'!$E$2:$J$678,2,0)</f>
        <v>Aktif</v>
      </c>
      <c r="G1258" t="str">
        <f>VLOOKUP(C1258,'Master Anggota'!$E$2:$J$678,5,0)</f>
        <v>00578</v>
      </c>
      <c r="H1258" s="56">
        <v>0</v>
      </c>
      <c r="I1258" s="56">
        <v>0</v>
      </c>
      <c r="J1258" s="56">
        <v>100000</v>
      </c>
      <c r="K1258" s="56">
        <v>100000</v>
      </c>
      <c r="L1258" t="s">
        <v>680</v>
      </c>
      <c r="M1258" s="71">
        <v>46198</v>
      </c>
      <c r="N1258" t="s">
        <v>576</v>
      </c>
    </row>
    <row r="1259" spans="3:14" hidden="1" x14ac:dyDescent="0.2">
      <c r="C1259" t="s">
        <v>523</v>
      </c>
      <c r="D1259" t="str">
        <f>VLOOKUP(C1259,'Master Anggota'!$E$2:$J$678,2,0)</f>
        <v>Aktif</v>
      </c>
      <c r="G1259" t="str">
        <f>VLOOKUP(C1259,'Master Anggota'!$E$2:$J$678,5,0)</f>
        <v>00579</v>
      </c>
      <c r="H1259" s="56">
        <v>0</v>
      </c>
      <c r="I1259" s="56">
        <v>0</v>
      </c>
      <c r="J1259" s="56">
        <v>100000</v>
      </c>
      <c r="K1259" s="56">
        <v>200000</v>
      </c>
      <c r="L1259" t="s">
        <v>680</v>
      </c>
      <c r="M1259" s="71">
        <v>46198</v>
      </c>
      <c r="N1259" t="s">
        <v>576</v>
      </c>
    </row>
    <row r="1260" spans="3:14" hidden="1" x14ac:dyDescent="0.2">
      <c r="C1260" t="s">
        <v>110</v>
      </c>
      <c r="D1260" t="str">
        <f>VLOOKUP(C1260,'Master Anggota'!$E$2:$J$678,2,0)</f>
        <v>Aktif</v>
      </c>
      <c r="G1260" t="str">
        <f>VLOOKUP(C1260,'Master Anggota'!$E$2:$J$678,5,0)</f>
        <v>00580</v>
      </c>
      <c r="H1260" s="56">
        <v>0</v>
      </c>
      <c r="I1260" s="56">
        <v>0</v>
      </c>
      <c r="J1260" s="56">
        <v>100000</v>
      </c>
      <c r="K1260" s="56">
        <v>50000</v>
      </c>
      <c r="L1260" t="s">
        <v>680</v>
      </c>
      <c r="M1260" s="71">
        <v>46198</v>
      </c>
      <c r="N1260" t="s">
        <v>576</v>
      </c>
    </row>
    <row r="1261" spans="3:14" hidden="1" x14ac:dyDescent="0.2">
      <c r="C1261" t="s">
        <v>187</v>
      </c>
      <c r="D1261" t="str">
        <f>VLOOKUP(C1261,'Master Anggota'!$E$2:$J$678,2,0)</f>
        <v>Aktif</v>
      </c>
      <c r="G1261" t="str">
        <f>VLOOKUP(C1261,'Master Anggota'!$E$2:$J$678,5,0)</f>
        <v>00582</v>
      </c>
      <c r="H1261" s="56">
        <v>0</v>
      </c>
      <c r="I1261" s="56">
        <v>0</v>
      </c>
      <c r="J1261" s="56">
        <v>200000</v>
      </c>
      <c r="K1261" s="56">
        <v>300000</v>
      </c>
      <c r="L1261" t="s">
        <v>680</v>
      </c>
      <c r="M1261" s="71">
        <v>46198</v>
      </c>
      <c r="N1261" t="s">
        <v>576</v>
      </c>
    </row>
    <row r="1262" spans="3:14" hidden="1" x14ac:dyDescent="0.2">
      <c r="C1262" t="s">
        <v>173</v>
      </c>
      <c r="D1262" t="str">
        <f>VLOOKUP(C1262,'Master Anggota'!$E$2:$J$678,2,0)</f>
        <v>Aktif</v>
      </c>
      <c r="G1262" t="str">
        <f>VLOOKUP(C1262,'Master Anggota'!$E$2:$J$678,5,0)</f>
        <v>00583</v>
      </c>
      <c r="H1262" s="56">
        <v>0</v>
      </c>
      <c r="I1262" s="56">
        <v>0</v>
      </c>
      <c r="J1262" s="56">
        <v>100000</v>
      </c>
      <c r="K1262" s="56">
        <v>100000</v>
      </c>
      <c r="L1262" t="s">
        <v>680</v>
      </c>
      <c r="M1262" s="71">
        <v>46198</v>
      </c>
      <c r="N1262" t="s">
        <v>576</v>
      </c>
    </row>
    <row r="1263" spans="3:14" hidden="1" x14ac:dyDescent="0.2">
      <c r="C1263" t="s">
        <v>172</v>
      </c>
      <c r="D1263" t="str">
        <f>VLOOKUP(C1263,'Master Anggota'!$E$2:$J$678,2,0)</f>
        <v>Aktif</v>
      </c>
      <c r="G1263" t="str">
        <f>VLOOKUP(C1263,'Master Anggota'!$E$2:$J$678,5,0)</f>
        <v>00584</v>
      </c>
      <c r="H1263" s="56">
        <v>0</v>
      </c>
      <c r="I1263" s="56">
        <v>0</v>
      </c>
      <c r="J1263" s="56">
        <v>100000</v>
      </c>
      <c r="K1263" s="56">
        <v>100000</v>
      </c>
      <c r="L1263" t="s">
        <v>680</v>
      </c>
      <c r="M1263" s="71">
        <v>46198</v>
      </c>
      <c r="N1263" t="s">
        <v>576</v>
      </c>
    </row>
    <row r="1264" spans="3:14" hidden="1" x14ac:dyDescent="0.2">
      <c r="C1264" t="s">
        <v>300</v>
      </c>
      <c r="D1264" t="str">
        <f>VLOOKUP(C1264,'Master Anggota'!$E$2:$J$678,2,0)</f>
        <v>Aktif</v>
      </c>
      <c r="G1264" t="str">
        <f>VLOOKUP(C1264,'Master Anggota'!$E$2:$J$678,5,0)</f>
        <v>00585</v>
      </c>
      <c r="H1264" s="56">
        <v>0</v>
      </c>
      <c r="I1264" s="56">
        <v>0</v>
      </c>
      <c r="J1264" s="56">
        <v>100000</v>
      </c>
      <c r="K1264" s="56">
        <v>125000</v>
      </c>
      <c r="L1264" t="s">
        <v>680</v>
      </c>
      <c r="M1264" s="71">
        <v>46198</v>
      </c>
      <c r="N1264" t="s">
        <v>576</v>
      </c>
    </row>
    <row r="1265" spans="3:14" hidden="1" x14ac:dyDescent="0.2">
      <c r="C1265" t="s">
        <v>314</v>
      </c>
      <c r="D1265" t="str">
        <f>VLOOKUP(C1265,'Master Anggota'!$E$2:$J$678,2,0)</f>
        <v>Purna Bakti 2026</v>
      </c>
      <c r="G1265" t="str">
        <f>VLOOKUP(C1265,'Master Anggota'!$E$2:$J$678,5,0)</f>
        <v>00587</v>
      </c>
      <c r="H1265" s="56">
        <v>0</v>
      </c>
      <c r="I1265" s="56">
        <v>0</v>
      </c>
      <c r="J1265" s="56">
        <v>100000</v>
      </c>
      <c r="K1265" s="56">
        <v>400000</v>
      </c>
      <c r="L1265" t="s">
        <v>680</v>
      </c>
      <c r="M1265" s="71">
        <v>46198</v>
      </c>
      <c r="N1265" t="s">
        <v>576</v>
      </c>
    </row>
    <row r="1266" spans="3:14" hidden="1" x14ac:dyDescent="0.2">
      <c r="C1266" t="s">
        <v>186</v>
      </c>
      <c r="D1266" t="str">
        <f>VLOOKUP(C1266,'Master Anggota'!$E$2:$J$678,2,0)</f>
        <v>Aktif</v>
      </c>
      <c r="G1266" t="str">
        <f>VLOOKUP(C1266,'Master Anggota'!$E$2:$J$678,5,0)</f>
        <v>00588</v>
      </c>
      <c r="H1266" s="56">
        <v>0</v>
      </c>
      <c r="I1266" s="56">
        <v>0</v>
      </c>
      <c r="J1266" s="56">
        <v>100000</v>
      </c>
      <c r="K1266" s="56">
        <v>250000</v>
      </c>
      <c r="L1266" t="s">
        <v>680</v>
      </c>
      <c r="M1266" s="71">
        <v>46198</v>
      </c>
      <c r="N1266" t="s">
        <v>576</v>
      </c>
    </row>
    <row r="1267" spans="3:14" hidden="1" x14ac:dyDescent="0.2">
      <c r="C1267" t="s">
        <v>306</v>
      </c>
      <c r="D1267" t="str">
        <f>VLOOKUP(C1267,'Master Anggota'!$E$2:$J$678,2,0)</f>
        <v>Aktif</v>
      </c>
      <c r="G1267" t="str">
        <f>VLOOKUP(C1267,'Master Anggota'!$E$2:$J$678,5,0)</f>
        <v>00589</v>
      </c>
      <c r="H1267" s="56">
        <v>0</v>
      </c>
      <c r="I1267" s="56">
        <v>0</v>
      </c>
      <c r="J1267" s="56">
        <v>100000</v>
      </c>
      <c r="K1267" s="56">
        <v>100000</v>
      </c>
      <c r="L1267" t="s">
        <v>680</v>
      </c>
      <c r="M1267" s="71">
        <v>46198</v>
      </c>
      <c r="N1267" t="s">
        <v>576</v>
      </c>
    </row>
    <row r="1268" spans="3:14" hidden="1" x14ac:dyDescent="0.2">
      <c r="C1268" t="s">
        <v>307</v>
      </c>
      <c r="D1268" t="str">
        <f>VLOOKUP(C1268,'Master Anggota'!$E$2:$J$678,2,0)</f>
        <v>Aktif</v>
      </c>
      <c r="G1268" t="str">
        <f>VLOOKUP(C1268,'Master Anggota'!$E$2:$J$678,5,0)</f>
        <v>00591</v>
      </c>
      <c r="H1268" s="56">
        <v>0</v>
      </c>
      <c r="I1268" s="56">
        <v>0</v>
      </c>
      <c r="J1268" s="56">
        <v>150000</v>
      </c>
      <c r="K1268" s="56">
        <v>350000</v>
      </c>
      <c r="L1268" t="s">
        <v>680</v>
      </c>
      <c r="M1268" s="71">
        <v>46198</v>
      </c>
      <c r="N1268" t="s">
        <v>576</v>
      </c>
    </row>
    <row r="1269" spans="3:14" hidden="1" x14ac:dyDescent="0.2">
      <c r="C1269" t="s">
        <v>389</v>
      </c>
      <c r="D1269" t="str">
        <f>VLOOKUP(C1269,'Master Anggota'!$E$2:$J$678,2,0)</f>
        <v>Aktif</v>
      </c>
      <c r="G1269" t="str">
        <f>VLOOKUP(C1269,'Master Anggota'!$E$2:$J$678,5,0)</f>
        <v>00593</v>
      </c>
      <c r="H1269" s="56">
        <v>0</v>
      </c>
      <c r="I1269" s="56">
        <v>0</v>
      </c>
      <c r="J1269" s="56">
        <v>100000</v>
      </c>
      <c r="K1269" s="56">
        <v>250000</v>
      </c>
      <c r="L1269" t="s">
        <v>680</v>
      </c>
      <c r="M1269" s="71">
        <v>46198</v>
      </c>
      <c r="N1269" t="s">
        <v>576</v>
      </c>
    </row>
    <row r="1270" spans="3:14" hidden="1" x14ac:dyDescent="0.2">
      <c r="C1270" t="s">
        <v>188</v>
      </c>
      <c r="D1270" t="str">
        <f>VLOOKUP(C1270,'Master Anggota'!$E$2:$J$678,2,0)</f>
        <v>Aktif</v>
      </c>
      <c r="G1270" t="str">
        <f>VLOOKUP(C1270,'Master Anggota'!$E$2:$J$678,5,0)</f>
        <v>00596</v>
      </c>
      <c r="H1270" s="56">
        <v>0</v>
      </c>
      <c r="I1270" s="56">
        <v>0</v>
      </c>
      <c r="J1270" s="56">
        <v>100000</v>
      </c>
      <c r="K1270" s="56">
        <v>500000</v>
      </c>
      <c r="L1270" t="s">
        <v>680</v>
      </c>
      <c r="M1270" s="71">
        <v>46198</v>
      </c>
      <c r="N1270" t="s">
        <v>576</v>
      </c>
    </row>
    <row r="1271" spans="3:14" hidden="1" x14ac:dyDescent="0.2">
      <c r="C1271" t="s">
        <v>705</v>
      </c>
      <c r="D1271" t="str">
        <f>VLOOKUP(C1271,'Master Anggota'!$E$2:$J$678,2,0)</f>
        <v>Aktif</v>
      </c>
      <c r="G1271" t="str">
        <f>VLOOKUP(C1271,'Master Anggota'!$E$2:$J$678,5,0)</f>
        <v>00601</v>
      </c>
      <c r="H1271" s="56">
        <v>0</v>
      </c>
      <c r="I1271" s="56">
        <v>0</v>
      </c>
      <c r="J1271" s="56">
        <v>100000</v>
      </c>
      <c r="K1271" s="56">
        <v>20000</v>
      </c>
      <c r="L1271" t="s">
        <v>680</v>
      </c>
      <c r="M1271" s="71">
        <v>46198</v>
      </c>
      <c r="N1271" t="s">
        <v>576</v>
      </c>
    </row>
    <row r="1272" spans="3:14" hidden="1" x14ac:dyDescent="0.2">
      <c r="C1272" t="s">
        <v>309</v>
      </c>
      <c r="D1272" t="str">
        <f>VLOOKUP(C1272,'Master Anggota'!$E$2:$J$678,2,0)</f>
        <v>Aktif</v>
      </c>
      <c r="G1272" t="str">
        <f>VLOOKUP(C1272,'Master Anggota'!$E$2:$J$678,5,0)</f>
        <v>00602</v>
      </c>
      <c r="H1272" s="56">
        <v>0</v>
      </c>
      <c r="I1272" s="56">
        <v>0</v>
      </c>
      <c r="J1272" s="56">
        <v>100000</v>
      </c>
      <c r="K1272" s="56">
        <v>50000</v>
      </c>
      <c r="L1272" t="s">
        <v>680</v>
      </c>
      <c r="M1272" s="71">
        <v>46198</v>
      </c>
      <c r="N1272" t="s">
        <v>576</v>
      </c>
    </row>
    <row r="1273" spans="3:14" hidden="1" x14ac:dyDescent="0.2">
      <c r="C1273" t="s">
        <v>326</v>
      </c>
      <c r="D1273" t="str">
        <f>VLOOKUP(C1273,'Master Anggota'!$E$2:$J$678,2,0)</f>
        <v>Aktif</v>
      </c>
      <c r="G1273" t="str">
        <f>VLOOKUP(C1273,'Master Anggota'!$E$2:$J$678,5,0)</f>
        <v>00608</v>
      </c>
      <c r="H1273" s="56">
        <v>0</v>
      </c>
      <c r="I1273" s="56">
        <v>0</v>
      </c>
      <c r="J1273" s="56">
        <v>100000</v>
      </c>
      <c r="K1273" s="56">
        <v>100000</v>
      </c>
      <c r="L1273" t="s">
        <v>680</v>
      </c>
      <c r="M1273" s="71">
        <v>46198</v>
      </c>
      <c r="N1273" t="s">
        <v>576</v>
      </c>
    </row>
    <row r="1274" spans="3:14" hidden="1" x14ac:dyDescent="0.2">
      <c r="C1274" t="s">
        <v>706</v>
      </c>
      <c r="D1274" t="str">
        <f>VLOOKUP(C1274,'Master Anggota'!$E$2:$J$678,2,0)</f>
        <v>Aktif</v>
      </c>
      <c r="G1274" t="str">
        <f>VLOOKUP(C1274,'Master Anggota'!$E$2:$J$678,5,0)</f>
        <v>00609</v>
      </c>
      <c r="H1274" s="56">
        <v>0</v>
      </c>
      <c r="I1274" s="56">
        <v>0</v>
      </c>
      <c r="J1274" s="56">
        <v>100000</v>
      </c>
      <c r="K1274" s="56">
        <v>25000</v>
      </c>
      <c r="L1274" t="s">
        <v>680</v>
      </c>
      <c r="M1274" s="71">
        <v>46198</v>
      </c>
      <c r="N1274" t="s">
        <v>576</v>
      </c>
    </row>
    <row r="1275" spans="3:14" hidden="1" x14ac:dyDescent="0.2">
      <c r="C1275" t="s">
        <v>370</v>
      </c>
      <c r="D1275" t="str">
        <f>VLOOKUP(C1275,'Master Anggota'!$E$2:$J$678,2,0)</f>
        <v>Aktif</v>
      </c>
      <c r="G1275" t="str">
        <f>VLOOKUP(C1275,'Master Anggota'!$E$2:$J$678,5,0)</f>
        <v>00610</v>
      </c>
      <c r="H1275" s="56">
        <v>0</v>
      </c>
      <c r="I1275" s="56">
        <v>0</v>
      </c>
      <c r="J1275" s="56">
        <v>100000</v>
      </c>
      <c r="K1275" s="56">
        <v>500000</v>
      </c>
      <c r="L1275" t="s">
        <v>680</v>
      </c>
      <c r="M1275" s="71">
        <v>46198</v>
      </c>
      <c r="N1275" t="s">
        <v>576</v>
      </c>
    </row>
    <row r="1276" spans="3:14" hidden="1" x14ac:dyDescent="0.2">
      <c r="C1276" t="s">
        <v>519</v>
      </c>
      <c r="D1276" t="str">
        <f>VLOOKUP(C1276,'Master Anggota'!$E$2:$J$678,2,0)</f>
        <v>Aktif</v>
      </c>
      <c r="G1276" t="str">
        <f>VLOOKUP(C1276,'Master Anggota'!$E$2:$J$678,5,0)</f>
        <v>00611</v>
      </c>
      <c r="H1276" s="56">
        <v>0</v>
      </c>
      <c r="I1276" s="56">
        <v>0</v>
      </c>
      <c r="J1276" s="56">
        <v>100000</v>
      </c>
      <c r="K1276" s="56">
        <v>100000</v>
      </c>
      <c r="L1276" t="s">
        <v>680</v>
      </c>
      <c r="M1276" s="71">
        <v>46198</v>
      </c>
      <c r="N1276" t="s">
        <v>576</v>
      </c>
    </row>
    <row r="1277" spans="3:14" hidden="1" x14ac:dyDescent="0.2">
      <c r="C1277" t="s">
        <v>442</v>
      </c>
      <c r="D1277" t="str">
        <f>VLOOKUP(C1277,'Master Anggota'!$E$2:$J$678,2,0)</f>
        <v>Aktif</v>
      </c>
      <c r="G1277" t="str">
        <f>VLOOKUP(C1277,'Master Anggota'!$E$2:$J$678,5,0)</f>
        <v>00613</v>
      </c>
      <c r="H1277" s="56">
        <v>0</v>
      </c>
      <c r="I1277" s="56">
        <v>0</v>
      </c>
      <c r="J1277" s="56">
        <v>100000</v>
      </c>
      <c r="K1277" s="56">
        <v>150000</v>
      </c>
      <c r="L1277" t="s">
        <v>680</v>
      </c>
      <c r="M1277" s="71">
        <v>46198</v>
      </c>
      <c r="N1277" t="s">
        <v>576</v>
      </c>
    </row>
    <row r="1278" spans="3:14" hidden="1" x14ac:dyDescent="0.2">
      <c r="C1278" t="s">
        <v>400</v>
      </c>
      <c r="D1278" t="str">
        <f>VLOOKUP(C1278,'Master Anggota'!$E$2:$J$678,2,0)</f>
        <v>Aktif</v>
      </c>
      <c r="G1278" t="str">
        <f>VLOOKUP(C1278,'Master Anggota'!$E$2:$J$678,5,0)</f>
        <v>00614</v>
      </c>
      <c r="H1278" s="56">
        <v>0</v>
      </c>
      <c r="I1278" s="56">
        <v>0</v>
      </c>
      <c r="J1278" s="56">
        <v>100000</v>
      </c>
      <c r="K1278" s="56">
        <v>100000</v>
      </c>
      <c r="L1278" t="s">
        <v>680</v>
      </c>
      <c r="M1278" s="71">
        <v>46198</v>
      </c>
      <c r="N1278" t="s">
        <v>576</v>
      </c>
    </row>
    <row r="1279" spans="3:14" hidden="1" x14ac:dyDescent="0.2">
      <c r="C1279" t="s">
        <v>438</v>
      </c>
      <c r="D1279" t="str">
        <f>VLOOKUP(C1279,'Master Anggota'!$E$2:$J$678,2,0)</f>
        <v>Aktif</v>
      </c>
      <c r="G1279" t="str">
        <f>VLOOKUP(C1279,'Master Anggota'!$E$2:$J$678,5,0)</f>
        <v>00616</v>
      </c>
      <c r="H1279" s="56">
        <v>0</v>
      </c>
      <c r="I1279" s="56">
        <v>0</v>
      </c>
      <c r="J1279" s="56">
        <v>100000</v>
      </c>
      <c r="K1279" s="56">
        <v>250000</v>
      </c>
      <c r="L1279" t="s">
        <v>680</v>
      </c>
      <c r="M1279" s="71">
        <v>46198</v>
      </c>
      <c r="N1279" t="s">
        <v>576</v>
      </c>
    </row>
    <row r="1280" spans="3:14" hidden="1" x14ac:dyDescent="0.2">
      <c r="C1280" t="s">
        <v>312</v>
      </c>
      <c r="D1280" t="str">
        <f>VLOOKUP(C1280,'Master Anggota'!$E$2:$J$678,2,0)</f>
        <v>Aktif</v>
      </c>
      <c r="G1280" t="str">
        <f>VLOOKUP(C1280,'Master Anggota'!$E$2:$J$678,5,0)</f>
        <v>00621</v>
      </c>
      <c r="H1280" s="56">
        <v>0</v>
      </c>
      <c r="I1280" s="56">
        <v>0</v>
      </c>
      <c r="J1280" s="56">
        <v>100000</v>
      </c>
      <c r="K1280" s="56">
        <v>100000</v>
      </c>
      <c r="L1280" t="s">
        <v>680</v>
      </c>
      <c r="M1280" s="71">
        <v>46198</v>
      </c>
      <c r="N1280" t="s">
        <v>576</v>
      </c>
    </row>
    <row r="1281" spans="3:14" hidden="1" x14ac:dyDescent="0.2">
      <c r="C1281" t="s">
        <v>452</v>
      </c>
      <c r="D1281" t="str">
        <f>VLOOKUP(C1281,'Master Anggota'!$E$2:$J$678,2,0)</f>
        <v>Aktif</v>
      </c>
      <c r="G1281" t="str">
        <f>VLOOKUP(C1281,'Master Anggota'!$E$2:$J$678,5,0)</f>
        <v>00623</v>
      </c>
      <c r="H1281" s="56">
        <v>0</v>
      </c>
      <c r="I1281" s="56">
        <v>0</v>
      </c>
      <c r="J1281" s="56">
        <v>100000</v>
      </c>
      <c r="K1281" s="56">
        <v>50000</v>
      </c>
      <c r="L1281" t="s">
        <v>680</v>
      </c>
      <c r="M1281" s="71">
        <v>46198</v>
      </c>
      <c r="N1281" t="s">
        <v>576</v>
      </c>
    </row>
    <row r="1282" spans="3:14" hidden="1" x14ac:dyDescent="0.2">
      <c r="C1282" t="s">
        <v>324</v>
      </c>
      <c r="D1282" t="str">
        <f>VLOOKUP(C1282,'Master Anggota'!$E$2:$J$678,2,0)</f>
        <v>Aktif</v>
      </c>
      <c r="G1282" t="str">
        <f>VLOOKUP(C1282,'Master Anggota'!$E$2:$J$678,5,0)</f>
        <v>00626</v>
      </c>
      <c r="H1282" s="56">
        <v>0</v>
      </c>
      <c r="I1282" s="56">
        <v>0</v>
      </c>
      <c r="J1282" s="56">
        <v>100000</v>
      </c>
      <c r="K1282" s="56">
        <v>200000</v>
      </c>
      <c r="L1282" t="s">
        <v>680</v>
      </c>
      <c r="M1282" s="71">
        <v>46198</v>
      </c>
      <c r="N1282" t="s">
        <v>576</v>
      </c>
    </row>
    <row r="1283" spans="3:14" hidden="1" x14ac:dyDescent="0.2">
      <c r="C1283" t="s">
        <v>445</v>
      </c>
      <c r="D1283" t="str">
        <f>VLOOKUP(C1283,'Master Anggota'!$E$2:$J$678,2,0)</f>
        <v>Aktif</v>
      </c>
      <c r="G1283" t="str">
        <f>VLOOKUP(C1283,'Master Anggota'!$E$2:$J$678,5,0)</f>
        <v>00628</v>
      </c>
      <c r="H1283" s="56">
        <v>0</v>
      </c>
      <c r="I1283" s="56">
        <v>0</v>
      </c>
      <c r="J1283" s="56">
        <v>100000</v>
      </c>
      <c r="K1283" s="56">
        <v>150000</v>
      </c>
      <c r="L1283" t="s">
        <v>680</v>
      </c>
      <c r="M1283" s="71">
        <v>46198</v>
      </c>
      <c r="N1283" t="s">
        <v>576</v>
      </c>
    </row>
    <row r="1284" spans="3:14" hidden="1" x14ac:dyDescent="0.2">
      <c r="C1284" t="s">
        <v>425</v>
      </c>
      <c r="D1284" t="str">
        <f>VLOOKUP(C1284,'Master Anggota'!$E$2:$J$678,2,0)</f>
        <v>Aktif</v>
      </c>
      <c r="G1284" t="str">
        <f>VLOOKUP(C1284,'Master Anggota'!$E$2:$J$678,5,0)</f>
        <v>00629</v>
      </c>
      <c r="H1284" s="56">
        <v>0</v>
      </c>
      <c r="I1284" s="56">
        <v>0</v>
      </c>
      <c r="J1284" s="56">
        <v>100000</v>
      </c>
      <c r="K1284" s="56">
        <v>50000</v>
      </c>
      <c r="L1284" t="s">
        <v>680</v>
      </c>
      <c r="M1284" s="71">
        <v>46198</v>
      </c>
      <c r="N1284" t="s">
        <v>576</v>
      </c>
    </row>
    <row r="1285" spans="3:14" hidden="1" x14ac:dyDescent="0.2">
      <c r="C1285" t="s">
        <v>157</v>
      </c>
      <c r="D1285" t="str">
        <f>VLOOKUP(C1285,'Master Anggota'!$E$2:$J$678,2,0)</f>
        <v>Aktif</v>
      </c>
      <c r="G1285" t="str">
        <f>VLOOKUP(C1285,'Master Anggota'!$E$2:$J$678,5,0)</f>
        <v>00633</v>
      </c>
      <c r="H1285" s="56">
        <v>0</v>
      </c>
      <c r="I1285" s="56">
        <v>0</v>
      </c>
      <c r="J1285" s="56">
        <v>100000</v>
      </c>
      <c r="K1285" s="56">
        <v>12500</v>
      </c>
      <c r="L1285" t="s">
        <v>680</v>
      </c>
      <c r="M1285" s="71">
        <v>46198</v>
      </c>
      <c r="N1285" t="s">
        <v>576</v>
      </c>
    </row>
    <row r="1286" spans="3:14" hidden="1" x14ac:dyDescent="0.2">
      <c r="C1286" t="s">
        <v>707</v>
      </c>
      <c r="D1286" t="str">
        <f>VLOOKUP(C1286,'Master Anggota'!$E$2:$J$678,2,0)</f>
        <v>Aktif</v>
      </c>
      <c r="G1286" t="str">
        <f>VLOOKUP(C1286,'Master Anggota'!$E$2:$J$678,5,0)</f>
        <v>00634</v>
      </c>
      <c r="H1286" s="56">
        <v>0</v>
      </c>
      <c r="I1286" s="56">
        <v>0</v>
      </c>
      <c r="J1286" s="56">
        <v>100000</v>
      </c>
      <c r="K1286" s="56">
        <v>30000</v>
      </c>
      <c r="L1286" t="s">
        <v>680</v>
      </c>
      <c r="M1286" s="71">
        <v>46198</v>
      </c>
      <c r="N1286" t="s">
        <v>576</v>
      </c>
    </row>
    <row r="1287" spans="3:14" hidden="1" x14ac:dyDescent="0.2">
      <c r="C1287" t="s">
        <v>435</v>
      </c>
      <c r="D1287" t="str">
        <f>VLOOKUP(C1287,'Master Anggota'!$E$2:$J$678,2,0)</f>
        <v>Aktif</v>
      </c>
      <c r="G1287" t="str">
        <f>VLOOKUP(C1287,'Master Anggota'!$E$2:$J$678,5,0)</f>
        <v>00637</v>
      </c>
      <c r="H1287" s="56">
        <v>0</v>
      </c>
      <c r="I1287" s="56">
        <v>0</v>
      </c>
      <c r="J1287" s="56">
        <v>100000</v>
      </c>
      <c r="K1287" s="56">
        <v>100000</v>
      </c>
      <c r="L1287" t="s">
        <v>680</v>
      </c>
      <c r="M1287" s="71">
        <v>46198</v>
      </c>
      <c r="N1287" t="s">
        <v>576</v>
      </c>
    </row>
    <row r="1288" spans="3:14" hidden="1" x14ac:dyDescent="0.2">
      <c r="C1288" t="s">
        <v>436</v>
      </c>
      <c r="D1288" t="str">
        <f>VLOOKUP(C1288,'Master Anggota'!$E$2:$J$678,2,0)</f>
        <v>Aktif</v>
      </c>
      <c r="G1288" t="str">
        <f>VLOOKUP(C1288,'Master Anggota'!$E$2:$J$678,5,0)</f>
        <v>01708</v>
      </c>
      <c r="H1288" s="56">
        <v>0</v>
      </c>
      <c r="I1288" s="56">
        <v>0</v>
      </c>
      <c r="J1288" s="56">
        <v>100000</v>
      </c>
      <c r="K1288" s="56">
        <v>100000</v>
      </c>
      <c r="L1288" t="s">
        <v>680</v>
      </c>
      <c r="M1288" s="71">
        <v>46198</v>
      </c>
      <c r="N1288" t="s">
        <v>576</v>
      </c>
    </row>
    <row r="1289" spans="3:14" hidden="1" x14ac:dyDescent="0.2">
      <c r="C1289" t="s">
        <v>160</v>
      </c>
      <c r="D1289" t="str">
        <f>VLOOKUP(C1289,'Master Anggota'!$E$2:$J$678,2,0)</f>
        <v>Aktif</v>
      </c>
      <c r="G1289" t="str">
        <f>VLOOKUP(C1289,'Master Anggota'!$E$2:$J$678,5,0)</f>
        <v>01166</v>
      </c>
      <c r="H1289" s="56">
        <v>0</v>
      </c>
      <c r="I1289" s="56">
        <v>0</v>
      </c>
      <c r="J1289" s="56">
        <v>100000</v>
      </c>
      <c r="K1289" s="56">
        <v>75000</v>
      </c>
      <c r="L1289" t="s">
        <v>680</v>
      </c>
      <c r="M1289" s="71">
        <v>46198</v>
      </c>
      <c r="N1289" t="s">
        <v>576</v>
      </c>
    </row>
    <row r="1290" spans="3:14" hidden="1" x14ac:dyDescent="0.2">
      <c r="C1290" t="s">
        <v>676</v>
      </c>
      <c r="D1290" t="str">
        <f>VLOOKUP(C1290,'Master Anggota'!$E$2:$J$678,2,0)</f>
        <v>Aktif</v>
      </c>
      <c r="G1290" t="str">
        <f>VLOOKUP(C1290,'Master Anggota'!$E$2:$J$678,5,0)</f>
        <v>00643</v>
      </c>
      <c r="H1290" s="56">
        <v>0</v>
      </c>
      <c r="I1290" s="56">
        <v>0</v>
      </c>
      <c r="J1290" s="56">
        <v>100000</v>
      </c>
      <c r="K1290" s="56">
        <v>100000</v>
      </c>
      <c r="L1290" t="s">
        <v>680</v>
      </c>
      <c r="M1290" s="71">
        <v>46198</v>
      </c>
      <c r="N1290" t="s">
        <v>576</v>
      </c>
    </row>
    <row r="1291" spans="3:14" hidden="1" x14ac:dyDescent="0.2">
      <c r="C1291" t="s">
        <v>319</v>
      </c>
      <c r="D1291" t="str">
        <f>VLOOKUP(C1291,'Master Anggota'!$E$2:$J$678,2,0)</f>
        <v>Aktif</v>
      </c>
      <c r="G1291" t="str">
        <f>VLOOKUP(C1291,'Master Anggota'!$E$2:$J$678,5,0)</f>
        <v>01302</v>
      </c>
      <c r="H1291" s="56">
        <v>0</v>
      </c>
      <c r="I1291" s="56">
        <v>0</v>
      </c>
      <c r="J1291" s="56">
        <v>100000</v>
      </c>
      <c r="K1291" s="56">
        <v>175000</v>
      </c>
      <c r="L1291" t="s">
        <v>680</v>
      </c>
      <c r="M1291" s="71">
        <v>46198</v>
      </c>
      <c r="N1291" t="s">
        <v>576</v>
      </c>
    </row>
    <row r="1292" spans="3:14" hidden="1" x14ac:dyDescent="0.2">
      <c r="C1292" t="s">
        <v>289</v>
      </c>
      <c r="D1292" t="str">
        <f>VLOOKUP(C1292,'Master Anggota'!$E$2:$J$678,2,0)</f>
        <v>Aktif</v>
      </c>
      <c r="G1292" t="str">
        <f>VLOOKUP(C1292,'Master Anggota'!$E$2:$J$678,5,0)</f>
        <v>01511</v>
      </c>
      <c r="H1292" s="56">
        <v>0</v>
      </c>
      <c r="I1292" s="56">
        <v>0</v>
      </c>
      <c r="J1292" s="56">
        <v>100000</v>
      </c>
      <c r="K1292" s="56">
        <v>75000</v>
      </c>
      <c r="L1292" t="s">
        <v>680</v>
      </c>
      <c r="M1292" s="71">
        <v>46198</v>
      </c>
      <c r="N1292" t="s">
        <v>576</v>
      </c>
    </row>
    <row r="1293" spans="3:14" hidden="1" x14ac:dyDescent="0.2">
      <c r="C1293" t="s">
        <v>169</v>
      </c>
      <c r="D1293" t="str">
        <f>VLOOKUP(C1293,'Master Anggota'!$E$2:$J$678,2,0)</f>
        <v>Aktif</v>
      </c>
      <c r="G1293" t="str">
        <f>VLOOKUP(C1293,'Master Anggota'!$E$2:$J$678,5,0)</f>
        <v>01157</v>
      </c>
      <c r="H1293" s="56">
        <v>0</v>
      </c>
      <c r="I1293" s="56">
        <v>0</v>
      </c>
      <c r="J1293" s="56">
        <v>100000</v>
      </c>
      <c r="K1293" s="56">
        <v>100000</v>
      </c>
      <c r="L1293" t="s">
        <v>680</v>
      </c>
      <c r="M1293" s="71">
        <v>46198</v>
      </c>
      <c r="N1293" t="s">
        <v>576</v>
      </c>
    </row>
    <row r="1294" spans="3:14" hidden="1" x14ac:dyDescent="0.2">
      <c r="C1294" t="s">
        <v>279</v>
      </c>
      <c r="D1294" t="str">
        <f>VLOOKUP(C1294,'Master Anggota'!$E$2:$J$678,2,0)</f>
        <v>Aktif</v>
      </c>
      <c r="G1294" t="str">
        <f>VLOOKUP(C1294,'Master Anggota'!$E$2:$J$678,5,0)</f>
        <v>01315</v>
      </c>
      <c r="H1294" s="56">
        <v>0</v>
      </c>
      <c r="I1294" s="56">
        <v>0</v>
      </c>
      <c r="J1294" s="56">
        <v>100000</v>
      </c>
      <c r="K1294" s="56">
        <v>50000</v>
      </c>
      <c r="L1294" t="s">
        <v>680</v>
      </c>
      <c r="M1294" s="71">
        <v>46198</v>
      </c>
      <c r="N1294" t="s">
        <v>576</v>
      </c>
    </row>
    <row r="1295" spans="3:14" hidden="1" x14ac:dyDescent="0.2">
      <c r="C1295" t="s">
        <v>358</v>
      </c>
      <c r="D1295" t="str">
        <f>VLOOKUP(C1295,'Master Anggota'!$E$2:$J$678,2,0)</f>
        <v>Aktif</v>
      </c>
      <c r="G1295" t="str">
        <f>VLOOKUP(C1295,'Master Anggota'!$E$2:$J$678,5,0)</f>
        <v>01530</v>
      </c>
      <c r="H1295" s="56">
        <v>0</v>
      </c>
      <c r="I1295" s="56">
        <v>0</v>
      </c>
      <c r="J1295" s="56">
        <v>100000</v>
      </c>
      <c r="K1295" s="56">
        <v>50000</v>
      </c>
      <c r="L1295" t="s">
        <v>680</v>
      </c>
      <c r="M1295" s="71">
        <v>46198</v>
      </c>
      <c r="N1295" t="s">
        <v>576</v>
      </c>
    </row>
    <row r="1296" spans="3:14" hidden="1" x14ac:dyDescent="0.2">
      <c r="C1296" t="s">
        <v>677</v>
      </c>
      <c r="D1296" t="str">
        <f>VLOOKUP(C1296,'Master Anggota'!$E$2:$J$678,2,0)</f>
        <v>Aktif</v>
      </c>
      <c r="G1296" t="str">
        <f>VLOOKUP(C1296,'Master Anggota'!$E$2:$J$678,5,0)</f>
        <v>K924</v>
      </c>
      <c r="H1296" s="56">
        <v>0</v>
      </c>
      <c r="I1296" s="56">
        <v>0</v>
      </c>
      <c r="J1296" s="56">
        <v>100000</v>
      </c>
      <c r="K1296" s="56">
        <v>200000</v>
      </c>
      <c r="L1296" t="s">
        <v>680</v>
      </c>
      <c r="M1296" s="71">
        <v>46198</v>
      </c>
      <c r="N1296" t="s">
        <v>576</v>
      </c>
    </row>
    <row r="1297" spans="3:14" hidden="1" x14ac:dyDescent="0.2">
      <c r="C1297" t="s">
        <v>304</v>
      </c>
      <c r="D1297" t="str">
        <f>VLOOKUP(C1297,'Master Anggota'!$E$2:$J$678,2,0)</f>
        <v>Aktif</v>
      </c>
      <c r="G1297" t="str">
        <f>VLOOKUP(C1297,'Master Anggota'!$E$2:$J$678,5,0)</f>
        <v>01541</v>
      </c>
      <c r="H1297" s="56">
        <v>0</v>
      </c>
      <c r="I1297" s="56">
        <v>0</v>
      </c>
      <c r="J1297" s="56">
        <v>100000</v>
      </c>
      <c r="K1297" s="56">
        <v>150000</v>
      </c>
      <c r="L1297" t="s">
        <v>680</v>
      </c>
      <c r="M1297" s="71">
        <v>46198</v>
      </c>
      <c r="N1297" t="s">
        <v>576</v>
      </c>
    </row>
    <row r="1298" spans="3:14" hidden="1" x14ac:dyDescent="0.2">
      <c r="C1298" t="s">
        <v>310</v>
      </c>
      <c r="D1298" t="str">
        <f>VLOOKUP(C1298,'Master Anggota'!$E$2:$J$678,2,0)</f>
        <v>Aktif</v>
      </c>
      <c r="G1298" t="str">
        <f>VLOOKUP(C1298,'Master Anggota'!$E$2:$J$678,5,0)</f>
        <v>01543</v>
      </c>
      <c r="H1298" s="56">
        <v>0</v>
      </c>
      <c r="I1298" s="56">
        <v>0</v>
      </c>
      <c r="J1298" s="56">
        <v>100000</v>
      </c>
      <c r="K1298" s="56">
        <v>150000</v>
      </c>
      <c r="L1298" t="s">
        <v>680</v>
      </c>
      <c r="M1298" s="71">
        <v>46198</v>
      </c>
      <c r="N1298" t="s">
        <v>576</v>
      </c>
    </row>
    <row r="1299" spans="3:14" hidden="1" x14ac:dyDescent="0.2">
      <c r="C1299" t="s">
        <v>316</v>
      </c>
      <c r="D1299" t="str">
        <f>VLOOKUP(C1299,'Master Anggota'!$E$2:$J$678,2,0)</f>
        <v>Aktif</v>
      </c>
      <c r="G1299" t="str">
        <f>VLOOKUP(C1299,'Master Anggota'!$E$2:$J$678,5,0)</f>
        <v>01544</v>
      </c>
      <c r="H1299" s="56">
        <v>0</v>
      </c>
      <c r="I1299" s="56">
        <v>0</v>
      </c>
      <c r="J1299" s="56">
        <v>100000</v>
      </c>
      <c r="K1299" s="56">
        <v>150000</v>
      </c>
      <c r="L1299" t="s">
        <v>680</v>
      </c>
      <c r="M1299" s="71">
        <v>46198</v>
      </c>
      <c r="N1299" t="s">
        <v>576</v>
      </c>
    </row>
    <row r="1300" spans="3:14" hidden="1" x14ac:dyDescent="0.2">
      <c r="C1300" t="s">
        <v>421</v>
      </c>
      <c r="D1300" t="str">
        <f>VLOOKUP(C1300,'Master Anggota'!$E$2:$J$678,2,0)</f>
        <v>Aktif</v>
      </c>
      <c r="G1300" t="str">
        <f>VLOOKUP(C1300,'Master Anggota'!$E$2:$J$678,5,0)</f>
        <v>01560</v>
      </c>
      <c r="H1300" s="56">
        <v>0</v>
      </c>
      <c r="I1300" s="56">
        <v>0</v>
      </c>
      <c r="J1300" s="56">
        <v>100000</v>
      </c>
      <c r="K1300" s="56">
        <v>250000</v>
      </c>
      <c r="L1300" t="s">
        <v>680</v>
      </c>
      <c r="M1300" s="71">
        <v>46198</v>
      </c>
      <c r="N1300" t="s">
        <v>576</v>
      </c>
    </row>
    <row r="1301" spans="3:14" hidden="1" x14ac:dyDescent="0.2">
      <c r="C1301" t="s">
        <v>482</v>
      </c>
      <c r="D1301" t="str">
        <f>VLOOKUP(C1301,'Master Anggota'!$E$2:$J$678,2,0)</f>
        <v>Aktif</v>
      </c>
      <c r="G1301" t="str">
        <f>VLOOKUP(C1301,'Master Anggota'!$E$2:$J$678,5,0)</f>
        <v>01561</v>
      </c>
      <c r="H1301" s="56">
        <v>0</v>
      </c>
      <c r="I1301" s="56">
        <v>0</v>
      </c>
      <c r="J1301" s="56">
        <v>100000</v>
      </c>
      <c r="K1301" s="56">
        <v>100000</v>
      </c>
      <c r="L1301" t="s">
        <v>680</v>
      </c>
      <c r="M1301" s="71">
        <v>46198</v>
      </c>
      <c r="N1301" t="s">
        <v>576</v>
      </c>
    </row>
    <row r="1302" spans="3:14" hidden="1" x14ac:dyDescent="0.2">
      <c r="C1302" t="s">
        <v>317</v>
      </c>
      <c r="D1302" t="str">
        <f>VLOOKUP(C1302,'Master Anggota'!$E$2:$J$678,2,0)</f>
        <v>Aktif</v>
      </c>
      <c r="G1302" t="str">
        <f>VLOOKUP(C1302,'Master Anggota'!$E$2:$J$678,5,0)</f>
        <v>01573</v>
      </c>
      <c r="H1302" s="56">
        <v>0</v>
      </c>
      <c r="I1302" s="56">
        <v>0</v>
      </c>
      <c r="J1302" s="56">
        <v>100000</v>
      </c>
      <c r="K1302" s="56">
        <v>400000</v>
      </c>
      <c r="L1302" t="s">
        <v>680</v>
      </c>
      <c r="M1302" s="71">
        <v>46198</v>
      </c>
      <c r="N1302" t="s">
        <v>576</v>
      </c>
    </row>
    <row r="1303" spans="3:14" hidden="1" x14ac:dyDescent="0.2">
      <c r="C1303" t="s">
        <v>313</v>
      </c>
      <c r="D1303" t="str">
        <f>VLOOKUP(C1303,'Master Anggota'!$E$2:$J$678,2,0)</f>
        <v>Aktif</v>
      </c>
      <c r="G1303" t="str">
        <f>VLOOKUP(C1303,'Master Anggota'!$E$2:$J$678,5,0)</f>
        <v>01594</v>
      </c>
      <c r="H1303" s="56">
        <v>0</v>
      </c>
      <c r="I1303" s="56">
        <v>0</v>
      </c>
      <c r="J1303" s="56">
        <v>100000</v>
      </c>
      <c r="K1303" s="56">
        <v>50000</v>
      </c>
      <c r="L1303" t="s">
        <v>680</v>
      </c>
      <c r="M1303" s="71">
        <v>46198</v>
      </c>
      <c r="N1303" t="s">
        <v>576</v>
      </c>
    </row>
    <row r="1304" spans="3:14" hidden="1" x14ac:dyDescent="0.2">
      <c r="C1304" t="s">
        <v>323</v>
      </c>
      <c r="D1304" t="str">
        <f>VLOOKUP(C1304,'Master Anggota'!$E$2:$J$678,2,0)</f>
        <v>Aktif</v>
      </c>
      <c r="G1304" t="str">
        <f>VLOOKUP(C1304,'Master Anggota'!$E$2:$J$678,5,0)</f>
        <v>01601</v>
      </c>
      <c r="H1304" s="56">
        <v>0</v>
      </c>
      <c r="I1304" s="56">
        <v>0</v>
      </c>
      <c r="J1304" s="56">
        <v>100000</v>
      </c>
      <c r="K1304" s="56">
        <v>150000</v>
      </c>
      <c r="L1304" t="s">
        <v>680</v>
      </c>
      <c r="M1304" s="71">
        <v>46198</v>
      </c>
      <c r="N1304" t="s">
        <v>576</v>
      </c>
    </row>
    <row r="1305" spans="3:14" hidden="1" x14ac:dyDescent="0.2">
      <c r="C1305" t="s">
        <v>311</v>
      </c>
      <c r="D1305" t="str">
        <f>VLOOKUP(C1305,'Master Anggota'!$E$2:$J$678,2,0)</f>
        <v>Aktif</v>
      </c>
      <c r="G1305" t="str">
        <f>VLOOKUP(C1305,'Master Anggota'!$E$2:$J$678,5,0)</f>
        <v>01602</v>
      </c>
      <c r="H1305" s="56">
        <v>0</v>
      </c>
      <c r="I1305" s="56">
        <v>0</v>
      </c>
      <c r="J1305" s="56">
        <v>100000</v>
      </c>
      <c r="K1305" s="56">
        <v>100000</v>
      </c>
      <c r="L1305" t="s">
        <v>680</v>
      </c>
      <c r="M1305" s="71">
        <v>46198</v>
      </c>
      <c r="N1305" t="s">
        <v>576</v>
      </c>
    </row>
    <row r="1306" spans="3:14" hidden="1" x14ac:dyDescent="0.2">
      <c r="C1306" t="s">
        <v>560</v>
      </c>
      <c r="D1306" t="str">
        <f>VLOOKUP(C1306,'Master Anggota'!$E$2:$J$678,2,0)</f>
        <v>Aktif</v>
      </c>
      <c r="G1306" t="str">
        <f>VLOOKUP(C1306,'Master Anggota'!$E$2:$J$678,5,0)</f>
        <v>01603</v>
      </c>
      <c r="H1306" s="56">
        <v>0</v>
      </c>
      <c r="I1306" s="56">
        <v>0</v>
      </c>
      <c r="J1306" s="56">
        <v>100000</v>
      </c>
      <c r="K1306" s="56">
        <v>200000</v>
      </c>
      <c r="L1306" t="s">
        <v>680</v>
      </c>
      <c r="M1306" s="71">
        <v>46198</v>
      </c>
      <c r="N1306" t="s">
        <v>576</v>
      </c>
    </row>
    <row r="1307" spans="3:14" hidden="1" x14ac:dyDescent="0.2">
      <c r="C1307" t="s">
        <v>308</v>
      </c>
      <c r="D1307" t="str">
        <f>VLOOKUP(C1307,'Master Anggota'!$E$2:$J$678,2,0)</f>
        <v>Aktif</v>
      </c>
      <c r="G1307" t="str">
        <f>VLOOKUP(C1307,'Master Anggota'!$E$2:$J$678,5,0)</f>
        <v>01604</v>
      </c>
      <c r="H1307" s="56">
        <v>0</v>
      </c>
      <c r="I1307" s="56">
        <v>0</v>
      </c>
      <c r="J1307" s="56">
        <v>100000</v>
      </c>
      <c r="K1307" s="56">
        <v>100000</v>
      </c>
      <c r="L1307" t="s">
        <v>680</v>
      </c>
      <c r="M1307" s="71">
        <v>46198</v>
      </c>
      <c r="N1307" t="s">
        <v>576</v>
      </c>
    </row>
    <row r="1308" spans="3:14" hidden="1" x14ac:dyDescent="0.2">
      <c r="C1308" t="s">
        <v>318</v>
      </c>
      <c r="D1308" t="str">
        <f>VLOOKUP(C1308,'Master Anggota'!$E$2:$J$678,2,0)</f>
        <v>Aktif</v>
      </c>
      <c r="G1308" t="str">
        <f>VLOOKUP(C1308,'Master Anggota'!$E$2:$J$678,5,0)</f>
        <v>01651</v>
      </c>
      <c r="H1308" s="56">
        <v>0</v>
      </c>
      <c r="I1308" s="56">
        <v>0</v>
      </c>
      <c r="J1308" s="56">
        <v>100000</v>
      </c>
      <c r="K1308" s="56">
        <v>100000</v>
      </c>
      <c r="L1308" t="s">
        <v>680</v>
      </c>
      <c r="M1308" s="71">
        <v>46198</v>
      </c>
      <c r="N1308" t="s">
        <v>576</v>
      </c>
    </row>
    <row r="1309" spans="3:14" hidden="1" x14ac:dyDescent="0.2">
      <c r="C1309" t="s">
        <v>369</v>
      </c>
      <c r="D1309" t="str">
        <f>VLOOKUP(C1309,'Master Anggota'!$E$2:$J$678,2,0)</f>
        <v>Aktif</v>
      </c>
      <c r="G1309" t="str">
        <f>VLOOKUP(C1309,'Master Anggota'!$E$2:$J$678,5,0)</f>
        <v>01654</v>
      </c>
      <c r="H1309" s="56">
        <v>0</v>
      </c>
      <c r="I1309" s="56">
        <v>0</v>
      </c>
      <c r="J1309" s="56">
        <v>100000</v>
      </c>
      <c r="K1309" s="56">
        <v>100000</v>
      </c>
      <c r="L1309" t="s">
        <v>680</v>
      </c>
      <c r="M1309" s="71">
        <v>46198</v>
      </c>
      <c r="N1309" t="s">
        <v>576</v>
      </c>
    </row>
    <row r="1310" spans="3:14" hidden="1" x14ac:dyDescent="0.2">
      <c r="C1310" t="s">
        <v>327</v>
      </c>
      <c r="D1310" t="str">
        <f>VLOOKUP(C1310,'Master Anggota'!$E$2:$J$678,2,0)</f>
        <v>Aktif</v>
      </c>
      <c r="G1310" t="str">
        <f>VLOOKUP(C1310,'Master Anggota'!$E$2:$J$678,5,0)</f>
        <v>01665</v>
      </c>
      <c r="H1310" s="56">
        <v>0</v>
      </c>
      <c r="I1310" s="56">
        <v>0</v>
      </c>
      <c r="J1310" s="56">
        <v>100000</v>
      </c>
      <c r="K1310" s="56">
        <v>50000</v>
      </c>
      <c r="L1310" t="s">
        <v>680</v>
      </c>
      <c r="M1310" s="71">
        <v>46198</v>
      </c>
      <c r="N1310" t="s">
        <v>576</v>
      </c>
    </row>
    <row r="1311" spans="3:14" hidden="1" x14ac:dyDescent="0.2">
      <c r="C1311" t="s">
        <v>367</v>
      </c>
      <c r="D1311" t="str">
        <f>VLOOKUP(C1311,'Master Anggota'!$E$2:$J$678,2,0)</f>
        <v>Aktif</v>
      </c>
      <c r="G1311" t="str">
        <f>VLOOKUP(C1311,'Master Anggota'!$E$2:$J$678,5,0)</f>
        <v>01679</v>
      </c>
      <c r="H1311" s="56">
        <v>0</v>
      </c>
      <c r="I1311" s="56">
        <v>0</v>
      </c>
      <c r="J1311" s="56">
        <v>100000</v>
      </c>
      <c r="K1311" s="56">
        <v>100000</v>
      </c>
      <c r="L1311" t="s">
        <v>680</v>
      </c>
      <c r="M1311" s="71">
        <v>46198</v>
      </c>
      <c r="N1311" t="s">
        <v>576</v>
      </c>
    </row>
    <row r="1312" spans="3:14" hidden="1" x14ac:dyDescent="0.2">
      <c r="C1312" t="s">
        <v>368</v>
      </c>
      <c r="D1312" t="str">
        <f>VLOOKUP(C1312,'Master Anggota'!$E$2:$J$678,2,0)</f>
        <v>Aktif</v>
      </c>
      <c r="G1312" t="str">
        <f>VLOOKUP(C1312,'Master Anggota'!$E$2:$J$678,5,0)</f>
        <v>01703</v>
      </c>
      <c r="H1312" s="56">
        <v>0</v>
      </c>
      <c r="I1312" s="56">
        <v>0</v>
      </c>
      <c r="J1312" s="56">
        <v>100000</v>
      </c>
      <c r="K1312" s="56">
        <v>100000</v>
      </c>
      <c r="L1312" t="s">
        <v>680</v>
      </c>
      <c r="M1312" s="71">
        <v>46198</v>
      </c>
      <c r="N1312" t="s">
        <v>576</v>
      </c>
    </row>
    <row r="1313" spans="3:14" hidden="1" x14ac:dyDescent="0.2">
      <c r="C1313" t="s">
        <v>490</v>
      </c>
      <c r="D1313" t="str">
        <f>VLOOKUP(C1313,'Master Anggota'!$E$2:$J$678,2,0)</f>
        <v>Aktif</v>
      </c>
      <c r="G1313" t="str">
        <f>VLOOKUP(C1313,'Master Anggota'!$E$2:$J$678,5,0)</f>
        <v>01706</v>
      </c>
      <c r="H1313" s="56">
        <v>0</v>
      </c>
      <c r="I1313" s="56">
        <v>0</v>
      </c>
      <c r="J1313" s="56">
        <v>100000</v>
      </c>
      <c r="K1313" s="56">
        <v>100000</v>
      </c>
      <c r="L1313" t="s">
        <v>680</v>
      </c>
      <c r="M1313" s="71">
        <v>46198</v>
      </c>
      <c r="N1313" t="s">
        <v>576</v>
      </c>
    </row>
    <row r="1314" spans="3:14" hidden="1" x14ac:dyDescent="0.2">
      <c r="C1314" t="s">
        <v>444</v>
      </c>
      <c r="D1314" t="str">
        <f>VLOOKUP(C1314,'Master Anggota'!$E$2:$J$678,2,0)</f>
        <v>Aktif</v>
      </c>
      <c r="G1314" t="str">
        <f>VLOOKUP(C1314,'Master Anggota'!$E$2:$J$678,5,0)</f>
        <v>01711</v>
      </c>
      <c r="H1314" s="56">
        <v>0</v>
      </c>
      <c r="I1314" s="56">
        <v>0</v>
      </c>
      <c r="J1314" s="56">
        <v>100000</v>
      </c>
      <c r="K1314" s="56">
        <v>150000</v>
      </c>
      <c r="L1314" t="s">
        <v>680</v>
      </c>
      <c r="M1314" s="71">
        <v>46198</v>
      </c>
      <c r="N1314" t="s">
        <v>576</v>
      </c>
    </row>
    <row r="1315" spans="3:14" hidden="1" x14ac:dyDescent="0.2">
      <c r="C1315" t="s">
        <v>497</v>
      </c>
      <c r="D1315" t="str">
        <f>VLOOKUP(C1315,'Master Anggota'!$E$2:$J$678,2,0)</f>
        <v>Aktif</v>
      </c>
      <c r="G1315" t="str">
        <f>VLOOKUP(C1315,'Master Anggota'!$E$2:$J$678,5,0)</f>
        <v>01719</v>
      </c>
      <c r="H1315" s="56">
        <v>0</v>
      </c>
      <c r="I1315" s="56">
        <v>0</v>
      </c>
      <c r="J1315" s="56">
        <v>100000</v>
      </c>
      <c r="K1315" s="56">
        <v>200000</v>
      </c>
      <c r="L1315" t="s">
        <v>680</v>
      </c>
      <c r="M1315" s="71">
        <v>46198</v>
      </c>
      <c r="N1315" t="s">
        <v>576</v>
      </c>
    </row>
    <row r="1316" spans="3:14" hidden="1" x14ac:dyDescent="0.2">
      <c r="C1316" t="s">
        <v>491</v>
      </c>
      <c r="D1316" t="str">
        <f>VLOOKUP(C1316,'Master Anggota'!$E$2:$J$678,2,0)</f>
        <v>Aktif</v>
      </c>
      <c r="G1316" t="str">
        <f>VLOOKUP(C1316,'Master Anggota'!$E$2:$J$678,5,0)</f>
        <v>01720</v>
      </c>
      <c r="H1316" s="56">
        <v>0</v>
      </c>
      <c r="I1316" s="56">
        <v>0</v>
      </c>
      <c r="J1316" s="56">
        <v>100000</v>
      </c>
      <c r="K1316" s="56">
        <v>100000</v>
      </c>
      <c r="L1316" t="s">
        <v>680</v>
      </c>
      <c r="M1316" s="71">
        <v>46198</v>
      </c>
      <c r="N1316" t="s">
        <v>576</v>
      </c>
    </row>
    <row r="1317" spans="3:14" hidden="1" x14ac:dyDescent="0.2">
      <c r="C1317" t="s">
        <v>498</v>
      </c>
      <c r="D1317" t="str">
        <f>VLOOKUP(C1317,'Master Anggota'!$E$2:$J$678,2,0)</f>
        <v>Aktif</v>
      </c>
      <c r="G1317" t="str">
        <f>VLOOKUP(C1317,'Master Anggota'!$E$2:$J$678,5,0)</f>
        <v>01721</v>
      </c>
      <c r="H1317" s="56">
        <v>0</v>
      </c>
      <c r="I1317" s="56">
        <v>0</v>
      </c>
      <c r="J1317" s="56">
        <v>100000</v>
      </c>
      <c r="K1317" s="56">
        <v>200000</v>
      </c>
      <c r="L1317" t="s">
        <v>680</v>
      </c>
      <c r="M1317" s="71">
        <v>46198</v>
      </c>
      <c r="N1317" t="s">
        <v>576</v>
      </c>
    </row>
    <row r="1318" spans="3:14" hidden="1" x14ac:dyDescent="0.2">
      <c r="C1318" t="s">
        <v>492</v>
      </c>
      <c r="D1318" t="str">
        <f>VLOOKUP(C1318,'Master Anggota'!$E$2:$J$678,2,0)</f>
        <v>Aktif</v>
      </c>
      <c r="G1318" t="str">
        <f>VLOOKUP(C1318,'Master Anggota'!$E$2:$J$678,5,0)</f>
        <v>01728</v>
      </c>
      <c r="H1318" s="56">
        <v>0</v>
      </c>
      <c r="I1318" s="56">
        <v>0</v>
      </c>
      <c r="J1318" s="56">
        <v>100000</v>
      </c>
      <c r="K1318" s="56">
        <v>100000</v>
      </c>
      <c r="L1318" t="s">
        <v>680</v>
      </c>
      <c r="M1318" s="71">
        <v>46198</v>
      </c>
      <c r="N1318" t="s">
        <v>576</v>
      </c>
    </row>
    <row r="1319" spans="3:14" hidden="1" x14ac:dyDescent="0.2">
      <c r="C1319" t="s">
        <v>439</v>
      </c>
      <c r="D1319" t="str">
        <f>VLOOKUP(C1319,'Master Anggota'!$E$2:$J$678,2,0)</f>
        <v>Aktif</v>
      </c>
      <c r="G1319" t="str">
        <f>VLOOKUP(C1319,'Master Anggota'!$E$2:$J$678,5,0)</f>
        <v>01730</v>
      </c>
      <c r="H1319" s="56">
        <v>0</v>
      </c>
      <c r="I1319" s="56">
        <v>0</v>
      </c>
      <c r="J1319" s="56">
        <v>100000</v>
      </c>
      <c r="K1319" s="56">
        <v>300000</v>
      </c>
      <c r="L1319" t="s">
        <v>680</v>
      </c>
      <c r="M1319" s="71">
        <v>46198</v>
      </c>
      <c r="N1319" t="s">
        <v>576</v>
      </c>
    </row>
    <row r="1320" spans="3:14" hidden="1" x14ac:dyDescent="0.2">
      <c r="C1320" t="s">
        <v>493</v>
      </c>
      <c r="D1320" t="str">
        <f>VLOOKUP(C1320,'Master Anggota'!$E$2:$J$678,2,0)</f>
        <v>Aktif</v>
      </c>
      <c r="G1320" t="str">
        <f>VLOOKUP(C1320,'Master Anggota'!$E$2:$J$678,5,0)</f>
        <v>01731</v>
      </c>
      <c r="H1320" s="56">
        <v>0</v>
      </c>
      <c r="I1320" s="56">
        <v>0</v>
      </c>
      <c r="J1320" s="56">
        <v>100000</v>
      </c>
      <c r="K1320" s="56">
        <v>100000</v>
      </c>
      <c r="L1320" t="s">
        <v>680</v>
      </c>
      <c r="M1320" s="71">
        <v>46198</v>
      </c>
      <c r="N1320" t="s">
        <v>576</v>
      </c>
    </row>
    <row r="1321" spans="3:14" hidden="1" x14ac:dyDescent="0.2">
      <c r="C1321" t="s">
        <v>451</v>
      </c>
      <c r="D1321" t="str">
        <f>VLOOKUP(C1321,'Master Anggota'!$E$2:$J$678,2,0)</f>
        <v>Aktif</v>
      </c>
      <c r="G1321" t="str">
        <f>VLOOKUP(C1321,'Master Anggota'!$E$2:$J$678,5,0)</f>
        <v>01735</v>
      </c>
      <c r="H1321" s="56">
        <v>0</v>
      </c>
      <c r="I1321" s="56">
        <v>0</v>
      </c>
      <c r="J1321" s="56">
        <v>100000</v>
      </c>
      <c r="K1321" s="56">
        <v>150000</v>
      </c>
      <c r="L1321" t="s">
        <v>680</v>
      </c>
      <c r="M1321" s="71">
        <v>46198</v>
      </c>
      <c r="N1321" t="s">
        <v>576</v>
      </c>
    </row>
    <row r="1322" spans="3:14" hidden="1" x14ac:dyDescent="0.2">
      <c r="C1322" t="s">
        <v>448</v>
      </c>
      <c r="D1322" t="str">
        <f>VLOOKUP(C1322,'Master Anggota'!$E$2:$J$678,2,0)</f>
        <v>Aktif</v>
      </c>
      <c r="G1322" t="str">
        <f>VLOOKUP(C1322,'Master Anggota'!$E$2:$J$678,5,0)</f>
        <v>01737</v>
      </c>
      <c r="H1322" s="56">
        <v>0</v>
      </c>
      <c r="I1322" s="56">
        <v>0</v>
      </c>
      <c r="J1322" s="56">
        <v>100000</v>
      </c>
      <c r="K1322" s="56">
        <v>150000</v>
      </c>
      <c r="L1322" t="s">
        <v>680</v>
      </c>
      <c r="M1322" s="71">
        <v>46198</v>
      </c>
      <c r="N1322" t="s">
        <v>576</v>
      </c>
    </row>
    <row r="1323" spans="3:14" hidden="1" x14ac:dyDescent="0.2">
      <c r="C1323" t="s">
        <v>450</v>
      </c>
      <c r="D1323" t="str">
        <f>VLOOKUP(C1323,'Master Anggota'!$E$2:$J$678,2,0)</f>
        <v>Aktif</v>
      </c>
      <c r="G1323" t="str">
        <f>VLOOKUP(C1323,'Master Anggota'!$E$2:$J$678,5,0)</f>
        <v>01738</v>
      </c>
      <c r="H1323" s="56">
        <v>0</v>
      </c>
      <c r="I1323" s="56">
        <v>0</v>
      </c>
      <c r="J1323" s="56">
        <v>100000</v>
      </c>
      <c r="K1323" s="56">
        <v>50000</v>
      </c>
      <c r="L1323" t="s">
        <v>680</v>
      </c>
      <c r="M1323" s="71">
        <v>46198</v>
      </c>
      <c r="N1323" t="s">
        <v>576</v>
      </c>
    </row>
    <row r="1324" spans="3:14" hidden="1" x14ac:dyDescent="0.2">
      <c r="C1324" t="s">
        <v>449</v>
      </c>
      <c r="D1324" t="str">
        <f>VLOOKUP(C1324,'Master Anggota'!$E$2:$J$678,2,0)</f>
        <v>Aktif</v>
      </c>
      <c r="G1324" t="str">
        <f>VLOOKUP(C1324,'Master Anggota'!$E$2:$J$678,5,0)</f>
        <v>01739</v>
      </c>
      <c r="H1324" s="56">
        <v>0</v>
      </c>
      <c r="I1324" s="56">
        <v>0</v>
      </c>
      <c r="J1324" s="56">
        <v>100000</v>
      </c>
      <c r="K1324" s="56">
        <v>150000</v>
      </c>
      <c r="L1324" t="s">
        <v>680</v>
      </c>
      <c r="M1324" s="71">
        <v>46198</v>
      </c>
      <c r="N1324" t="s">
        <v>576</v>
      </c>
    </row>
    <row r="1325" spans="3:14" hidden="1" x14ac:dyDescent="0.2">
      <c r="C1325" t="s">
        <v>446</v>
      </c>
      <c r="D1325" t="str">
        <f>VLOOKUP(C1325,'Master Anggota'!$E$2:$J$678,2,0)</f>
        <v>Aktif</v>
      </c>
      <c r="G1325" t="str">
        <f>VLOOKUP(C1325,'Master Anggota'!$E$2:$J$678,5,0)</f>
        <v>01740</v>
      </c>
      <c r="H1325" s="56">
        <v>0</v>
      </c>
      <c r="I1325" s="56">
        <v>0</v>
      </c>
      <c r="J1325" s="56">
        <v>100000</v>
      </c>
      <c r="K1325" s="56">
        <v>50000</v>
      </c>
      <c r="L1325" t="s">
        <v>680</v>
      </c>
      <c r="M1325" s="71">
        <v>46198</v>
      </c>
      <c r="N1325" t="s">
        <v>576</v>
      </c>
    </row>
    <row r="1326" spans="3:14" hidden="1" x14ac:dyDescent="0.2">
      <c r="C1326" t="s">
        <v>713</v>
      </c>
      <c r="D1326" t="str">
        <f>VLOOKUP(C1326,'Master Anggota'!$E$2:$J$678,2,0)</f>
        <v>Aktif</v>
      </c>
      <c r="G1326" t="str">
        <f>VLOOKUP(C1326,'Master Anggota'!$E$2:$J$678,5,0)</f>
        <v>K1756</v>
      </c>
      <c r="H1326" s="56">
        <v>0</v>
      </c>
      <c r="I1326" s="56">
        <v>0</v>
      </c>
      <c r="J1326" s="56">
        <v>100000</v>
      </c>
      <c r="K1326" s="56">
        <v>200000</v>
      </c>
      <c r="L1326" t="s">
        <v>680</v>
      </c>
      <c r="M1326" s="71">
        <v>46198</v>
      </c>
      <c r="N1326" t="s">
        <v>576</v>
      </c>
    </row>
    <row r="1327" spans="3:14" hidden="1" x14ac:dyDescent="0.2">
      <c r="C1327" t="s">
        <v>524</v>
      </c>
      <c r="D1327" t="str">
        <f>VLOOKUP(C1327,'Master Anggota'!$E$2:$J$678,2,0)</f>
        <v>Aktif</v>
      </c>
      <c r="G1327" t="str">
        <f>VLOOKUP(C1327,'Master Anggota'!$E$2:$J$678,5,0)</f>
        <v>01743</v>
      </c>
      <c r="H1327" s="56">
        <v>0</v>
      </c>
      <c r="I1327" s="56">
        <v>0</v>
      </c>
      <c r="J1327" s="56">
        <v>100000</v>
      </c>
      <c r="K1327" s="56">
        <v>100000</v>
      </c>
      <c r="L1327" t="s">
        <v>680</v>
      </c>
      <c r="M1327" s="71">
        <v>46198</v>
      </c>
      <c r="N1327" t="s">
        <v>576</v>
      </c>
    </row>
    <row r="1328" spans="3:14" hidden="1" x14ac:dyDescent="0.2">
      <c r="C1328" t="s">
        <v>495</v>
      </c>
      <c r="D1328" t="str">
        <f>VLOOKUP(C1328,'Master Anggota'!$E$2:$J$678,2,0)</f>
        <v>Aktif</v>
      </c>
      <c r="G1328" t="str">
        <f>VLOOKUP(C1328,'Master Anggota'!$E$2:$J$678,5,0)</f>
        <v>01754</v>
      </c>
      <c r="H1328" s="56">
        <v>0</v>
      </c>
      <c r="I1328" s="56">
        <v>0</v>
      </c>
      <c r="J1328" s="56">
        <v>100000</v>
      </c>
      <c r="K1328" s="56">
        <v>100000</v>
      </c>
      <c r="L1328" t="s">
        <v>680</v>
      </c>
      <c r="M1328" s="71">
        <v>46198</v>
      </c>
      <c r="N1328" t="s">
        <v>576</v>
      </c>
    </row>
    <row r="1329" spans="3:14" hidden="1" x14ac:dyDescent="0.2">
      <c r="C1329" t="s">
        <v>499</v>
      </c>
      <c r="D1329" t="str">
        <f>VLOOKUP(C1329,'Master Anggota'!$E$2:$J$678,2,0)</f>
        <v>Aktif</v>
      </c>
      <c r="G1329" t="str">
        <f>VLOOKUP(C1329,'Master Anggota'!$E$2:$J$678,5,0)</f>
        <v>01775</v>
      </c>
      <c r="H1329" s="56">
        <v>0</v>
      </c>
      <c r="I1329" s="56">
        <v>0</v>
      </c>
      <c r="J1329" s="56">
        <v>100000</v>
      </c>
      <c r="K1329" s="56">
        <v>200000</v>
      </c>
      <c r="L1329" t="s">
        <v>680</v>
      </c>
      <c r="M1329" s="71">
        <v>46198</v>
      </c>
      <c r="N1329" t="s">
        <v>576</v>
      </c>
    </row>
    <row r="1330" spans="3:14" hidden="1" x14ac:dyDescent="0.2">
      <c r="C1330" t="s">
        <v>500</v>
      </c>
      <c r="D1330" t="str">
        <f>VLOOKUP(C1330,'Master Anggota'!$E$2:$J$678,2,0)</f>
        <v>Aktif</v>
      </c>
      <c r="G1330" t="str">
        <f>VLOOKUP(C1330,'Master Anggota'!$E$2:$J$678,5,0)</f>
        <v>01776</v>
      </c>
      <c r="H1330" s="56">
        <v>0</v>
      </c>
      <c r="I1330" s="56">
        <v>0</v>
      </c>
      <c r="J1330" s="56">
        <v>100000</v>
      </c>
      <c r="K1330" s="56">
        <v>200000</v>
      </c>
      <c r="L1330" t="s">
        <v>680</v>
      </c>
      <c r="M1330" s="71">
        <v>46198</v>
      </c>
      <c r="N1330" t="s">
        <v>576</v>
      </c>
    </row>
    <row r="1331" spans="3:14" hidden="1" x14ac:dyDescent="0.2">
      <c r="C1331" t="s">
        <v>539</v>
      </c>
      <c r="D1331" t="str">
        <f>VLOOKUP(C1331,'Master Anggota'!$E$2:$J$678,2,0)</f>
        <v>Aktif</v>
      </c>
      <c r="G1331" t="str">
        <f>VLOOKUP(C1331,'Master Anggota'!$E$2:$J$678,5,0)</f>
        <v>01800</v>
      </c>
      <c r="H1331" s="56">
        <v>0</v>
      </c>
      <c r="I1331" s="56">
        <v>0</v>
      </c>
      <c r="J1331" s="56">
        <v>100000</v>
      </c>
      <c r="K1331" s="56">
        <v>100000</v>
      </c>
      <c r="L1331" t="s">
        <v>680</v>
      </c>
      <c r="M1331" s="71">
        <v>46198</v>
      </c>
      <c r="N1331" t="s">
        <v>576</v>
      </c>
    </row>
    <row r="1332" spans="3:14" hidden="1" x14ac:dyDescent="0.2">
      <c r="C1332" t="s">
        <v>526</v>
      </c>
      <c r="D1332" t="str">
        <f>VLOOKUP(C1332,'Master Anggota'!$E$2:$J$678,2,0)</f>
        <v>Aktif</v>
      </c>
      <c r="G1332" t="str">
        <f>VLOOKUP(C1332,'Master Anggota'!$E$2:$J$678,5,0)</f>
        <v>PHL</v>
      </c>
      <c r="H1332" s="56">
        <v>0</v>
      </c>
      <c r="I1332" s="56">
        <v>0</v>
      </c>
      <c r="J1332" s="56">
        <v>100000</v>
      </c>
      <c r="K1332" s="56">
        <v>200000</v>
      </c>
      <c r="L1332" t="s">
        <v>680</v>
      </c>
      <c r="M1332" s="71">
        <v>46198</v>
      </c>
      <c r="N1332" t="s">
        <v>576</v>
      </c>
    </row>
    <row r="1333" spans="3:14" hidden="1" x14ac:dyDescent="0.2">
      <c r="C1333" t="s">
        <v>527</v>
      </c>
      <c r="D1333" t="str">
        <f>VLOOKUP(C1333,'Master Anggota'!$E$2:$J$678,2,0)</f>
        <v>Aktif</v>
      </c>
      <c r="G1333" t="str">
        <f>VLOOKUP(C1333,'Master Anggota'!$E$2:$J$678,5,0)</f>
        <v>PHL</v>
      </c>
      <c r="H1333" s="56">
        <v>0</v>
      </c>
      <c r="I1333" s="56">
        <v>0</v>
      </c>
      <c r="J1333" s="56">
        <v>100000</v>
      </c>
      <c r="K1333" s="56">
        <v>200000</v>
      </c>
      <c r="L1333" t="s">
        <v>680</v>
      </c>
      <c r="M1333" s="71">
        <v>46198</v>
      </c>
      <c r="N1333" t="s">
        <v>576</v>
      </c>
    </row>
    <row r="1334" spans="3:14" hidden="1" x14ac:dyDescent="0.2">
      <c r="C1334" t="s">
        <v>287</v>
      </c>
      <c r="D1334" t="str">
        <f>VLOOKUP(C1334,'Master Anggota'!$E$2:$J$678,2,0)</f>
        <v>PHL</v>
      </c>
      <c r="G1334" t="str">
        <f>VLOOKUP(C1334,'Master Anggota'!$E$2:$J$678,5,0)</f>
        <v>01510</v>
      </c>
      <c r="H1334" s="56">
        <v>0</v>
      </c>
      <c r="I1334" s="56">
        <v>0</v>
      </c>
      <c r="J1334" s="56">
        <v>100000</v>
      </c>
      <c r="K1334" s="56">
        <v>100000</v>
      </c>
      <c r="L1334" t="s">
        <v>680</v>
      </c>
      <c r="M1334" s="71">
        <v>46198</v>
      </c>
      <c r="N1334" t="s">
        <v>576</v>
      </c>
    </row>
    <row r="1335" spans="3:14" hidden="1" x14ac:dyDescent="0.2">
      <c r="C1335" t="s">
        <v>295</v>
      </c>
      <c r="D1335" t="str">
        <f>VLOOKUP(C1335,'Master Anggota'!$E$2:$J$678,2,0)</f>
        <v>PHL</v>
      </c>
      <c r="G1335" t="str">
        <f>VLOOKUP(C1335,'Master Anggota'!$E$2:$J$678,5,0)</f>
        <v>PHL</v>
      </c>
      <c r="H1335" s="56">
        <v>0</v>
      </c>
      <c r="I1335" s="56">
        <v>0</v>
      </c>
      <c r="J1335" s="56">
        <v>100000</v>
      </c>
      <c r="K1335" s="56">
        <v>100000</v>
      </c>
      <c r="L1335" t="s">
        <v>680</v>
      </c>
      <c r="M1335" s="71">
        <v>46198</v>
      </c>
      <c r="N1335" t="s">
        <v>576</v>
      </c>
    </row>
    <row r="1336" spans="3:14" hidden="1" x14ac:dyDescent="0.2">
      <c r="C1336" t="s">
        <v>278</v>
      </c>
      <c r="D1336" t="str">
        <f>VLOOKUP(C1336,'Master Anggota'!$E$2:$J$678,2,0)</f>
        <v>Aktif</v>
      </c>
      <c r="G1336" t="str">
        <f>VLOOKUP(C1336,'Master Anggota'!$E$2:$J$678,5,0)</f>
        <v>PHL</v>
      </c>
      <c r="H1336" s="56">
        <v>0</v>
      </c>
      <c r="I1336" s="56">
        <v>0</v>
      </c>
      <c r="J1336" s="56">
        <v>100000</v>
      </c>
      <c r="K1336" s="56">
        <v>10000</v>
      </c>
      <c r="L1336" t="s">
        <v>680</v>
      </c>
      <c r="M1336" s="71">
        <v>46198</v>
      </c>
      <c r="N1336" t="s">
        <v>576</v>
      </c>
    </row>
    <row r="1337" spans="3:14" hidden="1" x14ac:dyDescent="0.2">
      <c r="C1337" t="s">
        <v>71</v>
      </c>
      <c r="D1337" t="str">
        <f>VLOOKUP(C1337,'Master Anggota'!$E$2:$J$678,2,0)</f>
        <v>Aktif</v>
      </c>
      <c r="G1337" t="str">
        <f>VLOOKUP(C1337,'Master Anggota'!$E$2:$J$678,5,0)</f>
        <v>00517</v>
      </c>
      <c r="H1337" s="82">
        <v>0</v>
      </c>
      <c r="I1337" s="82">
        <v>0</v>
      </c>
      <c r="J1337" s="82">
        <v>0</v>
      </c>
      <c r="K1337" s="82">
        <v>-1500000</v>
      </c>
      <c r="L1337" t="s">
        <v>717</v>
      </c>
      <c r="M1337" s="71">
        <v>46199</v>
      </c>
      <c r="N1337" t="s">
        <v>611</v>
      </c>
    </row>
    <row r="1338" spans="3:14" hidden="1" x14ac:dyDescent="0.2">
      <c r="C1338" t="s">
        <v>523</v>
      </c>
      <c r="D1338" t="str">
        <f>VLOOKUP(C1338,'Master Anggota'!$E$2:$J$678,2,0)</f>
        <v>Aktif</v>
      </c>
      <c r="G1338" t="str">
        <f>VLOOKUP(C1338,'Master Anggota'!$E$2:$J$678,5,0)</f>
        <v>00579</v>
      </c>
      <c r="H1338" s="82">
        <v>0</v>
      </c>
      <c r="I1338" s="82">
        <v>0</v>
      </c>
      <c r="J1338" s="82">
        <v>0</v>
      </c>
      <c r="K1338" s="82">
        <v>-2500000</v>
      </c>
      <c r="L1338" t="s">
        <v>717</v>
      </c>
      <c r="M1338" s="71">
        <v>46199</v>
      </c>
      <c r="N1338" t="s">
        <v>611</v>
      </c>
    </row>
    <row r="1339" spans="3:14" hidden="1" x14ac:dyDescent="0.2">
      <c r="C1339" t="s">
        <v>486</v>
      </c>
      <c r="D1339" t="str">
        <f>VLOOKUP(C1339,'Master Anggota'!$E$2:$J$678,2,0)</f>
        <v>Aktif</v>
      </c>
      <c r="G1339" t="str">
        <f>VLOOKUP(C1339,'Master Anggota'!$E$2:$J$678,5,0)</f>
        <v>00281</v>
      </c>
      <c r="H1339" s="56">
        <v>0</v>
      </c>
      <c r="I1339" s="56">
        <v>0</v>
      </c>
      <c r="J1339" s="56">
        <v>0</v>
      </c>
      <c r="K1339" s="56">
        <v>-2000000</v>
      </c>
      <c r="L1339" t="s">
        <v>680</v>
      </c>
      <c r="M1339" s="71">
        <v>46205</v>
      </c>
      <c r="N1339" t="s">
        <v>611</v>
      </c>
    </row>
    <row r="1340" spans="3:14" hidden="1" x14ac:dyDescent="0.2">
      <c r="C1340" t="s">
        <v>534</v>
      </c>
      <c r="D1340" t="str">
        <f>VLOOKUP(C1340,'Master Anggota'!$E$2:$J$678,2,0)</f>
        <v>Aktif</v>
      </c>
      <c r="G1340" t="str">
        <f>VLOOKUP(C1340,'Master Anggota'!$E$2:$J$678,5,0)</f>
        <v>Koka</v>
      </c>
      <c r="H1340" s="82">
        <v>0</v>
      </c>
      <c r="I1340" s="82">
        <v>0</v>
      </c>
      <c r="J1340" s="82">
        <v>100000</v>
      </c>
      <c r="K1340" s="82">
        <v>100000</v>
      </c>
      <c r="L1340" t="s">
        <v>680</v>
      </c>
      <c r="M1340" s="71">
        <v>46203</v>
      </c>
      <c r="N1340" t="s">
        <v>576</v>
      </c>
    </row>
    <row r="1341" spans="3:14" hidden="1" x14ac:dyDescent="0.2">
      <c r="C1341" t="s">
        <v>439</v>
      </c>
      <c r="D1341" t="str">
        <f>VLOOKUP(C1341,'Master Anggota'!$E$2:$J$678,2,0)</f>
        <v>Aktif</v>
      </c>
      <c r="G1341" t="str">
        <f>VLOOKUP(C1341,'Master Anggota'!$E$2:$J$678,5,0)</f>
        <v>01730</v>
      </c>
      <c r="H1341" s="82">
        <v>0</v>
      </c>
      <c r="I1341" s="82">
        <v>0</v>
      </c>
      <c r="J1341" s="82">
        <v>0</v>
      </c>
      <c r="K1341" s="82">
        <v>-2000000</v>
      </c>
      <c r="L1341" t="s">
        <v>717</v>
      </c>
      <c r="M1341" s="71">
        <v>46217</v>
      </c>
      <c r="N1341" t="s">
        <v>611</v>
      </c>
    </row>
    <row r="1342" spans="3:14" hidden="1" x14ac:dyDescent="0.2">
      <c r="C1342" t="s">
        <v>534</v>
      </c>
      <c r="D1342" t="str">
        <f>VLOOKUP(C1342,'Master Anggota'!$E$2:$J$678,2,0)</f>
        <v>Aktif</v>
      </c>
      <c r="G1342" t="str">
        <f>VLOOKUP(C1342,'Master Anggota'!$E$2:$J$678,5,0)</f>
        <v>Koka</v>
      </c>
      <c r="H1342" s="82">
        <v>0</v>
      </c>
      <c r="I1342" s="82">
        <v>0</v>
      </c>
      <c r="J1342" s="82">
        <v>100000</v>
      </c>
      <c r="K1342" s="82">
        <v>100000</v>
      </c>
      <c r="L1342" t="s">
        <v>644</v>
      </c>
      <c r="M1342" s="71">
        <v>46112</v>
      </c>
      <c r="N1342" t="s">
        <v>576</v>
      </c>
    </row>
    <row r="1343" spans="3:14" hidden="1" x14ac:dyDescent="0.2">
      <c r="C1343" t="s">
        <v>534</v>
      </c>
      <c r="D1343" t="str">
        <f>VLOOKUP(C1343,'Master Anggota'!$E$2:$J$678,2,0)</f>
        <v>Aktif</v>
      </c>
      <c r="G1343" t="str">
        <f>VLOOKUP(C1343,'Master Anggota'!$E$2:$J$678,5,0)</f>
        <v>Koka</v>
      </c>
      <c r="H1343" s="82">
        <v>0</v>
      </c>
      <c r="I1343" s="82">
        <v>0</v>
      </c>
      <c r="J1343" s="82">
        <v>100000</v>
      </c>
      <c r="K1343" s="82">
        <v>100000</v>
      </c>
      <c r="L1343" t="s">
        <v>612</v>
      </c>
      <c r="M1343" s="71">
        <v>46094</v>
      </c>
      <c r="N1343" t="s">
        <v>576</v>
      </c>
    </row>
    <row r="1344" spans="3:14" hidden="1" x14ac:dyDescent="0.2">
      <c r="C1344" t="s">
        <v>85</v>
      </c>
      <c r="D1344" t="str">
        <f>VLOOKUP(C1344,'Master Anggota'!$E$2:$J$678,2,0)</f>
        <v>Aktif</v>
      </c>
      <c r="G1344" t="str">
        <f>VLOOKUP(C1344,'Master Anggota'!$E$2:$J$678,5,0)</f>
        <v>00547</v>
      </c>
      <c r="H1344" s="82">
        <v>0</v>
      </c>
      <c r="I1344" s="82">
        <v>0</v>
      </c>
      <c r="J1344" s="82">
        <v>0</v>
      </c>
      <c r="K1344" s="82">
        <v>-2000000</v>
      </c>
      <c r="L1344" t="s">
        <v>717</v>
      </c>
      <c r="M1344" s="71">
        <v>46217</v>
      </c>
      <c r="N1344" t="s">
        <v>611</v>
      </c>
    </row>
    <row r="1345" spans="3:14" hidden="1" x14ac:dyDescent="0.2">
      <c r="C1345" t="s">
        <v>176</v>
      </c>
      <c r="D1345" t="str">
        <f>VLOOKUP(C1345,'Master Anggota'!$E$2:$J$678,2,0)</f>
        <v>Aktif</v>
      </c>
      <c r="G1345" t="str">
        <f>VLOOKUP(C1345,'Master Anggota'!$E$2:$J$678,5,0)</f>
        <v>00568</v>
      </c>
      <c r="H1345" s="82">
        <v>0</v>
      </c>
      <c r="I1345" s="82">
        <v>0</v>
      </c>
      <c r="J1345" s="82">
        <v>0</v>
      </c>
      <c r="K1345" s="82">
        <v>-1000000</v>
      </c>
      <c r="L1345" t="s">
        <v>717</v>
      </c>
      <c r="M1345" s="71">
        <v>46217</v>
      </c>
      <c r="N1345" t="s">
        <v>611</v>
      </c>
    </row>
    <row r="1346" spans="3:14" hidden="1" x14ac:dyDescent="0.2">
      <c r="C1346" t="s">
        <v>531</v>
      </c>
      <c r="D1346" t="str">
        <f>VLOOKUP(C1346,'Master Anggota'!$E$2:$J$678,2,0)</f>
        <v>Aktif</v>
      </c>
      <c r="G1346" t="str">
        <f>VLOOKUP(C1346,'Master Anggota'!$E$2:$J$678,5,0)</f>
        <v>PHL</v>
      </c>
      <c r="H1346" s="56">
        <v>0</v>
      </c>
      <c r="I1346" s="56">
        <v>0</v>
      </c>
      <c r="J1346" s="56">
        <v>100000</v>
      </c>
      <c r="K1346" s="56">
        <v>200000</v>
      </c>
      <c r="L1346" t="s">
        <v>644</v>
      </c>
      <c r="M1346" s="71">
        <v>46112</v>
      </c>
      <c r="N1346" t="s">
        <v>576</v>
      </c>
    </row>
    <row r="1347" spans="3:14" hidden="1" x14ac:dyDescent="0.2">
      <c r="C1347" t="s">
        <v>529</v>
      </c>
      <c r="D1347" t="str">
        <f>VLOOKUP(C1347,'Master Anggota'!$E$2:$J$678,2,0)</f>
        <v>Purna Bakti 2026</v>
      </c>
      <c r="G1347" t="str">
        <f>VLOOKUP(C1347,'Master Anggota'!$E$2:$J$678,5,0)</f>
        <v>Nasabah</v>
      </c>
      <c r="H1347" s="56">
        <v>0</v>
      </c>
      <c r="I1347" s="56">
        <v>0</v>
      </c>
      <c r="J1347" s="56">
        <v>100000</v>
      </c>
      <c r="K1347" s="56">
        <v>100000</v>
      </c>
      <c r="L1347" t="s">
        <v>644</v>
      </c>
      <c r="M1347" s="71">
        <v>46112</v>
      </c>
      <c r="N1347" t="s">
        <v>576</v>
      </c>
    </row>
    <row r="1348" spans="3:14" hidden="1" x14ac:dyDescent="0.2">
      <c r="C1348" t="s">
        <v>532</v>
      </c>
      <c r="D1348" t="str">
        <f>VLOOKUP(C1348,'Master Anggota'!$E$2:$J$678,2,0)</f>
        <v>Aktif</v>
      </c>
      <c r="G1348" t="str">
        <f>VLOOKUP(C1348,'Master Anggota'!$E$2:$J$678,5,0)</f>
        <v>Nasabah</v>
      </c>
      <c r="H1348" s="56">
        <v>0</v>
      </c>
      <c r="I1348" s="56">
        <v>0</v>
      </c>
      <c r="J1348" s="56">
        <v>100000</v>
      </c>
      <c r="K1348" s="56">
        <v>100000</v>
      </c>
      <c r="L1348" t="s">
        <v>644</v>
      </c>
      <c r="M1348" s="71">
        <v>46093</v>
      </c>
      <c r="N1348" t="s">
        <v>576</v>
      </c>
    </row>
    <row r="1349" spans="3:14" hidden="1" x14ac:dyDescent="0.2">
      <c r="C1349" t="s">
        <v>533</v>
      </c>
      <c r="D1349" t="str">
        <f>VLOOKUP(C1349,'Master Anggota'!$E$2:$J$678,2,0)</f>
        <v>Aktif</v>
      </c>
      <c r="G1349" t="str">
        <f>VLOOKUP(C1349,'Master Anggota'!$E$2:$J$678,5,0)</f>
        <v>Nasabah</v>
      </c>
      <c r="H1349" s="56">
        <v>0</v>
      </c>
      <c r="I1349" s="56">
        <v>0</v>
      </c>
      <c r="J1349" s="75">
        <v>100000</v>
      </c>
      <c r="K1349" s="75">
        <v>400000</v>
      </c>
      <c r="L1349" s="78" t="s">
        <v>612</v>
      </c>
      <c r="M1349" s="76">
        <v>46093</v>
      </c>
      <c r="N1349" t="s">
        <v>576</v>
      </c>
    </row>
    <row r="1350" spans="3:14" hidden="1" x14ac:dyDescent="0.2">
      <c r="C1350" t="s">
        <v>531</v>
      </c>
      <c r="D1350" t="str">
        <f>VLOOKUP(C1350,'Master Anggota'!$E$2:$J$678,2,0)</f>
        <v>Aktif</v>
      </c>
      <c r="G1350" t="str">
        <f>VLOOKUP(C1350,'Master Anggota'!$E$2:$J$678,5,0)</f>
        <v>PHL</v>
      </c>
      <c r="H1350" s="56">
        <v>0</v>
      </c>
      <c r="I1350" s="56">
        <v>0</v>
      </c>
      <c r="J1350" s="56">
        <v>100000</v>
      </c>
      <c r="K1350" s="56">
        <v>200000</v>
      </c>
      <c r="L1350" t="s">
        <v>612</v>
      </c>
      <c r="M1350" s="71">
        <v>46080</v>
      </c>
      <c r="N1350" t="s">
        <v>576</v>
      </c>
    </row>
    <row r="1351" spans="3:14" hidden="1" x14ac:dyDescent="0.2">
      <c r="C1351" t="s">
        <v>529</v>
      </c>
      <c r="D1351" t="str">
        <f>VLOOKUP(C1351,'Master Anggota'!$E$2:$J$678,2,0)</f>
        <v>Purna Bakti 2026</v>
      </c>
      <c r="G1351" t="str">
        <f>VLOOKUP(C1351,'Master Anggota'!$E$2:$J$678,5,0)</f>
        <v>Nasabah</v>
      </c>
      <c r="H1351" s="56">
        <v>0</v>
      </c>
      <c r="I1351" s="56">
        <v>0</v>
      </c>
      <c r="J1351" s="56">
        <v>100000</v>
      </c>
      <c r="K1351" s="56">
        <v>100000</v>
      </c>
      <c r="L1351" t="s">
        <v>612</v>
      </c>
      <c r="M1351" s="71">
        <v>46080</v>
      </c>
      <c r="N1351" t="s">
        <v>576</v>
      </c>
    </row>
    <row r="1352" spans="3:14" hidden="1" x14ac:dyDescent="0.2">
      <c r="C1352" t="s">
        <v>182</v>
      </c>
      <c r="D1352" t="str">
        <f>VLOOKUP(C1352,'Master Anggota'!$E$2:$J$678,2,0)</f>
        <v>Aktif</v>
      </c>
      <c r="G1352" t="str">
        <f>VLOOKUP(C1352,'Master Anggota'!$E$2:$J$678,5,0)</f>
        <v>00565</v>
      </c>
      <c r="H1352" s="82">
        <v>0</v>
      </c>
      <c r="I1352" s="82">
        <v>0</v>
      </c>
      <c r="J1352" s="82">
        <v>0</v>
      </c>
      <c r="K1352" s="82">
        <v>-3500000</v>
      </c>
      <c r="L1352" t="s">
        <v>717</v>
      </c>
      <c r="M1352" s="71">
        <v>46216</v>
      </c>
      <c r="N1352" t="s">
        <v>611</v>
      </c>
    </row>
    <row r="1353" spans="3:14" hidden="1" x14ac:dyDescent="0.2">
      <c r="C1353" t="s">
        <v>532</v>
      </c>
      <c r="D1353" t="str">
        <f>VLOOKUP(C1353,'Master Anggota'!$E$2:$J$678,2,0)</f>
        <v>Aktif</v>
      </c>
      <c r="G1353" t="str">
        <f>VLOOKUP(C1353,'Master Anggota'!$E$2:$J$678,5,0)</f>
        <v>Nasabah</v>
      </c>
      <c r="H1353" s="56">
        <v>0</v>
      </c>
      <c r="I1353" s="56">
        <v>0</v>
      </c>
      <c r="J1353" s="56">
        <v>100000</v>
      </c>
      <c r="K1353" s="56">
        <v>100000</v>
      </c>
      <c r="L1353" t="s">
        <v>680</v>
      </c>
      <c r="M1353" s="71">
        <v>46191</v>
      </c>
      <c r="N1353" t="s">
        <v>576</v>
      </c>
    </row>
    <row r="1354" spans="3:14" hidden="1" x14ac:dyDescent="0.2">
      <c r="C1354" t="s">
        <v>533</v>
      </c>
      <c r="D1354" t="str">
        <f>VLOOKUP(C1354,'Master Anggota'!$E$2:$J$678,2,0)</f>
        <v>Aktif</v>
      </c>
      <c r="G1354" t="str">
        <f>VLOOKUP(C1354,'Master Anggota'!$E$2:$J$678,5,0)</f>
        <v>Nasabah</v>
      </c>
      <c r="H1354" s="56">
        <v>0</v>
      </c>
      <c r="I1354" s="56">
        <v>0</v>
      </c>
      <c r="J1354" s="75">
        <v>100000</v>
      </c>
      <c r="K1354" s="75">
        <v>400000</v>
      </c>
      <c r="L1354" s="78" t="s">
        <v>659</v>
      </c>
      <c r="M1354" s="76">
        <v>46155</v>
      </c>
      <c r="N1354" t="s">
        <v>576</v>
      </c>
    </row>
    <row r="1355" spans="3:14" hidden="1" x14ac:dyDescent="0.2">
      <c r="C1355" t="s">
        <v>497</v>
      </c>
      <c r="D1355" t="str">
        <f>VLOOKUP(C1355,'Master Anggota'!$E$2:$J$678,2,0)</f>
        <v>Aktif</v>
      </c>
      <c r="G1355" t="str">
        <f>VLOOKUP(C1355,'Master Anggota'!$E$2:$J$678,5,0)</f>
        <v>01719</v>
      </c>
      <c r="H1355" s="56">
        <v>0</v>
      </c>
      <c r="I1355" s="56">
        <v>0</v>
      </c>
      <c r="J1355" s="56">
        <v>0</v>
      </c>
      <c r="K1355" s="56">
        <v>-2000000</v>
      </c>
      <c r="L1355" t="s">
        <v>717</v>
      </c>
      <c r="M1355" s="71">
        <v>46217</v>
      </c>
      <c r="N1355" t="s">
        <v>611</v>
      </c>
    </row>
    <row r="1356" spans="3:14" hidden="1" x14ac:dyDescent="0.2">
      <c r="C1356" t="s">
        <v>204</v>
      </c>
      <c r="D1356" t="str">
        <f>VLOOKUP(C1356,'Master Anggota'!$E$2:$J$678,2,0)</f>
        <v>Aktif</v>
      </c>
      <c r="G1356" t="str">
        <f>VLOOKUP(C1356,'Master Anggota'!$E$2:$J$678,5,0)</f>
        <v>00534</v>
      </c>
      <c r="H1356" s="82">
        <v>0</v>
      </c>
      <c r="I1356" s="82">
        <v>0</v>
      </c>
      <c r="J1356" s="82">
        <v>0</v>
      </c>
      <c r="K1356" s="82">
        <v>-3400000</v>
      </c>
      <c r="L1356" t="s">
        <v>717</v>
      </c>
      <c r="M1356" s="71">
        <v>46218</v>
      </c>
      <c r="N1356" t="s">
        <v>611</v>
      </c>
    </row>
    <row r="1357" spans="3:14" hidden="1" x14ac:dyDescent="0.2">
      <c r="C1357" t="s">
        <v>241</v>
      </c>
      <c r="D1357" t="str">
        <f>VLOOKUP(C1357,'Master Anggota'!$E$2:$J$678,2,0)</f>
        <v>Aktif</v>
      </c>
      <c r="G1357" t="str">
        <f>VLOOKUP(C1357,'Master Anggota'!$E$2:$J$678,5,0)</f>
        <v>00526</v>
      </c>
      <c r="H1357" s="82">
        <v>0</v>
      </c>
      <c r="I1357" s="82">
        <v>0</v>
      </c>
      <c r="J1357" s="82">
        <v>0</v>
      </c>
      <c r="K1357" s="82">
        <v>-1000000</v>
      </c>
      <c r="L1357" t="s">
        <v>717</v>
      </c>
      <c r="M1357" s="71">
        <v>46218</v>
      </c>
      <c r="N1357" t="s">
        <v>611</v>
      </c>
    </row>
    <row r="1358" spans="3:14" hidden="1" x14ac:dyDescent="0.2">
      <c r="C1358" t="s">
        <v>194</v>
      </c>
      <c r="D1358" t="str">
        <f>VLOOKUP(C1358,'Master Anggota'!$E$2:$J$678,2,0)</f>
        <v>Aktif</v>
      </c>
      <c r="G1358" t="str">
        <f>VLOOKUP(C1358,'Master Anggota'!$E$2:$J$678,5,0)</f>
        <v>00498</v>
      </c>
      <c r="H1358" s="82">
        <v>0</v>
      </c>
      <c r="I1358" s="82">
        <v>0</v>
      </c>
      <c r="J1358" s="82">
        <v>0</v>
      </c>
      <c r="K1358" s="82">
        <v>-3000000</v>
      </c>
      <c r="L1358" t="s">
        <v>717</v>
      </c>
      <c r="M1358" s="71">
        <v>46216</v>
      </c>
      <c r="N1358" t="s">
        <v>611</v>
      </c>
    </row>
    <row r="1359" spans="3:14" hidden="1" x14ac:dyDescent="0.2">
      <c r="C1359" t="s">
        <v>368</v>
      </c>
      <c r="D1359" t="str">
        <f>VLOOKUP(C1359,'Master Anggota'!$E$2:$J$678,2,0)</f>
        <v>Aktif</v>
      </c>
      <c r="G1359" t="str">
        <f>VLOOKUP(C1359,'Master Anggota'!$E$2:$J$678,5,0)</f>
        <v>01703</v>
      </c>
      <c r="H1359" s="82">
        <v>0</v>
      </c>
      <c r="I1359" s="82">
        <v>0</v>
      </c>
      <c r="J1359" s="82">
        <v>0</v>
      </c>
      <c r="K1359" s="82">
        <v>-1500000</v>
      </c>
      <c r="L1359" t="s">
        <v>717</v>
      </c>
      <c r="M1359" s="71">
        <v>46233</v>
      </c>
      <c r="N1359" t="s">
        <v>611</v>
      </c>
    </row>
    <row r="1360" spans="3:14" hidden="1" x14ac:dyDescent="0.2">
      <c r="C1360" t="s">
        <v>369</v>
      </c>
      <c r="D1360" t="str">
        <f>VLOOKUP(C1360,'Master Anggota'!$E$2:$J$678,2,0)</f>
        <v>Aktif</v>
      </c>
      <c r="G1360" t="str">
        <f>VLOOKUP(C1360,'Master Anggota'!$E$2:$J$678,5,0)</f>
        <v>01654</v>
      </c>
      <c r="H1360" s="82">
        <v>0</v>
      </c>
      <c r="I1360" s="82">
        <v>0</v>
      </c>
      <c r="J1360" s="82">
        <v>0</v>
      </c>
      <c r="K1360" s="82">
        <v>-1500000</v>
      </c>
      <c r="L1360" t="s">
        <v>717</v>
      </c>
      <c r="M1360" s="71">
        <v>46233</v>
      </c>
      <c r="N1360" t="s">
        <v>611</v>
      </c>
    </row>
    <row r="1361" spans="3:14" hidden="1" x14ac:dyDescent="0.2">
      <c r="C1361" t="s">
        <v>83</v>
      </c>
      <c r="D1361" t="str">
        <f>VLOOKUP(C1361,'Master Anggota'!$E$2:$J$678,2,0)</f>
        <v>Aktif</v>
      </c>
      <c r="G1361" t="str">
        <f>VLOOKUP(C1361,'Master Anggota'!$E$2:$J$678,5,0)</f>
        <v>00322</v>
      </c>
      <c r="H1361" s="82">
        <v>0</v>
      </c>
      <c r="I1361" s="82">
        <v>0</v>
      </c>
      <c r="J1361" s="82">
        <v>0</v>
      </c>
      <c r="K1361" s="82">
        <v>-1600000</v>
      </c>
      <c r="L1361" t="s">
        <v>717</v>
      </c>
      <c r="M1361" s="71">
        <v>46233</v>
      </c>
      <c r="N1361" t="s">
        <v>611</v>
      </c>
    </row>
    <row r="1362" spans="3:14" hidden="1" x14ac:dyDescent="0.2">
      <c r="C1362" t="s">
        <v>81</v>
      </c>
      <c r="D1362" t="str">
        <f>VLOOKUP(C1362,'Master Anggota'!$E$2:$J$678,2,0)</f>
        <v>Aktif</v>
      </c>
      <c r="G1362" t="str">
        <f>VLOOKUP(C1362,'Master Anggota'!$E$2:$J$678,5,0)</f>
        <v>00537</v>
      </c>
      <c r="H1362" s="82">
        <v>0</v>
      </c>
      <c r="I1362" s="82">
        <v>0</v>
      </c>
      <c r="J1362" s="82">
        <v>0</v>
      </c>
      <c r="K1362" s="82">
        <v>-4000000</v>
      </c>
      <c r="L1362" t="s">
        <v>732</v>
      </c>
      <c r="M1362" s="71">
        <v>46237</v>
      </c>
      <c r="N1362" t="s">
        <v>611</v>
      </c>
    </row>
    <row r="1363" spans="3:14" hidden="1" x14ac:dyDescent="0.2">
      <c r="C1363" t="s">
        <v>370</v>
      </c>
      <c r="D1363" t="str">
        <f>VLOOKUP(C1363,'Master Anggota'!$E$2:$J$678,2,0)</f>
        <v>Aktif</v>
      </c>
      <c r="G1363" t="str">
        <f>VLOOKUP(C1363,'Master Anggota'!$E$2:$J$678,5,0)</f>
        <v>00610</v>
      </c>
      <c r="H1363" s="82">
        <v>0</v>
      </c>
      <c r="I1363" s="82">
        <v>0</v>
      </c>
      <c r="J1363" s="82">
        <v>0</v>
      </c>
      <c r="K1363" s="82">
        <v>-5000000</v>
      </c>
      <c r="L1363" t="s">
        <v>732</v>
      </c>
      <c r="M1363" s="71">
        <v>46237</v>
      </c>
      <c r="N1363" t="s">
        <v>611</v>
      </c>
    </row>
    <row r="1364" spans="3:14" hidden="1" x14ac:dyDescent="0.2">
      <c r="C1364" t="s">
        <v>486</v>
      </c>
      <c r="D1364" t="str">
        <f>VLOOKUP(C1364,'Master Anggota'!$E$2:$J$678,2,0)</f>
        <v>Aktif</v>
      </c>
      <c r="G1364" t="str">
        <f>VLOOKUP(C1364,'Master Anggota'!$E$2:$J$678,5,0)</f>
        <v>00281</v>
      </c>
      <c r="H1364" s="82">
        <v>0</v>
      </c>
      <c r="I1364" s="82">
        <v>0</v>
      </c>
      <c r="J1364" s="56">
        <v>100000</v>
      </c>
      <c r="K1364" s="56">
        <v>400000</v>
      </c>
      <c r="L1364" t="s">
        <v>717</v>
      </c>
      <c r="M1364" s="71">
        <v>46227</v>
      </c>
      <c r="N1364" t="s">
        <v>576</v>
      </c>
    </row>
    <row r="1365" spans="3:14" hidden="1" x14ac:dyDescent="0.2">
      <c r="C1365" t="s">
        <v>135</v>
      </c>
      <c r="D1365" t="str">
        <f>VLOOKUP(C1365,'Master Anggota'!$E$2:$J$678,2,0)</f>
        <v>Aktif</v>
      </c>
      <c r="G1365" t="str">
        <f>VLOOKUP(C1365,'Master Anggota'!$E$2:$J$678,5,0)</f>
        <v>00293</v>
      </c>
      <c r="H1365" s="82">
        <v>0</v>
      </c>
      <c r="I1365" s="82">
        <v>0</v>
      </c>
      <c r="J1365" s="56">
        <v>100000</v>
      </c>
      <c r="K1365" s="56">
        <v>100000</v>
      </c>
      <c r="L1365" t="s">
        <v>717</v>
      </c>
      <c r="M1365" s="71">
        <v>46227</v>
      </c>
      <c r="N1365" t="s">
        <v>576</v>
      </c>
    </row>
    <row r="1366" spans="3:14" hidden="1" x14ac:dyDescent="0.2">
      <c r="C1366" t="s">
        <v>248</v>
      </c>
      <c r="D1366" t="str">
        <f>VLOOKUP(C1366,'Master Anggota'!$E$2:$J$678,2,0)</f>
        <v>Aktif</v>
      </c>
      <c r="G1366" t="str">
        <f>VLOOKUP(C1366,'Master Anggota'!$E$2:$J$678,5,0)</f>
        <v>00302</v>
      </c>
      <c r="H1366" s="82">
        <v>0</v>
      </c>
      <c r="I1366" s="82">
        <v>0</v>
      </c>
      <c r="J1366" s="56">
        <v>100000</v>
      </c>
      <c r="K1366" s="56">
        <v>10000</v>
      </c>
      <c r="L1366" t="s">
        <v>717</v>
      </c>
      <c r="M1366" s="71">
        <v>46227</v>
      </c>
      <c r="N1366" t="s">
        <v>576</v>
      </c>
    </row>
    <row r="1367" spans="3:14" hidden="1" x14ac:dyDescent="0.2">
      <c r="C1367" t="s">
        <v>335</v>
      </c>
      <c r="D1367" t="str">
        <f>VLOOKUP(C1367,'Master Anggota'!$E$2:$J$678,2,0)</f>
        <v>Aktif</v>
      </c>
      <c r="G1367" t="str">
        <f>VLOOKUP(C1367,'Master Anggota'!$E$2:$J$678,5,0)</f>
        <v>00311</v>
      </c>
      <c r="H1367" s="82">
        <v>0</v>
      </c>
      <c r="I1367" s="82">
        <v>0</v>
      </c>
      <c r="J1367" s="56">
        <v>150000</v>
      </c>
      <c r="K1367" s="56">
        <v>25000</v>
      </c>
      <c r="L1367" t="s">
        <v>717</v>
      </c>
      <c r="M1367" s="71">
        <v>46227</v>
      </c>
      <c r="N1367" t="s">
        <v>576</v>
      </c>
    </row>
    <row r="1368" spans="3:14" hidden="1" x14ac:dyDescent="0.2">
      <c r="C1368" t="s">
        <v>113</v>
      </c>
      <c r="D1368" t="str">
        <f>VLOOKUP(C1368,'Master Anggota'!$E$2:$J$678,2,0)</f>
        <v>Aktif</v>
      </c>
      <c r="G1368" t="str">
        <f>VLOOKUP(C1368,'Master Anggota'!$E$2:$J$678,5,0)</f>
        <v>00317</v>
      </c>
      <c r="H1368" s="82">
        <v>0</v>
      </c>
      <c r="I1368" s="82">
        <v>0</v>
      </c>
      <c r="J1368" s="56">
        <v>100000</v>
      </c>
      <c r="K1368" s="56">
        <v>15000</v>
      </c>
      <c r="L1368" t="s">
        <v>717</v>
      </c>
      <c r="M1368" s="71">
        <v>46227</v>
      </c>
      <c r="N1368" t="s">
        <v>576</v>
      </c>
    </row>
    <row r="1369" spans="3:14" hidden="1" x14ac:dyDescent="0.2">
      <c r="C1369" t="s">
        <v>83</v>
      </c>
      <c r="D1369" t="str">
        <f>VLOOKUP(C1369,'Master Anggota'!$E$2:$J$678,2,0)</f>
        <v>Aktif</v>
      </c>
      <c r="G1369" t="str">
        <f>VLOOKUP(C1369,'Master Anggota'!$E$2:$J$678,5,0)</f>
        <v>00322</v>
      </c>
      <c r="H1369" s="82">
        <v>0</v>
      </c>
      <c r="I1369" s="82">
        <v>0</v>
      </c>
      <c r="J1369" s="56">
        <v>100000</v>
      </c>
      <c r="K1369" s="56">
        <v>100000</v>
      </c>
      <c r="L1369" t="s">
        <v>717</v>
      </c>
      <c r="M1369" s="71">
        <v>46227</v>
      </c>
      <c r="N1369" t="s">
        <v>576</v>
      </c>
    </row>
    <row r="1370" spans="3:14" hidden="1" x14ac:dyDescent="0.2">
      <c r="C1370" t="s">
        <v>48</v>
      </c>
      <c r="D1370" t="str">
        <f>VLOOKUP(C1370,'Master Anggota'!$E$2:$J$678,2,0)</f>
        <v>Aktif</v>
      </c>
      <c r="G1370" t="str">
        <f>VLOOKUP(C1370,'Master Anggota'!$E$2:$J$678,5,0)</f>
        <v>00325</v>
      </c>
      <c r="H1370" s="82">
        <v>0</v>
      </c>
      <c r="I1370" s="82">
        <v>0</v>
      </c>
      <c r="J1370" s="56">
        <v>100000</v>
      </c>
      <c r="K1370" s="56">
        <v>75000</v>
      </c>
      <c r="L1370" t="s">
        <v>717</v>
      </c>
      <c r="M1370" s="71">
        <v>46227</v>
      </c>
      <c r="N1370" t="s">
        <v>576</v>
      </c>
    </row>
    <row r="1371" spans="3:14" hidden="1" x14ac:dyDescent="0.2">
      <c r="C1371" t="s">
        <v>198</v>
      </c>
      <c r="D1371" t="str">
        <f>VLOOKUP(C1371,'Master Anggota'!$E$2:$J$678,2,0)</f>
        <v>Aktif</v>
      </c>
      <c r="G1371" t="str">
        <f>VLOOKUP(C1371,'Master Anggota'!$E$2:$J$678,5,0)</f>
        <v>00327</v>
      </c>
      <c r="H1371" s="82">
        <v>0</v>
      </c>
      <c r="I1371" s="82">
        <v>0</v>
      </c>
      <c r="J1371" s="56">
        <v>100000</v>
      </c>
      <c r="K1371" s="56">
        <v>200000</v>
      </c>
      <c r="L1371" t="s">
        <v>717</v>
      </c>
      <c r="M1371" s="71">
        <v>46227</v>
      </c>
      <c r="N1371" t="s">
        <v>576</v>
      </c>
    </row>
    <row r="1372" spans="3:14" hidden="1" x14ac:dyDescent="0.2">
      <c r="C1372" t="s">
        <v>208</v>
      </c>
      <c r="D1372" t="str">
        <f>VLOOKUP(C1372,'Master Anggota'!$E$2:$J$678,2,0)</f>
        <v>Aktif</v>
      </c>
      <c r="G1372" t="str">
        <f>VLOOKUP(C1372,'Master Anggota'!$E$2:$J$678,5,0)</f>
        <v>00328</v>
      </c>
      <c r="H1372" s="82">
        <v>0</v>
      </c>
      <c r="I1372" s="82">
        <v>0</v>
      </c>
      <c r="J1372" s="56">
        <v>100000</v>
      </c>
      <c r="K1372" s="56">
        <v>250000</v>
      </c>
      <c r="L1372" t="s">
        <v>717</v>
      </c>
      <c r="M1372" s="71">
        <v>46227</v>
      </c>
      <c r="N1372" t="s">
        <v>576</v>
      </c>
    </row>
    <row r="1373" spans="3:14" hidden="1" x14ac:dyDescent="0.2">
      <c r="C1373" t="s">
        <v>348</v>
      </c>
      <c r="D1373" t="str">
        <f>VLOOKUP(C1373,'Master Anggota'!$E$2:$J$678,2,0)</f>
        <v>Aktif</v>
      </c>
      <c r="G1373" t="str">
        <f>VLOOKUP(C1373,'Master Anggota'!$E$2:$J$678,5,0)</f>
        <v>00334</v>
      </c>
      <c r="H1373" s="82">
        <v>0</v>
      </c>
      <c r="I1373" s="82">
        <v>0</v>
      </c>
      <c r="J1373" s="56">
        <v>100000</v>
      </c>
      <c r="K1373" s="56">
        <v>10000</v>
      </c>
      <c r="L1373" t="s">
        <v>717</v>
      </c>
      <c r="M1373" s="71">
        <v>46227</v>
      </c>
      <c r="N1373" t="s">
        <v>576</v>
      </c>
    </row>
    <row r="1374" spans="3:14" hidden="1" x14ac:dyDescent="0.2">
      <c r="C1374" t="s">
        <v>250</v>
      </c>
      <c r="D1374" t="str">
        <f>VLOOKUP(C1374,'Master Anggota'!$E$2:$J$678,2,0)</f>
        <v>Aktif</v>
      </c>
      <c r="G1374" t="str">
        <f>VLOOKUP(C1374,'Master Anggota'!$E$2:$J$678,5,0)</f>
        <v>00337</v>
      </c>
      <c r="H1374" s="82">
        <v>0</v>
      </c>
      <c r="I1374" s="82">
        <v>0</v>
      </c>
      <c r="J1374" s="56">
        <v>100000</v>
      </c>
      <c r="K1374" s="56">
        <v>50000</v>
      </c>
      <c r="L1374" t="s">
        <v>717</v>
      </c>
      <c r="M1374" s="71">
        <v>46227</v>
      </c>
      <c r="N1374" t="s">
        <v>576</v>
      </c>
    </row>
    <row r="1375" spans="3:14" hidden="1" x14ac:dyDescent="0.2">
      <c r="C1375" t="s">
        <v>341</v>
      </c>
      <c r="D1375" t="str">
        <f>VLOOKUP(C1375,'Master Anggota'!$E$2:$J$678,2,0)</f>
        <v>Aktif</v>
      </c>
      <c r="G1375" t="str">
        <f>VLOOKUP(C1375,'Master Anggota'!$E$2:$J$678,5,0)</f>
        <v>00339</v>
      </c>
      <c r="H1375" s="82">
        <v>0</v>
      </c>
      <c r="I1375" s="82">
        <v>0</v>
      </c>
      <c r="J1375" s="56">
        <v>100000</v>
      </c>
      <c r="K1375" s="56">
        <v>50000</v>
      </c>
      <c r="L1375" t="s">
        <v>717</v>
      </c>
      <c r="M1375" s="71">
        <v>46227</v>
      </c>
      <c r="N1375" t="s">
        <v>576</v>
      </c>
    </row>
    <row r="1376" spans="3:14" hidden="1" x14ac:dyDescent="0.2">
      <c r="C1376" t="s">
        <v>39</v>
      </c>
      <c r="D1376" t="str">
        <f>VLOOKUP(C1376,'Master Anggota'!$E$2:$J$678,2,0)</f>
        <v>Aktif</v>
      </c>
      <c r="G1376" t="str">
        <f>VLOOKUP(C1376,'Master Anggota'!$E$2:$J$678,5,0)</f>
        <v>00340</v>
      </c>
      <c r="H1376" s="82">
        <v>0</v>
      </c>
      <c r="I1376" s="82">
        <v>0</v>
      </c>
      <c r="J1376" s="56">
        <v>100000</v>
      </c>
      <c r="K1376" s="56">
        <v>1775000</v>
      </c>
      <c r="L1376" t="s">
        <v>717</v>
      </c>
      <c r="M1376" s="71">
        <v>46227</v>
      </c>
      <c r="N1376" t="s">
        <v>576</v>
      </c>
    </row>
    <row r="1377" spans="3:14" hidden="1" x14ac:dyDescent="0.2">
      <c r="C1377" t="s">
        <v>129</v>
      </c>
      <c r="D1377" t="str">
        <f>VLOOKUP(C1377,'Master Anggota'!$E$2:$J$678,2,0)</f>
        <v>Aktif</v>
      </c>
      <c r="G1377" t="str">
        <f>VLOOKUP(C1377,'Master Anggota'!$E$2:$J$678,5,0)</f>
        <v>00343</v>
      </c>
      <c r="H1377" s="82">
        <v>0</v>
      </c>
      <c r="I1377" s="82">
        <v>0</v>
      </c>
      <c r="J1377" s="56">
        <v>100000</v>
      </c>
      <c r="K1377" s="56">
        <v>150000</v>
      </c>
      <c r="L1377" t="s">
        <v>717</v>
      </c>
      <c r="M1377" s="71">
        <v>46227</v>
      </c>
      <c r="N1377" t="s">
        <v>576</v>
      </c>
    </row>
    <row r="1378" spans="3:14" hidden="1" x14ac:dyDescent="0.2">
      <c r="C1378" t="s">
        <v>480</v>
      </c>
      <c r="D1378" t="str">
        <f>VLOOKUP(C1378,'Master Anggota'!$E$2:$J$678,2,0)</f>
        <v>Aktif</v>
      </c>
      <c r="G1378" t="str">
        <f>VLOOKUP(C1378,'Master Anggota'!$E$2:$J$678,5,0)</f>
        <v>00351</v>
      </c>
      <c r="H1378" s="82">
        <v>0</v>
      </c>
      <c r="I1378" s="82">
        <v>0</v>
      </c>
      <c r="J1378" s="56">
        <v>100000</v>
      </c>
      <c r="K1378" s="56">
        <v>100000</v>
      </c>
      <c r="L1378" t="s">
        <v>717</v>
      </c>
      <c r="M1378" s="71">
        <v>46227</v>
      </c>
      <c r="N1378" t="s">
        <v>576</v>
      </c>
    </row>
    <row r="1379" spans="3:14" hidden="1" x14ac:dyDescent="0.2">
      <c r="C1379" t="s">
        <v>151</v>
      </c>
      <c r="D1379" t="str">
        <f>VLOOKUP(C1379,'Master Anggota'!$E$2:$J$678,2,0)</f>
        <v>Aktif</v>
      </c>
      <c r="G1379" t="str">
        <f>VLOOKUP(C1379,'Master Anggota'!$E$2:$J$678,5,0)</f>
        <v>00362</v>
      </c>
      <c r="H1379" s="82">
        <v>0</v>
      </c>
      <c r="I1379" s="82">
        <v>0</v>
      </c>
      <c r="J1379" s="56">
        <v>100000</v>
      </c>
      <c r="K1379" s="56">
        <v>250000</v>
      </c>
      <c r="L1379" t="s">
        <v>717</v>
      </c>
      <c r="M1379" s="71">
        <v>46227</v>
      </c>
      <c r="N1379" t="s">
        <v>576</v>
      </c>
    </row>
    <row r="1380" spans="3:14" hidden="1" x14ac:dyDescent="0.2">
      <c r="C1380" t="s">
        <v>90</v>
      </c>
      <c r="D1380" t="str">
        <f>VLOOKUP(C1380,'Master Anggota'!$E$2:$J$678,2,0)</f>
        <v>Aktif</v>
      </c>
      <c r="G1380" t="str">
        <f>VLOOKUP(C1380,'Master Anggota'!$E$2:$J$678,5,0)</f>
        <v>00363</v>
      </c>
      <c r="H1380" s="82">
        <v>0</v>
      </c>
      <c r="I1380" s="82">
        <v>0</v>
      </c>
      <c r="J1380" s="56">
        <v>150000</v>
      </c>
      <c r="K1380" s="56">
        <v>10000</v>
      </c>
      <c r="L1380" t="s">
        <v>717</v>
      </c>
      <c r="M1380" s="71">
        <v>46227</v>
      </c>
      <c r="N1380" t="s">
        <v>576</v>
      </c>
    </row>
    <row r="1381" spans="3:14" hidden="1" x14ac:dyDescent="0.2">
      <c r="C1381" t="s">
        <v>483</v>
      </c>
      <c r="D1381" t="str">
        <f>VLOOKUP(C1381,'Master Anggota'!$E$2:$J$678,2,0)</f>
        <v>Aktif</v>
      </c>
      <c r="G1381" t="str">
        <f>VLOOKUP(C1381,'Master Anggota'!$E$2:$J$678,5,0)</f>
        <v>00368</v>
      </c>
      <c r="H1381" s="82">
        <v>0</v>
      </c>
      <c r="I1381" s="82">
        <v>0</v>
      </c>
      <c r="J1381" s="56">
        <v>100000</v>
      </c>
      <c r="K1381" s="56">
        <v>100000</v>
      </c>
      <c r="L1381" t="s">
        <v>717</v>
      </c>
      <c r="M1381" s="71">
        <v>46227</v>
      </c>
      <c r="N1381" t="s">
        <v>576</v>
      </c>
    </row>
    <row r="1382" spans="3:14" hidden="1" x14ac:dyDescent="0.2">
      <c r="C1382" t="s">
        <v>328</v>
      </c>
      <c r="D1382" t="str">
        <f>VLOOKUP(C1382,'Master Anggota'!$E$2:$J$678,2,0)</f>
        <v>Aktif</v>
      </c>
      <c r="G1382" t="str">
        <f>VLOOKUP(C1382,'Master Anggota'!$E$2:$J$678,5,0)</f>
        <v>00369</v>
      </c>
      <c r="H1382" s="82">
        <v>0</v>
      </c>
      <c r="I1382" s="82">
        <v>0</v>
      </c>
      <c r="J1382" s="56">
        <v>150000</v>
      </c>
      <c r="K1382" s="56">
        <v>50000</v>
      </c>
      <c r="L1382" t="s">
        <v>717</v>
      </c>
      <c r="M1382" s="71">
        <v>46227</v>
      </c>
      <c r="N1382" t="s">
        <v>576</v>
      </c>
    </row>
    <row r="1383" spans="3:14" hidden="1" x14ac:dyDescent="0.2">
      <c r="C1383" t="s">
        <v>352</v>
      </c>
      <c r="D1383" t="str">
        <f>VLOOKUP(C1383,'Master Anggota'!$E$2:$J$678,2,0)</f>
        <v>Aktif</v>
      </c>
      <c r="G1383" t="str">
        <f>VLOOKUP(C1383,'Master Anggota'!$E$2:$J$678,5,0)</f>
        <v>00370</v>
      </c>
      <c r="H1383" s="82">
        <v>0</v>
      </c>
      <c r="I1383" s="82">
        <v>0</v>
      </c>
      <c r="J1383" s="56">
        <v>100000</v>
      </c>
      <c r="K1383" s="56">
        <v>10000</v>
      </c>
      <c r="L1383" t="s">
        <v>717</v>
      </c>
      <c r="M1383" s="71">
        <v>46227</v>
      </c>
      <c r="N1383" t="s">
        <v>576</v>
      </c>
    </row>
    <row r="1384" spans="3:14" hidden="1" x14ac:dyDescent="0.2">
      <c r="C1384" t="s">
        <v>481</v>
      </c>
      <c r="D1384" t="str">
        <f>VLOOKUP(C1384,'Master Anggota'!$E$2:$J$678,2,0)</f>
        <v>Aktif</v>
      </c>
      <c r="G1384" t="str">
        <f>VLOOKUP(C1384,'Master Anggota'!$E$2:$J$678,5,0)</f>
        <v>00371</v>
      </c>
      <c r="H1384" s="82">
        <v>0</v>
      </c>
      <c r="I1384" s="82">
        <v>0</v>
      </c>
      <c r="J1384" s="56">
        <v>100000</v>
      </c>
      <c r="K1384" s="56">
        <v>50000</v>
      </c>
      <c r="L1384" t="s">
        <v>717</v>
      </c>
      <c r="M1384" s="71">
        <v>46227</v>
      </c>
      <c r="N1384" t="s">
        <v>576</v>
      </c>
    </row>
    <row r="1385" spans="3:14" hidden="1" x14ac:dyDescent="0.2">
      <c r="C1385" t="s">
        <v>345</v>
      </c>
      <c r="D1385" t="str">
        <f>VLOOKUP(C1385,'Master Anggota'!$E$2:$J$678,2,0)</f>
        <v>Aktif</v>
      </c>
      <c r="G1385" t="str">
        <f>VLOOKUP(C1385,'Master Anggota'!$E$2:$J$678,5,0)</f>
        <v>00372</v>
      </c>
      <c r="H1385" s="82">
        <v>0</v>
      </c>
      <c r="I1385" s="82">
        <v>0</v>
      </c>
      <c r="J1385" s="56">
        <v>100000</v>
      </c>
      <c r="K1385" s="56">
        <v>12500</v>
      </c>
      <c r="L1385" t="s">
        <v>717</v>
      </c>
      <c r="M1385" s="71">
        <v>46227</v>
      </c>
      <c r="N1385" t="s">
        <v>576</v>
      </c>
    </row>
    <row r="1386" spans="3:14" hidden="1" x14ac:dyDescent="0.2">
      <c r="C1386" t="s">
        <v>521</v>
      </c>
      <c r="D1386" t="str">
        <f>VLOOKUP(C1386,'Master Anggota'!$E$2:$J$678,2,0)</f>
        <v>Aktif</v>
      </c>
      <c r="G1386" t="str">
        <f>VLOOKUP(C1386,'Master Anggota'!$E$2:$J$678,5,0)</f>
        <v>00376</v>
      </c>
      <c r="H1386" s="82">
        <v>0</v>
      </c>
      <c r="I1386" s="82">
        <v>0</v>
      </c>
      <c r="J1386" s="56">
        <v>100000</v>
      </c>
      <c r="K1386" s="56">
        <v>110000</v>
      </c>
      <c r="L1386" t="s">
        <v>717</v>
      </c>
      <c r="M1386" s="71">
        <v>46227</v>
      </c>
      <c r="N1386" t="s">
        <v>576</v>
      </c>
    </row>
    <row r="1387" spans="3:14" hidden="1" x14ac:dyDescent="0.2">
      <c r="C1387" t="s">
        <v>94</v>
      </c>
      <c r="D1387" t="str">
        <f>VLOOKUP(C1387,'Master Anggota'!$E$2:$J$678,2,0)</f>
        <v>Aktif</v>
      </c>
      <c r="G1387" t="str">
        <f>VLOOKUP(C1387,'Master Anggota'!$E$2:$J$678,5,0)</f>
        <v>00387</v>
      </c>
      <c r="H1387" s="82">
        <v>0</v>
      </c>
      <c r="I1387" s="82">
        <v>0</v>
      </c>
      <c r="J1387" s="56">
        <v>100000</v>
      </c>
      <c r="K1387" s="56">
        <v>10000</v>
      </c>
      <c r="L1387" t="s">
        <v>717</v>
      </c>
      <c r="M1387" s="71">
        <v>46227</v>
      </c>
      <c r="N1387" t="s">
        <v>576</v>
      </c>
    </row>
    <row r="1388" spans="3:14" hidden="1" x14ac:dyDescent="0.2">
      <c r="C1388" t="s">
        <v>258</v>
      </c>
      <c r="D1388" t="str">
        <f>VLOOKUP(C1388,'Master Anggota'!$E$2:$J$678,2,0)</f>
        <v>Aktif</v>
      </c>
      <c r="G1388" t="str">
        <f>VLOOKUP(C1388,'Master Anggota'!$E$2:$J$678,5,0)</f>
        <v>00390</v>
      </c>
      <c r="H1388" s="82">
        <v>0</v>
      </c>
      <c r="I1388" s="82">
        <v>0</v>
      </c>
      <c r="J1388" s="56">
        <v>100000</v>
      </c>
      <c r="K1388" s="56">
        <v>10000</v>
      </c>
      <c r="L1388" t="s">
        <v>717</v>
      </c>
      <c r="M1388" s="71">
        <v>46227</v>
      </c>
      <c r="N1388" t="s">
        <v>576</v>
      </c>
    </row>
    <row r="1389" spans="3:14" hidden="1" x14ac:dyDescent="0.2">
      <c r="C1389" t="s">
        <v>92</v>
      </c>
      <c r="D1389" t="str">
        <f>VLOOKUP(C1389,'Master Anggota'!$E$2:$J$678,2,0)</f>
        <v>Aktif</v>
      </c>
      <c r="G1389" t="str">
        <f>VLOOKUP(C1389,'Master Anggota'!$E$2:$J$678,5,0)</f>
        <v>00396</v>
      </c>
      <c r="H1389" s="82">
        <v>0</v>
      </c>
      <c r="I1389" s="82">
        <v>0</v>
      </c>
      <c r="J1389" s="56">
        <v>150000</v>
      </c>
      <c r="K1389" s="56">
        <v>200000</v>
      </c>
      <c r="L1389" t="s">
        <v>717</v>
      </c>
      <c r="M1389" s="71">
        <v>46227</v>
      </c>
      <c r="N1389" t="s">
        <v>576</v>
      </c>
    </row>
    <row r="1390" spans="3:14" hidden="1" x14ac:dyDescent="0.2">
      <c r="C1390" t="s">
        <v>103</v>
      </c>
      <c r="D1390" t="str">
        <f>VLOOKUP(C1390,'Master Anggota'!$E$2:$J$678,2,0)</f>
        <v>Aktif</v>
      </c>
      <c r="G1390" t="str">
        <f>VLOOKUP(C1390,'Master Anggota'!$E$2:$J$678,5,0)</f>
        <v>00401</v>
      </c>
      <c r="H1390" s="82">
        <v>0</v>
      </c>
      <c r="I1390" s="82">
        <v>0</v>
      </c>
      <c r="J1390" s="56">
        <v>150000</v>
      </c>
      <c r="K1390" s="56">
        <v>1000000</v>
      </c>
      <c r="L1390" t="s">
        <v>717</v>
      </c>
      <c r="M1390" s="71">
        <v>46227</v>
      </c>
      <c r="N1390" t="s">
        <v>576</v>
      </c>
    </row>
    <row r="1391" spans="3:14" hidden="1" x14ac:dyDescent="0.2">
      <c r="C1391" t="s">
        <v>122</v>
      </c>
      <c r="D1391" t="str">
        <f>VLOOKUP(C1391,'Master Anggota'!$E$2:$J$678,2,0)</f>
        <v>Aktif</v>
      </c>
      <c r="G1391" t="str">
        <f>VLOOKUP(C1391,'Master Anggota'!$E$2:$J$678,5,0)</f>
        <v>00485</v>
      </c>
      <c r="H1391" s="82">
        <v>0</v>
      </c>
      <c r="I1391" s="82">
        <v>0</v>
      </c>
      <c r="J1391" s="56">
        <v>100000</v>
      </c>
      <c r="K1391" s="56">
        <v>500000</v>
      </c>
      <c r="L1391" t="s">
        <v>717</v>
      </c>
      <c r="M1391" s="71">
        <v>46227</v>
      </c>
      <c r="N1391" t="s">
        <v>576</v>
      </c>
    </row>
    <row r="1392" spans="3:14" hidden="1" x14ac:dyDescent="0.2">
      <c r="C1392" t="s">
        <v>65</v>
      </c>
      <c r="D1392" t="str">
        <f>VLOOKUP(C1392,'Master Anggota'!$E$2:$J$678,2,0)</f>
        <v>Aktif</v>
      </c>
      <c r="G1392" t="str">
        <f>VLOOKUP(C1392,'Master Anggota'!$E$2:$J$678,5,0)</f>
        <v>00490</v>
      </c>
      <c r="H1392" s="82">
        <v>0</v>
      </c>
      <c r="I1392" s="82">
        <v>0</v>
      </c>
      <c r="J1392" s="56">
        <v>150000</v>
      </c>
      <c r="K1392" s="56">
        <v>200000</v>
      </c>
      <c r="L1392" t="s">
        <v>717</v>
      </c>
      <c r="M1392" s="71">
        <v>46227</v>
      </c>
      <c r="N1392" t="s">
        <v>576</v>
      </c>
    </row>
    <row r="1393" spans="3:14" hidden="1" x14ac:dyDescent="0.2">
      <c r="C1393" t="s">
        <v>69</v>
      </c>
      <c r="D1393" t="str">
        <f>VLOOKUP(C1393,'Master Anggota'!$E$2:$J$678,2,0)</f>
        <v>Aktif</v>
      </c>
      <c r="G1393" t="str">
        <f>VLOOKUP(C1393,'Master Anggota'!$E$2:$J$678,5,0)</f>
        <v>00496</v>
      </c>
      <c r="H1393" s="82">
        <v>0</v>
      </c>
      <c r="I1393" s="82">
        <v>0</v>
      </c>
      <c r="J1393" s="56">
        <v>100000</v>
      </c>
      <c r="K1393" s="56">
        <v>150000</v>
      </c>
      <c r="L1393" t="s">
        <v>717</v>
      </c>
      <c r="M1393" s="71">
        <v>46227</v>
      </c>
      <c r="N1393" t="s">
        <v>576</v>
      </c>
    </row>
    <row r="1394" spans="3:14" hidden="1" x14ac:dyDescent="0.2">
      <c r="C1394" t="s">
        <v>115</v>
      </c>
      <c r="D1394" t="str">
        <f>VLOOKUP(C1394,'Master Anggota'!$E$2:$J$678,2,0)</f>
        <v>Aktif</v>
      </c>
      <c r="G1394" t="str">
        <f>VLOOKUP(C1394,'Master Anggota'!$E$2:$J$678,5,0)</f>
        <v>00497</v>
      </c>
      <c r="H1394" s="82">
        <v>0</v>
      </c>
      <c r="I1394" s="82">
        <v>0</v>
      </c>
      <c r="J1394" s="56">
        <v>100000</v>
      </c>
      <c r="K1394" s="56">
        <v>500000</v>
      </c>
      <c r="L1394" t="s">
        <v>717</v>
      </c>
      <c r="M1394" s="71">
        <v>46227</v>
      </c>
      <c r="N1394" t="s">
        <v>576</v>
      </c>
    </row>
    <row r="1395" spans="3:14" hidden="1" x14ac:dyDescent="0.2">
      <c r="C1395" t="s">
        <v>117</v>
      </c>
      <c r="D1395" t="str">
        <f>VLOOKUP(C1395,'Master Anggota'!$E$2:$J$678,2,0)</f>
        <v>Aktif</v>
      </c>
      <c r="G1395" t="str">
        <f>VLOOKUP(C1395,'Master Anggota'!$E$2:$J$678,5,0)</f>
        <v>00497</v>
      </c>
      <c r="H1395" s="82">
        <v>0</v>
      </c>
      <c r="I1395" s="82">
        <v>0</v>
      </c>
      <c r="J1395" s="56">
        <v>100000</v>
      </c>
      <c r="K1395" s="56">
        <v>300000</v>
      </c>
      <c r="L1395" t="s">
        <v>717</v>
      </c>
      <c r="M1395" s="71">
        <v>46227</v>
      </c>
      <c r="N1395" t="s">
        <v>576</v>
      </c>
    </row>
    <row r="1396" spans="3:14" hidden="1" x14ac:dyDescent="0.2">
      <c r="C1396" t="s">
        <v>194</v>
      </c>
      <c r="D1396" t="str">
        <f>VLOOKUP(C1396,'Master Anggota'!$E$2:$J$678,2,0)</f>
        <v>Aktif</v>
      </c>
      <c r="G1396" t="str">
        <f>VLOOKUP(C1396,'Master Anggota'!$E$2:$J$678,5,0)</f>
        <v>00498</v>
      </c>
      <c r="H1396" s="82">
        <v>0</v>
      </c>
      <c r="I1396" s="82">
        <v>0</v>
      </c>
      <c r="J1396" s="56">
        <v>100000</v>
      </c>
      <c r="K1396" s="56">
        <v>600000</v>
      </c>
      <c r="L1396" t="s">
        <v>717</v>
      </c>
      <c r="M1396" s="71">
        <v>46227</v>
      </c>
      <c r="N1396" t="s">
        <v>576</v>
      </c>
    </row>
    <row r="1397" spans="3:14" hidden="1" x14ac:dyDescent="0.2">
      <c r="C1397" t="s">
        <v>155</v>
      </c>
      <c r="D1397" t="str">
        <f>VLOOKUP(C1397,'Master Anggota'!$E$2:$J$678,2,0)</f>
        <v>Aktif</v>
      </c>
      <c r="G1397" t="str">
        <f>VLOOKUP(C1397,'Master Anggota'!$E$2:$J$678,5,0)</f>
        <v>00499</v>
      </c>
      <c r="H1397" s="82">
        <v>0</v>
      </c>
      <c r="I1397" s="82">
        <v>0</v>
      </c>
      <c r="J1397" s="56">
        <v>100000</v>
      </c>
      <c r="K1397" s="56">
        <v>75000</v>
      </c>
      <c r="L1397" t="s">
        <v>717</v>
      </c>
      <c r="M1397" s="71">
        <v>46227</v>
      </c>
      <c r="N1397" t="s">
        <v>576</v>
      </c>
    </row>
    <row r="1398" spans="3:14" hidden="1" x14ac:dyDescent="0.2">
      <c r="C1398" t="s">
        <v>96</v>
      </c>
      <c r="D1398" t="str">
        <f>VLOOKUP(C1398,'Master Anggota'!$E$2:$J$678,2,0)</f>
        <v>Aktif</v>
      </c>
      <c r="G1398" t="str">
        <f>VLOOKUP(C1398,'Master Anggota'!$E$2:$J$678,5,0)</f>
        <v>00508</v>
      </c>
      <c r="H1398" s="82">
        <v>0</v>
      </c>
      <c r="I1398" s="82">
        <v>0</v>
      </c>
      <c r="J1398" s="56">
        <v>100000</v>
      </c>
      <c r="K1398" s="56">
        <v>50000</v>
      </c>
      <c r="L1398" t="s">
        <v>717</v>
      </c>
      <c r="M1398" s="71">
        <v>46227</v>
      </c>
      <c r="N1398" t="s">
        <v>576</v>
      </c>
    </row>
    <row r="1399" spans="3:14" hidden="1" x14ac:dyDescent="0.2">
      <c r="C1399" t="s">
        <v>270</v>
      </c>
      <c r="D1399" t="str">
        <f>VLOOKUP(C1399,'Master Anggota'!$E$2:$J$678,2,0)</f>
        <v>Aktif</v>
      </c>
      <c r="G1399" t="str">
        <f>VLOOKUP(C1399,'Master Anggota'!$E$2:$J$678,5,0)</f>
        <v>00509</v>
      </c>
      <c r="H1399" s="82">
        <v>0</v>
      </c>
      <c r="I1399" s="82">
        <v>0</v>
      </c>
      <c r="J1399" s="56">
        <v>100000</v>
      </c>
      <c r="K1399" s="56">
        <v>175000</v>
      </c>
      <c r="L1399" t="s">
        <v>717</v>
      </c>
      <c r="M1399" s="71">
        <v>46227</v>
      </c>
      <c r="N1399" t="s">
        <v>576</v>
      </c>
    </row>
    <row r="1400" spans="3:14" hidden="1" x14ac:dyDescent="0.2">
      <c r="C1400" t="s">
        <v>37</v>
      </c>
      <c r="D1400" t="str">
        <f>VLOOKUP(C1400,'Master Anggota'!$E$2:$J$678,2,0)</f>
        <v>Aktif</v>
      </c>
      <c r="G1400" t="str">
        <f>VLOOKUP(C1400,'Master Anggota'!$E$2:$J$678,5,0)</f>
        <v>00511</v>
      </c>
      <c r="H1400" s="82">
        <v>0</v>
      </c>
      <c r="I1400" s="82">
        <v>0</v>
      </c>
      <c r="J1400" s="56">
        <v>100000</v>
      </c>
      <c r="K1400" s="56">
        <v>50000</v>
      </c>
      <c r="L1400" t="s">
        <v>717</v>
      </c>
      <c r="M1400" s="71">
        <v>46227</v>
      </c>
      <c r="N1400" t="s">
        <v>576</v>
      </c>
    </row>
    <row r="1401" spans="3:14" hidden="1" x14ac:dyDescent="0.2">
      <c r="C1401" t="s">
        <v>202</v>
      </c>
      <c r="D1401" t="str">
        <f>VLOOKUP(C1401,'Master Anggota'!$E$2:$J$678,2,0)</f>
        <v>Aktif</v>
      </c>
      <c r="G1401" t="str">
        <f>VLOOKUP(C1401,'Master Anggota'!$E$2:$J$678,5,0)</f>
        <v>00512</v>
      </c>
      <c r="H1401" s="82">
        <v>0</v>
      </c>
      <c r="I1401" s="82">
        <v>0</v>
      </c>
      <c r="J1401" s="56">
        <v>100000</v>
      </c>
      <c r="K1401" s="56">
        <v>175000</v>
      </c>
      <c r="L1401" t="s">
        <v>717</v>
      </c>
      <c r="M1401" s="71">
        <v>46227</v>
      </c>
      <c r="N1401" t="s">
        <v>576</v>
      </c>
    </row>
    <row r="1402" spans="3:14" hidden="1" x14ac:dyDescent="0.2">
      <c r="C1402" t="s">
        <v>239</v>
      </c>
      <c r="D1402" t="str">
        <f>VLOOKUP(C1402,'Master Anggota'!$E$2:$J$678,2,0)</f>
        <v>Aktif</v>
      </c>
      <c r="G1402" t="str">
        <f>VLOOKUP(C1402,'Master Anggota'!$E$2:$J$678,5,0)</f>
        <v>00513</v>
      </c>
      <c r="H1402" s="82">
        <v>0</v>
      </c>
      <c r="I1402" s="82">
        <v>0</v>
      </c>
      <c r="J1402" s="56">
        <v>100000</v>
      </c>
      <c r="K1402" s="56">
        <v>125000</v>
      </c>
      <c r="L1402" t="s">
        <v>717</v>
      </c>
      <c r="M1402" s="71">
        <v>46227</v>
      </c>
      <c r="N1402" t="s">
        <v>576</v>
      </c>
    </row>
    <row r="1403" spans="3:14" hidden="1" x14ac:dyDescent="0.2">
      <c r="C1403" t="s">
        <v>223</v>
      </c>
      <c r="D1403" t="str">
        <f>VLOOKUP(C1403,'Master Anggota'!$E$2:$J$678,2,0)</f>
        <v>Aktif</v>
      </c>
      <c r="G1403" t="str">
        <f>VLOOKUP(C1403,'Master Anggota'!$E$2:$J$678,5,0)</f>
        <v>00514</v>
      </c>
      <c r="H1403" s="82">
        <v>0</v>
      </c>
      <c r="I1403" s="82">
        <v>0</v>
      </c>
      <c r="J1403" s="56">
        <v>100000</v>
      </c>
      <c r="K1403" s="56">
        <v>300000</v>
      </c>
      <c r="L1403" t="s">
        <v>717</v>
      </c>
      <c r="M1403" s="71">
        <v>46227</v>
      </c>
      <c r="N1403" t="s">
        <v>576</v>
      </c>
    </row>
    <row r="1404" spans="3:14" hidden="1" x14ac:dyDescent="0.2">
      <c r="C1404" t="s">
        <v>274</v>
      </c>
      <c r="D1404" t="str">
        <f>VLOOKUP(C1404,'Master Anggota'!$E$2:$J$678,2,0)</f>
        <v>Aktif</v>
      </c>
      <c r="G1404" t="str">
        <f>VLOOKUP(C1404,'Master Anggota'!$E$2:$J$678,5,0)</f>
        <v>00515</v>
      </c>
      <c r="H1404" s="82">
        <v>0</v>
      </c>
      <c r="I1404" s="82">
        <v>0</v>
      </c>
      <c r="J1404" s="56">
        <v>100000</v>
      </c>
      <c r="K1404" s="56">
        <v>100000</v>
      </c>
      <c r="L1404" t="s">
        <v>717</v>
      </c>
      <c r="M1404" s="71">
        <v>46227</v>
      </c>
      <c r="N1404" t="s">
        <v>576</v>
      </c>
    </row>
    <row r="1405" spans="3:14" hidden="1" x14ac:dyDescent="0.2">
      <c r="C1405" t="s">
        <v>233</v>
      </c>
      <c r="D1405" t="str">
        <f>VLOOKUP(C1405,'Master Anggota'!$E$2:$J$678,2,0)</f>
        <v>Aktif</v>
      </c>
      <c r="G1405" t="str">
        <f>VLOOKUP(C1405,'Master Anggota'!$E$2:$J$678,5,0)</f>
        <v>00516</v>
      </c>
      <c r="H1405" s="82">
        <v>0</v>
      </c>
      <c r="I1405" s="82">
        <v>0</v>
      </c>
      <c r="J1405" s="56">
        <v>100000</v>
      </c>
      <c r="K1405" s="56">
        <v>25000</v>
      </c>
      <c r="L1405" t="s">
        <v>717</v>
      </c>
      <c r="M1405" s="71">
        <v>46227</v>
      </c>
      <c r="N1405" t="s">
        <v>576</v>
      </c>
    </row>
    <row r="1406" spans="3:14" hidden="1" x14ac:dyDescent="0.2">
      <c r="C1406" t="s">
        <v>71</v>
      </c>
      <c r="D1406" t="str">
        <f>VLOOKUP(C1406,'Master Anggota'!$E$2:$J$678,2,0)</f>
        <v>Aktif</v>
      </c>
      <c r="G1406" t="str">
        <f>VLOOKUP(C1406,'Master Anggota'!$E$2:$J$678,5,0)</f>
        <v>00517</v>
      </c>
      <c r="H1406" s="82">
        <v>0</v>
      </c>
      <c r="I1406" s="82">
        <v>0</v>
      </c>
      <c r="J1406" s="56">
        <v>100000</v>
      </c>
      <c r="K1406" s="56">
        <v>400000</v>
      </c>
      <c r="L1406" t="s">
        <v>717</v>
      </c>
      <c r="M1406" s="71">
        <v>46227</v>
      </c>
      <c r="N1406" t="s">
        <v>576</v>
      </c>
    </row>
    <row r="1407" spans="3:14" hidden="1" x14ac:dyDescent="0.2">
      <c r="C1407" t="s">
        <v>62</v>
      </c>
      <c r="D1407" t="str">
        <f>VLOOKUP(C1407,'Master Anggota'!$E$2:$J$678,2,0)</f>
        <v>Aktif</v>
      </c>
      <c r="G1407" t="str">
        <f>VLOOKUP(C1407,'Master Anggota'!$E$2:$J$678,5,0)</f>
        <v>00518</v>
      </c>
      <c r="H1407" s="82">
        <v>0</v>
      </c>
      <c r="I1407" s="82">
        <v>0</v>
      </c>
      <c r="J1407" s="56">
        <v>200000</v>
      </c>
      <c r="K1407" s="56">
        <v>100000</v>
      </c>
      <c r="L1407" t="s">
        <v>717</v>
      </c>
      <c r="M1407" s="71">
        <v>46227</v>
      </c>
      <c r="N1407" t="s">
        <v>576</v>
      </c>
    </row>
    <row r="1408" spans="3:14" hidden="1" x14ac:dyDescent="0.2">
      <c r="C1408" t="s">
        <v>46</v>
      </c>
      <c r="D1408" t="str">
        <f>VLOOKUP(C1408,'Master Anggota'!$E$2:$J$678,2,0)</f>
        <v>Aktif</v>
      </c>
      <c r="G1408" t="str">
        <f>VLOOKUP(C1408,'Master Anggota'!$E$2:$J$678,5,0)</f>
        <v>00519</v>
      </c>
      <c r="H1408" s="82">
        <v>0</v>
      </c>
      <c r="I1408" s="82">
        <v>0</v>
      </c>
      <c r="J1408" s="56">
        <v>100000</v>
      </c>
      <c r="K1408" s="56">
        <v>125000</v>
      </c>
      <c r="L1408" t="s">
        <v>717</v>
      </c>
      <c r="M1408" s="71">
        <v>46227</v>
      </c>
      <c r="N1408" t="s">
        <v>576</v>
      </c>
    </row>
    <row r="1409" spans="3:14" hidden="1" x14ac:dyDescent="0.2">
      <c r="C1409" t="s">
        <v>200</v>
      </c>
      <c r="D1409" t="str">
        <f>VLOOKUP(C1409,'Master Anggota'!$E$2:$J$678,2,0)</f>
        <v>Aktif</v>
      </c>
      <c r="G1409" t="str">
        <f>VLOOKUP(C1409,'Master Anggota'!$E$2:$J$678,5,0)</f>
        <v>00520</v>
      </c>
      <c r="H1409" s="82">
        <v>0</v>
      </c>
      <c r="I1409" s="82">
        <v>0</v>
      </c>
      <c r="J1409" s="56">
        <v>100000</v>
      </c>
      <c r="K1409" s="56">
        <v>100000</v>
      </c>
      <c r="L1409" t="s">
        <v>717</v>
      </c>
      <c r="M1409" s="71">
        <v>46227</v>
      </c>
      <c r="N1409" t="s">
        <v>576</v>
      </c>
    </row>
    <row r="1410" spans="3:14" hidden="1" x14ac:dyDescent="0.2">
      <c r="C1410" t="s">
        <v>107</v>
      </c>
      <c r="D1410" t="str">
        <f>VLOOKUP(C1410,'Master Anggota'!$E$2:$J$678,2,0)</f>
        <v>Aktif</v>
      </c>
      <c r="G1410" t="str">
        <f>VLOOKUP(C1410,'Master Anggota'!$E$2:$J$678,5,0)</f>
        <v>00521</v>
      </c>
      <c r="H1410" s="82">
        <v>0</v>
      </c>
      <c r="I1410" s="82">
        <v>0</v>
      </c>
      <c r="J1410" s="56">
        <v>150000</v>
      </c>
      <c r="K1410" s="56">
        <v>150000</v>
      </c>
      <c r="L1410" t="s">
        <v>717</v>
      </c>
      <c r="M1410" s="71">
        <v>46227</v>
      </c>
      <c r="N1410" t="s">
        <v>576</v>
      </c>
    </row>
    <row r="1411" spans="3:14" hidden="1" x14ac:dyDescent="0.2">
      <c r="C1411" t="s">
        <v>235</v>
      </c>
      <c r="D1411" t="str">
        <f>VLOOKUP(C1411,'Master Anggota'!$E$2:$J$678,2,0)</f>
        <v>Aktif</v>
      </c>
      <c r="G1411" t="str">
        <f>VLOOKUP(C1411,'Master Anggota'!$E$2:$J$678,5,0)</f>
        <v>00523</v>
      </c>
      <c r="H1411" s="82">
        <v>0</v>
      </c>
      <c r="I1411" s="82">
        <v>0</v>
      </c>
      <c r="J1411" s="56">
        <v>100000</v>
      </c>
      <c r="K1411" s="56">
        <v>100000</v>
      </c>
      <c r="L1411" t="s">
        <v>717</v>
      </c>
      <c r="M1411" s="71">
        <v>46227</v>
      </c>
      <c r="N1411" t="s">
        <v>576</v>
      </c>
    </row>
    <row r="1412" spans="3:14" hidden="1" x14ac:dyDescent="0.2">
      <c r="C1412" t="s">
        <v>252</v>
      </c>
      <c r="D1412" t="str">
        <f>VLOOKUP(C1412,'Master Anggota'!$E$2:$J$678,2,0)</f>
        <v>Aktif</v>
      </c>
      <c r="G1412" t="str">
        <f>VLOOKUP(C1412,'Master Anggota'!$E$2:$J$678,5,0)</f>
        <v>00524</v>
      </c>
      <c r="H1412" s="82">
        <v>0</v>
      </c>
      <c r="I1412" s="82">
        <v>0</v>
      </c>
      <c r="J1412" s="56">
        <v>100000</v>
      </c>
      <c r="K1412" s="56">
        <v>200000</v>
      </c>
      <c r="L1412" t="s">
        <v>717</v>
      </c>
      <c r="M1412" s="71">
        <v>46227</v>
      </c>
      <c r="N1412" t="s">
        <v>576</v>
      </c>
    </row>
    <row r="1413" spans="3:14" hidden="1" x14ac:dyDescent="0.2">
      <c r="C1413" t="s">
        <v>206</v>
      </c>
      <c r="D1413" t="str">
        <f>VLOOKUP(C1413,'Master Anggota'!$E$2:$J$678,2,0)</f>
        <v>Aktif</v>
      </c>
      <c r="G1413" t="str">
        <f>VLOOKUP(C1413,'Master Anggota'!$E$2:$J$678,5,0)</f>
        <v>00525</v>
      </c>
      <c r="H1413" s="82">
        <v>0</v>
      </c>
      <c r="I1413" s="82">
        <v>0</v>
      </c>
      <c r="J1413" s="56">
        <v>100000</v>
      </c>
      <c r="K1413" s="56">
        <v>100000</v>
      </c>
      <c r="L1413" t="s">
        <v>717</v>
      </c>
      <c r="M1413" s="71">
        <v>46227</v>
      </c>
      <c r="N1413" t="s">
        <v>576</v>
      </c>
    </row>
    <row r="1414" spans="3:14" hidden="1" x14ac:dyDescent="0.2">
      <c r="C1414" t="s">
        <v>241</v>
      </c>
      <c r="D1414" t="str">
        <f>VLOOKUP(C1414,'Master Anggota'!$E$2:$J$678,2,0)</f>
        <v>Aktif</v>
      </c>
      <c r="G1414" t="str">
        <f>VLOOKUP(C1414,'Master Anggota'!$E$2:$J$678,5,0)</f>
        <v>00526</v>
      </c>
      <c r="H1414" s="82">
        <v>0</v>
      </c>
      <c r="I1414" s="82">
        <v>0</v>
      </c>
      <c r="J1414" s="56">
        <v>100000</v>
      </c>
      <c r="K1414" s="56">
        <v>100000</v>
      </c>
      <c r="L1414" t="s">
        <v>717</v>
      </c>
      <c r="M1414" s="71">
        <v>46227</v>
      </c>
      <c r="N1414" t="s">
        <v>576</v>
      </c>
    </row>
    <row r="1415" spans="3:14" hidden="1" x14ac:dyDescent="0.2">
      <c r="C1415" t="s">
        <v>147</v>
      </c>
      <c r="D1415" t="str">
        <f>VLOOKUP(C1415,'Master Anggota'!$E$2:$J$678,2,0)</f>
        <v>Aktif</v>
      </c>
      <c r="G1415" t="str">
        <f>VLOOKUP(C1415,'Master Anggota'!$E$2:$J$678,5,0)</f>
        <v>00527</v>
      </c>
      <c r="H1415" s="82">
        <v>0</v>
      </c>
      <c r="I1415" s="82">
        <v>0</v>
      </c>
      <c r="J1415" s="56">
        <v>100000</v>
      </c>
      <c r="K1415" s="56">
        <v>50000</v>
      </c>
      <c r="L1415" t="s">
        <v>717</v>
      </c>
      <c r="M1415" s="71">
        <v>46227</v>
      </c>
      <c r="N1415" t="s">
        <v>576</v>
      </c>
    </row>
    <row r="1416" spans="3:14" hidden="1" x14ac:dyDescent="0.2">
      <c r="C1416" t="s">
        <v>268</v>
      </c>
      <c r="D1416" t="str">
        <f>VLOOKUP(C1416,'Master Anggota'!$E$2:$J$678,2,0)</f>
        <v>Aktif</v>
      </c>
      <c r="G1416" t="str">
        <f>VLOOKUP(C1416,'Master Anggota'!$E$2:$J$678,5,0)</f>
        <v>00528</v>
      </c>
      <c r="H1416" s="82">
        <v>0</v>
      </c>
      <c r="I1416" s="82">
        <v>0</v>
      </c>
      <c r="J1416" s="56">
        <v>100000</v>
      </c>
      <c r="K1416" s="56">
        <v>100000</v>
      </c>
      <c r="L1416" t="s">
        <v>717</v>
      </c>
      <c r="M1416" s="71">
        <v>46227</v>
      </c>
      <c r="N1416" t="s">
        <v>576</v>
      </c>
    </row>
    <row r="1417" spans="3:14" x14ac:dyDescent="0.2">
      <c r="C1417" t="s">
        <v>214</v>
      </c>
      <c r="D1417" t="str">
        <f>VLOOKUP(C1417,'Master Anggota'!$E$2:$J$678,2,0)</f>
        <v>Aktif</v>
      </c>
      <c r="G1417" t="str">
        <f>VLOOKUP(C1417,'Master Anggota'!$E$2:$J$678,5,0)</f>
        <v>00529</v>
      </c>
      <c r="H1417" s="82">
        <v>0</v>
      </c>
      <c r="I1417" s="82">
        <v>0</v>
      </c>
      <c r="J1417" s="56">
        <v>100000</v>
      </c>
      <c r="K1417" s="56">
        <v>100000</v>
      </c>
      <c r="L1417" t="s">
        <v>717</v>
      </c>
      <c r="M1417" s="71">
        <v>46227</v>
      </c>
      <c r="N1417" t="s">
        <v>576</v>
      </c>
    </row>
    <row r="1418" spans="3:14" hidden="1" x14ac:dyDescent="0.2">
      <c r="C1418" t="s">
        <v>243</v>
      </c>
      <c r="D1418" t="str">
        <f>VLOOKUP(C1418,'Master Anggota'!$E$2:$J$678,2,0)</f>
        <v>Aktif</v>
      </c>
      <c r="G1418" t="str">
        <f>VLOOKUP(C1418,'Master Anggota'!$E$2:$J$678,5,0)</f>
        <v>00530</v>
      </c>
      <c r="H1418" s="82">
        <v>0</v>
      </c>
      <c r="I1418" s="82">
        <v>0</v>
      </c>
      <c r="J1418" s="56">
        <v>100000</v>
      </c>
      <c r="K1418" s="56">
        <v>250000</v>
      </c>
      <c r="L1418" t="s">
        <v>717</v>
      </c>
      <c r="M1418" s="71">
        <v>46227</v>
      </c>
      <c r="N1418" t="s">
        <v>576</v>
      </c>
    </row>
    <row r="1419" spans="3:14" hidden="1" x14ac:dyDescent="0.2">
      <c r="C1419" t="s">
        <v>225</v>
      </c>
      <c r="D1419" t="str">
        <f>VLOOKUP(C1419,'Master Anggota'!$E$2:$J$678,2,0)</f>
        <v>Aktif</v>
      </c>
      <c r="G1419" t="str">
        <f>VLOOKUP(C1419,'Master Anggota'!$E$2:$J$678,5,0)</f>
        <v>00531</v>
      </c>
      <c r="H1419" s="82">
        <v>0</v>
      </c>
      <c r="I1419" s="82">
        <v>0</v>
      </c>
      <c r="J1419" s="56">
        <v>100000</v>
      </c>
      <c r="K1419" s="56">
        <v>15000</v>
      </c>
      <c r="L1419" t="s">
        <v>717</v>
      </c>
      <c r="M1419" s="71">
        <v>46227</v>
      </c>
      <c r="N1419" t="s">
        <v>576</v>
      </c>
    </row>
    <row r="1420" spans="3:14" hidden="1" x14ac:dyDescent="0.2">
      <c r="C1420" t="s">
        <v>245</v>
      </c>
      <c r="D1420" t="str">
        <f>VLOOKUP(C1420,'Master Anggota'!$E$2:$J$678,2,0)</f>
        <v>Aktif</v>
      </c>
      <c r="G1420" t="str">
        <f>VLOOKUP(C1420,'Master Anggota'!$E$2:$J$678,5,0)</f>
        <v>00532</v>
      </c>
      <c r="H1420" s="82">
        <v>0</v>
      </c>
      <c r="I1420" s="82">
        <v>0</v>
      </c>
      <c r="J1420" s="56">
        <v>100000</v>
      </c>
      <c r="K1420" s="56">
        <v>100000</v>
      </c>
      <c r="L1420" t="s">
        <v>717</v>
      </c>
      <c r="M1420" s="71">
        <v>46227</v>
      </c>
      <c r="N1420" t="s">
        <v>576</v>
      </c>
    </row>
    <row r="1421" spans="3:14" hidden="1" x14ac:dyDescent="0.2">
      <c r="C1421" t="s">
        <v>522</v>
      </c>
      <c r="D1421" t="str">
        <f>VLOOKUP(C1421,'Master Anggota'!$E$2:$J$678,2,0)</f>
        <v>Aktif</v>
      </c>
      <c r="G1421" t="str">
        <f>VLOOKUP(C1421,'Master Anggota'!$E$2:$J$678,5,0)</f>
        <v>00533</v>
      </c>
      <c r="H1421" s="82">
        <v>0</v>
      </c>
      <c r="I1421" s="82">
        <v>0</v>
      </c>
      <c r="J1421" s="56">
        <v>100000</v>
      </c>
      <c r="K1421" s="56">
        <v>100000</v>
      </c>
      <c r="L1421" t="s">
        <v>717</v>
      </c>
      <c r="M1421" s="71">
        <v>46227</v>
      </c>
      <c r="N1421" t="s">
        <v>576</v>
      </c>
    </row>
    <row r="1422" spans="3:14" hidden="1" x14ac:dyDescent="0.2">
      <c r="C1422" t="s">
        <v>204</v>
      </c>
      <c r="D1422" t="str">
        <f>VLOOKUP(C1422,'Master Anggota'!$E$2:$J$678,2,0)</f>
        <v>Aktif</v>
      </c>
      <c r="G1422" t="str">
        <f>VLOOKUP(C1422,'Master Anggota'!$E$2:$J$678,5,0)</f>
        <v>00534</v>
      </c>
      <c r="H1422" s="82">
        <v>0</v>
      </c>
      <c r="I1422" s="82">
        <v>0</v>
      </c>
      <c r="J1422" s="56">
        <v>100000</v>
      </c>
      <c r="K1422" s="56">
        <v>125000</v>
      </c>
      <c r="L1422" t="s">
        <v>717</v>
      </c>
      <c r="M1422" s="71">
        <v>46227</v>
      </c>
      <c r="N1422" t="s">
        <v>576</v>
      </c>
    </row>
    <row r="1423" spans="3:14" hidden="1" x14ac:dyDescent="0.2">
      <c r="C1423" t="s">
        <v>189</v>
      </c>
      <c r="D1423" t="str">
        <f>VLOOKUP(C1423,'Master Anggota'!$E$2:$J$678,2,0)</f>
        <v>Aktif</v>
      </c>
      <c r="G1423" t="str">
        <f>VLOOKUP(C1423,'Master Anggota'!$E$2:$J$678,5,0)</f>
        <v>00535</v>
      </c>
      <c r="H1423" s="82">
        <v>0</v>
      </c>
      <c r="I1423" s="82">
        <v>0</v>
      </c>
      <c r="J1423" s="56">
        <v>150000</v>
      </c>
      <c r="K1423" s="56">
        <v>100000</v>
      </c>
      <c r="L1423" t="s">
        <v>717</v>
      </c>
      <c r="M1423" s="71">
        <v>46227</v>
      </c>
      <c r="N1423" t="s">
        <v>576</v>
      </c>
    </row>
    <row r="1424" spans="3:14" hidden="1" x14ac:dyDescent="0.2">
      <c r="C1424" t="s">
        <v>81</v>
      </c>
      <c r="D1424" t="str">
        <f>VLOOKUP(C1424,'Master Anggota'!$E$2:$J$678,2,0)</f>
        <v>Aktif</v>
      </c>
      <c r="G1424" t="str">
        <f>VLOOKUP(C1424,'Master Anggota'!$E$2:$J$678,5,0)</f>
        <v>00537</v>
      </c>
      <c r="H1424" s="82">
        <v>0</v>
      </c>
      <c r="I1424" s="82">
        <v>0</v>
      </c>
      <c r="J1424" s="56">
        <v>150000</v>
      </c>
      <c r="K1424" s="56">
        <v>50000</v>
      </c>
      <c r="L1424" t="s">
        <v>717</v>
      </c>
      <c r="M1424" s="71">
        <v>46227</v>
      </c>
      <c r="N1424" t="s">
        <v>576</v>
      </c>
    </row>
    <row r="1425" spans="3:14" hidden="1" x14ac:dyDescent="0.2">
      <c r="C1425" t="s">
        <v>55</v>
      </c>
      <c r="D1425" t="str">
        <f>VLOOKUP(C1425,'Master Anggota'!$E$2:$J$678,2,0)</f>
        <v>Aktif</v>
      </c>
      <c r="G1425" t="str">
        <f>VLOOKUP(C1425,'Master Anggota'!$E$2:$J$678,5,0)</f>
        <v>00539</v>
      </c>
      <c r="H1425" s="82">
        <v>0</v>
      </c>
      <c r="I1425" s="82">
        <v>0</v>
      </c>
      <c r="J1425" s="56">
        <v>100000</v>
      </c>
      <c r="K1425" s="56">
        <v>50000</v>
      </c>
      <c r="L1425" t="s">
        <v>717</v>
      </c>
      <c r="M1425" s="71">
        <v>46227</v>
      </c>
      <c r="N1425" t="s">
        <v>576</v>
      </c>
    </row>
    <row r="1426" spans="3:14" hidden="1" x14ac:dyDescent="0.2">
      <c r="C1426" t="s">
        <v>53</v>
      </c>
      <c r="D1426" t="str">
        <f>VLOOKUP(C1426,'Master Anggota'!$E$2:$J$678,2,0)</f>
        <v>Aktif</v>
      </c>
      <c r="G1426" t="str">
        <f>VLOOKUP(C1426,'Master Anggota'!$E$2:$J$678,5,0)</f>
        <v>00540</v>
      </c>
      <c r="H1426" s="82">
        <v>0</v>
      </c>
      <c r="I1426" s="82">
        <v>0</v>
      </c>
      <c r="J1426" s="56">
        <v>100000</v>
      </c>
      <c r="K1426" s="56">
        <v>125000</v>
      </c>
      <c r="L1426" t="s">
        <v>717</v>
      </c>
      <c r="M1426" s="71">
        <v>46227</v>
      </c>
      <c r="N1426" t="s">
        <v>576</v>
      </c>
    </row>
    <row r="1427" spans="3:14" hidden="1" x14ac:dyDescent="0.2">
      <c r="C1427" t="s">
        <v>79</v>
      </c>
      <c r="D1427" t="str">
        <f>VLOOKUP(C1427,'Master Anggota'!$E$2:$J$678,2,0)</f>
        <v>Aktif</v>
      </c>
      <c r="G1427" t="str">
        <f>VLOOKUP(C1427,'Master Anggota'!$E$2:$J$678,5,0)</f>
        <v>00541</v>
      </c>
      <c r="H1427" s="82">
        <v>0</v>
      </c>
      <c r="I1427" s="82">
        <v>0</v>
      </c>
      <c r="J1427" s="56">
        <v>100000</v>
      </c>
      <c r="K1427" s="56">
        <v>150000</v>
      </c>
      <c r="L1427" t="s">
        <v>717</v>
      </c>
      <c r="M1427" s="71">
        <v>46227</v>
      </c>
      <c r="N1427" t="s">
        <v>576</v>
      </c>
    </row>
    <row r="1428" spans="3:14" hidden="1" x14ac:dyDescent="0.2">
      <c r="C1428" t="s">
        <v>231</v>
      </c>
      <c r="D1428" t="str">
        <f>VLOOKUP(C1428,'Master Anggota'!$E$2:$J$678,2,0)</f>
        <v>Aktif</v>
      </c>
      <c r="G1428" t="str">
        <f>VLOOKUP(C1428,'Master Anggota'!$E$2:$J$678,5,0)</f>
        <v>00542</v>
      </c>
      <c r="H1428" s="82">
        <v>0</v>
      </c>
      <c r="I1428" s="82">
        <v>0</v>
      </c>
      <c r="J1428" s="56">
        <v>100000</v>
      </c>
      <c r="K1428" s="56">
        <v>100000</v>
      </c>
      <c r="L1428" t="s">
        <v>717</v>
      </c>
      <c r="M1428" s="71">
        <v>46227</v>
      </c>
      <c r="N1428" t="s">
        <v>576</v>
      </c>
    </row>
    <row r="1429" spans="3:14" hidden="1" x14ac:dyDescent="0.2">
      <c r="C1429" t="s">
        <v>51</v>
      </c>
      <c r="D1429" t="str">
        <f>VLOOKUP(C1429,'Master Anggota'!$E$2:$J$678,2,0)</f>
        <v>Aktif</v>
      </c>
      <c r="G1429" t="str">
        <f>VLOOKUP(C1429,'Master Anggota'!$E$2:$J$678,5,0)</f>
        <v>00543</v>
      </c>
      <c r="H1429" s="82">
        <v>0</v>
      </c>
      <c r="I1429" s="82">
        <v>0</v>
      </c>
      <c r="J1429" s="56">
        <v>100000</v>
      </c>
      <c r="K1429" s="56">
        <v>100000</v>
      </c>
      <c r="L1429" t="s">
        <v>717</v>
      </c>
      <c r="M1429" s="71">
        <v>46227</v>
      </c>
      <c r="N1429" t="s">
        <v>576</v>
      </c>
    </row>
    <row r="1430" spans="3:14" hidden="1" x14ac:dyDescent="0.2">
      <c r="C1430" t="s">
        <v>118</v>
      </c>
      <c r="D1430" t="str">
        <f>VLOOKUP(C1430,'Master Anggota'!$E$2:$J$678,2,0)</f>
        <v>Aktif</v>
      </c>
      <c r="G1430" t="str">
        <f>VLOOKUP(C1430,'Master Anggota'!$E$2:$J$678,5,0)</f>
        <v>00544</v>
      </c>
      <c r="H1430" s="82">
        <v>0</v>
      </c>
      <c r="I1430" s="82">
        <v>0</v>
      </c>
      <c r="J1430" s="56">
        <v>100000</v>
      </c>
      <c r="K1430" s="56">
        <v>50000</v>
      </c>
      <c r="L1430" t="s">
        <v>717</v>
      </c>
      <c r="M1430" s="71">
        <v>46227</v>
      </c>
      <c r="N1430" t="s">
        <v>576</v>
      </c>
    </row>
    <row r="1431" spans="3:14" hidden="1" x14ac:dyDescent="0.2">
      <c r="C1431" t="s">
        <v>366</v>
      </c>
      <c r="D1431" t="str">
        <f>VLOOKUP(C1431,'Master Anggota'!$E$2:$J$678,2,0)</f>
        <v>Aktif</v>
      </c>
      <c r="G1431" t="str">
        <f>VLOOKUP(C1431,'Master Anggota'!$E$2:$J$678,5,0)</f>
        <v>00545</v>
      </c>
      <c r="H1431" s="82">
        <v>0</v>
      </c>
      <c r="I1431" s="82">
        <v>0</v>
      </c>
      <c r="J1431" s="56">
        <v>150000</v>
      </c>
      <c r="K1431" s="56">
        <v>50000</v>
      </c>
      <c r="L1431" t="s">
        <v>717</v>
      </c>
      <c r="M1431" s="71">
        <v>46227</v>
      </c>
      <c r="N1431" t="s">
        <v>576</v>
      </c>
    </row>
    <row r="1432" spans="3:14" hidden="1" x14ac:dyDescent="0.2">
      <c r="C1432" t="s">
        <v>35</v>
      </c>
      <c r="D1432" t="str">
        <f>VLOOKUP(C1432,'Master Anggota'!$E$2:$J$678,2,0)</f>
        <v>Aktif</v>
      </c>
      <c r="G1432" t="str">
        <f>VLOOKUP(C1432,'Master Anggota'!$E$2:$J$678,5,0)</f>
        <v>00546</v>
      </c>
      <c r="H1432" s="82">
        <v>0</v>
      </c>
      <c r="I1432" s="82">
        <v>0</v>
      </c>
      <c r="J1432" s="56">
        <v>100000</v>
      </c>
      <c r="K1432" s="56">
        <v>50000</v>
      </c>
      <c r="L1432" t="s">
        <v>717</v>
      </c>
      <c r="M1432" s="71">
        <v>46227</v>
      </c>
      <c r="N1432" t="s">
        <v>576</v>
      </c>
    </row>
    <row r="1433" spans="3:14" hidden="1" x14ac:dyDescent="0.2">
      <c r="C1433" t="s">
        <v>85</v>
      </c>
      <c r="D1433" t="str">
        <f>VLOOKUP(C1433,'Master Anggota'!$E$2:$J$678,2,0)</f>
        <v>Aktif</v>
      </c>
      <c r="G1433" t="str">
        <f>VLOOKUP(C1433,'Master Anggota'!$E$2:$J$678,5,0)</f>
        <v>00547</v>
      </c>
      <c r="H1433" s="82">
        <v>0</v>
      </c>
      <c r="I1433" s="82">
        <v>0</v>
      </c>
      <c r="J1433" s="56">
        <v>100000</v>
      </c>
      <c r="K1433" s="56">
        <v>100000</v>
      </c>
      <c r="L1433" t="s">
        <v>717</v>
      </c>
      <c r="M1433" s="71">
        <v>46227</v>
      </c>
      <c r="N1433" t="s">
        <v>576</v>
      </c>
    </row>
    <row r="1434" spans="3:14" hidden="1" x14ac:dyDescent="0.2">
      <c r="C1434" t="s">
        <v>153</v>
      </c>
      <c r="D1434" t="str">
        <f>VLOOKUP(C1434,'Master Anggota'!$E$2:$J$678,2,0)</f>
        <v>Aktif</v>
      </c>
      <c r="G1434" t="str">
        <f>VLOOKUP(C1434,'Master Anggota'!$E$2:$J$678,5,0)</f>
        <v>00548</v>
      </c>
      <c r="H1434" s="82">
        <v>0</v>
      </c>
      <c r="I1434" s="82">
        <v>0</v>
      </c>
      <c r="J1434" s="56">
        <v>100000</v>
      </c>
      <c r="K1434" s="56">
        <v>75000</v>
      </c>
      <c r="L1434" t="s">
        <v>717</v>
      </c>
      <c r="M1434" s="71">
        <v>46227</v>
      </c>
      <c r="N1434" t="s">
        <v>576</v>
      </c>
    </row>
    <row r="1435" spans="3:14" hidden="1" x14ac:dyDescent="0.2">
      <c r="C1435" t="s">
        <v>525</v>
      </c>
      <c r="D1435" t="str">
        <f>VLOOKUP(C1435,'Master Anggota'!$E$2:$J$678,2,0)</f>
        <v>Aktif</v>
      </c>
      <c r="G1435" t="str">
        <f>VLOOKUP(C1435,'Master Anggota'!$E$2:$J$678,5,0)</f>
        <v>00549</v>
      </c>
      <c r="H1435" s="82">
        <v>0</v>
      </c>
      <c r="I1435" s="82">
        <v>0</v>
      </c>
      <c r="J1435" s="56">
        <v>100000</v>
      </c>
      <c r="K1435" s="56">
        <v>100000</v>
      </c>
      <c r="L1435" t="s">
        <v>717</v>
      </c>
      <c r="M1435" s="71">
        <v>46227</v>
      </c>
      <c r="N1435" t="s">
        <v>576</v>
      </c>
    </row>
    <row r="1436" spans="3:14" hidden="1" x14ac:dyDescent="0.2">
      <c r="C1436" t="s">
        <v>105</v>
      </c>
      <c r="D1436" t="str">
        <f>VLOOKUP(C1436,'Master Anggota'!$E$2:$J$678,2,0)</f>
        <v>Aktif</v>
      </c>
      <c r="G1436" t="str">
        <f>VLOOKUP(C1436,'Master Anggota'!$E$2:$J$678,5,0)</f>
        <v>00551</v>
      </c>
      <c r="H1436" s="82">
        <v>0</v>
      </c>
      <c r="I1436" s="82">
        <v>0</v>
      </c>
      <c r="J1436" s="56">
        <v>150000</v>
      </c>
      <c r="K1436" s="56">
        <v>50000</v>
      </c>
      <c r="L1436" t="s">
        <v>717</v>
      </c>
      <c r="M1436" s="71">
        <v>46227</v>
      </c>
      <c r="N1436" t="s">
        <v>576</v>
      </c>
    </row>
    <row r="1437" spans="3:14" hidden="1" x14ac:dyDescent="0.2">
      <c r="C1437" t="s">
        <v>484</v>
      </c>
      <c r="D1437" t="str">
        <f>VLOOKUP(C1437,'Master Anggota'!$E$2:$J$678,2,0)</f>
        <v>Aktif</v>
      </c>
      <c r="G1437" t="str">
        <f>VLOOKUP(C1437,'Master Anggota'!$E$2:$J$678,5,0)</f>
        <v>00552</v>
      </c>
      <c r="H1437" s="82">
        <v>0</v>
      </c>
      <c r="I1437" s="82">
        <v>0</v>
      </c>
      <c r="J1437" s="56">
        <v>100000</v>
      </c>
      <c r="K1437" s="56">
        <v>200000</v>
      </c>
      <c r="L1437" t="s">
        <v>717</v>
      </c>
      <c r="M1437" s="71">
        <v>46227</v>
      </c>
      <c r="N1437" t="s">
        <v>576</v>
      </c>
    </row>
    <row r="1438" spans="3:14" hidden="1" x14ac:dyDescent="0.2">
      <c r="C1438" t="s">
        <v>8</v>
      </c>
      <c r="D1438" t="str">
        <f>VLOOKUP(C1438,'Master Anggota'!$E$2:$J$678,2,0)</f>
        <v>Aktif</v>
      </c>
      <c r="G1438" t="str">
        <f>VLOOKUP(C1438,'Master Anggota'!$E$2:$J$678,5,0)</f>
        <v>00553</v>
      </c>
      <c r="H1438" s="82">
        <v>0</v>
      </c>
      <c r="I1438" s="82">
        <v>0</v>
      </c>
      <c r="J1438" s="56">
        <v>100000</v>
      </c>
      <c r="K1438" s="56">
        <v>150000</v>
      </c>
      <c r="L1438" t="s">
        <v>717</v>
      </c>
      <c r="M1438" s="71">
        <v>46227</v>
      </c>
      <c r="N1438" t="s">
        <v>576</v>
      </c>
    </row>
    <row r="1439" spans="3:14" hidden="1" x14ac:dyDescent="0.2">
      <c r="C1439" t="s">
        <v>87</v>
      </c>
      <c r="D1439" t="str">
        <f>VLOOKUP(C1439,'Master Anggota'!$E$2:$J$678,2,0)</f>
        <v>Aktif</v>
      </c>
      <c r="G1439" t="str">
        <f>VLOOKUP(C1439,'Master Anggota'!$E$2:$J$678,5,0)</f>
        <v>00554</v>
      </c>
      <c r="H1439" s="82">
        <v>0</v>
      </c>
      <c r="I1439" s="82">
        <v>0</v>
      </c>
      <c r="J1439" s="56">
        <v>100000</v>
      </c>
      <c r="K1439" s="56">
        <v>100000</v>
      </c>
      <c r="L1439" t="s">
        <v>717</v>
      </c>
      <c r="M1439" s="71">
        <v>46227</v>
      </c>
      <c r="N1439" t="s">
        <v>576</v>
      </c>
    </row>
    <row r="1440" spans="3:14" hidden="1" x14ac:dyDescent="0.2">
      <c r="C1440" t="s">
        <v>174</v>
      </c>
      <c r="D1440" t="str">
        <f>VLOOKUP(C1440,'Master Anggota'!$E$2:$J$678,2,0)</f>
        <v>Aktif</v>
      </c>
      <c r="G1440" t="str">
        <f>VLOOKUP(C1440,'Master Anggota'!$E$2:$J$678,5,0)</f>
        <v>00556</v>
      </c>
      <c r="H1440" s="82">
        <v>0</v>
      </c>
      <c r="I1440" s="82">
        <v>0</v>
      </c>
      <c r="J1440" s="56">
        <v>100000</v>
      </c>
      <c r="K1440" s="56">
        <v>100000</v>
      </c>
      <c r="L1440" t="s">
        <v>717</v>
      </c>
      <c r="M1440" s="71">
        <v>46227</v>
      </c>
      <c r="N1440" t="s">
        <v>576</v>
      </c>
    </row>
    <row r="1441" spans="3:14" hidden="1" x14ac:dyDescent="0.2">
      <c r="C1441" t="s">
        <v>109</v>
      </c>
      <c r="D1441" t="str">
        <f>VLOOKUP(C1441,'Master Anggota'!$E$2:$J$678,2,0)</f>
        <v>Aktif</v>
      </c>
      <c r="G1441" t="str">
        <f>VLOOKUP(C1441,'Master Anggota'!$E$2:$J$678,5,0)</f>
        <v>00557</v>
      </c>
      <c r="H1441" s="82">
        <v>0</v>
      </c>
      <c r="I1441" s="82">
        <v>0</v>
      </c>
      <c r="J1441" s="56">
        <v>200000</v>
      </c>
      <c r="K1441" s="56">
        <v>200000</v>
      </c>
      <c r="L1441" t="s">
        <v>717</v>
      </c>
      <c r="M1441" s="71">
        <v>46227</v>
      </c>
      <c r="N1441" t="s">
        <v>576</v>
      </c>
    </row>
    <row r="1442" spans="3:14" hidden="1" x14ac:dyDescent="0.2">
      <c r="C1442" t="s">
        <v>276</v>
      </c>
      <c r="D1442" t="str">
        <f>VLOOKUP(C1442,'Master Anggota'!$E$2:$J$678,2,0)</f>
        <v>Aktif</v>
      </c>
      <c r="G1442" t="str">
        <f>VLOOKUP(C1442,'Master Anggota'!$E$2:$J$678,5,0)</f>
        <v>00558</v>
      </c>
      <c r="H1442" s="82">
        <v>0</v>
      </c>
      <c r="I1442" s="82">
        <v>0</v>
      </c>
      <c r="J1442" s="56">
        <v>200000</v>
      </c>
      <c r="K1442" s="56">
        <v>300000</v>
      </c>
      <c r="L1442" t="s">
        <v>717</v>
      </c>
      <c r="M1442" s="71">
        <v>46227</v>
      </c>
      <c r="N1442" t="s">
        <v>576</v>
      </c>
    </row>
    <row r="1443" spans="3:14" hidden="1" x14ac:dyDescent="0.2">
      <c r="C1443" t="s">
        <v>171</v>
      </c>
      <c r="D1443" t="str">
        <f>VLOOKUP(C1443,'Master Anggota'!$E$2:$J$678,2,0)</f>
        <v>Aktif</v>
      </c>
      <c r="G1443" t="str">
        <f>VLOOKUP(C1443,'Master Anggota'!$E$2:$J$678,5,0)</f>
        <v>00560</v>
      </c>
      <c r="H1443" s="82">
        <v>0</v>
      </c>
      <c r="I1443" s="82">
        <v>0</v>
      </c>
      <c r="J1443" s="56">
        <v>100000</v>
      </c>
      <c r="K1443" s="56">
        <v>100000</v>
      </c>
      <c r="L1443" t="s">
        <v>717</v>
      </c>
      <c r="M1443" s="71">
        <v>46227</v>
      </c>
      <c r="N1443" t="s">
        <v>576</v>
      </c>
    </row>
    <row r="1444" spans="3:14" hidden="1" x14ac:dyDescent="0.2">
      <c r="C1444" t="s">
        <v>175</v>
      </c>
      <c r="D1444" t="str">
        <f>VLOOKUP(C1444,'Master Anggota'!$E$2:$J$678,2,0)</f>
        <v>Aktif</v>
      </c>
      <c r="G1444" t="str">
        <f>VLOOKUP(C1444,'Master Anggota'!$E$2:$J$678,5,0)</f>
        <v>00563</v>
      </c>
      <c r="H1444" s="82">
        <v>0</v>
      </c>
      <c r="I1444" s="82">
        <v>0</v>
      </c>
      <c r="J1444" s="56">
        <v>100000</v>
      </c>
      <c r="K1444" s="56">
        <v>150000</v>
      </c>
      <c r="L1444" t="s">
        <v>717</v>
      </c>
      <c r="M1444" s="71">
        <v>46227</v>
      </c>
      <c r="N1444" t="s">
        <v>576</v>
      </c>
    </row>
    <row r="1445" spans="3:14" hidden="1" x14ac:dyDescent="0.2">
      <c r="C1445" t="s">
        <v>277</v>
      </c>
      <c r="D1445" t="str">
        <f>VLOOKUP(C1445,'Master Anggota'!$E$2:$J$678,2,0)</f>
        <v>Aktif</v>
      </c>
      <c r="G1445" t="str">
        <f>VLOOKUP(C1445,'Master Anggota'!$E$2:$J$678,5,0)</f>
        <v>00564</v>
      </c>
      <c r="H1445" s="82">
        <v>0</v>
      </c>
      <c r="I1445" s="82">
        <v>0</v>
      </c>
      <c r="J1445" s="56">
        <v>100000</v>
      </c>
      <c r="K1445" s="56">
        <v>100000</v>
      </c>
      <c r="L1445" t="s">
        <v>717</v>
      </c>
      <c r="M1445" s="71">
        <v>46227</v>
      </c>
      <c r="N1445" t="s">
        <v>576</v>
      </c>
    </row>
    <row r="1446" spans="3:14" hidden="1" x14ac:dyDescent="0.2">
      <c r="C1446" t="s">
        <v>182</v>
      </c>
      <c r="D1446" t="str">
        <f>VLOOKUP(C1446,'Master Anggota'!$E$2:$J$678,2,0)</f>
        <v>Aktif</v>
      </c>
      <c r="G1446" t="str">
        <f>VLOOKUP(C1446,'Master Anggota'!$E$2:$J$678,5,0)</f>
        <v>00565</v>
      </c>
      <c r="H1446" s="82">
        <v>0</v>
      </c>
      <c r="I1446" s="82">
        <v>0</v>
      </c>
      <c r="J1446" s="56">
        <v>100000</v>
      </c>
      <c r="K1446" s="56">
        <v>400000</v>
      </c>
      <c r="L1446" t="s">
        <v>717</v>
      </c>
      <c r="M1446" s="71">
        <v>46227</v>
      </c>
      <c r="N1446" t="s">
        <v>576</v>
      </c>
    </row>
    <row r="1447" spans="3:14" hidden="1" x14ac:dyDescent="0.2">
      <c r="C1447" t="s">
        <v>178</v>
      </c>
      <c r="D1447" t="str">
        <f>VLOOKUP(C1447,'Master Anggota'!$E$2:$J$678,2,0)</f>
        <v>Aktif</v>
      </c>
      <c r="G1447" t="str">
        <f>VLOOKUP(C1447,'Master Anggota'!$E$2:$J$678,5,0)</f>
        <v>00566</v>
      </c>
      <c r="H1447" s="82">
        <v>0</v>
      </c>
      <c r="I1447" s="82">
        <v>0</v>
      </c>
      <c r="J1447" s="56">
        <v>100000</v>
      </c>
      <c r="K1447" s="56">
        <v>150000</v>
      </c>
      <c r="L1447" t="s">
        <v>717</v>
      </c>
      <c r="M1447" s="71">
        <v>46227</v>
      </c>
      <c r="N1447" t="s">
        <v>576</v>
      </c>
    </row>
    <row r="1448" spans="3:14" hidden="1" x14ac:dyDescent="0.2">
      <c r="C1448" t="s">
        <v>183</v>
      </c>
      <c r="D1448" t="str">
        <f>VLOOKUP(C1448,'Master Anggota'!$E$2:$J$678,2,0)</f>
        <v>Aktif</v>
      </c>
      <c r="G1448" t="str">
        <f>VLOOKUP(C1448,'Master Anggota'!$E$2:$J$678,5,0)</f>
        <v>00567</v>
      </c>
      <c r="H1448" s="82">
        <v>0</v>
      </c>
      <c r="I1448" s="82">
        <v>0</v>
      </c>
      <c r="J1448" s="56">
        <v>200000</v>
      </c>
      <c r="K1448" s="56">
        <v>300000</v>
      </c>
      <c r="L1448" t="s">
        <v>717</v>
      </c>
      <c r="M1448" s="71">
        <v>46227</v>
      </c>
      <c r="N1448" t="s">
        <v>576</v>
      </c>
    </row>
    <row r="1449" spans="3:14" hidden="1" x14ac:dyDescent="0.2">
      <c r="C1449" t="s">
        <v>176</v>
      </c>
      <c r="D1449" t="str">
        <f>VLOOKUP(C1449,'Master Anggota'!$E$2:$J$678,2,0)</f>
        <v>Aktif</v>
      </c>
      <c r="G1449" t="str">
        <f>VLOOKUP(C1449,'Master Anggota'!$E$2:$J$678,5,0)</f>
        <v>00568</v>
      </c>
      <c r="H1449" s="82">
        <v>0</v>
      </c>
      <c r="I1449" s="82">
        <v>0</v>
      </c>
      <c r="J1449" s="56">
        <v>100000</v>
      </c>
      <c r="K1449" s="56">
        <v>100000</v>
      </c>
      <c r="L1449" t="s">
        <v>717</v>
      </c>
      <c r="M1449" s="71">
        <v>46227</v>
      </c>
      <c r="N1449" t="s">
        <v>576</v>
      </c>
    </row>
    <row r="1450" spans="3:14" hidden="1" x14ac:dyDescent="0.2">
      <c r="C1450" t="s">
        <v>177</v>
      </c>
      <c r="D1450" t="str">
        <f>VLOOKUP(C1450,'Master Anggota'!$E$2:$J$678,2,0)</f>
        <v>Aktif</v>
      </c>
      <c r="G1450" t="str">
        <f>VLOOKUP(C1450,'Master Anggota'!$E$2:$J$678,5,0)</f>
        <v>00569</v>
      </c>
      <c r="H1450" s="82">
        <v>0</v>
      </c>
      <c r="I1450" s="82">
        <v>0</v>
      </c>
      <c r="J1450" s="56">
        <v>100000</v>
      </c>
      <c r="K1450" s="56">
        <v>150000</v>
      </c>
      <c r="L1450" t="s">
        <v>717</v>
      </c>
      <c r="M1450" s="71">
        <v>46227</v>
      </c>
      <c r="N1450" t="s">
        <v>576</v>
      </c>
    </row>
    <row r="1451" spans="3:14" hidden="1" x14ac:dyDescent="0.2">
      <c r="C1451" t="s">
        <v>362</v>
      </c>
      <c r="D1451" t="str">
        <f>VLOOKUP(C1451,'Master Anggota'!$E$2:$J$678,2,0)</f>
        <v>Aktif</v>
      </c>
      <c r="G1451" t="str">
        <f>VLOOKUP(C1451,'Master Anggota'!$E$2:$J$678,5,0)</f>
        <v>00570</v>
      </c>
      <c r="H1451" s="82">
        <v>0</v>
      </c>
      <c r="I1451" s="82">
        <v>0</v>
      </c>
      <c r="J1451" s="56">
        <v>100000</v>
      </c>
      <c r="K1451" s="56">
        <v>500000</v>
      </c>
      <c r="L1451" t="s">
        <v>717</v>
      </c>
      <c r="M1451" s="71">
        <v>46227</v>
      </c>
      <c r="N1451" t="s">
        <v>576</v>
      </c>
    </row>
    <row r="1452" spans="3:14" hidden="1" x14ac:dyDescent="0.2">
      <c r="C1452" t="s">
        <v>291</v>
      </c>
      <c r="D1452" t="str">
        <f>VLOOKUP(C1452,'Master Anggota'!$E$2:$J$678,2,0)</f>
        <v>Aktif</v>
      </c>
      <c r="G1452" t="str">
        <f>VLOOKUP(C1452,'Master Anggota'!$E$2:$J$678,5,0)</f>
        <v>00574</v>
      </c>
      <c r="H1452" s="82">
        <v>0</v>
      </c>
      <c r="I1452" s="82">
        <v>0</v>
      </c>
      <c r="J1452" s="56">
        <v>100000</v>
      </c>
      <c r="K1452" s="56">
        <v>75000</v>
      </c>
      <c r="L1452" t="s">
        <v>717</v>
      </c>
      <c r="M1452" s="71">
        <v>46227</v>
      </c>
      <c r="N1452" t="s">
        <v>576</v>
      </c>
    </row>
    <row r="1453" spans="3:14" hidden="1" x14ac:dyDescent="0.2">
      <c r="C1453" t="s">
        <v>704</v>
      </c>
      <c r="D1453" t="str">
        <f>VLOOKUP(C1453,'Master Anggota'!$E$2:$J$678,2,0)</f>
        <v>Aktif</v>
      </c>
      <c r="G1453" t="str">
        <f>VLOOKUP(C1453,'Master Anggota'!$E$2:$J$678,5,0)</f>
        <v>00575</v>
      </c>
      <c r="H1453" s="82">
        <v>0</v>
      </c>
      <c r="I1453" s="82">
        <v>0</v>
      </c>
      <c r="J1453" s="56">
        <v>150000</v>
      </c>
      <c r="K1453" s="56">
        <v>100000</v>
      </c>
      <c r="L1453" t="s">
        <v>717</v>
      </c>
      <c r="M1453" s="71">
        <v>46227</v>
      </c>
      <c r="N1453" t="s">
        <v>576</v>
      </c>
    </row>
    <row r="1454" spans="3:14" hidden="1" x14ac:dyDescent="0.2">
      <c r="C1454" t="s">
        <v>363</v>
      </c>
      <c r="D1454" t="str">
        <f>VLOOKUP(C1454,'Master Anggota'!$E$2:$J$678,2,0)</f>
        <v>Aktif</v>
      </c>
      <c r="G1454" t="str">
        <f>VLOOKUP(C1454,'Master Anggota'!$E$2:$J$678,5,0)</f>
        <v>00576</v>
      </c>
      <c r="H1454" s="82">
        <v>0</v>
      </c>
      <c r="I1454" s="82">
        <v>0</v>
      </c>
      <c r="J1454" s="56">
        <v>100000</v>
      </c>
      <c r="K1454" s="56">
        <v>100000</v>
      </c>
      <c r="L1454" t="s">
        <v>717</v>
      </c>
      <c r="M1454" s="71">
        <v>46227</v>
      </c>
      <c r="N1454" t="s">
        <v>576</v>
      </c>
    </row>
    <row r="1455" spans="3:14" hidden="1" x14ac:dyDescent="0.2">
      <c r="C1455" t="s">
        <v>365</v>
      </c>
      <c r="D1455" t="str">
        <f>VLOOKUP(C1455,'Master Anggota'!$E$2:$J$678,2,0)</f>
        <v>Aktif</v>
      </c>
      <c r="G1455" t="str">
        <f>VLOOKUP(C1455,'Master Anggota'!$E$2:$J$678,5,0)</f>
        <v>00576</v>
      </c>
      <c r="H1455" s="82">
        <v>0</v>
      </c>
      <c r="I1455" s="82">
        <v>0</v>
      </c>
      <c r="J1455" s="56">
        <v>100000</v>
      </c>
      <c r="K1455" s="56">
        <v>50000</v>
      </c>
      <c r="L1455" t="s">
        <v>717</v>
      </c>
      <c r="M1455" s="71">
        <v>46227</v>
      </c>
      <c r="N1455" t="s">
        <v>576</v>
      </c>
    </row>
    <row r="1456" spans="3:14" hidden="1" x14ac:dyDescent="0.2">
      <c r="C1456" t="s">
        <v>467</v>
      </c>
      <c r="D1456" t="str">
        <f>VLOOKUP(C1456,'Master Anggota'!$E$2:$J$678,2,0)</f>
        <v>Aktif</v>
      </c>
      <c r="G1456" t="str">
        <f>VLOOKUP(C1456,'Master Anggota'!$E$2:$J$678,5,0)</f>
        <v>00577</v>
      </c>
      <c r="H1456" s="82">
        <v>0</v>
      </c>
      <c r="I1456" s="82">
        <v>0</v>
      </c>
      <c r="J1456" s="56">
        <v>100000</v>
      </c>
      <c r="K1456" s="56">
        <v>150000</v>
      </c>
      <c r="L1456" t="s">
        <v>717</v>
      </c>
      <c r="M1456" s="71">
        <v>46227</v>
      </c>
      <c r="N1456" t="s">
        <v>576</v>
      </c>
    </row>
    <row r="1457" spans="3:14" hidden="1" x14ac:dyDescent="0.2">
      <c r="C1457" t="s">
        <v>364</v>
      </c>
      <c r="D1457" t="str">
        <f>VLOOKUP(C1457,'Master Anggota'!$E$2:$J$678,2,0)</f>
        <v>Aktif</v>
      </c>
      <c r="G1457" t="str">
        <f>VLOOKUP(C1457,'Master Anggota'!$E$2:$J$678,5,0)</f>
        <v>00578</v>
      </c>
      <c r="H1457" s="82">
        <v>0</v>
      </c>
      <c r="I1457" s="82">
        <v>0</v>
      </c>
      <c r="J1457" s="56">
        <v>100000</v>
      </c>
      <c r="K1457" s="56">
        <v>100000</v>
      </c>
      <c r="L1457" t="s">
        <v>717</v>
      </c>
      <c r="M1457" s="71">
        <v>46227</v>
      </c>
      <c r="N1457" t="s">
        <v>576</v>
      </c>
    </row>
    <row r="1458" spans="3:14" hidden="1" x14ac:dyDescent="0.2">
      <c r="C1458" t="s">
        <v>523</v>
      </c>
      <c r="D1458" t="str">
        <f>VLOOKUP(C1458,'Master Anggota'!$E$2:$J$678,2,0)</f>
        <v>Aktif</v>
      </c>
      <c r="G1458" t="str">
        <f>VLOOKUP(C1458,'Master Anggota'!$E$2:$J$678,5,0)</f>
        <v>00579</v>
      </c>
      <c r="H1458" s="82">
        <v>0</v>
      </c>
      <c r="I1458" s="82">
        <v>0</v>
      </c>
      <c r="J1458" s="56">
        <v>100000</v>
      </c>
      <c r="K1458" s="56">
        <v>200000</v>
      </c>
      <c r="L1458" t="s">
        <v>717</v>
      </c>
      <c r="M1458" s="71">
        <v>46227</v>
      </c>
      <c r="N1458" t="s">
        <v>576</v>
      </c>
    </row>
    <row r="1459" spans="3:14" hidden="1" x14ac:dyDescent="0.2">
      <c r="C1459" t="s">
        <v>110</v>
      </c>
      <c r="D1459" t="str">
        <f>VLOOKUP(C1459,'Master Anggota'!$E$2:$J$678,2,0)</f>
        <v>Aktif</v>
      </c>
      <c r="G1459" t="str">
        <f>VLOOKUP(C1459,'Master Anggota'!$E$2:$J$678,5,0)</f>
        <v>00580</v>
      </c>
      <c r="H1459" s="82">
        <v>0</v>
      </c>
      <c r="I1459" s="82">
        <v>0</v>
      </c>
      <c r="J1459" s="56">
        <v>100000</v>
      </c>
      <c r="K1459" s="56">
        <v>50000</v>
      </c>
      <c r="L1459" t="s">
        <v>717</v>
      </c>
      <c r="M1459" s="71">
        <v>46227</v>
      </c>
      <c r="N1459" t="s">
        <v>576</v>
      </c>
    </row>
    <row r="1460" spans="3:14" hidden="1" x14ac:dyDescent="0.2">
      <c r="C1460" t="s">
        <v>187</v>
      </c>
      <c r="D1460" t="str">
        <f>VLOOKUP(C1460,'Master Anggota'!$E$2:$J$678,2,0)</f>
        <v>Aktif</v>
      </c>
      <c r="G1460" t="str">
        <f>VLOOKUP(C1460,'Master Anggota'!$E$2:$J$678,5,0)</f>
        <v>00582</v>
      </c>
      <c r="H1460" s="82">
        <v>0</v>
      </c>
      <c r="I1460" s="82">
        <v>0</v>
      </c>
      <c r="J1460" s="56">
        <v>200000</v>
      </c>
      <c r="K1460" s="56">
        <v>300000</v>
      </c>
      <c r="L1460" t="s">
        <v>717</v>
      </c>
      <c r="M1460" s="71">
        <v>46227</v>
      </c>
      <c r="N1460" t="s">
        <v>576</v>
      </c>
    </row>
    <row r="1461" spans="3:14" hidden="1" x14ac:dyDescent="0.2">
      <c r="C1461" t="s">
        <v>173</v>
      </c>
      <c r="D1461" t="str">
        <f>VLOOKUP(C1461,'Master Anggota'!$E$2:$J$678,2,0)</f>
        <v>Aktif</v>
      </c>
      <c r="G1461" t="str">
        <f>VLOOKUP(C1461,'Master Anggota'!$E$2:$J$678,5,0)</f>
        <v>00583</v>
      </c>
      <c r="H1461" s="82">
        <v>0</v>
      </c>
      <c r="I1461" s="82">
        <v>0</v>
      </c>
      <c r="J1461" s="56">
        <v>100000</v>
      </c>
      <c r="K1461" s="56">
        <v>100000</v>
      </c>
      <c r="L1461" t="s">
        <v>717</v>
      </c>
      <c r="M1461" s="71">
        <v>46227</v>
      </c>
      <c r="N1461" t="s">
        <v>576</v>
      </c>
    </row>
    <row r="1462" spans="3:14" hidden="1" x14ac:dyDescent="0.2">
      <c r="C1462" t="s">
        <v>172</v>
      </c>
      <c r="D1462" t="str">
        <f>VLOOKUP(C1462,'Master Anggota'!$E$2:$J$678,2,0)</f>
        <v>Aktif</v>
      </c>
      <c r="G1462" t="str">
        <f>VLOOKUP(C1462,'Master Anggota'!$E$2:$J$678,5,0)</f>
        <v>00584</v>
      </c>
      <c r="H1462" s="82">
        <v>0</v>
      </c>
      <c r="I1462" s="82">
        <v>0</v>
      </c>
      <c r="J1462" s="56">
        <v>100000</v>
      </c>
      <c r="K1462" s="56">
        <v>100000</v>
      </c>
      <c r="L1462" t="s">
        <v>717</v>
      </c>
      <c r="M1462" s="71">
        <v>46227</v>
      </c>
      <c r="N1462" t="s">
        <v>576</v>
      </c>
    </row>
    <row r="1463" spans="3:14" hidden="1" x14ac:dyDescent="0.2">
      <c r="C1463" t="s">
        <v>300</v>
      </c>
      <c r="D1463" t="str">
        <f>VLOOKUP(C1463,'Master Anggota'!$E$2:$J$678,2,0)</f>
        <v>Aktif</v>
      </c>
      <c r="G1463" t="str">
        <f>VLOOKUP(C1463,'Master Anggota'!$E$2:$J$678,5,0)</f>
        <v>00585</v>
      </c>
      <c r="H1463" s="82">
        <v>0</v>
      </c>
      <c r="I1463" s="82">
        <v>0</v>
      </c>
      <c r="J1463" s="56">
        <v>100000</v>
      </c>
      <c r="K1463" s="56">
        <v>125000</v>
      </c>
      <c r="L1463" t="s">
        <v>717</v>
      </c>
      <c r="M1463" s="71">
        <v>46227</v>
      </c>
      <c r="N1463" t="s">
        <v>576</v>
      </c>
    </row>
    <row r="1464" spans="3:14" hidden="1" x14ac:dyDescent="0.2">
      <c r="C1464" t="s">
        <v>314</v>
      </c>
      <c r="D1464" t="str">
        <f>VLOOKUP(C1464,'Master Anggota'!$E$2:$J$678,2,0)</f>
        <v>Purna Bakti 2026</v>
      </c>
      <c r="G1464" t="str">
        <f>VLOOKUP(C1464,'Master Anggota'!$E$2:$J$678,5,0)</f>
        <v>00587</v>
      </c>
      <c r="H1464" s="82">
        <v>0</v>
      </c>
      <c r="I1464" s="82">
        <v>0</v>
      </c>
      <c r="J1464" s="56">
        <v>100000</v>
      </c>
      <c r="K1464" s="56">
        <v>400000</v>
      </c>
      <c r="L1464" t="s">
        <v>717</v>
      </c>
      <c r="M1464" s="71">
        <v>46227</v>
      </c>
      <c r="N1464" t="s">
        <v>576</v>
      </c>
    </row>
    <row r="1465" spans="3:14" hidden="1" x14ac:dyDescent="0.2">
      <c r="C1465" t="s">
        <v>186</v>
      </c>
      <c r="D1465" t="str">
        <f>VLOOKUP(C1465,'Master Anggota'!$E$2:$J$678,2,0)</f>
        <v>Aktif</v>
      </c>
      <c r="G1465" t="str">
        <f>VLOOKUP(C1465,'Master Anggota'!$E$2:$J$678,5,0)</f>
        <v>00588</v>
      </c>
      <c r="H1465" s="82">
        <v>0</v>
      </c>
      <c r="I1465" s="82">
        <v>0</v>
      </c>
      <c r="J1465" s="56">
        <v>100000</v>
      </c>
      <c r="K1465" s="56">
        <v>250000</v>
      </c>
      <c r="L1465" t="s">
        <v>717</v>
      </c>
      <c r="M1465" s="71">
        <v>46227</v>
      </c>
      <c r="N1465" t="s">
        <v>576</v>
      </c>
    </row>
    <row r="1466" spans="3:14" hidden="1" x14ac:dyDescent="0.2">
      <c r="C1466" t="s">
        <v>306</v>
      </c>
      <c r="D1466" t="str">
        <f>VLOOKUP(C1466,'Master Anggota'!$E$2:$J$678,2,0)</f>
        <v>Aktif</v>
      </c>
      <c r="G1466" t="str">
        <f>VLOOKUP(C1466,'Master Anggota'!$E$2:$J$678,5,0)</f>
        <v>00589</v>
      </c>
      <c r="H1466" s="82">
        <v>0</v>
      </c>
      <c r="I1466" s="82">
        <v>0</v>
      </c>
      <c r="J1466" s="56">
        <v>100000</v>
      </c>
      <c r="K1466" s="56">
        <v>100000</v>
      </c>
      <c r="L1466" t="s">
        <v>717</v>
      </c>
      <c r="M1466" s="71">
        <v>46227</v>
      </c>
      <c r="N1466" t="s">
        <v>576</v>
      </c>
    </row>
    <row r="1467" spans="3:14" hidden="1" x14ac:dyDescent="0.2">
      <c r="C1467" t="s">
        <v>307</v>
      </c>
      <c r="D1467" t="str">
        <f>VLOOKUP(C1467,'Master Anggota'!$E$2:$J$678,2,0)</f>
        <v>Aktif</v>
      </c>
      <c r="G1467" t="str">
        <f>VLOOKUP(C1467,'Master Anggota'!$E$2:$J$678,5,0)</f>
        <v>00591</v>
      </c>
      <c r="H1467" s="82">
        <v>0</v>
      </c>
      <c r="I1467" s="82">
        <v>0</v>
      </c>
      <c r="J1467" s="56">
        <v>150000</v>
      </c>
      <c r="K1467" s="56">
        <v>350000</v>
      </c>
      <c r="L1467" t="s">
        <v>717</v>
      </c>
      <c r="M1467" s="71">
        <v>46227</v>
      </c>
      <c r="N1467" t="s">
        <v>576</v>
      </c>
    </row>
    <row r="1468" spans="3:14" hidden="1" x14ac:dyDescent="0.2">
      <c r="C1468" t="s">
        <v>389</v>
      </c>
      <c r="D1468" t="str">
        <f>VLOOKUP(C1468,'Master Anggota'!$E$2:$J$678,2,0)</f>
        <v>Aktif</v>
      </c>
      <c r="G1468" t="str">
        <f>VLOOKUP(C1468,'Master Anggota'!$E$2:$J$678,5,0)</f>
        <v>00593</v>
      </c>
      <c r="H1468" s="82">
        <v>0</v>
      </c>
      <c r="I1468" s="82">
        <v>0</v>
      </c>
      <c r="J1468" s="56">
        <v>100000</v>
      </c>
      <c r="K1468" s="56">
        <v>250000</v>
      </c>
      <c r="L1468" t="s">
        <v>717</v>
      </c>
      <c r="M1468" s="71">
        <v>46227</v>
      </c>
      <c r="N1468" t="s">
        <v>576</v>
      </c>
    </row>
    <row r="1469" spans="3:14" hidden="1" x14ac:dyDescent="0.2">
      <c r="C1469" t="s">
        <v>188</v>
      </c>
      <c r="D1469" t="str">
        <f>VLOOKUP(C1469,'Master Anggota'!$E$2:$J$678,2,0)</f>
        <v>Aktif</v>
      </c>
      <c r="G1469" t="str">
        <f>VLOOKUP(C1469,'Master Anggota'!$E$2:$J$678,5,0)</f>
        <v>00596</v>
      </c>
      <c r="H1469" s="82">
        <v>0</v>
      </c>
      <c r="I1469" s="82">
        <v>0</v>
      </c>
      <c r="J1469" s="56">
        <v>100000</v>
      </c>
      <c r="K1469" s="56">
        <v>500000</v>
      </c>
      <c r="L1469" t="s">
        <v>717</v>
      </c>
      <c r="M1469" s="71">
        <v>46227</v>
      </c>
      <c r="N1469" t="s">
        <v>576</v>
      </c>
    </row>
    <row r="1470" spans="3:14" hidden="1" x14ac:dyDescent="0.2">
      <c r="C1470" t="s">
        <v>705</v>
      </c>
      <c r="D1470" t="str">
        <f>VLOOKUP(C1470,'Master Anggota'!$E$2:$J$678,2,0)</f>
        <v>Aktif</v>
      </c>
      <c r="G1470" t="str">
        <f>VLOOKUP(C1470,'Master Anggota'!$E$2:$J$678,5,0)</f>
        <v>00601</v>
      </c>
      <c r="H1470" s="82">
        <v>0</v>
      </c>
      <c r="I1470" s="82">
        <v>0</v>
      </c>
      <c r="J1470" s="56">
        <v>100000</v>
      </c>
      <c r="K1470" s="56">
        <v>70000</v>
      </c>
      <c r="L1470" t="s">
        <v>717</v>
      </c>
      <c r="M1470" s="71">
        <v>46227</v>
      </c>
      <c r="N1470" t="s">
        <v>576</v>
      </c>
    </row>
    <row r="1471" spans="3:14" hidden="1" x14ac:dyDescent="0.2">
      <c r="C1471" t="s">
        <v>309</v>
      </c>
      <c r="D1471" t="str">
        <f>VLOOKUP(C1471,'Master Anggota'!$E$2:$J$678,2,0)</f>
        <v>Aktif</v>
      </c>
      <c r="G1471" t="str">
        <f>VLOOKUP(C1471,'Master Anggota'!$E$2:$J$678,5,0)</f>
        <v>00602</v>
      </c>
      <c r="H1471" s="82">
        <v>0</v>
      </c>
      <c r="I1471" s="82">
        <v>0</v>
      </c>
      <c r="J1471" s="56">
        <v>100000</v>
      </c>
      <c r="K1471" s="56">
        <v>50000</v>
      </c>
      <c r="L1471" t="s">
        <v>717</v>
      </c>
      <c r="M1471" s="71">
        <v>46227</v>
      </c>
      <c r="N1471" t="s">
        <v>576</v>
      </c>
    </row>
    <row r="1472" spans="3:14" hidden="1" x14ac:dyDescent="0.2">
      <c r="C1472" t="s">
        <v>326</v>
      </c>
      <c r="D1472" t="str">
        <f>VLOOKUP(C1472,'Master Anggota'!$E$2:$J$678,2,0)</f>
        <v>Aktif</v>
      </c>
      <c r="G1472" t="str">
        <f>VLOOKUP(C1472,'Master Anggota'!$E$2:$J$678,5,0)</f>
        <v>00608</v>
      </c>
      <c r="H1472" s="82">
        <v>0</v>
      </c>
      <c r="I1472" s="82">
        <v>0</v>
      </c>
      <c r="J1472" s="56">
        <v>100000</v>
      </c>
      <c r="K1472" s="56">
        <v>100000</v>
      </c>
      <c r="L1472" t="s">
        <v>717</v>
      </c>
      <c r="M1472" s="71">
        <v>46227</v>
      </c>
      <c r="N1472" t="s">
        <v>576</v>
      </c>
    </row>
    <row r="1473" spans="3:14" hidden="1" x14ac:dyDescent="0.2">
      <c r="C1473" t="s">
        <v>706</v>
      </c>
      <c r="D1473" t="str">
        <f>VLOOKUP(C1473,'Master Anggota'!$E$2:$J$678,2,0)</f>
        <v>Aktif</v>
      </c>
      <c r="G1473" t="str">
        <f>VLOOKUP(C1473,'Master Anggota'!$E$2:$J$678,5,0)</f>
        <v>00609</v>
      </c>
      <c r="H1473" s="82">
        <v>0</v>
      </c>
      <c r="I1473" s="82">
        <v>0</v>
      </c>
      <c r="J1473" s="56">
        <v>100000</v>
      </c>
      <c r="K1473" s="56">
        <v>75000</v>
      </c>
      <c r="L1473" t="s">
        <v>717</v>
      </c>
      <c r="M1473" s="71">
        <v>46227</v>
      </c>
      <c r="N1473" t="s">
        <v>576</v>
      </c>
    </row>
    <row r="1474" spans="3:14" hidden="1" x14ac:dyDescent="0.2">
      <c r="C1474" t="s">
        <v>370</v>
      </c>
      <c r="D1474" t="str">
        <f>VLOOKUP(C1474,'Master Anggota'!$E$2:$J$678,2,0)</f>
        <v>Aktif</v>
      </c>
      <c r="G1474" t="str">
        <f>VLOOKUP(C1474,'Master Anggota'!$E$2:$J$678,5,0)</f>
        <v>00610</v>
      </c>
      <c r="H1474" s="82">
        <v>0</v>
      </c>
      <c r="I1474" s="82">
        <v>0</v>
      </c>
      <c r="J1474" s="56">
        <v>100000</v>
      </c>
      <c r="K1474" s="56">
        <v>500000</v>
      </c>
      <c r="L1474" t="s">
        <v>717</v>
      </c>
      <c r="M1474" s="71">
        <v>46227</v>
      </c>
      <c r="N1474" t="s">
        <v>576</v>
      </c>
    </row>
    <row r="1475" spans="3:14" hidden="1" x14ac:dyDescent="0.2">
      <c r="C1475" t="s">
        <v>519</v>
      </c>
      <c r="D1475" t="str">
        <f>VLOOKUP(C1475,'Master Anggota'!$E$2:$J$678,2,0)</f>
        <v>Aktif</v>
      </c>
      <c r="G1475" t="str">
        <f>VLOOKUP(C1475,'Master Anggota'!$E$2:$J$678,5,0)</f>
        <v>00611</v>
      </c>
      <c r="H1475" s="82">
        <v>0</v>
      </c>
      <c r="I1475" s="82">
        <v>0</v>
      </c>
      <c r="J1475" s="56">
        <v>100000</v>
      </c>
      <c r="K1475" s="56">
        <v>100000</v>
      </c>
      <c r="L1475" t="s">
        <v>717</v>
      </c>
      <c r="M1475" s="71">
        <v>46227</v>
      </c>
      <c r="N1475" t="s">
        <v>576</v>
      </c>
    </row>
    <row r="1476" spans="3:14" hidden="1" x14ac:dyDescent="0.2">
      <c r="C1476" t="s">
        <v>442</v>
      </c>
      <c r="D1476" t="str">
        <f>VLOOKUP(C1476,'Master Anggota'!$E$2:$J$678,2,0)</f>
        <v>Aktif</v>
      </c>
      <c r="G1476" t="str">
        <f>VLOOKUP(C1476,'Master Anggota'!$E$2:$J$678,5,0)</f>
        <v>00613</v>
      </c>
      <c r="H1476" s="82">
        <v>0</v>
      </c>
      <c r="I1476" s="82">
        <v>0</v>
      </c>
      <c r="J1476" s="56">
        <v>100000</v>
      </c>
      <c r="K1476" s="56">
        <v>150000</v>
      </c>
      <c r="L1476" t="s">
        <v>717</v>
      </c>
      <c r="M1476" s="71">
        <v>46227</v>
      </c>
      <c r="N1476" t="s">
        <v>576</v>
      </c>
    </row>
    <row r="1477" spans="3:14" hidden="1" x14ac:dyDescent="0.2">
      <c r="C1477" t="s">
        <v>400</v>
      </c>
      <c r="D1477" t="str">
        <f>VLOOKUP(C1477,'Master Anggota'!$E$2:$J$678,2,0)</f>
        <v>Aktif</v>
      </c>
      <c r="G1477" t="str">
        <f>VLOOKUP(C1477,'Master Anggota'!$E$2:$J$678,5,0)</f>
        <v>00614</v>
      </c>
      <c r="H1477" s="82">
        <v>0</v>
      </c>
      <c r="I1477" s="82">
        <v>0</v>
      </c>
      <c r="J1477" s="56">
        <v>100000</v>
      </c>
      <c r="K1477" s="56">
        <v>100000</v>
      </c>
      <c r="L1477" t="s">
        <v>717</v>
      </c>
      <c r="M1477" s="71">
        <v>46227</v>
      </c>
      <c r="N1477" t="s">
        <v>576</v>
      </c>
    </row>
    <row r="1478" spans="3:14" hidden="1" x14ac:dyDescent="0.2">
      <c r="C1478" t="s">
        <v>438</v>
      </c>
      <c r="D1478" t="str">
        <f>VLOOKUP(C1478,'Master Anggota'!$E$2:$J$678,2,0)</f>
        <v>Aktif</v>
      </c>
      <c r="G1478" t="str">
        <f>VLOOKUP(C1478,'Master Anggota'!$E$2:$J$678,5,0)</f>
        <v>00616</v>
      </c>
      <c r="H1478" s="82">
        <v>0</v>
      </c>
      <c r="I1478" s="82">
        <v>0</v>
      </c>
      <c r="J1478" s="56">
        <v>100000</v>
      </c>
      <c r="K1478" s="56">
        <v>250000</v>
      </c>
      <c r="L1478" t="s">
        <v>717</v>
      </c>
      <c r="M1478" s="71">
        <v>46227</v>
      </c>
      <c r="N1478" t="s">
        <v>576</v>
      </c>
    </row>
    <row r="1479" spans="3:14" hidden="1" x14ac:dyDescent="0.2">
      <c r="C1479" t="s">
        <v>312</v>
      </c>
      <c r="D1479" t="str">
        <f>VLOOKUP(C1479,'Master Anggota'!$E$2:$J$678,2,0)</f>
        <v>Aktif</v>
      </c>
      <c r="G1479" t="str">
        <f>VLOOKUP(C1479,'Master Anggota'!$E$2:$J$678,5,0)</f>
        <v>00621</v>
      </c>
      <c r="H1479" s="82">
        <v>0</v>
      </c>
      <c r="I1479" s="82">
        <v>0</v>
      </c>
      <c r="J1479" s="56">
        <v>100000</v>
      </c>
      <c r="K1479" s="56">
        <v>100000</v>
      </c>
      <c r="L1479" t="s">
        <v>717</v>
      </c>
      <c r="M1479" s="71">
        <v>46227</v>
      </c>
      <c r="N1479" t="s">
        <v>576</v>
      </c>
    </row>
    <row r="1480" spans="3:14" hidden="1" x14ac:dyDescent="0.2">
      <c r="C1480" t="s">
        <v>452</v>
      </c>
      <c r="D1480" t="str">
        <f>VLOOKUP(C1480,'Master Anggota'!$E$2:$J$678,2,0)</f>
        <v>Aktif</v>
      </c>
      <c r="G1480" t="str">
        <f>VLOOKUP(C1480,'Master Anggota'!$E$2:$J$678,5,0)</f>
        <v>00623</v>
      </c>
      <c r="H1480" s="82">
        <v>0</v>
      </c>
      <c r="I1480" s="82">
        <v>0</v>
      </c>
      <c r="J1480" s="56">
        <v>100000</v>
      </c>
      <c r="K1480" s="56">
        <v>50000</v>
      </c>
      <c r="L1480" t="s">
        <v>717</v>
      </c>
      <c r="M1480" s="71">
        <v>46227</v>
      </c>
      <c r="N1480" t="s">
        <v>576</v>
      </c>
    </row>
    <row r="1481" spans="3:14" hidden="1" x14ac:dyDescent="0.2">
      <c r="C1481" t="s">
        <v>324</v>
      </c>
      <c r="D1481" t="str">
        <f>VLOOKUP(C1481,'Master Anggota'!$E$2:$J$678,2,0)</f>
        <v>Aktif</v>
      </c>
      <c r="G1481" t="str">
        <f>VLOOKUP(C1481,'Master Anggota'!$E$2:$J$678,5,0)</f>
        <v>00626</v>
      </c>
      <c r="H1481" s="82">
        <v>0</v>
      </c>
      <c r="I1481" s="82">
        <v>0</v>
      </c>
      <c r="J1481" s="56">
        <v>100000</v>
      </c>
      <c r="K1481" s="56">
        <v>200000</v>
      </c>
      <c r="L1481" t="s">
        <v>717</v>
      </c>
      <c r="M1481" s="71">
        <v>46227</v>
      </c>
      <c r="N1481" t="s">
        <v>576</v>
      </c>
    </row>
    <row r="1482" spans="3:14" hidden="1" x14ac:dyDescent="0.2">
      <c r="C1482" t="s">
        <v>445</v>
      </c>
      <c r="D1482" t="str">
        <f>VLOOKUP(C1482,'Master Anggota'!$E$2:$J$678,2,0)</f>
        <v>Aktif</v>
      </c>
      <c r="G1482" t="str">
        <f>VLOOKUP(C1482,'Master Anggota'!$E$2:$J$678,5,0)</f>
        <v>00628</v>
      </c>
      <c r="H1482" s="82">
        <v>0</v>
      </c>
      <c r="I1482" s="82">
        <v>0</v>
      </c>
      <c r="J1482" s="56">
        <v>100000</v>
      </c>
      <c r="K1482" s="56">
        <v>150000</v>
      </c>
      <c r="L1482" t="s">
        <v>717</v>
      </c>
      <c r="M1482" s="71">
        <v>46227</v>
      </c>
      <c r="N1482" t="s">
        <v>576</v>
      </c>
    </row>
    <row r="1483" spans="3:14" hidden="1" x14ac:dyDescent="0.2">
      <c r="C1483" t="s">
        <v>425</v>
      </c>
      <c r="D1483" t="str">
        <f>VLOOKUP(C1483,'Master Anggota'!$E$2:$J$678,2,0)</f>
        <v>Aktif</v>
      </c>
      <c r="G1483" t="str">
        <f>VLOOKUP(C1483,'Master Anggota'!$E$2:$J$678,5,0)</f>
        <v>00629</v>
      </c>
      <c r="H1483" s="82">
        <v>0</v>
      </c>
      <c r="I1483" s="82">
        <v>0</v>
      </c>
      <c r="J1483" s="56">
        <v>100000</v>
      </c>
      <c r="K1483" s="56">
        <v>50000</v>
      </c>
      <c r="L1483" t="s">
        <v>717</v>
      </c>
      <c r="M1483" s="71">
        <v>46227</v>
      </c>
      <c r="N1483" t="s">
        <v>576</v>
      </c>
    </row>
    <row r="1484" spans="3:14" hidden="1" x14ac:dyDescent="0.2">
      <c r="C1484" t="s">
        <v>157</v>
      </c>
      <c r="D1484" t="str">
        <f>VLOOKUP(C1484,'Master Anggota'!$E$2:$J$678,2,0)</f>
        <v>Aktif</v>
      </c>
      <c r="G1484" t="str">
        <f>VLOOKUP(C1484,'Master Anggota'!$E$2:$J$678,5,0)</f>
        <v>00633</v>
      </c>
      <c r="H1484" s="82">
        <v>0</v>
      </c>
      <c r="I1484" s="82">
        <v>0</v>
      </c>
      <c r="J1484" s="56">
        <v>100000</v>
      </c>
      <c r="K1484" s="56">
        <v>12500</v>
      </c>
      <c r="L1484" t="s">
        <v>717</v>
      </c>
      <c r="M1484" s="71">
        <v>46227</v>
      </c>
      <c r="N1484" t="s">
        <v>576</v>
      </c>
    </row>
    <row r="1485" spans="3:14" hidden="1" x14ac:dyDescent="0.2">
      <c r="C1485" t="s">
        <v>707</v>
      </c>
      <c r="D1485" t="str">
        <f>VLOOKUP(C1485,'Master Anggota'!$E$2:$J$678,2,0)</f>
        <v>Aktif</v>
      </c>
      <c r="G1485" t="str">
        <f>VLOOKUP(C1485,'Master Anggota'!$E$2:$J$678,5,0)</f>
        <v>00634</v>
      </c>
      <c r="H1485" s="82">
        <v>0</v>
      </c>
      <c r="I1485" s="82">
        <v>0</v>
      </c>
      <c r="J1485" s="56">
        <v>100000</v>
      </c>
      <c r="K1485" s="56">
        <v>80000</v>
      </c>
      <c r="L1485" t="s">
        <v>717</v>
      </c>
      <c r="M1485" s="71">
        <v>46227</v>
      </c>
      <c r="N1485" t="s">
        <v>576</v>
      </c>
    </row>
    <row r="1486" spans="3:14" hidden="1" x14ac:dyDescent="0.2">
      <c r="C1486" t="s">
        <v>435</v>
      </c>
      <c r="D1486" t="str">
        <f>VLOOKUP(C1486,'Master Anggota'!$E$2:$J$678,2,0)</f>
        <v>Aktif</v>
      </c>
      <c r="G1486" t="str">
        <f>VLOOKUP(C1486,'Master Anggota'!$E$2:$J$678,5,0)</f>
        <v>00637</v>
      </c>
      <c r="H1486" s="82">
        <v>0</v>
      </c>
      <c r="I1486" s="82">
        <v>0</v>
      </c>
      <c r="J1486" s="56">
        <v>100000</v>
      </c>
      <c r="K1486" s="56">
        <v>100000</v>
      </c>
      <c r="L1486" t="s">
        <v>717</v>
      </c>
      <c r="M1486" s="71">
        <v>46227</v>
      </c>
      <c r="N1486" t="s">
        <v>576</v>
      </c>
    </row>
    <row r="1487" spans="3:14" hidden="1" x14ac:dyDescent="0.2">
      <c r="C1487" t="s">
        <v>436</v>
      </c>
      <c r="D1487" t="str">
        <f>VLOOKUP(C1487,'Master Anggota'!$E$2:$J$678,2,0)</f>
        <v>Aktif</v>
      </c>
      <c r="G1487" t="str">
        <f>VLOOKUP(C1487,'Master Anggota'!$E$2:$J$678,5,0)</f>
        <v>01708</v>
      </c>
      <c r="H1487" s="82">
        <v>0</v>
      </c>
      <c r="I1487" s="82">
        <v>0</v>
      </c>
      <c r="J1487" s="56">
        <v>100000</v>
      </c>
      <c r="K1487" s="56">
        <v>100000</v>
      </c>
      <c r="L1487" t="s">
        <v>717</v>
      </c>
      <c r="M1487" s="71">
        <v>46227</v>
      </c>
      <c r="N1487" t="s">
        <v>576</v>
      </c>
    </row>
    <row r="1488" spans="3:14" hidden="1" x14ac:dyDescent="0.2">
      <c r="C1488" t="s">
        <v>160</v>
      </c>
      <c r="D1488" t="str">
        <f>VLOOKUP(C1488,'Master Anggota'!$E$2:$J$678,2,0)</f>
        <v>Aktif</v>
      </c>
      <c r="G1488" t="str">
        <f>VLOOKUP(C1488,'Master Anggota'!$E$2:$J$678,5,0)</f>
        <v>01166</v>
      </c>
      <c r="H1488" s="82">
        <v>0</v>
      </c>
      <c r="I1488" s="82">
        <v>0</v>
      </c>
      <c r="J1488" s="56">
        <v>100000</v>
      </c>
      <c r="K1488" s="56">
        <v>75000</v>
      </c>
      <c r="L1488" t="s">
        <v>717</v>
      </c>
      <c r="M1488" s="71">
        <v>46227</v>
      </c>
      <c r="N1488" t="s">
        <v>576</v>
      </c>
    </row>
    <row r="1489" spans="3:14" hidden="1" x14ac:dyDescent="0.2">
      <c r="C1489" t="s">
        <v>676</v>
      </c>
      <c r="D1489" t="str">
        <f>VLOOKUP(C1489,'Master Anggota'!$E$2:$J$678,2,0)</f>
        <v>Aktif</v>
      </c>
      <c r="G1489" t="str">
        <f>VLOOKUP(C1489,'Master Anggota'!$E$2:$J$678,5,0)</f>
        <v>00643</v>
      </c>
      <c r="H1489" s="82">
        <v>0</v>
      </c>
      <c r="I1489" s="82">
        <v>0</v>
      </c>
      <c r="J1489" s="56">
        <v>100000</v>
      </c>
      <c r="K1489" s="56">
        <v>100000</v>
      </c>
      <c r="L1489" t="s">
        <v>717</v>
      </c>
      <c r="M1489" s="71">
        <v>46227</v>
      </c>
      <c r="N1489" t="s">
        <v>576</v>
      </c>
    </row>
    <row r="1490" spans="3:14" hidden="1" x14ac:dyDescent="0.2">
      <c r="C1490" t="s">
        <v>319</v>
      </c>
      <c r="D1490" t="str">
        <f>VLOOKUP(C1490,'Master Anggota'!$E$2:$J$678,2,0)</f>
        <v>Aktif</v>
      </c>
      <c r="G1490" t="str">
        <f>VLOOKUP(C1490,'Master Anggota'!$E$2:$J$678,5,0)</f>
        <v>01302</v>
      </c>
      <c r="H1490" s="82">
        <v>0</v>
      </c>
      <c r="I1490" s="82">
        <v>0</v>
      </c>
      <c r="J1490" s="56">
        <v>100000</v>
      </c>
      <c r="K1490" s="56">
        <v>175000</v>
      </c>
      <c r="L1490" t="s">
        <v>717</v>
      </c>
      <c r="M1490" s="71">
        <v>46227</v>
      </c>
      <c r="N1490" t="s">
        <v>576</v>
      </c>
    </row>
    <row r="1491" spans="3:14" hidden="1" x14ac:dyDescent="0.2">
      <c r="C1491" t="s">
        <v>289</v>
      </c>
      <c r="D1491" t="str">
        <f>VLOOKUP(C1491,'Master Anggota'!$E$2:$J$678,2,0)</f>
        <v>Aktif</v>
      </c>
      <c r="G1491" t="str">
        <f>VLOOKUP(C1491,'Master Anggota'!$E$2:$J$678,5,0)</f>
        <v>01511</v>
      </c>
      <c r="H1491" s="82">
        <v>0</v>
      </c>
      <c r="I1491" s="82">
        <v>0</v>
      </c>
      <c r="J1491" s="56">
        <v>100000</v>
      </c>
      <c r="K1491" s="56">
        <v>75000</v>
      </c>
      <c r="L1491" t="s">
        <v>717</v>
      </c>
      <c r="M1491" s="71">
        <v>46227</v>
      </c>
      <c r="N1491" t="s">
        <v>576</v>
      </c>
    </row>
    <row r="1492" spans="3:14" hidden="1" x14ac:dyDescent="0.2">
      <c r="C1492" t="s">
        <v>169</v>
      </c>
      <c r="D1492" t="str">
        <f>VLOOKUP(C1492,'Master Anggota'!$E$2:$J$678,2,0)</f>
        <v>Aktif</v>
      </c>
      <c r="G1492" t="str">
        <f>VLOOKUP(C1492,'Master Anggota'!$E$2:$J$678,5,0)</f>
        <v>01157</v>
      </c>
      <c r="H1492" s="82">
        <v>0</v>
      </c>
      <c r="I1492" s="82">
        <v>0</v>
      </c>
      <c r="J1492" s="56">
        <v>100000</v>
      </c>
      <c r="K1492" s="56">
        <v>100000</v>
      </c>
      <c r="L1492" t="s">
        <v>717</v>
      </c>
      <c r="M1492" s="71">
        <v>46227</v>
      </c>
      <c r="N1492" t="s">
        <v>576</v>
      </c>
    </row>
    <row r="1493" spans="3:14" hidden="1" x14ac:dyDescent="0.2">
      <c r="C1493" t="s">
        <v>279</v>
      </c>
      <c r="D1493" t="str">
        <f>VLOOKUP(C1493,'Master Anggota'!$E$2:$J$678,2,0)</f>
        <v>Aktif</v>
      </c>
      <c r="G1493" t="str">
        <f>VLOOKUP(C1493,'Master Anggota'!$E$2:$J$678,5,0)</f>
        <v>01315</v>
      </c>
      <c r="H1493" s="82">
        <v>0</v>
      </c>
      <c r="I1493" s="82">
        <v>0</v>
      </c>
      <c r="J1493" s="56">
        <v>100000</v>
      </c>
      <c r="K1493" s="56">
        <v>50000</v>
      </c>
      <c r="L1493" t="s">
        <v>717</v>
      </c>
      <c r="M1493" s="71">
        <v>46227</v>
      </c>
      <c r="N1493" t="s">
        <v>576</v>
      </c>
    </row>
    <row r="1494" spans="3:14" hidden="1" x14ac:dyDescent="0.2">
      <c r="C1494" t="s">
        <v>358</v>
      </c>
      <c r="D1494" t="str">
        <f>VLOOKUP(C1494,'Master Anggota'!$E$2:$J$678,2,0)</f>
        <v>Aktif</v>
      </c>
      <c r="G1494" t="str">
        <f>VLOOKUP(C1494,'Master Anggota'!$E$2:$J$678,5,0)</f>
        <v>01530</v>
      </c>
      <c r="H1494" s="82">
        <v>0</v>
      </c>
      <c r="I1494" s="82">
        <v>0</v>
      </c>
      <c r="J1494" s="56">
        <v>100000</v>
      </c>
      <c r="K1494" s="56">
        <v>50000</v>
      </c>
      <c r="L1494" t="s">
        <v>717</v>
      </c>
      <c r="M1494" s="71">
        <v>46227</v>
      </c>
      <c r="N1494" t="s">
        <v>576</v>
      </c>
    </row>
    <row r="1495" spans="3:14" hidden="1" x14ac:dyDescent="0.2">
      <c r="C1495" t="s">
        <v>677</v>
      </c>
      <c r="D1495" t="str">
        <f>VLOOKUP(C1495,'Master Anggota'!$E$2:$J$678,2,0)</f>
        <v>Aktif</v>
      </c>
      <c r="G1495" t="str">
        <f>VLOOKUP(C1495,'Master Anggota'!$E$2:$J$678,5,0)</f>
        <v>K924</v>
      </c>
      <c r="H1495" s="82">
        <v>0</v>
      </c>
      <c r="I1495" s="82">
        <v>0</v>
      </c>
      <c r="J1495" s="56">
        <v>100000</v>
      </c>
      <c r="K1495" s="56">
        <v>200000</v>
      </c>
      <c r="L1495" t="s">
        <v>717</v>
      </c>
      <c r="M1495" s="71">
        <v>46227</v>
      </c>
      <c r="N1495" t="s">
        <v>576</v>
      </c>
    </row>
    <row r="1496" spans="3:14" hidden="1" x14ac:dyDescent="0.2">
      <c r="C1496" t="s">
        <v>304</v>
      </c>
      <c r="D1496" t="str">
        <f>VLOOKUP(C1496,'Master Anggota'!$E$2:$J$678,2,0)</f>
        <v>Aktif</v>
      </c>
      <c r="G1496" t="str">
        <f>VLOOKUP(C1496,'Master Anggota'!$E$2:$J$678,5,0)</f>
        <v>01541</v>
      </c>
      <c r="H1496" s="82">
        <v>0</v>
      </c>
      <c r="I1496" s="82">
        <v>0</v>
      </c>
      <c r="J1496" s="56">
        <v>100000</v>
      </c>
      <c r="K1496" s="56">
        <v>150000</v>
      </c>
      <c r="L1496" t="s">
        <v>717</v>
      </c>
      <c r="M1496" s="71">
        <v>46227</v>
      </c>
      <c r="N1496" t="s">
        <v>576</v>
      </c>
    </row>
    <row r="1497" spans="3:14" hidden="1" x14ac:dyDescent="0.2">
      <c r="C1497" t="s">
        <v>310</v>
      </c>
      <c r="D1497" t="str">
        <f>VLOOKUP(C1497,'Master Anggota'!$E$2:$J$678,2,0)</f>
        <v>Aktif</v>
      </c>
      <c r="G1497" t="str">
        <f>VLOOKUP(C1497,'Master Anggota'!$E$2:$J$678,5,0)</f>
        <v>01543</v>
      </c>
      <c r="H1497" s="82">
        <v>0</v>
      </c>
      <c r="I1497" s="82">
        <v>0</v>
      </c>
      <c r="J1497" s="56">
        <v>100000</v>
      </c>
      <c r="K1497" s="56">
        <v>150000</v>
      </c>
      <c r="L1497" t="s">
        <v>717</v>
      </c>
      <c r="M1497" s="71">
        <v>46227</v>
      </c>
      <c r="N1497" t="s">
        <v>576</v>
      </c>
    </row>
    <row r="1498" spans="3:14" hidden="1" x14ac:dyDescent="0.2">
      <c r="C1498" t="s">
        <v>316</v>
      </c>
      <c r="D1498" t="str">
        <f>VLOOKUP(C1498,'Master Anggota'!$E$2:$J$678,2,0)</f>
        <v>Aktif</v>
      </c>
      <c r="G1498" t="str">
        <f>VLOOKUP(C1498,'Master Anggota'!$E$2:$J$678,5,0)</f>
        <v>01544</v>
      </c>
      <c r="H1498" s="82">
        <v>0</v>
      </c>
      <c r="I1498" s="82">
        <v>0</v>
      </c>
      <c r="J1498" s="56">
        <v>100000</v>
      </c>
      <c r="K1498" s="56">
        <v>150000</v>
      </c>
      <c r="L1498" t="s">
        <v>717</v>
      </c>
      <c r="M1498" s="71">
        <v>46227</v>
      </c>
      <c r="N1498" t="s">
        <v>576</v>
      </c>
    </row>
    <row r="1499" spans="3:14" hidden="1" x14ac:dyDescent="0.2">
      <c r="C1499" t="s">
        <v>421</v>
      </c>
      <c r="D1499" t="str">
        <f>VLOOKUP(C1499,'Master Anggota'!$E$2:$J$678,2,0)</f>
        <v>Aktif</v>
      </c>
      <c r="G1499" t="str">
        <f>VLOOKUP(C1499,'Master Anggota'!$E$2:$J$678,5,0)</f>
        <v>01560</v>
      </c>
      <c r="H1499" s="82">
        <v>0</v>
      </c>
      <c r="I1499" s="82">
        <v>0</v>
      </c>
      <c r="J1499" s="56">
        <v>100000</v>
      </c>
      <c r="K1499" s="56">
        <v>250000</v>
      </c>
      <c r="L1499" t="s">
        <v>717</v>
      </c>
      <c r="M1499" s="71">
        <v>46227</v>
      </c>
      <c r="N1499" t="s">
        <v>576</v>
      </c>
    </row>
    <row r="1500" spans="3:14" hidden="1" x14ac:dyDescent="0.2">
      <c r="C1500" t="s">
        <v>482</v>
      </c>
      <c r="D1500" t="str">
        <f>VLOOKUP(C1500,'Master Anggota'!$E$2:$J$678,2,0)</f>
        <v>Aktif</v>
      </c>
      <c r="G1500" t="str">
        <f>VLOOKUP(C1500,'Master Anggota'!$E$2:$J$678,5,0)</f>
        <v>01561</v>
      </c>
      <c r="H1500" s="82">
        <v>0</v>
      </c>
      <c r="I1500" s="82">
        <v>0</v>
      </c>
      <c r="J1500" s="56">
        <v>100000</v>
      </c>
      <c r="K1500" s="56">
        <v>100000</v>
      </c>
      <c r="L1500" t="s">
        <v>717</v>
      </c>
      <c r="M1500" s="71">
        <v>46227</v>
      </c>
      <c r="N1500" t="s">
        <v>576</v>
      </c>
    </row>
    <row r="1501" spans="3:14" hidden="1" x14ac:dyDescent="0.2">
      <c r="C1501" t="s">
        <v>317</v>
      </c>
      <c r="D1501" t="str">
        <f>VLOOKUP(C1501,'Master Anggota'!$E$2:$J$678,2,0)</f>
        <v>Aktif</v>
      </c>
      <c r="G1501" t="str">
        <f>VLOOKUP(C1501,'Master Anggota'!$E$2:$J$678,5,0)</f>
        <v>01573</v>
      </c>
      <c r="H1501" s="82">
        <v>0</v>
      </c>
      <c r="I1501" s="82">
        <v>0</v>
      </c>
      <c r="J1501" s="56">
        <v>100000</v>
      </c>
      <c r="K1501" s="56">
        <v>400000</v>
      </c>
      <c r="L1501" t="s">
        <v>717</v>
      </c>
      <c r="M1501" s="71">
        <v>46227</v>
      </c>
      <c r="N1501" t="s">
        <v>576</v>
      </c>
    </row>
    <row r="1502" spans="3:14" hidden="1" x14ac:dyDescent="0.2">
      <c r="C1502" t="s">
        <v>313</v>
      </c>
      <c r="D1502" t="str">
        <f>VLOOKUP(C1502,'Master Anggota'!$E$2:$J$678,2,0)</f>
        <v>Aktif</v>
      </c>
      <c r="G1502" t="str">
        <f>VLOOKUP(C1502,'Master Anggota'!$E$2:$J$678,5,0)</f>
        <v>01594</v>
      </c>
      <c r="H1502" s="82">
        <v>0</v>
      </c>
      <c r="I1502" s="82">
        <v>0</v>
      </c>
      <c r="J1502" s="56">
        <v>100000</v>
      </c>
      <c r="K1502" s="56">
        <v>50000</v>
      </c>
      <c r="L1502" t="s">
        <v>717</v>
      </c>
      <c r="M1502" s="71">
        <v>46227</v>
      </c>
      <c r="N1502" t="s">
        <v>576</v>
      </c>
    </row>
    <row r="1503" spans="3:14" hidden="1" x14ac:dyDescent="0.2">
      <c r="C1503" t="s">
        <v>323</v>
      </c>
      <c r="D1503" t="str">
        <f>VLOOKUP(C1503,'Master Anggota'!$E$2:$J$678,2,0)</f>
        <v>Aktif</v>
      </c>
      <c r="G1503" t="str">
        <f>VLOOKUP(C1503,'Master Anggota'!$E$2:$J$678,5,0)</f>
        <v>01601</v>
      </c>
      <c r="H1503" s="82">
        <v>0</v>
      </c>
      <c r="I1503" s="82">
        <v>0</v>
      </c>
      <c r="J1503" s="56">
        <v>100000</v>
      </c>
      <c r="K1503" s="56">
        <v>150000</v>
      </c>
      <c r="L1503" t="s">
        <v>717</v>
      </c>
      <c r="M1503" s="71">
        <v>46227</v>
      </c>
      <c r="N1503" t="s">
        <v>576</v>
      </c>
    </row>
    <row r="1504" spans="3:14" hidden="1" x14ac:dyDescent="0.2">
      <c r="C1504" t="s">
        <v>311</v>
      </c>
      <c r="D1504" t="str">
        <f>VLOOKUP(C1504,'Master Anggota'!$E$2:$J$678,2,0)</f>
        <v>Aktif</v>
      </c>
      <c r="G1504" t="str">
        <f>VLOOKUP(C1504,'Master Anggota'!$E$2:$J$678,5,0)</f>
        <v>01602</v>
      </c>
      <c r="H1504" s="82">
        <v>0</v>
      </c>
      <c r="I1504" s="82">
        <v>0</v>
      </c>
      <c r="J1504" s="56">
        <v>100000</v>
      </c>
      <c r="K1504" s="56">
        <v>100000</v>
      </c>
      <c r="L1504" t="s">
        <v>717</v>
      </c>
      <c r="M1504" s="71">
        <v>46227</v>
      </c>
      <c r="N1504" t="s">
        <v>576</v>
      </c>
    </row>
    <row r="1505" spans="3:14" hidden="1" x14ac:dyDescent="0.2">
      <c r="C1505" t="s">
        <v>560</v>
      </c>
      <c r="D1505" t="str">
        <f>VLOOKUP(C1505,'Master Anggota'!$E$2:$J$678,2,0)</f>
        <v>Aktif</v>
      </c>
      <c r="G1505" t="str">
        <f>VLOOKUP(C1505,'Master Anggota'!$E$2:$J$678,5,0)</f>
        <v>01603</v>
      </c>
      <c r="H1505" s="82">
        <v>0</v>
      </c>
      <c r="I1505" s="82">
        <v>0</v>
      </c>
      <c r="J1505" s="56">
        <v>100000</v>
      </c>
      <c r="K1505" s="56">
        <v>200000</v>
      </c>
      <c r="L1505" t="s">
        <v>717</v>
      </c>
      <c r="M1505" s="71">
        <v>46227</v>
      </c>
      <c r="N1505" t="s">
        <v>576</v>
      </c>
    </row>
    <row r="1506" spans="3:14" hidden="1" x14ac:dyDescent="0.2">
      <c r="C1506" t="s">
        <v>308</v>
      </c>
      <c r="D1506" t="str">
        <f>VLOOKUP(C1506,'Master Anggota'!$E$2:$J$678,2,0)</f>
        <v>Aktif</v>
      </c>
      <c r="G1506" t="str">
        <f>VLOOKUP(C1506,'Master Anggota'!$E$2:$J$678,5,0)</f>
        <v>01604</v>
      </c>
      <c r="H1506" s="82">
        <v>0</v>
      </c>
      <c r="I1506" s="82">
        <v>0</v>
      </c>
      <c r="J1506" s="56">
        <v>100000</v>
      </c>
      <c r="K1506" s="56">
        <v>100000</v>
      </c>
      <c r="L1506" t="s">
        <v>717</v>
      </c>
      <c r="M1506" s="71">
        <v>46227</v>
      </c>
      <c r="N1506" t="s">
        <v>576</v>
      </c>
    </row>
    <row r="1507" spans="3:14" hidden="1" x14ac:dyDescent="0.2">
      <c r="C1507" t="s">
        <v>318</v>
      </c>
      <c r="D1507" t="str">
        <f>VLOOKUP(C1507,'Master Anggota'!$E$2:$J$678,2,0)</f>
        <v>Aktif</v>
      </c>
      <c r="G1507" t="str">
        <f>VLOOKUP(C1507,'Master Anggota'!$E$2:$J$678,5,0)</f>
        <v>01651</v>
      </c>
      <c r="H1507" s="82">
        <v>0</v>
      </c>
      <c r="I1507" s="82">
        <v>0</v>
      </c>
      <c r="J1507" s="56">
        <v>100000</v>
      </c>
      <c r="K1507" s="56">
        <v>100000</v>
      </c>
      <c r="L1507" t="s">
        <v>717</v>
      </c>
      <c r="M1507" s="71">
        <v>46227</v>
      </c>
      <c r="N1507" t="s">
        <v>576</v>
      </c>
    </row>
    <row r="1508" spans="3:14" hidden="1" x14ac:dyDescent="0.2">
      <c r="C1508" t="s">
        <v>369</v>
      </c>
      <c r="D1508" t="str">
        <f>VLOOKUP(C1508,'Master Anggota'!$E$2:$J$678,2,0)</f>
        <v>Aktif</v>
      </c>
      <c r="G1508" t="str">
        <f>VLOOKUP(C1508,'Master Anggota'!$E$2:$J$678,5,0)</f>
        <v>01654</v>
      </c>
      <c r="H1508" s="82">
        <v>0</v>
      </c>
      <c r="I1508" s="82">
        <v>0</v>
      </c>
      <c r="J1508" s="56">
        <v>100000</v>
      </c>
      <c r="K1508" s="56">
        <v>100000</v>
      </c>
      <c r="L1508" t="s">
        <v>717</v>
      </c>
      <c r="M1508" s="71">
        <v>46227</v>
      </c>
      <c r="N1508" t="s">
        <v>576</v>
      </c>
    </row>
    <row r="1509" spans="3:14" hidden="1" x14ac:dyDescent="0.2">
      <c r="C1509" t="s">
        <v>327</v>
      </c>
      <c r="D1509" t="str">
        <f>VLOOKUP(C1509,'Master Anggota'!$E$2:$J$678,2,0)</f>
        <v>Aktif</v>
      </c>
      <c r="G1509" t="str">
        <f>VLOOKUP(C1509,'Master Anggota'!$E$2:$J$678,5,0)</f>
        <v>01665</v>
      </c>
      <c r="H1509" s="82">
        <v>0</v>
      </c>
      <c r="I1509" s="82">
        <v>0</v>
      </c>
      <c r="J1509" s="56">
        <v>100000</v>
      </c>
      <c r="K1509" s="56">
        <v>50000</v>
      </c>
      <c r="L1509" t="s">
        <v>717</v>
      </c>
      <c r="M1509" s="71">
        <v>46227</v>
      </c>
      <c r="N1509" t="s">
        <v>576</v>
      </c>
    </row>
    <row r="1510" spans="3:14" hidden="1" x14ac:dyDescent="0.2">
      <c r="C1510" t="s">
        <v>367</v>
      </c>
      <c r="D1510" t="str">
        <f>VLOOKUP(C1510,'Master Anggota'!$E$2:$J$678,2,0)</f>
        <v>Aktif</v>
      </c>
      <c r="G1510" t="str">
        <f>VLOOKUP(C1510,'Master Anggota'!$E$2:$J$678,5,0)</f>
        <v>01679</v>
      </c>
      <c r="H1510" s="82">
        <v>0</v>
      </c>
      <c r="I1510" s="82">
        <v>0</v>
      </c>
      <c r="J1510" s="56">
        <v>100000</v>
      </c>
      <c r="K1510" s="56">
        <v>100000</v>
      </c>
      <c r="L1510" t="s">
        <v>717</v>
      </c>
      <c r="M1510" s="71">
        <v>46227</v>
      </c>
      <c r="N1510" t="s">
        <v>576</v>
      </c>
    </row>
    <row r="1511" spans="3:14" hidden="1" x14ac:dyDescent="0.2">
      <c r="C1511" t="s">
        <v>368</v>
      </c>
      <c r="D1511" t="str">
        <f>VLOOKUP(C1511,'Master Anggota'!$E$2:$J$678,2,0)</f>
        <v>Aktif</v>
      </c>
      <c r="G1511" t="str">
        <f>VLOOKUP(C1511,'Master Anggota'!$E$2:$J$678,5,0)</f>
        <v>01703</v>
      </c>
      <c r="H1511" s="82">
        <v>0</v>
      </c>
      <c r="I1511" s="82">
        <v>0</v>
      </c>
      <c r="J1511" s="56">
        <v>100000</v>
      </c>
      <c r="K1511" s="56">
        <v>100000</v>
      </c>
      <c r="L1511" t="s">
        <v>717</v>
      </c>
      <c r="M1511" s="71">
        <v>46227</v>
      </c>
      <c r="N1511" t="s">
        <v>576</v>
      </c>
    </row>
    <row r="1512" spans="3:14" hidden="1" x14ac:dyDescent="0.2">
      <c r="C1512" t="s">
        <v>490</v>
      </c>
      <c r="D1512" t="str">
        <f>VLOOKUP(C1512,'Master Anggota'!$E$2:$J$678,2,0)</f>
        <v>Aktif</v>
      </c>
      <c r="G1512" t="str">
        <f>VLOOKUP(C1512,'Master Anggota'!$E$2:$J$678,5,0)</f>
        <v>01706</v>
      </c>
      <c r="H1512" s="82">
        <v>0</v>
      </c>
      <c r="I1512" s="82">
        <v>0</v>
      </c>
      <c r="J1512" s="56">
        <v>100000</v>
      </c>
      <c r="K1512" s="56">
        <v>100000</v>
      </c>
      <c r="L1512" t="s">
        <v>717</v>
      </c>
      <c r="M1512" s="71">
        <v>46227</v>
      </c>
      <c r="N1512" t="s">
        <v>576</v>
      </c>
    </row>
    <row r="1513" spans="3:14" hidden="1" x14ac:dyDescent="0.2">
      <c r="C1513" t="s">
        <v>444</v>
      </c>
      <c r="D1513" t="str">
        <f>VLOOKUP(C1513,'Master Anggota'!$E$2:$J$678,2,0)</f>
        <v>Aktif</v>
      </c>
      <c r="G1513" t="str">
        <f>VLOOKUP(C1513,'Master Anggota'!$E$2:$J$678,5,0)</f>
        <v>01711</v>
      </c>
      <c r="H1513" s="82">
        <v>0</v>
      </c>
      <c r="I1513" s="82">
        <v>0</v>
      </c>
      <c r="J1513" s="56">
        <v>100000</v>
      </c>
      <c r="K1513" s="56">
        <v>150000</v>
      </c>
      <c r="L1513" t="s">
        <v>717</v>
      </c>
      <c r="M1513" s="71">
        <v>46227</v>
      </c>
      <c r="N1513" t="s">
        <v>576</v>
      </c>
    </row>
    <row r="1514" spans="3:14" hidden="1" x14ac:dyDescent="0.2">
      <c r="C1514" t="s">
        <v>497</v>
      </c>
      <c r="D1514" t="str">
        <f>VLOOKUP(C1514,'Master Anggota'!$E$2:$J$678,2,0)</f>
        <v>Aktif</v>
      </c>
      <c r="G1514" t="str">
        <f>VLOOKUP(C1514,'Master Anggota'!$E$2:$J$678,5,0)</f>
        <v>01719</v>
      </c>
      <c r="H1514" s="82">
        <v>0</v>
      </c>
      <c r="I1514" s="82">
        <v>0</v>
      </c>
      <c r="J1514" s="56">
        <v>100000</v>
      </c>
      <c r="K1514" s="56">
        <v>200000</v>
      </c>
      <c r="L1514" t="s">
        <v>717</v>
      </c>
      <c r="M1514" s="71">
        <v>46227</v>
      </c>
      <c r="N1514" t="s">
        <v>576</v>
      </c>
    </row>
    <row r="1515" spans="3:14" hidden="1" x14ac:dyDescent="0.2">
      <c r="C1515" t="s">
        <v>491</v>
      </c>
      <c r="D1515" t="str">
        <f>VLOOKUP(C1515,'Master Anggota'!$E$2:$J$678,2,0)</f>
        <v>Aktif</v>
      </c>
      <c r="G1515" t="str">
        <f>VLOOKUP(C1515,'Master Anggota'!$E$2:$J$678,5,0)</f>
        <v>01720</v>
      </c>
      <c r="H1515" s="82">
        <v>0</v>
      </c>
      <c r="I1515" s="82">
        <v>0</v>
      </c>
      <c r="J1515" s="56">
        <v>100000</v>
      </c>
      <c r="K1515" s="56">
        <v>100000</v>
      </c>
      <c r="L1515" t="s">
        <v>717</v>
      </c>
      <c r="M1515" s="71">
        <v>46227</v>
      </c>
      <c r="N1515" t="s">
        <v>576</v>
      </c>
    </row>
    <row r="1516" spans="3:14" hidden="1" x14ac:dyDescent="0.2">
      <c r="C1516" t="s">
        <v>498</v>
      </c>
      <c r="D1516" t="str">
        <f>VLOOKUP(C1516,'Master Anggota'!$E$2:$J$678,2,0)</f>
        <v>Aktif</v>
      </c>
      <c r="G1516" t="str">
        <f>VLOOKUP(C1516,'Master Anggota'!$E$2:$J$678,5,0)</f>
        <v>01721</v>
      </c>
      <c r="H1516" s="82">
        <v>0</v>
      </c>
      <c r="I1516" s="82">
        <v>0</v>
      </c>
      <c r="J1516" s="56">
        <v>100000</v>
      </c>
      <c r="K1516" s="56">
        <v>200000</v>
      </c>
      <c r="L1516" t="s">
        <v>717</v>
      </c>
      <c r="M1516" s="71">
        <v>46227</v>
      </c>
      <c r="N1516" t="s">
        <v>576</v>
      </c>
    </row>
    <row r="1517" spans="3:14" hidden="1" x14ac:dyDescent="0.2">
      <c r="C1517" t="s">
        <v>492</v>
      </c>
      <c r="D1517" t="str">
        <f>VLOOKUP(C1517,'Master Anggota'!$E$2:$J$678,2,0)</f>
        <v>Aktif</v>
      </c>
      <c r="G1517" t="str">
        <f>VLOOKUP(C1517,'Master Anggota'!$E$2:$J$678,5,0)</f>
        <v>01728</v>
      </c>
      <c r="H1517" s="82">
        <v>0</v>
      </c>
      <c r="I1517" s="82">
        <v>0</v>
      </c>
      <c r="J1517" s="56">
        <v>100000</v>
      </c>
      <c r="K1517" s="56">
        <v>100000</v>
      </c>
      <c r="L1517" t="s">
        <v>717</v>
      </c>
      <c r="M1517" s="71">
        <v>46227</v>
      </c>
      <c r="N1517" t="s">
        <v>576</v>
      </c>
    </row>
    <row r="1518" spans="3:14" hidden="1" x14ac:dyDescent="0.2">
      <c r="C1518" t="s">
        <v>439</v>
      </c>
      <c r="D1518" t="str">
        <f>VLOOKUP(C1518,'Master Anggota'!$E$2:$J$678,2,0)</f>
        <v>Aktif</v>
      </c>
      <c r="G1518" t="str">
        <f>VLOOKUP(C1518,'Master Anggota'!$E$2:$J$678,5,0)</f>
        <v>01730</v>
      </c>
      <c r="H1518" s="82">
        <v>0</v>
      </c>
      <c r="I1518" s="82">
        <v>0</v>
      </c>
      <c r="J1518" s="56">
        <v>100000</v>
      </c>
      <c r="K1518" s="56">
        <v>300000</v>
      </c>
      <c r="L1518" t="s">
        <v>717</v>
      </c>
      <c r="M1518" s="71">
        <v>46227</v>
      </c>
      <c r="N1518" t="s">
        <v>576</v>
      </c>
    </row>
    <row r="1519" spans="3:14" hidden="1" x14ac:dyDescent="0.2">
      <c r="C1519" t="s">
        <v>493</v>
      </c>
      <c r="D1519" t="str">
        <f>VLOOKUP(C1519,'Master Anggota'!$E$2:$J$678,2,0)</f>
        <v>Aktif</v>
      </c>
      <c r="G1519" t="str">
        <f>VLOOKUP(C1519,'Master Anggota'!$E$2:$J$678,5,0)</f>
        <v>01731</v>
      </c>
      <c r="H1519" s="82">
        <v>0</v>
      </c>
      <c r="I1519" s="82">
        <v>0</v>
      </c>
      <c r="J1519" s="56">
        <v>100000</v>
      </c>
      <c r="K1519" s="56">
        <v>100000</v>
      </c>
      <c r="L1519" t="s">
        <v>717</v>
      </c>
      <c r="M1519" s="71">
        <v>46227</v>
      </c>
      <c r="N1519" t="s">
        <v>576</v>
      </c>
    </row>
    <row r="1520" spans="3:14" hidden="1" x14ac:dyDescent="0.2">
      <c r="C1520" t="s">
        <v>451</v>
      </c>
      <c r="D1520" t="str">
        <f>VLOOKUP(C1520,'Master Anggota'!$E$2:$J$678,2,0)</f>
        <v>Aktif</v>
      </c>
      <c r="G1520" t="str">
        <f>VLOOKUP(C1520,'Master Anggota'!$E$2:$J$678,5,0)</f>
        <v>01735</v>
      </c>
      <c r="H1520" s="82">
        <v>0</v>
      </c>
      <c r="I1520" s="82">
        <v>0</v>
      </c>
      <c r="J1520" s="56">
        <v>100000</v>
      </c>
      <c r="K1520" s="56">
        <v>150000</v>
      </c>
      <c r="L1520" t="s">
        <v>717</v>
      </c>
      <c r="M1520" s="71">
        <v>46227</v>
      </c>
      <c r="N1520" t="s">
        <v>576</v>
      </c>
    </row>
    <row r="1521" spans="3:14" hidden="1" x14ac:dyDescent="0.2">
      <c r="C1521" t="s">
        <v>448</v>
      </c>
      <c r="D1521" t="str">
        <f>VLOOKUP(C1521,'Master Anggota'!$E$2:$J$678,2,0)</f>
        <v>Aktif</v>
      </c>
      <c r="G1521" t="str">
        <f>VLOOKUP(C1521,'Master Anggota'!$E$2:$J$678,5,0)</f>
        <v>01737</v>
      </c>
      <c r="H1521" s="82">
        <v>0</v>
      </c>
      <c r="I1521" s="82">
        <v>0</v>
      </c>
      <c r="J1521" s="56">
        <v>100000</v>
      </c>
      <c r="K1521" s="56">
        <v>150000</v>
      </c>
      <c r="L1521" t="s">
        <v>717</v>
      </c>
      <c r="M1521" s="71">
        <v>46227</v>
      </c>
      <c r="N1521" t="s">
        <v>576</v>
      </c>
    </row>
    <row r="1522" spans="3:14" hidden="1" x14ac:dyDescent="0.2">
      <c r="C1522" t="s">
        <v>450</v>
      </c>
      <c r="D1522" t="str">
        <f>VLOOKUP(C1522,'Master Anggota'!$E$2:$J$678,2,0)</f>
        <v>Aktif</v>
      </c>
      <c r="G1522" t="str">
        <f>VLOOKUP(C1522,'Master Anggota'!$E$2:$J$678,5,0)</f>
        <v>01738</v>
      </c>
      <c r="H1522" s="82">
        <v>0</v>
      </c>
      <c r="I1522" s="82">
        <v>0</v>
      </c>
      <c r="J1522" s="56">
        <v>100000</v>
      </c>
      <c r="K1522" s="56">
        <v>50000</v>
      </c>
      <c r="L1522" t="s">
        <v>717</v>
      </c>
      <c r="M1522" s="71">
        <v>46227</v>
      </c>
      <c r="N1522" t="s">
        <v>576</v>
      </c>
    </row>
    <row r="1523" spans="3:14" hidden="1" x14ac:dyDescent="0.2">
      <c r="C1523" t="s">
        <v>449</v>
      </c>
      <c r="D1523" t="str">
        <f>VLOOKUP(C1523,'Master Anggota'!$E$2:$J$678,2,0)</f>
        <v>Aktif</v>
      </c>
      <c r="G1523" t="str">
        <f>VLOOKUP(C1523,'Master Anggota'!$E$2:$J$678,5,0)</f>
        <v>01739</v>
      </c>
      <c r="H1523" s="82">
        <v>0</v>
      </c>
      <c r="I1523" s="82">
        <v>0</v>
      </c>
      <c r="J1523" s="56">
        <v>100000</v>
      </c>
      <c r="K1523" s="56">
        <v>150000</v>
      </c>
      <c r="L1523" t="s">
        <v>717</v>
      </c>
      <c r="M1523" s="71">
        <v>46227</v>
      </c>
      <c r="N1523" t="s">
        <v>576</v>
      </c>
    </row>
    <row r="1524" spans="3:14" hidden="1" x14ac:dyDescent="0.2">
      <c r="C1524" t="s">
        <v>446</v>
      </c>
      <c r="D1524" t="str">
        <f>VLOOKUP(C1524,'Master Anggota'!$E$2:$J$678,2,0)</f>
        <v>Aktif</v>
      </c>
      <c r="G1524" t="str">
        <f>VLOOKUP(C1524,'Master Anggota'!$E$2:$J$678,5,0)</f>
        <v>01740</v>
      </c>
      <c r="H1524" s="82">
        <v>0</v>
      </c>
      <c r="I1524" s="82">
        <v>0</v>
      </c>
      <c r="J1524" s="56">
        <v>100000</v>
      </c>
      <c r="K1524" s="56">
        <v>50000</v>
      </c>
      <c r="L1524" t="s">
        <v>717</v>
      </c>
      <c r="M1524" s="71">
        <v>46227</v>
      </c>
      <c r="N1524" t="s">
        <v>576</v>
      </c>
    </row>
    <row r="1525" spans="3:14" hidden="1" x14ac:dyDescent="0.2">
      <c r="C1525" t="s">
        <v>713</v>
      </c>
      <c r="D1525" t="str">
        <f>VLOOKUP(C1525,'Master Anggota'!$E$2:$J$678,2,0)</f>
        <v>Aktif</v>
      </c>
      <c r="G1525" t="str">
        <f>VLOOKUP(C1525,'Master Anggota'!$E$2:$J$678,5,0)</f>
        <v>K1756</v>
      </c>
      <c r="H1525" s="82">
        <v>0</v>
      </c>
      <c r="I1525" s="82">
        <v>0</v>
      </c>
      <c r="J1525" s="56">
        <v>100000</v>
      </c>
      <c r="K1525" s="56">
        <v>250000</v>
      </c>
      <c r="L1525" t="s">
        <v>717</v>
      </c>
      <c r="M1525" s="71">
        <v>46227</v>
      </c>
      <c r="N1525" t="s">
        <v>576</v>
      </c>
    </row>
    <row r="1526" spans="3:14" hidden="1" x14ac:dyDescent="0.2">
      <c r="C1526" t="s">
        <v>524</v>
      </c>
      <c r="D1526" t="str">
        <f>VLOOKUP(C1526,'Master Anggota'!$E$2:$J$678,2,0)</f>
        <v>Aktif</v>
      </c>
      <c r="G1526" t="str">
        <f>VLOOKUP(C1526,'Master Anggota'!$E$2:$J$678,5,0)</f>
        <v>01743</v>
      </c>
      <c r="H1526" s="82">
        <v>0</v>
      </c>
      <c r="I1526" s="82">
        <v>0</v>
      </c>
      <c r="J1526" s="56">
        <v>100000</v>
      </c>
      <c r="K1526" s="56">
        <v>100000</v>
      </c>
      <c r="L1526" t="s">
        <v>717</v>
      </c>
      <c r="M1526" s="71">
        <v>46227</v>
      </c>
      <c r="N1526" t="s">
        <v>576</v>
      </c>
    </row>
    <row r="1527" spans="3:14" hidden="1" x14ac:dyDescent="0.2">
      <c r="C1527" t="s">
        <v>495</v>
      </c>
      <c r="D1527" t="str">
        <f>VLOOKUP(C1527,'Master Anggota'!$E$2:$J$678,2,0)</f>
        <v>Aktif</v>
      </c>
      <c r="G1527" t="str">
        <f>VLOOKUP(C1527,'Master Anggota'!$E$2:$J$678,5,0)</f>
        <v>01754</v>
      </c>
      <c r="H1527" s="82">
        <v>0</v>
      </c>
      <c r="I1527" s="82">
        <v>0</v>
      </c>
      <c r="J1527" s="56">
        <v>100000</v>
      </c>
      <c r="K1527" s="56">
        <v>100000</v>
      </c>
      <c r="L1527" t="s">
        <v>717</v>
      </c>
      <c r="M1527" s="71">
        <v>46227</v>
      </c>
      <c r="N1527" t="s">
        <v>576</v>
      </c>
    </row>
    <row r="1528" spans="3:14" hidden="1" x14ac:dyDescent="0.2">
      <c r="C1528" t="s">
        <v>499</v>
      </c>
      <c r="D1528" t="str">
        <f>VLOOKUP(C1528,'Master Anggota'!$E$2:$J$678,2,0)</f>
        <v>Aktif</v>
      </c>
      <c r="G1528" t="str">
        <f>VLOOKUP(C1528,'Master Anggota'!$E$2:$J$678,5,0)</f>
        <v>01775</v>
      </c>
      <c r="H1528" s="82">
        <v>0</v>
      </c>
      <c r="I1528" s="82">
        <v>0</v>
      </c>
      <c r="J1528" s="56">
        <v>100000</v>
      </c>
      <c r="K1528" s="56">
        <v>200000</v>
      </c>
      <c r="L1528" t="s">
        <v>717</v>
      </c>
      <c r="M1528" s="71">
        <v>46227</v>
      </c>
      <c r="N1528" t="s">
        <v>576</v>
      </c>
    </row>
    <row r="1529" spans="3:14" hidden="1" x14ac:dyDescent="0.2">
      <c r="C1529" t="s">
        <v>500</v>
      </c>
      <c r="D1529" t="str">
        <f>VLOOKUP(C1529,'Master Anggota'!$E$2:$J$678,2,0)</f>
        <v>Aktif</v>
      </c>
      <c r="G1529" t="str">
        <f>VLOOKUP(C1529,'Master Anggota'!$E$2:$J$678,5,0)</f>
        <v>01776</v>
      </c>
      <c r="H1529" s="82">
        <v>0</v>
      </c>
      <c r="I1529" s="82">
        <v>0</v>
      </c>
      <c r="J1529" s="56">
        <v>100000</v>
      </c>
      <c r="K1529" s="56">
        <v>200000</v>
      </c>
      <c r="L1529" t="s">
        <v>717</v>
      </c>
      <c r="M1529" s="71">
        <v>46227</v>
      </c>
      <c r="N1529" t="s">
        <v>576</v>
      </c>
    </row>
    <row r="1530" spans="3:14" hidden="1" x14ac:dyDescent="0.2">
      <c r="C1530" t="s">
        <v>539</v>
      </c>
      <c r="D1530" t="str">
        <f>VLOOKUP(C1530,'Master Anggota'!$E$2:$J$678,2,0)</f>
        <v>Aktif</v>
      </c>
      <c r="G1530" t="str">
        <f>VLOOKUP(C1530,'Master Anggota'!$E$2:$J$678,5,0)</f>
        <v>01800</v>
      </c>
      <c r="H1530" s="82">
        <v>0</v>
      </c>
      <c r="I1530" s="82">
        <v>0</v>
      </c>
      <c r="J1530" s="56">
        <v>100000</v>
      </c>
      <c r="K1530" s="56">
        <v>100000</v>
      </c>
      <c r="L1530" t="s">
        <v>717</v>
      </c>
      <c r="M1530" s="71">
        <v>46227</v>
      </c>
      <c r="N1530" t="s">
        <v>576</v>
      </c>
    </row>
    <row r="1531" spans="3:14" hidden="1" x14ac:dyDescent="0.2">
      <c r="C1531" t="s">
        <v>526</v>
      </c>
      <c r="D1531" t="str">
        <f>VLOOKUP(C1531,'Master Anggota'!$E$2:$J$678,2,0)</f>
        <v>Aktif</v>
      </c>
      <c r="G1531" t="str">
        <f>VLOOKUP(C1531,'Master Anggota'!$E$2:$J$678,5,0)</f>
        <v>PHL</v>
      </c>
      <c r="H1531" s="82">
        <v>0</v>
      </c>
      <c r="I1531" s="82">
        <v>0</v>
      </c>
      <c r="J1531" s="56">
        <v>100000</v>
      </c>
      <c r="K1531" s="56">
        <v>200000</v>
      </c>
      <c r="L1531" t="s">
        <v>717</v>
      </c>
      <c r="M1531" s="71">
        <v>46227</v>
      </c>
      <c r="N1531" t="s">
        <v>576</v>
      </c>
    </row>
    <row r="1532" spans="3:14" hidden="1" x14ac:dyDescent="0.2">
      <c r="C1532" t="s">
        <v>527</v>
      </c>
      <c r="D1532" t="str">
        <f>VLOOKUP(C1532,'Master Anggota'!$E$2:$J$678,2,0)</f>
        <v>Aktif</v>
      </c>
      <c r="G1532" t="str">
        <f>VLOOKUP(C1532,'Master Anggota'!$E$2:$J$678,5,0)</f>
        <v>PHL</v>
      </c>
      <c r="H1532" s="82">
        <v>0</v>
      </c>
      <c r="I1532" s="82">
        <v>0</v>
      </c>
      <c r="J1532" s="56">
        <v>100000</v>
      </c>
      <c r="K1532" s="56">
        <v>200000</v>
      </c>
      <c r="L1532" t="s">
        <v>717</v>
      </c>
      <c r="M1532" s="71">
        <v>46227</v>
      </c>
      <c r="N1532" t="s">
        <v>576</v>
      </c>
    </row>
    <row r="1533" spans="3:14" hidden="1" x14ac:dyDescent="0.2">
      <c r="C1533" t="s">
        <v>287</v>
      </c>
      <c r="D1533" t="str">
        <f>VLOOKUP(C1533,'Master Anggota'!$E$2:$J$678,2,0)</f>
        <v>PHL</v>
      </c>
      <c r="G1533" t="str">
        <f>VLOOKUP(C1533,'Master Anggota'!$E$2:$J$678,5,0)</f>
        <v>01510</v>
      </c>
      <c r="H1533" s="82">
        <v>0</v>
      </c>
      <c r="I1533" s="82">
        <v>0</v>
      </c>
      <c r="J1533" s="56">
        <v>100000</v>
      </c>
      <c r="K1533" s="56">
        <v>100000</v>
      </c>
      <c r="L1533" t="s">
        <v>717</v>
      </c>
      <c r="M1533" s="71">
        <v>46227</v>
      </c>
      <c r="N1533" t="s">
        <v>576</v>
      </c>
    </row>
    <row r="1534" spans="3:14" hidden="1" x14ac:dyDescent="0.2">
      <c r="C1534" t="s">
        <v>295</v>
      </c>
      <c r="D1534" t="str">
        <f>VLOOKUP(C1534,'Master Anggota'!$E$2:$J$678,2,0)</f>
        <v>PHL</v>
      </c>
      <c r="G1534" t="str">
        <f>VLOOKUP(C1534,'Master Anggota'!$E$2:$J$678,5,0)</f>
        <v>PHL</v>
      </c>
      <c r="H1534" s="82">
        <v>0</v>
      </c>
      <c r="I1534" s="82">
        <v>0</v>
      </c>
      <c r="J1534" s="56">
        <v>100000</v>
      </c>
      <c r="K1534" s="56">
        <v>100000</v>
      </c>
      <c r="L1534" t="s">
        <v>717</v>
      </c>
      <c r="M1534" s="71">
        <v>46227</v>
      </c>
      <c r="N1534" t="s">
        <v>576</v>
      </c>
    </row>
    <row r="1535" spans="3:14" hidden="1" x14ac:dyDescent="0.2">
      <c r="C1535" t="s">
        <v>278</v>
      </c>
      <c r="D1535" t="str">
        <f>VLOOKUP(C1535,'Master Anggota'!$E$2:$J$678,2,0)</f>
        <v>Aktif</v>
      </c>
      <c r="G1535" t="str">
        <f>VLOOKUP(C1535,'Master Anggota'!$E$2:$J$678,5,0)</f>
        <v>PHL</v>
      </c>
      <c r="H1535" s="82">
        <v>0</v>
      </c>
      <c r="I1535" s="82">
        <v>0</v>
      </c>
      <c r="J1535" s="56">
        <v>100000</v>
      </c>
      <c r="K1535" s="56">
        <v>10000</v>
      </c>
      <c r="L1535" t="s">
        <v>717</v>
      </c>
      <c r="M1535" s="71">
        <v>46227</v>
      </c>
      <c r="N1535" t="s">
        <v>576</v>
      </c>
    </row>
    <row r="1536" spans="3:14" hidden="1" x14ac:dyDescent="0.2">
      <c r="C1536" t="s">
        <v>425</v>
      </c>
      <c r="D1536" t="str">
        <f>VLOOKUP(C1536,'Master Anggota'!$E$2:$J$678,2,0)</f>
        <v>Aktif</v>
      </c>
      <c r="G1536" t="str">
        <f>VLOOKUP(C1536,'Master Anggota'!$E$2:$J$678,5,0)</f>
        <v>00629</v>
      </c>
      <c r="H1536" s="82">
        <v>0</v>
      </c>
      <c r="I1536" s="82">
        <v>0</v>
      </c>
      <c r="J1536" s="82">
        <v>0</v>
      </c>
      <c r="K1536" s="82">
        <v>-800000</v>
      </c>
      <c r="L1536" t="s">
        <v>732</v>
      </c>
      <c r="M1536" s="71">
        <v>46237</v>
      </c>
      <c r="N1536" t="s">
        <v>611</v>
      </c>
    </row>
    <row r="1537" spans="3:14" hidden="1" x14ac:dyDescent="0.2">
      <c r="C1537" t="s">
        <v>364</v>
      </c>
      <c r="D1537" t="str">
        <f>VLOOKUP(C1537,'Master Anggota'!$E$2:$J$678,2,0)</f>
        <v>Aktif</v>
      </c>
      <c r="G1537" t="str">
        <f>VLOOKUP(C1537,'Master Anggota'!$E$2:$J$678,5,0)</f>
        <v>00578</v>
      </c>
      <c r="H1537" s="82">
        <v>0</v>
      </c>
      <c r="I1537" s="82">
        <v>0</v>
      </c>
      <c r="J1537" s="82">
        <v>0</v>
      </c>
      <c r="K1537" s="82">
        <v>-800000</v>
      </c>
      <c r="L1537" t="s">
        <v>732</v>
      </c>
      <c r="M1537" s="71">
        <v>46237</v>
      </c>
      <c r="N1537" t="s">
        <v>611</v>
      </c>
    </row>
    <row r="1538" spans="3:14" hidden="1" x14ac:dyDescent="0.2">
      <c r="C1538" t="s">
        <v>551</v>
      </c>
      <c r="D1538" t="str">
        <f>VLOOKUP(C1538,'Master Anggota'!$E$2:$J$678,2,0)</f>
        <v>Aktif</v>
      </c>
      <c r="G1538" t="str">
        <f>VLOOKUP(C1538,'Master Anggota'!$E$2:$J$678,5,0)</f>
        <v>PHL Distribusi</v>
      </c>
      <c r="H1538" s="56">
        <v>0</v>
      </c>
      <c r="I1538" s="56">
        <v>0</v>
      </c>
      <c r="J1538" s="56">
        <v>100000</v>
      </c>
      <c r="K1538" s="56">
        <v>100000</v>
      </c>
      <c r="L1538" t="s">
        <v>663</v>
      </c>
      <c r="M1538" s="71">
        <v>46191</v>
      </c>
      <c r="N1538" t="s">
        <v>576</v>
      </c>
    </row>
    <row r="1539" spans="3:14" hidden="1" x14ac:dyDescent="0.2">
      <c r="C1539" t="s">
        <v>562</v>
      </c>
      <c r="D1539" t="str">
        <f>VLOOKUP(C1539,'Master Anggota'!$E$2:$J$678,2,0)</f>
        <v>Aktif</v>
      </c>
      <c r="G1539" t="str">
        <f>VLOOKUP(C1539,'Master Anggota'!$E$2:$J$678,5,0)</f>
        <v>PHL KJP</v>
      </c>
      <c r="H1539" s="56">
        <v>0</v>
      </c>
      <c r="I1539" s="56">
        <v>0</v>
      </c>
      <c r="J1539" s="56">
        <v>100000</v>
      </c>
      <c r="K1539" s="56">
        <v>150000</v>
      </c>
      <c r="L1539" t="s">
        <v>663</v>
      </c>
      <c r="M1539" s="71">
        <v>46184</v>
      </c>
      <c r="N1539" t="s">
        <v>576</v>
      </c>
    </row>
    <row r="1540" spans="3:14" hidden="1" x14ac:dyDescent="0.2">
      <c r="C1540" t="s">
        <v>561</v>
      </c>
      <c r="D1540" t="str">
        <f>VLOOKUP(C1540,'Master Anggota'!$E$2:$J$678,2,0)</f>
        <v>Aktif</v>
      </c>
      <c r="G1540" t="str">
        <f>VLOOKUP(C1540,'Master Anggota'!$E$2:$J$678,5,0)</f>
        <v>PHL KJP</v>
      </c>
      <c r="H1540" s="56">
        <v>0</v>
      </c>
      <c r="I1540" s="56">
        <v>0</v>
      </c>
      <c r="J1540" s="56">
        <v>100000</v>
      </c>
      <c r="K1540" s="56">
        <v>150000</v>
      </c>
      <c r="L1540" t="s">
        <v>663</v>
      </c>
      <c r="M1540" s="71">
        <v>46184</v>
      </c>
      <c r="N1540" t="s">
        <v>576</v>
      </c>
    </row>
    <row r="1541" spans="3:14" hidden="1" x14ac:dyDescent="0.2">
      <c r="C1541" t="s">
        <v>563</v>
      </c>
      <c r="D1541" t="str">
        <f>VLOOKUP(C1541,'Master Anggota'!$E$2:$J$678,2,0)</f>
        <v>Aktif</v>
      </c>
      <c r="G1541" t="str">
        <f>VLOOKUP(C1541,'Master Anggota'!$E$2:$J$678,5,0)</f>
        <v>PHL KJP</v>
      </c>
      <c r="H1541" s="56">
        <v>0</v>
      </c>
      <c r="I1541" s="56">
        <v>0</v>
      </c>
      <c r="J1541" s="56">
        <v>100000</v>
      </c>
      <c r="K1541" s="56">
        <v>150000</v>
      </c>
      <c r="L1541" t="s">
        <v>663</v>
      </c>
      <c r="M1541" s="71">
        <v>46184</v>
      </c>
      <c r="N1541" t="s">
        <v>576</v>
      </c>
    </row>
    <row r="1542" spans="3:14" hidden="1" x14ac:dyDescent="0.2">
      <c r="C1542" t="s">
        <v>546</v>
      </c>
      <c r="D1542" t="str">
        <f>VLOOKUP(C1542,'Master Anggota'!$E$2:$J$678,2,0)</f>
        <v>Aktif</v>
      </c>
      <c r="G1542" t="str">
        <f>VLOOKUP(C1542,'Master Anggota'!$E$2:$J$678,5,0)</f>
        <v>PHL Distribusi</v>
      </c>
      <c r="H1542" s="56">
        <v>0</v>
      </c>
      <c r="I1542" s="56">
        <v>0</v>
      </c>
      <c r="J1542" s="56">
        <v>100000</v>
      </c>
      <c r="K1542" s="56">
        <v>150000</v>
      </c>
      <c r="L1542" t="s">
        <v>663</v>
      </c>
      <c r="M1542" s="71">
        <v>46184</v>
      </c>
      <c r="N1542" t="s">
        <v>576</v>
      </c>
    </row>
    <row r="1543" spans="3:14" hidden="1" x14ac:dyDescent="0.2">
      <c r="C1543" t="s">
        <v>547</v>
      </c>
      <c r="D1543" t="str">
        <f>VLOOKUP(C1543,'Master Anggota'!$E$2:$J$678,2,0)</f>
        <v>Aktif</v>
      </c>
      <c r="G1543" t="str">
        <f>VLOOKUP(C1543,'Master Anggota'!$E$2:$J$678,5,0)</f>
        <v>PHL Distribusi</v>
      </c>
      <c r="H1543" s="56">
        <v>0</v>
      </c>
      <c r="I1543" s="56">
        <v>0</v>
      </c>
      <c r="J1543" s="56">
        <v>100000</v>
      </c>
      <c r="K1543" s="56">
        <v>100000</v>
      </c>
      <c r="L1543" t="s">
        <v>663</v>
      </c>
      <c r="M1543" s="71">
        <v>46184</v>
      </c>
      <c r="N1543" t="s">
        <v>576</v>
      </c>
    </row>
    <row r="1544" spans="3:14" hidden="1" x14ac:dyDescent="0.2">
      <c r="C1544" t="s">
        <v>548</v>
      </c>
      <c r="D1544" t="str">
        <f>VLOOKUP(C1544,'Master Anggota'!$E$2:$J$678,2,0)</f>
        <v>Aktif</v>
      </c>
      <c r="G1544" t="str">
        <f>VLOOKUP(C1544,'Master Anggota'!$E$2:$J$678,5,0)</f>
        <v>PHL Distribusi</v>
      </c>
      <c r="H1544" s="56">
        <v>0</v>
      </c>
      <c r="I1544" s="56">
        <v>0</v>
      </c>
      <c r="J1544" s="56">
        <v>100000</v>
      </c>
      <c r="K1544" s="56">
        <v>1000000</v>
      </c>
      <c r="L1544" t="s">
        <v>663</v>
      </c>
      <c r="M1544" s="71">
        <v>46184</v>
      </c>
      <c r="N1544" t="s">
        <v>576</v>
      </c>
    </row>
    <row r="1545" spans="3:14" hidden="1" x14ac:dyDescent="0.2">
      <c r="C1545" t="s">
        <v>550</v>
      </c>
      <c r="D1545" t="str">
        <f>VLOOKUP(C1545,'Master Anggota'!$E$2:$J$678,2,0)</f>
        <v>Aktif</v>
      </c>
      <c r="G1545" t="str">
        <f>VLOOKUP(C1545,'Master Anggota'!$E$2:$J$678,5,0)</f>
        <v>PHL Distribusi</v>
      </c>
      <c r="H1545" s="56">
        <v>0</v>
      </c>
      <c r="I1545" s="56">
        <v>0</v>
      </c>
      <c r="J1545" s="56">
        <v>100000</v>
      </c>
      <c r="K1545" s="56">
        <v>100000</v>
      </c>
      <c r="L1545" t="s">
        <v>663</v>
      </c>
      <c r="M1545" s="71">
        <v>46184</v>
      </c>
      <c r="N1545" t="s">
        <v>576</v>
      </c>
    </row>
    <row r="1546" spans="3:14" hidden="1" x14ac:dyDescent="0.2">
      <c r="C1546" t="s">
        <v>549</v>
      </c>
      <c r="D1546" t="str">
        <f>VLOOKUP(C1546,'Master Anggota'!$E$2:$J$678,2,0)</f>
        <v>Aktif</v>
      </c>
      <c r="G1546" t="str">
        <f>VLOOKUP(C1546,'Master Anggota'!$E$2:$J$678,5,0)</f>
        <v>PHL Distribusi</v>
      </c>
      <c r="H1546" s="56">
        <v>0</v>
      </c>
      <c r="I1546" s="56">
        <v>0</v>
      </c>
      <c r="J1546" s="56">
        <v>100000</v>
      </c>
      <c r="K1546" s="56">
        <v>50000</v>
      </c>
      <c r="L1546" t="s">
        <v>663</v>
      </c>
      <c r="M1546" s="71">
        <v>46184</v>
      </c>
      <c r="N1546" t="s">
        <v>576</v>
      </c>
    </row>
    <row r="1547" spans="3:14" hidden="1" x14ac:dyDescent="0.2">
      <c r="C1547" t="s">
        <v>493</v>
      </c>
      <c r="D1547" t="str">
        <f>VLOOKUP(C1547,'Master Anggota'!$E$2:$J$678,2,0)</f>
        <v>Aktif</v>
      </c>
      <c r="G1547" t="str">
        <f>VLOOKUP(C1547,'Master Anggota'!$E$2:$J$678,5,0)</f>
        <v>01731</v>
      </c>
      <c r="H1547" s="82">
        <v>0</v>
      </c>
      <c r="I1547" s="82">
        <v>0</v>
      </c>
      <c r="J1547" s="82">
        <v>0</v>
      </c>
      <c r="K1547" s="82">
        <v>-800000</v>
      </c>
      <c r="L1547" t="s">
        <v>732</v>
      </c>
      <c r="M1547" s="71">
        <v>46245</v>
      </c>
      <c r="N1547" t="s">
        <v>611</v>
      </c>
    </row>
    <row r="1548" spans="3:14" hidden="1" x14ac:dyDescent="0.2">
      <c r="C1548" t="s">
        <v>492</v>
      </c>
      <c r="D1548" t="str">
        <f>VLOOKUP(C1548,'Master Anggota'!$E$2:$J$678,2,0)</f>
        <v>Aktif</v>
      </c>
      <c r="G1548" t="str">
        <f>VLOOKUP(C1548,'Master Anggota'!$E$2:$J$678,5,0)</f>
        <v>01728</v>
      </c>
      <c r="H1548" s="82">
        <v>0</v>
      </c>
      <c r="I1548" s="82">
        <v>0</v>
      </c>
      <c r="J1548" s="82">
        <v>0</v>
      </c>
      <c r="K1548" s="82">
        <v>-2000000</v>
      </c>
      <c r="L1548" t="s">
        <v>732</v>
      </c>
      <c r="M1548" s="71">
        <v>46245</v>
      </c>
      <c r="N1548" t="s">
        <v>611</v>
      </c>
    </row>
    <row r="1549" spans="3:14" hidden="1" x14ac:dyDescent="0.2">
      <c r="C1549" t="s">
        <v>171</v>
      </c>
      <c r="D1549" t="str">
        <f>VLOOKUP(C1549,'Master Anggota'!$E$2:$J$678,2,0)</f>
        <v>Aktif</v>
      </c>
      <c r="G1549" t="str">
        <f>VLOOKUP(C1549,'Master Anggota'!$E$2:$J$678,5,0)</f>
        <v>00560</v>
      </c>
      <c r="H1549" s="82">
        <v>0</v>
      </c>
      <c r="I1549" s="82">
        <v>0</v>
      </c>
      <c r="J1549" s="56">
        <v>0</v>
      </c>
      <c r="K1549" s="56">
        <v>-1100000</v>
      </c>
      <c r="L1549" t="s">
        <v>732</v>
      </c>
      <c r="M1549" s="71">
        <v>46247</v>
      </c>
      <c r="N1549" t="s">
        <v>611</v>
      </c>
    </row>
    <row r="1550" spans="3:14" hidden="1" x14ac:dyDescent="0.2">
      <c r="C1550" t="s">
        <v>531</v>
      </c>
      <c r="D1550" t="str">
        <f>VLOOKUP(C1550,'Master Anggota'!$E$2:$J$678,2,0)</f>
        <v>Aktif</v>
      </c>
      <c r="G1550" t="str">
        <f>VLOOKUP(C1550,'Master Anggota'!$E$2:$J$678,5,0)</f>
        <v>PHL</v>
      </c>
      <c r="H1550" s="56">
        <v>0</v>
      </c>
      <c r="I1550" s="56">
        <v>0</v>
      </c>
      <c r="J1550" s="56">
        <v>100000</v>
      </c>
      <c r="K1550" s="56">
        <v>200000</v>
      </c>
      <c r="L1550" t="s">
        <v>680</v>
      </c>
      <c r="M1550" s="71">
        <v>46204</v>
      </c>
      <c r="N1550" t="s">
        <v>576</v>
      </c>
    </row>
    <row r="1551" spans="3:14" hidden="1" x14ac:dyDescent="0.2">
      <c r="C1551" t="s">
        <v>531</v>
      </c>
      <c r="D1551" t="str">
        <f>VLOOKUP(C1551,'Master Anggota'!$E$2:$J$678,2,0)</f>
        <v>Aktif</v>
      </c>
      <c r="G1551" t="str">
        <f>VLOOKUP(C1551,'Master Anggota'!$E$2:$J$678,5,0)</f>
        <v>PHL</v>
      </c>
      <c r="H1551" s="56">
        <v>0</v>
      </c>
      <c r="I1551" s="56">
        <v>0</v>
      </c>
      <c r="J1551" s="56">
        <v>100000</v>
      </c>
      <c r="K1551" s="56">
        <v>200000</v>
      </c>
      <c r="L1551" t="s">
        <v>717</v>
      </c>
      <c r="M1551" s="71">
        <v>46234</v>
      </c>
      <c r="N1551" t="s">
        <v>576</v>
      </c>
    </row>
    <row r="1552" spans="3:14" hidden="1" x14ac:dyDescent="0.2">
      <c r="C1552" t="s">
        <v>534</v>
      </c>
      <c r="D1552" t="str">
        <f>VLOOKUP(C1552,'Master Anggota'!$E$2:$J$678,2,0)</f>
        <v>Aktif</v>
      </c>
      <c r="G1552" t="str">
        <f>VLOOKUP(C1552,'Master Anggota'!$E$2:$J$678,5,0)</f>
        <v>Koka</v>
      </c>
      <c r="H1552" s="82">
        <v>0</v>
      </c>
      <c r="I1552" s="82">
        <v>0</v>
      </c>
      <c r="J1552" s="82">
        <v>100000</v>
      </c>
      <c r="K1552" s="82">
        <v>100000</v>
      </c>
      <c r="L1552" t="s">
        <v>717</v>
      </c>
      <c r="M1552" s="71">
        <v>46234</v>
      </c>
      <c r="N1552" t="s">
        <v>576</v>
      </c>
    </row>
    <row r="1553" spans="3:14" hidden="1" x14ac:dyDescent="0.2">
      <c r="C1553" t="s">
        <v>435</v>
      </c>
      <c r="D1553" t="str">
        <f>VLOOKUP(C1553,'Master Anggota'!$E$2:$J$678,2,0)</f>
        <v>Aktif</v>
      </c>
      <c r="G1553" t="str">
        <f>VLOOKUP(C1553,'Master Anggota'!$E$2:$J$678,5,0)</f>
        <v>00637</v>
      </c>
      <c r="H1553" s="82">
        <v>0</v>
      </c>
      <c r="I1553" s="82">
        <v>0</v>
      </c>
      <c r="J1553" s="56">
        <v>0</v>
      </c>
      <c r="K1553" s="56">
        <v>-1000000</v>
      </c>
      <c r="L1553" t="s">
        <v>732</v>
      </c>
      <c r="M1553" s="71">
        <v>46247</v>
      </c>
      <c r="N1553" t="s">
        <v>611</v>
      </c>
    </row>
    <row r="1554" spans="3:14" hidden="1" x14ac:dyDescent="0.2">
      <c r="C1554" t="s">
        <v>452</v>
      </c>
      <c r="D1554" t="str">
        <f>VLOOKUP(C1554,'Master Anggota'!$E$2:$J$678,2,0)</f>
        <v>Aktif</v>
      </c>
      <c r="G1554" t="str">
        <f>VLOOKUP(C1554,'Master Anggota'!$E$2:$J$678,5,0)</f>
        <v>00623</v>
      </c>
      <c r="H1554" s="82">
        <v>0</v>
      </c>
      <c r="I1554" s="82">
        <v>0</v>
      </c>
      <c r="J1554" s="82">
        <v>0</v>
      </c>
      <c r="K1554" s="56">
        <v>-1000000</v>
      </c>
      <c r="L1554" t="s">
        <v>732</v>
      </c>
      <c r="M1554" s="71">
        <v>46254</v>
      </c>
      <c r="N1554" t="s">
        <v>611</v>
      </c>
    </row>
    <row r="1555" spans="3:14" hidden="1" x14ac:dyDescent="0.2">
      <c r="C1555" t="s">
        <v>522</v>
      </c>
      <c r="D1555" t="str">
        <f>VLOOKUP(C1555,'Master Anggota'!$E$2:$J$678,2,0)</f>
        <v>Aktif</v>
      </c>
      <c r="G1555" t="str">
        <f>VLOOKUP(C1555,'Master Anggota'!$E$2:$J$678,5,0)</f>
        <v>00533</v>
      </c>
      <c r="H1555" s="82">
        <v>0</v>
      </c>
      <c r="I1555" s="82">
        <v>0</v>
      </c>
      <c r="J1555" s="82">
        <v>0</v>
      </c>
      <c r="K1555" s="56">
        <v>-5000000</v>
      </c>
      <c r="L1555" t="s">
        <v>732</v>
      </c>
      <c r="M1555" s="71">
        <v>46254</v>
      </c>
      <c r="N1555" t="s">
        <v>745</v>
      </c>
    </row>
    <row r="1556" spans="3:14" hidden="1" x14ac:dyDescent="0.2">
      <c r="C1556" t="s">
        <v>291</v>
      </c>
      <c r="D1556" t="str">
        <f>VLOOKUP(C1556,'Master Anggota'!$E$2:$J$678,2,0)</f>
        <v>Aktif</v>
      </c>
      <c r="G1556" t="str">
        <f>VLOOKUP(C1556,'Master Anggota'!$E$2:$J$678,5,0)</f>
        <v>00574</v>
      </c>
      <c r="H1556" s="82">
        <v>0</v>
      </c>
      <c r="I1556" s="82">
        <v>0</v>
      </c>
      <c r="J1556" s="82">
        <v>0</v>
      </c>
      <c r="K1556" s="56">
        <v>-1500000</v>
      </c>
      <c r="L1556" t="s">
        <v>732</v>
      </c>
      <c r="M1556" s="71">
        <v>46254</v>
      </c>
      <c r="N1556" t="s">
        <v>611</v>
      </c>
    </row>
    <row r="1557" spans="3:14" hidden="1" x14ac:dyDescent="0.2">
      <c r="C1557" t="s">
        <v>539</v>
      </c>
      <c r="D1557" t="str">
        <f>VLOOKUP(C1557,'Master Anggota'!$E$2:$J$678,2,0)</f>
        <v>Aktif</v>
      </c>
      <c r="G1557" t="str">
        <f>VLOOKUP(C1557,'Master Anggota'!$E$2:$J$678,5,0)</f>
        <v>01800</v>
      </c>
      <c r="H1557" s="82">
        <v>0</v>
      </c>
      <c r="I1557" s="82">
        <v>0</v>
      </c>
      <c r="J1557" s="82">
        <v>0</v>
      </c>
      <c r="K1557" s="56">
        <v>-750000</v>
      </c>
      <c r="L1557" t="s">
        <v>732</v>
      </c>
      <c r="M1557" s="71">
        <v>46254</v>
      </c>
      <c r="N1557" t="s">
        <v>611</v>
      </c>
    </row>
    <row r="1558" spans="3:14" hidden="1" x14ac:dyDescent="0.2">
      <c r="C1558" t="s">
        <v>533</v>
      </c>
      <c r="D1558" t="str">
        <f>VLOOKUP(C1558,'Master Anggota'!$E$2:$J$678,2,0)</f>
        <v>Aktif</v>
      </c>
      <c r="G1558" t="str">
        <f>VLOOKUP(C1558,'Master Anggota'!$E$2:$J$678,5,0)</f>
        <v>Nasabah</v>
      </c>
      <c r="H1558" s="56">
        <v>0</v>
      </c>
      <c r="I1558" s="56">
        <v>0</v>
      </c>
      <c r="J1558" s="75">
        <v>100000</v>
      </c>
      <c r="K1558" s="75">
        <v>400000</v>
      </c>
      <c r="L1558" s="78" t="s">
        <v>663</v>
      </c>
      <c r="M1558" s="76">
        <v>46201</v>
      </c>
      <c r="N1558" t="s">
        <v>576</v>
      </c>
    </row>
    <row r="1559" spans="3:14" hidden="1" x14ac:dyDescent="0.2">
      <c r="C1559" t="s">
        <v>533</v>
      </c>
      <c r="D1559" t="str">
        <f>VLOOKUP(C1559,'Master Anggota'!$E$2:$J$678,2,0)</f>
        <v>Aktif</v>
      </c>
      <c r="G1559" t="str">
        <f>VLOOKUP(C1559,'Master Anggota'!$E$2:$J$678,5,0)</f>
        <v>Nasabah</v>
      </c>
      <c r="H1559" s="56">
        <v>0</v>
      </c>
      <c r="I1559" s="56">
        <v>0</v>
      </c>
      <c r="J1559" s="75">
        <v>100000</v>
      </c>
      <c r="K1559" s="75">
        <v>400000</v>
      </c>
      <c r="L1559" s="78" t="s">
        <v>680</v>
      </c>
      <c r="M1559" s="76">
        <v>46218</v>
      </c>
      <c r="N1559" t="s">
        <v>576</v>
      </c>
    </row>
    <row r="1560" spans="3:14" hidden="1" x14ac:dyDescent="0.2">
      <c r="C1560" t="s">
        <v>533</v>
      </c>
      <c r="D1560" t="str">
        <f>VLOOKUP(C1560,'Master Anggota'!$E$2:$J$678,2,0)</f>
        <v>Aktif</v>
      </c>
      <c r="G1560" t="str">
        <f>VLOOKUP(C1560,'Master Anggota'!$E$2:$J$678,5,0)</f>
        <v>Nasabah</v>
      </c>
      <c r="H1560" s="56">
        <v>0</v>
      </c>
      <c r="I1560" s="56">
        <v>0</v>
      </c>
      <c r="J1560" s="75">
        <v>100000</v>
      </c>
      <c r="K1560" s="75">
        <v>400000</v>
      </c>
      <c r="L1560" s="78" t="s">
        <v>717</v>
      </c>
      <c r="M1560" s="76">
        <v>46262</v>
      </c>
      <c r="N1560" t="s">
        <v>576</v>
      </c>
    </row>
    <row r="1561" spans="3:14" hidden="1" x14ac:dyDescent="0.2">
      <c r="C1561" t="s">
        <v>243</v>
      </c>
      <c r="D1561" t="str">
        <f>VLOOKUP(C1561,'Master Anggota'!$E$2:$J$678,2,0)</f>
        <v>Aktif</v>
      </c>
      <c r="G1561" t="str">
        <f>VLOOKUP(C1561,'Master Anggota'!$E$2:$J$678,5,0)</f>
        <v>00530</v>
      </c>
      <c r="H1561" s="82">
        <v>0</v>
      </c>
      <c r="I1561" s="82">
        <v>0</v>
      </c>
      <c r="J1561" s="82">
        <v>0</v>
      </c>
      <c r="K1561" s="82">
        <v>-1500000</v>
      </c>
      <c r="L1561" t="s">
        <v>757</v>
      </c>
      <c r="M1561" s="71">
        <v>46267</v>
      </c>
      <c r="N1561" t="s">
        <v>611</v>
      </c>
    </row>
    <row r="1562" spans="3:14" x14ac:dyDescent="0.2">
      <c r="C1562" t="s">
        <v>214</v>
      </c>
      <c r="D1562" t="str">
        <f>VLOOKUP(C1562,'Master Anggota'!$E$2:$J$678,2,0)</f>
        <v>Aktif</v>
      </c>
      <c r="G1562" t="str">
        <f>VLOOKUP(C1562,'Master Anggota'!$E$2:$J$678,5,0)</f>
        <v>00529</v>
      </c>
      <c r="H1562" s="82">
        <v>0</v>
      </c>
      <c r="I1562" s="82">
        <v>0</v>
      </c>
      <c r="J1562" s="82">
        <v>0</v>
      </c>
      <c r="K1562" s="82">
        <v>-1000000</v>
      </c>
      <c r="L1562" t="s">
        <v>757</v>
      </c>
      <c r="M1562" s="71">
        <v>46267</v>
      </c>
      <c r="N1562" t="s">
        <v>611</v>
      </c>
    </row>
    <row r="1563" spans="3:14" hidden="1" x14ac:dyDescent="0.2">
      <c r="C1563" t="s">
        <v>173</v>
      </c>
      <c r="D1563" t="str">
        <f>VLOOKUP(C1563,'Master Anggota'!$E$2:$J$678,2,0)</f>
        <v>Aktif</v>
      </c>
      <c r="G1563" t="str">
        <f>VLOOKUP(C1563,'Master Anggota'!$E$2:$J$678,5,0)</f>
        <v>00583</v>
      </c>
      <c r="H1563" s="82">
        <v>0</v>
      </c>
      <c r="I1563" s="82">
        <v>0</v>
      </c>
      <c r="J1563" s="56">
        <v>0</v>
      </c>
      <c r="K1563" s="56">
        <v>-1700000</v>
      </c>
      <c r="L1563" t="s">
        <v>732</v>
      </c>
      <c r="M1563" s="71">
        <v>46254</v>
      </c>
      <c r="N1563" t="s">
        <v>611</v>
      </c>
    </row>
    <row r="1564" spans="3:14" hidden="1" x14ac:dyDescent="0.2">
      <c r="C1564" t="s">
        <v>486</v>
      </c>
      <c r="D1564" t="str">
        <f>VLOOKUP(C1564,'Master Anggota'!$E$2:$J$678,2,0)</f>
        <v>Aktif</v>
      </c>
      <c r="G1564" t="str">
        <f>VLOOKUP(C1564,'Master Anggota'!$E$2:$J$678,5,0)</f>
        <v>00281</v>
      </c>
      <c r="H1564" s="82">
        <v>0</v>
      </c>
      <c r="I1564" s="82">
        <v>0</v>
      </c>
      <c r="J1564" s="56">
        <v>100000</v>
      </c>
      <c r="K1564" s="56">
        <v>400000</v>
      </c>
      <c r="L1564" t="s">
        <v>732</v>
      </c>
      <c r="M1564" s="71">
        <v>46258</v>
      </c>
      <c r="N1564" t="s">
        <v>576</v>
      </c>
    </row>
    <row r="1565" spans="3:14" hidden="1" x14ac:dyDescent="0.2">
      <c r="C1565" t="s">
        <v>135</v>
      </c>
      <c r="D1565" t="str">
        <f>VLOOKUP(C1565,'Master Anggota'!$E$2:$J$678,2,0)</f>
        <v>Aktif</v>
      </c>
      <c r="G1565" t="str">
        <f>VLOOKUP(C1565,'Master Anggota'!$E$2:$J$678,5,0)</f>
        <v>00293</v>
      </c>
      <c r="H1565" s="82">
        <v>0</v>
      </c>
      <c r="I1565" s="82">
        <v>0</v>
      </c>
      <c r="J1565" s="56">
        <v>100000</v>
      </c>
      <c r="K1565" s="56">
        <v>100000</v>
      </c>
      <c r="L1565" t="s">
        <v>732</v>
      </c>
      <c r="M1565" s="71">
        <v>46258</v>
      </c>
      <c r="N1565" t="s">
        <v>576</v>
      </c>
    </row>
    <row r="1566" spans="3:14" hidden="1" x14ac:dyDescent="0.2">
      <c r="C1566" t="s">
        <v>248</v>
      </c>
      <c r="D1566" t="str">
        <f>VLOOKUP(C1566,'Master Anggota'!$E$2:$J$678,2,0)</f>
        <v>Aktif</v>
      </c>
      <c r="G1566" t="str">
        <f>VLOOKUP(C1566,'Master Anggota'!$E$2:$J$678,5,0)</f>
        <v>00302</v>
      </c>
      <c r="H1566" s="82">
        <v>0</v>
      </c>
      <c r="I1566" s="82">
        <v>0</v>
      </c>
      <c r="J1566" s="56">
        <v>100000</v>
      </c>
      <c r="K1566" s="56">
        <v>10000</v>
      </c>
      <c r="L1566" t="s">
        <v>732</v>
      </c>
      <c r="M1566" s="71">
        <v>46258</v>
      </c>
      <c r="N1566" t="s">
        <v>576</v>
      </c>
    </row>
    <row r="1567" spans="3:14" hidden="1" x14ac:dyDescent="0.2">
      <c r="C1567" t="s">
        <v>335</v>
      </c>
      <c r="D1567" t="str">
        <f>VLOOKUP(C1567,'Master Anggota'!$E$2:$J$678,2,0)</f>
        <v>Aktif</v>
      </c>
      <c r="G1567" t="str">
        <f>VLOOKUP(C1567,'Master Anggota'!$E$2:$J$678,5,0)</f>
        <v>00311</v>
      </c>
      <c r="H1567" s="82">
        <v>0</v>
      </c>
      <c r="I1567" s="82">
        <v>0</v>
      </c>
      <c r="J1567" s="56">
        <v>150000</v>
      </c>
      <c r="K1567" s="56">
        <v>25000</v>
      </c>
      <c r="L1567" t="s">
        <v>732</v>
      </c>
      <c r="M1567" s="71">
        <v>46258</v>
      </c>
      <c r="N1567" t="s">
        <v>576</v>
      </c>
    </row>
    <row r="1568" spans="3:14" hidden="1" x14ac:dyDescent="0.2">
      <c r="C1568" t="s">
        <v>113</v>
      </c>
      <c r="D1568" t="str">
        <f>VLOOKUP(C1568,'Master Anggota'!$E$2:$J$678,2,0)</f>
        <v>Aktif</v>
      </c>
      <c r="G1568" t="str">
        <f>VLOOKUP(C1568,'Master Anggota'!$E$2:$J$678,5,0)</f>
        <v>00317</v>
      </c>
      <c r="H1568" s="82">
        <v>0</v>
      </c>
      <c r="I1568" s="82">
        <v>0</v>
      </c>
      <c r="J1568" s="56">
        <v>100000</v>
      </c>
      <c r="K1568" s="56">
        <v>15000</v>
      </c>
      <c r="L1568" t="s">
        <v>732</v>
      </c>
      <c r="M1568" s="71">
        <v>46258</v>
      </c>
      <c r="N1568" t="s">
        <v>576</v>
      </c>
    </row>
    <row r="1569" spans="3:14" hidden="1" x14ac:dyDescent="0.2">
      <c r="C1569" t="s">
        <v>83</v>
      </c>
      <c r="D1569" t="str">
        <f>VLOOKUP(C1569,'Master Anggota'!$E$2:$J$678,2,0)</f>
        <v>Aktif</v>
      </c>
      <c r="G1569" t="str">
        <f>VLOOKUP(C1569,'Master Anggota'!$E$2:$J$678,5,0)</f>
        <v>00322</v>
      </c>
      <c r="H1569" s="82">
        <v>0</v>
      </c>
      <c r="I1569" s="82">
        <v>0</v>
      </c>
      <c r="J1569" s="56">
        <v>100000</v>
      </c>
      <c r="K1569" s="56">
        <v>100000</v>
      </c>
      <c r="L1569" t="s">
        <v>732</v>
      </c>
      <c r="M1569" s="71">
        <v>46258</v>
      </c>
      <c r="N1569" t="s">
        <v>576</v>
      </c>
    </row>
    <row r="1570" spans="3:14" hidden="1" x14ac:dyDescent="0.2">
      <c r="C1570" t="s">
        <v>48</v>
      </c>
      <c r="D1570" t="str">
        <f>VLOOKUP(C1570,'Master Anggota'!$E$2:$J$678,2,0)</f>
        <v>Aktif</v>
      </c>
      <c r="G1570" t="str">
        <f>VLOOKUP(C1570,'Master Anggota'!$E$2:$J$678,5,0)</f>
        <v>00325</v>
      </c>
      <c r="H1570" s="82">
        <v>0</v>
      </c>
      <c r="I1570" s="82">
        <v>0</v>
      </c>
      <c r="J1570" s="56">
        <v>100000</v>
      </c>
      <c r="K1570" s="56">
        <v>75000</v>
      </c>
      <c r="L1570" t="s">
        <v>732</v>
      </c>
      <c r="M1570" s="71">
        <v>46258</v>
      </c>
      <c r="N1570" t="s">
        <v>576</v>
      </c>
    </row>
    <row r="1571" spans="3:14" hidden="1" x14ac:dyDescent="0.2">
      <c r="C1571" t="s">
        <v>198</v>
      </c>
      <c r="D1571" t="str">
        <f>VLOOKUP(C1571,'Master Anggota'!$E$2:$J$678,2,0)</f>
        <v>Aktif</v>
      </c>
      <c r="G1571" t="str">
        <f>VLOOKUP(C1571,'Master Anggota'!$E$2:$J$678,5,0)</f>
        <v>00327</v>
      </c>
      <c r="H1571" s="82">
        <v>0</v>
      </c>
      <c r="I1571" s="82">
        <v>0</v>
      </c>
      <c r="J1571" s="56">
        <v>100000</v>
      </c>
      <c r="K1571" s="56">
        <v>200000</v>
      </c>
      <c r="L1571" t="s">
        <v>732</v>
      </c>
      <c r="M1571" s="71">
        <v>46258</v>
      </c>
      <c r="N1571" t="s">
        <v>576</v>
      </c>
    </row>
    <row r="1572" spans="3:14" hidden="1" x14ac:dyDescent="0.2">
      <c r="C1572" t="s">
        <v>208</v>
      </c>
      <c r="D1572" t="str">
        <f>VLOOKUP(C1572,'Master Anggota'!$E$2:$J$678,2,0)</f>
        <v>Aktif</v>
      </c>
      <c r="G1572" t="str">
        <f>VLOOKUP(C1572,'Master Anggota'!$E$2:$J$678,5,0)</f>
        <v>00328</v>
      </c>
      <c r="H1572" s="82">
        <v>0</v>
      </c>
      <c r="I1572" s="82">
        <v>0</v>
      </c>
      <c r="J1572" s="56">
        <v>100000</v>
      </c>
      <c r="K1572" s="56">
        <v>250000</v>
      </c>
      <c r="L1572" t="s">
        <v>732</v>
      </c>
      <c r="M1572" s="71">
        <v>46258</v>
      </c>
      <c r="N1572" t="s">
        <v>576</v>
      </c>
    </row>
    <row r="1573" spans="3:14" hidden="1" x14ac:dyDescent="0.2">
      <c r="C1573" t="s">
        <v>348</v>
      </c>
      <c r="D1573" t="str">
        <f>VLOOKUP(C1573,'Master Anggota'!$E$2:$J$678,2,0)</f>
        <v>Aktif</v>
      </c>
      <c r="G1573" t="str">
        <f>VLOOKUP(C1573,'Master Anggota'!$E$2:$J$678,5,0)</f>
        <v>00334</v>
      </c>
      <c r="H1573" s="82">
        <v>0</v>
      </c>
      <c r="I1573" s="82">
        <v>0</v>
      </c>
      <c r="J1573" s="56">
        <v>100000</v>
      </c>
      <c r="K1573" s="56">
        <v>10000</v>
      </c>
      <c r="L1573" t="s">
        <v>732</v>
      </c>
      <c r="M1573" s="71">
        <v>46258</v>
      </c>
      <c r="N1573" t="s">
        <v>576</v>
      </c>
    </row>
    <row r="1574" spans="3:14" hidden="1" x14ac:dyDescent="0.2">
      <c r="C1574" t="s">
        <v>250</v>
      </c>
      <c r="D1574" t="str">
        <f>VLOOKUP(C1574,'Master Anggota'!$E$2:$J$678,2,0)</f>
        <v>Aktif</v>
      </c>
      <c r="G1574" t="str">
        <f>VLOOKUP(C1574,'Master Anggota'!$E$2:$J$678,5,0)</f>
        <v>00337</v>
      </c>
      <c r="H1574" s="82">
        <v>0</v>
      </c>
      <c r="I1574" s="82">
        <v>0</v>
      </c>
      <c r="J1574" s="56">
        <v>100000</v>
      </c>
      <c r="K1574" s="56">
        <v>50000</v>
      </c>
      <c r="L1574" t="s">
        <v>732</v>
      </c>
      <c r="M1574" s="71">
        <v>46258</v>
      </c>
      <c r="N1574" t="s">
        <v>576</v>
      </c>
    </row>
    <row r="1575" spans="3:14" hidden="1" x14ac:dyDescent="0.2">
      <c r="C1575" t="s">
        <v>341</v>
      </c>
      <c r="D1575" t="str">
        <f>VLOOKUP(C1575,'Master Anggota'!$E$2:$J$678,2,0)</f>
        <v>Aktif</v>
      </c>
      <c r="G1575" t="str">
        <f>VLOOKUP(C1575,'Master Anggota'!$E$2:$J$678,5,0)</f>
        <v>00339</v>
      </c>
      <c r="H1575" s="82">
        <v>0</v>
      </c>
      <c r="I1575" s="82">
        <v>0</v>
      </c>
      <c r="J1575" s="56">
        <v>100000</v>
      </c>
      <c r="K1575" s="56">
        <v>50000</v>
      </c>
      <c r="L1575" t="s">
        <v>732</v>
      </c>
      <c r="M1575" s="71">
        <v>46258</v>
      </c>
      <c r="N1575" t="s">
        <v>576</v>
      </c>
    </row>
    <row r="1576" spans="3:14" hidden="1" x14ac:dyDescent="0.2">
      <c r="C1576" t="s">
        <v>39</v>
      </c>
      <c r="D1576" t="str">
        <f>VLOOKUP(C1576,'Master Anggota'!$E$2:$J$678,2,0)</f>
        <v>Aktif</v>
      </c>
      <c r="G1576" t="str">
        <f>VLOOKUP(C1576,'Master Anggota'!$E$2:$J$678,5,0)</f>
        <v>00340</v>
      </c>
      <c r="H1576" s="82">
        <v>0</v>
      </c>
      <c r="I1576" s="82">
        <v>0</v>
      </c>
      <c r="J1576" s="56">
        <v>100000</v>
      </c>
      <c r="K1576" s="56">
        <v>1775000</v>
      </c>
      <c r="L1576" t="s">
        <v>732</v>
      </c>
      <c r="M1576" s="71">
        <v>46258</v>
      </c>
      <c r="N1576" t="s">
        <v>576</v>
      </c>
    </row>
    <row r="1577" spans="3:14" hidden="1" x14ac:dyDescent="0.2">
      <c r="C1577" t="s">
        <v>129</v>
      </c>
      <c r="D1577" t="str">
        <f>VLOOKUP(C1577,'Master Anggota'!$E$2:$J$678,2,0)</f>
        <v>Aktif</v>
      </c>
      <c r="G1577" t="str">
        <f>VLOOKUP(C1577,'Master Anggota'!$E$2:$J$678,5,0)</f>
        <v>00343</v>
      </c>
      <c r="H1577" s="82">
        <v>0</v>
      </c>
      <c r="I1577" s="82">
        <v>0</v>
      </c>
      <c r="J1577" s="56">
        <v>100000</v>
      </c>
      <c r="K1577" s="56">
        <v>150000</v>
      </c>
      <c r="L1577" t="s">
        <v>732</v>
      </c>
      <c r="M1577" s="71">
        <v>46258</v>
      </c>
      <c r="N1577" t="s">
        <v>576</v>
      </c>
    </row>
    <row r="1578" spans="3:14" hidden="1" x14ac:dyDescent="0.2">
      <c r="C1578" t="s">
        <v>480</v>
      </c>
      <c r="D1578" t="str">
        <f>VLOOKUP(C1578,'Master Anggota'!$E$2:$J$678,2,0)</f>
        <v>Aktif</v>
      </c>
      <c r="G1578" t="str">
        <f>VLOOKUP(C1578,'Master Anggota'!$E$2:$J$678,5,0)</f>
        <v>00351</v>
      </c>
      <c r="H1578" s="82">
        <v>0</v>
      </c>
      <c r="I1578" s="82">
        <v>0</v>
      </c>
      <c r="J1578" s="56">
        <v>100000</v>
      </c>
      <c r="K1578" s="56">
        <v>100000</v>
      </c>
      <c r="L1578" t="s">
        <v>732</v>
      </c>
      <c r="M1578" s="71">
        <v>46258</v>
      </c>
      <c r="N1578" t="s">
        <v>576</v>
      </c>
    </row>
    <row r="1579" spans="3:14" hidden="1" x14ac:dyDescent="0.2">
      <c r="C1579" t="s">
        <v>151</v>
      </c>
      <c r="D1579" t="str">
        <f>VLOOKUP(C1579,'Master Anggota'!$E$2:$J$678,2,0)</f>
        <v>Aktif</v>
      </c>
      <c r="G1579" t="str">
        <f>VLOOKUP(C1579,'Master Anggota'!$E$2:$J$678,5,0)</f>
        <v>00362</v>
      </c>
      <c r="H1579" s="82">
        <v>0</v>
      </c>
      <c r="I1579" s="82">
        <v>0</v>
      </c>
      <c r="J1579" s="56">
        <v>100000</v>
      </c>
      <c r="K1579" s="56">
        <v>250000</v>
      </c>
      <c r="L1579" t="s">
        <v>732</v>
      </c>
      <c r="M1579" s="71">
        <v>46258</v>
      </c>
      <c r="N1579" t="s">
        <v>576</v>
      </c>
    </row>
    <row r="1580" spans="3:14" hidden="1" x14ac:dyDescent="0.2">
      <c r="C1580" t="s">
        <v>90</v>
      </c>
      <c r="D1580" t="str">
        <f>VLOOKUP(C1580,'Master Anggota'!$E$2:$J$678,2,0)</f>
        <v>Aktif</v>
      </c>
      <c r="G1580" t="str">
        <f>VLOOKUP(C1580,'Master Anggota'!$E$2:$J$678,5,0)</f>
        <v>00363</v>
      </c>
      <c r="H1580" s="82">
        <v>0</v>
      </c>
      <c r="I1580" s="82">
        <v>0</v>
      </c>
      <c r="J1580" s="56">
        <v>150000</v>
      </c>
      <c r="K1580" s="56">
        <v>10000</v>
      </c>
      <c r="L1580" t="s">
        <v>732</v>
      </c>
      <c r="M1580" s="71">
        <v>46258</v>
      </c>
      <c r="N1580" t="s">
        <v>576</v>
      </c>
    </row>
    <row r="1581" spans="3:14" hidden="1" x14ac:dyDescent="0.2">
      <c r="C1581" t="s">
        <v>483</v>
      </c>
      <c r="D1581" t="str">
        <f>VLOOKUP(C1581,'Master Anggota'!$E$2:$J$678,2,0)</f>
        <v>Aktif</v>
      </c>
      <c r="G1581" t="str">
        <f>VLOOKUP(C1581,'Master Anggota'!$E$2:$J$678,5,0)</f>
        <v>00368</v>
      </c>
      <c r="H1581" s="82">
        <v>0</v>
      </c>
      <c r="I1581" s="82">
        <v>0</v>
      </c>
      <c r="J1581" s="56">
        <v>100000</v>
      </c>
      <c r="K1581" s="56">
        <v>100000</v>
      </c>
      <c r="L1581" t="s">
        <v>732</v>
      </c>
      <c r="M1581" s="71">
        <v>46258</v>
      </c>
      <c r="N1581" t="s">
        <v>576</v>
      </c>
    </row>
    <row r="1582" spans="3:14" hidden="1" x14ac:dyDescent="0.2">
      <c r="C1582" t="s">
        <v>328</v>
      </c>
      <c r="D1582" t="str">
        <f>VLOOKUP(C1582,'Master Anggota'!$E$2:$J$678,2,0)</f>
        <v>Aktif</v>
      </c>
      <c r="G1582" t="str">
        <f>VLOOKUP(C1582,'Master Anggota'!$E$2:$J$678,5,0)</f>
        <v>00369</v>
      </c>
      <c r="H1582" s="82">
        <v>0</v>
      </c>
      <c r="I1582" s="82">
        <v>0</v>
      </c>
      <c r="J1582" s="56">
        <v>150000</v>
      </c>
      <c r="K1582" s="56">
        <v>50000</v>
      </c>
      <c r="L1582" t="s">
        <v>732</v>
      </c>
      <c r="M1582" s="71">
        <v>46258</v>
      </c>
      <c r="N1582" t="s">
        <v>576</v>
      </c>
    </row>
    <row r="1583" spans="3:14" hidden="1" x14ac:dyDescent="0.2">
      <c r="C1583" t="s">
        <v>352</v>
      </c>
      <c r="D1583" t="str">
        <f>VLOOKUP(C1583,'Master Anggota'!$E$2:$J$678,2,0)</f>
        <v>Aktif</v>
      </c>
      <c r="G1583" t="str">
        <f>VLOOKUP(C1583,'Master Anggota'!$E$2:$J$678,5,0)</f>
        <v>00370</v>
      </c>
      <c r="H1583" s="82">
        <v>0</v>
      </c>
      <c r="I1583" s="82">
        <v>0</v>
      </c>
      <c r="J1583" s="56">
        <v>100000</v>
      </c>
      <c r="K1583" s="56">
        <v>10000</v>
      </c>
      <c r="L1583" t="s">
        <v>732</v>
      </c>
      <c r="M1583" s="71">
        <v>46258</v>
      </c>
      <c r="N1583" t="s">
        <v>576</v>
      </c>
    </row>
    <row r="1584" spans="3:14" hidden="1" x14ac:dyDescent="0.2">
      <c r="C1584" t="s">
        <v>481</v>
      </c>
      <c r="D1584" t="str">
        <f>VLOOKUP(C1584,'Master Anggota'!$E$2:$J$678,2,0)</f>
        <v>Aktif</v>
      </c>
      <c r="G1584" t="str">
        <f>VLOOKUP(C1584,'Master Anggota'!$E$2:$J$678,5,0)</f>
        <v>00371</v>
      </c>
      <c r="H1584" s="82">
        <v>0</v>
      </c>
      <c r="I1584" s="82">
        <v>0</v>
      </c>
      <c r="J1584" s="56">
        <v>100000</v>
      </c>
      <c r="K1584" s="56">
        <v>50000</v>
      </c>
      <c r="L1584" t="s">
        <v>732</v>
      </c>
      <c r="M1584" s="71">
        <v>46258</v>
      </c>
      <c r="N1584" t="s">
        <v>576</v>
      </c>
    </row>
    <row r="1585" spans="3:14" hidden="1" x14ac:dyDescent="0.2">
      <c r="C1585" t="s">
        <v>345</v>
      </c>
      <c r="D1585" t="str">
        <f>VLOOKUP(C1585,'Master Anggota'!$E$2:$J$678,2,0)</f>
        <v>Aktif</v>
      </c>
      <c r="G1585" t="str">
        <f>VLOOKUP(C1585,'Master Anggota'!$E$2:$J$678,5,0)</f>
        <v>00372</v>
      </c>
      <c r="H1585" s="82">
        <v>0</v>
      </c>
      <c r="I1585" s="82">
        <v>0</v>
      </c>
      <c r="J1585" s="56">
        <v>150000</v>
      </c>
      <c r="K1585" s="56">
        <v>100000</v>
      </c>
      <c r="L1585" t="s">
        <v>732</v>
      </c>
      <c r="M1585" s="71">
        <v>46258</v>
      </c>
      <c r="N1585" t="s">
        <v>576</v>
      </c>
    </row>
    <row r="1586" spans="3:14" hidden="1" x14ac:dyDescent="0.2">
      <c r="C1586" t="s">
        <v>521</v>
      </c>
      <c r="D1586" t="str">
        <f>VLOOKUP(C1586,'Master Anggota'!$E$2:$J$678,2,0)</f>
        <v>Aktif</v>
      </c>
      <c r="G1586" t="str">
        <f>VLOOKUP(C1586,'Master Anggota'!$E$2:$J$678,5,0)</f>
        <v>00376</v>
      </c>
      <c r="H1586" s="82">
        <v>0</v>
      </c>
      <c r="I1586" s="82">
        <v>0</v>
      </c>
      <c r="J1586" s="56">
        <v>100000</v>
      </c>
      <c r="K1586" s="56">
        <v>110000</v>
      </c>
      <c r="L1586" t="s">
        <v>732</v>
      </c>
      <c r="M1586" s="71">
        <v>46258</v>
      </c>
      <c r="N1586" t="s">
        <v>576</v>
      </c>
    </row>
    <row r="1587" spans="3:14" hidden="1" x14ac:dyDescent="0.2">
      <c r="C1587" t="s">
        <v>94</v>
      </c>
      <c r="D1587" t="str">
        <f>VLOOKUP(C1587,'Master Anggota'!$E$2:$J$678,2,0)</f>
        <v>Aktif</v>
      </c>
      <c r="G1587" t="str">
        <f>VLOOKUP(C1587,'Master Anggota'!$E$2:$J$678,5,0)</f>
        <v>00387</v>
      </c>
      <c r="H1587" s="82">
        <v>0</v>
      </c>
      <c r="I1587" s="82">
        <v>0</v>
      </c>
      <c r="J1587" s="56">
        <v>100000</v>
      </c>
      <c r="K1587" s="56">
        <v>10000</v>
      </c>
      <c r="L1587" t="s">
        <v>732</v>
      </c>
      <c r="M1587" s="71">
        <v>46258</v>
      </c>
      <c r="N1587" t="s">
        <v>576</v>
      </c>
    </row>
    <row r="1588" spans="3:14" hidden="1" x14ac:dyDescent="0.2">
      <c r="C1588" t="s">
        <v>258</v>
      </c>
      <c r="D1588" t="str">
        <f>VLOOKUP(C1588,'Master Anggota'!$E$2:$J$678,2,0)</f>
        <v>Aktif</v>
      </c>
      <c r="G1588" t="str">
        <f>VLOOKUP(C1588,'Master Anggota'!$E$2:$J$678,5,0)</f>
        <v>00390</v>
      </c>
      <c r="H1588" s="82">
        <v>0</v>
      </c>
      <c r="I1588" s="82">
        <v>0</v>
      </c>
      <c r="J1588" s="56">
        <v>100000</v>
      </c>
      <c r="K1588" s="56">
        <v>10000</v>
      </c>
      <c r="L1588" t="s">
        <v>732</v>
      </c>
      <c r="M1588" s="71">
        <v>46258</v>
      </c>
      <c r="N1588" t="s">
        <v>576</v>
      </c>
    </row>
    <row r="1589" spans="3:14" hidden="1" x14ac:dyDescent="0.2">
      <c r="C1589" t="s">
        <v>92</v>
      </c>
      <c r="D1589" t="str">
        <f>VLOOKUP(C1589,'Master Anggota'!$E$2:$J$678,2,0)</f>
        <v>Aktif</v>
      </c>
      <c r="G1589" t="str">
        <f>VLOOKUP(C1589,'Master Anggota'!$E$2:$J$678,5,0)</f>
        <v>00396</v>
      </c>
      <c r="H1589" s="82">
        <v>0</v>
      </c>
      <c r="I1589" s="82">
        <v>0</v>
      </c>
      <c r="J1589" s="56">
        <v>150000</v>
      </c>
      <c r="K1589" s="56">
        <v>200000</v>
      </c>
      <c r="L1589" t="s">
        <v>732</v>
      </c>
      <c r="M1589" s="71">
        <v>46258</v>
      </c>
      <c r="N1589" t="s">
        <v>576</v>
      </c>
    </row>
    <row r="1590" spans="3:14" hidden="1" x14ac:dyDescent="0.2">
      <c r="C1590" t="s">
        <v>103</v>
      </c>
      <c r="D1590" t="str">
        <f>VLOOKUP(C1590,'Master Anggota'!$E$2:$J$678,2,0)</f>
        <v>Aktif</v>
      </c>
      <c r="G1590" t="str">
        <f>VLOOKUP(C1590,'Master Anggota'!$E$2:$J$678,5,0)</f>
        <v>00401</v>
      </c>
      <c r="H1590" s="82">
        <v>0</v>
      </c>
      <c r="I1590" s="82">
        <v>0</v>
      </c>
      <c r="J1590" s="56">
        <v>150000</v>
      </c>
      <c r="K1590" s="56">
        <v>1000000</v>
      </c>
      <c r="L1590" t="s">
        <v>732</v>
      </c>
      <c r="M1590" s="71">
        <v>46258</v>
      </c>
      <c r="N1590" t="s">
        <v>576</v>
      </c>
    </row>
    <row r="1591" spans="3:14" hidden="1" x14ac:dyDescent="0.2">
      <c r="C1591" t="s">
        <v>122</v>
      </c>
      <c r="D1591" t="str">
        <f>VLOOKUP(C1591,'Master Anggota'!$E$2:$J$678,2,0)</f>
        <v>Aktif</v>
      </c>
      <c r="G1591" t="str">
        <f>VLOOKUP(C1591,'Master Anggota'!$E$2:$J$678,5,0)</f>
        <v>00485</v>
      </c>
      <c r="H1591" s="82">
        <v>0</v>
      </c>
      <c r="I1591" s="82">
        <v>0</v>
      </c>
      <c r="J1591" s="56">
        <v>100000</v>
      </c>
      <c r="K1591" s="56">
        <v>500000</v>
      </c>
      <c r="L1591" t="s">
        <v>732</v>
      </c>
      <c r="M1591" s="71">
        <v>46258</v>
      </c>
      <c r="N1591" t="s">
        <v>576</v>
      </c>
    </row>
    <row r="1592" spans="3:14" hidden="1" x14ac:dyDescent="0.2">
      <c r="C1592" t="s">
        <v>65</v>
      </c>
      <c r="D1592" t="str">
        <f>VLOOKUP(C1592,'Master Anggota'!$E$2:$J$678,2,0)</f>
        <v>Aktif</v>
      </c>
      <c r="G1592" t="str">
        <f>VLOOKUP(C1592,'Master Anggota'!$E$2:$J$678,5,0)</f>
        <v>00490</v>
      </c>
      <c r="H1592" s="82">
        <v>0</v>
      </c>
      <c r="I1592" s="82">
        <v>0</v>
      </c>
      <c r="J1592" s="56">
        <v>150000</v>
      </c>
      <c r="K1592" s="56">
        <v>200000</v>
      </c>
      <c r="L1592" t="s">
        <v>732</v>
      </c>
      <c r="M1592" s="71">
        <v>46258</v>
      </c>
      <c r="N1592" t="s">
        <v>576</v>
      </c>
    </row>
    <row r="1593" spans="3:14" hidden="1" x14ac:dyDescent="0.2">
      <c r="C1593" t="s">
        <v>69</v>
      </c>
      <c r="D1593" t="str">
        <f>VLOOKUP(C1593,'Master Anggota'!$E$2:$J$678,2,0)</f>
        <v>Aktif</v>
      </c>
      <c r="G1593" t="str">
        <f>VLOOKUP(C1593,'Master Anggota'!$E$2:$J$678,5,0)</f>
        <v>00496</v>
      </c>
      <c r="H1593" s="82">
        <v>0</v>
      </c>
      <c r="I1593" s="82">
        <v>0</v>
      </c>
      <c r="J1593" s="56">
        <v>100000</v>
      </c>
      <c r="K1593" s="56">
        <v>150000</v>
      </c>
      <c r="L1593" t="s">
        <v>732</v>
      </c>
      <c r="M1593" s="71">
        <v>46258</v>
      </c>
      <c r="N1593" t="s">
        <v>576</v>
      </c>
    </row>
    <row r="1594" spans="3:14" hidden="1" x14ac:dyDescent="0.2">
      <c r="C1594" t="s">
        <v>115</v>
      </c>
      <c r="D1594" t="str">
        <f>VLOOKUP(C1594,'Master Anggota'!$E$2:$J$678,2,0)</f>
        <v>Aktif</v>
      </c>
      <c r="G1594" t="str">
        <f>VLOOKUP(C1594,'Master Anggota'!$E$2:$J$678,5,0)</f>
        <v>00497</v>
      </c>
      <c r="H1594" s="82">
        <v>0</v>
      </c>
      <c r="I1594" s="82">
        <v>0</v>
      </c>
      <c r="J1594" s="56">
        <v>100000</v>
      </c>
      <c r="K1594" s="56">
        <v>500000</v>
      </c>
      <c r="L1594" t="s">
        <v>732</v>
      </c>
      <c r="M1594" s="71">
        <v>46258</v>
      </c>
      <c r="N1594" t="s">
        <v>576</v>
      </c>
    </row>
    <row r="1595" spans="3:14" hidden="1" x14ac:dyDescent="0.2">
      <c r="C1595" t="s">
        <v>117</v>
      </c>
      <c r="D1595" t="str">
        <f>VLOOKUP(C1595,'Master Anggota'!$E$2:$J$678,2,0)</f>
        <v>Aktif</v>
      </c>
      <c r="G1595" t="str">
        <f>VLOOKUP(C1595,'Master Anggota'!$E$2:$J$678,5,0)</f>
        <v>00497</v>
      </c>
      <c r="H1595" s="82">
        <v>0</v>
      </c>
      <c r="I1595" s="82">
        <v>0</v>
      </c>
      <c r="J1595" s="56">
        <v>100000</v>
      </c>
      <c r="K1595" s="56">
        <v>300000</v>
      </c>
      <c r="L1595" t="s">
        <v>732</v>
      </c>
      <c r="M1595" s="71">
        <v>46258</v>
      </c>
      <c r="N1595" t="s">
        <v>576</v>
      </c>
    </row>
    <row r="1596" spans="3:14" hidden="1" x14ac:dyDescent="0.2">
      <c r="C1596" t="s">
        <v>194</v>
      </c>
      <c r="D1596" t="str">
        <f>VLOOKUP(C1596,'Master Anggota'!$E$2:$J$678,2,0)</f>
        <v>Aktif</v>
      </c>
      <c r="G1596" t="str">
        <f>VLOOKUP(C1596,'Master Anggota'!$E$2:$J$678,5,0)</f>
        <v>00498</v>
      </c>
      <c r="H1596" s="82">
        <v>0</v>
      </c>
      <c r="I1596" s="82">
        <v>0</v>
      </c>
      <c r="J1596" s="56">
        <v>100000</v>
      </c>
      <c r="K1596" s="56">
        <v>600000</v>
      </c>
      <c r="L1596" t="s">
        <v>732</v>
      </c>
      <c r="M1596" s="71">
        <v>46258</v>
      </c>
      <c r="N1596" t="s">
        <v>576</v>
      </c>
    </row>
    <row r="1597" spans="3:14" hidden="1" x14ac:dyDescent="0.2">
      <c r="C1597" t="s">
        <v>155</v>
      </c>
      <c r="D1597" t="str">
        <f>VLOOKUP(C1597,'Master Anggota'!$E$2:$J$678,2,0)</f>
        <v>Aktif</v>
      </c>
      <c r="G1597" t="str">
        <f>VLOOKUP(C1597,'Master Anggota'!$E$2:$J$678,5,0)</f>
        <v>00499</v>
      </c>
      <c r="H1597" s="82">
        <v>0</v>
      </c>
      <c r="I1597" s="82">
        <v>0</v>
      </c>
      <c r="J1597" s="56">
        <v>100000</v>
      </c>
      <c r="K1597" s="56">
        <v>75000</v>
      </c>
      <c r="L1597" t="s">
        <v>732</v>
      </c>
      <c r="M1597" s="71">
        <v>46258</v>
      </c>
      <c r="N1597" t="s">
        <v>576</v>
      </c>
    </row>
    <row r="1598" spans="3:14" hidden="1" x14ac:dyDescent="0.2">
      <c r="C1598" t="s">
        <v>96</v>
      </c>
      <c r="D1598" t="str">
        <f>VLOOKUP(C1598,'Master Anggota'!$E$2:$J$678,2,0)</f>
        <v>Aktif</v>
      </c>
      <c r="G1598" t="str">
        <f>VLOOKUP(C1598,'Master Anggota'!$E$2:$J$678,5,0)</f>
        <v>00508</v>
      </c>
      <c r="H1598" s="82">
        <v>0</v>
      </c>
      <c r="I1598" s="82">
        <v>0</v>
      </c>
      <c r="J1598" s="56">
        <v>100000</v>
      </c>
      <c r="K1598" s="56">
        <v>50000</v>
      </c>
      <c r="L1598" t="s">
        <v>732</v>
      </c>
      <c r="M1598" s="71">
        <v>46258</v>
      </c>
      <c r="N1598" t="s">
        <v>576</v>
      </c>
    </row>
    <row r="1599" spans="3:14" hidden="1" x14ac:dyDescent="0.2">
      <c r="C1599" t="s">
        <v>270</v>
      </c>
      <c r="D1599" t="str">
        <f>VLOOKUP(C1599,'Master Anggota'!$E$2:$J$678,2,0)</f>
        <v>Aktif</v>
      </c>
      <c r="G1599" t="str">
        <f>VLOOKUP(C1599,'Master Anggota'!$E$2:$J$678,5,0)</f>
        <v>00509</v>
      </c>
      <c r="H1599" s="82">
        <v>0</v>
      </c>
      <c r="I1599" s="82">
        <v>0</v>
      </c>
      <c r="J1599" s="56">
        <v>100000</v>
      </c>
      <c r="K1599" s="56">
        <v>175000</v>
      </c>
      <c r="L1599" t="s">
        <v>732</v>
      </c>
      <c r="M1599" s="71">
        <v>46258</v>
      </c>
      <c r="N1599" t="s">
        <v>576</v>
      </c>
    </row>
    <row r="1600" spans="3:14" hidden="1" x14ac:dyDescent="0.2">
      <c r="C1600" t="s">
        <v>37</v>
      </c>
      <c r="D1600" t="str">
        <f>VLOOKUP(C1600,'Master Anggota'!$E$2:$J$678,2,0)</f>
        <v>Aktif</v>
      </c>
      <c r="G1600" t="str">
        <f>VLOOKUP(C1600,'Master Anggota'!$E$2:$J$678,5,0)</f>
        <v>00511</v>
      </c>
      <c r="H1600" s="82">
        <v>0</v>
      </c>
      <c r="I1600" s="82">
        <v>0</v>
      </c>
      <c r="J1600" s="56">
        <v>100000</v>
      </c>
      <c r="K1600" s="56">
        <v>50000</v>
      </c>
      <c r="L1600" t="s">
        <v>732</v>
      </c>
      <c r="M1600" s="71">
        <v>46258</v>
      </c>
      <c r="N1600" t="s">
        <v>576</v>
      </c>
    </row>
    <row r="1601" spans="3:14" hidden="1" x14ac:dyDescent="0.2">
      <c r="C1601" t="s">
        <v>202</v>
      </c>
      <c r="D1601" t="str">
        <f>VLOOKUP(C1601,'Master Anggota'!$E$2:$J$678,2,0)</f>
        <v>Aktif</v>
      </c>
      <c r="G1601" t="str">
        <f>VLOOKUP(C1601,'Master Anggota'!$E$2:$J$678,5,0)</f>
        <v>00512</v>
      </c>
      <c r="H1601" s="82">
        <v>0</v>
      </c>
      <c r="I1601" s="82">
        <v>0</v>
      </c>
      <c r="J1601" s="56">
        <v>100000</v>
      </c>
      <c r="K1601" s="56">
        <v>175000</v>
      </c>
      <c r="L1601" t="s">
        <v>732</v>
      </c>
      <c r="M1601" s="71">
        <v>46258</v>
      </c>
      <c r="N1601" t="s">
        <v>576</v>
      </c>
    </row>
    <row r="1602" spans="3:14" hidden="1" x14ac:dyDescent="0.2">
      <c r="C1602" t="s">
        <v>239</v>
      </c>
      <c r="D1602" t="str">
        <f>VLOOKUP(C1602,'Master Anggota'!$E$2:$J$678,2,0)</f>
        <v>Aktif</v>
      </c>
      <c r="G1602" t="str">
        <f>VLOOKUP(C1602,'Master Anggota'!$E$2:$J$678,5,0)</f>
        <v>00513</v>
      </c>
      <c r="H1602" s="82">
        <v>0</v>
      </c>
      <c r="I1602" s="82">
        <v>0</v>
      </c>
      <c r="J1602" s="56">
        <v>100000</v>
      </c>
      <c r="K1602" s="56">
        <v>125000</v>
      </c>
      <c r="L1602" t="s">
        <v>732</v>
      </c>
      <c r="M1602" s="71">
        <v>46258</v>
      </c>
      <c r="N1602" t="s">
        <v>576</v>
      </c>
    </row>
    <row r="1603" spans="3:14" hidden="1" x14ac:dyDescent="0.2">
      <c r="C1603" t="s">
        <v>223</v>
      </c>
      <c r="D1603" t="str">
        <f>VLOOKUP(C1603,'Master Anggota'!$E$2:$J$678,2,0)</f>
        <v>Aktif</v>
      </c>
      <c r="G1603" t="str">
        <f>VLOOKUP(C1603,'Master Anggota'!$E$2:$J$678,5,0)</f>
        <v>00514</v>
      </c>
      <c r="H1603" s="82">
        <v>0</v>
      </c>
      <c r="I1603" s="82">
        <v>0</v>
      </c>
      <c r="J1603" s="56">
        <v>100000</v>
      </c>
      <c r="K1603" s="56">
        <v>300000</v>
      </c>
      <c r="L1603" t="s">
        <v>732</v>
      </c>
      <c r="M1603" s="71">
        <v>46258</v>
      </c>
      <c r="N1603" t="s">
        <v>576</v>
      </c>
    </row>
    <row r="1604" spans="3:14" hidden="1" x14ac:dyDescent="0.2">
      <c r="C1604" t="s">
        <v>274</v>
      </c>
      <c r="D1604" t="str">
        <f>VLOOKUP(C1604,'Master Anggota'!$E$2:$J$678,2,0)</f>
        <v>Aktif</v>
      </c>
      <c r="G1604" t="str">
        <f>VLOOKUP(C1604,'Master Anggota'!$E$2:$J$678,5,0)</f>
        <v>00515</v>
      </c>
      <c r="H1604" s="82">
        <v>0</v>
      </c>
      <c r="I1604" s="82">
        <v>0</v>
      </c>
      <c r="J1604" s="56">
        <v>100000</v>
      </c>
      <c r="K1604" s="56">
        <v>100000</v>
      </c>
      <c r="L1604" t="s">
        <v>732</v>
      </c>
      <c r="M1604" s="71">
        <v>46258</v>
      </c>
      <c r="N1604" t="s">
        <v>576</v>
      </c>
    </row>
    <row r="1605" spans="3:14" hidden="1" x14ac:dyDescent="0.2">
      <c r="C1605" t="s">
        <v>233</v>
      </c>
      <c r="D1605" t="str">
        <f>VLOOKUP(C1605,'Master Anggota'!$E$2:$J$678,2,0)</f>
        <v>Aktif</v>
      </c>
      <c r="G1605" t="str">
        <f>VLOOKUP(C1605,'Master Anggota'!$E$2:$J$678,5,0)</f>
        <v>00516</v>
      </c>
      <c r="H1605" s="82">
        <v>0</v>
      </c>
      <c r="I1605" s="82">
        <v>0</v>
      </c>
      <c r="J1605" s="56">
        <v>100000</v>
      </c>
      <c r="K1605" s="56">
        <v>25000</v>
      </c>
      <c r="L1605" t="s">
        <v>732</v>
      </c>
      <c r="M1605" s="71">
        <v>46258</v>
      </c>
      <c r="N1605" t="s">
        <v>576</v>
      </c>
    </row>
    <row r="1606" spans="3:14" hidden="1" x14ac:dyDescent="0.2">
      <c r="C1606" t="s">
        <v>71</v>
      </c>
      <c r="D1606" t="str">
        <f>VLOOKUP(C1606,'Master Anggota'!$E$2:$J$678,2,0)</f>
        <v>Aktif</v>
      </c>
      <c r="G1606" t="str">
        <f>VLOOKUP(C1606,'Master Anggota'!$E$2:$J$678,5,0)</f>
        <v>00517</v>
      </c>
      <c r="H1606" s="82">
        <v>0</v>
      </c>
      <c r="I1606" s="82">
        <v>0</v>
      </c>
      <c r="J1606" s="56">
        <v>100000</v>
      </c>
      <c r="K1606" s="56">
        <v>400000</v>
      </c>
      <c r="L1606" t="s">
        <v>732</v>
      </c>
      <c r="M1606" s="71">
        <v>46258</v>
      </c>
      <c r="N1606" t="s">
        <v>576</v>
      </c>
    </row>
    <row r="1607" spans="3:14" hidden="1" x14ac:dyDescent="0.2">
      <c r="C1607" t="s">
        <v>62</v>
      </c>
      <c r="D1607" t="str">
        <f>VLOOKUP(C1607,'Master Anggota'!$E$2:$J$678,2,0)</f>
        <v>Aktif</v>
      </c>
      <c r="G1607" t="str">
        <f>VLOOKUP(C1607,'Master Anggota'!$E$2:$J$678,5,0)</f>
        <v>00518</v>
      </c>
      <c r="H1607" s="82">
        <v>0</v>
      </c>
      <c r="I1607" s="82">
        <v>0</v>
      </c>
      <c r="J1607" s="56">
        <v>200000</v>
      </c>
      <c r="K1607" s="56">
        <v>100000</v>
      </c>
      <c r="L1607" t="s">
        <v>732</v>
      </c>
      <c r="M1607" s="71">
        <v>46258</v>
      </c>
      <c r="N1607" t="s">
        <v>576</v>
      </c>
    </row>
    <row r="1608" spans="3:14" hidden="1" x14ac:dyDescent="0.2">
      <c r="C1608" t="s">
        <v>46</v>
      </c>
      <c r="D1608" t="str">
        <f>VLOOKUP(C1608,'Master Anggota'!$E$2:$J$678,2,0)</f>
        <v>Aktif</v>
      </c>
      <c r="G1608" t="str">
        <f>VLOOKUP(C1608,'Master Anggota'!$E$2:$J$678,5,0)</f>
        <v>00519</v>
      </c>
      <c r="H1608" s="82">
        <v>0</v>
      </c>
      <c r="I1608" s="82">
        <v>0</v>
      </c>
      <c r="J1608" s="56">
        <v>100000</v>
      </c>
      <c r="K1608" s="56">
        <v>125000</v>
      </c>
      <c r="L1608" t="s">
        <v>732</v>
      </c>
      <c r="M1608" s="71">
        <v>46258</v>
      </c>
      <c r="N1608" t="s">
        <v>576</v>
      </c>
    </row>
    <row r="1609" spans="3:14" hidden="1" x14ac:dyDescent="0.2">
      <c r="C1609" t="s">
        <v>200</v>
      </c>
      <c r="D1609" t="str">
        <f>VLOOKUP(C1609,'Master Anggota'!$E$2:$J$678,2,0)</f>
        <v>Aktif</v>
      </c>
      <c r="G1609" t="str">
        <f>VLOOKUP(C1609,'Master Anggota'!$E$2:$J$678,5,0)</f>
        <v>00520</v>
      </c>
      <c r="H1609" s="82">
        <v>0</v>
      </c>
      <c r="I1609" s="82">
        <v>0</v>
      </c>
      <c r="J1609" s="56">
        <v>100000</v>
      </c>
      <c r="K1609" s="56">
        <v>100000</v>
      </c>
      <c r="L1609" t="s">
        <v>732</v>
      </c>
      <c r="M1609" s="71">
        <v>46258</v>
      </c>
      <c r="N1609" t="s">
        <v>576</v>
      </c>
    </row>
    <row r="1610" spans="3:14" hidden="1" x14ac:dyDescent="0.2">
      <c r="C1610" t="s">
        <v>107</v>
      </c>
      <c r="D1610" t="str">
        <f>VLOOKUP(C1610,'Master Anggota'!$E$2:$J$678,2,0)</f>
        <v>Aktif</v>
      </c>
      <c r="G1610" t="str">
        <f>VLOOKUP(C1610,'Master Anggota'!$E$2:$J$678,5,0)</f>
        <v>00521</v>
      </c>
      <c r="H1610" s="82">
        <v>0</v>
      </c>
      <c r="I1610" s="82">
        <v>0</v>
      </c>
      <c r="J1610" s="56">
        <v>150000</v>
      </c>
      <c r="K1610" s="56">
        <v>150000</v>
      </c>
      <c r="L1610" t="s">
        <v>732</v>
      </c>
      <c r="M1610" s="71">
        <v>46258</v>
      </c>
      <c r="N1610" t="s">
        <v>576</v>
      </c>
    </row>
    <row r="1611" spans="3:14" hidden="1" x14ac:dyDescent="0.2">
      <c r="C1611" t="s">
        <v>235</v>
      </c>
      <c r="D1611" t="str">
        <f>VLOOKUP(C1611,'Master Anggota'!$E$2:$J$678,2,0)</f>
        <v>Aktif</v>
      </c>
      <c r="G1611" t="str">
        <f>VLOOKUP(C1611,'Master Anggota'!$E$2:$J$678,5,0)</f>
        <v>00523</v>
      </c>
      <c r="H1611" s="82">
        <v>0</v>
      </c>
      <c r="I1611" s="82">
        <v>0</v>
      </c>
      <c r="J1611" s="56">
        <v>100000</v>
      </c>
      <c r="K1611" s="56">
        <v>100000</v>
      </c>
      <c r="L1611" t="s">
        <v>732</v>
      </c>
      <c r="M1611" s="71">
        <v>46258</v>
      </c>
      <c r="N1611" t="s">
        <v>576</v>
      </c>
    </row>
    <row r="1612" spans="3:14" hidden="1" x14ac:dyDescent="0.2">
      <c r="C1612" t="s">
        <v>252</v>
      </c>
      <c r="D1612" t="str">
        <f>VLOOKUP(C1612,'Master Anggota'!$E$2:$J$678,2,0)</f>
        <v>Aktif</v>
      </c>
      <c r="G1612" t="str">
        <f>VLOOKUP(C1612,'Master Anggota'!$E$2:$J$678,5,0)</f>
        <v>00524</v>
      </c>
      <c r="H1612" s="82">
        <v>0</v>
      </c>
      <c r="I1612" s="82">
        <v>0</v>
      </c>
      <c r="J1612" s="56">
        <v>100000</v>
      </c>
      <c r="K1612" s="56">
        <v>200000</v>
      </c>
      <c r="L1612" t="s">
        <v>732</v>
      </c>
      <c r="M1612" s="71">
        <v>46258</v>
      </c>
      <c r="N1612" t="s">
        <v>576</v>
      </c>
    </row>
    <row r="1613" spans="3:14" hidden="1" x14ac:dyDescent="0.2">
      <c r="C1613" t="s">
        <v>206</v>
      </c>
      <c r="D1613" t="str">
        <f>VLOOKUP(C1613,'Master Anggota'!$E$2:$J$678,2,0)</f>
        <v>Aktif</v>
      </c>
      <c r="G1613" t="str">
        <f>VLOOKUP(C1613,'Master Anggota'!$E$2:$J$678,5,0)</f>
        <v>00525</v>
      </c>
      <c r="H1613" s="82">
        <v>0</v>
      </c>
      <c r="I1613" s="82">
        <v>0</v>
      </c>
      <c r="J1613" s="56">
        <v>100000</v>
      </c>
      <c r="K1613" s="56">
        <v>100000</v>
      </c>
      <c r="L1613" t="s">
        <v>732</v>
      </c>
      <c r="M1613" s="71">
        <v>46258</v>
      </c>
      <c r="N1613" t="s">
        <v>576</v>
      </c>
    </row>
    <row r="1614" spans="3:14" hidden="1" x14ac:dyDescent="0.2">
      <c r="C1614" t="s">
        <v>241</v>
      </c>
      <c r="D1614" t="str">
        <f>VLOOKUP(C1614,'Master Anggota'!$E$2:$J$678,2,0)</f>
        <v>Aktif</v>
      </c>
      <c r="G1614" t="str">
        <f>VLOOKUP(C1614,'Master Anggota'!$E$2:$J$678,5,0)</f>
        <v>00526</v>
      </c>
      <c r="H1614" s="82">
        <v>0</v>
      </c>
      <c r="I1614" s="82">
        <v>0</v>
      </c>
      <c r="J1614" s="56">
        <v>100000</v>
      </c>
      <c r="K1614" s="56">
        <v>100000</v>
      </c>
      <c r="L1614" t="s">
        <v>732</v>
      </c>
      <c r="M1614" s="71">
        <v>46258</v>
      </c>
      <c r="N1614" t="s">
        <v>576</v>
      </c>
    </row>
    <row r="1615" spans="3:14" hidden="1" x14ac:dyDescent="0.2">
      <c r="C1615" t="s">
        <v>147</v>
      </c>
      <c r="D1615" t="str">
        <f>VLOOKUP(C1615,'Master Anggota'!$E$2:$J$678,2,0)</f>
        <v>Aktif</v>
      </c>
      <c r="G1615" t="str">
        <f>VLOOKUP(C1615,'Master Anggota'!$E$2:$J$678,5,0)</f>
        <v>00527</v>
      </c>
      <c r="H1615" s="82">
        <v>0</v>
      </c>
      <c r="I1615" s="82">
        <v>0</v>
      </c>
      <c r="J1615" s="56">
        <v>100000</v>
      </c>
      <c r="K1615" s="56">
        <v>50000</v>
      </c>
      <c r="L1615" t="s">
        <v>732</v>
      </c>
      <c r="M1615" s="71">
        <v>46258</v>
      </c>
      <c r="N1615" t="s">
        <v>576</v>
      </c>
    </row>
    <row r="1616" spans="3:14" hidden="1" x14ac:dyDescent="0.2">
      <c r="C1616" t="s">
        <v>268</v>
      </c>
      <c r="D1616" t="str">
        <f>VLOOKUP(C1616,'Master Anggota'!$E$2:$J$678,2,0)</f>
        <v>Aktif</v>
      </c>
      <c r="G1616" t="str">
        <f>VLOOKUP(C1616,'Master Anggota'!$E$2:$J$678,5,0)</f>
        <v>00528</v>
      </c>
      <c r="H1616" s="82">
        <v>0</v>
      </c>
      <c r="I1616" s="82">
        <v>0</v>
      </c>
      <c r="J1616" s="56">
        <v>100000</v>
      </c>
      <c r="K1616" s="56">
        <v>100000</v>
      </c>
      <c r="L1616" t="s">
        <v>732</v>
      </c>
      <c r="M1616" s="71">
        <v>46258</v>
      </c>
      <c r="N1616" t="s">
        <v>576</v>
      </c>
    </row>
    <row r="1617" spans="3:14" x14ac:dyDescent="0.2">
      <c r="C1617" t="s">
        <v>214</v>
      </c>
      <c r="D1617" t="str">
        <f>VLOOKUP(C1617,'Master Anggota'!$E$2:$J$678,2,0)</f>
        <v>Aktif</v>
      </c>
      <c r="G1617" t="str">
        <f>VLOOKUP(C1617,'Master Anggota'!$E$2:$J$678,5,0)</f>
        <v>00529</v>
      </c>
      <c r="H1617" s="82">
        <v>0</v>
      </c>
      <c r="I1617" s="82">
        <v>0</v>
      </c>
      <c r="J1617" s="56">
        <v>100000</v>
      </c>
      <c r="K1617" s="56">
        <v>100000</v>
      </c>
      <c r="L1617" t="s">
        <v>732</v>
      </c>
      <c r="M1617" s="71">
        <v>46258</v>
      </c>
      <c r="N1617" t="s">
        <v>576</v>
      </c>
    </row>
    <row r="1618" spans="3:14" hidden="1" x14ac:dyDescent="0.2">
      <c r="C1618" t="s">
        <v>243</v>
      </c>
      <c r="D1618" t="str">
        <f>VLOOKUP(C1618,'Master Anggota'!$E$2:$J$678,2,0)</f>
        <v>Aktif</v>
      </c>
      <c r="G1618" t="str">
        <f>VLOOKUP(C1618,'Master Anggota'!$E$2:$J$678,5,0)</f>
        <v>00530</v>
      </c>
      <c r="H1618" s="82">
        <v>0</v>
      </c>
      <c r="I1618" s="82">
        <v>0</v>
      </c>
      <c r="J1618" s="56">
        <v>100000</v>
      </c>
      <c r="K1618" s="56">
        <v>250000</v>
      </c>
      <c r="L1618" t="s">
        <v>732</v>
      </c>
      <c r="M1618" s="71">
        <v>46258</v>
      </c>
      <c r="N1618" t="s">
        <v>576</v>
      </c>
    </row>
    <row r="1619" spans="3:14" hidden="1" x14ac:dyDescent="0.2">
      <c r="C1619" t="s">
        <v>225</v>
      </c>
      <c r="D1619" t="str">
        <f>VLOOKUP(C1619,'Master Anggota'!$E$2:$J$678,2,0)</f>
        <v>Aktif</v>
      </c>
      <c r="G1619" t="str">
        <f>VLOOKUP(C1619,'Master Anggota'!$E$2:$J$678,5,0)</f>
        <v>00531</v>
      </c>
      <c r="H1619" s="82">
        <v>0</v>
      </c>
      <c r="I1619" s="82">
        <v>0</v>
      </c>
      <c r="J1619" s="56">
        <v>100000</v>
      </c>
      <c r="K1619" s="56">
        <v>15000</v>
      </c>
      <c r="L1619" t="s">
        <v>732</v>
      </c>
      <c r="M1619" s="71">
        <v>46258</v>
      </c>
      <c r="N1619" t="s">
        <v>576</v>
      </c>
    </row>
    <row r="1620" spans="3:14" hidden="1" x14ac:dyDescent="0.2">
      <c r="C1620" t="s">
        <v>245</v>
      </c>
      <c r="D1620" t="str">
        <f>VLOOKUP(C1620,'Master Anggota'!$E$2:$J$678,2,0)</f>
        <v>Aktif</v>
      </c>
      <c r="G1620" t="str">
        <f>VLOOKUP(C1620,'Master Anggota'!$E$2:$J$678,5,0)</f>
        <v>00532</v>
      </c>
      <c r="H1620" s="82">
        <v>0</v>
      </c>
      <c r="I1620" s="82">
        <v>0</v>
      </c>
      <c r="J1620" s="56">
        <v>100000</v>
      </c>
      <c r="K1620" s="56">
        <v>100000</v>
      </c>
      <c r="L1620" t="s">
        <v>732</v>
      </c>
      <c r="M1620" s="71">
        <v>46258</v>
      </c>
      <c r="N1620" t="s">
        <v>576</v>
      </c>
    </row>
    <row r="1621" spans="3:14" hidden="1" x14ac:dyDescent="0.2">
      <c r="C1621" t="s">
        <v>522</v>
      </c>
      <c r="D1621" t="str">
        <f>VLOOKUP(C1621,'Master Anggota'!$E$2:$J$678,2,0)</f>
        <v>Aktif</v>
      </c>
      <c r="G1621" t="str">
        <f>VLOOKUP(C1621,'Master Anggota'!$E$2:$J$678,5,0)</f>
        <v>00533</v>
      </c>
      <c r="H1621" s="82">
        <v>0</v>
      </c>
      <c r="I1621" s="82">
        <v>0</v>
      </c>
      <c r="J1621" s="56">
        <v>100000</v>
      </c>
      <c r="K1621" s="56">
        <v>100000</v>
      </c>
      <c r="L1621" t="s">
        <v>732</v>
      </c>
      <c r="M1621" s="71">
        <v>46258</v>
      </c>
      <c r="N1621" t="s">
        <v>576</v>
      </c>
    </row>
    <row r="1622" spans="3:14" hidden="1" x14ac:dyDescent="0.2">
      <c r="C1622" t="s">
        <v>204</v>
      </c>
      <c r="D1622" t="str">
        <f>VLOOKUP(C1622,'Master Anggota'!$E$2:$J$678,2,0)</f>
        <v>Aktif</v>
      </c>
      <c r="G1622" t="str">
        <f>VLOOKUP(C1622,'Master Anggota'!$E$2:$J$678,5,0)</f>
        <v>00534</v>
      </c>
      <c r="H1622" s="82">
        <v>0</v>
      </c>
      <c r="I1622" s="82">
        <v>0</v>
      </c>
      <c r="J1622" s="56">
        <v>100000</v>
      </c>
      <c r="K1622" s="56">
        <v>125000</v>
      </c>
      <c r="L1622" t="s">
        <v>732</v>
      </c>
      <c r="M1622" s="71">
        <v>46258</v>
      </c>
      <c r="N1622" t="s">
        <v>576</v>
      </c>
    </row>
    <row r="1623" spans="3:14" hidden="1" x14ac:dyDescent="0.2">
      <c r="C1623" t="s">
        <v>189</v>
      </c>
      <c r="D1623" t="str">
        <f>VLOOKUP(C1623,'Master Anggota'!$E$2:$J$678,2,0)</f>
        <v>Aktif</v>
      </c>
      <c r="G1623" t="str">
        <f>VLOOKUP(C1623,'Master Anggota'!$E$2:$J$678,5,0)</f>
        <v>00535</v>
      </c>
      <c r="H1623" s="82">
        <v>0</v>
      </c>
      <c r="I1623" s="82">
        <v>0</v>
      </c>
      <c r="J1623" s="56">
        <v>150000</v>
      </c>
      <c r="K1623" s="56">
        <v>100000</v>
      </c>
      <c r="L1623" t="s">
        <v>732</v>
      </c>
      <c r="M1623" s="71">
        <v>46258</v>
      </c>
      <c r="N1623" t="s">
        <v>576</v>
      </c>
    </row>
    <row r="1624" spans="3:14" hidden="1" x14ac:dyDescent="0.2">
      <c r="C1624" t="s">
        <v>81</v>
      </c>
      <c r="D1624" t="str">
        <f>VLOOKUP(C1624,'Master Anggota'!$E$2:$J$678,2,0)</f>
        <v>Aktif</v>
      </c>
      <c r="G1624" t="str">
        <f>VLOOKUP(C1624,'Master Anggota'!$E$2:$J$678,5,0)</f>
        <v>00537</v>
      </c>
      <c r="H1624" s="82">
        <v>0</v>
      </c>
      <c r="I1624" s="82">
        <v>0</v>
      </c>
      <c r="J1624" s="56">
        <v>150000</v>
      </c>
      <c r="K1624" s="56">
        <v>50000</v>
      </c>
      <c r="L1624" t="s">
        <v>732</v>
      </c>
      <c r="M1624" s="71">
        <v>46258</v>
      </c>
      <c r="N1624" t="s">
        <v>576</v>
      </c>
    </row>
    <row r="1625" spans="3:14" hidden="1" x14ac:dyDescent="0.2">
      <c r="C1625" t="s">
        <v>55</v>
      </c>
      <c r="D1625" t="str">
        <f>VLOOKUP(C1625,'Master Anggota'!$E$2:$J$678,2,0)</f>
        <v>Aktif</v>
      </c>
      <c r="G1625" t="str">
        <f>VLOOKUP(C1625,'Master Anggota'!$E$2:$J$678,5,0)</f>
        <v>00539</v>
      </c>
      <c r="H1625" s="82">
        <v>0</v>
      </c>
      <c r="I1625" s="82">
        <v>0</v>
      </c>
      <c r="J1625" s="56">
        <v>100000</v>
      </c>
      <c r="K1625" s="56">
        <v>50000</v>
      </c>
      <c r="L1625" t="s">
        <v>732</v>
      </c>
      <c r="M1625" s="71">
        <v>46258</v>
      </c>
      <c r="N1625" t="s">
        <v>576</v>
      </c>
    </row>
    <row r="1626" spans="3:14" hidden="1" x14ac:dyDescent="0.2">
      <c r="C1626" t="s">
        <v>53</v>
      </c>
      <c r="D1626" t="str">
        <f>VLOOKUP(C1626,'Master Anggota'!$E$2:$J$678,2,0)</f>
        <v>Aktif</v>
      </c>
      <c r="G1626" t="str">
        <f>VLOOKUP(C1626,'Master Anggota'!$E$2:$J$678,5,0)</f>
        <v>00540</v>
      </c>
      <c r="H1626" s="82">
        <v>0</v>
      </c>
      <c r="I1626" s="82">
        <v>0</v>
      </c>
      <c r="J1626" s="56">
        <v>100000</v>
      </c>
      <c r="K1626" s="56">
        <v>125000</v>
      </c>
      <c r="L1626" t="s">
        <v>732</v>
      </c>
      <c r="M1626" s="71">
        <v>46258</v>
      </c>
      <c r="N1626" t="s">
        <v>576</v>
      </c>
    </row>
    <row r="1627" spans="3:14" hidden="1" x14ac:dyDescent="0.2">
      <c r="C1627" t="s">
        <v>79</v>
      </c>
      <c r="D1627" t="str">
        <f>VLOOKUP(C1627,'Master Anggota'!$E$2:$J$678,2,0)</f>
        <v>Aktif</v>
      </c>
      <c r="G1627" t="str">
        <f>VLOOKUP(C1627,'Master Anggota'!$E$2:$J$678,5,0)</f>
        <v>00541</v>
      </c>
      <c r="H1627" s="82">
        <v>0</v>
      </c>
      <c r="I1627" s="82">
        <v>0</v>
      </c>
      <c r="J1627" s="56">
        <v>100000</v>
      </c>
      <c r="K1627" s="56">
        <v>150000</v>
      </c>
      <c r="L1627" t="s">
        <v>732</v>
      </c>
      <c r="M1627" s="71">
        <v>46258</v>
      </c>
      <c r="N1627" t="s">
        <v>576</v>
      </c>
    </row>
    <row r="1628" spans="3:14" hidden="1" x14ac:dyDescent="0.2">
      <c r="C1628" t="s">
        <v>231</v>
      </c>
      <c r="D1628" t="str">
        <f>VLOOKUP(C1628,'Master Anggota'!$E$2:$J$678,2,0)</f>
        <v>Aktif</v>
      </c>
      <c r="G1628" t="str">
        <f>VLOOKUP(C1628,'Master Anggota'!$E$2:$J$678,5,0)</f>
        <v>00542</v>
      </c>
      <c r="H1628" s="82">
        <v>0</v>
      </c>
      <c r="I1628" s="82">
        <v>0</v>
      </c>
      <c r="J1628" s="56">
        <v>100000</v>
      </c>
      <c r="K1628" s="56">
        <v>100000</v>
      </c>
      <c r="L1628" t="s">
        <v>732</v>
      </c>
      <c r="M1628" s="71">
        <v>46258</v>
      </c>
      <c r="N1628" t="s">
        <v>576</v>
      </c>
    </row>
    <row r="1629" spans="3:14" hidden="1" x14ac:dyDescent="0.2">
      <c r="C1629" t="s">
        <v>51</v>
      </c>
      <c r="D1629" t="str">
        <f>VLOOKUP(C1629,'Master Anggota'!$E$2:$J$678,2,0)</f>
        <v>Aktif</v>
      </c>
      <c r="G1629" t="str">
        <f>VLOOKUP(C1629,'Master Anggota'!$E$2:$J$678,5,0)</f>
        <v>00543</v>
      </c>
      <c r="H1629" s="82">
        <v>0</v>
      </c>
      <c r="I1629" s="82">
        <v>0</v>
      </c>
      <c r="J1629" s="56">
        <v>100000</v>
      </c>
      <c r="K1629" s="56">
        <v>100000</v>
      </c>
      <c r="L1629" t="s">
        <v>732</v>
      </c>
      <c r="M1629" s="71">
        <v>46258</v>
      </c>
      <c r="N1629" t="s">
        <v>576</v>
      </c>
    </row>
    <row r="1630" spans="3:14" hidden="1" x14ac:dyDescent="0.2">
      <c r="C1630" t="s">
        <v>118</v>
      </c>
      <c r="D1630" t="str">
        <f>VLOOKUP(C1630,'Master Anggota'!$E$2:$J$678,2,0)</f>
        <v>Aktif</v>
      </c>
      <c r="G1630" t="str">
        <f>VLOOKUP(C1630,'Master Anggota'!$E$2:$J$678,5,0)</f>
        <v>00544</v>
      </c>
      <c r="H1630" s="82">
        <v>0</v>
      </c>
      <c r="I1630" s="82">
        <v>0</v>
      </c>
      <c r="J1630" s="56">
        <v>100000</v>
      </c>
      <c r="K1630" s="56">
        <v>50000</v>
      </c>
      <c r="L1630" t="s">
        <v>732</v>
      </c>
      <c r="M1630" s="71">
        <v>46258</v>
      </c>
      <c r="N1630" t="s">
        <v>576</v>
      </c>
    </row>
    <row r="1631" spans="3:14" hidden="1" x14ac:dyDescent="0.2">
      <c r="C1631" t="s">
        <v>366</v>
      </c>
      <c r="D1631" t="str">
        <f>VLOOKUP(C1631,'Master Anggota'!$E$2:$J$678,2,0)</f>
        <v>Aktif</v>
      </c>
      <c r="G1631" t="str">
        <f>VLOOKUP(C1631,'Master Anggota'!$E$2:$J$678,5,0)</f>
        <v>00545</v>
      </c>
      <c r="H1631" s="82">
        <v>0</v>
      </c>
      <c r="I1631" s="82">
        <v>0</v>
      </c>
      <c r="J1631" s="56">
        <v>150000</v>
      </c>
      <c r="K1631" s="56">
        <v>50000</v>
      </c>
      <c r="L1631" t="s">
        <v>732</v>
      </c>
      <c r="M1631" s="71">
        <v>46258</v>
      </c>
      <c r="N1631" t="s">
        <v>576</v>
      </c>
    </row>
    <row r="1632" spans="3:14" hidden="1" x14ac:dyDescent="0.2">
      <c r="C1632" t="s">
        <v>35</v>
      </c>
      <c r="D1632" t="str">
        <f>VLOOKUP(C1632,'Master Anggota'!$E$2:$J$678,2,0)</f>
        <v>Aktif</v>
      </c>
      <c r="G1632" t="str">
        <f>VLOOKUP(C1632,'Master Anggota'!$E$2:$J$678,5,0)</f>
        <v>00546</v>
      </c>
      <c r="H1632" s="82">
        <v>0</v>
      </c>
      <c r="I1632" s="82">
        <v>0</v>
      </c>
      <c r="J1632" s="56">
        <v>100000</v>
      </c>
      <c r="K1632" s="56">
        <v>50000</v>
      </c>
      <c r="L1632" t="s">
        <v>732</v>
      </c>
      <c r="M1632" s="71">
        <v>46258</v>
      </c>
      <c r="N1632" t="s">
        <v>576</v>
      </c>
    </row>
    <row r="1633" spans="3:14" hidden="1" x14ac:dyDescent="0.2">
      <c r="C1633" t="s">
        <v>85</v>
      </c>
      <c r="D1633" t="str">
        <f>VLOOKUP(C1633,'Master Anggota'!$E$2:$J$678,2,0)</f>
        <v>Aktif</v>
      </c>
      <c r="G1633" t="str">
        <f>VLOOKUP(C1633,'Master Anggota'!$E$2:$J$678,5,0)</f>
        <v>00547</v>
      </c>
      <c r="H1633" s="82">
        <v>0</v>
      </c>
      <c r="I1633" s="82">
        <v>0</v>
      </c>
      <c r="J1633" s="56">
        <v>100000</v>
      </c>
      <c r="K1633" s="56">
        <v>100000</v>
      </c>
      <c r="L1633" t="s">
        <v>732</v>
      </c>
      <c r="M1633" s="71">
        <v>46258</v>
      </c>
      <c r="N1633" t="s">
        <v>576</v>
      </c>
    </row>
    <row r="1634" spans="3:14" hidden="1" x14ac:dyDescent="0.2">
      <c r="C1634" t="s">
        <v>153</v>
      </c>
      <c r="D1634" t="str">
        <f>VLOOKUP(C1634,'Master Anggota'!$E$2:$J$678,2,0)</f>
        <v>Aktif</v>
      </c>
      <c r="G1634" t="str">
        <f>VLOOKUP(C1634,'Master Anggota'!$E$2:$J$678,5,0)</f>
        <v>00548</v>
      </c>
      <c r="H1634" s="82">
        <v>0</v>
      </c>
      <c r="I1634" s="82">
        <v>0</v>
      </c>
      <c r="J1634" s="56">
        <v>100000</v>
      </c>
      <c r="K1634" s="56">
        <v>75000</v>
      </c>
      <c r="L1634" t="s">
        <v>732</v>
      </c>
      <c r="M1634" s="71">
        <v>46258</v>
      </c>
      <c r="N1634" t="s">
        <v>576</v>
      </c>
    </row>
    <row r="1635" spans="3:14" hidden="1" x14ac:dyDescent="0.2">
      <c r="C1635" t="s">
        <v>525</v>
      </c>
      <c r="D1635" t="str">
        <f>VLOOKUP(C1635,'Master Anggota'!$E$2:$J$678,2,0)</f>
        <v>Aktif</v>
      </c>
      <c r="G1635" t="str">
        <f>VLOOKUP(C1635,'Master Anggota'!$E$2:$J$678,5,0)</f>
        <v>00549</v>
      </c>
      <c r="H1635" s="82">
        <v>0</v>
      </c>
      <c r="I1635" s="82">
        <v>0</v>
      </c>
      <c r="J1635" s="56">
        <v>100000</v>
      </c>
      <c r="K1635" s="56">
        <v>100000</v>
      </c>
      <c r="L1635" t="s">
        <v>732</v>
      </c>
      <c r="M1635" s="71">
        <v>46258</v>
      </c>
      <c r="N1635" t="s">
        <v>576</v>
      </c>
    </row>
    <row r="1636" spans="3:14" hidden="1" x14ac:dyDescent="0.2">
      <c r="C1636" t="s">
        <v>105</v>
      </c>
      <c r="D1636" t="str">
        <f>VLOOKUP(C1636,'Master Anggota'!$E$2:$J$678,2,0)</f>
        <v>Aktif</v>
      </c>
      <c r="G1636" t="str">
        <f>VLOOKUP(C1636,'Master Anggota'!$E$2:$J$678,5,0)</f>
        <v>00551</v>
      </c>
      <c r="H1636" s="82">
        <v>0</v>
      </c>
      <c r="I1636" s="82">
        <v>0</v>
      </c>
      <c r="J1636" s="56">
        <v>150000</v>
      </c>
      <c r="K1636" s="56">
        <v>50000</v>
      </c>
      <c r="L1636" t="s">
        <v>732</v>
      </c>
      <c r="M1636" s="71">
        <v>46258</v>
      </c>
      <c r="N1636" t="s">
        <v>576</v>
      </c>
    </row>
    <row r="1637" spans="3:14" hidden="1" x14ac:dyDescent="0.2">
      <c r="C1637" t="s">
        <v>484</v>
      </c>
      <c r="D1637" t="str">
        <f>VLOOKUP(C1637,'Master Anggota'!$E$2:$J$678,2,0)</f>
        <v>Aktif</v>
      </c>
      <c r="G1637" t="str">
        <f>VLOOKUP(C1637,'Master Anggota'!$E$2:$J$678,5,0)</f>
        <v>00552</v>
      </c>
      <c r="H1637" s="82">
        <v>0</v>
      </c>
      <c r="I1637" s="82">
        <v>0</v>
      </c>
      <c r="J1637" s="56">
        <v>100000</v>
      </c>
      <c r="K1637" s="56">
        <v>200000</v>
      </c>
      <c r="L1637" t="s">
        <v>732</v>
      </c>
      <c r="M1637" s="71">
        <v>46258</v>
      </c>
      <c r="N1637" t="s">
        <v>576</v>
      </c>
    </row>
    <row r="1638" spans="3:14" hidden="1" x14ac:dyDescent="0.2">
      <c r="C1638" t="s">
        <v>8</v>
      </c>
      <c r="D1638" t="str">
        <f>VLOOKUP(C1638,'Master Anggota'!$E$2:$J$678,2,0)</f>
        <v>Aktif</v>
      </c>
      <c r="G1638" t="str">
        <f>VLOOKUP(C1638,'Master Anggota'!$E$2:$J$678,5,0)</f>
        <v>00553</v>
      </c>
      <c r="H1638" s="82">
        <v>0</v>
      </c>
      <c r="I1638" s="82">
        <v>0</v>
      </c>
      <c r="J1638" s="56">
        <v>100000</v>
      </c>
      <c r="K1638" s="56">
        <v>150000</v>
      </c>
      <c r="L1638" t="s">
        <v>732</v>
      </c>
      <c r="M1638" s="71">
        <v>46258</v>
      </c>
      <c r="N1638" t="s">
        <v>576</v>
      </c>
    </row>
    <row r="1639" spans="3:14" hidden="1" x14ac:dyDescent="0.2">
      <c r="C1639" t="s">
        <v>87</v>
      </c>
      <c r="D1639" t="str">
        <f>VLOOKUP(C1639,'Master Anggota'!$E$2:$J$678,2,0)</f>
        <v>Aktif</v>
      </c>
      <c r="G1639" t="str">
        <f>VLOOKUP(C1639,'Master Anggota'!$E$2:$J$678,5,0)</f>
        <v>00554</v>
      </c>
      <c r="H1639" s="82">
        <v>0</v>
      </c>
      <c r="I1639" s="82">
        <v>0</v>
      </c>
      <c r="J1639" s="56">
        <v>100000</v>
      </c>
      <c r="K1639" s="56">
        <v>100000</v>
      </c>
      <c r="L1639" t="s">
        <v>732</v>
      </c>
      <c r="M1639" s="71">
        <v>46258</v>
      </c>
      <c r="N1639" t="s">
        <v>576</v>
      </c>
    </row>
    <row r="1640" spans="3:14" hidden="1" x14ac:dyDescent="0.2">
      <c r="C1640" t="s">
        <v>174</v>
      </c>
      <c r="D1640" t="str">
        <f>VLOOKUP(C1640,'Master Anggota'!$E$2:$J$678,2,0)</f>
        <v>Aktif</v>
      </c>
      <c r="G1640" t="str">
        <f>VLOOKUP(C1640,'Master Anggota'!$E$2:$J$678,5,0)</f>
        <v>00556</v>
      </c>
      <c r="H1640" s="82">
        <v>0</v>
      </c>
      <c r="I1640" s="82">
        <v>0</v>
      </c>
      <c r="J1640" s="56">
        <v>100000</v>
      </c>
      <c r="K1640" s="56">
        <v>100000</v>
      </c>
      <c r="L1640" t="s">
        <v>732</v>
      </c>
      <c r="M1640" s="71">
        <v>46258</v>
      </c>
      <c r="N1640" t="s">
        <v>576</v>
      </c>
    </row>
    <row r="1641" spans="3:14" hidden="1" x14ac:dyDescent="0.2">
      <c r="C1641" t="s">
        <v>109</v>
      </c>
      <c r="D1641" t="str">
        <f>VLOOKUP(C1641,'Master Anggota'!$E$2:$J$678,2,0)</f>
        <v>Aktif</v>
      </c>
      <c r="G1641" t="str">
        <f>VLOOKUP(C1641,'Master Anggota'!$E$2:$J$678,5,0)</f>
        <v>00557</v>
      </c>
      <c r="H1641" s="82">
        <v>0</v>
      </c>
      <c r="I1641" s="82">
        <v>0</v>
      </c>
      <c r="J1641" s="56">
        <v>200000</v>
      </c>
      <c r="K1641" s="56">
        <v>200000</v>
      </c>
      <c r="L1641" t="s">
        <v>732</v>
      </c>
      <c r="M1641" s="71">
        <v>46258</v>
      </c>
      <c r="N1641" t="s">
        <v>576</v>
      </c>
    </row>
    <row r="1642" spans="3:14" hidden="1" x14ac:dyDescent="0.2">
      <c r="C1642" t="s">
        <v>276</v>
      </c>
      <c r="D1642" t="str">
        <f>VLOOKUP(C1642,'Master Anggota'!$E$2:$J$678,2,0)</f>
        <v>Aktif</v>
      </c>
      <c r="G1642" t="str">
        <f>VLOOKUP(C1642,'Master Anggota'!$E$2:$J$678,5,0)</f>
        <v>00558</v>
      </c>
      <c r="H1642" s="82">
        <v>0</v>
      </c>
      <c r="I1642" s="82">
        <v>0</v>
      </c>
      <c r="J1642" s="56">
        <v>200000</v>
      </c>
      <c r="K1642" s="56">
        <v>300000</v>
      </c>
      <c r="L1642" t="s">
        <v>732</v>
      </c>
      <c r="M1642" s="71">
        <v>46258</v>
      </c>
      <c r="N1642" t="s">
        <v>576</v>
      </c>
    </row>
    <row r="1643" spans="3:14" hidden="1" x14ac:dyDescent="0.2">
      <c r="C1643" t="s">
        <v>171</v>
      </c>
      <c r="D1643" t="str">
        <f>VLOOKUP(C1643,'Master Anggota'!$E$2:$J$678,2,0)</f>
        <v>Aktif</v>
      </c>
      <c r="G1643" t="str">
        <f>VLOOKUP(C1643,'Master Anggota'!$E$2:$J$678,5,0)</f>
        <v>00560</v>
      </c>
      <c r="H1643" s="82">
        <v>0</v>
      </c>
      <c r="I1643" s="82">
        <v>0</v>
      </c>
      <c r="J1643" s="56">
        <v>100000</v>
      </c>
      <c r="K1643" s="56">
        <v>100000</v>
      </c>
      <c r="L1643" t="s">
        <v>732</v>
      </c>
      <c r="M1643" s="71">
        <v>46258</v>
      </c>
      <c r="N1643" t="s">
        <v>576</v>
      </c>
    </row>
    <row r="1644" spans="3:14" hidden="1" x14ac:dyDescent="0.2">
      <c r="C1644" t="s">
        <v>175</v>
      </c>
      <c r="D1644" t="str">
        <f>VLOOKUP(C1644,'Master Anggota'!$E$2:$J$678,2,0)</f>
        <v>Aktif</v>
      </c>
      <c r="G1644" t="str">
        <f>VLOOKUP(C1644,'Master Anggota'!$E$2:$J$678,5,0)</f>
        <v>00563</v>
      </c>
      <c r="H1644" s="82">
        <v>0</v>
      </c>
      <c r="I1644" s="82">
        <v>0</v>
      </c>
      <c r="J1644" s="56">
        <v>100000</v>
      </c>
      <c r="K1644" s="56">
        <v>150000</v>
      </c>
      <c r="L1644" t="s">
        <v>732</v>
      </c>
      <c r="M1644" s="71">
        <v>46258</v>
      </c>
      <c r="N1644" t="s">
        <v>576</v>
      </c>
    </row>
    <row r="1645" spans="3:14" hidden="1" x14ac:dyDescent="0.2">
      <c r="C1645" t="s">
        <v>277</v>
      </c>
      <c r="D1645" t="str">
        <f>VLOOKUP(C1645,'Master Anggota'!$E$2:$J$678,2,0)</f>
        <v>Aktif</v>
      </c>
      <c r="G1645" t="str">
        <f>VLOOKUP(C1645,'Master Anggota'!$E$2:$J$678,5,0)</f>
        <v>00564</v>
      </c>
      <c r="H1645" s="82">
        <v>0</v>
      </c>
      <c r="I1645" s="82">
        <v>0</v>
      </c>
      <c r="J1645" s="56">
        <v>100000</v>
      </c>
      <c r="K1645" s="56">
        <v>100000</v>
      </c>
      <c r="L1645" t="s">
        <v>732</v>
      </c>
      <c r="M1645" s="71">
        <v>46258</v>
      </c>
      <c r="N1645" t="s">
        <v>576</v>
      </c>
    </row>
    <row r="1646" spans="3:14" hidden="1" x14ac:dyDescent="0.2">
      <c r="C1646" t="s">
        <v>182</v>
      </c>
      <c r="D1646" t="str">
        <f>VLOOKUP(C1646,'Master Anggota'!$E$2:$J$678,2,0)</f>
        <v>Aktif</v>
      </c>
      <c r="G1646" t="str">
        <f>VLOOKUP(C1646,'Master Anggota'!$E$2:$J$678,5,0)</f>
        <v>00565</v>
      </c>
      <c r="H1646" s="82">
        <v>0</v>
      </c>
      <c r="I1646" s="82">
        <v>0</v>
      </c>
      <c r="J1646" s="56">
        <v>100000</v>
      </c>
      <c r="K1646" s="56">
        <v>400000</v>
      </c>
      <c r="L1646" t="s">
        <v>732</v>
      </c>
      <c r="M1646" s="71">
        <v>46258</v>
      </c>
      <c r="N1646" t="s">
        <v>576</v>
      </c>
    </row>
    <row r="1647" spans="3:14" hidden="1" x14ac:dyDescent="0.2">
      <c r="C1647" t="s">
        <v>178</v>
      </c>
      <c r="D1647" t="str">
        <f>VLOOKUP(C1647,'Master Anggota'!$E$2:$J$678,2,0)</f>
        <v>Aktif</v>
      </c>
      <c r="G1647" t="str">
        <f>VLOOKUP(C1647,'Master Anggota'!$E$2:$J$678,5,0)</f>
        <v>00566</v>
      </c>
      <c r="H1647" s="82">
        <v>0</v>
      </c>
      <c r="I1647" s="82">
        <v>0</v>
      </c>
      <c r="J1647" s="56">
        <v>100000</v>
      </c>
      <c r="K1647" s="56">
        <v>150000</v>
      </c>
      <c r="L1647" t="s">
        <v>732</v>
      </c>
      <c r="M1647" s="71">
        <v>46258</v>
      </c>
      <c r="N1647" t="s">
        <v>576</v>
      </c>
    </row>
    <row r="1648" spans="3:14" hidden="1" x14ac:dyDescent="0.2">
      <c r="C1648" t="s">
        <v>183</v>
      </c>
      <c r="D1648" t="str">
        <f>VLOOKUP(C1648,'Master Anggota'!$E$2:$J$678,2,0)</f>
        <v>Aktif</v>
      </c>
      <c r="G1648" t="str">
        <f>VLOOKUP(C1648,'Master Anggota'!$E$2:$J$678,5,0)</f>
        <v>00567</v>
      </c>
      <c r="H1648" s="82">
        <v>0</v>
      </c>
      <c r="I1648" s="82">
        <v>0</v>
      </c>
      <c r="J1648" s="56">
        <v>200000</v>
      </c>
      <c r="K1648" s="56">
        <v>300000</v>
      </c>
      <c r="L1648" t="s">
        <v>732</v>
      </c>
      <c r="M1648" s="71">
        <v>46258</v>
      </c>
      <c r="N1648" t="s">
        <v>576</v>
      </c>
    </row>
    <row r="1649" spans="3:14" hidden="1" x14ac:dyDescent="0.2">
      <c r="C1649" t="s">
        <v>176</v>
      </c>
      <c r="D1649" t="str">
        <f>VLOOKUP(C1649,'Master Anggota'!$E$2:$J$678,2,0)</f>
        <v>Aktif</v>
      </c>
      <c r="G1649" t="str">
        <f>VLOOKUP(C1649,'Master Anggota'!$E$2:$J$678,5,0)</f>
        <v>00568</v>
      </c>
      <c r="H1649" s="82">
        <v>0</v>
      </c>
      <c r="I1649" s="82">
        <v>0</v>
      </c>
      <c r="J1649" s="56">
        <v>100000</v>
      </c>
      <c r="K1649" s="56">
        <v>100000</v>
      </c>
      <c r="L1649" t="s">
        <v>732</v>
      </c>
      <c r="M1649" s="71">
        <v>46258</v>
      </c>
      <c r="N1649" t="s">
        <v>576</v>
      </c>
    </row>
    <row r="1650" spans="3:14" hidden="1" x14ac:dyDescent="0.2">
      <c r="C1650" t="s">
        <v>177</v>
      </c>
      <c r="D1650" t="str">
        <f>VLOOKUP(C1650,'Master Anggota'!$E$2:$J$678,2,0)</f>
        <v>Aktif</v>
      </c>
      <c r="G1650" t="str">
        <f>VLOOKUP(C1650,'Master Anggota'!$E$2:$J$678,5,0)</f>
        <v>00569</v>
      </c>
      <c r="H1650" s="82">
        <v>0</v>
      </c>
      <c r="I1650" s="82">
        <v>0</v>
      </c>
      <c r="J1650" s="56">
        <v>100000</v>
      </c>
      <c r="K1650" s="56">
        <v>150000</v>
      </c>
      <c r="L1650" t="s">
        <v>732</v>
      </c>
      <c r="M1650" s="71">
        <v>46258</v>
      </c>
      <c r="N1650" t="s">
        <v>576</v>
      </c>
    </row>
    <row r="1651" spans="3:14" hidden="1" x14ac:dyDescent="0.2">
      <c r="C1651" t="s">
        <v>362</v>
      </c>
      <c r="D1651" t="str">
        <f>VLOOKUP(C1651,'Master Anggota'!$E$2:$J$678,2,0)</f>
        <v>Aktif</v>
      </c>
      <c r="G1651" t="str">
        <f>VLOOKUP(C1651,'Master Anggota'!$E$2:$J$678,5,0)</f>
        <v>00570</v>
      </c>
      <c r="H1651" s="82">
        <v>0</v>
      </c>
      <c r="I1651" s="82">
        <v>0</v>
      </c>
      <c r="J1651" s="56">
        <v>100000</v>
      </c>
      <c r="K1651" s="56">
        <v>500000</v>
      </c>
      <c r="L1651" t="s">
        <v>732</v>
      </c>
      <c r="M1651" s="71">
        <v>46258</v>
      </c>
      <c r="N1651" t="s">
        <v>576</v>
      </c>
    </row>
    <row r="1652" spans="3:14" hidden="1" x14ac:dyDescent="0.2">
      <c r="C1652" t="s">
        <v>291</v>
      </c>
      <c r="D1652" t="str">
        <f>VLOOKUP(C1652,'Master Anggota'!$E$2:$J$678,2,0)</f>
        <v>Aktif</v>
      </c>
      <c r="G1652" t="str">
        <f>VLOOKUP(C1652,'Master Anggota'!$E$2:$J$678,5,0)</f>
        <v>00574</v>
      </c>
      <c r="H1652" s="82">
        <v>0</v>
      </c>
      <c r="I1652" s="82">
        <v>0</v>
      </c>
      <c r="J1652" s="56">
        <v>100000</v>
      </c>
      <c r="K1652" s="56">
        <v>75000</v>
      </c>
      <c r="L1652" t="s">
        <v>732</v>
      </c>
      <c r="M1652" s="71">
        <v>46258</v>
      </c>
      <c r="N1652" t="s">
        <v>576</v>
      </c>
    </row>
    <row r="1653" spans="3:14" hidden="1" x14ac:dyDescent="0.2">
      <c r="C1653" t="s">
        <v>704</v>
      </c>
      <c r="D1653" t="str">
        <f>VLOOKUP(C1653,'Master Anggota'!$E$2:$J$678,2,0)</f>
        <v>Aktif</v>
      </c>
      <c r="G1653" t="str">
        <f>VLOOKUP(C1653,'Master Anggota'!$E$2:$J$678,5,0)</f>
        <v>00575</v>
      </c>
      <c r="H1653" s="82">
        <v>0</v>
      </c>
      <c r="I1653" s="82">
        <v>0</v>
      </c>
      <c r="J1653" s="56">
        <v>150000</v>
      </c>
      <c r="K1653" s="56">
        <v>100000</v>
      </c>
      <c r="L1653" t="s">
        <v>732</v>
      </c>
      <c r="M1653" s="71">
        <v>46258</v>
      </c>
      <c r="N1653" t="s">
        <v>576</v>
      </c>
    </row>
    <row r="1654" spans="3:14" hidden="1" x14ac:dyDescent="0.2">
      <c r="C1654" t="s">
        <v>363</v>
      </c>
      <c r="D1654" t="str">
        <f>VLOOKUP(C1654,'Master Anggota'!$E$2:$J$678,2,0)</f>
        <v>Aktif</v>
      </c>
      <c r="G1654" t="str">
        <f>VLOOKUP(C1654,'Master Anggota'!$E$2:$J$678,5,0)</f>
        <v>00576</v>
      </c>
      <c r="H1654" s="82">
        <v>0</v>
      </c>
      <c r="I1654" s="82">
        <v>0</v>
      </c>
      <c r="J1654" s="56">
        <v>100000</v>
      </c>
      <c r="K1654" s="56">
        <v>100000</v>
      </c>
      <c r="L1654" t="s">
        <v>732</v>
      </c>
      <c r="M1654" s="71">
        <v>46258</v>
      </c>
      <c r="N1654" t="s">
        <v>576</v>
      </c>
    </row>
    <row r="1655" spans="3:14" hidden="1" x14ac:dyDescent="0.2">
      <c r="C1655" t="s">
        <v>365</v>
      </c>
      <c r="D1655" t="str">
        <f>VLOOKUP(C1655,'Master Anggota'!$E$2:$J$678,2,0)</f>
        <v>Aktif</v>
      </c>
      <c r="G1655" t="str">
        <f>VLOOKUP(C1655,'Master Anggota'!$E$2:$J$678,5,0)</f>
        <v>00576</v>
      </c>
      <c r="H1655" s="82">
        <v>0</v>
      </c>
      <c r="I1655" s="82">
        <v>0</v>
      </c>
      <c r="J1655" s="56">
        <v>100000</v>
      </c>
      <c r="K1655" s="56">
        <v>50000</v>
      </c>
      <c r="L1655" t="s">
        <v>732</v>
      </c>
      <c r="M1655" s="71">
        <v>46258</v>
      </c>
      <c r="N1655" t="s">
        <v>576</v>
      </c>
    </row>
    <row r="1656" spans="3:14" hidden="1" x14ac:dyDescent="0.2">
      <c r="C1656" t="s">
        <v>467</v>
      </c>
      <c r="D1656" t="str">
        <f>VLOOKUP(C1656,'Master Anggota'!$E$2:$J$678,2,0)</f>
        <v>Aktif</v>
      </c>
      <c r="G1656" t="str">
        <f>VLOOKUP(C1656,'Master Anggota'!$E$2:$J$678,5,0)</f>
        <v>00577</v>
      </c>
      <c r="H1656" s="82">
        <v>0</v>
      </c>
      <c r="I1656" s="82">
        <v>0</v>
      </c>
      <c r="J1656" s="56">
        <v>100000</v>
      </c>
      <c r="K1656" s="56">
        <v>150000</v>
      </c>
      <c r="L1656" t="s">
        <v>732</v>
      </c>
      <c r="M1656" s="71">
        <v>46258</v>
      </c>
      <c r="N1656" t="s">
        <v>576</v>
      </c>
    </row>
    <row r="1657" spans="3:14" hidden="1" x14ac:dyDescent="0.2">
      <c r="C1657" t="s">
        <v>364</v>
      </c>
      <c r="D1657" t="str">
        <f>VLOOKUP(C1657,'Master Anggota'!$E$2:$J$678,2,0)</f>
        <v>Aktif</v>
      </c>
      <c r="G1657" t="str">
        <f>VLOOKUP(C1657,'Master Anggota'!$E$2:$J$678,5,0)</f>
        <v>00578</v>
      </c>
      <c r="H1657" s="82">
        <v>0</v>
      </c>
      <c r="I1657" s="82">
        <v>0</v>
      </c>
      <c r="J1657" s="56">
        <v>100000</v>
      </c>
      <c r="K1657" s="56">
        <v>100000</v>
      </c>
      <c r="L1657" t="s">
        <v>732</v>
      </c>
      <c r="M1657" s="71">
        <v>46258</v>
      </c>
      <c r="N1657" t="s">
        <v>576</v>
      </c>
    </row>
    <row r="1658" spans="3:14" hidden="1" x14ac:dyDescent="0.2">
      <c r="C1658" t="s">
        <v>523</v>
      </c>
      <c r="D1658" t="str">
        <f>VLOOKUP(C1658,'Master Anggota'!$E$2:$J$678,2,0)</f>
        <v>Aktif</v>
      </c>
      <c r="G1658" t="str">
        <f>VLOOKUP(C1658,'Master Anggota'!$E$2:$J$678,5,0)</f>
        <v>00579</v>
      </c>
      <c r="H1658" s="82">
        <v>0</v>
      </c>
      <c r="I1658" s="82">
        <v>0</v>
      </c>
      <c r="J1658" s="56">
        <v>100000</v>
      </c>
      <c r="K1658" s="56">
        <v>200000</v>
      </c>
      <c r="L1658" t="s">
        <v>732</v>
      </c>
      <c r="M1658" s="71">
        <v>46258</v>
      </c>
      <c r="N1658" t="s">
        <v>576</v>
      </c>
    </row>
    <row r="1659" spans="3:14" hidden="1" x14ac:dyDescent="0.2">
      <c r="C1659" t="s">
        <v>110</v>
      </c>
      <c r="D1659" t="str">
        <f>VLOOKUP(C1659,'Master Anggota'!$E$2:$J$678,2,0)</f>
        <v>Aktif</v>
      </c>
      <c r="G1659" t="str">
        <f>VLOOKUP(C1659,'Master Anggota'!$E$2:$J$678,5,0)</f>
        <v>00580</v>
      </c>
      <c r="H1659" s="82">
        <v>0</v>
      </c>
      <c r="I1659" s="82">
        <v>0</v>
      </c>
      <c r="J1659" s="56">
        <v>100000</v>
      </c>
      <c r="K1659" s="56">
        <v>50000</v>
      </c>
      <c r="L1659" t="s">
        <v>732</v>
      </c>
      <c r="M1659" s="71">
        <v>46258</v>
      </c>
      <c r="N1659" t="s">
        <v>576</v>
      </c>
    </row>
    <row r="1660" spans="3:14" hidden="1" x14ac:dyDescent="0.2">
      <c r="C1660" t="s">
        <v>187</v>
      </c>
      <c r="D1660" t="str">
        <f>VLOOKUP(C1660,'Master Anggota'!$E$2:$J$678,2,0)</f>
        <v>Aktif</v>
      </c>
      <c r="G1660" t="str">
        <f>VLOOKUP(C1660,'Master Anggota'!$E$2:$J$678,5,0)</f>
        <v>00582</v>
      </c>
      <c r="H1660" s="82">
        <v>0</v>
      </c>
      <c r="I1660" s="82">
        <v>0</v>
      </c>
      <c r="J1660" s="56">
        <v>200000</v>
      </c>
      <c r="K1660" s="56">
        <v>300000</v>
      </c>
      <c r="L1660" t="s">
        <v>732</v>
      </c>
      <c r="M1660" s="71">
        <v>46258</v>
      </c>
      <c r="N1660" t="s">
        <v>576</v>
      </c>
    </row>
    <row r="1661" spans="3:14" hidden="1" x14ac:dyDescent="0.2">
      <c r="C1661" t="s">
        <v>173</v>
      </c>
      <c r="D1661" t="str">
        <f>VLOOKUP(C1661,'Master Anggota'!$E$2:$J$678,2,0)</f>
        <v>Aktif</v>
      </c>
      <c r="G1661" t="str">
        <f>VLOOKUP(C1661,'Master Anggota'!$E$2:$J$678,5,0)</f>
        <v>00583</v>
      </c>
      <c r="H1661" s="82">
        <v>0</v>
      </c>
      <c r="I1661" s="82">
        <v>0</v>
      </c>
      <c r="J1661" s="56">
        <v>100000</v>
      </c>
      <c r="K1661" s="56">
        <v>100000</v>
      </c>
      <c r="L1661" t="s">
        <v>732</v>
      </c>
      <c r="M1661" s="71">
        <v>46258</v>
      </c>
      <c r="N1661" t="s">
        <v>576</v>
      </c>
    </row>
    <row r="1662" spans="3:14" hidden="1" x14ac:dyDescent="0.2">
      <c r="C1662" t="s">
        <v>172</v>
      </c>
      <c r="D1662" t="str">
        <f>VLOOKUP(C1662,'Master Anggota'!$E$2:$J$678,2,0)</f>
        <v>Aktif</v>
      </c>
      <c r="G1662" t="str">
        <f>VLOOKUP(C1662,'Master Anggota'!$E$2:$J$678,5,0)</f>
        <v>00584</v>
      </c>
      <c r="H1662" s="82">
        <v>0</v>
      </c>
      <c r="I1662" s="82">
        <v>0</v>
      </c>
      <c r="J1662" s="56">
        <v>100000</v>
      </c>
      <c r="K1662" s="56">
        <v>100000</v>
      </c>
      <c r="L1662" t="s">
        <v>732</v>
      </c>
      <c r="M1662" s="71">
        <v>46258</v>
      </c>
      <c r="N1662" t="s">
        <v>576</v>
      </c>
    </row>
    <row r="1663" spans="3:14" hidden="1" x14ac:dyDescent="0.2">
      <c r="C1663" t="s">
        <v>300</v>
      </c>
      <c r="D1663" t="str">
        <f>VLOOKUP(C1663,'Master Anggota'!$E$2:$J$678,2,0)</f>
        <v>Aktif</v>
      </c>
      <c r="G1663" t="str">
        <f>VLOOKUP(C1663,'Master Anggota'!$E$2:$J$678,5,0)</f>
        <v>00585</v>
      </c>
      <c r="H1663" s="82">
        <v>0</v>
      </c>
      <c r="I1663" s="82">
        <v>0</v>
      </c>
      <c r="J1663" s="56">
        <v>100000</v>
      </c>
      <c r="K1663" s="56">
        <v>125000</v>
      </c>
      <c r="L1663" t="s">
        <v>732</v>
      </c>
      <c r="M1663" s="71">
        <v>46258</v>
      </c>
      <c r="N1663" t="s">
        <v>576</v>
      </c>
    </row>
    <row r="1664" spans="3:14" hidden="1" x14ac:dyDescent="0.2">
      <c r="C1664" t="s">
        <v>314</v>
      </c>
      <c r="D1664" t="str">
        <f>VLOOKUP(C1664,'Master Anggota'!$E$2:$J$678,2,0)</f>
        <v>Purna Bakti 2026</v>
      </c>
      <c r="G1664" t="str">
        <f>VLOOKUP(C1664,'Master Anggota'!$E$2:$J$678,5,0)</f>
        <v>00587</v>
      </c>
      <c r="H1664" s="82">
        <v>0</v>
      </c>
      <c r="I1664" s="82">
        <v>0</v>
      </c>
      <c r="J1664" s="56">
        <v>100000</v>
      </c>
      <c r="K1664" s="56">
        <v>400000</v>
      </c>
      <c r="L1664" t="s">
        <v>732</v>
      </c>
      <c r="M1664" s="71">
        <v>46258</v>
      </c>
      <c r="N1664" t="s">
        <v>576</v>
      </c>
    </row>
    <row r="1665" spans="3:14" hidden="1" x14ac:dyDescent="0.2">
      <c r="C1665" t="s">
        <v>186</v>
      </c>
      <c r="D1665" t="str">
        <f>VLOOKUP(C1665,'Master Anggota'!$E$2:$J$678,2,0)</f>
        <v>Aktif</v>
      </c>
      <c r="G1665" t="str">
        <f>VLOOKUP(C1665,'Master Anggota'!$E$2:$J$678,5,0)</f>
        <v>00588</v>
      </c>
      <c r="H1665" s="82">
        <v>0</v>
      </c>
      <c r="I1665" s="82">
        <v>0</v>
      </c>
      <c r="J1665" s="56">
        <v>100000</v>
      </c>
      <c r="K1665" s="56">
        <v>250000</v>
      </c>
      <c r="L1665" t="s">
        <v>732</v>
      </c>
      <c r="M1665" s="71">
        <v>46258</v>
      </c>
      <c r="N1665" t="s">
        <v>576</v>
      </c>
    </row>
    <row r="1666" spans="3:14" hidden="1" x14ac:dyDescent="0.2">
      <c r="C1666" t="s">
        <v>306</v>
      </c>
      <c r="D1666" t="str">
        <f>VLOOKUP(C1666,'Master Anggota'!$E$2:$J$678,2,0)</f>
        <v>Aktif</v>
      </c>
      <c r="G1666" t="str">
        <f>VLOOKUP(C1666,'Master Anggota'!$E$2:$J$678,5,0)</f>
        <v>00589</v>
      </c>
      <c r="H1666" s="82">
        <v>0</v>
      </c>
      <c r="I1666" s="82">
        <v>0</v>
      </c>
      <c r="J1666" s="56">
        <v>100000</v>
      </c>
      <c r="K1666" s="56">
        <v>100000</v>
      </c>
      <c r="L1666" t="s">
        <v>732</v>
      </c>
      <c r="M1666" s="71">
        <v>46258</v>
      </c>
      <c r="N1666" t="s">
        <v>576</v>
      </c>
    </row>
    <row r="1667" spans="3:14" hidden="1" x14ac:dyDescent="0.2">
      <c r="C1667" t="s">
        <v>307</v>
      </c>
      <c r="D1667" t="str">
        <f>VLOOKUP(C1667,'Master Anggota'!$E$2:$J$678,2,0)</f>
        <v>Aktif</v>
      </c>
      <c r="G1667" t="str">
        <f>VLOOKUP(C1667,'Master Anggota'!$E$2:$J$678,5,0)</f>
        <v>00591</v>
      </c>
      <c r="H1667" s="82">
        <v>0</v>
      </c>
      <c r="I1667" s="82">
        <v>0</v>
      </c>
      <c r="J1667" s="56">
        <v>150000</v>
      </c>
      <c r="K1667" s="56">
        <v>350000</v>
      </c>
      <c r="L1667" t="s">
        <v>732</v>
      </c>
      <c r="M1667" s="71">
        <v>46258</v>
      </c>
      <c r="N1667" t="s">
        <v>576</v>
      </c>
    </row>
    <row r="1668" spans="3:14" hidden="1" x14ac:dyDescent="0.2">
      <c r="C1668" t="s">
        <v>389</v>
      </c>
      <c r="D1668" t="str">
        <f>VLOOKUP(C1668,'Master Anggota'!$E$2:$J$678,2,0)</f>
        <v>Aktif</v>
      </c>
      <c r="G1668" t="str">
        <f>VLOOKUP(C1668,'Master Anggota'!$E$2:$J$678,5,0)</f>
        <v>00593</v>
      </c>
      <c r="H1668" s="82">
        <v>0</v>
      </c>
      <c r="I1668" s="82">
        <v>0</v>
      </c>
      <c r="J1668" s="56">
        <v>100000</v>
      </c>
      <c r="K1668" s="56">
        <v>250000</v>
      </c>
      <c r="L1668" t="s">
        <v>732</v>
      </c>
      <c r="M1668" s="71">
        <v>46258</v>
      </c>
      <c r="N1668" t="s">
        <v>576</v>
      </c>
    </row>
    <row r="1669" spans="3:14" hidden="1" x14ac:dyDescent="0.2">
      <c r="C1669" t="s">
        <v>188</v>
      </c>
      <c r="D1669" t="str">
        <f>VLOOKUP(C1669,'Master Anggota'!$E$2:$J$678,2,0)</f>
        <v>Aktif</v>
      </c>
      <c r="G1669" t="str">
        <f>VLOOKUP(C1669,'Master Anggota'!$E$2:$J$678,5,0)</f>
        <v>00596</v>
      </c>
      <c r="H1669" s="82">
        <v>0</v>
      </c>
      <c r="I1669" s="82">
        <v>0</v>
      </c>
      <c r="J1669" s="56">
        <v>100000</v>
      </c>
      <c r="K1669" s="56">
        <v>500000</v>
      </c>
      <c r="L1669" t="s">
        <v>732</v>
      </c>
      <c r="M1669" s="71">
        <v>46258</v>
      </c>
      <c r="N1669" t="s">
        <v>576</v>
      </c>
    </row>
    <row r="1670" spans="3:14" hidden="1" x14ac:dyDescent="0.2">
      <c r="C1670" t="s">
        <v>705</v>
      </c>
      <c r="D1670" t="str">
        <f>VLOOKUP(C1670,'Master Anggota'!$E$2:$J$678,2,0)</f>
        <v>Aktif</v>
      </c>
      <c r="G1670" t="str">
        <f>VLOOKUP(C1670,'Master Anggota'!$E$2:$J$678,5,0)</f>
        <v>00601</v>
      </c>
      <c r="H1670" s="82">
        <v>0</v>
      </c>
      <c r="I1670" s="82">
        <v>0</v>
      </c>
      <c r="J1670" s="56">
        <v>100000</v>
      </c>
      <c r="K1670" s="56">
        <v>70000</v>
      </c>
      <c r="L1670" t="s">
        <v>732</v>
      </c>
      <c r="M1670" s="71">
        <v>46258</v>
      </c>
      <c r="N1670" t="s">
        <v>576</v>
      </c>
    </row>
    <row r="1671" spans="3:14" hidden="1" x14ac:dyDescent="0.2">
      <c r="C1671" t="s">
        <v>309</v>
      </c>
      <c r="D1671" t="str">
        <f>VLOOKUP(C1671,'Master Anggota'!$E$2:$J$678,2,0)</f>
        <v>Aktif</v>
      </c>
      <c r="G1671" t="str">
        <f>VLOOKUP(C1671,'Master Anggota'!$E$2:$J$678,5,0)</f>
        <v>00602</v>
      </c>
      <c r="H1671" s="82">
        <v>0</v>
      </c>
      <c r="I1671" s="82">
        <v>0</v>
      </c>
      <c r="J1671" s="56">
        <v>100000</v>
      </c>
      <c r="K1671" s="56">
        <v>50000</v>
      </c>
      <c r="L1671" t="s">
        <v>732</v>
      </c>
      <c r="M1671" s="71">
        <v>46258</v>
      </c>
      <c r="N1671" t="s">
        <v>576</v>
      </c>
    </row>
    <row r="1672" spans="3:14" hidden="1" x14ac:dyDescent="0.2">
      <c r="C1672" t="s">
        <v>326</v>
      </c>
      <c r="D1672" t="str">
        <f>VLOOKUP(C1672,'Master Anggota'!$E$2:$J$678,2,0)</f>
        <v>Aktif</v>
      </c>
      <c r="G1672" t="str">
        <f>VLOOKUP(C1672,'Master Anggota'!$E$2:$J$678,5,0)</f>
        <v>00608</v>
      </c>
      <c r="H1672" s="82">
        <v>0</v>
      </c>
      <c r="I1672" s="82">
        <v>0</v>
      </c>
      <c r="J1672" s="56">
        <v>100000</v>
      </c>
      <c r="K1672" s="56">
        <v>100000</v>
      </c>
      <c r="L1672" t="s">
        <v>732</v>
      </c>
      <c r="M1672" s="71">
        <v>46258</v>
      </c>
      <c r="N1672" t="s">
        <v>576</v>
      </c>
    </row>
    <row r="1673" spans="3:14" hidden="1" x14ac:dyDescent="0.2">
      <c r="C1673" t="s">
        <v>706</v>
      </c>
      <c r="D1673" t="str">
        <f>VLOOKUP(C1673,'Master Anggota'!$E$2:$J$678,2,0)</f>
        <v>Aktif</v>
      </c>
      <c r="G1673" t="str">
        <f>VLOOKUP(C1673,'Master Anggota'!$E$2:$J$678,5,0)</f>
        <v>00609</v>
      </c>
      <c r="H1673" s="82">
        <v>0</v>
      </c>
      <c r="I1673" s="82">
        <v>0</v>
      </c>
      <c r="J1673" s="56">
        <v>100000</v>
      </c>
      <c r="K1673" s="56">
        <v>75000</v>
      </c>
      <c r="L1673" t="s">
        <v>732</v>
      </c>
      <c r="M1673" s="71">
        <v>46258</v>
      </c>
      <c r="N1673" t="s">
        <v>576</v>
      </c>
    </row>
    <row r="1674" spans="3:14" hidden="1" x14ac:dyDescent="0.2">
      <c r="C1674" t="s">
        <v>370</v>
      </c>
      <c r="D1674" t="str">
        <f>VLOOKUP(C1674,'Master Anggota'!$E$2:$J$678,2,0)</f>
        <v>Aktif</v>
      </c>
      <c r="G1674" t="str">
        <f>VLOOKUP(C1674,'Master Anggota'!$E$2:$J$678,5,0)</f>
        <v>00610</v>
      </c>
      <c r="H1674" s="82">
        <v>0</v>
      </c>
      <c r="I1674" s="82">
        <v>0</v>
      </c>
      <c r="J1674" s="56">
        <v>100000</v>
      </c>
      <c r="K1674" s="56">
        <v>500000</v>
      </c>
      <c r="L1674" t="s">
        <v>732</v>
      </c>
      <c r="M1674" s="71">
        <v>46258</v>
      </c>
      <c r="N1674" t="s">
        <v>576</v>
      </c>
    </row>
    <row r="1675" spans="3:14" hidden="1" x14ac:dyDescent="0.2">
      <c r="C1675" t="s">
        <v>519</v>
      </c>
      <c r="D1675" t="str">
        <f>VLOOKUP(C1675,'Master Anggota'!$E$2:$J$678,2,0)</f>
        <v>Aktif</v>
      </c>
      <c r="G1675" t="str">
        <f>VLOOKUP(C1675,'Master Anggota'!$E$2:$J$678,5,0)</f>
        <v>00611</v>
      </c>
      <c r="H1675" s="82">
        <v>0</v>
      </c>
      <c r="I1675" s="82">
        <v>0</v>
      </c>
      <c r="J1675" s="56">
        <v>100000</v>
      </c>
      <c r="K1675" s="56">
        <v>100000</v>
      </c>
      <c r="L1675" t="s">
        <v>732</v>
      </c>
      <c r="M1675" s="71">
        <v>46258</v>
      </c>
      <c r="N1675" t="s">
        <v>576</v>
      </c>
    </row>
    <row r="1676" spans="3:14" hidden="1" x14ac:dyDescent="0.2">
      <c r="C1676" t="s">
        <v>442</v>
      </c>
      <c r="D1676" t="str">
        <f>VLOOKUP(C1676,'Master Anggota'!$E$2:$J$678,2,0)</f>
        <v>Aktif</v>
      </c>
      <c r="G1676" t="str">
        <f>VLOOKUP(C1676,'Master Anggota'!$E$2:$J$678,5,0)</f>
        <v>00613</v>
      </c>
      <c r="H1676" s="82">
        <v>0</v>
      </c>
      <c r="I1676" s="82">
        <v>0</v>
      </c>
      <c r="J1676" s="56">
        <v>100000</v>
      </c>
      <c r="K1676" s="56">
        <v>150000</v>
      </c>
      <c r="L1676" t="s">
        <v>732</v>
      </c>
      <c r="M1676" s="71">
        <v>46258</v>
      </c>
      <c r="N1676" t="s">
        <v>576</v>
      </c>
    </row>
    <row r="1677" spans="3:14" hidden="1" x14ac:dyDescent="0.2">
      <c r="C1677" t="s">
        <v>400</v>
      </c>
      <c r="D1677" t="str">
        <f>VLOOKUP(C1677,'Master Anggota'!$E$2:$J$678,2,0)</f>
        <v>Aktif</v>
      </c>
      <c r="G1677" t="str">
        <f>VLOOKUP(C1677,'Master Anggota'!$E$2:$J$678,5,0)</f>
        <v>00614</v>
      </c>
      <c r="H1677" s="82">
        <v>0</v>
      </c>
      <c r="I1677" s="82">
        <v>0</v>
      </c>
      <c r="J1677" s="56">
        <v>100000</v>
      </c>
      <c r="K1677" s="56">
        <v>100000</v>
      </c>
      <c r="L1677" t="s">
        <v>732</v>
      </c>
      <c r="M1677" s="71">
        <v>46258</v>
      </c>
      <c r="N1677" t="s">
        <v>576</v>
      </c>
    </row>
    <row r="1678" spans="3:14" hidden="1" x14ac:dyDescent="0.2">
      <c r="C1678" t="s">
        <v>438</v>
      </c>
      <c r="D1678" t="str">
        <f>VLOOKUP(C1678,'Master Anggota'!$E$2:$J$678,2,0)</f>
        <v>Aktif</v>
      </c>
      <c r="G1678" t="str">
        <f>VLOOKUP(C1678,'Master Anggota'!$E$2:$J$678,5,0)</f>
        <v>00616</v>
      </c>
      <c r="H1678" s="82">
        <v>0</v>
      </c>
      <c r="I1678" s="82">
        <v>0</v>
      </c>
      <c r="J1678" s="56">
        <v>100000</v>
      </c>
      <c r="K1678" s="56">
        <v>250000</v>
      </c>
      <c r="L1678" t="s">
        <v>732</v>
      </c>
      <c r="M1678" s="71">
        <v>46258</v>
      </c>
      <c r="N1678" t="s">
        <v>576</v>
      </c>
    </row>
    <row r="1679" spans="3:14" hidden="1" x14ac:dyDescent="0.2">
      <c r="C1679" t="s">
        <v>312</v>
      </c>
      <c r="D1679" t="str">
        <f>VLOOKUP(C1679,'Master Anggota'!$E$2:$J$678,2,0)</f>
        <v>Aktif</v>
      </c>
      <c r="G1679" t="str">
        <f>VLOOKUP(C1679,'Master Anggota'!$E$2:$J$678,5,0)</f>
        <v>00621</v>
      </c>
      <c r="H1679" s="82">
        <v>0</v>
      </c>
      <c r="I1679" s="82">
        <v>0</v>
      </c>
      <c r="J1679" s="56">
        <v>100000</v>
      </c>
      <c r="K1679" s="56">
        <v>100000</v>
      </c>
      <c r="L1679" t="s">
        <v>732</v>
      </c>
      <c r="M1679" s="71">
        <v>46258</v>
      </c>
      <c r="N1679" t="s">
        <v>576</v>
      </c>
    </row>
    <row r="1680" spans="3:14" hidden="1" x14ac:dyDescent="0.2">
      <c r="C1680" t="s">
        <v>452</v>
      </c>
      <c r="D1680" t="str">
        <f>VLOOKUP(C1680,'Master Anggota'!$E$2:$J$678,2,0)</f>
        <v>Aktif</v>
      </c>
      <c r="G1680" t="str">
        <f>VLOOKUP(C1680,'Master Anggota'!$E$2:$J$678,5,0)</f>
        <v>00623</v>
      </c>
      <c r="H1680" s="82">
        <v>0</v>
      </c>
      <c r="I1680" s="82">
        <v>0</v>
      </c>
      <c r="J1680" s="56">
        <v>100000</v>
      </c>
      <c r="K1680" s="56">
        <v>50000</v>
      </c>
      <c r="L1680" t="s">
        <v>732</v>
      </c>
      <c r="M1680" s="71">
        <v>46258</v>
      </c>
      <c r="N1680" t="s">
        <v>576</v>
      </c>
    </row>
    <row r="1681" spans="3:14" hidden="1" x14ac:dyDescent="0.2">
      <c r="C1681" t="s">
        <v>324</v>
      </c>
      <c r="D1681" t="str">
        <f>VLOOKUP(C1681,'Master Anggota'!$E$2:$J$678,2,0)</f>
        <v>Aktif</v>
      </c>
      <c r="G1681" t="str">
        <f>VLOOKUP(C1681,'Master Anggota'!$E$2:$J$678,5,0)</f>
        <v>00626</v>
      </c>
      <c r="H1681" s="82">
        <v>0</v>
      </c>
      <c r="I1681" s="82">
        <v>0</v>
      </c>
      <c r="J1681" s="56">
        <v>100000</v>
      </c>
      <c r="K1681" s="56">
        <v>200000</v>
      </c>
      <c r="L1681" t="s">
        <v>732</v>
      </c>
      <c r="M1681" s="71">
        <v>46258</v>
      </c>
      <c r="N1681" t="s">
        <v>576</v>
      </c>
    </row>
    <row r="1682" spans="3:14" hidden="1" x14ac:dyDescent="0.2">
      <c r="C1682" t="s">
        <v>445</v>
      </c>
      <c r="D1682" t="str">
        <f>VLOOKUP(C1682,'Master Anggota'!$E$2:$J$678,2,0)</f>
        <v>Aktif</v>
      </c>
      <c r="G1682" t="str">
        <f>VLOOKUP(C1682,'Master Anggota'!$E$2:$J$678,5,0)</f>
        <v>00628</v>
      </c>
      <c r="H1682" s="82">
        <v>0</v>
      </c>
      <c r="I1682" s="82">
        <v>0</v>
      </c>
      <c r="J1682" s="56">
        <v>100000</v>
      </c>
      <c r="K1682" s="56">
        <v>150000</v>
      </c>
      <c r="L1682" t="s">
        <v>732</v>
      </c>
      <c r="M1682" s="71">
        <v>46258</v>
      </c>
      <c r="N1682" t="s">
        <v>576</v>
      </c>
    </row>
    <row r="1683" spans="3:14" hidden="1" x14ac:dyDescent="0.2">
      <c r="C1683" t="s">
        <v>425</v>
      </c>
      <c r="D1683" t="str">
        <f>VLOOKUP(C1683,'Master Anggota'!$E$2:$J$678,2,0)</f>
        <v>Aktif</v>
      </c>
      <c r="G1683" t="str">
        <f>VLOOKUP(C1683,'Master Anggota'!$E$2:$J$678,5,0)</f>
        <v>00629</v>
      </c>
      <c r="H1683" s="82">
        <v>0</v>
      </c>
      <c r="I1683" s="82">
        <v>0</v>
      </c>
      <c r="J1683" s="56">
        <v>100000</v>
      </c>
      <c r="K1683" s="56">
        <v>50000</v>
      </c>
      <c r="L1683" t="s">
        <v>732</v>
      </c>
      <c r="M1683" s="71">
        <v>46258</v>
      </c>
      <c r="N1683" t="s">
        <v>576</v>
      </c>
    </row>
    <row r="1684" spans="3:14" hidden="1" x14ac:dyDescent="0.2">
      <c r="C1684" t="s">
        <v>157</v>
      </c>
      <c r="D1684" t="str">
        <f>VLOOKUP(C1684,'Master Anggota'!$E$2:$J$678,2,0)</f>
        <v>Aktif</v>
      </c>
      <c r="G1684" t="str">
        <f>VLOOKUP(C1684,'Master Anggota'!$E$2:$J$678,5,0)</f>
        <v>00633</v>
      </c>
      <c r="H1684" s="82">
        <v>0</v>
      </c>
      <c r="I1684" s="82">
        <v>0</v>
      </c>
      <c r="J1684" s="56">
        <v>100000</v>
      </c>
      <c r="K1684" s="56">
        <v>12500</v>
      </c>
      <c r="L1684" t="s">
        <v>732</v>
      </c>
      <c r="M1684" s="71">
        <v>46258</v>
      </c>
      <c r="N1684" t="s">
        <v>576</v>
      </c>
    </row>
    <row r="1685" spans="3:14" hidden="1" x14ac:dyDescent="0.2">
      <c r="C1685" t="s">
        <v>707</v>
      </c>
      <c r="D1685" t="str">
        <f>VLOOKUP(C1685,'Master Anggota'!$E$2:$J$678,2,0)</f>
        <v>Aktif</v>
      </c>
      <c r="G1685" t="str">
        <f>VLOOKUP(C1685,'Master Anggota'!$E$2:$J$678,5,0)</f>
        <v>00634</v>
      </c>
      <c r="H1685" s="82">
        <v>0</v>
      </c>
      <c r="I1685" s="82">
        <v>0</v>
      </c>
      <c r="J1685" s="56">
        <v>100000</v>
      </c>
      <c r="K1685" s="56">
        <v>80000</v>
      </c>
      <c r="L1685" t="s">
        <v>732</v>
      </c>
      <c r="M1685" s="71">
        <v>46258</v>
      </c>
      <c r="N1685" t="s">
        <v>576</v>
      </c>
    </row>
    <row r="1686" spans="3:14" hidden="1" x14ac:dyDescent="0.2">
      <c r="C1686" t="s">
        <v>435</v>
      </c>
      <c r="D1686" t="str">
        <f>VLOOKUP(C1686,'Master Anggota'!$E$2:$J$678,2,0)</f>
        <v>Aktif</v>
      </c>
      <c r="G1686" t="str">
        <f>VLOOKUP(C1686,'Master Anggota'!$E$2:$J$678,5,0)</f>
        <v>00637</v>
      </c>
      <c r="H1686" s="82">
        <v>0</v>
      </c>
      <c r="I1686" s="82">
        <v>0</v>
      </c>
      <c r="J1686" s="56">
        <v>100000</v>
      </c>
      <c r="K1686" s="56">
        <v>100000</v>
      </c>
      <c r="L1686" t="s">
        <v>732</v>
      </c>
      <c r="M1686" s="71">
        <v>46258</v>
      </c>
      <c r="N1686" t="s">
        <v>576</v>
      </c>
    </row>
    <row r="1687" spans="3:14" hidden="1" x14ac:dyDescent="0.2">
      <c r="C1687" t="s">
        <v>436</v>
      </c>
      <c r="D1687" t="str">
        <f>VLOOKUP(C1687,'Master Anggota'!$E$2:$J$678,2,0)</f>
        <v>Aktif</v>
      </c>
      <c r="G1687" t="str">
        <f>VLOOKUP(C1687,'Master Anggota'!$E$2:$J$678,5,0)</f>
        <v>01708</v>
      </c>
      <c r="H1687" s="82">
        <v>0</v>
      </c>
      <c r="I1687" s="82">
        <v>0</v>
      </c>
      <c r="J1687" s="56">
        <v>100000</v>
      </c>
      <c r="K1687" s="56">
        <v>100000</v>
      </c>
      <c r="L1687" t="s">
        <v>732</v>
      </c>
      <c r="M1687" s="71">
        <v>46258</v>
      </c>
      <c r="N1687" t="s">
        <v>576</v>
      </c>
    </row>
    <row r="1688" spans="3:14" hidden="1" x14ac:dyDescent="0.2">
      <c r="C1688" t="s">
        <v>160</v>
      </c>
      <c r="D1688" t="str">
        <f>VLOOKUP(C1688,'Master Anggota'!$E$2:$J$678,2,0)</f>
        <v>Aktif</v>
      </c>
      <c r="G1688" t="str">
        <f>VLOOKUP(C1688,'Master Anggota'!$E$2:$J$678,5,0)</f>
        <v>01166</v>
      </c>
      <c r="H1688" s="82">
        <v>0</v>
      </c>
      <c r="I1688" s="82">
        <v>0</v>
      </c>
      <c r="J1688" s="56">
        <v>100000</v>
      </c>
      <c r="K1688" s="56">
        <v>75000</v>
      </c>
      <c r="L1688" t="s">
        <v>732</v>
      </c>
      <c r="M1688" s="71">
        <v>46258</v>
      </c>
      <c r="N1688" t="s">
        <v>576</v>
      </c>
    </row>
    <row r="1689" spans="3:14" hidden="1" x14ac:dyDescent="0.2">
      <c r="C1689" t="s">
        <v>676</v>
      </c>
      <c r="D1689" t="str">
        <f>VLOOKUP(C1689,'Master Anggota'!$E$2:$J$678,2,0)</f>
        <v>Aktif</v>
      </c>
      <c r="G1689" t="str">
        <f>VLOOKUP(C1689,'Master Anggota'!$E$2:$J$678,5,0)</f>
        <v>00643</v>
      </c>
      <c r="H1689" s="82">
        <v>0</v>
      </c>
      <c r="I1689" s="82">
        <v>0</v>
      </c>
      <c r="J1689" s="56">
        <v>100000</v>
      </c>
      <c r="K1689" s="56">
        <v>100000</v>
      </c>
      <c r="L1689" t="s">
        <v>732</v>
      </c>
      <c r="M1689" s="71">
        <v>46258</v>
      </c>
      <c r="N1689" t="s">
        <v>576</v>
      </c>
    </row>
    <row r="1690" spans="3:14" hidden="1" x14ac:dyDescent="0.2">
      <c r="C1690" t="s">
        <v>319</v>
      </c>
      <c r="D1690" t="str">
        <f>VLOOKUP(C1690,'Master Anggota'!$E$2:$J$678,2,0)</f>
        <v>Aktif</v>
      </c>
      <c r="G1690" t="str">
        <f>VLOOKUP(C1690,'Master Anggota'!$E$2:$J$678,5,0)</f>
        <v>01302</v>
      </c>
      <c r="H1690" s="82">
        <v>0</v>
      </c>
      <c r="I1690" s="82">
        <v>0</v>
      </c>
      <c r="J1690" s="56">
        <v>100000</v>
      </c>
      <c r="K1690" s="56">
        <v>175000</v>
      </c>
      <c r="L1690" t="s">
        <v>732</v>
      </c>
      <c r="M1690" s="71">
        <v>46258</v>
      </c>
      <c r="N1690" t="s">
        <v>576</v>
      </c>
    </row>
    <row r="1691" spans="3:14" hidden="1" x14ac:dyDescent="0.2">
      <c r="C1691" t="s">
        <v>289</v>
      </c>
      <c r="D1691" t="str">
        <f>VLOOKUP(C1691,'Master Anggota'!$E$2:$J$678,2,0)</f>
        <v>Aktif</v>
      </c>
      <c r="G1691" t="str">
        <f>VLOOKUP(C1691,'Master Anggota'!$E$2:$J$678,5,0)</f>
        <v>01511</v>
      </c>
      <c r="H1691" s="82">
        <v>0</v>
      </c>
      <c r="I1691" s="82">
        <v>0</v>
      </c>
      <c r="J1691" s="56">
        <v>100000</v>
      </c>
      <c r="K1691" s="56">
        <v>75000</v>
      </c>
      <c r="L1691" t="s">
        <v>732</v>
      </c>
      <c r="M1691" s="71">
        <v>46258</v>
      </c>
      <c r="N1691" t="s">
        <v>576</v>
      </c>
    </row>
    <row r="1692" spans="3:14" hidden="1" x14ac:dyDescent="0.2">
      <c r="C1692" t="s">
        <v>169</v>
      </c>
      <c r="D1692" t="str">
        <f>VLOOKUP(C1692,'Master Anggota'!$E$2:$J$678,2,0)</f>
        <v>Aktif</v>
      </c>
      <c r="G1692" t="str">
        <f>VLOOKUP(C1692,'Master Anggota'!$E$2:$J$678,5,0)</f>
        <v>01157</v>
      </c>
      <c r="H1692" s="82">
        <v>0</v>
      </c>
      <c r="I1692" s="82">
        <v>0</v>
      </c>
      <c r="J1692" s="56">
        <v>100000</v>
      </c>
      <c r="K1692" s="56">
        <v>100000</v>
      </c>
      <c r="L1692" t="s">
        <v>732</v>
      </c>
      <c r="M1692" s="71">
        <v>46258</v>
      </c>
      <c r="N1692" t="s">
        <v>576</v>
      </c>
    </row>
    <row r="1693" spans="3:14" hidden="1" x14ac:dyDescent="0.2">
      <c r="C1693" t="s">
        <v>279</v>
      </c>
      <c r="D1693" t="str">
        <f>VLOOKUP(C1693,'Master Anggota'!$E$2:$J$678,2,0)</f>
        <v>Aktif</v>
      </c>
      <c r="G1693" t="str">
        <f>VLOOKUP(C1693,'Master Anggota'!$E$2:$J$678,5,0)</f>
        <v>01315</v>
      </c>
      <c r="H1693" s="82">
        <v>0</v>
      </c>
      <c r="I1693" s="82">
        <v>0</v>
      </c>
      <c r="J1693" s="56">
        <v>100000</v>
      </c>
      <c r="K1693" s="56">
        <v>50000</v>
      </c>
      <c r="L1693" t="s">
        <v>732</v>
      </c>
      <c r="M1693" s="71">
        <v>46258</v>
      </c>
      <c r="N1693" t="s">
        <v>576</v>
      </c>
    </row>
    <row r="1694" spans="3:14" hidden="1" x14ac:dyDescent="0.2">
      <c r="C1694" t="s">
        <v>358</v>
      </c>
      <c r="D1694" t="str">
        <f>VLOOKUP(C1694,'Master Anggota'!$E$2:$J$678,2,0)</f>
        <v>Aktif</v>
      </c>
      <c r="G1694" t="str">
        <f>VLOOKUP(C1694,'Master Anggota'!$E$2:$J$678,5,0)</f>
        <v>01530</v>
      </c>
      <c r="H1694" s="82">
        <v>0</v>
      </c>
      <c r="I1694" s="82">
        <v>0</v>
      </c>
      <c r="J1694" s="56">
        <v>100000</v>
      </c>
      <c r="K1694" s="56">
        <v>50000</v>
      </c>
      <c r="L1694" t="s">
        <v>732</v>
      </c>
      <c r="M1694" s="71">
        <v>46258</v>
      </c>
      <c r="N1694" t="s">
        <v>576</v>
      </c>
    </row>
    <row r="1695" spans="3:14" hidden="1" x14ac:dyDescent="0.2">
      <c r="C1695" t="s">
        <v>677</v>
      </c>
      <c r="D1695" t="str">
        <f>VLOOKUP(C1695,'Master Anggota'!$E$2:$J$678,2,0)</f>
        <v>Aktif</v>
      </c>
      <c r="G1695" t="str">
        <f>VLOOKUP(C1695,'Master Anggota'!$E$2:$J$678,5,0)</f>
        <v>K924</v>
      </c>
      <c r="H1695" s="82">
        <v>0</v>
      </c>
      <c r="I1695" s="82">
        <v>0</v>
      </c>
      <c r="J1695" s="56">
        <v>100000</v>
      </c>
      <c r="K1695" s="56">
        <v>200000</v>
      </c>
      <c r="L1695" t="s">
        <v>732</v>
      </c>
      <c r="M1695" s="71">
        <v>46258</v>
      </c>
      <c r="N1695" t="s">
        <v>576</v>
      </c>
    </row>
    <row r="1696" spans="3:14" hidden="1" x14ac:dyDescent="0.2">
      <c r="C1696" t="s">
        <v>304</v>
      </c>
      <c r="D1696" t="str">
        <f>VLOOKUP(C1696,'Master Anggota'!$E$2:$J$678,2,0)</f>
        <v>Aktif</v>
      </c>
      <c r="G1696" t="str">
        <f>VLOOKUP(C1696,'Master Anggota'!$E$2:$J$678,5,0)</f>
        <v>01541</v>
      </c>
      <c r="H1696" s="82">
        <v>0</v>
      </c>
      <c r="I1696" s="82">
        <v>0</v>
      </c>
      <c r="J1696" s="56">
        <v>100000</v>
      </c>
      <c r="K1696" s="56">
        <v>150000</v>
      </c>
      <c r="L1696" t="s">
        <v>732</v>
      </c>
      <c r="M1696" s="71">
        <v>46258</v>
      </c>
      <c r="N1696" t="s">
        <v>576</v>
      </c>
    </row>
    <row r="1697" spans="3:14" hidden="1" x14ac:dyDescent="0.2">
      <c r="C1697" t="s">
        <v>310</v>
      </c>
      <c r="D1697" t="str">
        <f>VLOOKUP(C1697,'Master Anggota'!$E$2:$J$678,2,0)</f>
        <v>Aktif</v>
      </c>
      <c r="G1697" t="str">
        <f>VLOOKUP(C1697,'Master Anggota'!$E$2:$J$678,5,0)</f>
        <v>01543</v>
      </c>
      <c r="H1697" s="82">
        <v>0</v>
      </c>
      <c r="I1697" s="82">
        <v>0</v>
      </c>
      <c r="J1697" s="56">
        <v>100000</v>
      </c>
      <c r="K1697" s="56">
        <v>150000</v>
      </c>
      <c r="L1697" t="s">
        <v>732</v>
      </c>
      <c r="M1697" s="71">
        <v>46258</v>
      </c>
      <c r="N1697" t="s">
        <v>576</v>
      </c>
    </row>
    <row r="1698" spans="3:14" hidden="1" x14ac:dyDescent="0.2">
      <c r="C1698" t="s">
        <v>316</v>
      </c>
      <c r="D1698" t="str">
        <f>VLOOKUP(C1698,'Master Anggota'!$E$2:$J$678,2,0)</f>
        <v>Aktif</v>
      </c>
      <c r="G1698" t="str">
        <f>VLOOKUP(C1698,'Master Anggota'!$E$2:$J$678,5,0)</f>
        <v>01544</v>
      </c>
      <c r="H1698" s="82">
        <v>0</v>
      </c>
      <c r="I1698" s="82">
        <v>0</v>
      </c>
      <c r="J1698" s="56">
        <v>100000</v>
      </c>
      <c r="K1698" s="56">
        <v>150000</v>
      </c>
      <c r="L1698" t="s">
        <v>732</v>
      </c>
      <c r="M1698" s="71">
        <v>46258</v>
      </c>
      <c r="N1698" t="s">
        <v>576</v>
      </c>
    </row>
    <row r="1699" spans="3:14" hidden="1" x14ac:dyDescent="0.2">
      <c r="C1699" t="s">
        <v>421</v>
      </c>
      <c r="D1699" t="str">
        <f>VLOOKUP(C1699,'Master Anggota'!$E$2:$J$678,2,0)</f>
        <v>Aktif</v>
      </c>
      <c r="G1699" t="str">
        <f>VLOOKUP(C1699,'Master Anggota'!$E$2:$J$678,5,0)</f>
        <v>01560</v>
      </c>
      <c r="H1699" s="82">
        <v>0</v>
      </c>
      <c r="I1699" s="82">
        <v>0</v>
      </c>
      <c r="J1699" s="56">
        <v>100000</v>
      </c>
      <c r="K1699" s="56">
        <v>250000</v>
      </c>
      <c r="L1699" t="s">
        <v>732</v>
      </c>
      <c r="M1699" s="71">
        <v>46258</v>
      </c>
      <c r="N1699" t="s">
        <v>576</v>
      </c>
    </row>
    <row r="1700" spans="3:14" hidden="1" x14ac:dyDescent="0.2">
      <c r="C1700" t="s">
        <v>482</v>
      </c>
      <c r="D1700" t="str">
        <f>VLOOKUP(C1700,'Master Anggota'!$E$2:$J$678,2,0)</f>
        <v>Aktif</v>
      </c>
      <c r="G1700" t="str">
        <f>VLOOKUP(C1700,'Master Anggota'!$E$2:$J$678,5,0)</f>
        <v>01561</v>
      </c>
      <c r="H1700" s="82">
        <v>0</v>
      </c>
      <c r="I1700" s="82">
        <v>0</v>
      </c>
      <c r="J1700" s="56">
        <v>100000</v>
      </c>
      <c r="K1700" s="56">
        <v>100000</v>
      </c>
      <c r="L1700" t="s">
        <v>732</v>
      </c>
      <c r="M1700" s="71">
        <v>46258</v>
      </c>
      <c r="N1700" t="s">
        <v>576</v>
      </c>
    </row>
    <row r="1701" spans="3:14" hidden="1" x14ac:dyDescent="0.2">
      <c r="C1701" t="s">
        <v>317</v>
      </c>
      <c r="D1701" t="str">
        <f>VLOOKUP(C1701,'Master Anggota'!$E$2:$J$678,2,0)</f>
        <v>Aktif</v>
      </c>
      <c r="G1701" t="str">
        <f>VLOOKUP(C1701,'Master Anggota'!$E$2:$J$678,5,0)</f>
        <v>01573</v>
      </c>
      <c r="H1701" s="82">
        <v>0</v>
      </c>
      <c r="I1701" s="82">
        <v>0</v>
      </c>
      <c r="J1701" s="56">
        <v>100000</v>
      </c>
      <c r="K1701" s="56">
        <v>400000</v>
      </c>
      <c r="L1701" t="s">
        <v>732</v>
      </c>
      <c r="M1701" s="71">
        <v>46258</v>
      </c>
      <c r="N1701" t="s">
        <v>576</v>
      </c>
    </row>
    <row r="1702" spans="3:14" hidden="1" x14ac:dyDescent="0.2">
      <c r="C1702" t="s">
        <v>313</v>
      </c>
      <c r="D1702" t="str">
        <f>VLOOKUP(C1702,'Master Anggota'!$E$2:$J$678,2,0)</f>
        <v>Aktif</v>
      </c>
      <c r="G1702" t="str">
        <f>VLOOKUP(C1702,'Master Anggota'!$E$2:$J$678,5,0)</f>
        <v>01594</v>
      </c>
      <c r="H1702" s="82">
        <v>0</v>
      </c>
      <c r="I1702" s="82">
        <v>0</v>
      </c>
      <c r="J1702" s="56">
        <v>100000</v>
      </c>
      <c r="K1702" s="56">
        <v>50000</v>
      </c>
      <c r="L1702" t="s">
        <v>732</v>
      </c>
      <c r="M1702" s="71">
        <v>46258</v>
      </c>
      <c r="N1702" t="s">
        <v>576</v>
      </c>
    </row>
    <row r="1703" spans="3:14" hidden="1" x14ac:dyDescent="0.2">
      <c r="C1703" t="s">
        <v>323</v>
      </c>
      <c r="D1703" t="str">
        <f>VLOOKUP(C1703,'Master Anggota'!$E$2:$J$678,2,0)</f>
        <v>Aktif</v>
      </c>
      <c r="G1703" t="str">
        <f>VLOOKUP(C1703,'Master Anggota'!$E$2:$J$678,5,0)</f>
        <v>01601</v>
      </c>
      <c r="H1703" s="82">
        <v>0</v>
      </c>
      <c r="I1703" s="82">
        <v>0</v>
      </c>
      <c r="J1703" s="56">
        <v>100000</v>
      </c>
      <c r="K1703" s="56">
        <v>150000</v>
      </c>
      <c r="L1703" t="s">
        <v>732</v>
      </c>
      <c r="M1703" s="71">
        <v>46258</v>
      </c>
      <c r="N1703" t="s">
        <v>576</v>
      </c>
    </row>
    <row r="1704" spans="3:14" hidden="1" x14ac:dyDescent="0.2">
      <c r="C1704" t="s">
        <v>311</v>
      </c>
      <c r="D1704" t="str">
        <f>VLOOKUP(C1704,'Master Anggota'!$E$2:$J$678,2,0)</f>
        <v>Aktif</v>
      </c>
      <c r="G1704" t="str">
        <f>VLOOKUP(C1704,'Master Anggota'!$E$2:$J$678,5,0)</f>
        <v>01602</v>
      </c>
      <c r="H1704" s="82">
        <v>0</v>
      </c>
      <c r="I1704" s="82">
        <v>0</v>
      </c>
      <c r="J1704" s="56">
        <v>100000</v>
      </c>
      <c r="K1704" s="56">
        <v>100000</v>
      </c>
      <c r="L1704" t="s">
        <v>732</v>
      </c>
      <c r="M1704" s="71">
        <v>46258</v>
      </c>
      <c r="N1704" t="s">
        <v>576</v>
      </c>
    </row>
    <row r="1705" spans="3:14" hidden="1" x14ac:dyDescent="0.2">
      <c r="C1705" t="s">
        <v>560</v>
      </c>
      <c r="D1705" t="str">
        <f>VLOOKUP(C1705,'Master Anggota'!$E$2:$J$678,2,0)</f>
        <v>Aktif</v>
      </c>
      <c r="G1705" t="str">
        <f>VLOOKUP(C1705,'Master Anggota'!$E$2:$J$678,5,0)</f>
        <v>01603</v>
      </c>
      <c r="H1705" s="82">
        <v>0</v>
      </c>
      <c r="I1705" s="82">
        <v>0</v>
      </c>
      <c r="J1705" s="56">
        <v>100000</v>
      </c>
      <c r="K1705" s="56">
        <v>200000</v>
      </c>
      <c r="L1705" t="s">
        <v>732</v>
      </c>
      <c r="M1705" s="71">
        <v>46258</v>
      </c>
      <c r="N1705" t="s">
        <v>576</v>
      </c>
    </row>
    <row r="1706" spans="3:14" hidden="1" x14ac:dyDescent="0.2">
      <c r="C1706" t="s">
        <v>308</v>
      </c>
      <c r="D1706" t="str">
        <f>VLOOKUP(C1706,'Master Anggota'!$E$2:$J$678,2,0)</f>
        <v>Aktif</v>
      </c>
      <c r="G1706" t="str">
        <f>VLOOKUP(C1706,'Master Anggota'!$E$2:$J$678,5,0)</f>
        <v>01604</v>
      </c>
      <c r="H1706" s="82">
        <v>0</v>
      </c>
      <c r="I1706" s="82">
        <v>0</v>
      </c>
      <c r="J1706" s="56">
        <v>100000</v>
      </c>
      <c r="K1706" s="56">
        <v>100000</v>
      </c>
      <c r="L1706" t="s">
        <v>732</v>
      </c>
      <c r="M1706" s="71">
        <v>46258</v>
      </c>
      <c r="N1706" t="s">
        <v>576</v>
      </c>
    </row>
    <row r="1707" spans="3:14" hidden="1" x14ac:dyDescent="0.2">
      <c r="C1707" t="s">
        <v>318</v>
      </c>
      <c r="D1707" t="str">
        <f>VLOOKUP(C1707,'Master Anggota'!$E$2:$J$678,2,0)</f>
        <v>Aktif</v>
      </c>
      <c r="G1707" t="str">
        <f>VLOOKUP(C1707,'Master Anggota'!$E$2:$J$678,5,0)</f>
        <v>01651</v>
      </c>
      <c r="H1707" s="82">
        <v>0</v>
      </c>
      <c r="I1707" s="82">
        <v>0</v>
      </c>
      <c r="J1707" s="56">
        <v>100000</v>
      </c>
      <c r="K1707" s="56">
        <v>100000</v>
      </c>
      <c r="L1707" t="s">
        <v>732</v>
      </c>
      <c r="M1707" s="71">
        <v>46258</v>
      </c>
      <c r="N1707" t="s">
        <v>576</v>
      </c>
    </row>
    <row r="1708" spans="3:14" hidden="1" x14ac:dyDescent="0.2">
      <c r="C1708" t="s">
        <v>369</v>
      </c>
      <c r="D1708" t="str">
        <f>VLOOKUP(C1708,'Master Anggota'!$E$2:$J$678,2,0)</f>
        <v>Aktif</v>
      </c>
      <c r="G1708" t="str">
        <f>VLOOKUP(C1708,'Master Anggota'!$E$2:$J$678,5,0)</f>
        <v>01654</v>
      </c>
      <c r="H1708" s="82">
        <v>0</v>
      </c>
      <c r="I1708" s="82">
        <v>0</v>
      </c>
      <c r="J1708" s="56">
        <v>100000</v>
      </c>
      <c r="K1708" s="56">
        <v>100000</v>
      </c>
      <c r="L1708" t="s">
        <v>732</v>
      </c>
      <c r="M1708" s="71">
        <v>46258</v>
      </c>
      <c r="N1708" t="s">
        <v>576</v>
      </c>
    </row>
    <row r="1709" spans="3:14" hidden="1" x14ac:dyDescent="0.2">
      <c r="C1709" t="s">
        <v>327</v>
      </c>
      <c r="D1709" t="str">
        <f>VLOOKUP(C1709,'Master Anggota'!$E$2:$J$678,2,0)</f>
        <v>Aktif</v>
      </c>
      <c r="G1709" t="str">
        <f>VLOOKUP(C1709,'Master Anggota'!$E$2:$J$678,5,0)</f>
        <v>01665</v>
      </c>
      <c r="H1709" s="82">
        <v>0</v>
      </c>
      <c r="I1709" s="82">
        <v>0</v>
      </c>
      <c r="J1709" s="56">
        <v>100000</v>
      </c>
      <c r="K1709" s="56">
        <v>50000</v>
      </c>
      <c r="L1709" t="s">
        <v>732</v>
      </c>
      <c r="M1709" s="71">
        <v>46258</v>
      </c>
      <c r="N1709" t="s">
        <v>576</v>
      </c>
    </row>
    <row r="1710" spans="3:14" hidden="1" x14ac:dyDescent="0.2">
      <c r="C1710" t="s">
        <v>367</v>
      </c>
      <c r="D1710" t="str">
        <f>VLOOKUP(C1710,'Master Anggota'!$E$2:$J$678,2,0)</f>
        <v>Aktif</v>
      </c>
      <c r="G1710" t="str">
        <f>VLOOKUP(C1710,'Master Anggota'!$E$2:$J$678,5,0)</f>
        <v>01679</v>
      </c>
      <c r="H1710" s="82">
        <v>0</v>
      </c>
      <c r="I1710" s="82">
        <v>0</v>
      </c>
      <c r="J1710" s="56">
        <v>100000</v>
      </c>
      <c r="K1710" s="56">
        <v>100000</v>
      </c>
      <c r="L1710" t="s">
        <v>732</v>
      </c>
      <c r="M1710" s="71">
        <v>46258</v>
      </c>
      <c r="N1710" t="s">
        <v>576</v>
      </c>
    </row>
    <row r="1711" spans="3:14" hidden="1" x14ac:dyDescent="0.2">
      <c r="C1711" t="s">
        <v>368</v>
      </c>
      <c r="D1711" t="str">
        <f>VLOOKUP(C1711,'Master Anggota'!$E$2:$J$678,2,0)</f>
        <v>Aktif</v>
      </c>
      <c r="G1711" t="str">
        <f>VLOOKUP(C1711,'Master Anggota'!$E$2:$J$678,5,0)</f>
        <v>01703</v>
      </c>
      <c r="H1711" s="82">
        <v>0</v>
      </c>
      <c r="I1711" s="82">
        <v>0</v>
      </c>
      <c r="J1711" s="56">
        <v>100000</v>
      </c>
      <c r="K1711" s="56">
        <v>100000</v>
      </c>
      <c r="L1711" t="s">
        <v>732</v>
      </c>
      <c r="M1711" s="71">
        <v>46258</v>
      </c>
      <c r="N1711" t="s">
        <v>576</v>
      </c>
    </row>
    <row r="1712" spans="3:14" hidden="1" x14ac:dyDescent="0.2">
      <c r="C1712" t="s">
        <v>490</v>
      </c>
      <c r="D1712" t="str">
        <f>VLOOKUP(C1712,'Master Anggota'!$E$2:$J$678,2,0)</f>
        <v>Aktif</v>
      </c>
      <c r="G1712" t="str">
        <f>VLOOKUP(C1712,'Master Anggota'!$E$2:$J$678,5,0)</f>
        <v>01706</v>
      </c>
      <c r="H1712" s="82">
        <v>0</v>
      </c>
      <c r="I1712" s="82">
        <v>0</v>
      </c>
      <c r="J1712" s="56">
        <v>100000</v>
      </c>
      <c r="K1712" s="56">
        <v>100000</v>
      </c>
      <c r="L1712" t="s">
        <v>732</v>
      </c>
      <c r="M1712" s="71">
        <v>46258</v>
      </c>
      <c r="N1712" t="s">
        <v>576</v>
      </c>
    </row>
    <row r="1713" spans="3:14" hidden="1" x14ac:dyDescent="0.2">
      <c r="C1713" t="s">
        <v>444</v>
      </c>
      <c r="D1713" t="str">
        <f>VLOOKUP(C1713,'Master Anggota'!$E$2:$J$678,2,0)</f>
        <v>Aktif</v>
      </c>
      <c r="G1713" t="str">
        <f>VLOOKUP(C1713,'Master Anggota'!$E$2:$J$678,5,0)</f>
        <v>01711</v>
      </c>
      <c r="H1713" s="82">
        <v>0</v>
      </c>
      <c r="I1713" s="82">
        <v>0</v>
      </c>
      <c r="J1713" s="56">
        <v>100000</v>
      </c>
      <c r="K1713" s="56">
        <v>150000</v>
      </c>
      <c r="L1713" t="s">
        <v>732</v>
      </c>
      <c r="M1713" s="71">
        <v>46258</v>
      </c>
      <c r="N1713" t="s">
        <v>576</v>
      </c>
    </row>
    <row r="1714" spans="3:14" hidden="1" x14ac:dyDescent="0.2">
      <c r="C1714" t="s">
        <v>497</v>
      </c>
      <c r="D1714" t="str">
        <f>VLOOKUP(C1714,'Master Anggota'!$E$2:$J$678,2,0)</f>
        <v>Aktif</v>
      </c>
      <c r="G1714" t="str">
        <f>VLOOKUP(C1714,'Master Anggota'!$E$2:$J$678,5,0)</f>
        <v>01719</v>
      </c>
      <c r="H1714" s="82">
        <v>0</v>
      </c>
      <c r="I1714" s="82">
        <v>0</v>
      </c>
      <c r="J1714" s="56">
        <v>100000</v>
      </c>
      <c r="K1714" s="56">
        <v>200000</v>
      </c>
      <c r="L1714" t="s">
        <v>732</v>
      </c>
      <c r="M1714" s="71">
        <v>46258</v>
      </c>
      <c r="N1714" t="s">
        <v>576</v>
      </c>
    </row>
    <row r="1715" spans="3:14" hidden="1" x14ac:dyDescent="0.2">
      <c r="C1715" t="s">
        <v>491</v>
      </c>
      <c r="D1715" t="str">
        <f>VLOOKUP(C1715,'Master Anggota'!$E$2:$J$678,2,0)</f>
        <v>Aktif</v>
      </c>
      <c r="G1715" t="str">
        <f>VLOOKUP(C1715,'Master Anggota'!$E$2:$J$678,5,0)</f>
        <v>01720</v>
      </c>
      <c r="H1715" s="82">
        <v>0</v>
      </c>
      <c r="I1715" s="82">
        <v>0</v>
      </c>
      <c r="J1715" s="56">
        <v>100000</v>
      </c>
      <c r="K1715" s="56">
        <v>100000</v>
      </c>
      <c r="L1715" t="s">
        <v>732</v>
      </c>
      <c r="M1715" s="71">
        <v>46258</v>
      </c>
      <c r="N1715" t="s">
        <v>576</v>
      </c>
    </row>
    <row r="1716" spans="3:14" hidden="1" x14ac:dyDescent="0.2">
      <c r="C1716" t="s">
        <v>498</v>
      </c>
      <c r="D1716" t="str">
        <f>VLOOKUP(C1716,'Master Anggota'!$E$2:$J$678,2,0)</f>
        <v>Aktif</v>
      </c>
      <c r="G1716" t="str">
        <f>VLOOKUP(C1716,'Master Anggota'!$E$2:$J$678,5,0)</f>
        <v>01721</v>
      </c>
      <c r="H1716" s="82">
        <v>0</v>
      </c>
      <c r="I1716" s="82">
        <v>0</v>
      </c>
      <c r="J1716" s="56">
        <v>100000</v>
      </c>
      <c r="K1716" s="56">
        <v>200000</v>
      </c>
      <c r="L1716" t="s">
        <v>732</v>
      </c>
      <c r="M1716" s="71">
        <v>46258</v>
      </c>
      <c r="N1716" t="s">
        <v>576</v>
      </c>
    </row>
    <row r="1717" spans="3:14" hidden="1" x14ac:dyDescent="0.2">
      <c r="C1717" t="s">
        <v>492</v>
      </c>
      <c r="D1717" t="str">
        <f>VLOOKUP(C1717,'Master Anggota'!$E$2:$J$678,2,0)</f>
        <v>Aktif</v>
      </c>
      <c r="G1717" t="str">
        <f>VLOOKUP(C1717,'Master Anggota'!$E$2:$J$678,5,0)</f>
        <v>01728</v>
      </c>
      <c r="H1717" s="82">
        <v>0</v>
      </c>
      <c r="I1717" s="82">
        <v>0</v>
      </c>
      <c r="J1717" s="56">
        <v>100000</v>
      </c>
      <c r="K1717" s="56">
        <v>100000</v>
      </c>
      <c r="L1717" t="s">
        <v>732</v>
      </c>
      <c r="M1717" s="71">
        <v>46258</v>
      </c>
      <c r="N1717" t="s">
        <v>576</v>
      </c>
    </row>
    <row r="1718" spans="3:14" hidden="1" x14ac:dyDescent="0.2">
      <c r="C1718" t="s">
        <v>439</v>
      </c>
      <c r="D1718" t="str">
        <f>VLOOKUP(C1718,'Master Anggota'!$E$2:$J$678,2,0)</f>
        <v>Aktif</v>
      </c>
      <c r="G1718" t="str">
        <f>VLOOKUP(C1718,'Master Anggota'!$E$2:$J$678,5,0)</f>
        <v>01730</v>
      </c>
      <c r="H1718" s="82">
        <v>0</v>
      </c>
      <c r="I1718" s="82">
        <v>0</v>
      </c>
      <c r="J1718" s="56">
        <v>100000</v>
      </c>
      <c r="K1718" s="56">
        <v>300000</v>
      </c>
      <c r="L1718" t="s">
        <v>732</v>
      </c>
      <c r="M1718" s="71">
        <v>46258</v>
      </c>
      <c r="N1718" t="s">
        <v>576</v>
      </c>
    </row>
    <row r="1719" spans="3:14" hidden="1" x14ac:dyDescent="0.2">
      <c r="C1719" t="s">
        <v>493</v>
      </c>
      <c r="D1719" t="str">
        <f>VLOOKUP(C1719,'Master Anggota'!$E$2:$J$678,2,0)</f>
        <v>Aktif</v>
      </c>
      <c r="G1719" t="str">
        <f>VLOOKUP(C1719,'Master Anggota'!$E$2:$J$678,5,0)</f>
        <v>01731</v>
      </c>
      <c r="H1719" s="82">
        <v>0</v>
      </c>
      <c r="I1719" s="82">
        <v>0</v>
      </c>
      <c r="J1719" s="56">
        <v>100000</v>
      </c>
      <c r="K1719" s="56">
        <v>100000</v>
      </c>
      <c r="L1719" t="s">
        <v>732</v>
      </c>
      <c r="M1719" s="71">
        <v>46258</v>
      </c>
      <c r="N1719" t="s">
        <v>576</v>
      </c>
    </row>
    <row r="1720" spans="3:14" hidden="1" x14ac:dyDescent="0.2">
      <c r="C1720" t="s">
        <v>451</v>
      </c>
      <c r="D1720" t="str">
        <f>VLOOKUP(C1720,'Master Anggota'!$E$2:$J$678,2,0)</f>
        <v>Aktif</v>
      </c>
      <c r="G1720" t="str">
        <f>VLOOKUP(C1720,'Master Anggota'!$E$2:$J$678,5,0)</f>
        <v>01735</v>
      </c>
      <c r="H1720" s="82">
        <v>0</v>
      </c>
      <c r="I1720" s="82">
        <v>0</v>
      </c>
      <c r="J1720" s="56">
        <v>100000</v>
      </c>
      <c r="K1720" s="56">
        <v>150000</v>
      </c>
      <c r="L1720" t="s">
        <v>732</v>
      </c>
      <c r="M1720" s="71">
        <v>46258</v>
      </c>
      <c r="N1720" t="s">
        <v>576</v>
      </c>
    </row>
    <row r="1721" spans="3:14" hidden="1" x14ac:dyDescent="0.2">
      <c r="C1721" t="s">
        <v>448</v>
      </c>
      <c r="D1721" t="str">
        <f>VLOOKUP(C1721,'Master Anggota'!$E$2:$J$678,2,0)</f>
        <v>Aktif</v>
      </c>
      <c r="G1721" t="str">
        <f>VLOOKUP(C1721,'Master Anggota'!$E$2:$J$678,5,0)</f>
        <v>01737</v>
      </c>
      <c r="H1721" s="82">
        <v>0</v>
      </c>
      <c r="I1721" s="82">
        <v>0</v>
      </c>
      <c r="J1721" s="56">
        <v>100000</v>
      </c>
      <c r="K1721" s="56">
        <v>150000</v>
      </c>
      <c r="L1721" t="s">
        <v>732</v>
      </c>
      <c r="M1721" s="71">
        <v>46258</v>
      </c>
      <c r="N1721" t="s">
        <v>576</v>
      </c>
    </row>
    <row r="1722" spans="3:14" hidden="1" x14ac:dyDescent="0.2">
      <c r="C1722" t="s">
        <v>450</v>
      </c>
      <c r="D1722" t="str">
        <f>VLOOKUP(C1722,'Master Anggota'!$E$2:$J$678,2,0)</f>
        <v>Aktif</v>
      </c>
      <c r="G1722" t="str">
        <f>VLOOKUP(C1722,'Master Anggota'!$E$2:$J$678,5,0)</f>
        <v>01738</v>
      </c>
      <c r="H1722" s="82">
        <v>0</v>
      </c>
      <c r="I1722" s="82">
        <v>0</v>
      </c>
      <c r="J1722" s="56">
        <v>100000</v>
      </c>
      <c r="K1722" s="56">
        <v>50000</v>
      </c>
      <c r="L1722" t="s">
        <v>732</v>
      </c>
      <c r="M1722" s="71">
        <v>46258</v>
      </c>
      <c r="N1722" t="s">
        <v>576</v>
      </c>
    </row>
    <row r="1723" spans="3:14" hidden="1" x14ac:dyDescent="0.2">
      <c r="C1723" t="s">
        <v>449</v>
      </c>
      <c r="D1723" t="str">
        <f>VLOOKUP(C1723,'Master Anggota'!$E$2:$J$678,2,0)</f>
        <v>Aktif</v>
      </c>
      <c r="G1723" t="str">
        <f>VLOOKUP(C1723,'Master Anggota'!$E$2:$J$678,5,0)</f>
        <v>01739</v>
      </c>
      <c r="H1723" s="82">
        <v>0</v>
      </c>
      <c r="I1723" s="82">
        <v>0</v>
      </c>
      <c r="J1723" s="56">
        <v>100000</v>
      </c>
      <c r="K1723" s="56">
        <v>150000</v>
      </c>
      <c r="L1723" t="s">
        <v>732</v>
      </c>
      <c r="M1723" s="71">
        <v>46258</v>
      </c>
      <c r="N1723" t="s">
        <v>576</v>
      </c>
    </row>
    <row r="1724" spans="3:14" hidden="1" x14ac:dyDescent="0.2">
      <c r="C1724" t="s">
        <v>446</v>
      </c>
      <c r="D1724" t="str">
        <f>VLOOKUP(C1724,'Master Anggota'!$E$2:$J$678,2,0)</f>
        <v>Aktif</v>
      </c>
      <c r="G1724" t="str">
        <f>VLOOKUP(C1724,'Master Anggota'!$E$2:$J$678,5,0)</f>
        <v>01740</v>
      </c>
      <c r="H1724" s="82">
        <v>0</v>
      </c>
      <c r="I1724" s="82">
        <v>0</v>
      </c>
      <c r="J1724" s="56">
        <v>100000</v>
      </c>
      <c r="K1724" s="56">
        <v>50000</v>
      </c>
      <c r="L1724" t="s">
        <v>732</v>
      </c>
      <c r="M1724" s="71">
        <v>46258</v>
      </c>
      <c r="N1724" t="s">
        <v>576</v>
      </c>
    </row>
    <row r="1725" spans="3:14" hidden="1" x14ac:dyDescent="0.2">
      <c r="C1725" t="s">
        <v>713</v>
      </c>
      <c r="D1725" t="str">
        <f>VLOOKUP(C1725,'Master Anggota'!$E$2:$J$678,2,0)</f>
        <v>Aktif</v>
      </c>
      <c r="G1725" t="str">
        <f>VLOOKUP(C1725,'Master Anggota'!$E$2:$J$678,5,0)</f>
        <v>K1756</v>
      </c>
      <c r="H1725" s="82">
        <v>0</v>
      </c>
      <c r="I1725" s="82">
        <v>0</v>
      </c>
      <c r="J1725" s="56">
        <v>100000</v>
      </c>
      <c r="K1725" s="56">
        <v>200000</v>
      </c>
      <c r="L1725" t="s">
        <v>732</v>
      </c>
      <c r="M1725" s="71">
        <v>46258</v>
      </c>
      <c r="N1725" t="s">
        <v>576</v>
      </c>
    </row>
    <row r="1726" spans="3:14" hidden="1" x14ac:dyDescent="0.2">
      <c r="C1726" t="s">
        <v>524</v>
      </c>
      <c r="D1726" t="str">
        <f>VLOOKUP(C1726,'Master Anggota'!$E$2:$J$678,2,0)</f>
        <v>Aktif</v>
      </c>
      <c r="G1726" t="str">
        <f>VLOOKUP(C1726,'Master Anggota'!$E$2:$J$678,5,0)</f>
        <v>01743</v>
      </c>
      <c r="H1726" s="82">
        <v>0</v>
      </c>
      <c r="I1726" s="82">
        <v>0</v>
      </c>
      <c r="J1726" s="56">
        <v>100000</v>
      </c>
      <c r="K1726" s="56">
        <v>100000</v>
      </c>
      <c r="L1726" t="s">
        <v>732</v>
      </c>
      <c r="M1726" s="71">
        <v>46258</v>
      </c>
      <c r="N1726" t="s">
        <v>576</v>
      </c>
    </row>
    <row r="1727" spans="3:14" hidden="1" x14ac:dyDescent="0.2">
      <c r="C1727" t="s">
        <v>495</v>
      </c>
      <c r="D1727" t="str">
        <f>VLOOKUP(C1727,'Master Anggota'!$E$2:$J$678,2,0)</f>
        <v>Aktif</v>
      </c>
      <c r="G1727" t="str">
        <f>VLOOKUP(C1727,'Master Anggota'!$E$2:$J$678,5,0)</f>
        <v>01754</v>
      </c>
      <c r="H1727" s="82">
        <v>0</v>
      </c>
      <c r="I1727" s="82">
        <v>0</v>
      </c>
      <c r="J1727" s="56">
        <v>100000</v>
      </c>
      <c r="K1727" s="56">
        <v>100000</v>
      </c>
      <c r="L1727" t="s">
        <v>732</v>
      </c>
      <c r="M1727" s="71">
        <v>46258</v>
      </c>
      <c r="N1727" t="s">
        <v>576</v>
      </c>
    </row>
    <row r="1728" spans="3:14" hidden="1" x14ac:dyDescent="0.2">
      <c r="C1728" t="s">
        <v>499</v>
      </c>
      <c r="D1728" t="str">
        <f>VLOOKUP(C1728,'Master Anggota'!$E$2:$J$678,2,0)</f>
        <v>Aktif</v>
      </c>
      <c r="G1728" t="str">
        <f>VLOOKUP(C1728,'Master Anggota'!$E$2:$J$678,5,0)</f>
        <v>01775</v>
      </c>
      <c r="H1728" s="82">
        <v>0</v>
      </c>
      <c r="I1728" s="82">
        <v>0</v>
      </c>
      <c r="J1728" s="56">
        <v>100000</v>
      </c>
      <c r="K1728" s="56">
        <v>400000</v>
      </c>
      <c r="L1728" t="s">
        <v>732</v>
      </c>
      <c r="M1728" s="71">
        <v>46258</v>
      </c>
      <c r="N1728" t="s">
        <v>576</v>
      </c>
    </row>
    <row r="1729" spans="3:14" hidden="1" x14ac:dyDescent="0.2">
      <c r="C1729" t="s">
        <v>500</v>
      </c>
      <c r="D1729" t="str">
        <f>VLOOKUP(C1729,'Master Anggota'!$E$2:$J$678,2,0)</f>
        <v>Aktif</v>
      </c>
      <c r="G1729" t="str">
        <f>VLOOKUP(C1729,'Master Anggota'!$E$2:$J$678,5,0)</f>
        <v>01776</v>
      </c>
      <c r="H1729" s="82">
        <v>0</v>
      </c>
      <c r="I1729" s="82">
        <v>0</v>
      </c>
      <c r="J1729" s="56">
        <v>100000</v>
      </c>
      <c r="K1729" s="56">
        <v>200000</v>
      </c>
      <c r="L1729" t="s">
        <v>732</v>
      </c>
      <c r="M1729" s="71">
        <v>46258</v>
      </c>
      <c r="N1729" t="s">
        <v>576</v>
      </c>
    </row>
    <row r="1730" spans="3:14" hidden="1" x14ac:dyDescent="0.2">
      <c r="C1730" t="s">
        <v>539</v>
      </c>
      <c r="D1730" t="str">
        <f>VLOOKUP(C1730,'Master Anggota'!$E$2:$J$678,2,0)</f>
        <v>Aktif</v>
      </c>
      <c r="G1730" t="str">
        <f>VLOOKUP(C1730,'Master Anggota'!$E$2:$J$678,5,0)</f>
        <v>01800</v>
      </c>
      <c r="H1730" s="82">
        <v>0</v>
      </c>
      <c r="I1730" s="82">
        <v>0</v>
      </c>
      <c r="J1730" s="56">
        <v>100000</v>
      </c>
      <c r="K1730" s="56">
        <v>100000</v>
      </c>
      <c r="L1730" t="s">
        <v>732</v>
      </c>
      <c r="M1730" s="71">
        <v>46258</v>
      </c>
      <c r="N1730" t="s">
        <v>576</v>
      </c>
    </row>
    <row r="1731" spans="3:14" hidden="1" x14ac:dyDescent="0.2">
      <c r="C1731" t="s">
        <v>526</v>
      </c>
      <c r="D1731" t="str">
        <f>VLOOKUP(C1731,'Master Anggota'!$E$2:$J$678,2,0)</f>
        <v>Aktif</v>
      </c>
      <c r="G1731" t="str">
        <f>VLOOKUP(C1731,'Master Anggota'!$E$2:$J$678,5,0)</f>
        <v>PHL</v>
      </c>
      <c r="H1731" s="82">
        <v>0</v>
      </c>
      <c r="I1731" s="82">
        <v>0</v>
      </c>
      <c r="J1731" s="56">
        <v>100000</v>
      </c>
      <c r="K1731" s="56">
        <v>200000</v>
      </c>
      <c r="L1731" t="s">
        <v>732</v>
      </c>
      <c r="M1731" s="71">
        <v>46258</v>
      </c>
      <c r="N1731" t="s">
        <v>576</v>
      </c>
    </row>
    <row r="1732" spans="3:14" hidden="1" x14ac:dyDescent="0.2">
      <c r="C1732" t="s">
        <v>527</v>
      </c>
      <c r="D1732" t="str">
        <f>VLOOKUP(C1732,'Master Anggota'!$E$2:$J$678,2,0)</f>
        <v>Aktif</v>
      </c>
      <c r="G1732" t="str">
        <f>VLOOKUP(C1732,'Master Anggota'!$E$2:$J$678,5,0)</f>
        <v>PHL</v>
      </c>
      <c r="H1732" s="82">
        <v>0</v>
      </c>
      <c r="I1732" s="82">
        <v>0</v>
      </c>
      <c r="J1732" s="56">
        <v>100000</v>
      </c>
      <c r="K1732" s="56">
        <v>200000</v>
      </c>
      <c r="L1732" t="s">
        <v>732</v>
      </c>
      <c r="M1732" s="71">
        <v>46258</v>
      </c>
      <c r="N1732" t="s">
        <v>576</v>
      </c>
    </row>
    <row r="1733" spans="3:14" hidden="1" x14ac:dyDescent="0.2">
      <c r="C1733" t="s">
        <v>287</v>
      </c>
      <c r="D1733" t="str">
        <f>VLOOKUP(C1733,'Master Anggota'!$E$2:$J$678,2,0)</f>
        <v>PHL</v>
      </c>
      <c r="G1733" t="str">
        <f>VLOOKUP(C1733,'Master Anggota'!$E$2:$J$678,5,0)</f>
        <v>01510</v>
      </c>
      <c r="H1733" s="82">
        <v>0</v>
      </c>
      <c r="I1733" s="82">
        <v>0</v>
      </c>
      <c r="J1733" s="56">
        <v>100000</v>
      </c>
      <c r="K1733" s="56">
        <v>100000</v>
      </c>
      <c r="L1733" t="s">
        <v>732</v>
      </c>
      <c r="M1733" s="71">
        <v>46258</v>
      </c>
      <c r="N1733" t="s">
        <v>576</v>
      </c>
    </row>
    <row r="1734" spans="3:14" hidden="1" x14ac:dyDescent="0.2">
      <c r="C1734" t="s">
        <v>295</v>
      </c>
      <c r="D1734" t="str">
        <f>VLOOKUP(C1734,'Master Anggota'!$E$2:$J$678,2,0)</f>
        <v>PHL</v>
      </c>
      <c r="G1734" t="str">
        <f>VLOOKUP(C1734,'Master Anggota'!$E$2:$J$678,5,0)</f>
        <v>PHL</v>
      </c>
      <c r="H1734" s="82">
        <v>0</v>
      </c>
      <c r="I1734" s="82">
        <v>0</v>
      </c>
      <c r="J1734" s="56">
        <v>100000</v>
      </c>
      <c r="K1734" s="56">
        <v>100000</v>
      </c>
      <c r="L1734" t="s">
        <v>732</v>
      </c>
      <c r="M1734" s="71">
        <v>46258</v>
      </c>
      <c r="N1734" t="s">
        <v>576</v>
      </c>
    </row>
    <row r="1735" spans="3:14" hidden="1" x14ac:dyDescent="0.2">
      <c r="C1735" t="s">
        <v>278</v>
      </c>
      <c r="D1735" t="str">
        <f>VLOOKUP(C1735,'Master Anggota'!$E$2:$J$678,2,0)</f>
        <v>Aktif</v>
      </c>
      <c r="G1735" t="str">
        <f>VLOOKUP(C1735,'Master Anggota'!$E$2:$J$678,5,0)</f>
        <v>PHL</v>
      </c>
      <c r="H1735" s="82">
        <v>0</v>
      </c>
      <c r="I1735" s="82">
        <v>0</v>
      </c>
      <c r="J1735" s="56">
        <v>100000</v>
      </c>
      <c r="K1735" s="56">
        <v>10000</v>
      </c>
      <c r="L1735" t="s">
        <v>732</v>
      </c>
      <c r="M1735" s="71">
        <v>46258</v>
      </c>
      <c r="N1735" t="s">
        <v>576</v>
      </c>
    </row>
    <row r="1736" spans="3:14" hidden="1" x14ac:dyDescent="0.2">
      <c r="C1736" t="s">
        <v>87</v>
      </c>
      <c r="D1736" t="str">
        <f>VLOOKUP(C1736,'Master Anggota'!$E$2:$J$678,2,0)</f>
        <v>Aktif</v>
      </c>
      <c r="G1736" t="str">
        <f>VLOOKUP(C1736,'Master Anggota'!$E$2:$J$678,5,0)</f>
        <v>00554</v>
      </c>
      <c r="H1736" s="82">
        <v>0</v>
      </c>
      <c r="I1736" s="82">
        <v>0</v>
      </c>
      <c r="J1736" s="82">
        <v>0</v>
      </c>
      <c r="K1736" s="82">
        <v>-5000000</v>
      </c>
      <c r="L1736" t="s">
        <v>757</v>
      </c>
      <c r="M1736" s="71">
        <v>46266</v>
      </c>
      <c r="N1736" t="s">
        <v>611</v>
      </c>
    </row>
    <row r="1737" spans="3:14" hidden="1" x14ac:dyDescent="0.2">
      <c r="C1737" t="s">
        <v>8</v>
      </c>
      <c r="D1737" t="str">
        <f>VLOOKUP(C1737,'Master Anggota'!$E$2:$J$678,2,0)</f>
        <v>Aktif</v>
      </c>
      <c r="G1737" t="str">
        <f>VLOOKUP(C1737,'Master Anggota'!$E$2:$J$678,5,0)</f>
        <v>00553</v>
      </c>
      <c r="H1737" s="82">
        <v>0</v>
      </c>
      <c r="I1737" s="82">
        <v>0</v>
      </c>
      <c r="J1737" s="82">
        <v>0</v>
      </c>
      <c r="K1737" s="82">
        <v>-1500000</v>
      </c>
      <c r="L1737" t="s">
        <v>757</v>
      </c>
      <c r="M1737" s="71">
        <v>46266</v>
      </c>
      <c r="N1737" t="s">
        <v>611</v>
      </c>
    </row>
    <row r="1738" spans="3:14" hidden="1" x14ac:dyDescent="0.2">
      <c r="C1738" t="s">
        <v>314</v>
      </c>
      <c r="D1738" t="str">
        <f>VLOOKUP(C1738,'Master Anggota'!$E$2:$J$678,2,0)</f>
        <v>Purna Bakti 2026</v>
      </c>
      <c r="G1738" t="str">
        <f>VLOOKUP(C1738,'Master Anggota'!$E$2:$J$678,5,0)</f>
        <v>00587</v>
      </c>
      <c r="H1738" s="82">
        <v>-930313</v>
      </c>
      <c r="I1738" s="82">
        <v>0</v>
      </c>
      <c r="J1738" s="82">
        <v>-4100000</v>
      </c>
      <c r="K1738" s="82">
        <v>-3767593</v>
      </c>
      <c r="L1738" t="s">
        <v>732</v>
      </c>
      <c r="M1738" s="71">
        <v>46249</v>
      </c>
      <c r="N1738" t="s">
        <v>758</v>
      </c>
    </row>
    <row r="1739" spans="3:14" hidden="1" x14ac:dyDescent="0.2">
      <c r="C1739" t="s">
        <v>118</v>
      </c>
      <c r="D1739" t="str">
        <f>VLOOKUP(C1739,'Master Anggota'!$E$2:$J$678,2,0)</f>
        <v>Aktif</v>
      </c>
      <c r="G1739" t="str">
        <f>VLOOKUP(C1739,'Master Anggota'!$E$2:$J$678,5,0)</f>
        <v>00544</v>
      </c>
      <c r="H1739" s="82">
        <v>0</v>
      </c>
      <c r="I1739" s="82">
        <v>0</v>
      </c>
      <c r="J1739" s="82">
        <v>0</v>
      </c>
      <c r="K1739" s="82">
        <v>-1500000</v>
      </c>
      <c r="L1739" t="s">
        <v>757</v>
      </c>
      <c r="M1739" s="71">
        <v>46267</v>
      </c>
      <c r="N1739" t="s">
        <v>611</v>
      </c>
    </row>
    <row r="1740" spans="3:14" hidden="1" x14ac:dyDescent="0.2">
      <c r="C1740" t="s">
        <v>314</v>
      </c>
      <c r="D1740" t="str">
        <f>VLOOKUP(C1740,'Master Anggota'!$E$2:$J$678,2,0)</f>
        <v>Purna Bakti 2026</v>
      </c>
      <c r="G1740" t="str">
        <f>VLOOKUP(C1740,'Master Anggota'!$E$2:$J$678,5,0)</f>
        <v>00587</v>
      </c>
      <c r="H1740" s="82">
        <v>0</v>
      </c>
      <c r="I1740" s="82">
        <v>0</v>
      </c>
      <c r="J1740" s="82">
        <v>-100000</v>
      </c>
      <c r="K1740" s="82">
        <v>-400000</v>
      </c>
      <c r="L1740" t="s">
        <v>732</v>
      </c>
      <c r="M1740" s="71">
        <v>46249</v>
      </c>
      <c r="N1740" t="s">
        <v>758</v>
      </c>
    </row>
    <row r="1741" spans="3:14" hidden="1" x14ac:dyDescent="0.2">
      <c r="C1741" t="s">
        <v>117</v>
      </c>
      <c r="D1741" t="str">
        <f>VLOOKUP(C1741,'Master Anggota'!$E$2:$J$678,2,0)</f>
        <v>Aktif</v>
      </c>
      <c r="G1741" t="str">
        <f>VLOOKUP(C1741,'Master Anggota'!$E$2:$J$678,5,0)</f>
        <v>00497</v>
      </c>
      <c r="H1741" s="82">
        <v>0</v>
      </c>
      <c r="I1741" s="82">
        <v>0</v>
      </c>
      <c r="J1741" s="82">
        <v>0</v>
      </c>
      <c r="K1741" s="82">
        <v>-4000000</v>
      </c>
      <c r="L1741" t="s">
        <v>757</v>
      </c>
      <c r="M1741" s="71">
        <v>46267</v>
      </c>
      <c r="N1741" t="s">
        <v>611</v>
      </c>
    </row>
    <row r="1742" spans="3:14" x14ac:dyDescent="0.2">
      <c r="H1742" s="82"/>
      <c r="I1742" s="82"/>
      <c r="J1742" s="82"/>
      <c r="K1742" s="82"/>
      <c r="M1742" s="71"/>
    </row>
  </sheetData>
  <autoFilter ref="B1:O1741" xr:uid="{1DFE3A56-1275-354B-AF9B-C0B2A59C3E6D}">
    <filterColumn colId="1">
      <filters>
        <filter val="Idris Rusmianto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6815-E394-6B4B-9C9D-0BA533AA19DC}">
  <sheetPr>
    <tabColor theme="6" tint="0.39997558519241921"/>
    <pageSetUpPr fitToPage="1"/>
  </sheetPr>
  <dimension ref="A1:I1307"/>
  <sheetViews>
    <sheetView topLeftCell="A2" zoomScale="136" workbookViewId="0">
      <selection activeCell="G17" sqref="A5:G17"/>
    </sheetView>
  </sheetViews>
  <sheetFormatPr baseColWidth="10" defaultColWidth="10.83203125" defaultRowHeight="16" x14ac:dyDescent="0.2"/>
  <cols>
    <col min="1" max="1" width="24.5" customWidth="1"/>
    <col min="2" max="2" width="10" bestFit="1" customWidth="1"/>
    <col min="3" max="4" width="19.1640625" style="56" bestFit="1" customWidth="1"/>
    <col min="5" max="5" width="12.5" style="109" bestFit="1" customWidth="1"/>
    <col min="6" max="6" width="19.1640625" style="56" bestFit="1" customWidth="1"/>
    <col min="7" max="7" width="16.83203125" style="56" bestFit="1" customWidth="1"/>
    <col min="8" max="8" width="14" bestFit="1" customWidth="1"/>
    <col min="11" max="11" width="11.1640625" bestFit="1" customWidth="1"/>
  </cols>
  <sheetData>
    <row r="1" spans="1:7" x14ac:dyDescent="0.2">
      <c r="E1" s="82"/>
    </row>
    <row r="2" spans="1:7" x14ac:dyDescent="0.2">
      <c r="A2" s="57" t="s">
        <v>589</v>
      </c>
      <c r="B2" t="s">
        <v>743</v>
      </c>
      <c r="E2" s="82"/>
    </row>
    <row r="3" spans="1:7" x14ac:dyDescent="0.2">
      <c r="C3"/>
      <c r="D3"/>
      <c r="E3"/>
      <c r="F3"/>
      <c r="G3"/>
    </row>
    <row r="4" spans="1:7" x14ac:dyDescent="0.2">
      <c r="A4" s="57" t="s">
        <v>601</v>
      </c>
      <c r="C4" s="57" t="s">
        <v>592</v>
      </c>
      <c r="D4"/>
      <c r="E4"/>
      <c r="F4"/>
      <c r="G4"/>
    </row>
    <row r="5" spans="1:7" x14ac:dyDescent="0.2">
      <c r="A5" s="57" t="s">
        <v>588</v>
      </c>
      <c r="B5" s="57" t="s">
        <v>590</v>
      </c>
      <c r="C5" t="s">
        <v>599</v>
      </c>
      <c r="D5" t="s">
        <v>617</v>
      </c>
      <c r="E5" t="s">
        <v>616</v>
      </c>
      <c r="F5" t="s">
        <v>598</v>
      </c>
      <c r="G5" t="s">
        <v>476</v>
      </c>
    </row>
    <row r="6" spans="1:7" x14ac:dyDescent="0.2">
      <c r="A6" t="s">
        <v>194</v>
      </c>
      <c r="B6" s="73">
        <v>46022</v>
      </c>
      <c r="C6" s="60">
        <v>93450000</v>
      </c>
      <c r="D6" s="60"/>
      <c r="E6" s="60"/>
      <c r="F6" s="60"/>
      <c r="G6" s="60">
        <v>93450000</v>
      </c>
    </row>
    <row r="7" spans="1:7" x14ac:dyDescent="0.2">
      <c r="B7" s="73">
        <v>46045</v>
      </c>
      <c r="C7" s="60"/>
      <c r="D7" s="60">
        <v>93000000</v>
      </c>
      <c r="E7" s="60">
        <v>25400000</v>
      </c>
      <c r="F7" s="60">
        <v>-93450000</v>
      </c>
      <c r="G7" s="60">
        <v>24950000</v>
      </c>
    </row>
    <row r="8" spans="1:7" x14ac:dyDescent="0.2">
      <c r="B8" s="73">
        <v>46078</v>
      </c>
      <c r="C8" s="60"/>
      <c r="D8" s="60"/>
      <c r="E8" s="60"/>
      <c r="F8" s="60">
        <v>-5920000</v>
      </c>
      <c r="G8" s="60">
        <v>-5920000</v>
      </c>
    </row>
    <row r="9" spans="1:7" x14ac:dyDescent="0.2">
      <c r="B9" s="73">
        <v>46106</v>
      </c>
      <c r="C9" s="60"/>
      <c r="D9" s="60"/>
      <c r="E9" s="60"/>
      <c r="F9" s="60">
        <v>-5920000</v>
      </c>
      <c r="G9" s="60">
        <v>-5920000</v>
      </c>
    </row>
    <row r="10" spans="1:7" x14ac:dyDescent="0.2">
      <c r="B10" s="73">
        <v>46136</v>
      </c>
      <c r="C10" s="60"/>
      <c r="D10" s="60"/>
      <c r="E10" s="60"/>
      <c r="F10" s="60">
        <v>-5920000</v>
      </c>
      <c r="G10" s="60">
        <v>-5920000</v>
      </c>
    </row>
    <row r="11" spans="1:7" x14ac:dyDescent="0.2">
      <c r="B11" s="73">
        <v>46167</v>
      </c>
      <c r="C11" s="60"/>
      <c r="D11" s="60"/>
      <c r="E11" s="60"/>
      <c r="F11" s="60">
        <v>-5920000</v>
      </c>
      <c r="G11" s="60">
        <v>-5920000</v>
      </c>
    </row>
    <row r="12" spans="1:7" x14ac:dyDescent="0.2">
      <c r="B12" s="73">
        <v>46198</v>
      </c>
      <c r="C12" s="60"/>
      <c r="D12" s="60"/>
      <c r="E12" s="60"/>
      <c r="F12" s="60">
        <v>-5920000</v>
      </c>
      <c r="G12" s="60">
        <v>-5920000</v>
      </c>
    </row>
    <row r="13" spans="1:7" x14ac:dyDescent="0.2">
      <c r="B13" s="73">
        <v>46227</v>
      </c>
      <c r="C13" s="60"/>
      <c r="D13" s="60"/>
      <c r="E13" s="60"/>
      <c r="F13" s="60">
        <v>-5920000</v>
      </c>
      <c r="G13" s="60">
        <v>-5920000</v>
      </c>
    </row>
    <row r="14" spans="1:7" x14ac:dyDescent="0.2">
      <c r="B14" s="73">
        <v>46258</v>
      </c>
      <c r="C14" s="60"/>
      <c r="D14" s="60"/>
      <c r="E14" s="60"/>
      <c r="F14" s="60">
        <v>-5920000</v>
      </c>
      <c r="G14" s="60">
        <v>-5920000</v>
      </c>
    </row>
    <row r="15" spans="1:7" x14ac:dyDescent="0.2">
      <c r="A15" t="s">
        <v>760</v>
      </c>
      <c r="C15" s="60">
        <v>93450000</v>
      </c>
      <c r="D15" s="60">
        <v>93000000</v>
      </c>
      <c r="E15" s="60">
        <v>25400000</v>
      </c>
      <c r="F15" s="60">
        <v>-134890000</v>
      </c>
      <c r="G15" s="60">
        <v>76960000</v>
      </c>
    </row>
    <row r="16" spans="1:7" x14ac:dyDescent="0.2">
      <c r="C16" s="60"/>
      <c r="D16" s="60"/>
      <c r="E16" s="60"/>
      <c r="F16" s="60"/>
      <c r="G16" s="60"/>
    </row>
    <row r="17" spans="1:9" x14ac:dyDescent="0.2">
      <c r="A17" t="s">
        <v>476</v>
      </c>
      <c r="C17" s="60">
        <v>93450000</v>
      </c>
      <c r="D17" s="60">
        <v>93000000</v>
      </c>
      <c r="E17" s="60">
        <v>25400000</v>
      </c>
      <c r="F17" s="60">
        <v>-134890000</v>
      </c>
      <c r="G17" s="60">
        <v>76960000</v>
      </c>
    </row>
    <row r="18" spans="1:9" ht="18" customHeight="1" x14ac:dyDescent="0.2">
      <c r="C18"/>
      <c r="D18"/>
      <c r="E18"/>
      <c r="F18"/>
      <c r="G18"/>
      <c r="I18" s="117"/>
    </row>
    <row r="19" spans="1:9" ht="16" customHeight="1" x14ac:dyDescent="0.2">
      <c r="C19"/>
      <c r="D19"/>
      <c r="E19"/>
      <c r="F19"/>
      <c r="G19"/>
      <c r="H19" s="56"/>
      <c r="I19" s="117"/>
    </row>
    <row r="20" spans="1:9" ht="18" customHeight="1" x14ac:dyDescent="0.2">
      <c r="C20"/>
      <c r="D20"/>
      <c r="E20"/>
      <c r="F20"/>
      <c r="G20"/>
      <c r="H20" s="60"/>
      <c r="I20" s="117"/>
    </row>
    <row r="21" spans="1:9" ht="18" customHeight="1" x14ac:dyDescent="0.2">
      <c r="C21"/>
      <c r="D21"/>
      <c r="E21"/>
      <c r="F21"/>
      <c r="G21"/>
      <c r="H21" s="60"/>
      <c r="I21" s="117"/>
    </row>
    <row r="22" spans="1:9" x14ac:dyDescent="0.2">
      <c r="C22"/>
      <c r="D22"/>
      <c r="E22"/>
      <c r="F22"/>
      <c r="G22"/>
    </row>
    <row r="23" spans="1:9" x14ac:dyDescent="0.2">
      <c r="C23"/>
      <c r="D23"/>
      <c r="E23"/>
      <c r="F23"/>
      <c r="G23"/>
    </row>
    <row r="24" spans="1:9" x14ac:dyDescent="0.2">
      <c r="C24"/>
      <c r="D24"/>
      <c r="E24"/>
      <c r="F24"/>
      <c r="G24"/>
    </row>
    <row r="25" spans="1:9" x14ac:dyDescent="0.2">
      <c r="C25"/>
      <c r="D25"/>
      <c r="E25"/>
      <c r="F25"/>
      <c r="G25"/>
    </row>
    <row r="26" spans="1:9" x14ac:dyDescent="0.2">
      <c r="C26"/>
      <c r="D26"/>
      <c r="E26"/>
      <c r="F26"/>
      <c r="G26"/>
    </row>
    <row r="27" spans="1:9" x14ac:dyDescent="0.2">
      <c r="C27"/>
      <c r="D27"/>
      <c r="E27"/>
      <c r="F27"/>
      <c r="G27"/>
    </row>
    <row r="28" spans="1:9" x14ac:dyDescent="0.2">
      <c r="C28"/>
      <c r="D28"/>
      <c r="E28"/>
      <c r="F28"/>
      <c r="G28"/>
    </row>
    <row r="29" spans="1:9" x14ac:dyDescent="0.2">
      <c r="C29"/>
      <c r="D29"/>
      <c r="E29"/>
      <c r="F29"/>
      <c r="G29"/>
    </row>
    <row r="30" spans="1:9" x14ac:dyDescent="0.2">
      <c r="C30"/>
      <c r="D30"/>
      <c r="E30"/>
      <c r="F30"/>
      <c r="G30"/>
    </row>
    <row r="31" spans="1:9" x14ac:dyDescent="0.2">
      <c r="C31"/>
      <c r="D31"/>
      <c r="E31"/>
      <c r="F31"/>
      <c r="G31"/>
    </row>
    <row r="32" spans="1:9" x14ac:dyDescent="0.2">
      <c r="C32"/>
      <c r="D32"/>
      <c r="E32"/>
      <c r="F32"/>
      <c r="G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</sheetData>
  <pageMargins left="0.25" right="0.25" top="0.75" bottom="0.75" header="0.3" footer="0.3"/>
  <pageSetup paperSize="9" scale="7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2706-A80E-5B4C-BA70-3B0A38FA1833}">
  <dimension ref="A3:M1178"/>
  <sheetViews>
    <sheetView topLeftCell="A1033" zoomScale="94" workbookViewId="0">
      <selection activeCell="G1053" sqref="G1053"/>
    </sheetView>
  </sheetViews>
  <sheetFormatPr baseColWidth="10" defaultColWidth="10.83203125" defaultRowHeight="16" x14ac:dyDescent="0.2"/>
  <cols>
    <col min="2" max="2" width="22.83203125" bestFit="1" customWidth="1"/>
    <col min="4" max="4" width="11.1640625" bestFit="1" customWidth="1"/>
    <col min="5" max="5" width="13" style="56" bestFit="1" customWidth="1"/>
    <col min="6" max="6" width="19.6640625" bestFit="1" customWidth="1"/>
    <col min="8" max="8" width="59.6640625" bestFit="1" customWidth="1"/>
    <col min="9" max="10" width="10.83203125" style="111"/>
    <col min="11" max="11" width="11.5" style="56" bestFit="1" customWidth="1"/>
    <col min="12" max="13" width="11.83203125" bestFit="1" customWidth="1"/>
  </cols>
  <sheetData>
    <row r="3" spans="1:11" x14ac:dyDescent="0.2">
      <c r="A3" t="s">
        <v>602</v>
      </c>
      <c r="B3" s="107" t="s">
        <v>588</v>
      </c>
      <c r="C3" t="s">
        <v>589</v>
      </c>
      <c r="D3" t="s">
        <v>590</v>
      </c>
      <c r="E3" s="56" t="s">
        <v>591</v>
      </c>
      <c r="F3" t="s">
        <v>592</v>
      </c>
      <c r="G3" t="s">
        <v>593</v>
      </c>
      <c r="H3" t="s">
        <v>594</v>
      </c>
      <c r="I3" s="111" t="s">
        <v>595</v>
      </c>
      <c r="J3" s="111" t="s">
        <v>596</v>
      </c>
      <c r="K3" s="56" t="s">
        <v>597</v>
      </c>
    </row>
    <row r="4" spans="1:11" x14ac:dyDescent="0.2">
      <c r="A4">
        <v>1</v>
      </c>
      <c r="B4" t="s">
        <v>8</v>
      </c>
      <c r="C4" t="str">
        <f>VLOOKUP(B4,'Master Anggota'!$E$2:$I$279,5,0)</f>
        <v>00553</v>
      </c>
      <c r="D4" s="108">
        <v>46022</v>
      </c>
      <c r="E4" s="56">
        <v>6600000</v>
      </c>
      <c r="F4" t="s">
        <v>599</v>
      </c>
      <c r="H4" t="s">
        <v>667</v>
      </c>
      <c r="I4" s="73">
        <v>46047</v>
      </c>
      <c r="J4" s="73">
        <v>46320</v>
      </c>
      <c r="K4" s="56">
        <v>660000</v>
      </c>
    </row>
    <row r="5" spans="1:11" x14ac:dyDescent="0.2">
      <c r="A5">
        <v>2</v>
      </c>
      <c r="B5" t="s">
        <v>318</v>
      </c>
      <c r="C5" t="str">
        <f>VLOOKUP(B5,'Master Anggota'!$E$2:$I$279,5,0)</f>
        <v>01651</v>
      </c>
      <c r="D5" s="108">
        <v>46022</v>
      </c>
      <c r="E5" s="56">
        <v>880000</v>
      </c>
      <c r="F5" t="s">
        <v>599</v>
      </c>
      <c r="K5"/>
    </row>
    <row r="6" spans="1:11" x14ac:dyDescent="0.2">
      <c r="A6">
        <v>3</v>
      </c>
      <c r="B6" t="s">
        <v>189</v>
      </c>
      <c r="C6" t="str">
        <f>VLOOKUP(B6,'Master Anggota'!$E$2:$I$279,5,0)</f>
        <v>00535</v>
      </c>
      <c r="D6" s="108">
        <v>46022</v>
      </c>
      <c r="E6" s="56">
        <v>6570667</v>
      </c>
      <c r="F6" t="s">
        <v>599</v>
      </c>
      <c r="I6"/>
      <c r="J6"/>
      <c r="K6"/>
    </row>
    <row r="7" spans="1:11" x14ac:dyDescent="0.2">
      <c r="A7">
        <v>4</v>
      </c>
      <c r="B7" t="s">
        <v>446</v>
      </c>
      <c r="C7" t="str">
        <f>VLOOKUP(B7,'Master Anggota'!$E$2:$I$279,5,0)</f>
        <v>01740</v>
      </c>
      <c r="D7" s="108">
        <v>46022</v>
      </c>
      <c r="E7" s="56">
        <v>0</v>
      </c>
      <c r="F7" t="s">
        <v>599</v>
      </c>
      <c r="I7"/>
      <c r="J7"/>
      <c r="K7"/>
    </row>
    <row r="8" spans="1:11" x14ac:dyDescent="0.2">
      <c r="A8">
        <v>5</v>
      </c>
      <c r="B8" t="s">
        <v>552</v>
      </c>
      <c r="C8" t="str">
        <f>VLOOKUP(B8,'Master Anggota'!$E$2:$I$279,5,0)</f>
        <v>Nasabah</v>
      </c>
      <c r="D8" s="108">
        <v>46022</v>
      </c>
      <c r="E8" s="56">
        <v>1862000</v>
      </c>
      <c r="F8" t="s">
        <v>599</v>
      </c>
      <c r="I8"/>
      <c r="J8"/>
      <c r="K8"/>
    </row>
    <row r="9" spans="1:11" x14ac:dyDescent="0.2">
      <c r="A9">
        <v>6</v>
      </c>
      <c r="B9" t="s">
        <v>524</v>
      </c>
      <c r="C9" t="str">
        <f>VLOOKUP(B9,'Master Anggota'!$E$2:$I$279,5,0)</f>
        <v>01743</v>
      </c>
      <c r="D9" s="108">
        <v>46022</v>
      </c>
      <c r="E9" s="56">
        <v>0</v>
      </c>
      <c r="F9" t="s">
        <v>599</v>
      </c>
      <c r="I9"/>
      <c r="J9"/>
      <c r="K9"/>
    </row>
    <row r="10" spans="1:11" x14ac:dyDescent="0.2">
      <c r="A10">
        <v>7</v>
      </c>
      <c r="B10" t="s">
        <v>328</v>
      </c>
      <c r="C10" t="str">
        <f>VLOOKUP(B10,'Master Anggota'!$E$2:$I$279,5,0)</f>
        <v>00369</v>
      </c>
      <c r="D10" s="108">
        <v>46022</v>
      </c>
      <c r="E10" s="56">
        <v>12687500</v>
      </c>
      <c r="F10" t="s">
        <v>599</v>
      </c>
      <c r="I10"/>
      <c r="J10"/>
      <c r="K10"/>
    </row>
    <row r="11" spans="1:11" x14ac:dyDescent="0.2">
      <c r="A11">
        <v>8</v>
      </c>
      <c r="B11" t="s">
        <v>327</v>
      </c>
      <c r="C11" t="str">
        <f>VLOOKUP(B11,'Master Anggota'!$E$2:$I$279,5,0)</f>
        <v>01665</v>
      </c>
      <c r="D11" s="108">
        <v>46022</v>
      </c>
      <c r="E11" s="56">
        <v>917140</v>
      </c>
      <c r="F11" t="s">
        <v>599</v>
      </c>
      <c r="I11"/>
      <c r="J11"/>
      <c r="K11"/>
    </row>
    <row r="12" spans="1:11" x14ac:dyDescent="0.2">
      <c r="A12">
        <v>9</v>
      </c>
      <c r="B12" t="s">
        <v>484</v>
      </c>
      <c r="C12" t="str">
        <f>VLOOKUP(B12,'Master Anggota'!$E$2:$I$279,5,0)</f>
        <v>00552</v>
      </c>
      <c r="D12" s="108">
        <v>46022</v>
      </c>
      <c r="E12" s="56">
        <v>105800000</v>
      </c>
      <c r="F12" t="s">
        <v>599</v>
      </c>
      <c r="I12"/>
      <c r="J12"/>
      <c r="K12"/>
    </row>
    <row r="13" spans="1:11" x14ac:dyDescent="0.2">
      <c r="A13">
        <v>10</v>
      </c>
      <c r="B13" t="s">
        <v>325</v>
      </c>
      <c r="C13" t="str">
        <f>VLOOKUP(B13,'Master Anggota'!$E$2:$I$279,5,0)</f>
        <v>00607</v>
      </c>
      <c r="D13" s="108">
        <v>46022</v>
      </c>
      <c r="E13" s="56">
        <f>15010000-1060000</f>
        <v>13950000</v>
      </c>
      <c r="F13" t="s">
        <v>599</v>
      </c>
      <c r="I13"/>
      <c r="J13"/>
      <c r="K13"/>
    </row>
    <row r="14" spans="1:11" x14ac:dyDescent="0.2">
      <c r="A14">
        <v>11</v>
      </c>
      <c r="B14" t="s">
        <v>319</v>
      </c>
      <c r="C14" t="str">
        <f>VLOOKUP(B14,'Master Anggota'!$E$2:$I$279,5,0)</f>
        <v>01302</v>
      </c>
      <c r="D14" s="108">
        <v>46022</v>
      </c>
      <c r="E14" s="56">
        <v>19800000</v>
      </c>
      <c r="F14" t="s">
        <v>599</v>
      </c>
      <c r="I14"/>
      <c r="J14"/>
      <c r="K14"/>
    </row>
    <row r="15" spans="1:11" x14ac:dyDescent="0.2">
      <c r="A15">
        <v>12</v>
      </c>
      <c r="B15" t="s">
        <v>485</v>
      </c>
      <c r="C15" t="str">
        <f>VLOOKUP(B15,'Master Anggota'!$E$2:$I$279,5,0)</f>
        <v>00315</v>
      </c>
      <c r="D15" s="108">
        <v>46022</v>
      </c>
      <c r="E15" s="56">
        <v>0</v>
      </c>
      <c r="F15" t="s">
        <v>599</v>
      </c>
      <c r="I15"/>
      <c r="J15"/>
      <c r="K15"/>
    </row>
    <row r="16" spans="1:11" x14ac:dyDescent="0.2">
      <c r="A16">
        <v>13</v>
      </c>
      <c r="B16" t="s">
        <v>363</v>
      </c>
      <c r="C16" t="str">
        <f>VLOOKUP(B16,'Master Anggota'!$E$2:$I$279,5,0)</f>
        <v>00576</v>
      </c>
      <c r="D16" s="108">
        <v>46022</v>
      </c>
      <c r="E16" s="56">
        <v>33450002</v>
      </c>
      <c r="F16" t="s">
        <v>599</v>
      </c>
      <c r="I16"/>
      <c r="J16"/>
      <c r="K16"/>
    </row>
    <row r="17" spans="1:11" x14ac:dyDescent="0.2">
      <c r="A17">
        <v>14</v>
      </c>
      <c r="B17" t="s">
        <v>35</v>
      </c>
      <c r="C17" t="str">
        <f>VLOOKUP(B17,'Master Anggota'!$E$2:$I$279,5,0)</f>
        <v>00546</v>
      </c>
      <c r="D17" s="108">
        <v>46022</v>
      </c>
      <c r="E17" s="56">
        <v>29925000</v>
      </c>
      <c r="F17" t="s">
        <v>599</v>
      </c>
      <c r="I17"/>
      <c r="J17"/>
      <c r="K17"/>
    </row>
    <row r="18" spans="1:11" x14ac:dyDescent="0.2">
      <c r="A18">
        <v>15</v>
      </c>
      <c r="B18" t="s">
        <v>400</v>
      </c>
      <c r="C18" t="str">
        <f>VLOOKUP(B18,'Master Anggota'!$E$2:$I$279,5,0)</f>
        <v>00614</v>
      </c>
      <c r="D18" s="108">
        <v>46022</v>
      </c>
      <c r="E18" s="56">
        <v>14466668</v>
      </c>
      <c r="F18" t="s">
        <v>599</v>
      </c>
      <c r="I18"/>
      <c r="J18"/>
      <c r="K18"/>
    </row>
    <row r="19" spans="1:11" x14ac:dyDescent="0.2">
      <c r="A19">
        <v>16</v>
      </c>
      <c r="B19" t="s">
        <v>41</v>
      </c>
      <c r="C19" t="str">
        <f>VLOOKUP(B19,'Master Anggota'!$E$2:$I$279,5,0)</f>
        <v>00345</v>
      </c>
      <c r="D19" s="108">
        <v>46022</v>
      </c>
      <c r="E19" s="56">
        <v>88666664</v>
      </c>
      <c r="F19" t="s">
        <v>599</v>
      </c>
      <c r="I19"/>
      <c r="J19"/>
      <c r="K19"/>
    </row>
    <row r="20" spans="1:11" x14ac:dyDescent="0.2">
      <c r="A20">
        <v>17</v>
      </c>
      <c r="B20" t="s">
        <v>522</v>
      </c>
      <c r="C20" t="str">
        <f>VLOOKUP(B20,'Master Anggota'!$E$2:$I$279,5,0)</f>
        <v>00533</v>
      </c>
      <c r="D20" s="108">
        <v>46022</v>
      </c>
      <c r="E20" s="56">
        <v>62225000</v>
      </c>
      <c r="F20" t="s">
        <v>599</v>
      </c>
      <c r="I20"/>
      <c r="J20"/>
      <c r="K20"/>
    </row>
    <row r="21" spans="1:11" x14ac:dyDescent="0.2">
      <c r="A21">
        <v>18</v>
      </c>
      <c r="B21" t="s">
        <v>586</v>
      </c>
      <c r="C21" t="str">
        <f>VLOOKUP(B21,'Master Anggota'!$E$2:$I$279,5,0)</f>
        <v>00579</v>
      </c>
      <c r="D21" s="108">
        <v>46022</v>
      </c>
      <c r="E21" s="56">
        <v>7665000</v>
      </c>
      <c r="F21" t="s">
        <v>599</v>
      </c>
      <c r="I21"/>
      <c r="J21"/>
      <c r="K21"/>
    </row>
    <row r="22" spans="1:11" x14ac:dyDescent="0.2">
      <c r="A22">
        <v>19</v>
      </c>
      <c r="B22" t="s">
        <v>467</v>
      </c>
      <c r="C22" t="str">
        <f>VLOOKUP(B22,'Master Anggota'!$E$2:$I$279,5,0)</f>
        <v>00577</v>
      </c>
      <c r="D22" s="108">
        <v>46022</v>
      </c>
      <c r="E22" s="56">
        <v>37376667</v>
      </c>
      <c r="F22" t="s">
        <v>599</v>
      </c>
      <c r="I22"/>
      <c r="J22"/>
      <c r="K22"/>
    </row>
    <row r="23" spans="1:11" x14ac:dyDescent="0.2">
      <c r="A23">
        <v>20</v>
      </c>
      <c r="B23" t="s">
        <v>178</v>
      </c>
      <c r="C23" t="str">
        <f>VLOOKUP(B23,'Master Anggota'!$E$2:$I$279,5,0)</f>
        <v>00566</v>
      </c>
      <c r="D23" s="108">
        <v>46022</v>
      </c>
      <c r="E23" s="56">
        <v>0</v>
      </c>
      <c r="F23" t="s">
        <v>599</v>
      </c>
      <c r="I23"/>
      <c r="J23"/>
      <c r="K23"/>
    </row>
    <row r="24" spans="1:11" x14ac:dyDescent="0.2">
      <c r="A24">
        <v>21</v>
      </c>
      <c r="B24" t="s">
        <v>491</v>
      </c>
      <c r="C24" t="str">
        <f>VLOOKUP(B24,'Master Anggota'!$E$2:$I$279,5,0)</f>
        <v>01720</v>
      </c>
      <c r="D24" s="108">
        <v>46022</v>
      </c>
      <c r="E24" s="56">
        <f>4420000+360000</f>
        <v>4780000</v>
      </c>
      <c r="F24" t="s">
        <v>599</v>
      </c>
      <c r="I24"/>
      <c r="J24"/>
      <c r="K24"/>
    </row>
    <row r="25" spans="1:11" x14ac:dyDescent="0.2">
      <c r="A25">
        <v>22</v>
      </c>
      <c r="B25" t="s">
        <v>194</v>
      </c>
      <c r="C25" t="str">
        <f>VLOOKUP(B25,'Master Anggota'!$E$2:$I$279,5,0)</f>
        <v>00498</v>
      </c>
      <c r="D25" s="108">
        <v>46022</v>
      </c>
      <c r="E25" s="56">
        <v>93450000</v>
      </c>
      <c r="F25" t="s">
        <v>599</v>
      </c>
      <c r="I25"/>
      <c r="J25"/>
    </row>
    <row r="26" spans="1:11" x14ac:dyDescent="0.2">
      <c r="A26">
        <v>23</v>
      </c>
      <c r="B26" t="s">
        <v>370</v>
      </c>
      <c r="C26" t="str">
        <f>VLOOKUP(B26,'Master Anggota'!$E$2:$I$279,5,0)</f>
        <v>00610</v>
      </c>
      <c r="D26" s="108">
        <v>46022</v>
      </c>
      <c r="E26" s="56">
        <v>0</v>
      </c>
      <c r="F26" t="s">
        <v>599</v>
      </c>
      <c r="I26"/>
      <c r="J26"/>
      <c r="K26"/>
    </row>
    <row r="27" spans="1:11" x14ac:dyDescent="0.2">
      <c r="A27">
        <v>24</v>
      </c>
      <c r="B27" t="s">
        <v>48</v>
      </c>
      <c r="C27" t="str">
        <f>VLOOKUP(B27,'Master Anggota'!$E$2:$I$279,5,0)</f>
        <v>00325</v>
      </c>
      <c r="D27" s="108">
        <v>46022</v>
      </c>
      <c r="E27" s="56">
        <v>0</v>
      </c>
      <c r="F27" t="s">
        <v>599</v>
      </c>
      <c r="I27"/>
      <c r="J27"/>
      <c r="K27"/>
    </row>
    <row r="28" spans="1:11" x14ac:dyDescent="0.2">
      <c r="A28">
        <v>25</v>
      </c>
      <c r="B28" t="s">
        <v>294</v>
      </c>
      <c r="C28" t="str">
        <f>VLOOKUP(B28,'Master Anggota'!$E$2:$I$279,5,0)</f>
        <v>PHL</v>
      </c>
      <c r="D28" s="108">
        <v>46022</v>
      </c>
      <c r="E28" s="56">
        <v>9800000</v>
      </c>
      <c r="F28" t="s">
        <v>599</v>
      </c>
      <c r="I28"/>
      <c r="J28"/>
      <c r="K28"/>
    </row>
    <row r="29" spans="1:11" x14ac:dyDescent="0.2">
      <c r="A29">
        <v>26</v>
      </c>
      <c r="B29" t="s">
        <v>53</v>
      </c>
      <c r="C29" t="str">
        <f>VLOOKUP(B29,'Master Anggota'!$E$2:$I$279,5,0)</f>
        <v>00540</v>
      </c>
      <c r="D29" s="108">
        <v>46022</v>
      </c>
      <c r="E29" s="56">
        <v>9300000</v>
      </c>
      <c r="F29" t="s">
        <v>599</v>
      </c>
      <c r="I29"/>
      <c r="J29"/>
    </row>
    <row r="30" spans="1:11" x14ac:dyDescent="0.2">
      <c r="A30">
        <v>27</v>
      </c>
      <c r="B30" t="s">
        <v>321</v>
      </c>
      <c r="C30" t="str">
        <f>VLOOKUP(B30,'Master Anggota'!$E$2:$I$279,5,0)</f>
        <v>01532</v>
      </c>
      <c r="D30" s="108">
        <v>46022</v>
      </c>
      <c r="E30" s="56">
        <v>0</v>
      </c>
      <c r="F30" t="s">
        <v>599</v>
      </c>
      <c r="I30"/>
      <c r="J30"/>
      <c r="K30"/>
    </row>
    <row r="31" spans="1:11" x14ac:dyDescent="0.2">
      <c r="A31">
        <v>28</v>
      </c>
      <c r="B31" t="s">
        <v>307</v>
      </c>
      <c r="C31" t="str">
        <f>VLOOKUP(B31,'Master Anggota'!$E$2:$I$279,5,0)</f>
        <v>00591</v>
      </c>
      <c r="D31" s="108">
        <v>46022</v>
      </c>
      <c r="E31" s="56">
        <v>31591669</v>
      </c>
      <c r="F31" t="s">
        <v>599</v>
      </c>
      <c r="I31"/>
      <c r="J31"/>
      <c r="K31"/>
    </row>
    <row r="32" spans="1:11" x14ac:dyDescent="0.2">
      <c r="A32">
        <v>29</v>
      </c>
      <c r="B32" t="s">
        <v>59</v>
      </c>
      <c r="C32" t="str">
        <f>VLOOKUP(B32,'Master Anggota'!$E$2:$I$279,5,0)</f>
        <v>00380</v>
      </c>
      <c r="D32" s="108">
        <v>46022</v>
      </c>
      <c r="E32" s="56">
        <v>0</v>
      </c>
      <c r="F32" t="s">
        <v>599</v>
      </c>
      <c r="I32"/>
      <c r="J32"/>
      <c r="K32"/>
    </row>
    <row r="33" spans="1:6" customFormat="1" x14ac:dyDescent="0.2">
      <c r="A33">
        <v>30</v>
      </c>
      <c r="B33" t="s">
        <v>198</v>
      </c>
      <c r="C33" t="str">
        <f>VLOOKUP(B33,'Master Anggota'!$E$2:$I$279,5,0)</f>
        <v>00327</v>
      </c>
      <c r="D33" s="108">
        <v>46022</v>
      </c>
      <c r="E33" s="56">
        <v>129816758</v>
      </c>
      <c r="F33" t="s">
        <v>599</v>
      </c>
    </row>
    <row r="34" spans="1:6" customFormat="1" x14ac:dyDescent="0.2">
      <c r="A34">
        <v>31</v>
      </c>
      <c r="B34" t="s">
        <v>65</v>
      </c>
      <c r="C34" t="str">
        <f>VLOOKUP(B34,'Master Anggota'!$E$2:$I$279,5,0)</f>
        <v>00490</v>
      </c>
      <c r="D34" s="108">
        <v>46022</v>
      </c>
      <c r="E34" s="56">
        <v>11000000</v>
      </c>
      <c r="F34" t="s">
        <v>599</v>
      </c>
    </row>
    <row r="35" spans="1:6" customFormat="1" x14ac:dyDescent="0.2">
      <c r="A35">
        <v>32</v>
      </c>
      <c r="B35" t="s">
        <v>200</v>
      </c>
      <c r="C35" t="str">
        <f>VLOOKUP(B35,'Master Anggota'!$E$2:$I$279,5,0)</f>
        <v>00520</v>
      </c>
      <c r="D35" s="108">
        <v>46022</v>
      </c>
      <c r="E35" s="56">
        <v>16500000</v>
      </c>
      <c r="F35" t="s">
        <v>599</v>
      </c>
    </row>
    <row r="36" spans="1:6" customFormat="1" x14ac:dyDescent="0.2">
      <c r="A36">
        <v>33</v>
      </c>
      <c r="B36" t="s">
        <v>439</v>
      </c>
      <c r="C36" t="str">
        <f>VLOOKUP(B36,'Master Anggota'!$E$2:$I$279,5,0)</f>
        <v>01730</v>
      </c>
      <c r="D36" s="108">
        <v>46022</v>
      </c>
      <c r="E36" s="56">
        <v>1890000</v>
      </c>
      <c r="F36" t="s">
        <v>599</v>
      </c>
    </row>
    <row r="37" spans="1:6" customFormat="1" x14ac:dyDescent="0.2">
      <c r="A37">
        <v>34</v>
      </c>
      <c r="B37" t="s">
        <v>174</v>
      </c>
      <c r="C37" t="str">
        <f>VLOOKUP(B37,'Master Anggota'!$E$2:$I$279,5,0)</f>
        <v>00556</v>
      </c>
      <c r="D37" s="108">
        <v>46022</v>
      </c>
      <c r="E37" s="56">
        <v>0</v>
      </c>
      <c r="F37" t="s">
        <v>599</v>
      </c>
    </row>
    <row r="38" spans="1:6" customFormat="1" x14ac:dyDescent="0.2">
      <c r="A38">
        <v>35</v>
      </c>
      <c r="B38" t="s">
        <v>530</v>
      </c>
      <c r="C38" t="str">
        <f>VLOOKUP(B38,'Master Anggota'!$E$2:$I$279,5,0)</f>
        <v>Nasabah</v>
      </c>
      <c r="D38" s="108">
        <v>46022</v>
      </c>
      <c r="E38" s="56">
        <v>3520000</v>
      </c>
      <c r="F38" t="s">
        <v>599</v>
      </c>
    </row>
    <row r="39" spans="1:6" customFormat="1" x14ac:dyDescent="0.2">
      <c r="A39">
        <v>36</v>
      </c>
      <c r="B39" t="s">
        <v>182</v>
      </c>
      <c r="C39" t="str">
        <f>VLOOKUP(B39,'Master Anggota'!$E$2:$I$279,5,0)</f>
        <v>00565</v>
      </c>
      <c r="D39" s="108">
        <v>46022</v>
      </c>
      <c r="E39" s="56">
        <v>62500000</v>
      </c>
      <c r="F39" t="s">
        <v>599</v>
      </c>
    </row>
    <row r="40" spans="1:6" customFormat="1" x14ac:dyDescent="0.2">
      <c r="A40">
        <v>37</v>
      </c>
      <c r="B40" t="s">
        <v>69</v>
      </c>
      <c r="C40" t="str">
        <f>VLOOKUP(B40,'Master Anggota'!$E$2:$I$279,5,0)</f>
        <v>00496</v>
      </c>
      <c r="D40" s="108">
        <v>46022</v>
      </c>
      <c r="E40" s="56">
        <v>0</v>
      </c>
      <c r="F40" t="s">
        <v>599</v>
      </c>
    </row>
    <row r="41" spans="1:6" customFormat="1" x14ac:dyDescent="0.2">
      <c r="A41">
        <v>38</v>
      </c>
      <c r="B41" t="s">
        <v>175</v>
      </c>
      <c r="C41" t="str">
        <f>VLOOKUP(B41,'Master Anggota'!$E$2:$I$279,5,0)</f>
        <v>00563</v>
      </c>
      <c r="D41" s="108">
        <v>46022</v>
      </c>
      <c r="E41" s="56">
        <v>38231670</v>
      </c>
      <c r="F41" t="s">
        <v>599</v>
      </c>
    </row>
    <row r="42" spans="1:6" customFormat="1" x14ac:dyDescent="0.2">
      <c r="A42">
        <v>39</v>
      </c>
      <c r="B42" t="s">
        <v>533</v>
      </c>
      <c r="C42" t="str">
        <f>VLOOKUP(B42,'Master Anggota'!$E$2:$I$279,5,0)</f>
        <v>Nasabah</v>
      </c>
      <c r="D42" s="108">
        <v>46022</v>
      </c>
      <c r="E42" s="56">
        <v>18666334</v>
      </c>
      <c r="F42" t="s">
        <v>599</v>
      </c>
    </row>
    <row r="43" spans="1:6" customFormat="1" x14ac:dyDescent="0.2">
      <c r="A43">
        <v>40</v>
      </c>
      <c r="B43" t="s">
        <v>202</v>
      </c>
      <c r="C43" t="str">
        <f>VLOOKUP(B43,'Master Anggota'!$E$2:$I$279,5,0)</f>
        <v>00512</v>
      </c>
      <c r="D43" s="108">
        <v>46022</v>
      </c>
      <c r="E43" s="56">
        <v>21700001</v>
      </c>
      <c r="F43" t="s">
        <v>599</v>
      </c>
    </row>
    <row r="44" spans="1:6" customFormat="1" x14ac:dyDescent="0.2">
      <c r="A44">
        <v>41</v>
      </c>
      <c r="B44" t="s">
        <v>300</v>
      </c>
      <c r="C44" t="str">
        <f>VLOOKUP(B44,'Master Anggota'!$E$2:$I$279,5,0)</f>
        <v>00585</v>
      </c>
      <c r="D44" s="108">
        <v>46022</v>
      </c>
      <c r="E44" s="56">
        <v>7200000</v>
      </c>
      <c r="F44" t="s">
        <v>599</v>
      </c>
    </row>
    <row r="45" spans="1:6" customFormat="1" x14ac:dyDescent="0.2">
      <c r="A45">
        <v>42</v>
      </c>
      <c r="B45" t="s">
        <v>71</v>
      </c>
      <c r="C45" t="str">
        <f>VLOOKUP(B45,'Master Anggota'!$E$2:$I$279,5,0)</f>
        <v>00517</v>
      </c>
      <c r="D45" s="108">
        <v>46022</v>
      </c>
      <c r="E45" s="56">
        <v>1515000</v>
      </c>
      <c r="F45" t="s">
        <v>599</v>
      </c>
    </row>
    <row r="46" spans="1:6" customFormat="1" x14ac:dyDescent="0.2">
      <c r="A46">
        <v>43</v>
      </c>
      <c r="B46" t="s">
        <v>79</v>
      </c>
      <c r="C46" t="str">
        <f>VLOOKUP(B46,'Master Anggota'!$E$2:$I$279,5,0)</f>
        <v>00541</v>
      </c>
      <c r="D46" s="108">
        <v>46022</v>
      </c>
      <c r="E46" s="56">
        <v>99000000</v>
      </c>
      <c r="F46" t="s">
        <v>599</v>
      </c>
    </row>
    <row r="47" spans="1:6" customFormat="1" x14ac:dyDescent="0.2">
      <c r="A47">
        <v>44</v>
      </c>
      <c r="B47" t="s">
        <v>81</v>
      </c>
      <c r="C47" t="str">
        <f>VLOOKUP(B47,'Master Anggota'!$E$2:$I$279,5,0)</f>
        <v>00537</v>
      </c>
      <c r="D47" s="108">
        <v>46022</v>
      </c>
      <c r="E47" s="56">
        <v>51458335</v>
      </c>
      <c r="F47" t="s">
        <v>599</v>
      </c>
    </row>
    <row r="48" spans="1:6" customFormat="1" x14ac:dyDescent="0.2">
      <c r="A48">
        <v>45</v>
      </c>
      <c r="B48" t="s">
        <v>364</v>
      </c>
      <c r="C48" t="str">
        <f>VLOOKUP(B48,'Master Anggota'!$E$2:$I$279,5,0)</f>
        <v>00578</v>
      </c>
      <c r="D48" s="108">
        <v>46022</v>
      </c>
      <c r="E48" s="56">
        <v>13583330</v>
      </c>
      <c r="F48" t="s">
        <v>599</v>
      </c>
    </row>
    <row r="49" spans="1:8" customFormat="1" x14ac:dyDescent="0.2">
      <c r="A49">
        <v>46</v>
      </c>
      <c r="B49" t="s">
        <v>204</v>
      </c>
      <c r="C49" t="str">
        <f>VLOOKUP(B49,'Master Anggota'!$E$2:$I$279,5,0)</f>
        <v>00534</v>
      </c>
      <c r="D49" s="108">
        <v>46022</v>
      </c>
      <c r="E49" s="56">
        <v>10091666</v>
      </c>
      <c r="F49" t="s">
        <v>599</v>
      </c>
    </row>
    <row r="50" spans="1:8" customFormat="1" x14ac:dyDescent="0.2">
      <c r="A50">
        <v>47</v>
      </c>
      <c r="B50" t="s">
        <v>497</v>
      </c>
      <c r="C50" t="str">
        <f>VLOOKUP(B50,'Master Anggota'!$E$2:$I$279,5,0)</f>
        <v>01719</v>
      </c>
      <c r="D50" s="108">
        <v>46022</v>
      </c>
      <c r="E50" s="56">
        <v>686666</v>
      </c>
      <c r="F50" t="s">
        <v>599</v>
      </c>
    </row>
    <row r="51" spans="1:8" customFormat="1" x14ac:dyDescent="0.2">
      <c r="A51">
        <v>48</v>
      </c>
      <c r="B51" t="s">
        <v>83</v>
      </c>
      <c r="C51" t="str">
        <f>VLOOKUP(B51,'Master Anggota'!$E$2:$I$279,5,0)</f>
        <v>00322</v>
      </c>
      <c r="D51" s="108">
        <v>46022</v>
      </c>
      <c r="E51" s="56">
        <v>0</v>
      </c>
      <c r="F51" t="s">
        <v>599</v>
      </c>
    </row>
    <row r="52" spans="1:8" customFormat="1" x14ac:dyDescent="0.2">
      <c r="A52">
        <v>49</v>
      </c>
      <c r="B52" t="s">
        <v>85</v>
      </c>
      <c r="C52" t="str">
        <f>VLOOKUP(B52,'Master Anggota'!$E$2:$I$279,5,0)</f>
        <v>00547</v>
      </c>
      <c r="D52" s="108">
        <v>46022</v>
      </c>
      <c r="E52" s="56">
        <v>54471667</v>
      </c>
      <c r="F52" t="s">
        <v>599</v>
      </c>
    </row>
    <row r="53" spans="1:8" customFormat="1" x14ac:dyDescent="0.2">
      <c r="A53">
        <v>50</v>
      </c>
      <c r="B53" t="s">
        <v>482</v>
      </c>
      <c r="C53" t="str">
        <f>VLOOKUP(B53,'Master Anggota'!$E$2:$I$279,5,0)</f>
        <v>01561</v>
      </c>
      <c r="D53" s="108">
        <v>46022</v>
      </c>
      <c r="E53" s="56">
        <f>7350001-200001</f>
        <v>7150000</v>
      </c>
      <c r="F53" t="s">
        <v>599</v>
      </c>
    </row>
    <row r="54" spans="1:8" customFormat="1" x14ac:dyDescent="0.2">
      <c r="A54">
        <v>51</v>
      </c>
      <c r="B54" t="s">
        <v>587</v>
      </c>
      <c r="C54" t="str">
        <f>VLOOKUP(B54,'Master Anggota'!$E$2:$I$279,5,0)</f>
        <v>00525</v>
      </c>
      <c r="D54" s="108">
        <v>46022</v>
      </c>
      <c r="E54" s="56">
        <v>76628333</v>
      </c>
      <c r="F54" t="s">
        <v>599</v>
      </c>
    </row>
    <row r="55" spans="1:8" customFormat="1" x14ac:dyDescent="0.2">
      <c r="A55">
        <v>52</v>
      </c>
      <c r="B55" t="s">
        <v>208</v>
      </c>
      <c r="C55" t="str">
        <f>VLOOKUP(B55,'Master Anggota'!$E$2:$I$279,5,0)</f>
        <v>00328</v>
      </c>
      <c r="D55" s="108">
        <v>46022</v>
      </c>
      <c r="E55" s="56">
        <v>13650000</v>
      </c>
      <c r="F55" t="s">
        <v>599</v>
      </c>
    </row>
    <row r="56" spans="1:8" customFormat="1" x14ac:dyDescent="0.2">
      <c r="A56">
        <v>53</v>
      </c>
      <c r="B56" t="s">
        <v>214</v>
      </c>
      <c r="C56" t="str">
        <f>VLOOKUP(B56,'Master Anggota'!$E$2:$I$279,5,0)</f>
        <v>00529</v>
      </c>
      <c r="D56" s="108">
        <v>46022</v>
      </c>
      <c r="E56" s="56">
        <v>12146672</v>
      </c>
      <c r="F56" t="s">
        <v>599</v>
      </c>
    </row>
    <row r="57" spans="1:8" customFormat="1" x14ac:dyDescent="0.2">
      <c r="A57">
        <v>54</v>
      </c>
      <c r="B57" t="s">
        <v>159</v>
      </c>
      <c r="C57" t="str">
        <f>VLOOKUP(B57,'Master Anggota'!$E$2:$I$279,5,0)</f>
        <v>00571</v>
      </c>
      <c r="D57" s="108">
        <v>46022</v>
      </c>
      <c r="E57" s="56">
        <v>0</v>
      </c>
      <c r="F57" t="s">
        <v>599</v>
      </c>
    </row>
    <row r="58" spans="1:8" customFormat="1" x14ac:dyDescent="0.2">
      <c r="A58">
        <v>55</v>
      </c>
      <c r="B58" t="s">
        <v>87</v>
      </c>
      <c r="C58" t="str">
        <f>VLOOKUP(B58,'Master Anggota'!$E$2:$I$279,5,0)</f>
        <v>00554</v>
      </c>
      <c r="D58" s="108">
        <v>46022</v>
      </c>
      <c r="E58" s="56">
        <v>3180000</v>
      </c>
      <c r="F58" t="s">
        <v>599</v>
      </c>
    </row>
    <row r="59" spans="1:8" customFormat="1" x14ac:dyDescent="0.2">
      <c r="A59">
        <v>56</v>
      </c>
      <c r="B59" t="s">
        <v>441</v>
      </c>
      <c r="C59" t="str">
        <f>VLOOKUP(B59,'Master Anggota'!$E$2:$I$279,5,0)</f>
        <v>01727</v>
      </c>
      <c r="D59" s="108">
        <v>46022</v>
      </c>
      <c r="E59" s="56">
        <f>520000*0</f>
        <v>0</v>
      </c>
      <c r="F59" t="s">
        <v>599</v>
      </c>
      <c r="H59" t="s">
        <v>628</v>
      </c>
    </row>
    <row r="60" spans="1:8" customFormat="1" x14ac:dyDescent="0.2">
      <c r="A60">
        <v>57</v>
      </c>
      <c r="B60" t="s">
        <v>90</v>
      </c>
      <c r="C60" t="str">
        <f>VLOOKUP(B60,'Master Anggota'!$E$2:$I$279,5,0)</f>
        <v>00363</v>
      </c>
      <c r="D60" s="108">
        <v>46022</v>
      </c>
      <c r="E60" s="56">
        <v>58900000</v>
      </c>
      <c r="F60" t="s">
        <v>599</v>
      </c>
    </row>
    <row r="61" spans="1:8" customFormat="1" x14ac:dyDescent="0.2">
      <c r="A61">
        <v>58</v>
      </c>
      <c r="B61" t="s">
        <v>92</v>
      </c>
      <c r="C61" t="str">
        <f>VLOOKUP(B61,'Master Anggota'!$E$2:$I$279,5,0)</f>
        <v>00396</v>
      </c>
      <c r="D61" s="108">
        <v>46022</v>
      </c>
      <c r="E61" s="56">
        <v>31325000</v>
      </c>
      <c r="F61" t="s">
        <v>599</v>
      </c>
    </row>
    <row r="62" spans="1:8" customFormat="1" x14ac:dyDescent="0.2">
      <c r="A62">
        <v>59</v>
      </c>
      <c r="B62" t="s">
        <v>323</v>
      </c>
      <c r="C62" t="str">
        <f>VLOOKUP(B62,'Master Anggota'!$E$2:$I$279,5,0)</f>
        <v>01601</v>
      </c>
      <c r="D62" s="108">
        <v>46022</v>
      </c>
      <c r="E62" s="56">
        <v>0</v>
      </c>
      <c r="F62" t="s">
        <v>599</v>
      </c>
    </row>
    <row r="63" spans="1:8" customFormat="1" x14ac:dyDescent="0.2">
      <c r="A63">
        <v>60</v>
      </c>
      <c r="B63" t="s">
        <v>94</v>
      </c>
      <c r="C63" t="str">
        <f>VLOOKUP(B63,'Master Anggota'!$E$2:$I$279,5,0)</f>
        <v>00387</v>
      </c>
      <c r="D63" s="108">
        <v>46022</v>
      </c>
      <c r="E63" s="56">
        <v>52889440</v>
      </c>
      <c r="F63" t="s">
        <v>599</v>
      </c>
    </row>
    <row r="64" spans="1:8" customFormat="1" x14ac:dyDescent="0.2">
      <c r="A64">
        <v>61</v>
      </c>
      <c r="B64" t="s">
        <v>96</v>
      </c>
      <c r="C64" t="str">
        <f>VLOOKUP(B64,'Master Anggota'!$E$2:$I$279,5,0)</f>
        <v>00508</v>
      </c>
      <c r="D64" s="108">
        <v>46022</v>
      </c>
      <c r="E64" s="56">
        <v>65000000</v>
      </c>
      <c r="F64" t="s">
        <v>599</v>
      </c>
    </row>
    <row r="65" spans="1:6" customFormat="1" x14ac:dyDescent="0.2">
      <c r="A65">
        <v>62</v>
      </c>
      <c r="B65" t="s">
        <v>304</v>
      </c>
      <c r="C65" t="str">
        <f>VLOOKUP(B65,'Master Anggota'!$E$2:$I$279,5,0)</f>
        <v>01541</v>
      </c>
      <c r="D65" s="108">
        <v>46022</v>
      </c>
      <c r="E65" s="56">
        <v>11959092</v>
      </c>
      <c r="F65" t="s">
        <v>599</v>
      </c>
    </row>
    <row r="66" spans="1:6" customFormat="1" x14ac:dyDescent="0.2">
      <c r="A66">
        <v>63</v>
      </c>
      <c r="B66" t="s">
        <v>295</v>
      </c>
      <c r="C66" t="str">
        <f>VLOOKUP(B66,'Master Anggota'!$E$2:$I$279,5,0)</f>
        <v>PHL</v>
      </c>
      <c r="D66" s="108">
        <v>46022</v>
      </c>
      <c r="E66" s="56">
        <v>6160000</v>
      </c>
      <c r="F66" t="s">
        <v>599</v>
      </c>
    </row>
    <row r="67" spans="1:6" customFormat="1" x14ac:dyDescent="0.2">
      <c r="A67">
        <v>64</v>
      </c>
      <c r="B67" t="s">
        <v>481</v>
      </c>
      <c r="C67" t="str">
        <f>VLOOKUP(B67,'Master Anggota'!$E$2:$I$279,5,0)</f>
        <v>00371</v>
      </c>
      <c r="D67" s="108">
        <v>46022</v>
      </c>
      <c r="E67" s="56">
        <v>83055000</v>
      </c>
      <c r="F67" t="s">
        <v>599</v>
      </c>
    </row>
    <row r="68" spans="1:6" customFormat="1" x14ac:dyDescent="0.2">
      <c r="A68">
        <v>65</v>
      </c>
      <c r="B68" t="s">
        <v>480</v>
      </c>
      <c r="C68" t="str">
        <f>VLOOKUP(B68,'Master Anggota'!$E$2:$I$279,5,0)</f>
        <v>00351</v>
      </c>
      <c r="D68" s="108">
        <v>46022</v>
      </c>
      <c r="E68" s="56">
        <v>32550000</v>
      </c>
      <c r="F68" t="s">
        <v>599</v>
      </c>
    </row>
    <row r="69" spans="1:6" customFormat="1" x14ac:dyDescent="0.2">
      <c r="A69">
        <v>66</v>
      </c>
      <c r="B69" t="s">
        <v>289</v>
      </c>
      <c r="C69" t="str">
        <f>VLOOKUP(B69,'Master Anggota'!$E$2:$I$279,5,0)</f>
        <v>01511</v>
      </c>
      <c r="D69" s="108">
        <v>46022</v>
      </c>
      <c r="E69" s="56">
        <v>11760000</v>
      </c>
      <c r="F69" t="s">
        <v>599</v>
      </c>
    </row>
    <row r="70" spans="1:6" customFormat="1" x14ac:dyDescent="0.2">
      <c r="A70">
        <v>67</v>
      </c>
      <c r="B70" t="s">
        <v>535</v>
      </c>
      <c r="C70" t="str">
        <f>VLOOKUP(B70,'Master Anggota'!$E$2:$I$279,5,0)</f>
        <v>Nasabah</v>
      </c>
      <c r="D70" s="108">
        <v>46022</v>
      </c>
      <c r="E70" s="56">
        <v>0</v>
      </c>
      <c r="F70" t="s">
        <v>599</v>
      </c>
    </row>
    <row r="71" spans="1:6" customFormat="1" x14ac:dyDescent="0.2">
      <c r="A71">
        <v>68</v>
      </c>
      <c r="B71" t="s">
        <v>362</v>
      </c>
      <c r="C71" t="str">
        <f>VLOOKUP(B71,'Master Anggota'!$E$2:$I$279,5,0)</f>
        <v>00570</v>
      </c>
      <c r="D71" s="108">
        <v>46022</v>
      </c>
      <c r="E71" s="56">
        <v>0</v>
      </c>
      <c r="F71" t="s">
        <v>599</v>
      </c>
    </row>
    <row r="72" spans="1:6" customFormat="1" x14ac:dyDescent="0.2">
      <c r="A72">
        <v>69</v>
      </c>
      <c r="B72" t="s">
        <v>223</v>
      </c>
      <c r="C72" t="str">
        <f>VLOOKUP(B72,'Master Anggota'!$E$2:$I$279,5,0)</f>
        <v>00514</v>
      </c>
      <c r="D72" s="108">
        <v>46022</v>
      </c>
      <c r="E72" s="56">
        <v>6533330</v>
      </c>
      <c r="F72" t="s">
        <v>599</v>
      </c>
    </row>
    <row r="73" spans="1:6" customFormat="1" x14ac:dyDescent="0.2">
      <c r="A73">
        <v>70</v>
      </c>
      <c r="B73" t="s">
        <v>225</v>
      </c>
      <c r="C73" t="str">
        <f>VLOOKUP(B73,'Master Anggota'!$E$2:$I$279,5,0)</f>
        <v>00531</v>
      </c>
      <c r="D73" s="108">
        <v>46022</v>
      </c>
      <c r="E73" s="56">
        <v>1650000</v>
      </c>
      <c r="F73" t="s">
        <v>599</v>
      </c>
    </row>
    <row r="74" spans="1:6" customFormat="1" x14ac:dyDescent="0.2">
      <c r="A74">
        <v>71</v>
      </c>
      <c r="B74" t="s">
        <v>180</v>
      </c>
      <c r="C74" t="str">
        <f>VLOOKUP(B74,'Master Anggota'!$E$2:$I$279,5,0)</f>
        <v>00581</v>
      </c>
      <c r="D74" s="108">
        <v>46022</v>
      </c>
      <c r="E74" s="56">
        <v>0</v>
      </c>
      <c r="F74" t="s">
        <v>599</v>
      </c>
    </row>
    <row r="75" spans="1:6" customFormat="1" x14ac:dyDescent="0.2">
      <c r="A75">
        <v>72</v>
      </c>
      <c r="B75" t="s">
        <v>486</v>
      </c>
      <c r="C75" t="str">
        <f>VLOOKUP(B75,'Master Anggota'!$E$2:$I$279,5,0)</f>
        <v>00281</v>
      </c>
      <c r="D75" s="108">
        <v>46022</v>
      </c>
      <c r="E75" s="56">
        <v>0</v>
      </c>
      <c r="F75" t="s">
        <v>599</v>
      </c>
    </row>
    <row r="76" spans="1:6" customFormat="1" x14ac:dyDescent="0.2">
      <c r="A76">
        <v>73</v>
      </c>
      <c r="B76" t="s">
        <v>483</v>
      </c>
      <c r="C76" t="str">
        <f>VLOOKUP(B76,'Master Anggota'!$E$2:$I$279,5,0)</f>
        <v>00368</v>
      </c>
      <c r="D76" s="108">
        <v>46022</v>
      </c>
      <c r="E76" s="56">
        <v>65500000</v>
      </c>
      <c r="F76" t="s">
        <v>599</v>
      </c>
    </row>
    <row r="77" spans="1:6" customFormat="1" x14ac:dyDescent="0.2">
      <c r="A77">
        <v>74</v>
      </c>
      <c r="B77" t="s">
        <v>176</v>
      </c>
      <c r="C77" t="str">
        <f>VLOOKUP(B77,'Master Anggota'!$E$2:$I$279,5,0)</f>
        <v>00568</v>
      </c>
      <c r="D77" s="108">
        <v>46022</v>
      </c>
      <c r="E77" s="56">
        <v>30040000</v>
      </c>
      <c r="F77" t="s">
        <v>599</v>
      </c>
    </row>
    <row r="78" spans="1:6" customFormat="1" x14ac:dyDescent="0.2">
      <c r="A78">
        <v>75</v>
      </c>
      <c r="B78" t="s">
        <v>103</v>
      </c>
      <c r="C78" t="str">
        <f>VLOOKUP(B78,'Master Anggota'!$E$2:$I$279,5,0)</f>
        <v>00401</v>
      </c>
      <c r="D78" s="108">
        <v>46022</v>
      </c>
      <c r="E78" s="56">
        <v>15200000</v>
      </c>
      <c r="F78" t="s">
        <v>599</v>
      </c>
    </row>
    <row r="79" spans="1:6" customFormat="1" x14ac:dyDescent="0.2">
      <c r="A79">
        <v>76</v>
      </c>
      <c r="B79" t="s">
        <v>368</v>
      </c>
      <c r="C79" t="str">
        <f>VLOOKUP(B79,'Master Anggota'!$E$2:$I$279,5,0)</f>
        <v>01703</v>
      </c>
      <c r="D79" s="108">
        <v>46022</v>
      </c>
      <c r="E79" s="56">
        <v>0</v>
      </c>
      <c r="F79" t="s">
        <v>599</v>
      </c>
    </row>
    <row r="80" spans="1:6" customFormat="1" x14ac:dyDescent="0.2">
      <c r="A80">
        <v>77</v>
      </c>
      <c r="B80" t="s">
        <v>107</v>
      </c>
      <c r="C80" t="str">
        <f>VLOOKUP(B80,'Master Anggota'!$E$2:$I$279,5,0)</f>
        <v>00521</v>
      </c>
      <c r="D80" s="108">
        <v>46022</v>
      </c>
      <c r="E80" s="56">
        <v>19166664</v>
      </c>
      <c r="F80" t="s">
        <v>599</v>
      </c>
    </row>
    <row r="81" spans="1:11" x14ac:dyDescent="0.2">
      <c r="A81">
        <v>78</v>
      </c>
      <c r="B81" t="s">
        <v>188</v>
      </c>
      <c r="C81" t="str">
        <f>VLOOKUP(B81,'Master Anggota'!$E$2:$I$279,5,0)</f>
        <v>00596</v>
      </c>
      <c r="D81" s="108">
        <v>46022</v>
      </c>
      <c r="E81" s="56">
        <v>17566669</v>
      </c>
      <c r="F81" t="s">
        <v>599</v>
      </c>
      <c r="I81"/>
      <c r="J81"/>
      <c r="K81"/>
    </row>
    <row r="82" spans="1:11" x14ac:dyDescent="0.2">
      <c r="A82">
        <v>79</v>
      </c>
      <c r="B82" t="s">
        <v>111</v>
      </c>
      <c r="C82" t="str">
        <f>VLOOKUP(B82,'Master Anggota'!$E$2:$I$279,5,0)</f>
        <v>00350</v>
      </c>
      <c r="D82" s="108">
        <v>46022</v>
      </c>
      <c r="E82" s="56">
        <v>0</v>
      </c>
      <c r="F82" t="s">
        <v>599</v>
      </c>
      <c r="I82"/>
      <c r="J82"/>
      <c r="K82"/>
    </row>
    <row r="83" spans="1:11" x14ac:dyDescent="0.2">
      <c r="A83">
        <v>80</v>
      </c>
      <c r="B83" t="s">
        <v>316</v>
      </c>
      <c r="C83" t="str">
        <f>VLOOKUP(B83,'Master Anggota'!$E$2:$I$279,5,0)</f>
        <v>01544</v>
      </c>
      <c r="D83" s="108">
        <v>46022</v>
      </c>
      <c r="E83" s="82">
        <v>1866663</v>
      </c>
      <c r="F83" t="s">
        <v>599</v>
      </c>
      <c r="I83"/>
      <c r="J83"/>
      <c r="K83"/>
    </row>
    <row r="84" spans="1:11" x14ac:dyDescent="0.2">
      <c r="A84">
        <v>81</v>
      </c>
      <c r="B84" t="s">
        <v>231</v>
      </c>
      <c r="C84" t="str">
        <f>VLOOKUP(B84,'Master Anggota'!$E$2:$I$279,5,0)</f>
        <v>00542</v>
      </c>
      <c r="D84" s="108">
        <v>46022</v>
      </c>
      <c r="E84" s="56">
        <v>0</v>
      </c>
      <c r="F84" t="s">
        <v>599</v>
      </c>
      <c r="I84"/>
      <c r="J84"/>
      <c r="K84"/>
    </row>
    <row r="85" spans="1:11" x14ac:dyDescent="0.2">
      <c r="A85">
        <v>82</v>
      </c>
      <c r="B85" t="s">
        <v>335</v>
      </c>
      <c r="C85" t="str">
        <f>VLOOKUP(B85,'Master Anggota'!$E$2:$I$279,5,0)</f>
        <v>00311</v>
      </c>
      <c r="D85" s="108">
        <v>46022</v>
      </c>
      <c r="E85" s="56">
        <v>55416667</v>
      </c>
      <c r="F85" t="s">
        <v>599</v>
      </c>
      <c r="I85"/>
      <c r="J85"/>
      <c r="K85"/>
    </row>
    <row r="86" spans="1:11" x14ac:dyDescent="0.2">
      <c r="A86">
        <v>83</v>
      </c>
      <c r="B86" t="s">
        <v>233</v>
      </c>
      <c r="C86" t="str">
        <f>VLOOKUP(B86,'Master Anggota'!$E$2:$I$279,5,0)</f>
        <v>00516</v>
      </c>
      <c r="D86" s="108">
        <v>46022</v>
      </c>
      <c r="E86" s="56">
        <v>5366667</v>
      </c>
      <c r="F86" t="s">
        <v>599</v>
      </c>
      <c r="I86"/>
      <c r="J86"/>
      <c r="K86"/>
    </row>
    <row r="87" spans="1:11" x14ac:dyDescent="0.2">
      <c r="A87">
        <v>84</v>
      </c>
      <c r="B87" t="s">
        <v>543</v>
      </c>
      <c r="C87" t="str">
        <f>VLOOKUP(B87,'Master Anggota'!$E$2:$I$279,5,0)</f>
        <v>Nasabah</v>
      </c>
      <c r="D87" s="108">
        <v>46022</v>
      </c>
      <c r="E87" s="56">
        <v>0</v>
      </c>
      <c r="F87" t="s">
        <v>599</v>
      </c>
      <c r="I87"/>
      <c r="J87"/>
      <c r="K87"/>
    </row>
    <row r="88" spans="1:11" x14ac:dyDescent="0.2">
      <c r="A88">
        <v>85</v>
      </c>
      <c r="B88" t="s">
        <v>235</v>
      </c>
      <c r="C88" t="str">
        <f>VLOOKUP(B88,'Master Anggota'!$E$2:$I$279,5,0)</f>
        <v>00523</v>
      </c>
      <c r="D88" s="108">
        <v>46022</v>
      </c>
      <c r="E88" s="56">
        <v>4666670</v>
      </c>
      <c r="F88" t="s">
        <v>599</v>
      </c>
      <c r="I88"/>
      <c r="J88"/>
      <c r="K88"/>
    </row>
    <row r="89" spans="1:11" x14ac:dyDescent="0.2">
      <c r="A89">
        <v>86</v>
      </c>
      <c r="B89" t="s">
        <v>239</v>
      </c>
      <c r="C89" t="str">
        <f>VLOOKUP(B89,'Master Anggota'!$E$2:$I$279,5,0)</f>
        <v>00513</v>
      </c>
      <c r="D89" s="108">
        <v>46022</v>
      </c>
      <c r="E89" s="56">
        <v>62291667</v>
      </c>
      <c r="F89" t="s">
        <v>599</v>
      </c>
      <c r="I89"/>
      <c r="J89"/>
      <c r="K89"/>
    </row>
    <row r="90" spans="1:11" x14ac:dyDescent="0.2">
      <c r="A90">
        <v>87</v>
      </c>
      <c r="B90" t="s">
        <v>421</v>
      </c>
      <c r="C90" t="str">
        <f>VLOOKUP(B90,'Master Anggota'!$E$2:$I$279,5,0)</f>
        <v>01560</v>
      </c>
      <c r="D90" s="108">
        <v>46022</v>
      </c>
      <c r="E90" s="56">
        <v>0</v>
      </c>
      <c r="F90" t="s">
        <v>599</v>
      </c>
      <c r="I90"/>
      <c r="J90"/>
      <c r="K90"/>
    </row>
    <row r="91" spans="1:11" x14ac:dyDescent="0.2">
      <c r="A91">
        <v>88</v>
      </c>
      <c r="B91" t="s">
        <v>113</v>
      </c>
      <c r="C91" t="str">
        <f>VLOOKUP(B91,'Master Anggota'!$E$2:$I$279,5,0)</f>
        <v>00317</v>
      </c>
      <c r="D91" s="108">
        <v>46022</v>
      </c>
      <c r="E91" s="56">
        <f>24050000-450000+20000</f>
        <v>23620000</v>
      </c>
      <c r="F91" t="s">
        <v>599</v>
      </c>
      <c r="I91"/>
      <c r="J91"/>
      <c r="K91"/>
    </row>
    <row r="92" spans="1:11" x14ac:dyDescent="0.2">
      <c r="A92">
        <v>89</v>
      </c>
      <c r="B92" t="s">
        <v>241</v>
      </c>
      <c r="C92" t="str">
        <f>VLOOKUP(B92,'Master Anggota'!$E$2:$I$279,5,0)</f>
        <v>00526</v>
      </c>
      <c r="D92" s="108">
        <v>46022</v>
      </c>
      <c r="E92" s="56">
        <v>12879998</v>
      </c>
      <c r="F92" t="s">
        <v>599</v>
      </c>
      <c r="I92"/>
      <c r="J92"/>
    </row>
    <row r="93" spans="1:11" x14ac:dyDescent="0.2">
      <c r="A93">
        <v>90</v>
      </c>
      <c r="B93" t="s">
        <v>519</v>
      </c>
      <c r="C93" t="str">
        <f>VLOOKUP(B93,'Master Anggota'!$E$2:$I$279,5,0)</f>
        <v>00611</v>
      </c>
      <c r="D93" s="108">
        <v>46022</v>
      </c>
      <c r="E93" s="56">
        <v>7280000</v>
      </c>
      <c r="F93" t="s">
        <v>599</v>
      </c>
      <c r="I93"/>
      <c r="J93"/>
      <c r="K93"/>
    </row>
    <row r="94" spans="1:11" x14ac:dyDescent="0.2">
      <c r="A94">
        <v>91</v>
      </c>
      <c r="B94" t="s">
        <v>115</v>
      </c>
      <c r="C94" t="str">
        <f>VLOOKUP(B94,'Master Anggota'!$E$2:$I$279,5,0)</f>
        <v>00497</v>
      </c>
      <c r="D94" s="108">
        <v>46022</v>
      </c>
      <c r="E94" s="56">
        <v>11200000</v>
      </c>
      <c r="F94" t="s">
        <v>599</v>
      </c>
      <c r="I94"/>
      <c r="J94"/>
      <c r="K94"/>
    </row>
    <row r="95" spans="1:11" x14ac:dyDescent="0.2">
      <c r="A95">
        <v>92</v>
      </c>
      <c r="B95" t="s">
        <v>243</v>
      </c>
      <c r="C95" t="str">
        <f>VLOOKUP(B95,'Master Anggota'!$E$2:$I$279,5,0)</f>
        <v>00530</v>
      </c>
      <c r="D95" s="108">
        <v>46022</v>
      </c>
      <c r="E95" s="56">
        <v>85400000</v>
      </c>
      <c r="F95" t="s">
        <v>599</v>
      </c>
      <c r="I95"/>
      <c r="J95"/>
      <c r="K95"/>
    </row>
    <row r="96" spans="1:11" x14ac:dyDescent="0.2">
      <c r="A96">
        <v>93</v>
      </c>
      <c r="B96" t="s">
        <v>492</v>
      </c>
      <c r="C96" t="str">
        <f>VLOOKUP(B96,'Master Anggota'!$E$2:$I$279,5,0)</f>
        <v>01728</v>
      </c>
      <c r="D96" s="108">
        <v>46022</v>
      </c>
      <c r="E96" s="56">
        <v>1222855</v>
      </c>
      <c r="F96" t="s">
        <v>599</v>
      </c>
      <c r="I96"/>
      <c r="J96"/>
      <c r="K96"/>
    </row>
    <row r="97" spans="1:6" customFormat="1" x14ac:dyDescent="0.2">
      <c r="A97">
        <v>94</v>
      </c>
      <c r="B97" t="s">
        <v>308</v>
      </c>
      <c r="C97" t="str">
        <f>VLOOKUP(B97,'Master Anggota'!$E$2:$I$279,5,0)</f>
        <v>01604</v>
      </c>
      <c r="D97" s="108">
        <v>46022</v>
      </c>
      <c r="E97" s="56">
        <v>0</v>
      </c>
      <c r="F97" t="s">
        <v>599</v>
      </c>
    </row>
    <row r="98" spans="1:6" customFormat="1" x14ac:dyDescent="0.2">
      <c r="A98">
        <v>95</v>
      </c>
      <c r="B98" t="s">
        <v>339</v>
      </c>
      <c r="C98" t="str">
        <f>VLOOKUP(B98,'Master Anggota'!$E$2:$I$279,5,0)</f>
        <v>00323</v>
      </c>
      <c r="D98" s="108">
        <v>46022</v>
      </c>
      <c r="E98" s="56">
        <v>0</v>
      </c>
      <c r="F98" t="s">
        <v>599</v>
      </c>
    </row>
    <row r="99" spans="1:6" customFormat="1" x14ac:dyDescent="0.2">
      <c r="A99">
        <v>96</v>
      </c>
      <c r="B99" t="s">
        <v>245</v>
      </c>
      <c r="C99" t="str">
        <f>VLOOKUP(B99,'Master Anggota'!$E$2:$I$279,5,0)</f>
        <v>00532</v>
      </c>
      <c r="D99" s="108">
        <v>46022</v>
      </c>
      <c r="E99" s="56">
        <v>57516668</v>
      </c>
      <c r="F99" t="s">
        <v>599</v>
      </c>
    </row>
    <row r="100" spans="1:6" customFormat="1" x14ac:dyDescent="0.2">
      <c r="A100">
        <v>97</v>
      </c>
      <c r="B100" t="s">
        <v>526</v>
      </c>
      <c r="C100" t="str">
        <f>VLOOKUP(B100,'Master Anggota'!$E$2:$I$279,5,0)</f>
        <v>PHL</v>
      </c>
      <c r="D100" s="108">
        <v>46022</v>
      </c>
      <c r="E100" s="56">
        <v>2754999</v>
      </c>
      <c r="F100" t="s">
        <v>599</v>
      </c>
    </row>
    <row r="101" spans="1:6" customFormat="1" x14ac:dyDescent="0.2">
      <c r="A101">
        <v>98</v>
      </c>
      <c r="B101" t="s">
        <v>341</v>
      </c>
      <c r="C101" t="str">
        <f>VLOOKUP(B101,'Master Anggota'!$E$2:$I$279,5,0)</f>
        <v>00339</v>
      </c>
      <c r="D101" s="108">
        <v>46022</v>
      </c>
      <c r="E101" s="56">
        <v>27900000</v>
      </c>
      <c r="F101" t="s">
        <v>599</v>
      </c>
    </row>
    <row r="102" spans="1:6" customFormat="1" x14ac:dyDescent="0.2">
      <c r="A102">
        <v>99</v>
      </c>
      <c r="B102" t="s">
        <v>495</v>
      </c>
      <c r="C102" t="str">
        <f>VLOOKUP(B102,'Master Anggota'!$E$2:$I$279,5,0)</f>
        <v>01754</v>
      </c>
      <c r="D102" s="108">
        <v>46022</v>
      </c>
      <c r="E102" s="56">
        <v>11000000</v>
      </c>
      <c r="F102" t="s">
        <v>599</v>
      </c>
    </row>
    <row r="103" spans="1:6" customFormat="1" x14ac:dyDescent="0.2">
      <c r="A103">
        <v>100</v>
      </c>
      <c r="B103" t="s">
        <v>177</v>
      </c>
      <c r="C103" t="str">
        <f>VLOOKUP(B103,'Master Anggota'!$E$2:$I$279,5,0)</f>
        <v>00569</v>
      </c>
      <c r="D103" s="108">
        <v>46022</v>
      </c>
      <c r="E103" s="56">
        <v>44115000</v>
      </c>
      <c r="F103" t="s">
        <v>599</v>
      </c>
    </row>
    <row r="104" spans="1:6" customFormat="1" x14ac:dyDescent="0.2">
      <c r="A104">
        <v>101</v>
      </c>
      <c r="B104" t="s">
        <v>173</v>
      </c>
      <c r="C104" t="str">
        <f>VLOOKUP(B104,'Master Anggota'!$E$2:$I$279,5,0)</f>
        <v>00583</v>
      </c>
      <c r="D104" s="108">
        <v>46022</v>
      </c>
      <c r="E104" s="56">
        <v>6720000</v>
      </c>
      <c r="F104" t="s">
        <v>599</v>
      </c>
    </row>
    <row r="105" spans="1:6" customFormat="1" x14ac:dyDescent="0.2">
      <c r="A105">
        <v>102</v>
      </c>
      <c r="B105" t="s">
        <v>248</v>
      </c>
      <c r="C105" t="str">
        <f>VLOOKUP(B105,'Master Anggota'!$E$2:$I$279,5,0)</f>
        <v>00302</v>
      </c>
      <c r="D105" s="108">
        <v>46022</v>
      </c>
      <c r="E105" s="56">
        <v>65308331</v>
      </c>
      <c r="F105" t="s">
        <v>599</v>
      </c>
    </row>
    <row r="106" spans="1:6" customFormat="1" x14ac:dyDescent="0.2">
      <c r="A106">
        <v>103</v>
      </c>
      <c r="B106" t="s">
        <v>278</v>
      </c>
      <c r="C106" t="str">
        <f>VLOOKUP(B106,'Master Anggota'!$E$2:$I$279,5,0)</f>
        <v>PHL</v>
      </c>
      <c r="D106" s="108">
        <v>46022</v>
      </c>
      <c r="E106" s="56">
        <v>12613638</v>
      </c>
      <c r="F106" t="s">
        <v>599</v>
      </c>
    </row>
    <row r="107" spans="1:6" customFormat="1" x14ac:dyDescent="0.2">
      <c r="A107">
        <v>104</v>
      </c>
      <c r="B107" t="s">
        <v>250</v>
      </c>
      <c r="C107" t="str">
        <f>VLOOKUP(B107,'Master Anggota'!$E$2:$I$279,5,0)</f>
        <v>00337</v>
      </c>
      <c r="D107" s="108">
        <v>46022</v>
      </c>
      <c r="E107" s="56">
        <v>0</v>
      </c>
      <c r="F107" t="s">
        <v>599</v>
      </c>
    </row>
    <row r="108" spans="1:6" customFormat="1" x14ac:dyDescent="0.2">
      <c r="A108">
        <v>105</v>
      </c>
      <c r="B108" t="s">
        <v>252</v>
      </c>
      <c r="C108" t="str">
        <f>VLOOKUP(B108,'Master Anggota'!$E$2:$I$279,5,0)</f>
        <v>00524</v>
      </c>
      <c r="D108" s="108">
        <v>46022</v>
      </c>
      <c r="E108" s="56">
        <v>56875001</v>
      </c>
      <c r="F108" t="s">
        <v>599</v>
      </c>
    </row>
    <row r="109" spans="1:6" customFormat="1" x14ac:dyDescent="0.2">
      <c r="A109">
        <v>106</v>
      </c>
      <c r="B109" t="s">
        <v>254</v>
      </c>
      <c r="C109" t="str">
        <f>VLOOKUP(B109,'Master Anggota'!$E$2:$I$279,5,0)</f>
        <v>00288</v>
      </c>
      <c r="D109" s="108">
        <v>46022</v>
      </c>
      <c r="E109" s="56">
        <v>70650000</v>
      </c>
      <c r="F109" t="s">
        <v>599</v>
      </c>
    </row>
    <row r="110" spans="1:6" customFormat="1" x14ac:dyDescent="0.2">
      <c r="A110">
        <v>107</v>
      </c>
      <c r="B110" t="s">
        <v>129</v>
      </c>
      <c r="C110" t="str">
        <f>VLOOKUP(B110,'Master Anggota'!$E$2:$I$279,5,0)</f>
        <v>00343</v>
      </c>
      <c r="D110" s="108">
        <v>46022</v>
      </c>
      <c r="E110" s="56">
        <v>65205000</v>
      </c>
      <c r="F110" t="s">
        <v>599</v>
      </c>
    </row>
    <row r="111" spans="1:6" customFormat="1" x14ac:dyDescent="0.2">
      <c r="A111">
        <v>108</v>
      </c>
      <c r="B111" t="s">
        <v>311</v>
      </c>
      <c r="C111" t="str">
        <f>VLOOKUP(B111,'Master Anggota'!$E$2:$I$279,5,0)</f>
        <v>01602</v>
      </c>
      <c r="D111" s="108">
        <v>46022</v>
      </c>
      <c r="E111" s="56">
        <v>2750000</v>
      </c>
      <c r="F111" t="s">
        <v>599</v>
      </c>
    </row>
    <row r="112" spans="1:6" customFormat="1" x14ac:dyDescent="0.2">
      <c r="A112">
        <v>109</v>
      </c>
      <c r="B112" t="s">
        <v>135</v>
      </c>
      <c r="C112" t="str">
        <f>VLOOKUP(B112,'Master Anggota'!$E$2:$I$279,5,0)</f>
        <v>00293</v>
      </c>
      <c r="D112" s="108">
        <v>46022</v>
      </c>
      <c r="E112" s="56">
        <v>41891667</v>
      </c>
      <c r="F112" t="s">
        <v>599</v>
      </c>
    </row>
    <row r="113" spans="1:8" customFormat="1" x14ac:dyDescent="0.2">
      <c r="A113">
        <v>110</v>
      </c>
      <c r="B113" t="s">
        <v>258</v>
      </c>
      <c r="C113" t="str">
        <f>VLOOKUP(B113,'Master Anggota'!$E$2:$I$279,5,0)</f>
        <v>00390</v>
      </c>
      <c r="D113" s="108">
        <v>46022</v>
      </c>
      <c r="E113" s="56">
        <v>13066665</v>
      </c>
      <c r="F113" t="s">
        <v>599</v>
      </c>
    </row>
    <row r="114" spans="1:8" customFormat="1" x14ac:dyDescent="0.2">
      <c r="A114">
        <v>111</v>
      </c>
      <c r="B114" t="s">
        <v>262</v>
      </c>
      <c r="C114" t="str">
        <f>VLOOKUP(B114,'Master Anggota'!$E$2:$I$279,5,0)</f>
        <v>00301</v>
      </c>
      <c r="D114" s="108">
        <v>46022</v>
      </c>
      <c r="E114" s="56">
        <v>0</v>
      </c>
      <c r="F114" t="s">
        <v>599</v>
      </c>
    </row>
    <row r="115" spans="1:8" customFormat="1" x14ac:dyDescent="0.2">
      <c r="A115">
        <v>112</v>
      </c>
      <c r="B115" t="s">
        <v>310</v>
      </c>
      <c r="C115" t="str">
        <f>VLOOKUP(B115,'Master Anggota'!$E$2:$I$279,5,0)</f>
        <v>01543</v>
      </c>
      <c r="D115" s="108">
        <v>46022</v>
      </c>
      <c r="E115" s="56">
        <v>0</v>
      </c>
      <c r="F115" t="s">
        <v>599</v>
      </c>
    </row>
    <row r="116" spans="1:8" customFormat="1" x14ac:dyDescent="0.2">
      <c r="A116">
        <v>113</v>
      </c>
      <c r="B116" t="s">
        <v>521</v>
      </c>
      <c r="C116" t="str">
        <f>VLOOKUP(B116,'Master Anggota'!$E$2:$I$279,5,0)</f>
        <v>00376</v>
      </c>
      <c r="D116" s="108">
        <v>46022</v>
      </c>
      <c r="E116" s="56">
        <v>71166668</v>
      </c>
      <c r="F116" t="s">
        <v>599</v>
      </c>
    </row>
    <row r="117" spans="1:8" customFormat="1" x14ac:dyDescent="0.2">
      <c r="A117">
        <v>114</v>
      </c>
      <c r="B117" t="s">
        <v>358</v>
      </c>
      <c r="C117" t="str">
        <f>VLOOKUP(B117,'Master Anggota'!$E$2:$I$279,5,0)</f>
        <v>01530</v>
      </c>
      <c r="D117" s="108">
        <v>46022</v>
      </c>
      <c r="E117" s="56">
        <v>8800000</v>
      </c>
      <c r="F117" t="s">
        <v>599</v>
      </c>
    </row>
    <row r="118" spans="1:8" customFormat="1" x14ac:dyDescent="0.2">
      <c r="A118">
        <v>115</v>
      </c>
      <c r="B118" t="s">
        <v>270</v>
      </c>
      <c r="C118" t="str">
        <f>VLOOKUP(B118,'Master Anggota'!$E$2:$I$279,5,0)</f>
        <v>00509</v>
      </c>
      <c r="D118" s="108">
        <v>46022</v>
      </c>
      <c r="E118" s="56">
        <v>1960003</v>
      </c>
      <c r="F118" t="s">
        <v>599</v>
      </c>
    </row>
    <row r="119" spans="1:8" customFormat="1" x14ac:dyDescent="0.2">
      <c r="A119">
        <v>116</v>
      </c>
      <c r="B119" t="s">
        <v>274</v>
      </c>
      <c r="C119" t="str">
        <f>VLOOKUP(B119,'Master Anggota'!$E$2:$I$279,5,0)</f>
        <v>00515</v>
      </c>
      <c r="D119" s="108">
        <v>46022</v>
      </c>
      <c r="E119" s="56">
        <v>20075000</v>
      </c>
      <c r="F119" t="s">
        <v>599</v>
      </c>
    </row>
    <row r="120" spans="1:8" customFormat="1" x14ac:dyDescent="0.2">
      <c r="A120">
        <v>117</v>
      </c>
      <c r="B120" t="s">
        <v>529</v>
      </c>
      <c r="C120" t="str">
        <f>VLOOKUP(B120,'Master Anggota'!$E$2:$I$279,5,0)</f>
        <v>Nasabah</v>
      </c>
      <c r="D120" s="108">
        <v>46022</v>
      </c>
      <c r="E120" s="109">
        <f>480000*0</f>
        <v>0</v>
      </c>
      <c r="F120" t="s">
        <v>599</v>
      </c>
      <c r="H120" t="s">
        <v>687</v>
      </c>
    </row>
    <row r="121" spans="1:8" customFormat="1" x14ac:dyDescent="0.2">
      <c r="A121">
        <v>118</v>
      </c>
      <c r="B121" t="s">
        <v>276</v>
      </c>
      <c r="C121" t="str">
        <f>VLOOKUP(B121,'Master Anggota'!$E$2:$I$279,5,0)</f>
        <v>00558</v>
      </c>
      <c r="D121" s="108">
        <v>46022</v>
      </c>
      <c r="E121" s="56">
        <v>25633332</v>
      </c>
      <c r="F121" t="s">
        <v>599</v>
      </c>
    </row>
    <row r="122" spans="1:8" customFormat="1" x14ac:dyDescent="0.2">
      <c r="A122">
        <v>119</v>
      </c>
      <c r="B122" t="s">
        <v>277</v>
      </c>
      <c r="C122" t="str">
        <f>VLOOKUP(B122,'Master Anggota'!$E$2:$I$279,5,0)</f>
        <v>00564</v>
      </c>
      <c r="D122" s="108">
        <v>46022</v>
      </c>
      <c r="E122" s="56">
        <v>25833332</v>
      </c>
      <c r="F122" t="s">
        <v>599</v>
      </c>
    </row>
    <row r="123" spans="1:8" customFormat="1" x14ac:dyDescent="0.2">
      <c r="A123">
        <v>120</v>
      </c>
      <c r="B123" t="s">
        <v>389</v>
      </c>
      <c r="C123" t="str">
        <f>VLOOKUP(B123,'Master Anggota'!$E$2:$I$279,5,0)</f>
        <v>00593</v>
      </c>
      <c r="D123" s="108">
        <v>46022</v>
      </c>
      <c r="E123" s="56">
        <v>1540000</v>
      </c>
      <c r="F123" t="s">
        <v>599</v>
      </c>
    </row>
    <row r="124" spans="1:8" customFormat="1" x14ac:dyDescent="0.2">
      <c r="A124">
        <v>121</v>
      </c>
      <c r="B124" t="s">
        <v>147</v>
      </c>
      <c r="C124" t="str">
        <f>VLOOKUP(B124,'Master Anggota'!$E$2:$I$279,5,0)</f>
        <v>00527</v>
      </c>
      <c r="D124" s="108">
        <v>46022</v>
      </c>
      <c r="E124" s="56">
        <v>37166668</v>
      </c>
      <c r="F124" t="s">
        <v>599</v>
      </c>
    </row>
    <row r="125" spans="1:8" customFormat="1" x14ac:dyDescent="0.2">
      <c r="A125">
        <v>122</v>
      </c>
      <c r="B125" t="s">
        <v>171</v>
      </c>
      <c r="C125" t="str">
        <f>VLOOKUP(B125,'Master Anggota'!$E$2:$I$279,5,0)</f>
        <v>00560</v>
      </c>
      <c r="D125" s="108">
        <v>46022</v>
      </c>
      <c r="E125" s="56">
        <v>0</v>
      </c>
      <c r="F125" t="s">
        <v>599</v>
      </c>
    </row>
    <row r="126" spans="1:8" customFormat="1" x14ac:dyDescent="0.2">
      <c r="A126">
        <v>123</v>
      </c>
      <c r="B126" t="s">
        <v>324</v>
      </c>
      <c r="C126" t="str">
        <f>VLOOKUP(B126,'Master Anggota'!$E$2:$I$279,5,0)</f>
        <v>00626</v>
      </c>
      <c r="D126" s="108">
        <v>46022</v>
      </c>
      <c r="E126" s="56">
        <v>29225000</v>
      </c>
      <c r="F126" t="s">
        <v>599</v>
      </c>
    </row>
    <row r="127" spans="1:8" customFormat="1" x14ac:dyDescent="0.2">
      <c r="A127">
        <v>124</v>
      </c>
      <c r="B127" t="s">
        <v>151</v>
      </c>
      <c r="C127" t="str">
        <f>VLOOKUP(B127,'Master Anggota'!$E$2:$I$279,5,0)</f>
        <v>00362</v>
      </c>
      <c r="D127" s="108">
        <v>46022</v>
      </c>
      <c r="E127" s="56">
        <v>23871005</v>
      </c>
      <c r="F127" t="s">
        <v>599</v>
      </c>
    </row>
    <row r="128" spans="1:8" customFormat="1" x14ac:dyDescent="0.2">
      <c r="A128">
        <v>125</v>
      </c>
      <c r="B128" t="s">
        <v>537</v>
      </c>
      <c r="C128" t="str">
        <f>VLOOKUP(B128,'Master Anggota'!$E$2:$I$279,5,0)</f>
        <v>Nasabah</v>
      </c>
      <c r="D128" s="108">
        <v>46022</v>
      </c>
      <c r="E128" s="56">
        <v>0</v>
      </c>
      <c r="F128" t="s">
        <v>599</v>
      </c>
    </row>
    <row r="129" spans="1:11" x14ac:dyDescent="0.2">
      <c r="A129">
        <v>126</v>
      </c>
      <c r="B129" t="s">
        <v>153</v>
      </c>
      <c r="C129" t="str">
        <f>VLOOKUP(B129,'Master Anggota'!$E$2:$I$279,5,0)</f>
        <v>00548</v>
      </c>
      <c r="D129" s="108">
        <v>46022</v>
      </c>
      <c r="E129" s="56">
        <v>26966668</v>
      </c>
      <c r="F129" t="s">
        <v>599</v>
      </c>
      <c r="I129"/>
      <c r="J129"/>
      <c r="K129"/>
    </row>
    <row r="130" spans="1:11" x14ac:dyDescent="0.2">
      <c r="A130">
        <v>127</v>
      </c>
      <c r="B130" t="s">
        <v>326</v>
      </c>
      <c r="C130" t="str">
        <f>VLOOKUP(B130,'Master Anggota'!$E$2:$I$279,5,0)</f>
        <v>00608</v>
      </c>
      <c r="D130" s="108">
        <v>46022</v>
      </c>
      <c r="E130" s="56">
        <v>12089998</v>
      </c>
      <c r="F130" t="s">
        <v>599</v>
      </c>
      <c r="I130"/>
      <c r="J130"/>
      <c r="K130"/>
    </row>
    <row r="131" spans="1:11" x14ac:dyDescent="0.2">
      <c r="A131">
        <v>128</v>
      </c>
      <c r="B131" t="s">
        <v>172</v>
      </c>
      <c r="C131" t="str">
        <f>VLOOKUP(B131,'Master Anggota'!$E$2:$I$279,5,0)</f>
        <v>00584</v>
      </c>
      <c r="D131" s="108">
        <v>46022</v>
      </c>
      <c r="E131" s="56">
        <v>48750002</v>
      </c>
      <c r="F131" t="s">
        <v>599</v>
      </c>
      <c r="I131"/>
      <c r="J131"/>
      <c r="K131"/>
    </row>
    <row r="132" spans="1:11" x14ac:dyDescent="0.2">
      <c r="A132">
        <v>129</v>
      </c>
      <c r="B132" t="s">
        <v>155</v>
      </c>
      <c r="C132" t="str">
        <f>VLOOKUP(B132,'Master Anggota'!$E$2:$I$279,5,0)</f>
        <v>00499</v>
      </c>
      <c r="D132" s="108">
        <v>46022</v>
      </c>
      <c r="E132" s="56">
        <v>9041661</v>
      </c>
      <c r="F132" t="s">
        <v>599</v>
      </c>
      <c r="I132"/>
      <c r="J132"/>
      <c r="K132"/>
    </row>
    <row r="133" spans="1:11" x14ac:dyDescent="0.2">
      <c r="A133">
        <v>130</v>
      </c>
      <c r="B133" t="s">
        <v>531</v>
      </c>
      <c r="C133" t="str">
        <f>VLOOKUP(B133,'Master Anggota'!$E$2:$I$279,5,0)</f>
        <v>PHL</v>
      </c>
      <c r="D133" s="108">
        <v>46022</v>
      </c>
      <c r="E133" s="56">
        <f>525000*0</f>
        <v>0</v>
      </c>
      <c r="F133" t="s">
        <v>599</v>
      </c>
      <c r="I133"/>
      <c r="J133"/>
      <c r="K133"/>
    </row>
    <row r="134" spans="1:11" x14ac:dyDescent="0.2">
      <c r="A134">
        <v>131</v>
      </c>
      <c r="B134" t="s">
        <v>324</v>
      </c>
      <c r="C134" t="str">
        <f>VLOOKUP(B134,'Master Anggota'!$E$2:$I$279,5,0)</f>
        <v>00626</v>
      </c>
      <c r="D134" s="108">
        <v>46035</v>
      </c>
      <c r="E134" s="82">
        <v>775000</v>
      </c>
      <c r="F134" t="s">
        <v>598</v>
      </c>
      <c r="H134" t="s">
        <v>627</v>
      </c>
      <c r="I134"/>
      <c r="J134"/>
      <c r="K134"/>
    </row>
    <row r="135" spans="1:11" x14ac:dyDescent="0.2">
      <c r="A135">
        <v>132</v>
      </c>
      <c r="B135" t="s">
        <v>519</v>
      </c>
      <c r="C135" t="str">
        <f>VLOOKUP(B135,'Master Anggota'!$E$2:$I$279,5,0)</f>
        <v>00611</v>
      </c>
      <c r="D135" s="108">
        <v>46034</v>
      </c>
      <c r="E135" s="82">
        <v>560000</v>
      </c>
      <c r="F135" t="s">
        <v>598</v>
      </c>
      <c r="H135" t="s">
        <v>627</v>
      </c>
      <c r="I135"/>
      <c r="J135"/>
      <c r="K135"/>
    </row>
    <row r="136" spans="1:11" x14ac:dyDescent="0.2">
      <c r="A136">
        <v>133</v>
      </c>
      <c r="B136" t="s">
        <v>53</v>
      </c>
      <c r="C136" t="str">
        <f>VLOOKUP(B136,'Master Anggota'!$E$2:$I$279,5,0)</f>
        <v>00540</v>
      </c>
      <c r="D136" s="108">
        <v>46035</v>
      </c>
      <c r="E136" s="82">
        <v>15000000</v>
      </c>
      <c r="F136" s="60" t="s">
        <v>617</v>
      </c>
      <c r="H136" t="s">
        <v>622</v>
      </c>
      <c r="I136" s="111">
        <v>46078</v>
      </c>
      <c r="J136" s="111">
        <v>46777</v>
      </c>
      <c r="K136" s="82">
        <v>775000</v>
      </c>
    </row>
    <row r="137" spans="1:11" x14ac:dyDescent="0.2">
      <c r="A137">
        <v>134</v>
      </c>
      <c r="B137" t="s">
        <v>530</v>
      </c>
      <c r="C137" t="str">
        <f>VLOOKUP(B137,'Master Anggota'!$E$2:$I$279,5,0)</f>
        <v>Nasabah</v>
      </c>
      <c r="D137" s="108">
        <v>46035</v>
      </c>
      <c r="E137" s="56">
        <v>-440000</v>
      </c>
      <c r="F137" t="s">
        <v>598</v>
      </c>
      <c r="I137"/>
      <c r="J137"/>
      <c r="K137"/>
    </row>
    <row r="138" spans="1:11" x14ac:dyDescent="0.2">
      <c r="A138">
        <v>135</v>
      </c>
      <c r="B138" t="s">
        <v>533</v>
      </c>
      <c r="C138" t="str">
        <f>VLOOKUP(B138,'Master Anggota'!$E$2:$I$279,5,0)</f>
        <v>Nasabah</v>
      </c>
      <c r="D138" s="108">
        <v>46035</v>
      </c>
      <c r="E138" s="82">
        <v>-1866666</v>
      </c>
      <c r="F138" t="s">
        <v>598</v>
      </c>
      <c r="I138"/>
      <c r="J138"/>
      <c r="K138"/>
    </row>
    <row r="139" spans="1:11" x14ac:dyDescent="0.2">
      <c r="A139">
        <v>136</v>
      </c>
      <c r="B139" t="s">
        <v>318</v>
      </c>
      <c r="C139" t="str">
        <f>VLOOKUP(B139,'Master Anggota'!$E$2:$I$279,5,0)</f>
        <v>01651</v>
      </c>
      <c r="D139" s="108">
        <v>46038</v>
      </c>
      <c r="E139" s="82">
        <v>3000000</v>
      </c>
      <c r="F139" s="60" t="s">
        <v>617</v>
      </c>
      <c r="H139" t="s">
        <v>618</v>
      </c>
      <c r="I139" s="111">
        <v>46078</v>
      </c>
      <c r="J139" s="111">
        <v>46351</v>
      </c>
      <c r="K139" s="82" t="s">
        <v>641</v>
      </c>
    </row>
    <row r="140" spans="1:11" x14ac:dyDescent="0.2">
      <c r="A140">
        <v>137</v>
      </c>
      <c r="B140" t="s">
        <v>8</v>
      </c>
      <c r="C140" t="str">
        <f>VLOOKUP(B140,'Master Anggota'!$E$2:$I$279,5,0)</f>
        <v>00553</v>
      </c>
      <c r="D140" s="108">
        <v>46045</v>
      </c>
      <c r="E140" s="56">
        <v>-660000</v>
      </c>
      <c r="F140" t="s">
        <v>598</v>
      </c>
      <c r="I140"/>
      <c r="J140"/>
    </row>
    <row r="141" spans="1:11" x14ac:dyDescent="0.2">
      <c r="A141">
        <v>138</v>
      </c>
      <c r="B141" t="s">
        <v>318</v>
      </c>
      <c r="C141" t="str">
        <f>VLOOKUP(B141,'Master Anggota'!$E$2:$I$279,5,0)</f>
        <v>01651</v>
      </c>
      <c r="D141" s="108">
        <v>46038</v>
      </c>
      <c r="E141" s="82">
        <v>300000</v>
      </c>
      <c r="F141" t="s">
        <v>616</v>
      </c>
      <c r="K141"/>
    </row>
    <row r="142" spans="1:11" s="62" customFormat="1" x14ac:dyDescent="0.2">
      <c r="A142">
        <v>139</v>
      </c>
      <c r="B142" s="62" t="s">
        <v>318</v>
      </c>
      <c r="C142" s="62" t="str">
        <f>VLOOKUP(B142,'Master Anggota'!$E$2:$I$279,5,0)</f>
        <v>01651</v>
      </c>
      <c r="D142" s="119">
        <v>46038</v>
      </c>
      <c r="E142" s="109">
        <v>-880000</v>
      </c>
      <c r="F142" s="62" t="s">
        <v>598</v>
      </c>
      <c r="H142" s="62" t="s">
        <v>691</v>
      </c>
      <c r="I142" s="116"/>
      <c r="J142" s="116"/>
    </row>
    <row r="143" spans="1:11" x14ac:dyDescent="0.2">
      <c r="A143">
        <v>140</v>
      </c>
      <c r="B143" t="s">
        <v>318</v>
      </c>
      <c r="C143" t="str">
        <f>VLOOKUP(B143,'Master Anggota'!$E$2:$I$279,5,0)</f>
        <v>01651</v>
      </c>
      <c r="D143" s="108">
        <v>46045</v>
      </c>
      <c r="E143" s="56">
        <v>-220000</v>
      </c>
      <c r="F143" t="s">
        <v>598</v>
      </c>
      <c r="K143"/>
    </row>
    <row r="144" spans="1:11" s="62" customFormat="1" x14ac:dyDescent="0.2">
      <c r="A144">
        <v>141</v>
      </c>
      <c r="B144" s="62" t="s">
        <v>318</v>
      </c>
      <c r="C144" s="62" t="str">
        <f>VLOOKUP(B144,'Master Anggota'!$E$2:$I$279,5,0)</f>
        <v>01651</v>
      </c>
      <c r="D144" s="119">
        <v>46048</v>
      </c>
      <c r="E144" s="109">
        <v>720000</v>
      </c>
      <c r="F144" s="62" t="s">
        <v>598</v>
      </c>
      <c r="H144" s="62" t="s">
        <v>692</v>
      </c>
      <c r="I144" s="116"/>
      <c r="J144" s="116"/>
    </row>
    <row r="145" spans="1:11" x14ac:dyDescent="0.2">
      <c r="A145">
        <v>142</v>
      </c>
      <c r="B145" t="s">
        <v>189</v>
      </c>
      <c r="C145" t="str">
        <f>VLOOKUP(B145,'Master Anggota'!$E$2:$I$279,5,0)</f>
        <v>00535</v>
      </c>
      <c r="D145" s="108">
        <v>46045</v>
      </c>
      <c r="E145" s="56">
        <v>-597333</v>
      </c>
      <c r="F145" t="s">
        <v>598</v>
      </c>
      <c r="I145"/>
      <c r="J145"/>
      <c r="K145"/>
    </row>
    <row r="146" spans="1:11" x14ac:dyDescent="0.2">
      <c r="A146">
        <v>143</v>
      </c>
      <c r="B146" t="s">
        <v>524</v>
      </c>
      <c r="C146" t="str">
        <f>VLOOKUP(B146,'Master Anggota'!$E$2:$I$279,5,0)</f>
        <v>01743</v>
      </c>
      <c r="D146" s="108">
        <v>46045</v>
      </c>
      <c r="E146" s="56">
        <v>-350000</v>
      </c>
      <c r="F146" t="s">
        <v>598</v>
      </c>
      <c r="I146"/>
      <c r="J146"/>
      <c r="K146"/>
    </row>
    <row r="147" spans="1:11" x14ac:dyDescent="0.2">
      <c r="A147">
        <v>144</v>
      </c>
      <c r="B147" t="s">
        <v>524</v>
      </c>
      <c r="C147" t="str">
        <f>VLOOKUP(B147,'Master Anggota'!$E$2:$I$279,5,0)</f>
        <v>01743</v>
      </c>
      <c r="D147" s="108">
        <v>46048</v>
      </c>
      <c r="E147" s="56">
        <v>350000</v>
      </c>
      <c r="F147" t="s">
        <v>598</v>
      </c>
      <c r="H147" t="s">
        <v>600</v>
      </c>
      <c r="I147"/>
      <c r="J147"/>
      <c r="K147"/>
    </row>
    <row r="148" spans="1:11" x14ac:dyDescent="0.2">
      <c r="A148">
        <v>145</v>
      </c>
      <c r="B148" t="s">
        <v>328</v>
      </c>
      <c r="C148" t="str">
        <f>VLOOKUP(B148,'Master Anggota'!$E$2:$I$279,5,0)</f>
        <v>00369</v>
      </c>
      <c r="D148" s="108">
        <v>46045</v>
      </c>
      <c r="E148" s="56">
        <v>-1812500</v>
      </c>
      <c r="F148" t="s">
        <v>598</v>
      </c>
      <c r="I148"/>
      <c r="J148"/>
      <c r="K148"/>
    </row>
    <row r="149" spans="1:11" x14ac:dyDescent="0.2">
      <c r="A149">
        <v>146</v>
      </c>
      <c r="B149" t="s">
        <v>327</v>
      </c>
      <c r="C149" t="str">
        <f>VLOOKUP(B149,'Master Anggota'!$E$2:$I$279,5,0)</f>
        <v>01665</v>
      </c>
      <c r="D149" s="108">
        <v>46045</v>
      </c>
      <c r="E149" s="56">
        <v>-458572</v>
      </c>
      <c r="F149" t="s">
        <v>598</v>
      </c>
      <c r="I149"/>
      <c r="J149"/>
      <c r="K149"/>
    </row>
    <row r="150" spans="1:11" x14ac:dyDescent="0.2">
      <c r="A150">
        <v>147</v>
      </c>
      <c r="B150" t="s">
        <v>484</v>
      </c>
      <c r="C150" t="str">
        <f>VLOOKUP(B150,'Master Anggota'!$E$2:$I$279,5,0)</f>
        <v>00552</v>
      </c>
      <c r="D150" s="108">
        <v>46045</v>
      </c>
      <c r="E150" s="56">
        <v>-4408333</v>
      </c>
      <c r="F150" t="s">
        <v>598</v>
      </c>
      <c r="I150"/>
      <c r="J150"/>
      <c r="K150"/>
    </row>
    <row r="151" spans="1:11" x14ac:dyDescent="0.2">
      <c r="A151">
        <v>148</v>
      </c>
      <c r="B151" t="s">
        <v>325</v>
      </c>
      <c r="C151" t="str">
        <f>VLOOKUP(B151,'Master Anggota'!$E$2:$I$279,5,0)</f>
        <v>00607</v>
      </c>
      <c r="D151" s="108">
        <v>46045</v>
      </c>
      <c r="E151" s="56">
        <v>-775000</v>
      </c>
      <c r="F151" t="s">
        <v>598</v>
      </c>
      <c r="I151"/>
      <c r="J151"/>
      <c r="K151"/>
    </row>
    <row r="152" spans="1:11" x14ac:dyDescent="0.2">
      <c r="A152">
        <v>149</v>
      </c>
      <c r="B152" t="s">
        <v>319</v>
      </c>
      <c r="C152" t="str">
        <f>VLOOKUP(B152,'Master Anggota'!$E$2:$I$279,5,0)</f>
        <v>01302</v>
      </c>
      <c r="D152" s="108">
        <v>46045</v>
      </c>
      <c r="E152" s="56">
        <v>-2200000</v>
      </c>
      <c r="F152" t="s">
        <v>598</v>
      </c>
      <c r="I152"/>
      <c r="J152"/>
      <c r="K152"/>
    </row>
    <row r="153" spans="1:11" x14ac:dyDescent="0.2">
      <c r="A153">
        <v>150</v>
      </c>
      <c r="B153" t="s">
        <v>363</v>
      </c>
      <c r="C153" t="str">
        <f>VLOOKUP(B153,'Master Anggota'!$E$2:$I$279,5,0)</f>
        <v>00576</v>
      </c>
      <c r="D153" s="108">
        <v>46045</v>
      </c>
      <c r="E153" s="56">
        <v>-1858333</v>
      </c>
      <c r="F153" t="s">
        <v>598</v>
      </c>
      <c r="I153"/>
      <c r="J153"/>
      <c r="K153"/>
    </row>
    <row r="154" spans="1:11" x14ac:dyDescent="0.2">
      <c r="A154">
        <v>151</v>
      </c>
      <c r="B154" t="s">
        <v>35</v>
      </c>
      <c r="C154" t="str">
        <f>VLOOKUP(B154,'Master Anggota'!$E$2:$I$279,5,0)</f>
        <v>00546</v>
      </c>
      <c r="D154" s="108">
        <v>46045</v>
      </c>
      <c r="E154" s="56">
        <v>-1575000</v>
      </c>
      <c r="F154" t="s">
        <v>598</v>
      </c>
      <c r="I154"/>
      <c r="J154"/>
      <c r="K154"/>
    </row>
    <row r="155" spans="1:11" x14ac:dyDescent="0.2">
      <c r="A155">
        <v>152</v>
      </c>
      <c r="B155" t="s">
        <v>400</v>
      </c>
      <c r="C155" t="str">
        <f>VLOOKUP(B155,'Master Anggota'!$E$2:$I$279,5,0)</f>
        <v>00614</v>
      </c>
      <c r="D155" s="108">
        <v>46045</v>
      </c>
      <c r="E155" s="56">
        <v>-723333</v>
      </c>
      <c r="F155" t="s">
        <v>598</v>
      </c>
      <c r="I155"/>
      <c r="J155"/>
      <c r="K155"/>
    </row>
    <row r="156" spans="1:11" x14ac:dyDescent="0.2">
      <c r="A156">
        <v>153</v>
      </c>
      <c r="B156" t="s">
        <v>522</v>
      </c>
      <c r="C156" t="str">
        <f>VLOOKUP(B156,'Master Anggota'!$E$2:$I$279,5,0)</f>
        <v>00533</v>
      </c>
      <c r="D156" s="108">
        <v>46045</v>
      </c>
      <c r="E156" s="56">
        <v>-3275000</v>
      </c>
      <c r="F156" t="s">
        <v>598</v>
      </c>
      <c r="I156"/>
      <c r="J156"/>
      <c r="K156"/>
    </row>
    <row r="157" spans="1:11" x14ac:dyDescent="0.2">
      <c r="A157">
        <v>154</v>
      </c>
      <c r="B157" t="s">
        <v>523</v>
      </c>
      <c r="C157" t="str">
        <f>VLOOKUP(B157,'Master Anggota'!$E$2:$I$279,5,0)</f>
        <v>00579</v>
      </c>
      <c r="D157" s="108">
        <v>46045</v>
      </c>
      <c r="E157" s="56">
        <v>-767000</v>
      </c>
      <c r="F157" t="s">
        <v>598</v>
      </c>
      <c r="I157"/>
      <c r="J157"/>
      <c r="K157"/>
    </row>
    <row r="158" spans="1:11" x14ac:dyDescent="0.2">
      <c r="A158">
        <v>155</v>
      </c>
      <c r="B158" t="s">
        <v>467</v>
      </c>
      <c r="C158" t="str">
        <f>VLOOKUP(B158,'Master Anggota'!$E$2:$I$279,5,0)</f>
        <v>00577</v>
      </c>
      <c r="D158" s="108">
        <v>46045</v>
      </c>
      <c r="E158" s="56">
        <v>-1603333</v>
      </c>
      <c r="F158" t="s">
        <v>598</v>
      </c>
      <c r="I158"/>
      <c r="J158"/>
      <c r="K158"/>
    </row>
    <row r="159" spans="1:11" x14ac:dyDescent="0.2">
      <c r="A159">
        <v>156</v>
      </c>
      <c r="B159" t="s">
        <v>491</v>
      </c>
      <c r="C159" t="str">
        <f>VLOOKUP(B159,'Master Anggota'!$E$2:$I$279,5,0)</f>
        <v>01720</v>
      </c>
      <c r="D159" s="108">
        <v>46045</v>
      </c>
      <c r="E159" s="56">
        <v>-1195000</v>
      </c>
      <c r="F159" t="s">
        <v>598</v>
      </c>
      <c r="I159"/>
      <c r="J159"/>
      <c r="K159"/>
    </row>
    <row r="160" spans="1:11" x14ac:dyDescent="0.2">
      <c r="A160">
        <v>157</v>
      </c>
      <c r="B160" t="s">
        <v>194</v>
      </c>
      <c r="C160" t="str">
        <f>VLOOKUP(B160,'Master Anggota'!$E$2:$I$279,5,0)</f>
        <v>00498</v>
      </c>
      <c r="D160" s="108">
        <v>46045</v>
      </c>
      <c r="E160" s="82">
        <v>93000000</v>
      </c>
      <c r="F160" t="s">
        <v>617</v>
      </c>
      <c r="H160" t="s">
        <v>620</v>
      </c>
      <c r="I160" s="111">
        <v>46078</v>
      </c>
      <c r="J160" s="111">
        <v>46655</v>
      </c>
      <c r="K160" s="56">
        <v>5920000</v>
      </c>
    </row>
    <row r="161" spans="1:11" x14ac:dyDescent="0.2">
      <c r="A161">
        <v>158</v>
      </c>
      <c r="B161" t="s">
        <v>194</v>
      </c>
      <c r="C161" t="str">
        <f>VLOOKUP(B161,'Master Anggota'!$E$2:$I$279,5,0)</f>
        <v>00498</v>
      </c>
      <c r="D161" s="108">
        <v>46045</v>
      </c>
      <c r="E161" s="82">
        <v>25400000</v>
      </c>
      <c r="F161" t="s">
        <v>616</v>
      </c>
      <c r="I161"/>
      <c r="J161"/>
    </row>
    <row r="162" spans="1:11" x14ac:dyDescent="0.2">
      <c r="A162">
        <v>159</v>
      </c>
      <c r="B162" t="s">
        <v>194</v>
      </c>
      <c r="C162" t="str">
        <f>VLOOKUP(B162,'Master Anggota'!$E$2:$I$279,5,0)</f>
        <v>00498</v>
      </c>
      <c r="D162" s="108">
        <v>46045</v>
      </c>
      <c r="E162" s="82">
        <v>-86775000</v>
      </c>
      <c r="F162" t="s">
        <v>598</v>
      </c>
      <c r="H162" t="s">
        <v>621</v>
      </c>
      <c r="I162"/>
      <c r="J162"/>
    </row>
    <row r="163" spans="1:11" x14ac:dyDescent="0.2">
      <c r="A163">
        <v>160</v>
      </c>
      <c r="B163" t="s">
        <v>194</v>
      </c>
      <c r="C163" t="str">
        <f>VLOOKUP(B163,'Master Anggota'!$E$2:$I$279,5,0)</f>
        <v>00498</v>
      </c>
      <c r="D163" s="108">
        <v>46045</v>
      </c>
      <c r="E163" s="56">
        <v>-6675000</v>
      </c>
      <c r="F163" t="s">
        <v>598</v>
      </c>
      <c r="I163"/>
      <c r="J163"/>
    </row>
    <row r="164" spans="1:11" x14ac:dyDescent="0.2">
      <c r="A164">
        <v>161</v>
      </c>
      <c r="B164" t="s">
        <v>294</v>
      </c>
      <c r="C164" t="str">
        <f>VLOOKUP(B164,'Master Anggota'!$E$2:$I$279,5,0)</f>
        <v>PHL</v>
      </c>
      <c r="D164" s="108">
        <v>46045</v>
      </c>
      <c r="E164" s="56">
        <v>-1400000</v>
      </c>
      <c r="F164" t="s">
        <v>598</v>
      </c>
      <c r="I164"/>
      <c r="J164"/>
      <c r="K164"/>
    </row>
    <row r="165" spans="1:11" x14ac:dyDescent="0.2">
      <c r="A165">
        <v>162</v>
      </c>
      <c r="B165" t="s">
        <v>53</v>
      </c>
      <c r="C165" t="str">
        <f>VLOOKUP(B165,'Master Anggota'!$E$2:$I$279,5,0)</f>
        <v>00540</v>
      </c>
      <c r="D165" s="108">
        <v>46035</v>
      </c>
      <c r="E165" s="56">
        <v>3600000</v>
      </c>
      <c r="F165" t="s">
        <v>616</v>
      </c>
      <c r="I165"/>
      <c r="J165"/>
    </row>
    <row r="166" spans="1:11" x14ac:dyDescent="0.2">
      <c r="A166">
        <v>163</v>
      </c>
      <c r="B166" t="s">
        <v>53</v>
      </c>
      <c r="C166" t="str">
        <f>VLOOKUP(B166,'Master Anggota'!$E$2:$I$279,5,0)</f>
        <v>00540</v>
      </c>
      <c r="D166" s="108">
        <v>46035</v>
      </c>
      <c r="E166" s="56">
        <v>-9300000</v>
      </c>
      <c r="F166" t="s">
        <v>598</v>
      </c>
      <c r="H166" t="s">
        <v>624</v>
      </c>
      <c r="I166"/>
      <c r="J166"/>
    </row>
    <row r="167" spans="1:11" x14ac:dyDescent="0.2">
      <c r="A167">
        <v>164</v>
      </c>
      <c r="B167" t="s">
        <v>53</v>
      </c>
      <c r="C167" t="str">
        <f>VLOOKUP(B167,'Master Anggota'!$E$2:$I$279,5,0)</f>
        <v>00540</v>
      </c>
      <c r="D167" s="108">
        <v>46045</v>
      </c>
      <c r="E167" s="56">
        <v>-1545000</v>
      </c>
      <c r="F167" t="s">
        <v>598</v>
      </c>
      <c r="I167"/>
      <c r="J167"/>
    </row>
    <row r="168" spans="1:11" x14ac:dyDescent="0.2">
      <c r="A168">
        <v>165</v>
      </c>
      <c r="B168" t="s">
        <v>53</v>
      </c>
      <c r="C168" t="str">
        <f>VLOOKUP(B168,'Master Anggota'!$E$2:$I$279,5,0)</f>
        <v>00540</v>
      </c>
      <c r="D168" s="108">
        <v>46048</v>
      </c>
      <c r="E168" s="56">
        <v>1545000</v>
      </c>
      <c r="F168" t="s">
        <v>598</v>
      </c>
      <c r="H168" t="s">
        <v>600</v>
      </c>
      <c r="I168"/>
      <c r="J168"/>
    </row>
    <row r="169" spans="1:11" x14ac:dyDescent="0.2">
      <c r="A169">
        <v>166</v>
      </c>
      <c r="B169" t="s">
        <v>307</v>
      </c>
      <c r="C169" t="str">
        <f>VLOOKUP(B169,'Master Anggota'!$E$2:$I$279,5,0)</f>
        <v>00591</v>
      </c>
      <c r="D169" s="108">
        <v>46045</v>
      </c>
      <c r="E169" s="56">
        <v>-1858333</v>
      </c>
      <c r="F169" t="s">
        <v>598</v>
      </c>
      <c r="I169"/>
      <c r="J169"/>
      <c r="K169"/>
    </row>
    <row r="170" spans="1:11" x14ac:dyDescent="0.2">
      <c r="A170">
        <v>167</v>
      </c>
      <c r="B170" t="s">
        <v>198</v>
      </c>
      <c r="C170" t="str">
        <f>VLOOKUP(B170,'Master Anggota'!$E$2:$I$279,5,0)</f>
        <v>00327</v>
      </c>
      <c r="D170" s="108">
        <v>46045</v>
      </c>
      <c r="E170" s="56">
        <v>-6424608</v>
      </c>
      <c r="F170" t="s">
        <v>598</v>
      </c>
      <c r="I170"/>
      <c r="J170"/>
      <c r="K170"/>
    </row>
    <row r="171" spans="1:11" x14ac:dyDescent="0.2">
      <c r="A171">
        <v>168</v>
      </c>
      <c r="B171" t="s">
        <v>65</v>
      </c>
      <c r="C171" t="str">
        <f>VLOOKUP(B171,'Master Anggota'!$E$2:$I$279,5,0)</f>
        <v>00490</v>
      </c>
      <c r="D171" s="108">
        <v>46045</v>
      </c>
      <c r="E171" s="56">
        <v>-2750000</v>
      </c>
      <c r="F171" t="s">
        <v>598</v>
      </c>
      <c r="I171"/>
      <c r="J171"/>
      <c r="K171"/>
    </row>
    <row r="172" spans="1:11" x14ac:dyDescent="0.2">
      <c r="A172">
        <v>169</v>
      </c>
      <c r="B172" t="s">
        <v>200</v>
      </c>
      <c r="C172" t="str">
        <f>VLOOKUP(B172,'Master Anggota'!$E$2:$I$279,5,0)</f>
        <v>00520</v>
      </c>
      <c r="D172" s="108">
        <v>46045</v>
      </c>
      <c r="E172" s="56">
        <v>-1650000</v>
      </c>
      <c r="F172" t="s">
        <v>598</v>
      </c>
      <c r="I172"/>
      <c r="J172"/>
      <c r="K172"/>
    </row>
    <row r="173" spans="1:11" x14ac:dyDescent="0.2">
      <c r="A173">
        <v>170</v>
      </c>
      <c r="B173" t="s">
        <v>439</v>
      </c>
      <c r="C173" t="str">
        <f>VLOOKUP(B173,'Master Anggota'!$E$2:$I$279,5,0)</f>
        <v>01730</v>
      </c>
      <c r="D173" s="108">
        <v>46030</v>
      </c>
      <c r="E173" s="82">
        <v>4000000</v>
      </c>
      <c r="F173" s="60" t="s">
        <v>617</v>
      </c>
      <c r="H173" t="s">
        <v>631</v>
      </c>
      <c r="I173" s="111">
        <v>46078</v>
      </c>
      <c r="J173" s="111">
        <v>46228</v>
      </c>
      <c r="K173" s="56" t="s">
        <v>641</v>
      </c>
    </row>
    <row r="174" spans="1:11" x14ac:dyDescent="0.2">
      <c r="A174">
        <v>171</v>
      </c>
      <c r="B174" t="s">
        <v>439</v>
      </c>
      <c r="C174" t="str">
        <f>VLOOKUP(B174,'Master Anggota'!$E$2:$I$279,5,0)</f>
        <v>01730</v>
      </c>
      <c r="D174" s="108">
        <v>46030</v>
      </c>
      <c r="E174" s="82">
        <v>240000</v>
      </c>
      <c r="F174" s="60" t="s">
        <v>616</v>
      </c>
      <c r="I174"/>
      <c r="J174"/>
      <c r="K174"/>
    </row>
    <row r="175" spans="1:11" x14ac:dyDescent="0.2">
      <c r="A175">
        <v>172</v>
      </c>
      <c r="B175" t="s">
        <v>439</v>
      </c>
      <c r="C175" t="str">
        <f>VLOOKUP(B175,'Master Anggota'!$E$2:$I$279,5,0)</f>
        <v>01730</v>
      </c>
      <c r="D175" s="108">
        <v>46030</v>
      </c>
      <c r="E175" s="82">
        <v>-1890000</v>
      </c>
      <c r="F175" s="60" t="s">
        <v>598</v>
      </c>
      <c r="I175"/>
      <c r="J175"/>
      <c r="K175"/>
    </row>
    <row r="176" spans="1:11" x14ac:dyDescent="0.2">
      <c r="A176">
        <v>173</v>
      </c>
      <c r="B176" t="s">
        <v>439</v>
      </c>
      <c r="C176" t="str">
        <f>VLOOKUP(B176,'Master Anggota'!$E$2:$I$279,5,0)</f>
        <v>01730</v>
      </c>
      <c r="D176" s="108">
        <v>46045</v>
      </c>
      <c r="E176" s="82">
        <v>-210000</v>
      </c>
      <c r="F176" t="s">
        <v>598</v>
      </c>
      <c r="I176"/>
      <c r="J176"/>
      <c r="K176"/>
    </row>
    <row r="177" spans="1:11" x14ac:dyDescent="0.2">
      <c r="A177">
        <v>174</v>
      </c>
      <c r="B177" t="s">
        <v>439</v>
      </c>
      <c r="C177" t="str">
        <f>VLOOKUP(B177,'Master Anggota'!$E$2:$I$279,5,0)</f>
        <v>01730</v>
      </c>
      <c r="D177" s="108">
        <v>46048</v>
      </c>
      <c r="E177" s="56">
        <v>210000</v>
      </c>
      <c r="F177" t="s">
        <v>598</v>
      </c>
      <c r="H177" t="s">
        <v>600</v>
      </c>
      <c r="I177"/>
      <c r="J177"/>
      <c r="K177"/>
    </row>
    <row r="178" spans="1:11" x14ac:dyDescent="0.2">
      <c r="A178">
        <v>175</v>
      </c>
      <c r="B178" t="s">
        <v>182</v>
      </c>
      <c r="C178" t="str">
        <f>VLOOKUP(B178,'Master Anggota'!$E$2:$I$279,5,0)</f>
        <v>00565</v>
      </c>
      <c r="D178" s="108">
        <v>46045</v>
      </c>
      <c r="E178" s="56">
        <v>-3125000</v>
      </c>
      <c r="F178" t="s">
        <v>598</v>
      </c>
      <c r="I178"/>
      <c r="J178"/>
      <c r="K178"/>
    </row>
    <row r="179" spans="1:11" x14ac:dyDescent="0.2">
      <c r="A179">
        <v>176</v>
      </c>
      <c r="B179" t="s">
        <v>69</v>
      </c>
      <c r="C179" t="str">
        <f>VLOOKUP(B179,'Master Anggota'!$E$2:$I$279,5,0)</f>
        <v>00496</v>
      </c>
      <c r="D179" s="108">
        <v>46045</v>
      </c>
      <c r="E179" s="56">
        <v>-2325000</v>
      </c>
      <c r="F179" t="s">
        <v>598</v>
      </c>
      <c r="I179"/>
      <c r="J179"/>
      <c r="K179"/>
    </row>
    <row r="180" spans="1:11" x14ac:dyDescent="0.2">
      <c r="A180">
        <v>177</v>
      </c>
      <c r="B180" t="s">
        <v>69</v>
      </c>
      <c r="C180" t="str">
        <f>VLOOKUP(B180,'Master Anggota'!$E$2:$I$279,5,0)</f>
        <v>00496</v>
      </c>
      <c r="D180" s="108">
        <v>46048</v>
      </c>
      <c r="E180" s="56">
        <v>2325000</v>
      </c>
      <c r="F180" t="s">
        <v>598</v>
      </c>
      <c r="H180" t="s">
        <v>600</v>
      </c>
      <c r="I180"/>
      <c r="J180"/>
      <c r="K180"/>
    </row>
    <row r="181" spans="1:11" x14ac:dyDescent="0.2">
      <c r="A181">
        <v>178</v>
      </c>
      <c r="B181" t="s">
        <v>175</v>
      </c>
      <c r="C181" t="str">
        <f>VLOOKUP(B181,'Master Anggota'!$E$2:$I$279,5,0)</f>
        <v>00563</v>
      </c>
      <c r="D181" s="108">
        <v>46045</v>
      </c>
      <c r="E181" s="56">
        <v>-2116666</v>
      </c>
      <c r="F181" t="s">
        <v>598</v>
      </c>
      <c r="I181"/>
      <c r="J181"/>
      <c r="K181"/>
    </row>
    <row r="182" spans="1:11" x14ac:dyDescent="0.2">
      <c r="A182">
        <v>179</v>
      </c>
      <c r="B182" t="s">
        <v>202</v>
      </c>
      <c r="C182" t="str">
        <f>VLOOKUP(B182,'Master Anggota'!$E$2:$I$279,5,0)</f>
        <v>00512</v>
      </c>
      <c r="D182" s="108">
        <v>46045</v>
      </c>
      <c r="E182" s="56">
        <v>-1033333</v>
      </c>
      <c r="F182" t="s">
        <v>598</v>
      </c>
      <c r="I182"/>
      <c r="J182"/>
      <c r="K182"/>
    </row>
    <row r="183" spans="1:11" x14ac:dyDescent="0.2">
      <c r="A183">
        <v>180</v>
      </c>
      <c r="B183" t="s">
        <v>300</v>
      </c>
      <c r="C183" t="str">
        <f>VLOOKUP(B183,'Master Anggota'!$E$2:$I$279,5,0)</f>
        <v>00585</v>
      </c>
      <c r="D183" s="108">
        <v>46045</v>
      </c>
      <c r="E183" s="56">
        <v>-600000</v>
      </c>
      <c r="F183" t="s">
        <v>598</v>
      </c>
      <c r="I183"/>
      <c r="J183"/>
      <c r="K183"/>
    </row>
    <row r="184" spans="1:11" x14ac:dyDescent="0.2">
      <c r="A184">
        <v>181</v>
      </c>
      <c r="B184" t="s">
        <v>71</v>
      </c>
      <c r="C184" t="str">
        <f>VLOOKUP(B184,'Master Anggota'!$E$2:$I$279,5,0)</f>
        <v>00517</v>
      </c>
      <c r="D184" s="108">
        <v>46045</v>
      </c>
      <c r="E184" s="56">
        <v>-1515000</v>
      </c>
      <c r="F184" t="s">
        <v>598</v>
      </c>
      <c r="I184"/>
      <c r="J184"/>
      <c r="K184"/>
    </row>
    <row r="185" spans="1:11" x14ac:dyDescent="0.2">
      <c r="A185">
        <v>182</v>
      </c>
      <c r="B185" t="s">
        <v>79</v>
      </c>
      <c r="C185" t="str">
        <f>VLOOKUP(B185,'Master Anggota'!$E$2:$I$279,5,0)</f>
        <v>00541</v>
      </c>
      <c r="D185" s="108">
        <v>46045</v>
      </c>
      <c r="E185" s="56">
        <v>-4125000</v>
      </c>
      <c r="F185" t="s">
        <v>598</v>
      </c>
      <c r="I185"/>
      <c r="J185"/>
      <c r="K185"/>
    </row>
    <row r="186" spans="1:11" x14ac:dyDescent="0.2">
      <c r="A186">
        <v>183</v>
      </c>
      <c r="B186" t="s">
        <v>81</v>
      </c>
      <c r="C186" t="str">
        <f>VLOOKUP(B186,'Master Anggota'!$E$2:$I$279,5,0)</f>
        <v>00537</v>
      </c>
      <c r="D186" s="108">
        <v>46045</v>
      </c>
      <c r="E186" s="56">
        <v>-2708333</v>
      </c>
      <c r="F186" t="s">
        <v>598</v>
      </c>
      <c r="I186"/>
      <c r="J186"/>
      <c r="K186"/>
    </row>
    <row r="187" spans="1:11" x14ac:dyDescent="0.2">
      <c r="A187">
        <v>184</v>
      </c>
      <c r="B187" t="s">
        <v>364</v>
      </c>
      <c r="C187" t="str">
        <f>VLOOKUP(B187,'Master Anggota'!$E$2:$I$279,5,0)</f>
        <v>00578</v>
      </c>
      <c r="D187" s="108">
        <v>46045</v>
      </c>
      <c r="E187" s="56">
        <v>-983334</v>
      </c>
      <c r="F187" t="s">
        <v>598</v>
      </c>
      <c r="I187"/>
      <c r="J187"/>
      <c r="K187"/>
    </row>
    <row r="188" spans="1:11" x14ac:dyDescent="0.2">
      <c r="A188">
        <v>185</v>
      </c>
      <c r="B188" t="s">
        <v>204</v>
      </c>
      <c r="C188" t="str">
        <f>VLOOKUP(B188,'Master Anggota'!$E$2:$I$279,5,0)</f>
        <v>00534</v>
      </c>
      <c r="D188" s="108">
        <v>46045</v>
      </c>
      <c r="E188" s="56">
        <v>-1825000</v>
      </c>
      <c r="F188" t="s">
        <v>598</v>
      </c>
      <c r="I188"/>
      <c r="J188"/>
      <c r="K188"/>
    </row>
    <row r="189" spans="1:11" x14ac:dyDescent="0.2">
      <c r="A189">
        <v>186</v>
      </c>
      <c r="B189" t="s">
        <v>497</v>
      </c>
      <c r="C189" t="str">
        <f>VLOOKUP(B189,'Master Anggota'!$E$2:$I$279,5,0)</f>
        <v>01719</v>
      </c>
      <c r="D189" s="108">
        <v>46030</v>
      </c>
      <c r="E189" s="82">
        <v>3500000</v>
      </c>
      <c r="F189" s="60" t="s">
        <v>617</v>
      </c>
      <c r="H189" t="s">
        <v>632</v>
      </c>
      <c r="I189" s="111">
        <v>46078</v>
      </c>
      <c r="J189" s="111">
        <v>46198</v>
      </c>
      <c r="K189" s="56" t="s">
        <v>641</v>
      </c>
    </row>
    <row r="190" spans="1:11" x14ac:dyDescent="0.2">
      <c r="A190">
        <v>187</v>
      </c>
      <c r="B190" t="s">
        <v>497</v>
      </c>
      <c r="C190" t="str">
        <f>VLOOKUP(B190,'Master Anggota'!$E$2:$I$279,5,0)</f>
        <v>01719</v>
      </c>
      <c r="D190" s="108">
        <v>46030</v>
      </c>
      <c r="E190" s="82">
        <v>175000</v>
      </c>
      <c r="F190" s="60" t="s">
        <v>616</v>
      </c>
      <c r="I190"/>
      <c r="J190"/>
      <c r="K190"/>
    </row>
    <row r="191" spans="1:11" x14ac:dyDescent="0.2">
      <c r="A191">
        <v>188</v>
      </c>
      <c r="B191" t="s">
        <v>497</v>
      </c>
      <c r="C191" t="str">
        <f>VLOOKUP(B191,'Master Anggota'!$E$2:$I$279,5,0)</f>
        <v>01719</v>
      </c>
      <c r="D191" s="108">
        <v>46030</v>
      </c>
      <c r="E191" s="82">
        <v>-686666</v>
      </c>
      <c r="F191" s="60" t="s">
        <v>598</v>
      </c>
      <c r="I191"/>
      <c r="J191"/>
      <c r="K191"/>
    </row>
    <row r="192" spans="1:11" x14ac:dyDescent="0.2">
      <c r="A192">
        <v>189</v>
      </c>
      <c r="B192" t="s">
        <v>497</v>
      </c>
      <c r="C192" t="str">
        <f>VLOOKUP(B192,'Master Anggota'!$E$2:$I$279,5,0)</f>
        <v>01719</v>
      </c>
      <c r="D192" s="108">
        <v>46045</v>
      </c>
      <c r="E192" s="56">
        <v>-686667</v>
      </c>
      <c r="F192" t="s">
        <v>598</v>
      </c>
      <c r="I192"/>
      <c r="J192"/>
      <c r="K192"/>
    </row>
    <row r="193" spans="1:11" x14ac:dyDescent="0.2">
      <c r="A193">
        <v>190</v>
      </c>
      <c r="B193" t="s">
        <v>497</v>
      </c>
      <c r="C193" t="str">
        <f>VLOOKUP(B193,'Master Anggota'!$E$2:$I$279,5,0)</f>
        <v>01719</v>
      </c>
      <c r="D193" s="108">
        <v>46048</v>
      </c>
      <c r="E193" s="56">
        <v>686667</v>
      </c>
      <c r="F193" t="s">
        <v>598</v>
      </c>
      <c r="H193" t="s">
        <v>600</v>
      </c>
      <c r="I193"/>
      <c r="J193"/>
      <c r="K193"/>
    </row>
    <row r="194" spans="1:11" x14ac:dyDescent="0.2">
      <c r="A194">
        <v>191</v>
      </c>
      <c r="B194" t="s">
        <v>85</v>
      </c>
      <c r="C194" t="str">
        <f>VLOOKUP(B194,'Master Anggota'!$E$2:$I$279,5,0)</f>
        <v>00547</v>
      </c>
      <c r="D194" s="108">
        <v>46045</v>
      </c>
      <c r="E194" s="56">
        <v>-2368333</v>
      </c>
      <c r="F194" t="s">
        <v>598</v>
      </c>
      <c r="I194"/>
      <c r="J194"/>
      <c r="K194"/>
    </row>
    <row r="195" spans="1:11" x14ac:dyDescent="0.2">
      <c r="A195">
        <v>192</v>
      </c>
      <c r="B195" t="s">
        <v>482</v>
      </c>
      <c r="C195" t="str">
        <f>VLOOKUP(B195,'Master Anggota'!$E$2:$I$279,5,0)</f>
        <v>01561</v>
      </c>
      <c r="D195" s="108">
        <v>46045</v>
      </c>
      <c r="E195" s="56">
        <v>-1430000</v>
      </c>
      <c r="F195" t="s">
        <v>598</v>
      </c>
      <c r="I195"/>
      <c r="J195"/>
      <c r="K195"/>
    </row>
    <row r="196" spans="1:11" x14ac:dyDescent="0.2">
      <c r="A196">
        <v>193</v>
      </c>
      <c r="B196" t="s">
        <v>206</v>
      </c>
      <c r="C196" t="str">
        <f>VLOOKUP(B196,'Master Anggota'!$E$2:$I$279,5,0)</f>
        <v>00525</v>
      </c>
      <c r="D196" s="108">
        <v>46045</v>
      </c>
      <c r="E196" s="56">
        <v>-3331667</v>
      </c>
      <c r="F196" t="s">
        <v>598</v>
      </c>
      <c r="I196"/>
      <c r="J196"/>
      <c r="K196"/>
    </row>
    <row r="197" spans="1:11" x14ac:dyDescent="0.2">
      <c r="A197">
        <v>194</v>
      </c>
      <c r="B197" t="s">
        <v>208</v>
      </c>
      <c r="C197" t="str">
        <f>VLOOKUP(B197,'Master Anggota'!$E$2:$I$279,5,0)</f>
        <v>00328</v>
      </c>
      <c r="D197" s="108">
        <v>46045</v>
      </c>
      <c r="E197" s="56">
        <v>-3275000</v>
      </c>
      <c r="F197" t="s">
        <v>598</v>
      </c>
      <c r="I197"/>
      <c r="J197"/>
      <c r="K197"/>
    </row>
    <row r="198" spans="1:11" x14ac:dyDescent="0.2">
      <c r="A198">
        <v>195</v>
      </c>
      <c r="B198" t="s">
        <v>214</v>
      </c>
      <c r="C198" t="str">
        <f>VLOOKUP(B198,'Master Anggota'!$E$2:$I$279,5,0)</f>
        <v>00529</v>
      </c>
      <c r="D198" s="108">
        <v>46045</v>
      </c>
      <c r="E198" s="56">
        <v>0</v>
      </c>
      <c r="F198" t="s">
        <v>598</v>
      </c>
      <c r="I198"/>
      <c r="J198"/>
      <c r="K198"/>
    </row>
    <row r="199" spans="1:11" x14ac:dyDescent="0.2">
      <c r="A199">
        <v>196</v>
      </c>
      <c r="B199" t="s">
        <v>87</v>
      </c>
      <c r="C199" t="str">
        <f>VLOOKUP(B199,'Master Anggota'!$E$2:$I$279,5,0)</f>
        <v>00554</v>
      </c>
      <c r="D199" s="108">
        <v>46045</v>
      </c>
      <c r="E199" s="56">
        <v>-530000</v>
      </c>
      <c r="F199" t="s">
        <v>598</v>
      </c>
      <c r="I199"/>
      <c r="J199"/>
      <c r="K199"/>
    </row>
    <row r="200" spans="1:11" x14ac:dyDescent="0.2">
      <c r="A200">
        <v>197</v>
      </c>
      <c r="B200" t="s">
        <v>90</v>
      </c>
      <c r="C200" t="str">
        <f>VLOOKUP(B200,'Master Anggota'!$E$2:$I$279,5,0)</f>
        <v>00363</v>
      </c>
      <c r="D200" s="108">
        <v>46045</v>
      </c>
      <c r="E200" s="56">
        <v>-3450000</v>
      </c>
      <c r="F200" t="s">
        <v>598</v>
      </c>
      <c r="I200"/>
      <c r="J200"/>
      <c r="K200"/>
    </row>
    <row r="201" spans="1:11" x14ac:dyDescent="0.2">
      <c r="A201">
        <v>198</v>
      </c>
      <c r="B201" t="s">
        <v>92</v>
      </c>
      <c r="C201" t="str">
        <f>VLOOKUP(B201,'Master Anggota'!$E$2:$I$279,5,0)</f>
        <v>00396</v>
      </c>
      <c r="D201" s="108">
        <v>46045</v>
      </c>
      <c r="E201" s="56">
        <v>-4475000</v>
      </c>
      <c r="F201" t="s">
        <v>598</v>
      </c>
      <c r="I201"/>
      <c r="J201"/>
      <c r="K201"/>
    </row>
    <row r="202" spans="1:11" x14ac:dyDescent="0.2">
      <c r="A202">
        <v>199</v>
      </c>
      <c r="B202" t="s">
        <v>94</v>
      </c>
      <c r="C202" t="str">
        <f>VLOOKUP(B202,'Master Anggota'!$E$2:$I$279,5,0)</f>
        <v>00387</v>
      </c>
      <c r="D202" s="108">
        <v>46045</v>
      </c>
      <c r="E202" s="56">
        <v>-1741112</v>
      </c>
      <c r="F202" t="s">
        <v>598</v>
      </c>
      <c r="I202"/>
      <c r="J202"/>
      <c r="K202"/>
    </row>
    <row r="203" spans="1:11" x14ac:dyDescent="0.2">
      <c r="A203">
        <v>200</v>
      </c>
      <c r="B203" t="s">
        <v>96</v>
      </c>
      <c r="C203" t="str">
        <f>VLOOKUP(B203,'Master Anggota'!$E$2:$I$279,5,0)</f>
        <v>00508</v>
      </c>
      <c r="D203" s="108">
        <v>46045</v>
      </c>
      <c r="E203" s="56">
        <v>-2708333</v>
      </c>
      <c r="F203" t="s">
        <v>598</v>
      </c>
      <c r="I203"/>
      <c r="J203"/>
      <c r="K203"/>
    </row>
    <row r="204" spans="1:11" x14ac:dyDescent="0.2">
      <c r="A204">
        <v>201</v>
      </c>
      <c r="B204" t="s">
        <v>304</v>
      </c>
      <c r="C204" t="str">
        <f>VLOOKUP(B204,'Master Anggota'!$E$2:$I$279,5,0)</f>
        <v>01541</v>
      </c>
      <c r="D204" s="108">
        <v>46045</v>
      </c>
      <c r="E204" s="56">
        <v>-1513636</v>
      </c>
      <c r="F204" t="s">
        <v>598</v>
      </c>
      <c r="I204"/>
      <c r="J204"/>
      <c r="K204"/>
    </row>
    <row r="205" spans="1:11" x14ac:dyDescent="0.2">
      <c r="A205">
        <v>202</v>
      </c>
      <c r="B205" t="s">
        <v>295</v>
      </c>
      <c r="C205" t="str">
        <f>VLOOKUP(B205,'Master Anggota'!$E$2:$I$279,5,0)</f>
        <v>PHL</v>
      </c>
      <c r="D205" s="108">
        <v>46045</v>
      </c>
      <c r="E205" s="56">
        <v>-770000</v>
      </c>
      <c r="F205" t="s">
        <v>598</v>
      </c>
      <c r="I205"/>
      <c r="J205"/>
      <c r="K205"/>
    </row>
    <row r="206" spans="1:11" x14ac:dyDescent="0.2">
      <c r="A206">
        <v>203</v>
      </c>
      <c r="B206" t="s">
        <v>481</v>
      </c>
      <c r="C206" t="str">
        <f>VLOOKUP(B206,'Master Anggota'!$E$2:$I$279,5,0)</f>
        <v>00371</v>
      </c>
      <c r="D206" s="108">
        <v>46045</v>
      </c>
      <c r="E206" s="56">
        <v>-3955000</v>
      </c>
      <c r="F206" t="s">
        <v>598</v>
      </c>
      <c r="I206"/>
      <c r="J206"/>
      <c r="K206"/>
    </row>
    <row r="207" spans="1:11" x14ac:dyDescent="0.2">
      <c r="A207">
        <v>204</v>
      </c>
      <c r="B207" t="s">
        <v>480</v>
      </c>
      <c r="C207" t="str">
        <f>VLOOKUP(B207,'Master Anggota'!$E$2:$I$279,5,0)</f>
        <v>00351</v>
      </c>
      <c r="D207" s="108">
        <v>46045</v>
      </c>
      <c r="E207" s="56">
        <v>-2325000</v>
      </c>
      <c r="F207" t="s">
        <v>598</v>
      </c>
      <c r="I207"/>
      <c r="J207"/>
      <c r="K207"/>
    </row>
    <row r="208" spans="1:11" x14ac:dyDescent="0.2">
      <c r="A208">
        <v>205</v>
      </c>
      <c r="B208" t="s">
        <v>289</v>
      </c>
      <c r="C208" t="str">
        <f>VLOOKUP(B208,'Master Anggota'!$E$2:$I$279,5,0)</f>
        <v>01511</v>
      </c>
      <c r="D208" s="108">
        <v>46045</v>
      </c>
      <c r="E208" s="56">
        <v>-1680000</v>
      </c>
      <c r="F208" t="s">
        <v>598</v>
      </c>
      <c r="I208"/>
      <c r="J208"/>
      <c r="K208"/>
    </row>
    <row r="209" spans="1:11" x14ac:dyDescent="0.2">
      <c r="A209">
        <v>206</v>
      </c>
      <c r="B209" t="s">
        <v>362</v>
      </c>
      <c r="C209" t="str">
        <f>VLOOKUP(B209,'Master Anggota'!$E$2:$I$279,5,0)</f>
        <v>00570</v>
      </c>
      <c r="D209" s="108">
        <v>46045</v>
      </c>
      <c r="E209" s="56">
        <v>-1150000</v>
      </c>
      <c r="F209" t="s">
        <v>598</v>
      </c>
      <c r="I209"/>
      <c r="J209"/>
      <c r="K209"/>
    </row>
    <row r="210" spans="1:11" x14ac:dyDescent="0.2">
      <c r="A210">
        <v>207</v>
      </c>
      <c r="B210" t="s">
        <v>362</v>
      </c>
      <c r="C210" t="str">
        <f>VLOOKUP(B210,'Master Anggota'!$E$2:$I$279,5,0)</f>
        <v>00570</v>
      </c>
      <c r="D210" s="108">
        <v>46048</v>
      </c>
      <c r="E210" s="56">
        <v>1150000</v>
      </c>
      <c r="F210" s="60" t="s">
        <v>598</v>
      </c>
      <c r="H210" t="s">
        <v>600</v>
      </c>
      <c r="I210"/>
      <c r="J210"/>
      <c r="K210"/>
    </row>
    <row r="211" spans="1:11" x14ac:dyDescent="0.2">
      <c r="A211">
        <v>208</v>
      </c>
      <c r="B211" t="s">
        <v>223</v>
      </c>
      <c r="C211" t="str">
        <f>VLOOKUP(B211,'Master Anggota'!$E$2:$I$279,5,0)</f>
        <v>00514</v>
      </c>
      <c r="D211" s="108">
        <v>46045</v>
      </c>
      <c r="E211" s="56">
        <v>-933334</v>
      </c>
      <c r="F211" t="s">
        <v>598</v>
      </c>
      <c r="I211"/>
      <c r="J211"/>
      <c r="K211"/>
    </row>
    <row r="212" spans="1:11" x14ac:dyDescent="0.2">
      <c r="A212">
        <v>209</v>
      </c>
      <c r="B212" t="s">
        <v>225</v>
      </c>
      <c r="C212" t="str">
        <f>VLOOKUP(B212,'Master Anggota'!$E$2:$I$279,5,0)</f>
        <v>00531</v>
      </c>
      <c r="D212" s="108">
        <v>46045</v>
      </c>
      <c r="E212" s="56">
        <v>-330000</v>
      </c>
      <c r="F212" t="s">
        <v>598</v>
      </c>
      <c r="I212"/>
      <c r="J212"/>
      <c r="K212"/>
    </row>
    <row r="213" spans="1:11" x14ac:dyDescent="0.2">
      <c r="A213">
        <v>210</v>
      </c>
      <c r="B213" t="s">
        <v>483</v>
      </c>
      <c r="C213" t="str">
        <f>VLOOKUP(B213,'Master Anggota'!$E$2:$I$279,5,0)</f>
        <v>00368</v>
      </c>
      <c r="D213" s="108">
        <v>46045</v>
      </c>
      <c r="E213" s="56">
        <v>-3275000</v>
      </c>
      <c r="F213" t="s">
        <v>598</v>
      </c>
      <c r="I213"/>
      <c r="J213"/>
      <c r="K213"/>
    </row>
    <row r="214" spans="1:11" x14ac:dyDescent="0.2">
      <c r="A214">
        <v>211</v>
      </c>
      <c r="B214" t="s">
        <v>176</v>
      </c>
      <c r="C214" t="str">
        <f>VLOOKUP(B214,'Master Anggota'!$E$2:$I$279,5,0)</f>
        <v>00568</v>
      </c>
      <c r="D214" s="108">
        <v>46045</v>
      </c>
      <c r="E214" s="110">
        <v>-1085000</v>
      </c>
      <c r="F214" t="s">
        <v>598</v>
      </c>
      <c r="I214"/>
      <c r="J214"/>
      <c r="K214"/>
    </row>
    <row r="215" spans="1:11" x14ac:dyDescent="0.2">
      <c r="A215">
        <v>212</v>
      </c>
      <c r="B215" t="s">
        <v>103</v>
      </c>
      <c r="C215" t="str">
        <f>VLOOKUP(B215,'Master Anggota'!$E$2:$I$279,5,0)</f>
        <v>00401</v>
      </c>
      <c r="D215" s="108">
        <v>46045</v>
      </c>
      <c r="E215" s="56">
        <v>-2120000</v>
      </c>
      <c r="F215" t="s">
        <v>598</v>
      </c>
      <c r="I215"/>
      <c r="J215"/>
      <c r="K215"/>
    </row>
    <row r="216" spans="1:11" x14ac:dyDescent="0.2">
      <c r="A216">
        <v>213</v>
      </c>
      <c r="B216" t="s">
        <v>368</v>
      </c>
      <c r="C216" t="str">
        <f>VLOOKUP(B216,'Master Anggota'!$E$2:$I$279,5,0)</f>
        <v>01703</v>
      </c>
      <c r="D216" s="108">
        <v>46045</v>
      </c>
      <c r="E216" s="56">
        <v>-520000</v>
      </c>
      <c r="F216" t="s">
        <v>598</v>
      </c>
      <c r="I216"/>
      <c r="J216"/>
      <c r="K216"/>
    </row>
    <row r="217" spans="1:11" x14ac:dyDescent="0.2">
      <c r="A217">
        <v>214</v>
      </c>
      <c r="B217" t="s">
        <v>368</v>
      </c>
      <c r="C217" t="str">
        <f>VLOOKUP(B217,'Master Anggota'!$E$2:$I$279,5,0)</f>
        <v>01703</v>
      </c>
      <c r="D217" s="108">
        <v>46048</v>
      </c>
      <c r="E217" s="56">
        <v>520000</v>
      </c>
      <c r="F217" t="s">
        <v>598</v>
      </c>
      <c r="H217" t="s">
        <v>600</v>
      </c>
      <c r="I217"/>
      <c r="J217"/>
      <c r="K217"/>
    </row>
    <row r="218" spans="1:11" x14ac:dyDescent="0.2">
      <c r="A218">
        <v>215</v>
      </c>
      <c r="B218" t="s">
        <v>107</v>
      </c>
      <c r="C218" t="str">
        <f>VLOOKUP(B218,'Master Anggota'!$E$2:$I$279,5,0)</f>
        <v>00521</v>
      </c>
      <c r="D218" s="108">
        <v>46045</v>
      </c>
      <c r="E218" s="56">
        <v>-4791667</v>
      </c>
      <c r="F218" t="s">
        <v>598</v>
      </c>
      <c r="I218"/>
      <c r="J218"/>
      <c r="K218"/>
    </row>
    <row r="219" spans="1:11" x14ac:dyDescent="0.2">
      <c r="A219">
        <v>216</v>
      </c>
      <c r="B219" t="s">
        <v>188</v>
      </c>
      <c r="C219" t="str">
        <f>VLOOKUP(B219,'Master Anggota'!$E$2:$I$279,5,0)</f>
        <v>00596</v>
      </c>
      <c r="D219" s="108">
        <v>46045</v>
      </c>
      <c r="E219" s="56">
        <v>-1033333</v>
      </c>
      <c r="F219" t="s">
        <v>598</v>
      </c>
      <c r="I219"/>
      <c r="J219"/>
      <c r="K219"/>
    </row>
    <row r="220" spans="1:11" x14ac:dyDescent="0.2">
      <c r="A220">
        <v>217</v>
      </c>
      <c r="B220" t="s">
        <v>316</v>
      </c>
      <c r="C220" t="str">
        <f>VLOOKUP(B220,'Master Anggota'!$E$2:$I$279,5,0)</f>
        <v>01544</v>
      </c>
      <c r="D220" s="108">
        <v>46045</v>
      </c>
      <c r="E220" s="82">
        <v>13000000</v>
      </c>
      <c r="F220" s="60" t="s">
        <v>617</v>
      </c>
      <c r="H220" t="s">
        <v>626</v>
      </c>
      <c r="I220" s="111">
        <v>46078</v>
      </c>
      <c r="J220" s="111" t="s">
        <v>641</v>
      </c>
      <c r="K220" s="56">
        <v>1430000</v>
      </c>
    </row>
    <row r="221" spans="1:11" x14ac:dyDescent="0.2">
      <c r="A221">
        <v>218</v>
      </c>
      <c r="B221" t="s">
        <v>316</v>
      </c>
      <c r="C221" t="str">
        <f>VLOOKUP(B221,'Master Anggota'!$E$2:$I$279,5,0)</f>
        <v>01544</v>
      </c>
      <c r="D221" s="108">
        <v>46045</v>
      </c>
      <c r="E221" s="82">
        <v>1300000</v>
      </c>
      <c r="F221" s="60" t="s">
        <v>616</v>
      </c>
      <c r="I221"/>
      <c r="J221"/>
      <c r="K221"/>
    </row>
    <row r="222" spans="1:11" x14ac:dyDescent="0.2">
      <c r="A222">
        <v>219</v>
      </c>
      <c r="B222" t="s">
        <v>316</v>
      </c>
      <c r="C222" t="str">
        <f>VLOOKUP(B222,'Master Anggota'!$E$2:$I$279,5,0)</f>
        <v>01544</v>
      </c>
      <c r="D222" s="108">
        <v>46045</v>
      </c>
      <c r="E222" s="82">
        <v>-1866663</v>
      </c>
      <c r="F222" s="60" t="s">
        <v>598</v>
      </c>
      <c r="H222" t="s">
        <v>625</v>
      </c>
      <c r="I222"/>
      <c r="J222"/>
      <c r="K222"/>
    </row>
    <row r="223" spans="1:11" x14ac:dyDescent="0.2">
      <c r="A223">
        <v>220</v>
      </c>
      <c r="B223" t="s">
        <v>316</v>
      </c>
      <c r="C223" t="str">
        <f>VLOOKUP(B223,'Master Anggota'!$E$2:$I$279,5,0)</f>
        <v>01544</v>
      </c>
      <c r="D223" s="108">
        <v>46045</v>
      </c>
      <c r="E223" s="82">
        <v>-1866667</v>
      </c>
      <c r="F223" t="s">
        <v>598</v>
      </c>
      <c r="I223"/>
      <c r="J223"/>
      <c r="K223"/>
    </row>
    <row r="224" spans="1:11" x14ac:dyDescent="0.2">
      <c r="A224">
        <v>221</v>
      </c>
      <c r="B224" t="s">
        <v>316</v>
      </c>
      <c r="C224" t="str">
        <f>VLOOKUP(B224,'Master Anggota'!$E$2:$I$279,5,0)</f>
        <v>01544</v>
      </c>
      <c r="D224" s="108">
        <v>46048</v>
      </c>
      <c r="E224" s="56">
        <v>1866667</v>
      </c>
      <c r="F224" t="s">
        <v>598</v>
      </c>
      <c r="H224" t="s">
        <v>600</v>
      </c>
      <c r="I224"/>
      <c r="J224"/>
      <c r="K224"/>
    </row>
    <row r="225" spans="1:11" x14ac:dyDescent="0.2">
      <c r="A225">
        <v>222</v>
      </c>
      <c r="B225" t="s">
        <v>231</v>
      </c>
      <c r="C225" t="str">
        <f>VLOOKUP(B225,'Master Anggota'!$E$2:$I$279,5,0)</f>
        <v>00542</v>
      </c>
      <c r="D225" s="108">
        <v>46045</v>
      </c>
      <c r="E225" s="56">
        <v>-1400000</v>
      </c>
      <c r="F225" t="s">
        <v>598</v>
      </c>
      <c r="I225"/>
      <c r="J225"/>
      <c r="K225"/>
    </row>
    <row r="226" spans="1:11" x14ac:dyDescent="0.2">
      <c r="A226">
        <v>223</v>
      </c>
      <c r="B226" t="s">
        <v>231</v>
      </c>
      <c r="C226" t="str">
        <f>VLOOKUP(B226,'Master Anggota'!$E$2:$I$279,5,0)</f>
        <v>00542</v>
      </c>
      <c r="D226" s="108">
        <v>46048</v>
      </c>
      <c r="E226" s="56">
        <v>1400000</v>
      </c>
      <c r="F226" t="s">
        <v>598</v>
      </c>
      <c r="H226" t="s">
        <v>600</v>
      </c>
      <c r="I226"/>
      <c r="J226"/>
      <c r="K226"/>
    </row>
    <row r="227" spans="1:11" x14ac:dyDescent="0.2">
      <c r="A227">
        <v>224</v>
      </c>
      <c r="B227" t="s">
        <v>335</v>
      </c>
      <c r="C227" t="str">
        <f>VLOOKUP(B227,'Master Anggota'!$E$2:$I$279,5,0)</f>
        <v>00311</v>
      </c>
      <c r="D227" s="108">
        <v>46045</v>
      </c>
      <c r="E227" s="56">
        <v>-3958333</v>
      </c>
      <c r="F227" t="s">
        <v>598</v>
      </c>
      <c r="I227"/>
      <c r="J227"/>
      <c r="K227"/>
    </row>
    <row r="228" spans="1:11" x14ac:dyDescent="0.2">
      <c r="A228">
        <v>225</v>
      </c>
      <c r="B228" t="s">
        <v>233</v>
      </c>
      <c r="C228" t="str">
        <f>VLOOKUP(B228,'Master Anggota'!$E$2:$I$279,5,0)</f>
        <v>00516</v>
      </c>
      <c r="D228" s="108">
        <v>46045</v>
      </c>
      <c r="E228" s="56">
        <v>-383333</v>
      </c>
      <c r="F228" t="s">
        <v>598</v>
      </c>
      <c r="I228"/>
      <c r="J228"/>
      <c r="K228"/>
    </row>
    <row r="229" spans="1:11" x14ac:dyDescent="0.2">
      <c r="A229">
        <v>226</v>
      </c>
      <c r="B229" t="s">
        <v>235</v>
      </c>
      <c r="C229" t="str">
        <f>VLOOKUP(B229,'Master Anggota'!$E$2:$I$279,5,0)</f>
        <v>00523</v>
      </c>
      <c r="D229" s="108">
        <v>46045</v>
      </c>
      <c r="E229" s="56">
        <v>-2333333</v>
      </c>
      <c r="F229" t="s">
        <v>598</v>
      </c>
      <c r="I229"/>
      <c r="J229"/>
      <c r="K229"/>
    </row>
    <row r="230" spans="1:11" x14ac:dyDescent="0.2">
      <c r="A230">
        <v>227</v>
      </c>
      <c r="B230" t="s">
        <v>239</v>
      </c>
      <c r="C230" t="str">
        <f>VLOOKUP(B230,'Master Anggota'!$E$2:$I$279,5,0)</f>
        <v>00513</v>
      </c>
      <c r="D230" s="108">
        <v>46045</v>
      </c>
      <c r="E230" s="56">
        <v>-2708333</v>
      </c>
      <c r="F230" t="s">
        <v>598</v>
      </c>
      <c r="I230"/>
      <c r="J230"/>
      <c r="K230"/>
    </row>
    <row r="231" spans="1:11" x14ac:dyDescent="0.2">
      <c r="A231">
        <v>228</v>
      </c>
      <c r="B231" t="s">
        <v>113</v>
      </c>
      <c r="C231" t="str">
        <f>VLOOKUP(B231,'Master Anggota'!$E$2:$I$279,5,0)</f>
        <v>00317</v>
      </c>
      <c r="D231" s="108">
        <v>46045</v>
      </c>
      <c r="E231" s="56">
        <v>-2900000</v>
      </c>
      <c r="F231" t="s">
        <v>598</v>
      </c>
      <c r="I231"/>
      <c r="J231"/>
      <c r="K231"/>
    </row>
    <row r="232" spans="1:11" x14ac:dyDescent="0.2">
      <c r="A232">
        <v>229</v>
      </c>
      <c r="B232" t="s">
        <v>241</v>
      </c>
      <c r="C232" t="str">
        <f>VLOOKUP(B232,'Master Anggota'!$E$2:$I$279,5,0)</f>
        <v>00526</v>
      </c>
      <c r="D232" s="108">
        <v>46045</v>
      </c>
      <c r="E232" s="56">
        <v>-1073334</v>
      </c>
      <c r="F232" t="s">
        <v>598</v>
      </c>
      <c r="I232"/>
      <c r="J232"/>
    </row>
    <row r="233" spans="1:11" x14ac:dyDescent="0.2">
      <c r="A233">
        <v>230</v>
      </c>
      <c r="B233" t="s">
        <v>519</v>
      </c>
      <c r="C233" t="str">
        <f>VLOOKUP(B233,'Master Anggota'!$E$2:$I$279,5,0)</f>
        <v>00611</v>
      </c>
      <c r="D233" s="108">
        <v>46045</v>
      </c>
      <c r="E233" s="56">
        <v>-1213333</v>
      </c>
      <c r="F233" t="s">
        <v>598</v>
      </c>
      <c r="I233"/>
      <c r="J233"/>
      <c r="K233"/>
    </row>
    <row r="234" spans="1:11" x14ac:dyDescent="0.2">
      <c r="A234">
        <v>231</v>
      </c>
      <c r="B234" t="s">
        <v>115</v>
      </c>
      <c r="C234" t="str">
        <f>VLOOKUP(B234,'Master Anggota'!$E$2:$I$279,5,0)</f>
        <v>00497</v>
      </c>
      <c r="D234" s="108">
        <v>46045</v>
      </c>
      <c r="E234" s="56">
        <v>-1400000</v>
      </c>
      <c r="F234" t="s">
        <v>598</v>
      </c>
      <c r="I234"/>
      <c r="J234"/>
      <c r="K234"/>
    </row>
    <row r="235" spans="1:11" x14ac:dyDescent="0.2">
      <c r="A235">
        <v>232</v>
      </c>
      <c r="B235" t="s">
        <v>243</v>
      </c>
      <c r="C235" t="str">
        <f>VLOOKUP(B235,'Master Anggota'!$E$2:$I$279,5,0)</f>
        <v>00530</v>
      </c>
      <c r="D235" s="108">
        <v>46045</v>
      </c>
      <c r="E235" s="56">
        <v>-3558333</v>
      </c>
      <c r="F235" t="s">
        <v>598</v>
      </c>
      <c r="I235"/>
      <c r="J235"/>
      <c r="K235"/>
    </row>
    <row r="236" spans="1:11" x14ac:dyDescent="0.2">
      <c r="A236">
        <v>233</v>
      </c>
      <c r="B236" t="s">
        <v>492</v>
      </c>
      <c r="C236" t="str">
        <f>VLOOKUP(B236,'Master Anggota'!$E$2:$I$279,5,0)</f>
        <v>01728</v>
      </c>
      <c r="D236" s="108">
        <v>46045</v>
      </c>
      <c r="E236" s="56">
        <v>-611429</v>
      </c>
      <c r="F236" t="s">
        <v>598</v>
      </c>
      <c r="I236"/>
      <c r="J236"/>
      <c r="K236"/>
    </row>
    <row r="237" spans="1:11" x14ac:dyDescent="0.2">
      <c r="A237">
        <v>234</v>
      </c>
      <c r="B237" t="s">
        <v>245</v>
      </c>
      <c r="C237" t="str">
        <f>VLOOKUP(B237,'Master Anggota'!$E$2:$I$279,5,0)</f>
        <v>00532</v>
      </c>
      <c r="D237" s="108">
        <v>46045</v>
      </c>
      <c r="E237" s="56">
        <v>-4108333</v>
      </c>
      <c r="F237" t="s">
        <v>598</v>
      </c>
      <c r="I237"/>
      <c r="J237"/>
      <c r="K237"/>
    </row>
    <row r="238" spans="1:11" x14ac:dyDescent="0.2">
      <c r="A238">
        <v>235</v>
      </c>
      <c r="B238" t="s">
        <v>526</v>
      </c>
      <c r="C238" t="str">
        <f>VLOOKUP(B238,'Master Anggota'!$E$2:$I$279,5,0)</f>
        <v>PHL</v>
      </c>
      <c r="D238" s="108">
        <v>46045</v>
      </c>
      <c r="E238" s="56">
        <v>-945000</v>
      </c>
      <c r="F238" t="s">
        <v>598</v>
      </c>
      <c r="I238"/>
      <c r="J238"/>
      <c r="K238"/>
    </row>
    <row r="239" spans="1:11" x14ac:dyDescent="0.2">
      <c r="A239">
        <v>236</v>
      </c>
      <c r="B239" t="s">
        <v>341</v>
      </c>
      <c r="C239" t="str">
        <f>VLOOKUP(B239,'Master Anggota'!$E$2:$I$279,5,0)</f>
        <v>00339</v>
      </c>
      <c r="D239" s="108">
        <v>46045</v>
      </c>
      <c r="E239" s="56">
        <v>-2325000</v>
      </c>
      <c r="F239" t="s">
        <v>598</v>
      </c>
      <c r="I239"/>
      <c r="J239"/>
      <c r="K239"/>
    </row>
    <row r="240" spans="1:11" x14ac:dyDescent="0.2">
      <c r="A240">
        <v>237</v>
      </c>
      <c r="B240" t="s">
        <v>495</v>
      </c>
      <c r="C240" t="str">
        <f>VLOOKUP(B240,'Master Anggota'!$E$2:$I$279,5,0)</f>
        <v>01754</v>
      </c>
      <c r="D240" s="108">
        <v>46045</v>
      </c>
      <c r="E240" s="56">
        <v>-1100000</v>
      </c>
      <c r="F240" t="s">
        <v>598</v>
      </c>
      <c r="I240"/>
      <c r="J240"/>
      <c r="K240"/>
    </row>
    <row r="241" spans="1:11" x14ac:dyDescent="0.2">
      <c r="A241">
        <v>238</v>
      </c>
      <c r="B241" t="s">
        <v>177</v>
      </c>
      <c r="C241" t="str">
        <f>VLOOKUP(B241,'Master Anggota'!$E$2:$I$279,5,0)</f>
        <v>00569</v>
      </c>
      <c r="D241" s="108">
        <v>46045</v>
      </c>
      <c r="E241" s="56">
        <v>0</v>
      </c>
      <c r="F241" t="s">
        <v>598</v>
      </c>
      <c r="I241"/>
      <c r="J241"/>
      <c r="K241"/>
    </row>
    <row r="242" spans="1:11" x14ac:dyDescent="0.2">
      <c r="A242">
        <v>239</v>
      </c>
      <c r="B242" t="s">
        <v>173</v>
      </c>
      <c r="C242" t="str">
        <f>VLOOKUP(B242,'Master Anggota'!$E$2:$I$279,5,0)</f>
        <v>00583</v>
      </c>
      <c r="D242" s="108">
        <v>46045</v>
      </c>
      <c r="E242" s="56">
        <v>-1120000</v>
      </c>
      <c r="F242" t="s">
        <v>598</v>
      </c>
      <c r="I242"/>
      <c r="J242"/>
      <c r="K242"/>
    </row>
    <row r="243" spans="1:11" x14ac:dyDescent="0.2">
      <c r="A243">
        <v>240</v>
      </c>
      <c r="B243" t="s">
        <v>248</v>
      </c>
      <c r="C243" t="str">
        <f>VLOOKUP(B243,'Master Anggota'!$E$2:$I$279,5,0)</f>
        <v>00302</v>
      </c>
      <c r="D243" s="108">
        <v>46045</v>
      </c>
      <c r="E243" s="56">
        <v>-3841667</v>
      </c>
      <c r="F243" t="s">
        <v>598</v>
      </c>
      <c r="I243"/>
      <c r="J243"/>
      <c r="K243"/>
    </row>
    <row r="244" spans="1:11" x14ac:dyDescent="0.2">
      <c r="A244">
        <v>241</v>
      </c>
      <c r="B244" t="s">
        <v>278</v>
      </c>
      <c r="C244" t="str">
        <f>VLOOKUP(B244,'Master Anggota'!$E$2:$I$279,5,0)</f>
        <v>PHL</v>
      </c>
      <c r="D244" s="108">
        <v>46045</v>
      </c>
      <c r="E244" s="56">
        <v>-2522727</v>
      </c>
      <c r="F244" t="s">
        <v>598</v>
      </c>
      <c r="I244"/>
      <c r="J244"/>
      <c r="K244"/>
    </row>
    <row r="245" spans="1:11" x14ac:dyDescent="0.2">
      <c r="A245">
        <v>242</v>
      </c>
      <c r="B245" t="s">
        <v>252</v>
      </c>
      <c r="C245" t="str">
        <f>VLOOKUP(B245,'Master Anggota'!$E$2:$I$279,5,0)</f>
        <v>00524</v>
      </c>
      <c r="D245" s="108">
        <v>46045</v>
      </c>
      <c r="E245" s="56">
        <v>-2708333</v>
      </c>
      <c r="F245" t="s">
        <v>598</v>
      </c>
      <c r="I245"/>
      <c r="J245"/>
      <c r="K245"/>
    </row>
    <row r="246" spans="1:11" x14ac:dyDescent="0.2">
      <c r="A246">
        <v>243</v>
      </c>
      <c r="B246" t="s">
        <v>254</v>
      </c>
      <c r="C246" t="str">
        <f>VLOOKUP(B246,'Master Anggota'!$E$2:$I$279,5,0)</f>
        <v>00288</v>
      </c>
      <c r="D246" s="108">
        <v>46045</v>
      </c>
      <c r="E246" s="56">
        <v>-1500000</v>
      </c>
      <c r="F246" t="s">
        <v>598</v>
      </c>
      <c r="I246"/>
      <c r="J246"/>
      <c r="K246"/>
    </row>
    <row r="247" spans="1:11" x14ac:dyDescent="0.2">
      <c r="A247">
        <v>244</v>
      </c>
      <c r="B247" t="s">
        <v>129</v>
      </c>
      <c r="C247" t="str">
        <f>VLOOKUP(B247,'Master Anggota'!$E$2:$I$279,5,0)</f>
        <v>00343</v>
      </c>
      <c r="D247" s="108">
        <v>46045</v>
      </c>
      <c r="E247" s="56">
        <v>-3105000</v>
      </c>
      <c r="F247" t="s">
        <v>598</v>
      </c>
      <c r="I247"/>
      <c r="J247"/>
      <c r="K247"/>
    </row>
    <row r="248" spans="1:11" x14ac:dyDescent="0.2">
      <c r="A248">
        <v>245</v>
      </c>
      <c r="B248" t="s">
        <v>311</v>
      </c>
      <c r="C248" t="str">
        <f>VLOOKUP(B248,'Master Anggota'!$E$2:$I$279,5,0)</f>
        <v>01602</v>
      </c>
      <c r="D248" s="108">
        <v>46045</v>
      </c>
      <c r="E248" s="56">
        <v>-550000</v>
      </c>
      <c r="F248" t="s">
        <v>598</v>
      </c>
      <c r="I248"/>
      <c r="J248"/>
      <c r="K248"/>
    </row>
    <row r="249" spans="1:11" x14ac:dyDescent="0.2">
      <c r="A249">
        <v>246</v>
      </c>
      <c r="B249" t="s">
        <v>135</v>
      </c>
      <c r="C249" t="str">
        <f>VLOOKUP(B249,'Master Anggota'!$E$2:$I$279,5,0)</f>
        <v>00293</v>
      </c>
      <c r="D249" s="108">
        <v>46045</v>
      </c>
      <c r="E249" s="56">
        <v>-3808333</v>
      </c>
      <c r="F249" t="s">
        <v>598</v>
      </c>
      <c r="I249"/>
      <c r="J249"/>
      <c r="K249"/>
    </row>
    <row r="250" spans="1:11" x14ac:dyDescent="0.2">
      <c r="A250">
        <v>247</v>
      </c>
      <c r="B250" t="s">
        <v>258</v>
      </c>
      <c r="C250" t="str">
        <f>VLOOKUP(B250,'Master Anggota'!$E$2:$I$279,5,0)</f>
        <v>00390</v>
      </c>
      <c r="D250" s="108">
        <v>46045</v>
      </c>
      <c r="E250" s="56">
        <v>-1866667</v>
      </c>
      <c r="F250" t="s">
        <v>598</v>
      </c>
      <c r="I250"/>
      <c r="J250"/>
      <c r="K250"/>
    </row>
    <row r="251" spans="1:11" x14ac:dyDescent="0.2">
      <c r="A251">
        <v>248</v>
      </c>
      <c r="B251" t="s">
        <v>521</v>
      </c>
      <c r="C251" t="str">
        <f>VLOOKUP(B251,'Master Anggota'!$E$2:$I$279,5,0)</f>
        <v>00376</v>
      </c>
      <c r="D251" s="108">
        <v>46045</v>
      </c>
      <c r="E251" s="56">
        <v>-3558333</v>
      </c>
      <c r="F251" t="s">
        <v>598</v>
      </c>
      <c r="I251"/>
      <c r="J251"/>
      <c r="K251"/>
    </row>
    <row r="252" spans="1:11" x14ac:dyDescent="0.2">
      <c r="A252">
        <v>249</v>
      </c>
      <c r="B252" t="s">
        <v>358</v>
      </c>
      <c r="C252" t="str">
        <f>VLOOKUP(B252,'Master Anggota'!$E$2:$I$279,5,0)</f>
        <v>01530</v>
      </c>
      <c r="D252" s="108">
        <v>46045</v>
      </c>
      <c r="E252" s="56">
        <v>-1760000</v>
      </c>
      <c r="F252" t="s">
        <v>598</v>
      </c>
      <c r="I252"/>
      <c r="J252"/>
      <c r="K252"/>
    </row>
    <row r="253" spans="1:11" x14ac:dyDescent="0.2">
      <c r="A253">
        <v>250</v>
      </c>
      <c r="B253" t="s">
        <v>270</v>
      </c>
      <c r="C253" t="str">
        <f>VLOOKUP(B253,'Master Anggota'!$E$2:$I$279,5,0)</f>
        <v>00509</v>
      </c>
      <c r="D253" s="108">
        <v>46045</v>
      </c>
      <c r="E253" s="56">
        <v>-653333</v>
      </c>
      <c r="F253" t="s">
        <v>598</v>
      </c>
      <c r="I253"/>
      <c r="J253"/>
      <c r="K253"/>
    </row>
    <row r="254" spans="1:11" x14ac:dyDescent="0.2">
      <c r="A254">
        <v>251</v>
      </c>
      <c r="B254" t="s">
        <v>274</v>
      </c>
      <c r="C254" t="str">
        <f>VLOOKUP(B254,'Master Anggota'!$E$2:$I$279,5,0)</f>
        <v>00515</v>
      </c>
      <c r="D254" s="108">
        <v>46045</v>
      </c>
      <c r="E254" s="56">
        <v>-1825000</v>
      </c>
      <c r="F254" t="s">
        <v>598</v>
      </c>
      <c r="I254"/>
      <c r="J254"/>
      <c r="K254"/>
    </row>
    <row r="255" spans="1:11" x14ac:dyDescent="0.2">
      <c r="A255">
        <v>252</v>
      </c>
      <c r="B255" t="s">
        <v>276</v>
      </c>
      <c r="C255" t="str">
        <f>VLOOKUP(B255,'Master Anggota'!$E$2:$I$279,5,0)</f>
        <v>00558</v>
      </c>
      <c r="D255" s="108">
        <v>46045</v>
      </c>
      <c r="E255" s="56">
        <v>-1341667</v>
      </c>
      <c r="F255" t="s">
        <v>598</v>
      </c>
      <c r="I255"/>
      <c r="J255"/>
      <c r="K255"/>
    </row>
    <row r="256" spans="1:11" x14ac:dyDescent="0.2">
      <c r="A256">
        <v>253</v>
      </c>
      <c r="B256" t="s">
        <v>277</v>
      </c>
      <c r="C256" t="str">
        <f>VLOOKUP(B256,'Master Anggota'!$E$2:$I$279,5,0)</f>
        <v>00564</v>
      </c>
      <c r="D256" s="108">
        <v>46045</v>
      </c>
      <c r="E256" s="56">
        <v>-1291667</v>
      </c>
      <c r="F256" t="s">
        <v>598</v>
      </c>
      <c r="I256"/>
      <c r="J256"/>
      <c r="K256"/>
    </row>
    <row r="257" spans="1:11" x14ac:dyDescent="0.2">
      <c r="A257">
        <v>254</v>
      </c>
      <c r="B257" t="s">
        <v>389</v>
      </c>
      <c r="C257" t="str">
        <f>VLOOKUP(B257,'Master Anggota'!$E$2:$I$279,5,0)</f>
        <v>00593</v>
      </c>
      <c r="D257" s="108">
        <v>46045</v>
      </c>
      <c r="E257" s="56">
        <v>-770000</v>
      </c>
      <c r="F257" t="s">
        <v>598</v>
      </c>
      <c r="I257"/>
      <c r="J257"/>
      <c r="K257"/>
    </row>
    <row r="258" spans="1:11" x14ac:dyDescent="0.2">
      <c r="A258">
        <v>255</v>
      </c>
      <c r="B258" t="s">
        <v>147</v>
      </c>
      <c r="C258" t="str">
        <f>VLOOKUP(B258,'Master Anggota'!$E$2:$I$279,5,0)</f>
        <v>00527</v>
      </c>
      <c r="D258" s="108">
        <v>46045</v>
      </c>
      <c r="E258" s="56">
        <v>-1858333</v>
      </c>
      <c r="F258" t="s">
        <v>598</v>
      </c>
      <c r="I258"/>
      <c r="J258"/>
      <c r="K258"/>
    </row>
    <row r="259" spans="1:11" x14ac:dyDescent="0.2">
      <c r="A259">
        <v>256</v>
      </c>
      <c r="B259" t="s">
        <v>324</v>
      </c>
      <c r="C259" t="str">
        <f>VLOOKUP(B259,'Master Anggota'!$E$2:$I$279,5,0)</f>
        <v>00626</v>
      </c>
      <c r="D259" s="108">
        <v>46045</v>
      </c>
      <c r="E259" s="56">
        <v>-1500000</v>
      </c>
      <c r="F259" t="s">
        <v>598</v>
      </c>
      <c r="I259"/>
      <c r="J259"/>
      <c r="K259"/>
    </row>
    <row r="260" spans="1:11" x14ac:dyDescent="0.2">
      <c r="A260">
        <v>257</v>
      </c>
      <c r="B260" t="s">
        <v>151</v>
      </c>
      <c r="C260" t="str">
        <f>VLOOKUP(B260,'Master Anggota'!$E$2:$I$279,5,0)</f>
        <v>00362</v>
      </c>
      <c r="D260" s="108">
        <v>46045</v>
      </c>
      <c r="E260" s="56">
        <v>-3842333</v>
      </c>
      <c r="F260" t="s">
        <v>598</v>
      </c>
      <c r="I260"/>
      <c r="J260"/>
      <c r="K260"/>
    </row>
    <row r="261" spans="1:11" x14ac:dyDescent="0.2">
      <c r="A261">
        <v>258</v>
      </c>
      <c r="B261" t="s">
        <v>153</v>
      </c>
      <c r="C261" t="str">
        <f>VLOOKUP(B261,'Master Anggota'!$E$2:$I$279,5,0)</f>
        <v>00548</v>
      </c>
      <c r="D261" s="108">
        <v>46045</v>
      </c>
      <c r="E261" s="56">
        <v>-1348333</v>
      </c>
      <c r="F261" t="s">
        <v>598</v>
      </c>
      <c r="I261"/>
      <c r="J261"/>
      <c r="K261"/>
    </row>
    <row r="262" spans="1:11" x14ac:dyDescent="0.2">
      <c r="A262">
        <v>259</v>
      </c>
      <c r="B262" t="s">
        <v>326</v>
      </c>
      <c r="C262" t="str">
        <f>VLOOKUP(B262,'Master Anggota'!$E$2:$I$279,5,0)</f>
        <v>00608</v>
      </c>
      <c r="D262" s="108">
        <v>46045</v>
      </c>
      <c r="E262" s="56">
        <v>-671667</v>
      </c>
      <c r="F262" t="s">
        <v>598</v>
      </c>
      <c r="I262"/>
      <c r="J262"/>
      <c r="K262"/>
    </row>
    <row r="263" spans="1:11" x14ac:dyDescent="0.2">
      <c r="A263">
        <v>260</v>
      </c>
      <c r="B263" t="s">
        <v>172</v>
      </c>
      <c r="C263" t="str">
        <f>VLOOKUP(B263,'Master Anggota'!$E$2:$I$279,5,0)</f>
        <v>00584</v>
      </c>
      <c r="D263" s="108">
        <v>46045</v>
      </c>
      <c r="E263" s="56">
        <v>-2708333</v>
      </c>
      <c r="F263" t="s">
        <v>598</v>
      </c>
      <c r="I263"/>
      <c r="J263"/>
      <c r="K263"/>
    </row>
    <row r="264" spans="1:11" x14ac:dyDescent="0.2">
      <c r="A264">
        <v>261</v>
      </c>
      <c r="B264" t="s">
        <v>155</v>
      </c>
      <c r="C264" t="str">
        <f>VLOOKUP(B264,'Master Anggota'!$E$2:$I$279,5,0)</f>
        <v>00499</v>
      </c>
      <c r="D264" s="108">
        <v>46045</v>
      </c>
      <c r="E264" s="56">
        <v>-1291667</v>
      </c>
      <c r="F264" t="s">
        <v>598</v>
      </c>
      <c r="I264"/>
      <c r="J264"/>
      <c r="K264"/>
    </row>
    <row r="265" spans="1:11" x14ac:dyDescent="0.2">
      <c r="A265">
        <v>262</v>
      </c>
      <c r="B265" t="s">
        <v>327</v>
      </c>
      <c r="C265" t="str">
        <f>VLOOKUP(B265,'Master Anggota'!$E$2:$I$279,5,0)</f>
        <v>01665</v>
      </c>
      <c r="D265" s="108">
        <v>46055</v>
      </c>
      <c r="E265" s="82">
        <v>3500000</v>
      </c>
      <c r="F265" t="s">
        <v>617</v>
      </c>
      <c r="H265" t="s">
        <v>633</v>
      </c>
      <c r="I265" s="111">
        <v>46106</v>
      </c>
      <c r="J265" s="111">
        <v>46259</v>
      </c>
      <c r="K265" s="82">
        <v>618333</v>
      </c>
    </row>
    <row r="266" spans="1:11" x14ac:dyDescent="0.2">
      <c r="A266">
        <v>263</v>
      </c>
      <c r="B266" t="s">
        <v>526</v>
      </c>
      <c r="C266" t="str">
        <f>VLOOKUP(B266,'Master Anggota'!$E$2:$I$279,5,0)</f>
        <v>PHL</v>
      </c>
      <c r="D266" s="108">
        <v>46049</v>
      </c>
      <c r="E266" s="82">
        <v>5100000</v>
      </c>
      <c r="F266" t="s">
        <v>617</v>
      </c>
      <c r="H266" t="s">
        <v>633</v>
      </c>
      <c r="I266" s="111">
        <v>46106</v>
      </c>
      <c r="J266" s="111">
        <v>46259</v>
      </c>
      <c r="K266" s="82">
        <v>901000</v>
      </c>
    </row>
    <row r="267" spans="1:11" x14ac:dyDescent="0.2">
      <c r="A267">
        <v>264</v>
      </c>
      <c r="B267" t="s">
        <v>235</v>
      </c>
      <c r="C267" t="str">
        <f>VLOOKUP(B267,'Master Anggota'!$E$2:$I$279,5,0)</f>
        <v>00523</v>
      </c>
      <c r="D267" s="108">
        <v>46055</v>
      </c>
      <c r="E267" s="82">
        <v>25000000</v>
      </c>
      <c r="F267" t="s">
        <v>617</v>
      </c>
      <c r="H267" t="s">
        <v>634</v>
      </c>
      <c r="I267" s="111">
        <v>46106</v>
      </c>
      <c r="J267" s="111">
        <v>46443</v>
      </c>
      <c r="K267" s="56">
        <v>2333333</v>
      </c>
    </row>
    <row r="268" spans="1:11" x14ac:dyDescent="0.2">
      <c r="A268">
        <v>265</v>
      </c>
      <c r="B268" t="s">
        <v>157</v>
      </c>
      <c r="C268" t="str">
        <f>VLOOKUP(B268,'Master Anggota'!$E$2:$I$279,5,0)</f>
        <v>00633</v>
      </c>
      <c r="D268" s="108">
        <v>46056</v>
      </c>
      <c r="E268" s="82">
        <v>25000000</v>
      </c>
      <c r="F268" t="s">
        <v>617</v>
      </c>
      <c r="H268" t="s">
        <v>636</v>
      </c>
      <c r="I268" s="111">
        <v>46106</v>
      </c>
      <c r="J268" s="111">
        <v>46532</v>
      </c>
      <c r="K268" s="56">
        <v>1916667</v>
      </c>
    </row>
    <row r="269" spans="1:11" x14ac:dyDescent="0.2">
      <c r="A269">
        <v>266</v>
      </c>
      <c r="B269" t="s">
        <v>311</v>
      </c>
      <c r="C269" t="str">
        <f>VLOOKUP(B269,'Master Anggota'!$E$2:$I$279,5,0)</f>
        <v>01602</v>
      </c>
      <c r="D269" s="108">
        <v>46058</v>
      </c>
      <c r="E269" s="82">
        <v>5000000</v>
      </c>
      <c r="F269" t="s">
        <v>617</v>
      </c>
      <c r="H269" t="s">
        <v>633</v>
      </c>
      <c r="I269" s="111">
        <v>46106</v>
      </c>
      <c r="J269" s="111">
        <v>46259</v>
      </c>
      <c r="K269" s="56">
        <v>883333</v>
      </c>
    </row>
    <row r="270" spans="1:11" x14ac:dyDescent="0.2">
      <c r="A270">
        <v>267</v>
      </c>
      <c r="B270" t="s">
        <v>524</v>
      </c>
      <c r="C270" t="str">
        <f>VLOOKUP(B270,'Master Anggota'!$E$2:$I$279,5,0)</f>
        <v>01743</v>
      </c>
      <c r="D270" s="108">
        <v>46062</v>
      </c>
      <c r="E270" s="82">
        <v>700000</v>
      </c>
      <c r="F270" t="s">
        <v>617</v>
      </c>
      <c r="H270" t="s">
        <v>635</v>
      </c>
      <c r="I270" s="111">
        <v>46106</v>
      </c>
      <c r="J270" s="111">
        <v>46137</v>
      </c>
      <c r="K270" s="56" t="s">
        <v>641</v>
      </c>
    </row>
    <row r="271" spans="1:11" x14ac:dyDescent="0.2">
      <c r="A271">
        <v>268</v>
      </c>
      <c r="B271" t="s">
        <v>241</v>
      </c>
      <c r="C271" t="str">
        <f>VLOOKUP(B271,'Master Anggota'!$E$2:$I$279,5,0)</f>
        <v>00526</v>
      </c>
      <c r="D271" s="108">
        <v>46042</v>
      </c>
      <c r="E271" s="112">
        <v>50000000</v>
      </c>
      <c r="F271" t="s">
        <v>617</v>
      </c>
      <c r="H271" t="s">
        <v>622</v>
      </c>
      <c r="I271" s="111">
        <v>46106</v>
      </c>
      <c r="J271" s="111">
        <v>46808</v>
      </c>
      <c r="K271" s="82">
        <v>2708333</v>
      </c>
    </row>
    <row r="272" spans="1:11" x14ac:dyDescent="0.2">
      <c r="A272">
        <v>269</v>
      </c>
      <c r="B272" t="s">
        <v>214</v>
      </c>
      <c r="C272" t="str">
        <f>VLOOKUP(B272,'Master Anggota'!$E$2:$I$279,5,0)</f>
        <v>00529</v>
      </c>
      <c r="D272" s="108">
        <v>46071</v>
      </c>
      <c r="E272" s="82">
        <v>17500000</v>
      </c>
      <c r="F272" t="s">
        <v>617</v>
      </c>
      <c r="H272" t="s">
        <v>636</v>
      </c>
      <c r="I272" s="111">
        <v>46106</v>
      </c>
      <c r="J272" s="111">
        <v>46532</v>
      </c>
      <c r="K272" s="82">
        <v>1341667</v>
      </c>
    </row>
    <row r="273" spans="1:11" x14ac:dyDescent="0.2">
      <c r="A273">
        <v>270</v>
      </c>
      <c r="B273" t="s">
        <v>225</v>
      </c>
      <c r="C273" t="str">
        <f>VLOOKUP(B273,'Master Anggota'!$E$2:$I$279,5,0)</f>
        <v>00531</v>
      </c>
      <c r="D273" s="108">
        <v>46071</v>
      </c>
      <c r="E273" s="82">
        <v>4000000</v>
      </c>
      <c r="F273" t="s">
        <v>617</v>
      </c>
      <c r="H273" t="s">
        <v>643</v>
      </c>
      <c r="I273" s="111">
        <v>46106</v>
      </c>
      <c r="J273" s="111">
        <v>46381</v>
      </c>
      <c r="K273" s="82">
        <v>440000</v>
      </c>
    </row>
    <row r="274" spans="1:11" x14ac:dyDescent="0.2">
      <c r="A274">
        <v>271</v>
      </c>
      <c r="B274" t="s">
        <v>241</v>
      </c>
      <c r="C274" t="str">
        <f>VLOOKUP(B274,'Master Anggota'!$E$2:$I$279,5,0)</f>
        <v>00526</v>
      </c>
      <c r="D274" s="108">
        <v>46042</v>
      </c>
      <c r="E274" s="112">
        <v>15000000</v>
      </c>
      <c r="F274" t="s">
        <v>616</v>
      </c>
      <c r="K274" s="82"/>
    </row>
    <row r="275" spans="1:11" x14ac:dyDescent="0.2">
      <c r="A275">
        <v>272</v>
      </c>
      <c r="B275" t="s">
        <v>241</v>
      </c>
      <c r="C275" t="str">
        <f>VLOOKUP(B275,'Master Anggota'!$E$2:$I$279,5,0)</f>
        <v>00526</v>
      </c>
      <c r="D275" s="108">
        <v>46042</v>
      </c>
      <c r="E275" s="112">
        <v>-11806664</v>
      </c>
      <c r="F275" t="s">
        <v>598</v>
      </c>
      <c r="H275" t="s">
        <v>623</v>
      </c>
      <c r="K275" s="82"/>
    </row>
    <row r="276" spans="1:11" x14ac:dyDescent="0.2">
      <c r="A276">
        <v>273</v>
      </c>
      <c r="B276" t="s">
        <v>527</v>
      </c>
      <c r="C276" t="str">
        <f>VLOOKUP(B276,'Master Anggota'!$E$2:$I$279,5,0)</f>
        <v>PHL</v>
      </c>
      <c r="D276" s="108">
        <v>46036</v>
      </c>
      <c r="E276" s="112">
        <v>3000000</v>
      </c>
      <c r="F276" t="s">
        <v>617</v>
      </c>
      <c r="H276" t="s">
        <v>626</v>
      </c>
      <c r="I276" s="111">
        <v>46078</v>
      </c>
      <c r="J276" s="111">
        <v>46351</v>
      </c>
      <c r="K276" s="56">
        <v>330000</v>
      </c>
    </row>
    <row r="277" spans="1:11" x14ac:dyDescent="0.2">
      <c r="A277">
        <v>274</v>
      </c>
      <c r="B277" t="s">
        <v>527</v>
      </c>
      <c r="C277" t="str">
        <f>VLOOKUP(B277,'Master Anggota'!$E$2:$I$279,5,0)</f>
        <v>PHL</v>
      </c>
      <c r="D277" s="108">
        <v>46036</v>
      </c>
      <c r="E277" s="112">
        <v>300000</v>
      </c>
      <c r="F277" t="s">
        <v>616</v>
      </c>
    </row>
    <row r="278" spans="1:11" x14ac:dyDescent="0.2">
      <c r="A278">
        <v>275</v>
      </c>
      <c r="B278" t="s">
        <v>90</v>
      </c>
      <c r="C278" t="str">
        <f>VLOOKUP(B278,'Master Anggota'!$E$2:$I$279,5,0)</f>
        <v>00363</v>
      </c>
      <c r="D278" s="108">
        <v>46030</v>
      </c>
      <c r="E278" s="56">
        <v>15000000</v>
      </c>
      <c r="F278" s="78" t="s">
        <v>617</v>
      </c>
      <c r="H278" t="s">
        <v>629</v>
      </c>
      <c r="I278" s="111">
        <v>46106</v>
      </c>
      <c r="J278" s="111" t="s">
        <v>630</v>
      </c>
      <c r="K278" s="56">
        <v>16350000</v>
      </c>
    </row>
    <row r="279" spans="1:11" x14ac:dyDescent="0.2">
      <c r="A279">
        <v>276</v>
      </c>
      <c r="B279" t="s">
        <v>90</v>
      </c>
      <c r="C279" t="str">
        <f>VLOOKUP(B279,'Master Anggota'!$E$2:$I$279,5,0)</f>
        <v>00363</v>
      </c>
      <c r="D279" s="108">
        <v>46030</v>
      </c>
      <c r="E279" s="56">
        <v>1350000</v>
      </c>
      <c r="F279" t="s">
        <v>616</v>
      </c>
    </row>
    <row r="280" spans="1:11" x14ac:dyDescent="0.2">
      <c r="A280">
        <v>277</v>
      </c>
      <c r="B280" t="s">
        <v>327</v>
      </c>
      <c r="C280" t="str">
        <f>VLOOKUP(B280,'Master Anggota'!$E$2:$I$279,5,0)</f>
        <v>01665</v>
      </c>
      <c r="D280" s="108">
        <v>46055</v>
      </c>
      <c r="E280" s="82">
        <v>210000</v>
      </c>
      <c r="F280" t="s">
        <v>616</v>
      </c>
    </row>
    <row r="281" spans="1:11" x14ac:dyDescent="0.2">
      <c r="A281">
        <v>278</v>
      </c>
      <c r="B281" t="s">
        <v>327</v>
      </c>
      <c r="C281" t="str">
        <f>VLOOKUP(B281,'Master Anggota'!$E$2:$I$279,5,0)</f>
        <v>01665</v>
      </c>
      <c r="D281" s="108">
        <v>46055</v>
      </c>
      <c r="E281" s="82">
        <v>-458568</v>
      </c>
      <c r="F281" t="s">
        <v>598</v>
      </c>
    </row>
    <row r="282" spans="1:11" x14ac:dyDescent="0.2">
      <c r="A282">
        <v>279</v>
      </c>
      <c r="B282" t="s">
        <v>235</v>
      </c>
      <c r="C282" t="str">
        <f>VLOOKUP(B282,'Master Anggota'!$E$2:$I$279,5,0)</f>
        <v>00523</v>
      </c>
      <c r="D282" s="108">
        <v>46055</v>
      </c>
      <c r="E282" s="56">
        <v>-2333337</v>
      </c>
      <c r="F282" t="s">
        <v>598</v>
      </c>
    </row>
    <row r="283" spans="1:11" x14ac:dyDescent="0.2">
      <c r="A283">
        <v>280</v>
      </c>
      <c r="B283" t="s">
        <v>235</v>
      </c>
      <c r="C283" t="str">
        <f>VLOOKUP(B283,'Master Anggota'!$E$2:$I$279,5,0)</f>
        <v>00523</v>
      </c>
      <c r="D283" s="108">
        <v>46055</v>
      </c>
      <c r="E283" s="56">
        <v>3000000</v>
      </c>
      <c r="F283" t="s">
        <v>617</v>
      </c>
    </row>
    <row r="284" spans="1:11" x14ac:dyDescent="0.2">
      <c r="A284">
        <v>281</v>
      </c>
      <c r="B284" t="s">
        <v>311</v>
      </c>
      <c r="C284" t="str">
        <f>VLOOKUP(B284,'Master Anggota'!$E$2:$I$279,5,0)</f>
        <v>01602</v>
      </c>
      <c r="D284" s="108">
        <v>46058</v>
      </c>
      <c r="E284" s="56">
        <v>300000</v>
      </c>
      <c r="F284" t="s">
        <v>616</v>
      </c>
    </row>
    <row r="285" spans="1:11" x14ac:dyDescent="0.2">
      <c r="A285">
        <v>282</v>
      </c>
      <c r="B285" t="s">
        <v>524</v>
      </c>
      <c r="C285" t="str">
        <f>VLOOKUP(B285,'Master Anggota'!$E$2:$I$279,5,0)</f>
        <v>01743</v>
      </c>
      <c r="D285" s="108">
        <v>46062</v>
      </c>
      <c r="E285" s="56">
        <v>14000</v>
      </c>
      <c r="F285" t="s">
        <v>616</v>
      </c>
    </row>
    <row r="286" spans="1:11" x14ac:dyDescent="0.2">
      <c r="A286">
        <v>283</v>
      </c>
      <c r="B286" t="s">
        <v>526</v>
      </c>
      <c r="C286" t="str">
        <f>VLOOKUP(B286,'Master Anggota'!$E$2:$I$279,5,0)</f>
        <v>PHL</v>
      </c>
      <c r="D286" s="108">
        <v>46049</v>
      </c>
      <c r="E286" s="56">
        <v>306000</v>
      </c>
      <c r="F286" t="s">
        <v>616</v>
      </c>
    </row>
    <row r="287" spans="1:11" x14ac:dyDescent="0.2">
      <c r="A287">
        <v>284</v>
      </c>
      <c r="B287" t="s">
        <v>526</v>
      </c>
      <c r="C287" t="str">
        <f>VLOOKUP(B287,'Master Anggota'!$E$2:$I$279,5,0)</f>
        <v>PHL</v>
      </c>
      <c r="D287" s="108">
        <v>46049</v>
      </c>
      <c r="E287" s="56">
        <v>-1809999</v>
      </c>
      <c r="F287" t="s">
        <v>598</v>
      </c>
    </row>
    <row r="288" spans="1:11" x14ac:dyDescent="0.2">
      <c r="A288">
        <v>285</v>
      </c>
      <c r="B288" t="s">
        <v>368</v>
      </c>
      <c r="C288" t="str">
        <f>VLOOKUP(B288,'Master Anggota'!$E$2:$I$279,5,0)</f>
        <v>01703</v>
      </c>
      <c r="D288" s="108">
        <v>46048</v>
      </c>
      <c r="E288" s="56">
        <v>3000000</v>
      </c>
      <c r="F288" s="78" t="s">
        <v>617</v>
      </c>
      <c r="H288" t="s">
        <v>633</v>
      </c>
    </row>
    <row r="289" spans="1:11" x14ac:dyDescent="0.2">
      <c r="A289">
        <v>286</v>
      </c>
      <c r="B289" t="s">
        <v>368</v>
      </c>
      <c r="C289" t="str">
        <f>VLOOKUP(B289,'Master Anggota'!$E$2:$I$279,5,0)</f>
        <v>01703</v>
      </c>
      <c r="D289" s="108">
        <v>46048</v>
      </c>
      <c r="E289" s="56">
        <v>180000</v>
      </c>
      <c r="F289" t="s">
        <v>616</v>
      </c>
    </row>
    <row r="290" spans="1:11" x14ac:dyDescent="0.2">
      <c r="A290">
        <v>287</v>
      </c>
      <c r="B290" t="s">
        <v>175</v>
      </c>
      <c r="C290" t="str">
        <f>VLOOKUP(B290,'Master Anggota'!$E$2:$I$279,5,0)</f>
        <v>00563</v>
      </c>
      <c r="D290" s="108">
        <v>46045</v>
      </c>
      <c r="E290" s="56">
        <v>50000000</v>
      </c>
      <c r="F290" t="s">
        <v>617</v>
      </c>
      <c r="H290" t="s">
        <v>622</v>
      </c>
      <c r="I290" s="111">
        <v>46106</v>
      </c>
      <c r="J290" s="111">
        <v>46808</v>
      </c>
      <c r="K290" s="56">
        <v>2708333</v>
      </c>
    </row>
    <row r="291" spans="1:11" x14ac:dyDescent="0.2">
      <c r="A291">
        <v>288</v>
      </c>
      <c r="B291" t="s">
        <v>175</v>
      </c>
      <c r="C291" t="str">
        <f>VLOOKUP(B291,'Master Anggota'!$E$2:$I$279,5,0)</f>
        <v>00563</v>
      </c>
      <c r="D291" s="108">
        <v>46045</v>
      </c>
      <c r="E291" s="56">
        <v>15000000</v>
      </c>
      <c r="F291" t="s">
        <v>616</v>
      </c>
    </row>
    <row r="292" spans="1:11" x14ac:dyDescent="0.2">
      <c r="A292">
        <v>289</v>
      </c>
      <c r="B292" t="s">
        <v>175</v>
      </c>
      <c r="C292" t="str">
        <f>VLOOKUP(B292,'Master Anggota'!$E$2:$I$279,5,0)</f>
        <v>00563</v>
      </c>
      <c r="D292" s="108">
        <v>46045</v>
      </c>
      <c r="E292" s="56">
        <v>-36115004</v>
      </c>
      <c r="F292" t="s">
        <v>598</v>
      </c>
    </row>
    <row r="293" spans="1:11" x14ac:dyDescent="0.2">
      <c r="A293">
        <v>290</v>
      </c>
      <c r="B293" t="s">
        <v>157</v>
      </c>
      <c r="C293" t="str">
        <f>VLOOKUP(B293,'Master Anggota'!$E$2:$I$279,5,0)</f>
        <v>00633</v>
      </c>
      <c r="D293" s="108">
        <v>46056</v>
      </c>
      <c r="E293" s="82">
        <v>3750000</v>
      </c>
      <c r="F293" t="s">
        <v>616</v>
      </c>
    </row>
    <row r="294" spans="1:11" x14ac:dyDescent="0.2">
      <c r="A294">
        <v>291</v>
      </c>
      <c r="B294" t="s">
        <v>370</v>
      </c>
      <c r="C294" t="str">
        <f>VLOOKUP(B294,'Master Anggota'!$E$2:$I$279,5,0)</f>
        <v>00610</v>
      </c>
      <c r="D294" s="108">
        <v>46072</v>
      </c>
      <c r="E294" s="82">
        <v>20000000</v>
      </c>
      <c r="F294" t="s">
        <v>617</v>
      </c>
      <c r="H294" t="s">
        <v>634</v>
      </c>
      <c r="I294" s="111">
        <v>46106</v>
      </c>
      <c r="J294" s="111">
        <v>46443</v>
      </c>
      <c r="K294" s="82">
        <v>1866667</v>
      </c>
    </row>
    <row r="295" spans="1:11" x14ac:dyDescent="0.2">
      <c r="A295">
        <v>292</v>
      </c>
      <c r="B295" t="s">
        <v>254</v>
      </c>
      <c r="C295" t="str">
        <f>VLOOKUP(B295,'Master Anggota'!$E$2:$I$279,5,0)</f>
        <v>00288</v>
      </c>
      <c r="D295" s="108">
        <v>46078</v>
      </c>
      <c r="E295" s="56">
        <v>-1500000</v>
      </c>
      <c r="F295" t="s">
        <v>598</v>
      </c>
    </row>
    <row r="296" spans="1:11" x14ac:dyDescent="0.2">
      <c r="A296">
        <v>293</v>
      </c>
      <c r="B296" t="s">
        <v>135</v>
      </c>
      <c r="C296" t="str">
        <f>VLOOKUP(B296,'Master Anggota'!$E$2:$I$279,5,0)</f>
        <v>00293</v>
      </c>
      <c r="D296" s="108">
        <v>46078</v>
      </c>
      <c r="E296" s="56">
        <v>-3808333</v>
      </c>
      <c r="F296" t="s">
        <v>598</v>
      </c>
    </row>
    <row r="297" spans="1:11" x14ac:dyDescent="0.2">
      <c r="A297">
        <v>294</v>
      </c>
      <c r="B297" t="s">
        <v>248</v>
      </c>
      <c r="C297" t="str">
        <f>VLOOKUP(B297,'Master Anggota'!$E$2:$I$279,5,0)</f>
        <v>00302</v>
      </c>
      <c r="D297" s="108">
        <v>46078</v>
      </c>
      <c r="E297" s="56">
        <v>-3841667</v>
      </c>
      <c r="F297" t="s">
        <v>598</v>
      </c>
    </row>
    <row r="298" spans="1:11" x14ac:dyDescent="0.2">
      <c r="A298">
        <v>295</v>
      </c>
      <c r="B298" t="s">
        <v>335</v>
      </c>
      <c r="C298" t="str">
        <f>VLOOKUP(B298,'Master Anggota'!$E$2:$I$279,5,0)</f>
        <v>00311</v>
      </c>
      <c r="D298" s="108">
        <v>46078</v>
      </c>
      <c r="E298" s="56">
        <v>-3958333</v>
      </c>
      <c r="F298" t="s">
        <v>598</v>
      </c>
    </row>
    <row r="299" spans="1:11" x14ac:dyDescent="0.2">
      <c r="A299">
        <v>296</v>
      </c>
      <c r="B299" t="s">
        <v>113</v>
      </c>
      <c r="C299" t="str">
        <f>VLOOKUP(B299,'Master Anggota'!$E$2:$I$279,5,0)</f>
        <v>00317</v>
      </c>
      <c r="D299" s="108">
        <v>46078</v>
      </c>
      <c r="E299" s="56">
        <v>-2900000</v>
      </c>
      <c r="F299" t="s">
        <v>598</v>
      </c>
    </row>
    <row r="300" spans="1:11" x14ac:dyDescent="0.2">
      <c r="A300">
        <v>297</v>
      </c>
      <c r="B300" t="s">
        <v>198</v>
      </c>
      <c r="C300" t="str">
        <f>VLOOKUP(B300,'Master Anggota'!$E$2:$I$279,5,0)</f>
        <v>00327</v>
      </c>
      <c r="D300" s="108">
        <v>46078</v>
      </c>
      <c r="E300" s="56">
        <v>-6424608</v>
      </c>
      <c r="F300" t="s">
        <v>598</v>
      </c>
    </row>
    <row r="301" spans="1:11" x14ac:dyDescent="0.2">
      <c r="A301">
        <v>298</v>
      </c>
      <c r="B301" t="s">
        <v>208</v>
      </c>
      <c r="C301" t="str">
        <f>VLOOKUP(B301,'Master Anggota'!$E$2:$I$279,5,0)</f>
        <v>00328</v>
      </c>
      <c r="D301" s="108">
        <v>46078</v>
      </c>
      <c r="E301" s="56">
        <v>-3275000</v>
      </c>
      <c r="F301" t="s">
        <v>598</v>
      </c>
    </row>
    <row r="302" spans="1:11" x14ac:dyDescent="0.2">
      <c r="A302">
        <v>299</v>
      </c>
      <c r="B302" t="s">
        <v>341</v>
      </c>
      <c r="C302" t="str">
        <f>VLOOKUP(B302,'Master Anggota'!$E$2:$I$279,5,0)</f>
        <v>00339</v>
      </c>
      <c r="D302" s="108">
        <v>46078</v>
      </c>
      <c r="E302" s="56">
        <v>-2325000</v>
      </c>
      <c r="F302" t="s">
        <v>598</v>
      </c>
    </row>
    <row r="303" spans="1:11" x14ac:dyDescent="0.2">
      <c r="A303">
        <v>300</v>
      </c>
      <c r="B303" t="s">
        <v>129</v>
      </c>
      <c r="C303" t="str">
        <f>VLOOKUP(B303,'Master Anggota'!$E$2:$I$279,5,0)</f>
        <v>00343</v>
      </c>
      <c r="D303" s="108">
        <v>46078</v>
      </c>
      <c r="E303" s="56">
        <v>-3105000</v>
      </c>
      <c r="F303" t="s">
        <v>598</v>
      </c>
    </row>
    <row r="304" spans="1:11" x14ac:dyDescent="0.2">
      <c r="A304">
        <v>301</v>
      </c>
      <c r="B304" t="s">
        <v>480</v>
      </c>
      <c r="C304" t="str">
        <f>VLOOKUP(B304,'Master Anggota'!$E$2:$I$279,5,0)</f>
        <v>00351</v>
      </c>
      <c r="D304" s="108">
        <v>46078</v>
      </c>
      <c r="E304" s="56">
        <v>-2325000</v>
      </c>
      <c r="F304" t="s">
        <v>598</v>
      </c>
    </row>
    <row r="305" spans="1:6" x14ac:dyDescent="0.2">
      <c r="A305">
        <v>302</v>
      </c>
      <c r="B305" t="s">
        <v>151</v>
      </c>
      <c r="C305" t="str">
        <f>VLOOKUP(B305,'Master Anggota'!$E$2:$I$279,5,0)</f>
        <v>00362</v>
      </c>
      <c r="D305" s="108">
        <v>46078</v>
      </c>
      <c r="E305" s="56">
        <v>-3842333</v>
      </c>
      <c r="F305" t="s">
        <v>598</v>
      </c>
    </row>
    <row r="306" spans="1:6" x14ac:dyDescent="0.2">
      <c r="A306">
        <v>303</v>
      </c>
      <c r="B306" t="s">
        <v>90</v>
      </c>
      <c r="C306" t="str">
        <f>VLOOKUP(B306,'Master Anggota'!$E$2:$I$279,5,0)</f>
        <v>00363</v>
      </c>
      <c r="D306" s="108">
        <v>46078</v>
      </c>
      <c r="E306" s="56">
        <v>-3450000</v>
      </c>
      <c r="F306" t="s">
        <v>598</v>
      </c>
    </row>
    <row r="307" spans="1:6" x14ac:dyDescent="0.2">
      <c r="A307">
        <v>304</v>
      </c>
      <c r="B307" t="s">
        <v>483</v>
      </c>
      <c r="C307" t="str">
        <f>VLOOKUP(B307,'Master Anggota'!$E$2:$I$279,5,0)</f>
        <v>00368</v>
      </c>
      <c r="D307" s="108">
        <v>46078</v>
      </c>
      <c r="E307" s="56">
        <v>-3275000</v>
      </c>
      <c r="F307" t="s">
        <v>598</v>
      </c>
    </row>
    <row r="308" spans="1:6" x14ac:dyDescent="0.2">
      <c r="A308">
        <v>305</v>
      </c>
      <c r="B308" t="s">
        <v>328</v>
      </c>
      <c r="C308" t="str">
        <f>VLOOKUP(B308,'Master Anggota'!$E$2:$I$279,5,0)</f>
        <v>00369</v>
      </c>
      <c r="D308" s="108">
        <v>46078</v>
      </c>
      <c r="E308" s="56">
        <v>-1812500</v>
      </c>
      <c r="F308" t="s">
        <v>598</v>
      </c>
    </row>
    <row r="309" spans="1:6" x14ac:dyDescent="0.2">
      <c r="A309">
        <v>306</v>
      </c>
      <c r="B309" t="s">
        <v>481</v>
      </c>
      <c r="C309" t="str">
        <f>VLOOKUP(B309,'Master Anggota'!$E$2:$I$279,5,0)</f>
        <v>00371</v>
      </c>
      <c r="D309" s="108">
        <v>46078</v>
      </c>
      <c r="E309" s="56">
        <v>-3955000</v>
      </c>
      <c r="F309" t="s">
        <v>598</v>
      </c>
    </row>
    <row r="310" spans="1:6" x14ac:dyDescent="0.2">
      <c r="A310">
        <v>307</v>
      </c>
      <c r="B310" t="s">
        <v>521</v>
      </c>
      <c r="C310" t="str">
        <f>VLOOKUP(B310,'Master Anggota'!$E$2:$I$279,5,0)</f>
        <v>00376</v>
      </c>
      <c r="D310" s="108">
        <v>46078</v>
      </c>
      <c r="E310" s="56">
        <v>-3558333</v>
      </c>
      <c r="F310" t="s">
        <v>598</v>
      </c>
    </row>
    <row r="311" spans="1:6" x14ac:dyDescent="0.2">
      <c r="A311">
        <v>308</v>
      </c>
      <c r="B311" t="s">
        <v>94</v>
      </c>
      <c r="C311" t="str">
        <f>VLOOKUP(B311,'Master Anggota'!$E$2:$I$279,5,0)</f>
        <v>00387</v>
      </c>
      <c r="D311" s="108">
        <v>46078</v>
      </c>
      <c r="E311" s="56">
        <v>-1741112</v>
      </c>
      <c r="F311" t="s">
        <v>598</v>
      </c>
    </row>
    <row r="312" spans="1:6" x14ac:dyDescent="0.2">
      <c r="A312">
        <v>309</v>
      </c>
      <c r="B312" t="s">
        <v>258</v>
      </c>
      <c r="C312" t="str">
        <f>VLOOKUP(B312,'Master Anggota'!$E$2:$I$279,5,0)</f>
        <v>00390</v>
      </c>
      <c r="D312" s="108">
        <v>46078</v>
      </c>
      <c r="E312" s="56">
        <v>-1866667</v>
      </c>
      <c r="F312" t="s">
        <v>598</v>
      </c>
    </row>
    <row r="313" spans="1:6" x14ac:dyDescent="0.2">
      <c r="A313">
        <v>310</v>
      </c>
      <c r="B313" t="s">
        <v>92</v>
      </c>
      <c r="C313" t="str">
        <f>VLOOKUP(B313,'Master Anggota'!$E$2:$I$279,5,0)</f>
        <v>00396</v>
      </c>
      <c r="D313" s="108">
        <v>46078</v>
      </c>
      <c r="E313" s="56">
        <v>-4475000</v>
      </c>
      <c r="F313" t="s">
        <v>598</v>
      </c>
    </row>
    <row r="314" spans="1:6" x14ac:dyDescent="0.2">
      <c r="A314">
        <v>311</v>
      </c>
      <c r="B314" t="s">
        <v>103</v>
      </c>
      <c r="C314" t="str">
        <f>VLOOKUP(B314,'Master Anggota'!$E$2:$I$279,5,0)</f>
        <v>00401</v>
      </c>
      <c r="D314" s="108">
        <v>46078</v>
      </c>
      <c r="E314" s="56">
        <v>-2120000</v>
      </c>
      <c r="F314" t="s">
        <v>598</v>
      </c>
    </row>
    <row r="315" spans="1:6" x14ac:dyDescent="0.2">
      <c r="A315">
        <v>312</v>
      </c>
      <c r="B315" t="s">
        <v>65</v>
      </c>
      <c r="C315" t="str">
        <f>VLOOKUP(B315,'Master Anggota'!$E$2:$I$279,5,0)</f>
        <v>00490</v>
      </c>
      <c r="D315" s="108">
        <v>46078</v>
      </c>
      <c r="E315" s="56">
        <v>-2750000</v>
      </c>
      <c r="F315" t="s">
        <v>598</v>
      </c>
    </row>
    <row r="316" spans="1:6" x14ac:dyDescent="0.2">
      <c r="A316">
        <v>313</v>
      </c>
      <c r="B316" t="s">
        <v>115</v>
      </c>
      <c r="C316" t="str">
        <f>VLOOKUP(B316,'Master Anggota'!$E$2:$I$279,5,0)</f>
        <v>00497</v>
      </c>
      <c r="D316" s="108">
        <v>46078</v>
      </c>
      <c r="E316" s="56">
        <v>-1400000</v>
      </c>
      <c r="F316" t="s">
        <v>598</v>
      </c>
    </row>
    <row r="317" spans="1:6" x14ac:dyDescent="0.2">
      <c r="A317">
        <v>314</v>
      </c>
      <c r="B317" t="s">
        <v>194</v>
      </c>
      <c r="C317" t="str">
        <f>VLOOKUP(B317,'Master Anggota'!$E$2:$I$279,5,0)</f>
        <v>00498</v>
      </c>
      <c r="D317" s="108">
        <v>46078</v>
      </c>
      <c r="E317" s="56">
        <v>-5920000</v>
      </c>
      <c r="F317" t="s">
        <v>598</v>
      </c>
    </row>
    <row r="318" spans="1:6" x14ac:dyDescent="0.2">
      <c r="A318">
        <v>315</v>
      </c>
      <c r="B318" t="s">
        <v>155</v>
      </c>
      <c r="C318" t="str">
        <f>VLOOKUP(B318,'Master Anggota'!$E$2:$I$279,5,0)</f>
        <v>00499</v>
      </c>
      <c r="D318" s="108">
        <v>46078</v>
      </c>
      <c r="E318" s="56">
        <v>-1291667</v>
      </c>
      <c r="F318" t="s">
        <v>598</v>
      </c>
    </row>
    <row r="319" spans="1:6" x14ac:dyDescent="0.2">
      <c r="A319">
        <v>316</v>
      </c>
      <c r="B319" t="s">
        <v>96</v>
      </c>
      <c r="C319" t="str">
        <f>VLOOKUP(B319,'Master Anggota'!$E$2:$I$279,5,0)</f>
        <v>00508</v>
      </c>
      <c r="D319" s="108">
        <v>46078</v>
      </c>
      <c r="E319" s="56">
        <v>-2708333</v>
      </c>
      <c r="F319" t="s">
        <v>598</v>
      </c>
    </row>
    <row r="320" spans="1:6" x14ac:dyDescent="0.2">
      <c r="A320">
        <v>317</v>
      </c>
      <c r="B320" t="s">
        <v>270</v>
      </c>
      <c r="C320" t="str">
        <f>VLOOKUP(B320,'Master Anggota'!$E$2:$I$279,5,0)</f>
        <v>00509</v>
      </c>
      <c r="D320" s="108">
        <v>46078</v>
      </c>
      <c r="E320" s="56">
        <v>-653333</v>
      </c>
      <c r="F320" t="s">
        <v>598</v>
      </c>
    </row>
    <row r="321" spans="1:6" x14ac:dyDescent="0.2">
      <c r="A321">
        <v>318</v>
      </c>
      <c r="B321" t="s">
        <v>202</v>
      </c>
      <c r="C321" t="str">
        <f>VLOOKUP(B321,'Master Anggota'!$E$2:$I$279,5,0)</f>
        <v>00512</v>
      </c>
      <c r="D321" s="108">
        <v>46078</v>
      </c>
      <c r="E321" s="56">
        <v>-1033333</v>
      </c>
      <c r="F321" t="s">
        <v>598</v>
      </c>
    </row>
    <row r="322" spans="1:6" x14ac:dyDescent="0.2">
      <c r="A322">
        <v>319</v>
      </c>
      <c r="B322" t="s">
        <v>239</v>
      </c>
      <c r="C322" t="str">
        <f>VLOOKUP(B322,'Master Anggota'!$E$2:$I$279,5,0)</f>
        <v>00513</v>
      </c>
      <c r="D322" s="108">
        <v>46078</v>
      </c>
      <c r="E322" s="56">
        <v>-2708333</v>
      </c>
      <c r="F322" t="s">
        <v>598</v>
      </c>
    </row>
    <row r="323" spans="1:6" x14ac:dyDescent="0.2">
      <c r="A323">
        <v>320</v>
      </c>
      <c r="B323" t="s">
        <v>223</v>
      </c>
      <c r="C323" t="str">
        <f>VLOOKUP(B323,'Master Anggota'!$E$2:$I$279,5,0)</f>
        <v>00514</v>
      </c>
      <c r="D323" s="108">
        <v>46078</v>
      </c>
      <c r="E323" s="56">
        <v>-933334</v>
      </c>
      <c r="F323" t="s">
        <v>598</v>
      </c>
    </row>
    <row r="324" spans="1:6" x14ac:dyDescent="0.2">
      <c r="A324">
        <v>321</v>
      </c>
      <c r="B324" t="s">
        <v>274</v>
      </c>
      <c r="C324" t="str">
        <f>VLOOKUP(B324,'Master Anggota'!$E$2:$I$279,5,0)</f>
        <v>00515</v>
      </c>
      <c r="D324" s="108">
        <v>46078</v>
      </c>
      <c r="E324" s="56">
        <v>-1825000</v>
      </c>
      <c r="F324" t="s">
        <v>598</v>
      </c>
    </row>
    <row r="325" spans="1:6" x14ac:dyDescent="0.2">
      <c r="A325">
        <v>322</v>
      </c>
      <c r="B325" t="s">
        <v>233</v>
      </c>
      <c r="C325" t="str">
        <f>VLOOKUP(B325,'Master Anggota'!$E$2:$I$279,5,0)</f>
        <v>00516</v>
      </c>
      <c r="D325" s="108">
        <v>46078</v>
      </c>
      <c r="E325" s="56">
        <v>-383333</v>
      </c>
      <c r="F325" t="s">
        <v>598</v>
      </c>
    </row>
    <row r="326" spans="1:6" x14ac:dyDescent="0.2">
      <c r="A326">
        <v>323</v>
      </c>
      <c r="B326" t="s">
        <v>200</v>
      </c>
      <c r="C326" t="str">
        <f>VLOOKUP(B326,'Master Anggota'!$E$2:$I$279,5,0)</f>
        <v>00520</v>
      </c>
      <c r="D326" s="108">
        <v>46078</v>
      </c>
      <c r="E326" s="56">
        <v>-1650000</v>
      </c>
      <c r="F326" t="s">
        <v>598</v>
      </c>
    </row>
    <row r="327" spans="1:6" x14ac:dyDescent="0.2">
      <c r="A327">
        <v>324</v>
      </c>
      <c r="B327" t="s">
        <v>107</v>
      </c>
      <c r="C327" t="str">
        <f>VLOOKUP(B327,'Master Anggota'!$E$2:$I$279,5,0)</f>
        <v>00521</v>
      </c>
      <c r="D327" s="108">
        <v>46078</v>
      </c>
      <c r="E327" s="56">
        <v>-4791667</v>
      </c>
      <c r="F327" t="s">
        <v>598</v>
      </c>
    </row>
    <row r="328" spans="1:6" x14ac:dyDescent="0.2">
      <c r="A328">
        <v>325</v>
      </c>
      <c r="B328" t="s">
        <v>252</v>
      </c>
      <c r="C328" t="str">
        <f>VLOOKUP(B328,'Master Anggota'!$E$2:$I$279,5,0)</f>
        <v>00524</v>
      </c>
      <c r="D328" s="108">
        <v>46078</v>
      </c>
      <c r="E328" s="56">
        <v>-2708333</v>
      </c>
      <c r="F328" t="s">
        <v>598</v>
      </c>
    </row>
    <row r="329" spans="1:6" x14ac:dyDescent="0.2">
      <c r="A329">
        <v>326</v>
      </c>
      <c r="B329" t="s">
        <v>206</v>
      </c>
      <c r="C329" t="str">
        <f>VLOOKUP(B329,'Master Anggota'!$E$2:$I$279,5,0)</f>
        <v>00525</v>
      </c>
      <c r="D329" s="108">
        <v>46078</v>
      </c>
      <c r="E329" s="56">
        <v>-3331667</v>
      </c>
      <c r="F329" t="s">
        <v>598</v>
      </c>
    </row>
    <row r="330" spans="1:6" x14ac:dyDescent="0.2">
      <c r="A330">
        <v>327</v>
      </c>
      <c r="B330" t="s">
        <v>147</v>
      </c>
      <c r="C330" t="str">
        <f>VLOOKUP(B330,'Master Anggota'!$E$2:$I$279,5,0)</f>
        <v>00527</v>
      </c>
      <c r="D330" s="108">
        <v>46078</v>
      </c>
      <c r="E330" s="56">
        <v>-1858333</v>
      </c>
      <c r="F330" t="s">
        <v>598</v>
      </c>
    </row>
    <row r="331" spans="1:6" x14ac:dyDescent="0.2">
      <c r="A331">
        <v>328</v>
      </c>
      <c r="B331" t="s">
        <v>243</v>
      </c>
      <c r="C331" t="str">
        <f>VLOOKUP(B331,'Master Anggota'!$E$2:$I$279,5,0)</f>
        <v>00530</v>
      </c>
      <c r="D331" s="108">
        <v>46078</v>
      </c>
      <c r="E331" s="56">
        <v>-3558333</v>
      </c>
      <c r="F331" t="s">
        <v>598</v>
      </c>
    </row>
    <row r="332" spans="1:6" x14ac:dyDescent="0.2">
      <c r="A332">
        <v>329</v>
      </c>
      <c r="B332" t="s">
        <v>225</v>
      </c>
      <c r="C332" t="str">
        <f>VLOOKUP(B332,'Master Anggota'!$E$2:$I$279,5,0)</f>
        <v>00531</v>
      </c>
      <c r="D332" s="108">
        <v>46078</v>
      </c>
      <c r="E332" s="56">
        <v>0</v>
      </c>
      <c r="F332" t="s">
        <v>598</v>
      </c>
    </row>
    <row r="333" spans="1:6" x14ac:dyDescent="0.2">
      <c r="A333">
        <v>330</v>
      </c>
      <c r="B333" t="s">
        <v>245</v>
      </c>
      <c r="C333" t="str">
        <f>VLOOKUP(B333,'Master Anggota'!$E$2:$I$279,5,0)</f>
        <v>00532</v>
      </c>
      <c r="D333" s="108">
        <v>46078</v>
      </c>
      <c r="E333" s="56">
        <v>-4108333</v>
      </c>
      <c r="F333" t="s">
        <v>598</v>
      </c>
    </row>
    <row r="334" spans="1:6" x14ac:dyDescent="0.2">
      <c r="A334">
        <v>331</v>
      </c>
      <c r="B334" t="s">
        <v>522</v>
      </c>
      <c r="C334" t="str">
        <f>VLOOKUP(B334,'Master Anggota'!$E$2:$I$279,5,0)</f>
        <v>00533</v>
      </c>
      <c r="D334" s="108">
        <v>46078</v>
      </c>
      <c r="E334" s="56">
        <v>-3275000</v>
      </c>
      <c r="F334" t="s">
        <v>598</v>
      </c>
    </row>
    <row r="335" spans="1:6" x14ac:dyDescent="0.2">
      <c r="A335">
        <v>332</v>
      </c>
      <c r="B335" t="s">
        <v>204</v>
      </c>
      <c r="C335" t="str">
        <f>VLOOKUP(B335,'Master Anggota'!$E$2:$I$279,5,0)</f>
        <v>00534</v>
      </c>
      <c r="D335" s="108">
        <v>46078</v>
      </c>
      <c r="E335" s="56">
        <v>-1825000</v>
      </c>
      <c r="F335" t="s">
        <v>598</v>
      </c>
    </row>
    <row r="336" spans="1:6" x14ac:dyDescent="0.2">
      <c r="A336">
        <v>333</v>
      </c>
      <c r="B336" t="s">
        <v>189</v>
      </c>
      <c r="C336" t="str">
        <f>VLOOKUP(B336,'Master Anggota'!$E$2:$I$279,5,0)</f>
        <v>00535</v>
      </c>
      <c r="D336" s="108">
        <v>46078</v>
      </c>
      <c r="E336" s="56">
        <v>-597333</v>
      </c>
      <c r="F336" t="s">
        <v>598</v>
      </c>
    </row>
    <row r="337" spans="1:6" x14ac:dyDescent="0.2">
      <c r="A337">
        <v>334</v>
      </c>
      <c r="B337" t="s">
        <v>81</v>
      </c>
      <c r="C337" t="str">
        <f>VLOOKUP(B337,'Master Anggota'!$E$2:$I$279,5,0)</f>
        <v>00537</v>
      </c>
      <c r="D337" s="108">
        <v>46078</v>
      </c>
      <c r="E337" s="56">
        <v>-2708333</v>
      </c>
      <c r="F337" t="s">
        <v>598</v>
      </c>
    </row>
    <row r="338" spans="1:6" x14ac:dyDescent="0.2">
      <c r="A338">
        <v>335</v>
      </c>
      <c r="B338" t="s">
        <v>53</v>
      </c>
      <c r="C338" t="str">
        <f>VLOOKUP(B338,'Master Anggota'!$E$2:$I$279,5,0)</f>
        <v>00540</v>
      </c>
      <c r="D338" s="108">
        <v>46078</v>
      </c>
      <c r="E338" s="56">
        <v>-775000</v>
      </c>
      <c r="F338" t="s">
        <v>598</v>
      </c>
    </row>
    <row r="339" spans="1:6" x14ac:dyDescent="0.2">
      <c r="A339">
        <v>336</v>
      </c>
      <c r="B339" t="s">
        <v>79</v>
      </c>
      <c r="C339" t="str">
        <f>VLOOKUP(B339,'Master Anggota'!$E$2:$I$279,5,0)</f>
        <v>00541</v>
      </c>
      <c r="D339" s="108">
        <v>46078</v>
      </c>
      <c r="E339" s="56">
        <v>-4125000</v>
      </c>
      <c r="F339" t="s">
        <v>598</v>
      </c>
    </row>
    <row r="340" spans="1:6" x14ac:dyDescent="0.2">
      <c r="A340">
        <v>337</v>
      </c>
      <c r="B340" t="s">
        <v>35</v>
      </c>
      <c r="C340" t="str">
        <f>VLOOKUP(B340,'Master Anggota'!$E$2:$I$279,5,0)</f>
        <v>00546</v>
      </c>
      <c r="D340" s="108">
        <v>46078</v>
      </c>
      <c r="E340" s="56">
        <v>-1575000</v>
      </c>
      <c r="F340" t="s">
        <v>598</v>
      </c>
    </row>
    <row r="341" spans="1:6" x14ac:dyDescent="0.2">
      <c r="A341">
        <v>338</v>
      </c>
      <c r="B341" t="s">
        <v>85</v>
      </c>
      <c r="C341" t="str">
        <f>VLOOKUP(B341,'Master Anggota'!$E$2:$I$279,5,0)</f>
        <v>00547</v>
      </c>
      <c r="D341" s="108">
        <v>46078</v>
      </c>
      <c r="E341" s="56">
        <v>-2368333</v>
      </c>
      <c r="F341" t="s">
        <v>598</v>
      </c>
    </row>
    <row r="342" spans="1:6" x14ac:dyDescent="0.2">
      <c r="A342">
        <v>339</v>
      </c>
      <c r="B342" t="s">
        <v>153</v>
      </c>
      <c r="C342" t="str">
        <f>VLOOKUP(B342,'Master Anggota'!$E$2:$I$279,5,0)</f>
        <v>00548</v>
      </c>
      <c r="D342" s="108">
        <v>46078</v>
      </c>
      <c r="E342" s="56">
        <v>-1348333</v>
      </c>
      <c r="F342" t="s">
        <v>598</v>
      </c>
    </row>
    <row r="343" spans="1:6" x14ac:dyDescent="0.2">
      <c r="A343">
        <v>340</v>
      </c>
      <c r="B343" t="s">
        <v>484</v>
      </c>
      <c r="C343" t="str">
        <f>VLOOKUP(B343,'Master Anggota'!$E$2:$I$279,5,0)</f>
        <v>00552</v>
      </c>
      <c r="D343" s="108">
        <v>46078</v>
      </c>
      <c r="E343" s="56">
        <v>-4408333</v>
      </c>
      <c r="F343" t="s">
        <v>598</v>
      </c>
    </row>
    <row r="344" spans="1:6" x14ac:dyDescent="0.2">
      <c r="A344">
        <v>341</v>
      </c>
      <c r="B344" t="s">
        <v>8</v>
      </c>
      <c r="C344" t="str">
        <f>VLOOKUP(B344,'Master Anggota'!$E$2:$I$279,5,0)</f>
        <v>00553</v>
      </c>
      <c r="D344" s="108">
        <v>46078</v>
      </c>
      <c r="E344" s="56">
        <v>-660000</v>
      </c>
      <c r="F344" t="s">
        <v>598</v>
      </c>
    </row>
    <row r="345" spans="1:6" x14ac:dyDescent="0.2">
      <c r="A345">
        <v>342</v>
      </c>
      <c r="B345" t="s">
        <v>87</v>
      </c>
      <c r="C345" t="str">
        <f>VLOOKUP(B345,'Master Anggota'!$E$2:$I$279,5,0)</f>
        <v>00554</v>
      </c>
      <c r="D345" s="108">
        <v>46078</v>
      </c>
      <c r="E345" s="56">
        <v>-530000</v>
      </c>
      <c r="F345" t="s">
        <v>598</v>
      </c>
    </row>
    <row r="346" spans="1:6" x14ac:dyDescent="0.2">
      <c r="A346">
        <v>343</v>
      </c>
      <c r="B346" t="s">
        <v>276</v>
      </c>
      <c r="C346" t="str">
        <f>VLOOKUP(B346,'Master Anggota'!$E$2:$I$279,5,0)</f>
        <v>00558</v>
      </c>
      <c r="D346" s="108">
        <v>46078</v>
      </c>
      <c r="E346" s="56">
        <v>-1341667</v>
      </c>
      <c r="F346" t="s">
        <v>598</v>
      </c>
    </row>
    <row r="347" spans="1:6" x14ac:dyDescent="0.2">
      <c r="A347">
        <v>344</v>
      </c>
      <c r="B347" t="s">
        <v>277</v>
      </c>
      <c r="C347" t="str">
        <f>VLOOKUP(B347,'Master Anggota'!$E$2:$I$279,5,0)</f>
        <v>00564</v>
      </c>
      <c r="D347" s="108">
        <v>46078</v>
      </c>
      <c r="E347" s="56">
        <v>-1291667</v>
      </c>
      <c r="F347" t="s">
        <v>598</v>
      </c>
    </row>
    <row r="348" spans="1:6" x14ac:dyDescent="0.2">
      <c r="A348">
        <v>345</v>
      </c>
      <c r="B348" t="s">
        <v>182</v>
      </c>
      <c r="C348" t="str">
        <f>VLOOKUP(B348,'Master Anggota'!$E$2:$I$279,5,0)</f>
        <v>00565</v>
      </c>
      <c r="D348" s="108">
        <v>46078</v>
      </c>
      <c r="E348" s="56">
        <v>-3125000</v>
      </c>
      <c r="F348" t="s">
        <v>598</v>
      </c>
    </row>
    <row r="349" spans="1:6" x14ac:dyDescent="0.2">
      <c r="A349">
        <v>346</v>
      </c>
      <c r="B349" t="s">
        <v>176</v>
      </c>
      <c r="C349" t="str">
        <f>VLOOKUP(B349,'Master Anggota'!$E$2:$I$279,5,0)</f>
        <v>00568</v>
      </c>
      <c r="D349" s="108">
        <v>46078</v>
      </c>
      <c r="E349" s="56">
        <v>-1085000</v>
      </c>
      <c r="F349" t="s">
        <v>598</v>
      </c>
    </row>
    <row r="350" spans="1:6" x14ac:dyDescent="0.2">
      <c r="A350">
        <v>347</v>
      </c>
      <c r="B350" t="s">
        <v>177</v>
      </c>
      <c r="C350" t="str">
        <f>VLOOKUP(B350,'Master Anggota'!$E$2:$I$279,5,0)</f>
        <v>00569</v>
      </c>
      <c r="D350" s="108">
        <v>46078</v>
      </c>
      <c r="E350" s="56">
        <v>-2595000</v>
      </c>
      <c r="F350" t="s">
        <v>598</v>
      </c>
    </row>
    <row r="351" spans="1:6" x14ac:dyDescent="0.2">
      <c r="A351">
        <v>348</v>
      </c>
      <c r="B351" t="s">
        <v>363</v>
      </c>
      <c r="C351" t="str">
        <f>VLOOKUP(B351,'Master Anggota'!$E$2:$I$279,5,0)</f>
        <v>00576</v>
      </c>
      <c r="D351" s="108">
        <v>46078</v>
      </c>
      <c r="E351" s="56">
        <v>-1858333</v>
      </c>
      <c r="F351" t="s">
        <v>598</v>
      </c>
    </row>
    <row r="352" spans="1:6" x14ac:dyDescent="0.2">
      <c r="A352">
        <v>349</v>
      </c>
      <c r="B352" t="s">
        <v>467</v>
      </c>
      <c r="C352" t="str">
        <f>VLOOKUP(B352,'Master Anggota'!$E$2:$I$279,5,0)</f>
        <v>00577</v>
      </c>
      <c r="D352" s="108">
        <v>46078</v>
      </c>
      <c r="E352" s="56">
        <v>-1603333</v>
      </c>
      <c r="F352" t="s">
        <v>598</v>
      </c>
    </row>
    <row r="353" spans="1:6" x14ac:dyDescent="0.2">
      <c r="A353">
        <v>350</v>
      </c>
      <c r="B353" t="s">
        <v>364</v>
      </c>
      <c r="C353" t="str">
        <f>VLOOKUP(B353,'Master Anggota'!$E$2:$I$279,5,0)</f>
        <v>00578</v>
      </c>
      <c r="D353" s="108">
        <v>46078</v>
      </c>
      <c r="E353" s="56">
        <v>-983334</v>
      </c>
      <c r="F353" t="s">
        <v>598</v>
      </c>
    </row>
    <row r="354" spans="1:6" x14ac:dyDescent="0.2">
      <c r="A354">
        <v>351</v>
      </c>
      <c r="B354" t="s">
        <v>523</v>
      </c>
      <c r="C354" t="str">
        <f>VLOOKUP(B354,'Master Anggota'!$E$2:$I$279,5,0)</f>
        <v>00579</v>
      </c>
      <c r="D354" s="108">
        <v>46078</v>
      </c>
      <c r="E354" s="56">
        <v>-767000</v>
      </c>
      <c r="F354" t="s">
        <v>598</v>
      </c>
    </row>
    <row r="355" spans="1:6" x14ac:dyDescent="0.2">
      <c r="A355">
        <v>352</v>
      </c>
      <c r="B355" t="s">
        <v>173</v>
      </c>
      <c r="C355" t="str">
        <f>VLOOKUP(B355,'Master Anggota'!$E$2:$I$279,5,0)</f>
        <v>00583</v>
      </c>
      <c r="D355" s="108">
        <v>46078</v>
      </c>
      <c r="E355" s="56">
        <v>-1120000</v>
      </c>
      <c r="F355" t="s">
        <v>598</v>
      </c>
    </row>
    <row r="356" spans="1:6" x14ac:dyDescent="0.2">
      <c r="A356">
        <v>353</v>
      </c>
      <c r="B356" t="s">
        <v>172</v>
      </c>
      <c r="C356" t="str">
        <f>VLOOKUP(B356,'Master Anggota'!$E$2:$I$279,5,0)</f>
        <v>00584</v>
      </c>
      <c r="D356" s="108">
        <v>46078</v>
      </c>
      <c r="E356" s="56">
        <v>-2708333</v>
      </c>
      <c r="F356" t="s">
        <v>598</v>
      </c>
    </row>
    <row r="357" spans="1:6" x14ac:dyDescent="0.2">
      <c r="A357">
        <v>354</v>
      </c>
      <c r="B357" t="s">
        <v>300</v>
      </c>
      <c r="C357" t="str">
        <f>VLOOKUP(B357,'Master Anggota'!$E$2:$I$279,5,0)</f>
        <v>00585</v>
      </c>
      <c r="D357" s="108">
        <v>46078</v>
      </c>
      <c r="E357" s="56">
        <v>-600000</v>
      </c>
      <c r="F357" t="s">
        <v>598</v>
      </c>
    </row>
    <row r="358" spans="1:6" x14ac:dyDescent="0.2">
      <c r="A358">
        <v>355</v>
      </c>
      <c r="B358" t="s">
        <v>307</v>
      </c>
      <c r="C358" t="str">
        <f>VLOOKUP(B358,'Master Anggota'!$E$2:$I$279,5,0)</f>
        <v>00591</v>
      </c>
      <c r="D358" s="108">
        <v>46078</v>
      </c>
      <c r="E358" s="56">
        <v>-1858333</v>
      </c>
      <c r="F358" t="s">
        <v>598</v>
      </c>
    </row>
    <row r="359" spans="1:6" x14ac:dyDescent="0.2">
      <c r="A359">
        <v>356</v>
      </c>
      <c r="B359" t="s">
        <v>389</v>
      </c>
      <c r="C359" t="str">
        <f>VLOOKUP(B359,'Master Anggota'!$E$2:$I$279,5,0)</f>
        <v>00593</v>
      </c>
      <c r="D359" s="108">
        <v>46078</v>
      </c>
      <c r="E359" s="56">
        <v>-770000</v>
      </c>
      <c r="F359" t="s">
        <v>598</v>
      </c>
    </row>
    <row r="360" spans="1:6" x14ac:dyDescent="0.2">
      <c r="A360">
        <v>357</v>
      </c>
      <c r="B360" t="s">
        <v>188</v>
      </c>
      <c r="C360" t="str">
        <f>VLOOKUP(B360,'Master Anggota'!$E$2:$I$279,5,0)</f>
        <v>00596</v>
      </c>
      <c r="D360" s="108">
        <v>46078</v>
      </c>
      <c r="E360" s="56">
        <v>-1033333</v>
      </c>
      <c r="F360" t="s">
        <v>598</v>
      </c>
    </row>
    <row r="361" spans="1:6" x14ac:dyDescent="0.2">
      <c r="A361">
        <v>358</v>
      </c>
      <c r="B361" t="s">
        <v>325</v>
      </c>
      <c r="C361" t="str">
        <f>VLOOKUP(B361,'Master Anggota'!$E$2:$I$279,5,0)</f>
        <v>00607</v>
      </c>
      <c r="D361" s="108">
        <v>46078</v>
      </c>
      <c r="E361" s="56">
        <v>-775000</v>
      </c>
      <c r="F361" t="s">
        <v>598</v>
      </c>
    </row>
    <row r="362" spans="1:6" x14ac:dyDescent="0.2">
      <c r="A362">
        <v>359</v>
      </c>
      <c r="B362" t="s">
        <v>326</v>
      </c>
      <c r="C362" t="str">
        <f>VLOOKUP(B362,'Master Anggota'!$E$2:$I$279,5,0)</f>
        <v>00608</v>
      </c>
      <c r="D362" s="108">
        <v>46078</v>
      </c>
      <c r="E362" s="56">
        <v>-671667</v>
      </c>
      <c r="F362" t="s">
        <v>598</v>
      </c>
    </row>
    <row r="363" spans="1:6" x14ac:dyDescent="0.2">
      <c r="A363">
        <v>360</v>
      </c>
      <c r="B363" t="s">
        <v>519</v>
      </c>
      <c r="C363" t="str">
        <f>VLOOKUP(B363,'Master Anggota'!$E$2:$I$279,5,0)</f>
        <v>00611</v>
      </c>
      <c r="D363" s="108">
        <v>46078</v>
      </c>
      <c r="E363" s="56">
        <v>-1213333</v>
      </c>
      <c r="F363" t="s">
        <v>598</v>
      </c>
    </row>
    <row r="364" spans="1:6" x14ac:dyDescent="0.2">
      <c r="A364">
        <v>361</v>
      </c>
      <c r="B364" t="s">
        <v>400</v>
      </c>
      <c r="C364" t="str">
        <f>VLOOKUP(B364,'Master Anggota'!$E$2:$I$279,5,0)</f>
        <v>00614</v>
      </c>
      <c r="D364" s="108">
        <v>46078</v>
      </c>
      <c r="E364" s="56">
        <v>-723333</v>
      </c>
      <c r="F364" t="s">
        <v>598</v>
      </c>
    </row>
    <row r="365" spans="1:6" x14ac:dyDescent="0.2">
      <c r="A365">
        <v>362</v>
      </c>
      <c r="B365" t="s">
        <v>324</v>
      </c>
      <c r="C365" t="str">
        <f>VLOOKUP(B365,'Master Anggota'!$E$2:$I$279,5,0)</f>
        <v>00626</v>
      </c>
      <c r="D365" s="108">
        <v>46078</v>
      </c>
      <c r="E365" s="56">
        <v>-1500000</v>
      </c>
      <c r="F365" t="s">
        <v>598</v>
      </c>
    </row>
    <row r="366" spans="1:6" x14ac:dyDescent="0.2">
      <c r="A366">
        <v>363</v>
      </c>
      <c r="B366" t="s">
        <v>358</v>
      </c>
      <c r="C366" t="str">
        <f>VLOOKUP(B366,'Master Anggota'!$E$2:$I$279,5,0)</f>
        <v>01530</v>
      </c>
      <c r="D366" s="108">
        <v>46078</v>
      </c>
      <c r="E366" s="56">
        <v>-1760000</v>
      </c>
      <c r="F366" t="s">
        <v>598</v>
      </c>
    </row>
    <row r="367" spans="1:6" x14ac:dyDescent="0.2">
      <c r="A367">
        <v>364</v>
      </c>
      <c r="B367" t="s">
        <v>289</v>
      </c>
      <c r="C367" t="str">
        <f>VLOOKUP(B367,'Master Anggota'!$E$2:$I$279,5,0)</f>
        <v>01511</v>
      </c>
      <c r="D367" s="108">
        <v>46078</v>
      </c>
      <c r="E367" s="56">
        <v>-1680000</v>
      </c>
      <c r="F367" t="s">
        <v>598</v>
      </c>
    </row>
    <row r="368" spans="1:6" x14ac:dyDescent="0.2">
      <c r="A368">
        <v>365</v>
      </c>
      <c r="B368" t="s">
        <v>482</v>
      </c>
      <c r="C368" t="str">
        <f>VLOOKUP(B368,'Master Anggota'!$E$2:$I$279,5,0)</f>
        <v>01561</v>
      </c>
      <c r="D368" s="108">
        <v>46078</v>
      </c>
      <c r="E368" s="56">
        <v>-1430000</v>
      </c>
      <c r="F368" t="s">
        <v>598</v>
      </c>
    </row>
    <row r="369" spans="1:8" x14ac:dyDescent="0.2">
      <c r="A369">
        <v>366</v>
      </c>
      <c r="B369" t="s">
        <v>311</v>
      </c>
      <c r="C369" t="str">
        <f>VLOOKUP(B369,'Master Anggota'!$E$2:$I$279,5,0)</f>
        <v>01602</v>
      </c>
      <c r="D369" s="108">
        <v>46078</v>
      </c>
      <c r="E369" s="56">
        <v>-550000</v>
      </c>
      <c r="F369" t="s">
        <v>598</v>
      </c>
    </row>
    <row r="370" spans="1:8" x14ac:dyDescent="0.2">
      <c r="A370">
        <v>367</v>
      </c>
      <c r="B370" t="s">
        <v>318</v>
      </c>
      <c r="C370" t="str">
        <f>VLOOKUP(B370,'Master Anggota'!$E$2:$I$279,5,0)</f>
        <v>01651</v>
      </c>
      <c r="D370" s="108">
        <v>46078</v>
      </c>
      <c r="E370" s="56">
        <v>-330000</v>
      </c>
      <c r="F370" t="s">
        <v>598</v>
      </c>
    </row>
    <row r="371" spans="1:8" x14ac:dyDescent="0.2">
      <c r="A371">
        <v>368</v>
      </c>
      <c r="B371" t="s">
        <v>491</v>
      </c>
      <c r="C371" t="str">
        <f>VLOOKUP(B371,'Master Anggota'!$E$2:$I$279,5,0)</f>
        <v>01720</v>
      </c>
      <c r="D371" s="108">
        <v>46078</v>
      </c>
      <c r="E371" s="56">
        <v>-1195000</v>
      </c>
      <c r="F371" t="s">
        <v>598</v>
      </c>
    </row>
    <row r="372" spans="1:8" x14ac:dyDescent="0.2">
      <c r="A372">
        <v>369</v>
      </c>
      <c r="B372" t="s">
        <v>492</v>
      </c>
      <c r="C372" t="str">
        <f>VLOOKUP(B372,'Master Anggota'!$E$2:$I$279,5,0)</f>
        <v>01728</v>
      </c>
      <c r="D372" s="108">
        <v>46078</v>
      </c>
      <c r="E372" s="56">
        <v>-611426</v>
      </c>
      <c r="F372" t="s">
        <v>598</v>
      </c>
    </row>
    <row r="373" spans="1:8" x14ac:dyDescent="0.2">
      <c r="A373">
        <v>370</v>
      </c>
      <c r="B373" t="s">
        <v>495</v>
      </c>
      <c r="C373" t="str">
        <f>VLOOKUP(B373,'Master Anggota'!$E$2:$I$279,5,0)</f>
        <v>01754</v>
      </c>
      <c r="D373" s="108">
        <v>46078</v>
      </c>
      <c r="E373" s="56">
        <v>-1100000</v>
      </c>
      <c r="F373" t="s">
        <v>598</v>
      </c>
    </row>
    <row r="374" spans="1:8" x14ac:dyDescent="0.2">
      <c r="A374">
        <v>371</v>
      </c>
      <c r="B374" t="s">
        <v>304</v>
      </c>
      <c r="C374" t="str">
        <f>VLOOKUP(B374,'Master Anggota'!$E$2:$I$279,5,0)</f>
        <v>01541</v>
      </c>
      <c r="D374" s="108">
        <v>46078</v>
      </c>
      <c r="E374" s="56">
        <v>-1513636</v>
      </c>
      <c r="F374" t="s">
        <v>598</v>
      </c>
    </row>
    <row r="375" spans="1:8" x14ac:dyDescent="0.2">
      <c r="A375">
        <v>372</v>
      </c>
      <c r="B375" t="s">
        <v>319</v>
      </c>
      <c r="C375" t="str">
        <f>VLOOKUP(B375,'Master Anggota'!$E$2:$I$279,5,0)</f>
        <v>01302</v>
      </c>
      <c r="D375" s="108">
        <v>46078</v>
      </c>
      <c r="E375" s="56">
        <v>-2200000</v>
      </c>
      <c r="F375" t="s">
        <v>598</v>
      </c>
    </row>
    <row r="376" spans="1:8" x14ac:dyDescent="0.2">
      <c r="A376">
        <v>373</v>
      </c>
      <c r="B376" t="s">
        <v>497</v>
      </c>
      <c r="C376" t="str">
        <f>VLOOKUP(B376,'Master Anggota'!$E$2:$I$279,5,0)</f>
        <v>01719</v>
      </c>
      <c r="D376" s="108">
        <v>46078</v>
      </c>
      <c r="E376" s="56">
        <v>-735000</v>
      </c>
      <c r="F376" t="s">
        <v>598</v>
      </c>
    </row>
    <row r="377" spans="1:8" x14ac:dyDescent="0.2">
      <c r="A377">
        <v>374</v>
      </c>
      <c r="B377" t="s">
        <v>439</v>
      </c>
      <c r="C377" t="str">
        <f>VLOOKUP(B377,'Master Anggota'!$E$2:$I$279,5,0)</f>
        <v>01730</v>
      </c>
      <c r="D377" s="108">
        <v>46078</v>
      </c>
      <c r="E377" s="56">
        <v>-706667</v>
      </c>
      <c r="F377" t="s">
        <v>598</v>
      </c>
    </row>
    <row r="378" spans="1:8" x14ac:dyDescent="0.2">
      <c r="A378">
        <v>375</v>
      </c>
      <c r="B378" t="s">
        <v>316</v>
      </c>
      <c r="C378" t="str">
        <f>VLOOKUP(B378,'Master Anggota'!$E$2:$I$279,5,0)</f>
        <v>01544</v>
      </c>
      <c r="D378" s="108">
        <v>46078</v>
      </c>
      <c r="E378" s="56">
        <v>-1430000</v>
      </c>
      <c r="F378" t="s">
        <v>598</v>
      </c>
    </row>
    <row r="379" spans="1:8" x14ac:dyDescent="0.2">
      <c r="A379">
        <v>376</v>
      </c>
      <c r="B379" t="s">
        <v>294</v>
      </c>
      <c r="C379" t="str">
        <f>VLOOKUP(B379,'Master Anggota'!$E$2:$I$279,5,0)</f>
        <v>PHL</v>
      </c>
      <c r="D379" s="108">
        <v>46078</v>
      </c>
      <c r="E379" s="56">
        <v>-1400000</v>
      </c>
      <c r="F379" t="s">
        <v>598</v>
      </c>
    </row>
    <row r="380" spans="1:8" x14ac:dyDescent="0.2">
      <c r="A380">
        <v>377</v>
      </c>
      <c r="B380" t="s">
        <v>295</v>
      </c>
      <c r="C380" t="str">
        <f>VLOOKUP(B380,'Master Anggota'!$E$2:$I$279,5,0)</f>
        <v>PHL</v>
      </c>
      <c r="D380" s="108">
        <v>46078</v>
      </c>
      <c r="E380" s="56">
        <v>-770000</v>
      </c>
      <c r="F380" t="s">
        <v>598</v>
      </c>
    </row>
    <row r="381" spans="1:8" x14ac:dyDescent="0.2">
      <c r="A381">
        <v>378</v>
      </c>
      <c r="B381" t="s">
        <v>278</v>
      </c>
      <c r="C381" t="str">
        <f>VLOOKUP(B381,'Master Anggota'!$E$2:$I$279,5,0)</f>
        <v>PHL</v>
      </c>
      <c r="D381" s="108">
        <v>46078</v>
      </c>
      <c r="E381" s="56">
        <v>-2522727</v>
      </c>
      <c r="F381" t="s">
        <v>598</v>
      </c>
    </row>
    <row r="382" spans="1:8" x14ac:dyDescent="0.2">
      <c r="A382">
        <v>379</v>
      </c>
      <c r="B382" t="s">
        <v>527</v>
      </c>
      <c r="C382" t="str">
        <f>VLOOKUP(B382,'Master Anggota'!$E$2:$I$279,5,0)</f>
        <v>PHL</v>
      </c>
      <c r="D382" s="108">
        <v>46078</v>
      </c>
      <c r="E382" s="56">
        <v>-330000</v>
      </c>
      <c r="F382" t="s">
        <v>598</v>
      </c>
    </row>
    <row r="383" spans="1:8" x14ac:dyDescent="0.2">
      <c r="A383">
        <v>380</v>
      </c>
      <c r="B383" t="s">
        <v>245</v>
      </c>
      <c r="C383" t="str">
        <f>VLOOKUP(B383,'Master Anggota'!$E$2:$I$279,5,0)</f>
        <v>00532</v>
      </c>
      <c r="D383" s="108">
        <v>46078</v>
      </c>
      <c r="E383" s="56">
        <v>4108333</v>
      </c>
      <c r="F383" t="s">
        <v>598</v>
      </c>
      <c r="H383" t="s">
        <v>639</v>
      </c>
    </row>
    <row r="384" spans="1:8" x14ac:dyDescent="0.2">
      <c r="A384">
        <v>381</v>
      </c>
      <c r="B384" t="s">
        <v>519</v>
      </c>
      <c r="C384" t="str">
        <f>VLOOKUP(B384,'Master Anggota'!$E$2:$I$279,5,0)</f>
        <v>00611</v>
      </c>
      <c r="D384" s="108">
        <v>46079</v>
      </c>
      <c r="E384" s="56">
        <v>1120000</v>
      </c>
      <c r="F384" t="s">
        <v>598</v>
      </c>
      <c r="H384" t="s">
        <v>721</v>
      </c>
    </row>
    <row r="385" spans="1:11" x14ac:dyDescent="0.2">
      <c r="A385">
        <v>382</v>
      </c>
      <c r="B385" t="s">
        <v>214</v>
      </c>
      <c r="C385" t="str">
        <f>VLOOKUP(B385,'Master Anggota'!$E$2:$I$279,5,0)</f>
        <v>00529</v>
      </c>
      <c r="D385" s="108">
        <v>46071</v>
      </c>
      <c r="E385" s="82">
        <v>2625000</v>
      </c>
      <c r="F385" t="s">
        <v>616</v>
      </c>
      <c r="H385" s="60"/>
    </row>
    <row r="386" spans="1:11" x14ac:dyDescent="0.2">
      <c r="A386">
        <v>383</v>
      </c>
      <c r="B386" t="s">
        <v>214</v>
      </c>
      <c r="C386" t="str">
        <f>VLOOKUP(B386,'Master Anggota'!$E$2:$I$279,5,0)</f>
        <v>00529</v>
      </c>
      <c r="D386" s="108">
        <v>46071</v>
      </c>
      <c r="E386" s="82">
        <v>-12146672</v>
      </c>
      <c r="F386" t="s">
        <v>598</v>
      </c>
      <c r="H386" t="s">
        <v>642</v>
      </c>
    </row>
    <row r="387" spans="1:11" x14ac:dyDescent="0.2">
      <c r="A387">
        <v>384</v>
      </c>
      <c r="B387" t="s">
        <v>370</v>
      </c>
      <c r="C387" t="str">
        <f>VLOOKUP(B387,'Master Anggota'!$E$2:$I$279,5,0)</f>
        <v>00610</v>
      </c>
      <c r="D387" s="108">
        <v>46072</v>
      </c>
      <c r="E387" s="82">
        <v>2400000</v>
      </c>
      <c r="F387" t="s">
        <v>616</v>
      </c>
    </row>
    <row r="388" spans="1:11" x14ac:dyDescent="0.2">
      <c r="A388">
        <v>385</v>
      </c>
      <c r="B388" t="s">
        <v>225</v>
      </c>
      <c r="C388" t="str">
        <f>VLOOKUP(B388,'Master Anggota'!$E$2:$I$279,5,0)</f>
        <v>00531</v>
      </c>
      <c r="D388" s="108">
        <v>46071</v>
      </c>
      <c r="E388" s="82">
        <v>400000</v>
      </c>
      <c r="F388" t="s">
        <v>616</v>
      </c>
    </row>
    <row r="389" spans="1:11" x14ac:dyDescent="0.2">
      <c r="A389">
        <v>386</v>
      </c>
      <c r="B389" t="s">
        <v>530</v>
      </c>
      <c r="C389" t="str">
        <f>VLOOKUP(B389,'Master Anggota'!$E$2:$I$279,5,0)</f>
        <v>Nasabah</v>
      </c>
      <c r="D389" s="108">
        <v>46064</v>
      </c>
      <c r="E389" s="56">
        <v>-440000</v>
      </c>
      <c r="F389" t="s">
        <v>598</v>
      </c>
    </row>
    <row r="390" spans="1:11" x14ac:dyDescent="0.2">
      <c r="A390">
        <v>387</v>
      </c>
      <c r="B390" t="s">
        <v>533</v>
      </c>
      <c r="C390" t="str">
        <f>VLOOKUP(B390,'Master Anggota'!$E$2:$I$279,5,0)</f>
        <v>Nasabah</v>
      </c>
      <c r="D390" s="108">
        <v>46064</v>
      </c>
      <c r="E390" s="82">
        <v>-1867000</v>
      </c>
      <c r="F390" t="s">
        <v>598</v>
      </c>
    </row>
    <row r="391" spans="1:11" x14ac:dyDescent="0.2">
      <c r="A391">
        <v>388</v>
      </c>
      <c r="B391" t="s">
        <v>530</v>
      </c>
      <c r="C391" t="str">
        <f>VLOOKUP(B391,'Master Anggota'!$E$2:$I$279,5,0)</f>
        <v>Nasabah</v>
      </c>
      <c r="D391" s="108">
        <v>46093</v>
      </c>
      <c r="E391" s="82">
        <v>-2640000</v>
      </c>
      <c r="F391" t="s">
        <v>598</v>
      </c>
      <c r="H391" t="s">
        <v>630</v>
      </c>
      <c r="K391" s="82"/>
    </row>
    <row r="392" spans="1:11" x14ac:dyDescent="0.2">
      <c r="A392">
        <v>389</v>
      </c>
      <c r="B392" t="s">
        <v>254</v>
      </c>
      <c r="C392" t="str">
        <f>VLOOKUP(B392,'Master Anggota'!$E$2:$I$279,5,0)</f>
        <v>00288</v>
      </c>
      <c r="D392" s="108">
        <v>46106</v>
      </c>
      <c r="E392" s="56">
        <v>-1500000</v>
      </c>
      <c r="F392" t="s">
        <v>598</v>
      </c>
    </row>
    <row r="393" spans="1:11" x14ac:dyDescent="0.2">
      <c r="A393">
        <v>390</v>
      </c>
      <c r="B393" t="s">
        <v>135</v>
      </c>
      <c r="C393" t="str">
        <f>VLOOKUP(B393,'Master Anggota'!$E$2:$I$279,5,0)</f>
        <v>00293</v>
      </c>
      <c r="D393" s="108">
        <v>46106</v>
      </c>
      <c r="E393" s="56">
        <v>-3808333</v>
      </c>
      <c r="F393" t="s">
        <v>598</v>
      </c>
    </row>
    <row r="394" spans="1:11" x14ac:dyDescent="0.2">
      <c r="A394">
        <v>391</v>
      </c>
      <c r="B394" t="s">
        <v>248</v>
      </c>
      <c r="C394" t="str">
        <f>VLOOKUP(B394,'Master Anggota'!$E$2:$I$279,5,0)</f>
        <v>00302</v>
      </c>
      <c r="D394" s="108">
        <v>46106</v>
      </c>
      <c r="E394" s="56">
        <v>-3841667</v>
      </c>
      <c r="F394" t="s">
        <v>598</v>
      </c>
    </row>
    <row r="395" spans="1:11" x14ac:dyDescent="0.2">
      <c r="A395">
        <v>392</v>
      </c>
      <c r="B395" t="s">
        <v>335</v>
      </c>
      <c r="C395" t="str">
        <f>VLOOKUP(B395,'Master Anggota'!$E$2:$I$279,5,0)</f>
        <v>00311</v>
      </c>
      <c r="D395" s="108">
        <v>46106</v>
      </c>
      <c r="E395" s="56">
        <v>-3958333</v>
      </c>
      <c r="F395" t="s">
        <v>598</v>
      </c>
    </row>
    <row r="396" spans="1:11" x14ac:dyDescent="0.2">
      <c r="A396">
        <v>393</v>
      </c>
      <c r="B396" t="s">
        <v>113</v>
      </c>
      <c r="C396" t="str">
        <f>VLOOKUP(B396,'Master Anggota'!$E$2:$I$279,5,0)</f>
        <v>00317</v>
      </c>
      <c r="D396" s="108">
        <v>46106</v>
      </c>
      <c r="E396" s="56">
        <v>-2900000</v>
      </c>
      <c r="F396" t="s">
        <v>598</v>
      </c>
    </row>
    <row r="397" spans="1:11" x14ac:dyDescent="0.2">
      <c r="A397">
        <v>394</v>
      </c>
      <c r="B397" t="s">
        <v>198</v>
      </c>
      <c r="C397" t="str">
        <f>VLOOKUP(B397,'Master Anggota'!$E$2:$I$279,5,0)</f>
        <v>00327</v>
      </c>
      <c r="D397" s="108">
        <v>46106</v>
      </c>
      <c r="E397" s="56">
        <v>-6424608</v>
      </c>
      <c r="F397" t="s">
        <v>598</v>
      </c>
    </row>
    <row r="398" spans="1:11" x14ac:dyDescent="0.2">
      <c r="A398">
        <v>395</v>
      </c>
      <c r="B398" t="s">
        <v>208</v>
      </c>
      <c r="C398" t="str">
        <f>VLOOKUP(B398,'Master Anggota'!$E$2:$I$279,5,0)</f>
        <v>00328</v>
      </c>
      <c r="D398" s="108">
        <v>46106</v>
      </c>
      <c r="E398" s="56">
        <v>-3275000</v>
      </c>
      <c r="F398" t="s">
        <v>598</v>
      </c>
    </row>
    <row r="399" spans="1:11" x14ac:dyDescent="0.2">
      <c r="A399">
        <v>396</v>
      </c>
      <c r="B399" t="s">
        <v>341</v>
      </c>
      <c r="C399" t="str">
        <f>VLOOKUP(B399,'Master Anggota'!$E$2:$I$279,5,0)</f>
        <v>00339</v>
      </c>
      <c r="D399" s="108">
        <v>46106</v>
      </c>
      <c r="E399" s="56">
        <v>-2325000</v>
      </c>
      <c r="F399" t="s">
        <v>598</v>
      </c>
    </row>
    <row r="400" spans="1:11" x14ac:dyDescent="0.2">
      <c r="A400">
        <v>397</v>
      </c>
      <c r="B400" t="s">
        <v>129</v>
      </c>
      <c r="C400" t="str">
        <f>VLOOKUP(B400,'Master Anggota'!$E$2:$I$279,5,0)</f>
        <v>00343</v>
      </c>
      <c r="D400" s="108">
        <v>46106</v>
      </c>
      <c r="E400" s="56">
        <v>-3105000</v>
      </c>
      <c r="F400" t="s">
        <v>598</v>
      </c>
    </row>
    <row r="401" spans="1:6" x14ac:dyDescent="0.2">
      <c r="A401">
        <v>398</v>
      </c>
      <c r="B401" t="s">
        <v>480</v>
      </c>
      <c r="C401" t="str">
        <f>VLOOKUP(B401,'Master Anggota'!$E$2:$I$279,5,0)</f>
        <v>00351</v>
      </c>
      <c r="D401" s="108">
        <v>46106</v>
      </c>
      <c r="E401" s="56">
        <v>-2325000</v>
      </c>
      <c r="F401" t="s">
        <v>598</v>
      </c>
    </row>
    <row r="402" spans="1:6" x14ac:dyDescent="0.2">
      <c r="A402">
        <v>399</v>
      </c>
      <c r="B402" t="s">
        <v>151</v>
      </c>
      <c r="C402" t="str">
        <f>VLOOKUP(B402,'Master Anggota'!$E$2:$I$279,5,0)</f>
        <v>00362</v>
      </c>
      <c r="D402" s="108">
        <v>46106</v>
      </c>
      <c r="E402" s="56">
        <v>-3842333</v>
      </c>
      <c r="F402" t="s">
        <v>598</v>
      </c>
    </row>
    <row r="403" spans="1:6" x14ac:dyDescent="0.2">
      <c r="A403">
        <v>400</v>
      </c>
      <c r="B403" t="s">
        <v>90</v>
      </c>
      <c r="C403" t="str">
        <f>VLOOKUP(B403,'Master Anggota'!$E$2:$I$279,5,0)</f>
        <v>00363</v>
      </c>
      <c r="D403" s="108">
        <v>46106</v>
      </c>
      <c r="E403" s="56">
        <v>-3450000</v>
      </c>
      <c r="F403" t="s">
        <v>598</v>
      </c>
    </row>
    <row r="404" spans="1:6" x14ac:dyDescent="0.2">
      <c r="A404">
        <v>401</v>
      </c>
      <c r="B404" t="s">
        <v>483</v>
      </c>
      <c r="C404" t="str">
        <f>VLOOKUP(B404,'Master Anggota'!$E$2:$I$279,5,0)</f>
        <v>00368</v>
      </c>
      <c r="D404" s="108">
        <v>46106</v>
      </c>
      <c r="E404" s="56">
        <v>-3275000</v>
      </c>
      <c r="F404" t="s">
        <v>598</v>
      </c>
    </row>
    <row r="405" spans="1:6" x14ac:dyDescent="0.2">
      <c r="A405">
        <v>402</v>
      </c>
      <c r="B405" t="s">
        <v>328</v>
      </c>
      <c r="C405" t="str">
        <f>VLOOKUP(B405,'Master Anggota'!$E$2:$I$279,5,0)</f>
        <v>00369</v>
      </c>
      <c r="D405" s="108">
        <v>46106</v>
      </c>
      <c r="E405" s="56">
        <v>-1812500</v>
      </c>
      <c r="F405" t="s">
        <v>598</v>
      </c>
    </row>
    <row r="406" spans="1:6" x14ac:dyDescent="0.2">
      <c r="A406">
        <v>403</v>
      </c>
      <c r="B406" t="s">
        <v>481</v>
      </c>
      <c r="C406" t="str">
        <f>VLOOKUP(B406,'Master Anggota'!$E$2:$I$279,5,0)</f>
        <v>00371</v>
      </c>
      <c r="D406" s="108">
        <v>46106</v>
      </c>
      <c r="E406" s="56">
        <v>-3955000</v>
      </c>
      <c r="F406" t="s">
        <v>598</v>
      </c>
    </row>
    <row r="407" spans="1:6" x14ac:dyDescent="0.2">
      <c r="A407">
        <v>404</v>
      </c>
      <c r="B407" t="s">
        <v>521</v>
      </c>
      <c r="C407" t="str">
        <f>VLOOKUP(B407,'Master Anggota'!$E$2:$I$279,5,0)</f>
        <v>00376</v>
      </c>
      <c r="D407" s="108">
        <v>46106</v>
      </c>
      <c r="E407" s="56">
        <v>-3558333</v>
      </c>
      <c r="F407" t="s">
        <v>598</v>
      </c>
    </row>
    <row r="408" spans="1:6" x14ac:dyDescent="0.2">
      <c r="A408">
        <v>405</v>
      </c>
      <c r="B408" t="s">
        <v>94</v>
      </c>
      <c r="C408" t="str">
        <f>VLOOKUP(B408,'Master Anggota'!$E$2:$I$279,5,0)</f>
        <v>00387</v>
      </c>
      <c r="D408" s="108">
        <v>46106</v>
      </c>
      <c r="E408" s="56">
        <v>-1741112</v>
      </c>
      <c r="F408" t="s">
        <v>598</v>
      </c>
    </row>
    <row r="409" spans="1:6" x14ac:dyDescent="0.2">
      <c r="A409">
        <v>406</v>
      </c>
      <c r="B409" t="s">
        <v>258</v>
      </c>
      <c r="C409" t="str">
        <f>VLOOKUP(B409,'Master Anggota'!$E$2:$I$279,5,0)</f>
        <v>00390</v>
      </c>
      <c r="D409" s="108">
        <v>46106</v>
      </c>
      <c r="E409" s="56">
        <v>-1866667</v>
      </c>
      <c r="F409" t="s">
        <v>598</v>
      </c>
    </row>
    <row r="410" spans="1:6" x14ac:dyDescent="0.2">
      <c r="A410">
        <v>407</v>
      </c>
      <c r="B410" t="s">
        <v>92</v>
      </c>
      <c r="C410" t="str">
        <f>VLOOKUP(B410,'Master Anggota'!$E$2:$I$279,5,0)</f>
        <v>00396</v>
      </c>
      <c r="D410" s="108">
        <v>46106</v>
      </c>
      <c r="E410" s="56">
        <v>-4475000</v>
      </c>
      <c r="F410" t="s">
        <v>598</v>
      </c>
    </row>
    <row r="411" spans="1:6" x14ac:dyDescent="0.2">
      <c r="A411">
        <v>408</v>
      </c>
      <c r="B411" t="s">
        <v>103</v>
      </c>
      <c r="C411" t="str">
        <f>VLOOKUP(B411,'Master Anggota'!$E$2:$I$279,5,0)</f>
        <v>00401</v>
      </c>
      <c r="D411" s="108">
        <v>46106</v>
      </c>
      <c r="E411" s="56">
        <v>-2120000</v>
      </c>
      <c r="F411" t="s">
        <v>598</v>
      </c>
    </row>
    <row r="412" spans="1:6" x14ac:dyDescent="0.2">
      <c r="A412">
        <v>409</v>
      </c>
      <c r="B412" t="s">
        <v>65</v>
      </c>
      <c r="C412" t="str">
        <f>VLOOKUP(B412,'Master Anggota'!$E$2:$I$279,5,0)</f>
        <v>00490</v>
      </c>
      <c r="D412" s="108">
        <v>46106</v>
      </c>
      <c r="E412" s="56">
        <v>-2750000</v>
      </c>
      <c r="F412" t="s">
        <v>598</v>
      </c>
    </row>
    <row r="413" spans="1:6" x14ac:dyDescent="0.2">
      <c r="A413">
        <v>410</v>
      </c>
      <c r="B413" t="s">
        <v>115</v>
      </c>
      <c r="C413" t="str">
        <f>VLOOKUP(B413,'Master Anggota'!$E$2:$I$279,5,0)</f>
        <v>00497</v>
      </c>
      <c r="D413" s="108">
        <v>46106</v>
      </c>
      <c r="E413" s="56">
        <v>-1400000</v>
      </c>
      <c r="F413" t="s">
        <v>598</v>
      </c>
    </row>
    <row r="414" spans="1:6" x14ac:dyDescent="0.2">
      <c r="A414">
        <v>411</v>
      </c>
      <c r="B414" t="s">
        <v>194</v>
      </c>
      <c r="C414" t="str">
        <f>VLOOKUP(B414,'Master Anggota'!$E$2:$I$279,5,0)</f>
        <v>00498</v>
      </c>
      <c r="D414" s="108">
        <v>46106</v>
      </c>
      <c r="E414" s="56">
        <v>-5920000</v>
      </c>
      <c r="F414" t="s">
        <v>598</v>
      </c>
    </row>
    <row r="415" spans="1:6" x14ac:dyDescent="0.2">
      <c r="A415">
        <v>412</v>
      </c>
      <c r="B415" t="s">
        <v>155</v>
      </c>
      <c r="C415" t="str">
        <f>VLOOKUP(B415,'Master Anggota'!$E$2:$I$279,5,0)</f>
        <v>00499</v>
      </c>
      <c r="D415" s="108">
        <v>46106</v>
      </c>
      <c r="E415" s="56">
        <v>-1291667</v>
      </c>
      <c r="F415" t="s">
        <v>598</v>
      </c>
    </row>
    <row r="416" spans="1:6" x14ac:dyDescent="0.2">
      <c r="A416">
        <v>413</v>
      </c>
      <c r="B416" t="s">
        <v>96</v>
      </c>
      <c r="C416" t="str">
        <f>VLOOKUP(B416,'Master Anggota'!$E$2:$I$279,5,0)</f>
        <v>00508</v>
      </c>
      <c r="D416" s="108">
        <v>46106</v>
      </c>
      <c r="E416" s="56">
        <v>-2708333</v>
      </c>
      <c r="F416" t="s">
        <v>598</v>
      </c>
    </row>
    <row r="417" spans="1:6" x14ac:dyDescent="0.2">
      <c r="A417">
        <v>414</v>
      </c>
      <c r="B417" t="s">
        <v>270</v>
      </c>
      <c r="C417" t="str">
        <f>VLOOKUP(B417,'Master Anggota'!$E$2:$I$279,5,0)</f>
        <v>00509</v>
      </c>
      <c r="D417" s="108">
        <v>46106</v>
      </c>
      <c r="E417" s="56">
        <v>-653333</v>
      </c>
      <c r="F417" t="s">
        <v>598</v>
      </c>
    </row>
    <row r="418" spans="1:6" x14ac:dyDescent="0.2">
      <c r="A418">
        <v>415</v>
      </c>
      <c r="B418" t="s">
        <v>202</v>
      </c>
      <c r="C418" t="str">
        <f>VLOOKUP(B418,'Master Anggota'!$E$2:$I$279,5,0)</f>
        <v>00512</v>
      </c>
      <c r="D418" s="108">
        <v>46106</v>
      </c>
      <c r="E418" s="56">
        <v>-1033333</v>
      </c>
      <c r="F418" t="s">
        <v>598</v>
      </c>
    </row>
    <row r="419" spans="1:6" x14ac:dyDescent="0.2">
      <c r="A419">
        <v>416</v>
      </c>
      <c r="B419" t="s">
        <v>239</v>
      </c>
      <c r="C419" t="str">
        <f>VLOOKUP(B419,'Master Anggota'!$E$2:$I$279,5,0)</f>
        <v>00513</v>
      </c>
      <c r="D419" s="108">
        <v>46106</v>
      </c>
      <c r="E419" s="56">
        <v>-2708333</v>
      </c>
      <c r="F419" t="s">
        <v>598</v>
      </c>
    </row>
    <row r="420" spans="1:6" x14ac:dyDescent="0.2">
      <c r="A420">
        <v>417</v>
      </c>
      <c r="B420" t="s">
        <v>223</v>
      </c>
      <c r="C420" t="str">
        <f>VLOOKUP(B420,'Master Anggota'!$E$2:$I$279,5,0)</f>
        <v>00514</v>
      </c>
      <c r="D420" s="108">
        <v>46106</v>
      </c>
      <c r="E420" s="56">
        <v>-933334</v>
      </c>
      <c r="F420" t="s">
        <v>598</v>
      </c>
    </row>
    <row r="421" spans="1:6" x14ac:dyDescent="0.2">
      <c r="A421">
        <v>418</v>
      </c>
      <c r="B421" t="s">
        <v>274</v>
      </c>
      <c r="C421" t="str">
        <f>VLOOKUP(B421,'Master Anggota'!$E$2:$I$279,5,0)</f>
        <v>00515</v>
      </c>
      <c r="D421" s="108">
        <v>46106</v>
      </c>
      <c r="E421" s="56">
        <v>-1825000</v>
      </c>
      <c r="F421" t="s">
        <v>598</v>
      </c>
    </row>
    <row r="422" spans="1:6" x14ac:dyDescent="0.2">
      <c r="A422">
        <v>419</v>
      </c>
      <c r="B422" t="s">
        <v>233</v>
      </c>
      <c r="C422" t="str">
        <f>VLOOKUP(B422,'Master Anggota'!$E$2:$I$279,5,0)</f>
        <v>00516</v>
      </c>
      <c r="D422" s="108">
        <v>46106</v>
      </c>
      <c r="E422" s="56">
        <v>-383333</v>
      </c>
      <c r="F422" t="s">
        <v>598</v>
      </c>
    </row>
    <row r="423" spans="1:6" x14ac:dyDescent="0.2">
      <c r="A423">
        <v>420</v>
      </c>
      <c r="B423" t="s">
        <v>200</v>
      </c>
      <c r="C423" t="str">
        <f>VLOOKUP(B423,'Master Anggota'!$E$2:$I$279,5,0)</f>
        <v>00520</v>
      </c>
      <c r="D423" s="108">
        <v>46106</v>
      </c>
      <c r="E423" s="56">
        <v>-1650000</v>
      </c>
      <c r="F423" t="s">
        <v>598</v>
      </c>
    </row>
    <row r="424" spans="1:6" x14ac:dyDescent="0.2">
      <c r="A424">
        <v>421</v>
      </c>
      <c r="B424" t="s">
        <v>107</v>
      </c>
      <c r="C424" t="str">
        <f>VLOOKUP(B424,'Master Anggota'!$E$2:$I$279,5,0)</f>
        <v>00521</v>
      </c>
      <c r="D424" s="108">
        <v>46106</v>
      </c>
      <c r="E424" s="56">
        <v>-4791667</v>
      </c>
      <c r="F424" t="s">
        <v>598</v>
      </c>
    </row>
    <row r="425" spans="1:6" x14ac:dyDescent="0.2">
      <c r="A425">
        <v>422</v>
      </c>
      <c r="B425" t="s">
        <v>235</v>
      </c>
      <c r="C425" t="str">
        <f>VLOOKUP(B425,'Master Anggota'!$E$2:$I$279,5,0)</f>
        <v>00523</v>
      </c>
      <c r="D425" s="108">
        <v>46106</v>
      </c>
      <c r="E425" s="56">
        <v>-2333333</v>
      </c>
      <c r="F425" t="s">
        <v>598</v>
      </c>
    </row>
    <row r="426" spans="1:6" x14ac:dyDescent="0.2">
      <c r="A426">
        <v>423</v>
      </c>
      <c r="B426" t="s">
        <v>252</v>
      </c>
      <c r="C426" t="str">
        <f>VLOOKUP(B426,'Master Anggota'!$E$2:$I$279,5,0)</f>
        <v>00524</v>
      </c>
      <c r="D426" s="108">
        <v>46106</v>
      </c>
      <c r="E426" s="56">
        <v>-2708333</v>
      </c>
      <c r="F426" t="s">
        <v>598</v>
      </c>
    </row>
    <row r="427" spans="1:6" x14ac:dyDescent="0.2">
      <c r="A427">
        <v>424</v>
      </c>
      <c r="B427" t="s">
        <v>206</v>
      </c>
      <c r="C427" t="str">
        <f>VLOOKUP(B427,'Master Anggota'!$E$2:$I$279,5,0)</f>
        <v>00525</v>
      </c>
      <c r="D427" s="108">
        <v>46106</v>
      </c>
      <c r="E427" s="56">
        <v>-3331667</v>
      </c>
      <c r="F427" t="s">
        <v>598</v>
      </c>
    </row>
    <row r="428" spans="1:6" x14ac:dyDescent="0.2">
      <c r="A428">
        <v>425</v>
      </c>
      <c r="B428" t="s">
        <v>241</v>
      </c>
      <c r="C428" t="str">
        <f>VLOOKUP(B428,'Master Anggota'!$E$2:$I$279,5,0)</f>
        <v>00526</v>
      </c>
      <c r="D428" s="108">
        <v>46106</v>
      </c>
      <c r="E428" s="56">
        <v>-2708333</v>
      </c>
      <c r="F428" t="s">
        <v>598</v>
      </c>
    </row>
    <row r="429" spans="1:6" x14ac:dyDescent="0.2">
      <c r="A429">
        <v>426</v>
      </c>
      <c r="B429" t="s">
        <v>147</v>
      </c>
      <c r="C429" t="str">
        <f>VLOOKUP(B429,'Master Anggota'!$E$2:$I$279,5,0)</f>
        <v>00527</v>
      </c>
      <c r="D429" s="108">
        <v>46106</v>
      </c>
      <c r="E429" s="56">
        <v>-1858333</v>
      </c>
      <c r="F429" t="s">
        <v>598</v>
      </c>
    </row>
    <row r="430" spans="1:6" x14ac:dyDescent="0.2">
      <c r="A430">
        <v>427</v>
      </c>
      <c r="B430" t="s">
        <v>214</v>
      </c>
      <c r="C430" t="str">
        <f>VLOOKUP(B430,'Master Anggota'!$E$2:$I$279,5,0)</f>
        <v>00529</v>
      </c>
      <c r="D430" s="108">
        <v>46106</v>
      </c>
      <c r="E430" s="56">
        <v>-1341667</v>
      </c>
      <c r="F430" t="s">
        <v>598</v>
      </c>
    </row>
    <row r="431" spans="1:6" x14ac:dyDescent="0.2">
      <c r="A431">
        <v>428</v>
      </c>
      <c r="B431" t="s">
        <v>243</v>
      </c>
      <c r="C431" t="str">
        <f>VLOOKUP(B431,'Master Anggota'!$E$2:$I$279,5,0)</f>
        <v>00530</v>
      </c>
      <c r="D431" s="108">
        <v>46106</v>
      </c>
      <c r="E431" s="56">
        <v>-3558333</v>
      </c>
      <c r="F431" t="s">
        <v>598</v>
      </c>
    </row>
    <row r="432" spans="1:6" x14ac:dyDescent="0.2">
      <c r="A432">
        <v>429</v>
      </c>
      <c r="B432" t="s">
        <v>225</v>
      </c>
      <c r="C432" t="str">
        <f>VLOOKUP(B432,'Master Anggota'!$E$2:$I$279,5,0)</f>
        <v>00531</v>
      </c>
      <c r="D432" s="108">
        <v>46106</v>
      </c>
      <c r="E432" s="56">
        <v>-440000</v>
      </c>
      <c r="F432" t="s">
        <v>598</v>
      </c>
    </row>
    <row r="433" spans="1:6" x14ac:dyDescent="0.2">
      <c r="A433">
        <v>430</v>
      </c>
      <c r="B433" t="s">
        <v>245</v>
      </c>
      <c r="C433" t="str">
        <f>VLOOKUP(B433,'Master Anggota'!$E$2:$I$279,5,0)</f>
        <v>00532</v>
      </c>
      <c r="D433" s="108">
        <v>46106</v>
      </c>
      <c r="E433" s="56">
        <v>-4108333</v>
      </c>
      <c r="F433" t="s">
        <v>598</v>
      </c>
    </row>
    <row r="434" spans="1:6" x14ac:dyDescent="0.2">
      <c r="A434">
        <v>431</v>
      </c>
      <c r="B434" t="s">
        <v>522</v>
      </c>
      <c r="C434" t="str">
        <f>VLOOKUP(B434,'Master Anggota'!$E$2:$I$279,5,0)</f>
        <v>00533</v>
      </c>
      <c r="D434" s="108">
        <v>46106</v>
      </c>
      <c r="E434" s="56">
        <v>-3275000</v>
      </c>
      <c r="F434" t="s">
        <v>598</v>
      </c>
    </row>
    <row r="435" spans="1:6" x14ac:dyDescent="0.2">
      <c r="A435">
        <v>432</v>
      </c>
      <c r="B435" t="s">
        <v>204</v>
      </c>
      <c r="C435" t="str">
        <f>VLOOKUP(B435,'Master Anggota'!$E$2:$I$279,5,0)</f>
        <v>00534</v>
      </c>
      <c r="D435" s="108">
        <v>46106</v>
      </c>
      <c r="E435" s="56">
        <v>-1825000</v>
      </c>
      <c r="F435" t="s">
        <v>598</v>
      </c>
    </row>
    <row r="436" spans="1:6" x14ac:dyDescent="0.2">
      <c r="A436">
        <v>433</v>
      </c>
      <c r="B436" t="s">
        <v>189</v>
      </c>
      <c r="C436" t="str">
        <f>VLOOKUP(B436,'Master Anggota'!$E$2:$I$279,5,0)</f>
        <v>00535</v>
      </c>
      <c r="D436" s="108">
        <v>46106</v>
      </c>
      <c r="E436" s="56">
        <v>-597333</v>
      </c>
      <c r="F436" t="s">
        <v>598</v>
      </c>
    </row>
    <row r="437" spans="1:6" x14ac:dyDescent="0.2">
      <c r="A437">
        <v>434</v>
      </c>
      <c r="B437" t="s">
        <v>81</v>
      </c>
      <c r="C437" t="str">
        <f>VLOOKUP(B437,'Master Anggota'!$E$2:$I$279,5,0)</f>
        <v>00537</v>
      </c>
      <c r="D437" s="108">
        <v>46106</v>
      </c>
      <c r="E437" s="56">
        <v>-2708333</v>
      </c>
      <c r="F437" t="s">
        <v>598</v>
      </c>
    </row>
    <row r="438" spans="1:6" x14ac:dyDescent="0.2">
      <c r="A438">
        <v>435</v>
      </c>
      <c r="B438" t="s">
        <v>53</v>
      </c>
      <c r="C438" t="str">
        <f>VLOOKUP(B438,'Master Anggota'!$E$2:$I$279,5,0)</f>
        <v>00540</v>
      </c>
      <c r="D438" s="108">
        <v>46106</v>
      </c>
      <c r="E438" s="56">
        <v>-775000</v>
      </c>
      <c r="F438" t="s">
        <v>598</v>
      </c>
    </row>
    <row r="439" spans="1:6" x14ac:dyDescent="0.2">
      <c r="A439">
        <v>436</v>
      </c>
      <c r="B439" t="s">
        <v>79</v>
      </c>
      <c r="C439" t="str">
        <f>VLOOKUP(B439,'Master Anggota'!$E$2:$I$279,5,0)</f>
        <v>00541</v>
      </c>
      <c r="D439" s="108">
        <v>46106</v>
      </c>
      <c r="E439" s="56">
        <v>-4125000</v>
      </c>
      <c r="F439" t="s">
        <v>598</v>
      </c>
    </row>
    <row r="440" spans="1:6" x14ac:dyDescent="0.2">
      <c r="A440">
        <v>437</v>
      </c>
      <c r="B440" t="s">
        <v>35</v>
      </c>
      <c r="C440" t="str">
        <f>VLOOKUP(B440,'Master Anggota'!$E$2:$I$279,5,0)</f>
        <v>00546</v>
      </c>
      <c r="D440" s="108">
        <v>46106</v>
      </c>
      <c r="E440" s="56">
        <v>-1575000</v>
      </c>
      <c r="F440" t="s">
        <v>598</v>
      </c>
    </row>
    <row r="441" spans="1:6" x14ac:dyDescent="0.2">
      <c r="A441">
        <v>438</v>
      </c>
      <c r="B441" t="s">
        <v>85</v>
      </c>
      <c r="C441" t="str">
        <f>VLOOKUP(B441,'Master Anggota'!$E$2:$I$279,5,0)</f>
        <v>00547</v>
      </c>
      <c r="D441" s="108">
        <v>46106</v>
      </c>
      <c r="E441" s="56">
        <v>-2368333</v>
      </c>
      <c r="F441" t="s">
        <v>598</v>
      </c>
    </row>
    <row r="442" spans="1:6" x14ac:dyDescent="0.2">
      <c r="A442">
        <v>439</v>
      </c>
      <c r="B442" t="s">
        <v>153</v>
      </c>
      <c r="C442" t="str">
        <f>VLOOKUP(B442,'Master Anggota'!$E$2:$I$279,5,0)</f>
        <v>00548</v>
      </c>
      <c r="D442" s="108">
        <v>46106</v>
      </c>
      <c r="E442" s="56">
        <v>-1348333</v>
      </c>
      <c r="F442" t="s">
        <v>598</v>
      </c>
    </row>
    <row r="443" spans="1:6" x14ac:dyDescent="0.2">
      <c r="A443">
        <v>440</v>
      </c>
      <c r="B443" t="s">
        <v>484</v>
      </c>
      <c r="C443" t="str">
        <f>VLOOKUP(B443,'Master Anggota'!$E$2:$I$279,5,0)</f>
        <v>00552</v>
      </c>
      <c r="D443" s="108">
        <v>46106</v>
      </c>
      <c r="E443" s="56">
        <v>-4408333</v>
      </c>
      <c r="F443" t="s">
        <v>598</v>
      </c>
    </row>
    <row r="444" spans="1:6" x14ac:dyDescent="0.2">
      <c r="A444">
        <v>441</v>
      </c>
      <c r="B444" t="s">
        <v>8</v>
      </c>
      <c r="C444" t="str">
        <f>VLOOKUP(B444,'Master Anggota'!$E$2:$I$279,5,0)</f>
        <v>00553</v>
      </c>
      <c r="D444" s="108">
        <v>46106</v>
      </c>
      <c r="E444" s="56">
        <v>-660000</v>
      </c>
      <c r="F444" t="s">
        <v>598</v>
      </c>
    </row>
    <row r="445" spans="1:6" x14ac:dyDescent="0.2">
      <c r="A445">
        <v>442</v>
      </c>
      <c r="B445" t="s">
        <v>87</v>
      </c>
      <c r="C445" t="str">
        <f>VLOOKUP(B445,'Master Anggota'!$E$2:$I$279,5,0)</f>
        <v>00554</v>
      </c>
      <c r="D445" s="108">
        <v>46106</v>
      </c>
      <c r="E445" s="56">
        <v>-530000</v>
      </c>
      <c r="F445" t="s">
        <v>598</v>
      </c>
    </row>
    <row r="446" spans="1:6" x14ac:dyDescent="0.2">
      <c r="A446">
        <v>443</v>
      </c>
      <c r="B446" t="s">
        <v>276</v>
      </c>
      <c r="C446" t="str">
        <f>VLOOKUP(B446,'Master Anggota'!$E$2:$I$279,5,0)</f>
        <v>00558</v>
      </c>
      <c r="D446" s="108">
        <v>46106</v>
      </c>
      <c r="E446" s="56">
        <v>-1341667</v>
      </c>
      <c r="F446" t="s">
        <v>598</v>
      </c>
    </row>
    <row r="447" spans="1:6" x14ac:dyDescent="0.2">
      <c r="A447">
        <v>444</v>
      </c>
      <c r="B447" t="s">
        <v>175</v>
      </c>
      <c r="C447" t="str">
        <f>VLOOKUP(B447,'Master Anggota'!$E$2:$I$279,5,0)</f>
        <v>00563</v>
      </c>
      <c r="D447" s="108">
        <v>46106</v>
      </c>
      <c r="E447" s="56">
        <v>-2708333</v>
      </c>
      <c r="F447" t="s">
        <v>598</v>
      </c>
    </row>
    <row r="448" spans="1:6" x14ac:dyDescent="0.2">
      <c r="A448">
        <v>445</v>
      </c>
      <c r="B448" t="s">
        <v>277</v>
      </c>
      <c r="C448" t="str">
        <f>VLOOKUP(B448,'Master Anggota'!$E$2:$I$279,5,0)</f>
        <v>00564</v>
      </c>
      <c r="D448" s="108">
        <v>46106</v>
      </c>
      <c r="E448" s="56">
        <v>-1291667</v>
      </c>
      <c r="F448" t="s">
        <v>598</v>
      </c>
    </row>
    <row r="449" spans="1:6" x14ac:dyDescent="0.2">
      <c r="A449">
        <v>446</v>
      </c>
      <c r="B449" t="s">
        <v>182</v>
      </c>
      <c r="C449" t="str">
        <f>VLOOKUP(B449,'Master Anggota'!$E$2:$I$279,5,0)</f>
        <v>00565</v>
      </c>
      <c r="D449" s="108">
        <v>46106</v>
      </c>
      <c r="E449" s="56">
        <v>-3125000</v>
      </c>
      <c r="F449" t="s">
        <v>598</v>
      </c>
    </row>
    <row r="450" spans="1:6" x14ac:dyDescent="0.2">
      <c r="A450">
        <v>447</v>
      </c>
      <c r="B450" t="s">
        <v>176</v>
      </c>
      <c r="C450" t="str">
        <f>VLOOKUP(B450,'Master Anggota'!$E$2:$I$279,5,0)</f>
        <v>00568</v>
      </c>
      <c r="D450" s="108">
        <v>46106</v>
      </c>
      <c r="E450" s="56">
        <v>-1085000</v>
      </c>
      <c r="F450" t="s">
        <v>598</v>
      </c>
    </row>
    <row r="451" spans="1:6" x14ac:dyDescent="0.2">
      <c r="A451">
        <v>448</v>
      </c>
      <c r="B451" t="s">
        <v>177</v>
      </c>
      <c r="C451" t="str">
        <f>VLOOKUP(B451,'Master Anggota'!$E$2:$I$279,5,0)</f>
        <v>00569</v>
      </c>
      <c r="D451" s="108">
        <v>46106</v>
      </c>
      <c r="E451" s="56">
        <v>-2595000</v>
      </c>
      <c r="F451" t="s">
        <v>598</v>
      </c>
    </row>
    <row r="452" spans="1:6" x14ac:dyDescent="0.2">
      <c r="A452">
        <v>449</v>
      </c>
      <c r="B452" t="s">
        <v>363</v>
      </c>
      <c r="C452" t="str">
        <f>VLOOKUP(B452,'Master Anggota'!$E$2:$I$279,5,0)</f>
        <v>00576</v>
      </c>
      <c r="D452" s="108">
        <v>46106</v>
      </c>
      <c r="E452" s="56">
        <v>-1858333</v>
      </c>
      <c r="F452" t="s">
        <v>598</v>
      </c>
    </row>
    <row r="453" spans="1:6" x14ac:dyDescent="0.2">
      <c r="A453">
        <v>450</v>
      </c>
      <c r="B453" t="s">
        <v>467</v>
      </c>
      <c r="C453" t="str">
        <f>VLOOKUP(B453,'Master Anggota'!$E$2:$I$279,5,0)</f>
        <v>00577</v>
      </c>
      <c r="D453" s="108">
        <v>46106</v>
      </c>
      <c r="E453" s="56">
        <v>-1603333</v>
      </c>
      <c r="F453" t="s">
        <v>598</v>
      </c>
    </row>
    <row r="454" spans="1:6" x14ac:dyDescent="0.2">
      <c r="A454">
        <v>451</v>
      </c>
      <c r="B454" t="s">
        <v>364</v>
      </c>
      <c r="C454" t="str">
        <f>VLOOKUP(B454,'Master Anggota'!$E$2:$I$279,5,0)</f>
        <v>00578</v>
      </c>
      <c r="D454" s="108">
        <v>46106</v>
      </c>
      <c r="E454" s="56">
        <v>-983334</v>
      </c>
      <c r="F454" t="s">
        <v>598</v>
      </c>
    </row>
    <row r="455" spans="1:6" x14ac:dyDescent="0.2">
      <c r="A455">
        <v>452</v>
      </c>
      <c r="B455" t="s">
        <v>523</v>
      </c>
      <c r="C455" t="str">
        <f>VLOOKUP(B455,'Master Anggota'!$E$2:$I$279,5,0)</f>
        <v>00579</v>
      </c>
      <c r="D455" s="108">
        <v>46106</v>
      </c>
      <c r="E455" s="56">
        <v>-767000</v>
      </c>
      <c r="F455" t="s">
        <v>598</v>
      </c>
    </row>
    <row r="456" spans="1:6" x14ac:dyDescent="0.2">
      <c r="A456">
        <v>453</v>
      </c>
      <c r="B456" t="s">
        <v>173</v>
      </c>
      <c r="C456" t="str">
        <f>VLOOKUP(B456,'Master Anggota'!$E$2:$I$279,5,0)</f>
        <v>00583</v>
      </c>
      <c r="D456" s="108">
        <v>46106</v>
      </c>
      <c r="E456" s="56">
        <v>-1120000</v>
      </c>
      <c r="F456" t="s">
        <v>598</v>
      </c>
    </row>
    <row r="457" spans="1:6" x14ac:dyDescent="0.2">
      <c r="A457">
        <v>454</v>
      </c>
      <c r="B457" t="s">
        <v>172</v>
      </c>
      <c r="C457" t="str">
        <f>VLOOKUP(B457,'Master Anggota'!$E$2:$I$279,5,0)</f>
        <v>00584</v>
      </c>
      <c r="D457" s="108">
        <v>46106</v>
      </c>
      <c r="E457" s="56">
        <v>-2708333</v>
      </c>
      <c r="F457" t="s">
        <v>598</v>
      </c>
    </row>
    <row r="458" spans="1:6" x14ac:dyDescent="0.2">
      <c r="A458">
        <v>455</v>
      </c>
      <c r="B458" t="s">
        <v>300</v>
      </c>
      <c r="C458" t="str">
        <f>VLOOKUP(B458,'Master Anggota'!$E$2:$I$279,5,0)</f>
        <v>00585</v>
      </c>
      <c r="D458" s="108">
        <v>46106</v>
      </c>
      <c r="E458" s="56">
        <v>-600000</v>
      </c>
      <c r="F458" t="s">
        <v>598</v>
      </c>
    </row>
    <row r="459" spans="1:6" x14ac:dyDescent="0.2">
      <c r="A459">
        <v>456</v>
      </c>
      <c r="B459" t="s">
        <v>188</v>
      </c>
      <c r="C459" t="str">
        <f>VLOOKUP(B459,'Master Anggota'!$E$2:$I$279,5,0)</f>
        <v>00596</v>
      </c>
      <c r="D459" s="108">
        <v>46106</v>
      </c>
      <c r="E459" s="56">
        <v>-1033333</v>
      </c>
      <c r="F459" t="s">
        <v>598</v>
      </c>
    </row>
    <row r="460" spans="1:6" x14ac:dyDescent="0.2">
      <c r="A460">
        <v>457</v>
      </c>
      <c r="B460" t="s">
        <v>325</v>
      </c>
      <c r="C460" t="str">
        <f>VLOOKUP(B460,'Master Anggota'!$E$2:$I$279,5,0)</f>
        <v>00607</v>
      </c>
      <c r="D460" s="108">
        <v>46106</v>
      </c>
      <c r="E460" s="56">
        <v>-775000</v>
      </c>
      <c r="F460" t="s">
        <v>598</v>
      </c>
    </row>
    <row r="461" spans="1:6" x14ac:dyDescent="0.2">
      <c r="A461">
        <v>458</v>
      </c>
      <c r="B461" t="s">
        <v>326</v>
      </c>
      <c r="C461" t="str">
        <f>VLOOKUP(B461,'Master Anggota'!$E$2:$I$279,5,0)</f>
        <v>00608</v>
      </c>
      <c r="D461" s="108">
        <v>46106</v>
      </c>
      <c r="E461" s="56">
        <v>-671667</v>
      </c>
      <c r="F461" t="s">
        <v>598</v>
      </c>
    </row>
    <row r="462" spans="1:6" x14ac:dyDescent="0.2">
      <c r="A462">
        <v>459</v>
      </c>
      <c r="B462" t="s">
        <v>370</v>
      </c>
      <c r="C462" t="str">
        <f>VLOOKUP(B462,'Master Anggota'!$E$2:$I$279,5,0)</f>
        <v>00610</v>
      </c>
      <c r="D462" s="108">
        <v>46106</v>
      </c>
      <c r="E462" s="56">
        <v>-1866667</v>
      </c>
      <c r="F462" t="s">
        <v>598</v>
      </c>
    </row>
    <row r="463" spans="1:6" x14ac:dyDescent="0.2">
      <c r="A463">
        <v>460</v>
      </c>
      <c r="B463" t="s">
        <v>519</v>
      </c>
      <c r="C463" t="str">
        <f>VLOOKUP(B463,'Master Anggota'!$E$2:$I$279,5,0)</f>
        <v>00611</v>
      </c>
      <c r="D463" s="108">
        <v>46106</v>
      </c>
      <c r="E463" s="56">
        <v>-653333</v>
      </c>
      <c r="F463" t="s">
        <v>598</v>
      </c>
    </row>
    <row r="464" spans="1:6" x14ac:dyDescent="0.2">
      <c r="A464">
        <v>461</v>
      </c>
      <c r="B464" t="s">
        <v>400</v>
      </c>
      <c r="C464" t="str">
        <f>VLOOKUP(B464,'Master Anggota'!$E$2:$I$279,5,0)</f>
        <v>00614</v>
      </c>
      <c r="D464" s="108">
        <v>46106</v>
      </c>
      <c r="E464" s="56">
        <v>-723333</v>
      </c>
      <c r="F464" t="s">
        <v>598</v>
      </c>
    </row>
    <row r="465" spans="1:6" x14ac:dyDescent="0.2">
      <c r="A465">
        <v>462</v>
      </c>
      <c r="B465" t="s">
        <v>324</v>
      </c>
      <c r="C465" t="str">
        <f>VLOOKUP(B465,'Master Anggota'!$E$2:$I$279,5,0)</f>
        <v>00626</v>
      </c>
      <c r="D465" s="108">
        <v>46106</v>
      </c>
      <c r="E465" s="56">
        <v>-1500000</v>
      </c>
      <c r="F465" t="s">
        <v>598</v>
      </c>
    </row>
    <row r="466" spans="1:6" x14ac:dyDescent="0.2">
      <c r="A466">
        <v>463</v>
      </c>
      <c r="B466" t="s">
        <v>157</v>
      </c>
      <c r="C466" t="str">
        <f>VLOOKUP(B466,'Master Anggota'!$E$2:$I$279,5,0)</f>
        <v>00633</v>
      </c>
      <c r="D466" s="108">
        <v>46106</v>
      </c>
      <c r="E466" s="56">
        <v>-1916667</v>
      </c>
      <c r="F466" t="s">
        <v>598</v>
      </c>
    </row>
    <row r="467" spans="1:6" x14ac:dyDescent="0.2">
      <c r="A467">
        <v>464</v>
      </c>
      <c r="B467" t="s">
        <v>318</v>
      </c>
      <c r="C467" t="str">
        <f>VLOOKUP(B467,'Master Anggota'!$E$2:$I$279,5,0)</f>
        <v>01651</v>
      </c>
      <c r="D467" s="108">
        <v>46106</v>
      </c>
      <c r="E467" s="56">
        <v>-330000</v>
      </c>
      <c r="F467" t="s">
        <v>598</v>
      </c>
    </row>
    <row r="468" spans="1:6" x14ac:dyDescent="0.2">
      <c r="A468">
        <v>465</v>
      </c>
      <c r="B468" t="s">
        <v>524</v>
      </c>
      <c r="C468" t="str">
        <f>VLOOKUP(B468,'Master Anggota'!$E$2:$I$279,5,0)</f>
        <v>01743</v>
      </c>
      <c r="D468" s="108">
        <v>46106</v>
      </c>
      <c r="E468" s="56">
        <v>-357000</v>
      </c>
      <c r="F468" t="s">
        <v>598</v>
      </c>
    </row>
    <row r="469" spans="1:6" x14ac:dyDescent="0.2">
      <c r="A469">
        <v>466</v>
      </c>
      <c r="B469" t="s">
        <v>327</v>
      </c>
      <c r="C469" t="str">
        <f>VLOOKUP(B469,'Master Anggota'!$E$2:$I$279,5,0)</f>
        <v>01665</v>
      </c>
      <c r="D469" s="108">
        <v>46106</v>
      </c>
      <c r="E469" s="56">
        <v>-618333</v>
      </c>
      <c r="F469" t="s">
        <v>598</v>
      </c>
    </row>
    <row r="470" spans="1:6" x14ac:dyDescent="0.2">
      <c r="A470">
        <v>467</v>
      </c>
      <c r="B470" t="s">
        <v>319</v>
      </c>
      <c r="C470" t="str">
        <f>VLOOKUP(B470,'Master Anggota'!$E$2:$I$279,5,0)</f>
        <v>01302</v>
      </c>
      <c r="D470" s="108">
        <v>46106</v>
      </c>
      <c r="E470" s="56">
        <v>-2200000</v>
      </c>
      <c r="F470" t="s">
        <v>598</v>
      </c>
    </row>
    <row r="471" spans="1:6" x14ac:dyDescent="0.2">
      <c r="A471">
        <v>468</v>
      </c>
      <c r="B471" t="s">
        <v>491</v>
      </c>
      <c r="C471" t="str">
        <f>VLOOKUP(B471,'Master Anggota'!$E$2:$I$279,5,0)</f>
        <v>01720</v>
      </c>
      <c r="D471" s="108">
        <v>46106</v>
      </c>
      <c r="E471" s="56">
        <v>-1195000</v>
      </c>
      <c r="F471" t="s">
        <v>598</v>
      </c>
    </row>
    <row r="472" spans="1:6" x14ac:dyDescent="0.2">
      <c r="A472">
        <v>469</v>
      </c>
      <c r="B472" t="s">
        <v>439</v>
      </c>
      <c r="C472" t="str">
        <f>VLOOKUP(B472,'Master Anggota'!$E$2:$I$279,5,0)</f>
        <v>01730</v>
      </c>
      <c r="D472" s="108">
        <v>46106</v>
      </c>
      <c r="E472" s="56">
        <v>-706667</v>
      </c>
      <c r="F472" t="s">
        <v>598</v>
      </c>
    </row>
    <row r="473" spans="1:6" x14ac:dyDescent="0.2">
      <c r="A473">
        <v>470</v>
      </c>
      <c r="B473" t="s">
        <v>497</v>
      </c>
      <c r="C473" t="str">
        <f>VLOOKUP(B473,'Master Anggota'!$E$2:$I$279,5,0)</f>
        <v>01719</v>
      </c>
      <c r="D473" s="108">
        <v>46106</v>
      </c>
      <c r="E473" s="56">
        <v>-735000</v>
      </c>
      <c r="F473" t="s">
        <v>598</v>
      </c>
    </row>
    <row r="474" spans="1:6" x14ac:dyDescent="0.2">
      <c r="A474">
        <v>471</v>
      </c>
      <c r="B474" t="s">
        <v>482</v>
      </c>
      <c r="C474" t="str">
        <f>VLOOKUP(B474,'Master Anggota'!$E$2:$I$279,5,0)</f>
        <v>01561</v>
      </c>
      <c r="D474" s="108">
        <v>46106</v>
      </c>
      <c r="E474" s="56">
        <v>-1430000</v>
      </c>
      <c r="F474" t="s">
        <v>598</v>
      </c>
    </row>
    <row r="475" spans="1:6" x14ac:dyDescent="0.2">
      <c r="A475">
        <v>472</v>
      </c>
      <c r="B475" t="s">
        <v>304</v>
      </c>
      <c r="C475" t="str">
        <f>VLOOKUP(B475,'Master Anggota'!$E$2:$I$279,5,0)</f>
        <v>01541</v>
      </c>
      <c r="D475" s="108">
        <v>46106</v>
      </c>
      <c r="E475" s="56">
        <v>-1513636</v>
      </c>
      <c r="F475" t="s">
        <v>598</v>
      </c>
    </row>
    <row r="476" spans="1:6" x14ac:dyDescent="0.2">
      <c r="A476">
        <v>473</v>
      </c>
      <c r="B476" t="s">
        <v>289</v>
      </c>
      <c r="C476" t="str">
        <f>VLOOKUP(B476,'Master Anggota'!$E$2:$I$279,5,0)</f>
        <v>01511</v>
      </c>
      <c r="D476" s="108">
        <v>46106</v>
      </c>
      <c r="E476" s="56">
        <v>-1680000</v>
      </c>
      <c r="F476" t="s">
        <v>598</v>
      </c>
    </row>
    <row r="477" spans="1:6" x14ac:dyDescent="0.2">
      <c r="A477">
        <v>474</v>
      </c>
      <c r="B477" t="s">
        <v>368</v>
      </c>
      <c r="C477" t="str">
        <f>VLOOKUP(B477,'Master Anggota'!$E$2:$I$279,5,0)</f>
        <v>01703</v>
      </c>
      <c r="D477" s="108">
        <v>46106</v>
      </c>
      <c r="E477" s="56">
        <v>-530000</v>
      </c>
      <c r="F477" t="s">
        <v>598</v>
      </c>
    </row>
    <row r="478" spans="1:6" x14ac:dyDescent="0.2">
      <c r="A478">
        <v>475</v>
      </c>
      <c r="B478" t="s">
        <v>316</v>
      </c>
      <c r="C478" t="str">
        <f>VLOOKUP(B478,'Master Anggota'!$E$2:$I$279,5,0)</f>
        <v>01544</v>
      </c>
      <c r="D478" s="108">
        <v>46106</v>
      </c>
      <c r="E478" s="56">
        <v>-1430000</v>
      </c>
      <c r="F478" t="s">
        <v>598</v>
      </c>
    </row>
    <row r="479" spans="1:6" x14ac:dyDescent="0.2">
      <c r="A479">
        <v>476</v>
      </c>
      <c r="B479" t="s">
        <v>495</v>
      </c>
      <c r="C479" t="str">
        <f>VLOOKUP(B479,'Master Anggota'!$E$2:$I$279,5,0)</f>
        <v>01754</v>
      </c>
      <c r="D479" s="108">
        <v>46106</v>
      </c>
      <c r="E479" s="56">
        <v>-1100000</v>
      </c>
      <c r="F479" t="s">
        <v>598</v>
      </c>
    </row>
    <row r="480" spans="1:6" x14ac:dyDescent="0.2">
      <c r="A480">
        <v>477</v>
      </c>
      <c r="B480" t="s">
        <v>311</v>
      </c>
      <c r="C480" t="str">
        <f>VLOOKUP(B480,'Master Anggota'!$E$2:$I$279,5,0)</f>
        <v>01602</v>
      </c>
      <c r="D480" s="108">
        <v>46106</v>
      </c>
      <c r="E480" s="56">
        <v>-1433333</v>
      </c>
      <c r="F480" t="s">
        <v>598</v>
      </c>
    </row>
    <row r="481" spans="1:12" x14ac:dyDescent="0.2">
      <c r="A481">
        <v>478</v>
      </c>
      <c r="B481" t="s">
        <v>358</v>
      </c>
      <c r="C481" t="str">
        <f>VLOOKUP(B481,'Master Anggota'!$E$2:$I$279,5,0)</f>
        <v>01530</v>
      </c>
      <c r="D481" s="108">
        <v>46106</v>
      </c>
      <c r="E481" s="56">
        <v>-1760000</v>
      </c>
      <c r="F481" t="s">
        <v>598</v>
      </c>
    </row>
    <row r="482" spans="1:12" x14ac:dyDescent="0.2">
      <c r="A482">
        <v>479</v>
      </c>
      <c r="B482" t="s">
        <v>294</v>
      </c>
      <c r="C482" t="str">
        <f>VLOOKUP(B482,'Master Anggota'!$E$2:$I$279,5,0)</f>
        <v>PHL</v>
      </c>
      <c r="D482" s="108">
        <v>46106</v>
      </c>
      <c r="E482" s="56">
        <v>-1400000</v>
      </c>
      <c r="F482" t="s">
        <v>598</v>
      </c>
    </row>
    <row r="483" spans="1:12" x14ac:dyDescent="0.2">
      <c r="A483">
        <v>480</v>
      </c>
      <c r="B483" t="s">
        <v>295</v>
      </c>
      <c r="C483" t="str">
        <f>VLOOKUP(B483,'Master Anggota'!$E$2:$I$279,5,0)</f>
        <v>PHL</v>
      </c>
      <c r="D483" s="108">
        <v>46106</v>
      </c>
      <c r="E483" s="56">
        <v>-770000</v>
      </c>
      <c r="F483" t="s">
        <v>598</v>
      </c>
    </row>
    <row r="484" spans="1:12" x14ac:dyDescent="0.2">
      <c r="A484">
        <v>481</v>
      </c>
      <c r="B484" t="s">
        <v>527</v>
      </c>
      <c r="C484" t="str">
        <f>VLOOKUP(B484,'Master Anggota'!$E$2:$I$279,5,0)</f>
        <v>PHL</v>
      </c>
      <c r="D484" s="108">
        <v>46106</v>
      </c>
      <c r="E484" s="56">
        <v>-330000</v>
      </c>
      <c r="F484" t="s">
        <v>598</v>
      </c>
    </row>
    <row r="485" spans="1:12" x14ac:dyDescent="0.2">
      <c r="A485">
        <v>482</v>
      </c>
      <c r="B485" t="s">
        <v>526</v>
      </c>
      <c r="C485" t="str">
        <f>VLOOKUP(B485,'Master Anggota'!$E$2:$I$279,5,0)</f>
        <v>PHL</v>
      </c>
      <c r="D485" s="108">
        <v>46106</v>
      </c>
      <c r="E485" s="56">
        <v>0</v>
      </c>
      <c r="F485" t="s">
        <v>598</v>
      </c>
    </row>
    <row r="486" spans="1:12" x14ac:dyDescent="0.2">
      <c r="A486">
        <v>483</v>
      </c>
      <c r="B486" t="s">
        <v>278</v>
      </c>
      <c r="C486" t="str">
        <f>VLOOKUP(B486,'Master Anggota'!$E$2:$I$279,5,0)</f>
        <v>PHL</v>
      </c>
      <c r="D486" s="108">
        <v>46106</v>
      </c>
      <c r="E486" s="56">
        <v>-2522727</v>
      </c>
      <c r="F486" t="s">
        <v>598</v>
      </c>
    </row>
    <row r="487" spans="1:12" x14ac:dyDescent="0.2">
      <c r="A487">
        <v>484</v>
      </c>
      <c r="B487" t="s">
        <v>307</v>
      </c>
      <c r="C487" t="str">
        <f>VLOOKUP(B487,'Master Anggota'!$E$2:$I$279,5,0)</f>
        <v>00591</v>
      </c>
      <c r="D487" s="108">
        <v>46091</v>
      </c>
      <c r="E487" s="56">
        <v>-27875003</v>
      </c>
      <c r="F487" t="s">
        <v>598</v>
      </c>
      <c r="H487" t="s">
        <v>645</v>
      </c>
    </row>
    <row r="488" spans="1:12" x14ac:dyDescent="0.2">
      <c r="A488">
        <v>485</v>
      </c>
      <c r="B488" t="s">
        <v>177</v>
      </c>
      <c r="C488" t="str">
        <f>VLOOKUP(B488,'Master Anggota'!$E$2:$I$279,5,0)</f>
        <v>00569</v>
      </c>
      <c r="D488" s="108">
        <v>46108</v>
      </c>
      <c r="E488" s="82">
        <v>2595000</v>
      </c>
      <c r="F488" t="s">
        <v>598</v>
      </c>
      <c r="H488" t="s">
        <v>648</v>
      </c>
      <c r="K488" s="82"/>
    </row>
    <row r="489" spans="1:12" x14ac:dyDescent="0.2">
      <c r="A489">
        <v>486</v>
      </c>
      <c r="B489" t="s">
        <v>499</v>
      </c>
      <c r="C489" t="str">
        <f>VLOOKUP(B489,'Master Anggota'!$E$2:$I$279,5,0)</f>
        <v>01775</v>
      </c>
      <c r="D489" s="108">
        <v>46108</v>
      </c>
      <c r="E489" s="82">
        <v>4000000</v>
      </c>
      <c r="F489" t="s">
        <v>617</v>
      </c>
      <c r="H489" t="s">
        <v>655</v>
      </c>
      <c r="I489" s="111">
        <v>46167</v>
      </c>
      <c r="J489" s="111">
        <v>46381</v>
      </c>
      <c r="K489" s="82">
        <v>540000</v>
      </c>
    </row>
    <row r="490" spans="1:12" x14ac:dyDescent="0.2">
      <c r="A490">
        <v>487</v>
      </c>
      <c r="B490" t="s">
        <v>278</v>
      </c>
      <c r="C490" t="str">
        <f>VLOOKUP(B490,'Master Anggota'!$E$2:$I$279,5,0)</f>
        <v>PHL</v>
      </c>
      <c r="D490" s="108">
        <v>46108</v>
      </c>
      <c r="E490" s="82">
        <v>15000000</v>
      </c>
      <c r="F490" t="s">
        <v>617</v>
      </c>
      <c r="H490" t="s">
        <v>654</v>
      </c>
      <c r="I490" s="111">
        <v>46167</v>
      </c>
      <c r="J490" s="111">
        <v>46443</v>
      </c>
      <c r="K490" s="82">
        <v>1650000</v>
      </c>
    </row>
    <row r="491" spans="1:12" x14ac:dyDescent="0.2">
      <c r="A491">
        <v>488</v>
      </c>
      <c r="B491" t="s">
        <v>65</v>
      </c>
      <c r="C491" t="str">
        <f>VLOOKUP(B491,'Master Anggota'!$E$2:$I$279,5,0)</f>
        <v>00490</v>
      </c>
      <c r="D491" s="108">
        <v>46108</v>
      </c>
      <c r="E491" s="82">
        <v>30000000</v>
      </c>
      <c r="F491" t="s">
        <v>617</v>
      </c>
      <c r="H491" t="s">
        <v>654</v>
      </c>
      <c r="I491" s="111">
        <v>46167</v>
      </c>
      <c r="J491" s="111">
        <v>46593</v>
      </c>
      <c r="K491" s="82">
        <v>2325000</v>
      </c>
      <c r="L491" s="60"/>
    </row>
    <row r="492" spans="1:12" x14ac:dyDescent="0.2">
      <c r="A492">
        <v>489</v>
      </c>
      <c r="B492" s="96" t="s">
        <v>500</v>
      </c>
      <c r="C492" t="str">
        <f>VLOOKUP(B492,'Master Anggota'!$E$2:$I$279,5,0)</f>
        <v>01776</v>
      </c>
      <c r="D492" s="108">
        <v>46108</v>
      </c>
      <c r="E492" s="82">
        <v>2500000</v>
      </c>
      <c r="F492" t="s">
        <v>617</v>
      </c>
      <c r="H492" t="s">
        <v>655</v>
      </c>
      <c r="I492" s="111">
        <v>46167</v>
      </c>
      <c r="J492" s="111">
        <v>46381</v>
      </c>
      <c r="K492" s="82">
        <v>337500</v>
      </c>
    </row>
    <row r="493" spans="1:12" x14ac:dyDescent="0.2">
      <c r="A493">
        <v>490</v>
      </c>
      <c r="B493" t="s">
        <v>107</v>
      </c>
      <c r="C493" t="str">
        <f>VLOOKUP(B493,'Master Anggota'!$E$2:$I$279,5,0)</f>
        <v>00521</v>
      </c>
      <c r="D493" s="108">
        <v>46108</v>
      </c>
      <c r="E493" s="82">
        <v>50000000</v>
      </c>
      <c r="F493" t="s">
        <v>617</v>
      </c>
      <c r="H493" t="s">
        <v>672</v>
      </c>
      <c r="I493" s="111">
        <v>46167</v>
      </c>
      <c r="J493" s="111">
        <v>46502</v>
      </c>
      <c r="K493" s="82">
        <v>4791667</v>
      </c>
    </row>
    <row r="494" spans="1:12" x14ac:dyDescent="0.2">
      <c r="A494">
        <v>491</v>
      </c>
      <c r="B494" t="s">
        <v>204</v>
      </c>
      <c r="C494" t="str">
        <f>VLOOKUP(B494,'Master Anggota'!$E$2:$I$279,5,0)</f>
        <v>00534</v>
      </c>
      <c r="D494" s="108">
        <v>46112</v>
      </c>
      <c r="E494" s="82">
        <v>35000000</v>
      </c>
      <c r="F494" t="s">
        <v>617</v>
      </c>
      <c r="H494" t="s">
        <v>656</v>
      </c>
      <c r="I494" s="111">
        <v>46167</v>
      </c>
      <c r="J494" s="111">
        <v>46868</v>
      </c>
      <c r="K494" s="82">
        <v>1858333</v>
      </c>
      <c r="L494" s="60"/>
    </row>
    <row r="495" spans="1:12" x14ac:dyDescent="0.2">
      <c r="A495">
        <v>492</v>
      </c>
      <c r="B495" t="s">
        <v>450</v>
      </c>
      <c r="C495" t="str">
        <f>VLOOKUP(B495,'Master Anggota'!$E$2:$I$279,5,0)</f>
        <v>01738</v>
      </c>
      <c r="D495" s="108">
        <v>46112</v>
      </c>
      <c r="E495" s="82">
        <v>3000000</v>
      </c>
      <c r="F495" t="s">
        <v>617</v>
      </c>
      <c r="H495" t="s">
        <v>655</v>
      </c>
      <c r="I495" s="111">
        <v>46167</v>
      </c>
      <c r="J495" s="111">
        <v>46381</v>
      </c>
      <c r="K495" s="82">
        <v>405000</v>
      </c>
      <c r="L495" s="60"/>
    </row>
    <row r="496" spans="1:12" x14ac:dyDescent="0.2">
      <c r="A496">
        <v>493</v>
      </c>
      <c r="B496" t="s">
        <v>451</v>
      </c>
      <c r="C496" t="str">
        <f>VLOOKUP(B496,'Master Anggota'!$E$2:$I$279,5,0)</f>
        <v>01735</v>
      </c>
      <c r="D496" s="108">
        <v>46112</v>
      </c>
      <c r="E496" s="82">
        <v>4000000</v>
      </c>
      <c r="F496" t="s">
        <v>617</v>
      </c>
      <c r="H496" t="s">
        <v>655</v>
      </c>
      <c r="I496" s="111">
        <v>46167</v>
      </c>
      <c r="J496" s="111">
        <v>46381</v>
      </c>
      <c r="K496" s="82">
        <v>540000</v>
      </c>
    </row>
    <row r="497" spans="1:12" x14ac:dyDescent="0.2">
      <c r="A497">
        <v>494</v>
      </c>
      <c r="B497" t="s">
        <v>448</v>
      </c>
      <c r="C497" t="str">
        <f>VLOOKUP(B497,'Master Anggota'!$E$2:$I$279,5,0)</f>
        <v>01737</v>
      </c>
      <c r="D497" s="108">
        <v>46112</v>
      </c>
      <c r="E497" s="82">
        <v>4000000</v>
      </c>
      <c r="F497" t="s">
        <v>617</v>
      </c>
      <c r="H497" t="s">
        <v>655</v>
      </c>
      <c r="I497" s="111">
        <v>46167</v>
      </c>
      <c r="J497" s="111">
        <v>46381</v>
      </c>
      <c r="K497" s="82">
        <v>540000</v>
      </c>
    </row>
    <row r="498" spans="1:12" x14ac:dyDescent="0.2">
      <c r="A498">
        <v>495</v>
      </c>
      <c r="B498" t="s">
        <v>492</v>
      </c>
      <c r="C498" t="str">
        <f>VLOOKUP(B498,'Master Anggota'!$E$2:$I$279,5,0)</f>
        <v>01728</v>
      </c>
      <c r="D498" s="108">
        <v>46114</v>
      </c>
      <c r="E498" s="82">
        <v>2000000</v>
      </c>
      <c r="F498" t="s">
        <v>617</v>
      </c>
      <c r="H498" t="s">
        <v>652</v>
      </c>
      <c r="I498" s="111">
        <v>46167</v>
      </c>
      <c r="J498" s="111">
        <v>46259</v>
      </c>
      <c r="K498" s="82" t="s">
        <v>684</v>
      </c>
    </row>
    <row r="499" spans="1:12" x14ac:dyDescent="0.2">
      <c r="A499">
        <v>496</v>
      </c>
      <c r="B499" t="s">
        <v>71</v>
      </c>
      <c r="C499" t="str">
        <f>VLOOKUP(B499,'Master Anggota'!$E$2:$I$279,5,0)</f>
        <v>00517</v>
      </c>
      <c r="D499" s="108">
        <v>46119</v>
      </c>
      <c r="E499" s="82">
        <v>4500000</v>
      </c>
      <c r="F499" t="s">
        <v>617</v>
      </c>
      <c r="H499" t="s">
        <v>656</v>
      </c>
      <c r="I499" s="111">
        <v>46167</v>
      </c>
      <c r="J499" s="111">
        <v>46868</v>
      </c>
      <c r="K499" s="82">
        <v>232500</v>
      </c>
    </row>
    <row r="500" spans="1:12" x14ac:dyDescent="0.2">
      <c r="A500">
        <v>497</v>
      </c>
      <c r="B500" t="s">
        <v>245</v>
      </c>
      <c r="C500" t="str">
        <f>VLOOKUP(B500,'Master Anggota'!$E$2:$I$279,5,0)</f>
        <v>00532</v>
      </c>
      <c r="D500" s="108">
        <v>46120</v>
      </c>
      <c r="E500" s="82">
        <v>56000000</v>
      </c>
      <c r="F500" t="s">
        <v>617</v>
      </c>
      <c r="H500" t="s">
        <v>657</v>
      </c>
      <c r="I500" s="111">
        <v>46167</v>
      </c>
      <c r="J500" s="111">
        <v>46685</v>
      </c>
      <c r="K500" s="82">
        <v>3826111</v>
      </c>
      <c r="L500" s="60"/>
    </row>
    <row r="501" spans="1:12" x14ac:dyDescent="0.2">
      <c r="A501">
        <v>498</v>
      </c>
      <c r="B501" t="s">
        <v>364</v>
      </c>
      <c r="C501" t="str">
        <f>VLOOKUP(B501,'Master Anggota'!$E$2:$I$279,5,0)</f>
        <v>00578</v>
      </c>
      <c r="D501" s="108">
        <v>46125</v>
      </c>
      <c r="E501" s="82">
        <v>19000000</v>
      </c>
      <c r="F501" t="s">
        <v>617</v>
      </c>
      <c r="H501" t="s">
        <v>656</v>
      </c>
      <c r="I501" s="111">
        <v>46167</v>
      </c>
      <c r="J501" s="111">
        <v>46868</v>
      </c>
      <c r="K501" s="82">
        <v>981667</v>
      </c>
    </row>
    <row r="502" spans="1:12" x14ac:dyDescent="0.2">
      <c r="A502">
        <v>499</v>
      </c>
      <c r="B502" t="s">
        <v>85</v>
      </c>
      <c r="C502" t="str">
        <f>VLOOKUP(B502,'Master Anggota'!$E$2:$I$279,5,0)</f>
        <v>00547</v>
      </c>
      <c r="D502" s="108">
        <v>46125</v>
      </c>
      <c r="E502" s="82">
        <v>7000000</v>
      </c>
      <c r="F502" t="s">
        <v>617</v>
      </c>
      <c r="H502" t="s">
        <v>654</v>
      </c>
      <c r="I502" s="111">
        <v>46167</v>
      </c>
      <c r="J502" s="111">
        <v>46381</v>
      </c>
      <c r="K502" s="82">
        <v>805000</v>
      </c>
    </row>
    <row r="503" spans="1:12" x14ac:dyDescent="0.2">
      <c r="A503">
        <v>500</v>
      </c>
      <c r="B503" t="s">
        <v>492</v>
      </c>
      <c r="C503" t="str">
        <f>VLOOKUP(B503,'Master Anggota'!$E$2:$I$279,5,0)</f>
        <v>01728</v>
      </c>
      <c r="D503" s="108">
        <v>46114</v>
      </c>
      <c r="E503" s="82">
        <v>80000</v>
      </c>
      <c r="F503" t="s">
        <v>616</v>
      </c>
      <c r="H503" t="s">
        <v>649</v>
      </c>
      <c r="K503" s="82"/>
    </row>
    <row r="504" spans="1:12" x14ac:dyDescent="0.2">
      <c r="A504">
        <v>501</v>
      </c>
      <c r="B504" t="s">
        <v>103</v>
      </c>
      <c r="C504" t="str">
        <f>VLOOKUP(B504,'Master Anggota'!$E$2:$I$279,5,0)</f>
        <v>00401</v>
      </c>
      <c r="D504" s="108">
        <v>46118</v>
      </c>
      <c r="E504" s="82">
        <v>5000000</v>
      </c>
      <c r="F504" t="s">
        <v>617</v>
      </c>
      <c r="H504" t="s">
        <v>653</v>
      </c>
      <c r="I504" s="111">
        <v>46167</v>
      </c>
      <c r="J504" s="111">
        <v>46167</v>
      </c>
      <c r="K504" s="82">
        <v>5075000</v>
      </c>
    </row>
    <row r="505" spans="1:12" x14ac:dyDescent="0.2">
      <c r="A505">
        <v>502</v>
      </c>
      <c r="B505" t="s">
        <v>103</v>
      </c>
      <c r="C505" t="str">
        <f>VLOOKUP(B505,'Master Anggota'!$E$2:$I$279,5,0)</f>
        <v>00401</v>
      </c>
      <c r="D505" s="108">
        <v>46118</v>
      </c>
      <c r="E505" s="82">
        <v>75000</v>
      </c>
      <c r="F505" t="s">
        <v>616</v>
      </c>
      <c r="K505" s="82"/>
    </row>
    <row r="506" spans="1:12" x14ac:dyDescent="0.2">
      <c r="A506">
        <v>503</v>
      </c>
      <c r="B506" t="s">
        <v>294</v>
      </c>
      <c r="C506" t="str">
        <f>VLOOKUP(B506,'Master Anggota'!$E$2:$I$279,5,0)</f>
        <v>PHL</v>
      </c>
      <c r="D506" s="108">
        <v>46106</v>
      </c>
      <c r="E506" s="56">
        <v>-5600000</v>
      </c>
      <c r="F506" t="s">
        <v>598</v>
      </c>
      <c r="H506" t="s">
        <v>630</v>
      </c>
    </row>
    <row r="507" spans="1:12" x14ac:dyDescent="0.2">
      <c r="A507">
        <v>504</v>
      </c>
      <c r="B507" t="s">
        <v>278</v>
      </c>
      <c r="C507" t="str">
        <f>VLOOKUP(B507,'Master Anggota'!$E$2:$I$279,5,0)</f>
        <v>PHL</v>
      </c>
      <c r="D507" s="108">
        <v>46108</v>
      </c>
      <c r="E507" s="82">
        <v>1500000</v>
      </c>
      <c r="F507" t="s">
        <v>616</v>
      </c>
      <c r="K507" s="82"/>
    </row>
    <row r="508" spans="1:12" x14ac:dyDescent="0.2">
      <c r="A508">
        <v>505</v>
      </c>
      <c r="B508" t="s">
        <v>278</v>
      </c>
      <c r="C508" t="str">
        <f>VLOOKUP(B508,'Master Anggota'!$E$2:$I$279,5,0)</f>
        <v>PHL</v>
      </c>
      <c r="D508" s="108">
        <v>46108</v>
      </c>
      <c r="E508" s="82">
        <v>-5045457</v>
      </c>
      <c r="F508" t="s">
        <v>598</v>
      </c>
      <c r="H508" t="s">
        <v>621</v>
      </c>
    </row>
    <row r="509" spans="1:12" x14ac:dyDescent="0.2">
      <c r="A509">
        <v>506</v>
      </c>
      <c r="B509" t="s">
        <v>450</v>
      </c>
      <c r="C509" t="str">
        <f>VLOOKUP(B509,'Master Anggota'!$E$2:$I$279,5,0)</f>
        <v>01738</v>
      </c>
      <c r="D509" s="108">
        <v>46112</v>
      </c>
      <c r="E509" s="82">
        <v>240000</v>
      </c>
      <c r="F509" t="s">
        <v>616</v>
      </c>
      <c r="K509" s="82"/>
    </row>
    <row r="510" spans="1:12" x14ac:dyDescent="0.2">
      <c r="A510">
        <v>507</v>
      </c>
      <c r="B510" t="s">
        <v>451</v>
      </c>
      <c r="C510" t="str">
        <f>VLOOKUP(B510,'Master Anggota'!$E$2:$I$279,5,0)</f>
        <v>01735</v>
      </c>
      <c r="D510" s="108">
        <v>46112</v>
      </c>
      <c r="E510" s="82">
        <v>320000</v>
      </c>
      <c r="F510" t="s">
        <v>616</v>
      </c>
      <c r="K510" s="82"/>
    </row>
    <row r="511" spans="1:12" x14ac:dyDescent="0.2">
      <c r="A511">
        <v>508</v>
      </c>
      <c r="B511" t="s">
        <v>65</v>
      </c>
      <c r="C511" t="str">
        <f>VLOOKUP(B511,'Master Anggota'!$E$2:$I$279,5,0)</f>
        <v>00490</v>
      </c>
      <c r="D511" s="108">
        <v>46108</v>
      </c>
      <c r="E511" s="82">
        <v>4875000</v>
      </c>
      <c r="F511" t="s">
        <v>616</v>
      </c>
      <c r="K511" s="82"/>
    </row>
    <row r="512" spans="1:12" x14ac:dyDescent="0.2">
      <c r="A512">
        <v>509</v>
      </c>
      <c r="B512" t="s">
        <v>499</v>
      </c>
      <c r="C512" t="str">
        <f>VLOOKUP(B512,'Master Anggota'!$E$2:$I$279,5,0)</f>
        <v>01775</v>
      </c>
      <c r="D512" s="108">
        <v>46108</v>
      </c>
      <c r="E512" s="82">
        <v>320000</v>
      </c>
      <c r="F512" t="s">
        <v>616</v>
      </c>
      <c r="K512" s="82"/>
    </row>
    <row r="513" spans="1:11" x14ac:dyDescent="0.2">
      <c r="A513">
        <v>510</v>
      </c>
      <c r="B513" t="s">
        <v>204</v>
      </c>
      <c r="C513" t="str">
        <f>VLOOKUP(B513,'Master Anggota'!$E$2:$I$279,5,0)</f>
        <v>00534</v>
      </c>
      <c r="D513" s="108">
        <v>46112</v>
      </c>
      <c r="E513" s="82">
        <v>9600000</v>
      </c>
      <c r="F513" t="s">
        <v>616</v>
      </c>
      <c r="K513" s="82"/>
    </row>
    <row r="514" spans="1:11" x14ac:dyDescent="0.2">
      <c r="A514">
        <v>511</v>
      </c>
      <c r="B514" t="s">
        <v>204</v>
      </c>
      <c r="C514" t="str">
        <f>VLOOKUP(B514,'Master Anggota'!$E$2:$I$279,5,0)</f>
        <v>00534</v>
      </c>
      <c r="D514" s="108">
        <v>46112</v>
      </c>
      <c r="E514" s="82">
        <v>-4616666</v>
      </c>
      <c r="F514" t="s">
        <v>598</v>
      </c>
      <c r="H514" t="s">
        <v>623</v>
      </c>
      <c r="K514" s="82"/>
    </row>
    <row r="515" spans="1:11" x14ac:dyDescent="0.2">
      <c r="A515">
        <v>512</v>
      </c>
      <c r="B515" s="96" t="s">
        <v>500</v>
      </c>
      <c r="C515" t="str">
        <f>VLOOKUP(B515,'Master Anggota'!$E$2:$I$279,5,0)</f>
        <v>01776</v>
      </c>
      <c r="D515" s="108">
        <v>46108</v>
      </c>
      <c r="E515" s="82">
        <v>200000</v>
      </c>
      <c r="F515" t="s">
        <v>616</v>
      </c>
      <c r="K515" s="82"/>
    </row>
    <row r="516" spans="1:11" x14ac:dyDescent="0.2">
      <c r="A516">
        <v>513</v>
      </c>
      <c r="B516" t="s">
        <v>448</v>
      </c>
      <c r="C516" t="str">
        <f>VLOOKUP(B516,'Master Anggota'!$E$2:$I$279,5,0)</f>
        <v>01737</v>
      </c>
      <c r="D516" s="108">
        <v>46112</v>
      </c>
      <c r="E516" s="82">
        <v>320000</v>
      </c>
      <c r="F516" t="s">
        <v>616</v>
      </c>
      <c r="K516" s="82"/>
    </row>
    <row r="517" spans="1:11" x14ac:dyDescent="0.2">
      <c r="A517">
        <v>514</v>
      </c>
      <c r="B517" t="s">
        <v>245</v>
      </c>
      <c r="C517" t="str">
        <f>VLOOKUP(B517,'Master Anggota'!$E$2:$I$279,5,0)</f>
        <v>00532</v>
      </c>
      <c r="D517" s="108">
        <v>46120</v>
      </c>
      <c r="E517" s="82">
        <v>12870000</v>
      </c>
      <c r="F517" t="s">
        <v>616</v>
      </c>
      <c r="K517" s="82"/>
    </row>
    <row r="518" spans="1:11" x14ac:dyDescent="0.2">
      <c r="A518">
        <v>515</v>
      </c>
      <c r="B518" t="s">
        <v>245</v>
      </c>
      <c r="C518" t="str">
        <f>VLOOKUP(B518,'Master Anggota'!$E$2:$I$279,5,0)</f>
        <v>00532</v>
      </c>
      <c r="D518" s="108">
        <v>46120</v>
      </c>
      <c r="E518" s="82">
        <v>-49300002</v>
      </c>
      <c r="F518" t="s">
        <v>598</v>
      </c>
      <c r="H518" t="s">
        <v>623</v>
      </c>
      <c r="K518" s="82"/>
    </row>
    <row r="519" spans="1:11" x14ac:dyDescent="0.2">
      <c r="A519">
        <v>516</v>
      </c>
      <c r="B519" t="s">
        <v>85</v>
      </c>
      <c r="C519" t="str">
        <f>VLOOKUP(B519,'Master Anggota'!$E$2:$I$279,5,0)</f>
        <v>00547</v>
      </c>
      <c r="D519" s="108">
        <v>46125</v>
      </c>
      <c r="E519" s="82">
        <v>1050000</v>
      </c>
      <c r="F519" t="s">
        <v>616</v>
      </c>
      <c r="K519" s="82"/>
    </row>
    <row r="520" spans="1:11" x14ac:dyDescent="0.2">
      <c r="A520">
        <v>517</v>
      </c>
      <c r="B520" t="s">
        <v>364</v>
      </c>
      <c r="C520" t="str">
        <f>VLOOKUP(B520,'Master Anggota'!$E$2:$I$279,5,0)</f>
        <v>00578</v>
      </c>
      <c r="D520" s="108">
        <v>46125</v>
      </c>
      <c r="E520" s="82">
        <v>4560000</v>
      </c>
      <c r="F520" t="s">
        <v>616</v>
      </c>
      <c r="K520" s="82"/>
    </row>
    <row r="521" spans="1:11" x14ac:dyDescent="0.2">
      <c r="A521">
        <v>518</v>
      </c>
      <c r="B521" t="s">
        <v>364</v>
      </c>
      <c r="C521" t="str">
        <f>VLOOKUP(B521,'Master Anggota'!$E$2:$I$279,5,0)</f>
        <v>00578</v>
      </c>
      <c r="D521" s="108">
        <v>46125</v>
      </c>
      <c r="E521" s="56">
        <v>-10633328</v>
      </c>
      <c r="F521" t="s">
        <v>598</v>
      </c>
    </row>
    <row r="522" spans="1:11" x14ac:dyDescent="0.2">
      <c r="A522">
        <v>519</v>
      </c>
      <c r="B522" t="s">
        <v>135</v>
      </c>
      <c r="C522" t="str">
        <f>VLOOKUP(B522,'Master Anggota'!$E$2:$I$279,5,0)</f>
        <v>00293</v>
      </c>
      <c r="D522" s="108">
        <v>46136</v>
      </c>
      <c r="E522" s="56">
        <v>-3808333</v>
      </c>
      <c r="F522" t="s">
        <v>598</v>
      </c>
    </row>
    <row r="523" spans="1:11" x14ac:dyDescent="0.2">
      <c r="A523">
        <v>520</v>
      </c>
      <c r="B523" t="s">
        <v>248</v>
      </c>
      <c r="C523" t="str">
        <f>VLOOKUP(B523,'Master Anggota'!$E$2:$I$279,5,0)</f>
        <v>00302</v>
      </c>
      <c r="D523" s="108">
        <v>46136</v>
      </c>
      <c r="E523" s="56">
        <v>-3841667</v>
      </c>
      <c r="F523" t="s">
        <v>598</v>
      </c>
    </row>
    <row r="524" spans="1:11" x14ac:dyDescent="0.2">
      <c r="A524">
        <v>521</v>
      </c>
      <c r="B524" t="s">
        <v>335</v>
      </c>
      <c r="C524" t="str">
        <f>VLOOKUP(B524,'Master Anggota'!$E$2:$I$279,5,0)</f>
        <v>00311</v>
      </c>
      <c r="D524" s="108">
        <v>46136</v>
      </c>
      <c r="E524" s="56">
        <v>-3958333</v>
      </c>
      <c r="F524" t="s">
        <v>598</v>
      </c>
    </row>
    <row r="525" spans="1:11" x14ac:dyDescent="0.2">
      <c r="A525">
        <v>522</v>
      </c>
      <c r="B525" t="s">
        <v>113</v>
      </c>
      <c r="C525" t="str">
        <f>VLOOKUP(B525,'Master Anggota'!$E$2:$I$279,5,0)</f>
        <v>00317</v>
      </c>
      <c r="D525" s="108">
        <v>46136</v>
      </c>
      <c r="E525" s="56">
        <v>-2900000</v>
      </c>
      <c r="F525" t="s">
        <v>598</v>
      </c>
    </row>
    <row r="526" spans="1:11" x14ac:dyDescent="0.2">
      <c r="A526">
        <v>523</v>
      </c>
      <c r="B526" t="s">
        <v>198</v>
      </c>
      <c r="C526" t="str">
        <f>VLOOKUP(B526,'Master Anggota'!$E$2:$I$279,5,0)</f>
        <v>00327</v>
      </c>
      <c r="D526" s="108">
        <v>46136</v>
      </c>
      <c r="E526" s="56">
        <v>-6424608</v>
      </c>
      <c r="F526" t="s">
        <v>598</v>
      </c>
    </row>
    <row r="527" spans="1:11" x14ac:dyDescent="0.2">
      <c r="A527">
        <v>524</v>
      </c>
      <c r="B527" t="s">
        <v>208</v>
      </c>
      <c r="C527" t="str">
        <f>VLOOKUP(B527,'Master Anggota'!$E$2:$I$279,5,0)</f>
        <v>00328</v>
      </c>
      <c r="D527" s="108">
        <v>46136</v>
      </c>
      <c r="E527" s="56">
        <v>-3275000</v>
      </c>
      <c r="F527" t="s">
        <v>598</v>
      </c>
    </row>
    <row r="528" spans="1:11" x14ac:dyDescent="0.2">
      <c r="A528">
        <v>525</v>
      </c>
      <c r="B528" t="s">
        <v>341</v>
      </c>
      <c r="C528" t="str">
        <f>VLOOKUP(B528,'Master Anggota'!$E$2:$I$279,5,0)</f>
        <v>00339</v>
      </c>
      <c r="D528" s="108">
        <v>46136</v>
      </c>
      <c r="E528" s="56">
        <v>-2325000</v>
      </c>
      <c r="F528" t="s">
        <v>598</v>
      </c>
    </row>
    <row r="529" spans="1:6" x14ac:dyDescent="0.2">
      <c r="A529">
        <v>526</v>
      </c>
      <c r="B529" t="s">
        <v>129</v>
      </c>
      <c r="C529" t="str">
        <f>VLOOKUP(B529,'Master Anggota'!$E$2:$I$279,5,0)</f>
        <v>00343</v>
      </c>
      <c r="D529" s="108">
        <v>46136</v>
      </c>
      <c r="E529" s="56">
        <v>-3105000</v>
      </c>
      <c r="F529" t="s">
        <v>598</v>
      </c>
    </row>
    <row r="530" spans="1:6" x14ac:dyDescent="0.2">
      <c r="A530">
        <v>527</v>
      </c>
      <c r="B530" t="s">
        <v>480</v>
      </c>
      <c r="C530" t="str">
        <f>VLOOKUP(B530,'Master Anggota'!$E$2:$I$279,5,0)</f>
        <v>00351</v>
      </c>
      <c r="D530" s="108">
        <v>46136</v>
      </c>
      <c r="E530" s="56">
        <v>-2325000</v>
      </c>
      <c r="F530" t="s">
        <v>598</v>
      </c>
    </row>
    <row r="531" spans="1:6" x14ac:dyDescent="0.2">
      <c r="A531">
        <v>528</v>
      </c>
      <c r="B531" t="s">
        <v>151</v>
      </c>
      <c r="C531" t="str">
        <f>VLOOKUP(B531,'Master Anggota'!$E$2:$I$279,5,0)</f>
        <v>00362</v>
      </c>
      <c r="D531" s="108">
        <v>46136</v>
      </c>
      <c r="E531" s="56">
        <v>-3842333</v>
      </c>
      <c r="F531" t="s">
        <v>598</v>
      </c>
    </row>
    <row r="532" spans="1:6" x14ac:dyDescent="0.2">
      <c r="A532">
        <v>529</v>
      </c>
      <c r="B532" t="s">
        <v>90</v>
      </c>
      <c r="C532" t="str">
        <f>VLOOKUP(B532,'Master Anggota'!$E$2:$I$279,5,0)</f>
        <v>00363</v>
      </c>
      <c r="D532" s="108">
        <v>46136</v>
      </c>
      <c r="E532" s="56">
        <v>-3450000</v>
      </c>
      <c r="F532" t="s">
        <v>598</v>
      </c>
    </row>
    <row r="533" spans="1:6" x14ac:dyDescent="0.2">
      <c r="A533">
        <v>530</v>
      </c>
      <c r="B533" t="s">
        <v>483</v>
      </c>
      <c r="C533" t="str">
        <f>VLOOKUP(B533,'Master Anggota'!$E$2:$I$279,5,0)</f>
        <v>00368</v>
      </c>
      <c r="D533" s="108">
        <v>46136</v>
      </c>
      <c r="E533" s="56">
        <v>-3275000</v>
      </c>
      <c r="F533" t="s">
        <v>598</v>
      </c>
    </row>
    <row r="534" spans="1:6" x14ac:dyDescent="0.2">
      <c r="A534">
        <v>531</v>
      </c>
      <c r="B534" t="s">
        <v>328</v>
      </c>
      <c r="C534" t="str">
        <f>VLOOKUP(B534,'Master Anggota'!$E$2:$I$279,5,0)</f>
        <v>00369</v>
      </c>
      <c r="D534" s="108">
        <v>46136</v>
      </c>
      <c r="E534" s="56">
        <v>-1812500</v>
      </c>
      <c r="F534" t="s">
        <v>598</v>
      </c>
    </row>
    <row r="535" spans="1:6" x14ac:dyDescent="0.2">
      <c r="A535">
        <v>532</v>
      </c>
      <c r="B535" t="s">
        <v>521</v>
      </c>
      <c r="C535" t="str">
        <f>VLOOKUP(B535,'Master Anggota'!$E$2:$I$279,5,0)</f>
        <v>00376</v>
      </c>
      <c r="D535" s="108">
        <v>46136</v>
      </c>
      <c r="E535" s="56">
        <v>-3558333</v>
      </c>
      <c r="F535" t="s">
        <v>598</v>
      </c>
    </row>
    <row r="536" spans="1:6" x14ac:dyDescent="0.2">
      <c r="A536">
        <v>533</v>
      </c>
      <c r="B536" t="s">
        <v>258</v>
      </c>
      <c r="C536" t="str">
        <f>VLOOKUP(B536,'Master Anggota'!$E$2:$I$279,5,0)</f>
        <v>00390</v>
      </c>
      <c r="D536" s="108">
        <v>46136</v>
      </c>
      <c r="E536" s="56">
        <v>-1866667</v>
      </c>
      <c r="F536" t="s">
        <v>598</v>
      </c>
    </row>
    <row r="537" spans="1:6" x14ac:dyDescent="0.2">
      <c r="A537">
        <v>534</v>
      </c>
      <c r="B537" t="s">
        <v>92</v>
      </c>
      <c r="C537" t="str">
        <f>VLOOKUP(B537,'Master Anggota'!$E$2:$I$279,5,0)</f>
        <v>00396</v>
      </c>
      <c r="D537" s="108">
        <v>46136</v>
      </c>
      <c r="E537" s="56">
        <v>-4475000</v>
      </c>
      <c r="F537" t="s">
        <v>598</v>
      </c>
    </row>
    <row r="538" spans="1:6" x14ac:dyDescent="0.2">
      <c r="A538">
        <v>535</v>
      </c>
      <c r="B538" t="s">
        <v>103</v>
      </c>
      <c r="C538" t="str">
        <f>VLOOKUP(B538,'Master Anggota'!$E$2:$I$279,5,0)</f>
        <v>00401</v>
      </c>
      <c r="D538" s="108">
        <v>46136</v>
      </c>
      <c r="E538" s="56">
        <v>-2120000</v>
      </c>
      <c r="F538" t="s">
        <v>598</v>
      </c>
    </row>
    <row r="539" spans="1:6" x14ac:dyDescent="0.2">
      <c r="A539">
        <v>536</v>
      </c>
      <c r="B539" t="s">
        <v>115</v>
      </c>
      <c r="C539" t="str">
        <f>VLOOKUP(B539,'Master Anggota'!$E$2:$I$279,5,0)</f>
        <v>00497</v>
      </c>
      <c r="D539" s="108">
        <v>46136</v>
      </c>
      <c r="E539" s="56">
        <v>-1400000</v>
      </c>
      <c r="F539" t="s">
        <v>598</v>
      </c>
    </row>
    <row r="540" spans="1:6" x14ac:dyDescent="0.2">
      <c r="A540">
        <v>537</v>
      </c>
      <c r="B540" t="s">
        <v>194</v>
      </c>
      <c r="C540" t="str">
        <f>VLOOKUP(B540,'Master Anggota'!$E$2:$I$279,5,0)</f>
        <v>00498</v>
      </c>
      <c r="D540" s="108">
        <v>46136</v>
      </c>
      <c r="E540" s="56">
        <v>-5920000</v>
      </c>
      <c r="F540" t="s">
        <v>598</v>
      </c>
    </row>
    <row r="541" spans="1:6" x14ac:dyDescent="0.2">
      <c r="A541">
        <v>538</v>
      </c>
      <c r="B541" t="s">
        <v>155</v>
      </c>
      <c r="C541" t="str">
        <f>VLOOKUP(B541,'Master Anggota'!$E$2:$I$279,5,0)</f>
        <v>00499</v>
      </c>
      <c r="D541" s="108">
        <v>46136</v>
      </c>
      <c r="E541" s="56">
        <v>-1291667</v>
      </c>
      <c r="F541" t="s">
        <v>598</v>
      </c>
    </row>
    <row r="542" spans="1:6" x14ac:dyDescent="0.2">
      <c r="A542">
        <v>539</v>
      </c>
      <c r="B542" t="s">
        <v>96</v>
      </c>
      <c r="C542" t="str">
        <f>VLOOKUP(B542,'Master Anggota'!$E$2:$I$279,5,0)</f>
        <v>00508</v>
      </c>
      <c r="D542" s="108">
        <v>46136</v>
      </c>
      <c r="E542" s="56">
        <v>-2708333</v>
      </c>
      <c r="F542" t="s">
        <v>598</v>
      </c>
    </row>
    <row r="543" spans="1:6" x14ac:dyDescent="0.2">
      <c r="A543">
        <v>540</v>
      </c>
      <c r="B543" t="s">
        <v>270</v>
      </c>
      <c r="C543" t="str">
        <f>VLOOKUP(B543,'Master Anggota'!$E$2:$I$279,5,0)</f>
        <v>00509</v>
      </c>
      <c r="D543" s="108">
        <v>46136</v>
      </c>
      <c r="E543" s="56">
        <v>-4</v>
      </c>
      <c r="F543" t="s">
        <v>598</v>
      </c>
    </row>
    <row r="544" spans="1:6" x14ac:dyDescent="0.2">
      <c r="A544">
        <v>541</v>
      </c>
      <c r="B544" t="s">
        <v>202</v>
      </c>
      <c r="C544" t="str">
        <f>VLOOKUP(B544,'Master Anggota'!$E$2:$I$279,5,0)</f>
        <v>00512</v>
      </c>
      <c r="D544" s="108">
        <v>46136</v>
      </c>
      <c r="E544" s="56">
        <v>-1033333</v>
      </c>
      <c r="F544" t="s">
        <v>598</v>
      </c>
    </row>
    <row r="545" spans="1:6" x14ac:dyDescent="0.2">
      <c r="A545">
        <v>542</v>
      </c>
      <c r="B545" t="s">
        <v>239</v>
      </c>
      <c r="C545" t="str">
        <f>VLOOKUP(B545,'Master Anggota'!$E$2:$I$279,5,0)</f>
        <v>00513</v>
      </c>
      <c r="D545" s="108">
        <v>46136</v>
      </c>
      <c r="E545" s="56">
        <v>-2708333</v>
      </c>
      <c r="F545" t="s">
        <v>598</v>
      </c>
    </row>
    <row r="546" spans="1:6" x14ac:dyDescent="0.2">
      <c r="A546">
        <v>543</v>
      </c>
      <c r="B546" t="s">
        <v>223</v>
      </c>
      <c r="C546" t="str">
        <f>VLOOKUP(B546,'Master Anggota'!$E$2:$I$279,5,0)</f>
        <v>00514</v>
      </c>
      <c r="D546" s="108">
        <v>46136</v>
      </c>
      <c r="E546" s="56">
        <v>-933334</v>
      </c>
      <c r="F546" t="s">
        <v>598</v>
      </c>
    </row>
    <row r="547" spans="1:6" x14ac:dyDescent="0.2">
      <c r="A547">
        <v>544</v>
      </c>
      <c r="B547" t="s">
        <v>274</v>
      </c>
      <c r="C547" t="str">
        <f>VLOOKUP(B547,'Master Anggota'!$E$2:$I$279,5,0)</f>
        <v>00515</v>
      </c>
      <c r="D547" s="108">
        <v>46136</v>
      </c>
      <c r="E547" s="56">
        <v>-1825000</v>
      </c>
      <c r="F547" t="s">
        <v>598</v>
      </c>
    </row>
    <row r="548" spans="1:6" x14ac:dyDescent="0.2">
      <c r="A548">
        <v>545</v>
      </c>
      <c r="B548" t="s">
        <v>233</v>
      </c>
      <c r="C548" t="str">
        <f>VLOOKUP(B548,'Master Anggota'!$E$2:$I$279,5,0)</f>
        <v>00516</v>
      </c>
      <c r="D548" s="108">
        <v>46136</v>
      </c>
      <c r="E548" s="56">
        <v>-383333</v>
      </c>
      <c r="F548" t="s">
        <v>598</v>
      </c>
    </row>
    <row r="549" spans="1:6" x14ac:dyDescent="0.2">
      <c r="A549">
        <v>546</v>
      </c>
      <c r="B549" t="s">
        <v>200</v>
      </c>
      <c r="C549" t="str">
        <f>VLOOKUP(B549,'Master Anggota'!$E$2:$I$279,5,0)</f>
        <v>00520</v>
      </c>
      <c r="D549" s="108">
        <v>46136</v>
      </c>
      <c r="E549" s="56">
        <v>-1650000</v>
      </c>
      <c r="F549" t="s">
        <v>598</v>
      </c>
    </row>
    <row r="550" spans="1:6" x14ac:dyDescent="0.2">
      <c r="A550">
        <v>547</v>
      </c>
      <c r="B550" t="s">
        <v>107</v>
      </c>
      <c r="C550" t="str">
        <f>VLOOKUP(B550,'Master Anggota'!$E$2:$I$279,5,0)</f>
        <v>00521</v>
      </c>
      <c r="D550" s="108">
        <v>46136</v>
      </c>
      <c r="E550" s="56">
        <v>-4791667</v>
      </c>
      <c r="F550" t="s">
        <v>598</v>
      </c>
    </row>
    <row r="551" spans="1:6" x14ac:dyDescent="0.2">
      <c r="A551">
        <v>548</v>
      </c>
      <c r="B551" t="s">
        <v>235</v>
      </c>
      <c r="C551" t="str">
        <f>VLOOKUP(B551,'Master Anggota'!$E$2:$I$279,5,0)</f>
        <v>00523</v>
      </c>
      <c r="D551" s="108">
        <v>46136</v>
      </c>
      <c r="E551" s="56">
        <v>-2333333</v>
      </c>
      <c r="F551" t="s">
        <v>598</v>
      </c>
    </row>
    <row r="552" spans="1:6" x14ac:dyDescent="0.2">
      <c r="A552">
        <v>549</v>
      </c>
      <c r="B552" t="s">
        <v>252</v>
      </c>
      <c r="C552" t="str">
        <f>VLOOKUP(B552,'Master Anggota'!$E$2:$I$279,5,0)</f>
        <v>00524</v>
      </c>
      <c r="D552" s="108">
        <v>46136</v>
      </c>
      <c r="E552" s="56">
        <v>-2708333</v>
      </c>
      <c r="F552" t="s">
        <v>598</v>
      </c>
    </row>
    <row r="553" spans="1:6" x14ac:dyDescent="0.2">
      <c r="A553">
        <v>550</v>
      </c>
      <c r="B553" t="s">
        <v>206</v>
      </c>
      <c r="C553" t="str">
        <f>VLOOKUP(B553,'Master Anggota'!$E$2:$I$279,5,0)</f>
        <v>00525</v>
      </c>
      <c r="D553" s="108">
        <v>46136</v>
      </c>
      <c r="E553" s="56">
        <v>-3331667</v>
      </c>
      <c r="F553" t="s">
        <v>598</v>
      </c>
    </row>
    <row r="554" spans="1:6" x14ac:dyDescent="0.2">
      <c r="A554">
        <v>551</v>
      </c>
      <c r="B554" t="s">
        <v>241</v>
      </c>
      <c r="C554" t="str">
        <f>VLOOKUP(B554,'Master Anggota'!$E$2:$I$279,5,0)</f>
        <v>00526</v>
      </c>
      <c r="D554" s="108">
        <v>46136</v>
      </c>
      <c r="E554" s="56">
        <v>-2708333</v>
      </c>
      <c r="F554" t="s">
        <v>598</v>
      </c>
    </row>
    <row r="555" spans="1:6" x14ac:dyDescent="0.2">
      <c r="A555">
        <v>552</v>
      </c>
      <c r="B555" t="s">
        <v>214</v>
      </c>
      <c r="C555" t="str">
        <f>VLOOKUP(B555,'Master Anggota'!$E$2:$I$279,5,0)</f>
        <v>00529</v>
      </c>
      <c r="D555" s="108">
        <v>46136</v>
      </c>
      <c r="E555" s="56">
        <v>-1341667</v>
      </c>
      <c r="F555" t="s">
        <v>598</v>
      </c>
    </row>
    <row r="556" spans="1:6" x14ac:dyDescent="0.2">
      <c r="A556">
        <v>553</v>
      </c>
      <c r="B556" t="s">
        <v>243</v>
      </c>
      <c r="C556" t="str">
        <f>VLOOKUP(B556,'Master Anggota'!$E$2:$I$279,5,0)</f>
        <v>00530</v>
      </c>
      <c r="D556" s="108">
        <v>46136</v>
      </c>
      <c r="E556" s="56">
        <v>-3558333</v>
      </c>
      <c r="F556" t="s">
        <v>598</v>
      </c>
    </row>
    <row r="557" spans="1:6" x14ac:dyDescent="0.2">
      <c r="A557">
        <v>554</v>
      </c>
      <c r="B557" t="s">
        <v>225</v>
      </c>
      <c r="C557" t="str">
        <f>VLOOKUP(B557,'Master Anggota'!$E$2:$I$279,5,0)</f>
        <v>00531</v>
      </c>
      <c r="D557" s="108">
        <v>46136</v>
      </c>
      <c r="E557" s="56">
        <v>-440000</v>
      </c>
      <c r="F557" t="s">
        <v>598</v>
      </c>
    </row>
    <row r="558" spans="1:6" x14ac:dyDescent="0.2">
      <c r="A558">
        <v>555</v>
      </c>
      <c r="B558" t="s">
        <v>522</v>
      </c>
      <c r="C558" t="str">
        <f>VLOOKUP(B558,'Master Anggota'!$E$2:$I$279,5,0)</f>
        <v>00533</v>
      </c>
      <c r="D558" s="108">
        <v>46136</v>
      </c>
      <c r="E558" s="56">
        <v>-3275000</v>
      </c>
      <c r="F558" t="s">
        <v>598</v>
      </c>
    </row>
    <row r="559" spans="1:6" x14ac:dyDescent="0.2">
      <c r="A559">
        <v>556</v>
      </c>
      <c r="B559" t="s">
        <v>204</v>
      </c>
      <c r="C559" t="str">
        <f>VLOOKUP(B559,'Master Anggota'!$E$2:$I$279,5,0)</f>
        <v>00534</v>
      </c>
      <c r="D559" s="108">
        <v>46136</v>
      </c>
      <c r="E559" s="56">
        <v>-1825000</v>
      </c>
      <c r="F559" t="s">
        <v>598</v>
      </c>
    </row>
    <row r="560" spans="1:6" x14ac:dyDescent="0.2">
      <c r="A560">
        <v>557</v>
      </c>
      <c r="B560" t="s">
        <v>189</v>
      </c>
      <c r="C560" t="str">
        <f>VLOOKUP(B560,'Master Anggota'!$E$2:$I$279,5,0)</f>
        <v>00535</v>
      </c>
      <c r="D560" s="108">
        <v>46136</v>
      </c>
      <c r="E560" s="56">
        <v>-597333</v>
      </c>
      <c r="F560" t="s">
        <v>598</v>
      </c>
    </row>
    <row r="561" spans="1:6" x14ac:dyDescent="0.2">
      <c r="A561">
        <v>558</v>
      </c>
      <c r="B561" t="s">
        <v>81</v>
      </c>
      <c r="C561" t="str">
        <f>VLOOKUP(B561,'Master Anggota'!$E$2:$I$279,5,0)</f>
        <v>00537</v>
      </c>
      <c r="D561" s="108">
        <v>46136</v>
      </c>
      <c r="E561" s="56">
        <v>-2708333</v>
      </c>
      <c r="F561" t="s">
        <v>598</v>
      </c>
    </row>
    <row r="562" spans="1:6" x14ac:dyDescent="0.2">
      <c r="A562">
        <v>559</v>
      </c>
      <c r="B562" t="s">
        <v>53</v>
      </c>
      <c r="C562" t="str">
        <f>VLOOKUP(B562,'Master Anggota'!$E$2:$I$279,5,0)</f>
        <v>00540</v>
      </c>
      <c r="D562" s="108">
        <v>46136</v>
      </c>
      <c r="E562" s="56">
        <v>-775000</v>
      </c>
      <c r="F562" t="s">
        <v>598</v>
      </c>
    </row>
    <row r="563" spans="1:6" x14ac:dyDescent="0.2">
      <c r="A563">
        <v>560</v>
      </c>
      <c r="B563" t="s">
        <v>79</v>
      </c>
      <c r="C563" t="str">
        <f>VLOOKUP(B563,'Master Anggota'!$E$2:$I$279,5,0)</f>
        <v>00541</v>
      </c>
      <c r="D563" s="108">
        <v>46136</v>
      </c>
      <c r="E563" s="56">
        <v>-4125000</v>
      </c>
      <c r="F563" t="s">
        <v>598</v>
      </c>
    </row>
    <row r="564" spans="1:6" x14ac:dyDescent="0.2">
      <c r="A564">
        <v>561</v>
      </c>
      <c r="B564" t="s">
        <v>35</v>
      </c>
      <c r="C564" t="str">
        <f>VLOOKUP(B564,'Master Anggota'!$E$2:$I$279,5,0)</f>
        <v>00546</v>
      </c>
      <c r="D564" s="108">
        <v>46136</v>
      </c>
      <c r="E564" s="56">
        <v>-1575000</v>
      </c>
      <c r="F564" t="s">
        <v>598</v>
      </c>
    </row>
    <row r="565" spans="1:6" x14ac:dyDescent="0.2">
      <c r="A565">
        <v>562</v>
      </c>
      <c r="B565" t="s">
        <v>85</v>
      </c>
      <c r="C565" t="str">
        <f>VLOOKUP(B565,'Master Anggota'!$E$2:$I$279,5,0)</f>
        <v>00547</v>
      </c>
      <c r="D565" s="108">
        <v>46136</v>
      </c>
      <c r="E565" s="56">
        <v>-2368333</v>
      </c>
      <c r="F565" t="s">
        <v>598</v>
      </c>
    </row>
    <row r="566" spans="1:6" x14ac:dyDescent="0.2">
      <c r="A566">
        <v>563</v>
      </c>
      <c r="B566" t="s">
        <v>153</v>
      </c>
      <c r="C566" t="str">
        <f>VLOOKUP(B566,'Master Anggota'!$E$2:$I$279,5,0)</f>
        <v>00548</v>
      </c>
      <c r="D566" s="108">
        <v>46136</v>
      </c>
      <c r="E566" s="56">
        <v>-1348333</v>
      </c>
      <c r="F566" t="s">
        <v>598</v>
      </c>
    </row>
    <row r="567" spans="1:6" x14ac:dyDescent="0.2">
      <c r="A567">
        <v>564</v>
      </c>
      <c r="B567" t="s">
        <v>484</v>
      </c>
      <c r="C567" t="str">
        <f>VLOOKUP(B567,'Master Anggota'!$E$2:$I$279,5,0)</f>
        <v>00552</v>
      </c>
      <c r="D567" s="108">
        <v>46136</v>
      </c>
      <c r="E567" s="56">
        <v>-4408333</v>
      </c>
      <c r="F567" t="s">
        <v>598</v>
      </c>
    </row>
    <row r="568" spans="1:6" x14ac:dyDescent="0.2">
      <c r="A568">
        <v>565</v>
      </c>
      <c r="B568" t="s">
        <v>8</v>
      </c>
      <c r="C568" t="str">
        <f>VLOOKUP(B568,'Master Anggota'!$E$2:$I$279,5,0)</f>
        <v>00553</v>
      </c>
      <c r="D568" s="108">
        <v>46136</v>
      </c>
      <c r="E568" s="56">
        <v>-660000</v>
      </c>
      <c r="F568" t="s">
        <v>598</v>
      </c>
    </row>
    <row r="569" spans="1:6" x14ac:dyDescent="0.2">
      <c r="A569">
        <v>566</v>
      </c>
      <c r="B569" t="s">
        <v>87</v>
      </c>
      <c r="C569" t="str">
        <f>VLOOKUP(B569,'Master Anggota'!$E$2:$I$279,5,0)</f>
        <v>00554</v>
      </c>
      <c r="D569" s="108">
        <v>46136</v>
      </c>
      <c r="E569" s="56">
        <v>-530000</v>
      </c>
      <c r="F569" t="s">
        <v>598</v>
      </c>
    </row>
    <row r="570" spans="1:6" x14ac:dyDescent="0.2">
      <c r="A570">
        <v>567</v>
      </c>
      <c r="B570" t="s">
        <v>276</v>
      </c>
      <c r="C570" t="str">
        <f>VLOOKUP(B570,'Master Anggota'!$E$2:$I$279,5,0)</f>
        <v>00558</v>
      </c>
      <c r="D570" s="108">
        <v>46136</v>
      </c>
      <c r="E570" s="56">
        <v>-1341667</v>
      </c>
      <c r="F570" t="s">
        <v>598</v>
      </c>
    </row>
    <row r="571" spans="1:6" x14ac:dyDescent="0.2">
      <c r="A571">
        <v>568</v>
      </c>
      <c r="B571" t="s">
        <v>175</v>
      </c>
      <c r="C571" t="str">
        <f>VLOOKUP(B571,'Master Anggota'!$E$2:$I$279,5,0)</f>
        <v>00563</v>
      </c>
      <c r="D571" s="108">
        <v>46136</v>
      </c>
      <c r="E571" s="56">
        <v>-2708333</v>
      </c>
      <c r="F571" t="s">
        <v>598</v>
      </c>
    </row>
    <row r="572" spans="1:6" x14ac:dyDescent="0.2">
      <c r="A572">
        <v>569</v>
      </c>
      <c r="B572" t="s">
        <v>277</v>
      </c>
      <c r="C572" t="str">
        <f>VLOOKUP(B572,'Master Anggota'!$E$2:$I$279,5,0)</f>
        <v>00564</v>
      </c>
      <c r="D572" s="108">
        <v>46136</v>
      </c>
      <c r="E572" s="56">
        <v>-1291667</v>
      </c>
      <c r="F572" t="s">
        <v>598</v>
      </c>
    </row>
    <row r="573" spans="1:6" x14ac:dyDescent="0.2">
      <c r="A573">
        <v>570</v>
      </c>
      <c r="B573" t="s">
        <v>182</v>
      </c>
      <c r="C573" t="str">
        <f>VLOOKUP(B573,'Master Anggota'!$E$2:$I$279,5,0)</f>
        <v>00565</v>
      </c>
      <c r="D573" s="108">
        <v>46136</v>
      </c>
      <c r="E573" s="56">
        <v>-3125000</v>
      </c>
      <c r="F573" t="s">
        <v>598</v>
      </c>
    </row>
    <row r="574" spans="1:6" x14ac:dyDescent="0.2">
      <c r="A574">
        <v>571</v>
      </c>
      <c r="B574" t="s">
        <v>176</v>
      </c>
      <c r="C574" t="str">
        <f>VLOOKUP(B574,'Master Anggota'!$E$2:$I$279,5,0)</f>
        <v>00568</v>
      </c>
      <c r="D574" s="108">
        <v>46136</v>
      </c>
      <c r="E574" s="56">
        <v>-1085000</v>
      </c>
      <c r="F574" t="s">
        <v>598</v>
      </c>
    </row>
    <row r="575" spans="1:6" x14ac:dyDescent="0.2">
      <c r="A575">
        <v>572</v>
      </c>
      <c r="B575" t="s">
        <v>177</v>
      </c>
      <c r="C575" t="str">
        <f>VLOOKUP(B575,'Master Anggota'!$E$2:$I$279,5,0)</f>
        <v>00569</v>
      </c>
      <c r="D575" s="108">
        <v>46136</v>
      </c>
      <c r="E575" s="56">
        <v>-2595000</v>
      </c>
      <c r="F575" t="s">
        <v>598</v>
      </c>
    </row>
    <row r="576" spans="1:6" x14ac:dyDescent="0.2">
      <c r="A576">
        <v>573</v>
      </c>
      <c r="B576" t="s">
        <v>363</v>
      </c>
      <c r="C576" t="str">
        <f>VLOOKUP(B576,'Master Anggota'!$E$2:$I$279,5,0)</f>
        <v>00576</v>
      </c>
      <c r="D576" s="108">
        <v>46136</v>
      </c>
      <c r="E576" s="56">
        <v>-1858333</v>
      </c>
      <c r="F576" t="s">
        <v>598</v>
      </c>
    </row>
    <row r="577" spans="1:6" x14ac:dyDescent="0.2">
      <c r="A577">
        <v>574</v>
      </c>
      <c r="B577" t="s">
        <v>467</v>
      </c>
      <c r="C577" t="str">
        <f>VLOOKUP(B577,'Master Anggota'!$E$2:$I$279,5,0)</f>
        <v>00577</v>
      </c>
      <c r="D577" s="108">
        <v>46136</v>
      </c>
      <c r="E577" s="56">
        <v>-1603333</v>
      </c>
      <c r="F577" t="s">
        <v>598</v>
      </c>
    </row>
    <row r="578" spans="1:6" x14ac:dyDescent="0.2">
      <c r="A578">
        <v>575</v>
      </c>
      <c r="B578" t="s">
        <v>523</v>
      </c>
      <c r="C578" t="str">
        <f>VLOOKUP(B578,'Master Anggota'!$E$2:$I$279,5,0)</f>
        <v>00579</v>
      </c>
      <c r="D578" s="108">
        <v>46136</v>
      </c>
      <c r="E578" s="56">
        <v>-767000</v>
      </c>
      <c r="F578" t="s">
        <v>598</v>
      </c>
    </row>
    <row r="579" spans="1:6" x14ac:dyDescent="0.2">
      <c r="A579">
        <v>576</v>
      </c>
      <c r="B579" t="s">
        <v>173</v>
      </c>
      <c r="C579" t="str">
        <f>VLOOKUP(B579,'Master Anggota'!$E$2:$I$279,5,0)</f>
        <v>00583</v>
      </c>
      <c r="D579" s="108">
        <v>46136</v>
      </c>
      <c r="E579" s="56">
        <v>-1120000</v>
      </c>
      <c r="F579" t="s">
        <v>598</v>
      </c>
    </row>
    <row r="580" spans="1:6" x14ac:dyDescent="0.2">
      <c r="A580">
        <v>577</v>
      </c>
      <c r="B580" t="s">
        <v>172</v>
      </c>
      <c r="C580" t="str">
        <f>VLOOKUP(B580,'Master Anggota'!$E$2:$I$279,5,0)</f>
        <v>00584</v>
      </c>
      <c r="D580" s="108">
        <v>46136</v>
      </c>
      <c r="E580" s="56">
        <v>-2708333</v>
      </c>
      <c r="F580" t="s">
        <v>598</v>
      </c>
    </row>
    <row r="581" spans="1:6" x14ac:dyDescent="0.2">
      <c r="A581">
        <v>578</v>
      </c>
      <c r="B581" t="s">
        <v>300</v>
      </c>
      <c r="C581" t="str">
        <f>VLOOKUP(B581,'Master Anggota'!$E$2:$I$279,5,0)</f>
        <v>00585</v>
      </c>
      <c r="D581" s="108">
        <v>46136</v>
      </c>
      <c r="E581" s="56">
        <v>-600000</v>
      </c>
      <c r="F581" t="s">
        <v>598</v>
      </c>
    </row>
    <row r="582" spans="1:6" x14ac:dyDescent="0.2">
      <c r="A582">
        <v>579</v>
      </c>
      <c r="B582" t="s">
        <v>188</v>
      </c>
      <c r="C582" t="str">
        <f>VLOOKUP(B582,'Master Anggota'!$E$2:$I$279,5,0)</f>
        <v>00596</v>
      </c>
      <c r="D582" s="108">
        <v>46136</v>
      </c>
      <c r="E582" s="56">
        <v>-1033333</v>
      </c>
      <c r="F582" t="s">
        <v>598</v>
      </c>
    </row>
    <row r="583" spans="1:6" x14ac:dyDescent="0.2">
      <c r="A583">
        <v>580</v>
      </c>
      <c r="B583" t="s">
        <v>325</v>
      </c>
      <c r="C583" t="str">
        <f>VLOOKUP(B583,'Master Anggota'!$E$2:$I$279,5,0)</f>
        <v>00607</v>
      </c>
      <c r="D583" s="108">
        <v>46136</v>
      </c>
      <c r="E583" s="56">
        <v>-775000</v>
      </c>
      <c r="F583" t="s">
        <v>598</v>
      </c>
    </row>
    <row r="584" spans="1:6" x14ac:dyDescent="0.2">
      <c r="A584">
        <v>581</v>
      </c>
      <c r="B584" t="s">
        <v>326</v>
      </c>
      <c r="C584" t="str">
        <f>VLOOKUP(B584,'Master Anggota'!$E$2:$I$279,5,0)</f>
        <v>00608</v>
      </c>
      <c r="D584" s="108">
        <v>46136</v>
      </c>
      <c r="E584" s="56">
        <v>-671667</v>
      </c>
      <c r="F584" t="s">
        <v>598</v>
      </c>
    </row>
    <row r="585" spans="1:6" x14ac:dyDescent="0.2">
      <c r="A585">
        <v>582</v>
      </c>
      <c r="B585" t="s">
        <v>370</v>
      </c>
      <c r="C585" t="str">
        <f>VLOOKUP(B585,'Master Anggota'!$E$2:$I$279,5,0)</f>
        <v>00610</v>
      </c>
      <c r="D585" s="108">
        <v>46136</v>
      </c>
      <c r="E585" s="56">
        <v>-1866667</v>
      </c>
      <c r="F585" t="s">
        <v>598</v>
      </c>
    </row>
    <row r="586" spans="1:6" x14ac:dyDescent="0.2">
      <c r="A586">
        <v>583</v>
      </c>
      <c r="B586" t="s">
        <v>519</v>
      </c>
      <c r="C586" t="str">
        <f>VLOOKUP(B586,'Master Anggota'!$E$2:$I$279,5,0)</f>
        <v>00611</v>
      </c>
      <c r="D586" s="108">
        <v>46136</v>
      </c>
      <c r="E586" s="56">
        <v>-653333</v>
      </c>
      <c r="F586" t="s">
        <v>598</v>
      </c>
    </row>
    <row r="587" spans="1:6" x14ac:dyDescent="0.2">
      <c r="A587">
        <v>584</v>
      </c>
      <c r="B587" t="s">
        <v>400</v>
      </c>
      <c r="C587" t="str">
        <f>VLOOKUP(B587,'Master Anggota'!$E$2:$I$279,5,0)</f>
        <v>00614</v>
      </c>
      <c r="D587" s="108">
        <v>46136</v>
      </c>
      <c r="E587" s="56">
        <v>-723333</v>
      </c>
      <c r="F587" t="s">
        <v>598</v>
      </c>
    </row>
    <row r="588" spans="1:6" x14ac:dyDescent="0.2">
      <c r="A588">
        <v>585</v>
      </c>
      <c r="B588" t="s">
        <v>324</v>
      </c>
      <c r="C588" t="str">
        <f>VLOOKUP(B588,'Master Anggota'!$E$2:$I$279,5,0)</f>
        <v>00626</v>
      </c>
      <c r="D588" s="108">
        <v>46136</v>
      </c>
      <c r="E588" s="56">
        <v>-1500000</v>
      </c>
      <c r="F588" t="s">
        <v>598</v>
      </c>
    </row>
    <row r="589" spans="1:6" x14ac:dyDescent="0.2">
      <c r="A589">
        <v>586</v>
      </c>
      <c r="B589" t="s">
        <v>157</v>
      </c>
      <c r="C589" t="str">
        <f>VLOOKUP(B589,'Master Anggota'!$E$2:$I$279,5,0)</f>
        <v>00633</v>
      </c>
      <c r="D589" s="108">
        <v>46136</v>
      </c>
      <c r="E589" s="56">
        <v>-1916667</v>
      </c>
      <c r="F589" t="s">
        <v>598</v>
      </c>
    </row>
    <row r="590" spans="1:6" x14ac:dyDescent="0.2">
      <c r="A590">
        <v>587</v>
      </c>
      <c r="B590" t="s">
        <v>319</v>
      </c>
      <c r="C590" t="str">
        <f>VLOOKUP(B590,'Master Anggota'!$E$2:$I$279,5,0)</f>
        <v>01302</v>
      </c>
      <c r="D590" s="108">
        <v>46136</v>
      </c>
      <c r="E590" s="56">
        <v>-2200000</v>
      </c>
      <c r="F590" t="s">
        <v>598</v>
      </c>
    </row>
    <row r="591" spans="1:6" x14ac:dyDescent="0.2">
      <c r="A591">
        <v>588</v>
      </c>
      <c r="B591" t="s">
        <v>289</v>
      </c>
      <c r="C591" t="str">
        <f>VLOOKUP(B591,'Master Anggota'!$E$2:$I$279,5,0)</f>
        <v>01511</v>
      </c>
      <c r="D591" s="108">
        <v>46136</v>
      </c>
      <c r="E591" s="56">
        <v>-1680000</v>
      </c>
      <c r="F591" t="s">
        <v>598</v>
      </c>
    </row>
    <row r="592" spans="1:6" x14ac:dyDescent="0.2">
      <c r="A592">
        <v>589</v>
      </c>
      <c r="B592" t="s">
        <v>358</v>
      </c>
      <c r="C592" t="str">
        <f>VLOOKUP(B592,'Master Anggota'!$E$2:$I$279,5,0)</f>
        <v>01530</v>
      </c>
      <c r="D592" s="108">
        <v>46136</v>
      </c>
      <c r="E592" s="56">
        <v>-1760000</v>
      </c>
      <c r="F592" t="s">
        <v>598</v>
      </c>
    </row>
    <row r="593" spans="1:8" x14ac:dyDescent="0.2">
      <c r="A593">
        <v>590</v>
      </c>
      <c r="B593" t="s">
        <v>304</v>
      </c>
      <c r="C593" t="str">
        <f>VLOOKUP(B593,'Master Anggota'!$E$2:$I$279,5,0)</f>
        <v>01541</v>
      </c>
      <c r="D593" s="108">
        <v>46136</v>
      </c>
      <c r="E593" s="56">
        <v>-1513636</v>
      </c>
      <c r="F593" t="s">
        <v>598</v>
      </c>
    </row>
    <row r="594" spans="1:8" x14ac:dyDescent="0.2">
      <c r="A594">
        <v>591</v>
      </c>
      <c r="B594" t="s">
        <v>316</v>
      </c>
      <c r="C594" t="str">
        <f>VLOOKUP(B594,'Master Anggota'!$E$2:$I$279,5,0)</f>
        <v>01544</v>
      </c>
      <c r="D594" s="108">
        <v>46136</v>
      </c>
      <c r="E594" s="56">
        <v>-1430000</v>
      </c>
      <c r="F594" t="s">
        <v>598</v>
      </c>
    </row>
    <row r="595" spans="1:8" x14ac:dyDescent="0.2">
      <c r="A595">
        <v>592</v>
      </c>
      <c r="B595" t="s">
        <v>482</v>
      </c>
      <c r="C595" t="str">
        <f>VLOOKUP(B595,'Master Anggota'!$E$2:$I$279,5,0)</f>
        <v>01561</v>
      </c>
      <c r="D595" s="108">
        <v>46136</v>
      </c>
      <c r="E595" s="56">
        <v>-1430000</v>
      </c>
      <c r="F595" t="s">
        <v>598</v>
      </c>
    </row>
    <row r="596" spans="1:8" x14ac:dyDescent="0.2">
      <c r="A596">
        <v>593</v>
      </c>
      <c r="B596" t="s">
        <v>311</v>
      </c>
      <c r="C596" t="str">
        <f>VLOOKUP(B596,'Master Anggota'!$E$2:$I$279,5,0)</f>
        <v>01602</v>
      </c>
      <c r="D596" s="108">
        <v>46136</v>
      </c>
      <c r="E596" s="56">
        <v>-1433333</v>
      </c>
      <c r="F596" t="s">
        <v>598</v>
      </c>
    </row>
    <row r="597" spans="1:8" x14ac:dyDescent="0.2">
      <c r="A597">
        <v>594</v>
      </c>
      <c r="B597" t="s">
        <v>318</v>
      </c>
      <c r="C597" t="str">
        <f>VLOOKUP(B597,'Master Anggota'!$E$2:$I$279,5,0)</f>
        <v>01651</v>
      </c>
      <c r="D597" s="108">
        <v>46136</v>
      </c>
      <c r="E597" s="56">
        <v>-330000</v>
      </c>
      <c r="F597" t="s">
        <v>598</v>
      </c>
    </row>
    <row r="598" spans="1:8" x14ac:dyDescent="0.2">
      <c r="A598">
        <v>595</v>
      </c>
      <c r="B598" t="s">
        <v>327</v>
      </c>
      <c r="C598" t="str">
        <f>VLOOKUP(B598,'Master Anggota'!$E$2:$I$279,5,0)</f>
        <v>01665</v>
      </c>
      <c r="D598" s="108">
        <v>46136</v>
      </c>
      <c r="E598" s="56">
        <v>-618333</v>
      </c>
      <c r="F598" t="s">
        <v>598</v>
      </c>
    </row>
    <row r="599" spans="1:8" x14ac:dyDescent="0.2">
      <c r="A599">
        <v>596</v>
      </c>
      <c r="B599" t="s">
        <v>368</v>
      </c>
      <c r="C599" t="str">
        <f>VLOOKUP(B599,'Master Anggota'!$E$2:$I$279,5,0)</f>
        <v>01703</v>
      </c>
      <c r="D599" s="108">
        <v>46136</v>
      </c>
      <c r="E599" s="56">
        <v>-530000</v>
      </c>
      <c r="F599" t="s">
        <v>598</v>
      </c>
    </row>
    <row r="600" spans="1:8" x14ac:dyDescent="0.2">
      <c r="A600">
        <v>597</v>
      </c>
      <c r="B600" t="s">
        <v>497</v>
      </c>
      <c r="C600" t="str">
        <f>VLOOKUP(B600,'Master Anggota'!$E$2:$I$279,5,0)</f>
        <v>01719</v>
      </c>
      <c r="D600" s="108">
        <v>46136</v>
      </c>
      <c r="E600" s="56">
        <v>-735000</v>
      </c>
      <c r="F600" t="s">
        <v>598</v>
      </c>
    </row>
    <row r="601" spans="1:8" x14ac:dyDescent="0.2">
      <c r="A601">
        <v>598</v>
      </c>
      <c r="B601" t="s">
        <v>491</v>
      </c>
      <c r="C601" t="str">
        <f>VLOOKUP(B601,'Master Anggota'!$E$2:$I$279,5,0)</f>
        <v>01720</v>
      </c>
      <c r="D601" s="108">
        <v>46136</v>
      </c>
      <c r="E601" s="56">
        <v>-1195000</v>
      </c>
      <c r="F601" t="s">
        <v>598</v>
      </c>
    </row>
    <row r="602" spans="1:8" x14ac:dyDescent="0.2">
      <c r="A602">
        <v>599</v>
      </c>
      <c r="B602" t="s">
        <v>439</v>
      </c>
      <c r="C602" t="str">
        <f>VLOOKUP(B602,'Master Anggota'!$E$2:$I$279,5,0)</f>
        <v>01730</v>
      </c>
      <c r="D602" s="108">
        <v>46136</v>
      </c>
      <c r="E602" s="56">
        <v>-706667</v>
      </c>
      <c r="F602" t="s">
        <v>598</v>
      </c>
    </row>
    <row r="603" spans="1:8" x14ac:dyDescent="0.2">
      <c r="A603">
        <v>600</v>
      </c>
      <c r="B603" t="s">
        <v>524</v>
      </c>
      <c r="C603" t="str">
        <f>VLOOKUP(B603,'Master Anggota'!$E$2:$I$279,5,0)</f>
        <v>01743</v>
      </c>
      <c r="D603" s="108">
        <v>46136</v>
      </c>
      <c r="E603" s="56">
        <v>-357000</v>
      </c>
      <c r="F603" t="s">
        <v>598</v>
      </c>
    </row>
    <row r="604" spans="1:8" x14ac:dyDescent="0.2">
      <c r="A604">
        <v>601</v>
      </c>
      <c r="B604" t="s">
        <v>495</v>
      </c>
      <c r="C604" t="str">
        <f>VLOOKUP(B604,'Master Anggota'!$E$2:$I$279,5,0)</f>
        <v>01754</v>
      </c>
      <c r="D604" s="108">
        <v>46136</v>
      </c>
      <c r="E604" s="56">
        <v>-1100000</v>
      </c>
      <c r="F604" t="s">
        <v>598</v>
      </c>
    </row>
    <row r="605" spans="1:8" x14ac:dyDescent="0.2">
      <c r="A605">
        <v>602</v>
      </c>
      <c r="B605" t="s">
        <v>526</v>
      </c>
      <c r="C605" t="str">
        <f>VLOOKUP(B605,'Master Anggota'!$E$2:$I$279,5,0)</f>
        <v>PHL</v>
      </c>
      <c r="D605" s="108">
        <v>46136</v>
      </c>
      <c r="E605" s="56">
        <v>-901000</v>
      </c>
      <c r="F605" t="s">
        <v>598</v>
      </c>
    </row>
    <row r="606" spans="1:8" x14ac:dyDescent="0.2">
      <c r="A606">
        <v>603</v>
      </c>
      <c r="B606" t="s">
        <v>527</v>
      </c>
      <c r="C606" t="str">
        <f>VLOOKUP(B606,'Master Anggota'!$E$2:$I$279,5,0)</f>
        <v>PHL</v>
      </c>
      <c r="D606" s="108">
        <v>46136</v>
      </c>
      <c r="E606" s="56">
        <v>-330000</v>
      </c>
      <c r="F606" t="s">
        <v>598</v>
      </c>
    </row>
    <row r="607" spans="1:8" x14ac:dyDescent="0.2">
      <c r="A607">
        <v>604</v>
      </c>
      <c r="B607" t="s">
        <v>295</v>
      </c>
      <c r="C607" t="str">
        <f>VLOOKUP(B607,'Master Anggota'!$E$2:$I$279,5,0)</f>
        <v>PHL</v>
      </c>
      <c r="D607" s="108">
        <v>46136</v>
      </c>
      <c r="E607" s="56">
        <v>-770000</v>
      </c>
      <c r="F607" t="s">
        <v>598</v>
      </c>
    </row>
    <row r="608" spans="1:8" x14ac:dyDescent="0.2">
      <c r="A608">
        <v>605</v>
      </c>
      <c r="B608" t="s">
        <v>481</v>
      </c>
      <c r="C608" t="str">
        <f>VLOOKUP(B608,'Master Anggota'!$E$2:$I$279,5,0)</f>
        <v>00371</v>
      </c>
      <c r="D608" s="108">
        <v>46136</v>
      </c>
      <c r="E608" s="56">
        <v>0</v>
      </c>
      <c r="F608" t="s">
        <v>598</v>
      </c>
      <c r="H608" t="s">
        <v>660</v>
      </c>
    </row>
    <row r="609" spans="1:11" x14ac:dyDescent="0.2">
      <c r="A609">
        <v>606</v>
      </c>
      <c r="B609" t="s">
        <v>94</v>
      </c>
      <c r="C609" t="str">
        <f>VLOOKUP(B609,'Master Anggota'!$E$2:$I$279,5,0)</f>
        <v>00387</v>
      </c>
      <c r="D609" s="108">
        <v>46136</v>
      </c>
      <c r="E609" s="56">
        <v>0</v>
      </c>
      <c r="F609" t="s">
        <v>598</v>
      </c>
      <c r="H609" t="s">
        <v>661</v>
      </c>
    </row>
    <row r="610" spans="1:11" x14ac:dyDescent="0.2">
      <c r="A610">
        <v>607</v>
      </c>
      <c r="B610" t="s">
        <v>147</v>
      </c>
      <c r="C610" t="str">
        <f>VLOOKUP(B610,'Master Anggota'!$E$2:$I$279,5,0)</f>
        <v>00527</v>
      </c>
      <c r="D610" s="108">
        <v>46136</v>
      </c>
      <c r="E610" s="82">
        <v>0</v>
      </c>
      <c r="F610" t="s">
        <v>598</v>
      </c>
      <c r="H610" t="s">
        <v>662</v>
      </c>
      <c r="K610" s="82"/>
    </row>
    <row r="611" spans="1:11" x14ac:dyDescent="0.2">
      <c r="A611">
        <v>608</v>
      </c>
      <c r="B611" t="s">
        <v>37</v>
      </c>
      <c r="C611" t="str">
        <f>VLOOKUP(B611,'Master Anggota'!$E$2:$I$279,5,0)</f>
        <v>00511</v>
      </c>
      <c r="D611" s="108">
        <v>46139</v>
      </c>
      <c r="E611" s="82">
        <v>25000000</v>
      </c>
      <c r="F611" t="s">
        <v>617</v>
      </c>
      <c r="H611" t="s">
        <v>668</v>
      </c>
      <c r="I611" s="111">
        <v>46198</v>
      </c>
      <c r="J611" s="111">
        <v>46898</v>
      </c>
      <c r="K611" s="82">
        <v>1291667</v>
      </c>
    </row>
    <row r="612" spans="1:11" x14ac:dyDescent="0.2">
      <c r="A612">
        <v>609</v>
      </c>
      <c r="B612" t="s">
        <v>147</v>
      </c>
      <c r="C612" t="str">
        <f>VLOOKUP(B612,'Master Anggota'!$E$2:$I$279,5,0)</f>
        <v>00527</v>
      </c>
      <c r="D612" s="108">
        <v>46141</v>
      </c>
      <c r="E612" s="82">
        <v>45000000</v>
      </c>
      <c r="F612" t="s">
        <v>617</v>
      </c>
      <c r="H612" t="s">
        <v>668</v>
      </c>
      <c r="I612" s="111">
        <v>46198</v>
      </c>
      <c r="J612" s="111">
        <v>46898</v>
      </c>
      <c r="K612" s="82">
        <v>2425000</v>
      </c>
    </row>
    <row r="613" spans="1:11" x14ac:dyDescent="0.2">
      <c r="A613">
        <v>610</v>
      </c>
      <c r="B613" t="s">
        <v>8</v>
      </c>
      <c r="C613" t="str">
        <f>VLOOKUP(B613,'Master Anggota'!$E$2:$I$279,5,0)</f>
        <v>00553</v>
      </c>
      <c r="D613" s="108">
        <v>46141</v>
      </c>
      <c r="E613" s="82">
        <v>3000000</v>
      </c>
      <c r="F613" t="s">
        <v>617</v>
      </c>
      <c r="H613" t="s">
        <v>666</v>
      </c>
      <c r="I613" s="111">
        <v>46198</v>
      </c>
      <c r="J613" s="111">
        <v>46198</v>
      </c>
      <c r="K613" s="82">
        <v>3030000</v>
      </c>
    </row>
    <row r="614" spans="1:11" x14ac:dyDescent="0.2">
      <c r="A614">
        <v>611</v>
      </c>
      <c r="B614" t="s">
        <v>563</v>
      </c>
      <c r="C614" t="str">
        <f>VLOOKUP(B614,'Master Anggota'!$E$2:$I$279,5,0)</f>
        <v>PHL KJP</v>
      </c>
      <c r="D614" s="108">
        <v>46142</v>
      </c>
      <c r="E614" s="82">
        <v>800000</v>
      </c>
      <c r="F614" t="s">
        <v>617</v>
      </c>
      <c r="H614" t="s">
        <v>670</v>
      </c>
      <c r="I614" s="111">
        <v>46198</v>
      </c>
      <c r="J614" s="111">
        <v>46290</v>
      </c>
      <c r="K614" s="82">
        <v>208000</v>
      </c>
    </row>
    <row r="615" spans="1:11" x14ac:dyDescent="0.2">
      <c r="A615">
        <v>612</v>
      </c>
      <c r="B615" t="s">
        <v>41</v>
      </c>
      <c r="C615" t="str">
        <f>VLOOKUP(B615,'Master Anggota'!$E$2:$I$279,5,0)</f>
        <v>00345</v>
      </c>
      <c r="D615" s="108">
        <v>45747</v>
      </c>
      <c r="E615" s="82">
        <v>-88666664</v>
      </c>
      <c r="F615" t="s">
        <v>598</v>
      </c>
      <c r="K615" s="82"/>
    </row>
    <row r="616" spans="1:11" x14ac:dyDescent="0.2">
      <c r="A616">
        <v>613</v>
      </c>
      <c r="B616" t="s">
        <v>254</v>
      </c>
      <c r="C616" t="str">
        <f>VLOOKUP(B616,'Master Anggota'!$E$2:$I$279,5,0)</f>
        <v>00288</v>
      </c>
      <c r="D616" s="108">
        <v>46127</v>
      </c>
      <c r="E616" s="82">
        <v>-66150000</v>
      </c>
      <c r="F616" t="s">
        <v>598</v>
      </c>
      <c r="H616" t="s">
        <v>665</v>
      </c>
      <c r="K616" s="82"/>
    </row>
    <row r="617" spans="1:11" x14ac:dyDescent="0.2">
      <c r="A617">
        <v>614</v>
      </c>
      <c r="B617" t="s">
        <v>71</v>
      </c>
      <c r="C617" t="str">
        <f>VLOOKUP(B617,'Master Anggota'!$E$2:$I$279,5,0)</f>
        <v>00517</v>
      </c>
      <c r="D617" s="108">
        <v>46119</v>
      </c>
      <c r="E617" s="82">
        <v>1080000</v>
      </c>
      <c r="F617" t="s">
        <v>616</v>
      </c>
      <c r="K617" s="82"/>
    </row>
    <row r="618" spans="1:11" x14ac:dyDescent="0.2">
      <c r="A618">
        <v>615</v>
      </c>
      <c r="B618" t="s">
        <v>8</v>
      </c>
      <c r="C618" t="str">
        <f>VLOOKUP(B618,'Master Anggota'!$E$2:$I$279,5,0)</f>
        <v>00553</v>
      </c>
      <c r="D618" s="108">
        <v>46141</v>
      </c>
      <c r="E618" s="82">
        <v>30000</v>
      </c>
      <c r="F618" t="s">
        <v>616</v>
      </c>
      <c r="K618" s="82"/>
    </row>
    <row r="619" spans="1:11" x14ac:dyDescent="0.2">
      <c r="A619">
        <v>616</v>
      </c>
      <c r="B619" t="s">
        <v>37</v>
      </c>
      <c r="C619" t="str">
        <f>VLOOKUP(B619,'Master Anggota'!$E$2:$I$279,5,0)</f>
        <v>00511</v>
      </c>
      <c r="D619" s="108">
        <v>46139</v>
      </c>
      <c r="E619" s="82">
        <v>6000000</v>
      </c>
      <c r="F619" t="s">
        <v>616</v>
      </c>
      <c r="K619" s="82"/>
    </row>
    <row r="620" spans="1:11" x14ac:dyDescent="0.2">
      <c r="A620">
        <v>617</v>
      </c>
      <c r="B620" t="s">
        <v>147</v>
      </c>
      <c r="C620" t="str">
        <f>VLOOKUP(B620,'Master Anggota'!$E$2:$I$279,5,0)</f>
        <v>00527</v>
      </c>
      <c r="D620" s="108">
        <v>46141</v>
      </c>
      <c r="E620" s="82">
        <v>-31591669</v>
      </c>
      <c r="F620" t="s">
        <v>598</v>
      </c>
      <c r="K620" s="82"/>
    </row>
    <row r="621" spans="1:11" x14ac:dyDescent="0.2">
      <c r="A621">
        <v>618</v>
      </c>
      <c r="B621" t="s">
        <v>147</v>
      </c>
      <c r="C621" t="str">
        <f>VLOOKUP(B621,'Master Anggota'!$E$2:$I$279,5,0)</f>
        <v>00527</v>
      </c>
      <c r="D621" s="108">
        <v>46141</v>
      </c>
      <c r="E621" s="82">
        <v>13200000</v>
      </c>
      <c r="F621" t="s">
        <v>616</v>
      </c>
      <c r="K621" s="82"/>
    </row>
    <row r="622" spans="1:11" x14ac:dyDescent="0.2">
      <c r="A622">
        <v>619</v>
      </c>
      <c r="B622" t="s">
        <v>533</v>
      </c>
      <c r="C622" t="str">
        <f>VLOOKUP(B622,'Master Anggota'!$E$2:$I$279,5,0)</f>
        <v>Nasabah</v>
      </c>
      <c r="D622" s="108">
        <v>46126</v>
      </c>
      <c r="E622" s="82">
        <v>-1867000</v>
      </c>
      <c r="F622" t="s">
        <v>598</v>
      </c>
      <c r="H622" t="s">
        <v>669</v>
      </c>
      <c r="K622" s="82"/>
    </row>
    <row r="623" spans="1:11" x14ac:dyDescent="0.2">
      <c r="A623">
        <v>620</v>
      </c>
      <c r="B623" t="s">
        <v>563</v>
      </c>
      <c r="C623" t="str">
        <f>VLOOKUP(B623,'Master Anggota'!$E$2:$I$279,5,0)</f>
        <v>PHL KJP</v>
      </c>
      <c r="D623" s="108">
        <v>46142</v>
      </c>
      <c r="E623" s="82">
        <v>32000</v>
      </c>
      <c r="F623" t="s">
        <v>616</v>
      </c>
      <c r="K623" s="82"/>
    </row>
    <row r="624" spans="1:11" x14ac:dyDescent="0.2">
      <c r="A624">
        <v>621</v>
      </c>
      <c r="B624" t="s">
        <v>107</v>
      </c>
      <c r="C624" t="str">
        <f>VLOOKUP(B624,'Master Anggota'!$E$2:$I$279,5,0)</f>
        <v>00521</v>
      </c>
      <c r="D624" s="108">
        <v>46108</v>
      </c>
      <c r="E624" s="82">
        <v>7500000</v>
      </c>
      <c r="F624" t="s">
        <v>616</v>
      </c>
      <c r="K624" s="82"/>
    </row>
    <row r="625" spans="1:11" x14ac:dyDescent="0.2">
      <c r="A625">
        <v>622</v>
      </c>
      <c r="B625" t="s">
        <v>325</v>
      </c>
      <c r="C625" t="str">
        <f>VLOOKUP(B625,'Master Anggota'!$E$2:$I$279,5,0)</f>
        <v>00607</v>
      </c>
      <c r="D625" s="108">
        <v>46150</v>
      </c>
      <c r="E625" s="82">
        <f>10850000</f>
        <v>10850000</v>
      </c>
      <c r="F625" t="s">
        <v>598</v>
      </c>
      <c r="K625" s="82"/>
    </row>
    <row r="626" spans="1:11" x14ac:dyDescent="0.2">
      <c r="A626">
        <v>623</v>
      </c>
      <c r="B626" t="s">
        <v>198</v>
      </c>
      <c r="C626" t="str">
        <f>VLOOKUP(B626,'Master Anggota'!$E$2:$I$279,5,0)</f>
        <v>00327</v>
      </c>
      <c r="D626" s="108">
        <v>46182</v>
      </c>
      <c r="E626" s="82">
        <v>47716469</v>
      </c>
      <c r="F626" t="s">
        <v>617</v>
      </c>
      <c r="H626" t="s">
        <v>682</v>
      </c>
      <c r="I626" s="111" t="s">
        <v>637</v>
      </c>
      <c r="J626" s="111" t="s">
        <v>637</v>
      </c>
      <c r="K626" s="82">
        <v>54873939</v>
      </c>
    </row>
    <row r="627" spans="1:11" x14ac:dyDescent="0.2">
      <c r="A627">
        <v>624</v>
      </c>
      <c r="B627" t="s">
        <v>135</v>
      </c>
      <c r="C627" t="str">
        <f>VLOOKUP(B627,'Master Anggota'!$E$2:$I$279,5,0)</f>
        <v>00293</v>
      </c>
      <c r="D627" s="108">
        <v>46167</v>
      </c>
      <c r="E627" s="82">
        <v>-3808333</v>
      </c>
      <c r="F627" t="s">
        <v>598</v>
      </c>
      <c r="K627" s="82"/>
    </row>
    <row r="628" spans="1:11" x14ac:dyDescent="0.2">
      <c r="A628">
        <v>625</v>
      </c>
      <c r="B628" t="s">
        <v>248</v>
      </c>
      <c r="C628" t="str">
        <f>VLOOKUP(B628,'Master Anggota'!$E$2:$I$279,5,0)</f>
        <v>00302</v>
      </c>
      <c r="D628" s="108">
        <v>46167</v>
      </c>
      <c r="E628" s="82">
        <v>-3841667</v>
      </c>
      <c r="F628" t="s">
        <v>598</v>
      </c>
      <c r="K628" s="82"/>
    </row>
    <row r="629" spans="1:11" x14ac:dyDescent="0.2">
      <c r="A629">
        <v>626</v>
      </c>
      <c r="B629" t="s">
        <v>335</v>
      </c>
      <c r="C629" t="str">
        <f>VLOOKUP(B629,'Master Anggota'!$E$2:$I$279,5,0)</f>
        <v>00311</v>
      </c>
      <c r="D629" s="108">
        <v>46167</v>
      </c>
      <c r="E629" s="82">
        <v>-3958333</v>
      </c>
      <c r="F629" t="s">
        <v>598</v>
      </c>
      <c r="K629" s="82"/>
    </row>
    <row r="630" spans="1:11" x14ac:dyDescent="0.2">
      <c r="A630">
        <v>627</v>
      </c>
      <c r="B630" t="s">
        <v>113</v>
      </c>
      <c r="C630" t="str">
        <f>VLOOKUP(B630,'Master Anggota'!$E$2:$I$279,5,0)</f>
        <v>00317</v>
      </c>
      <c r="D630" s="108">
        <v>46167</v>
      </c>
      <c r="E630" s="56">
        <v>-2900000</v>
      </c>
      <c r="F630" t="s">
        <v>598</v>
      </c>
    </row>
    <row r="631" spans="1:11" x14ac:dyDescent="0.2">
      <c r="A631">
        <v>628</v>
      </c>
      <c r="B631" t="s">
        <v>198</v>
      </c>
      <c r="C631" t="str">
        <f>VLOOKUP(B631,'Master Anggota'!$E$2:$I$279,5,0)</f>
        <v>00327</v>
      </c>
      <c r="D631" s="108">
        <v>46182</v>
      </c>
      <c r="E631" s="82">
        <v>7157470</v>
      </c>
      <c r="F631" t="s">
        <v>616</v>
      </c>
      <c r="K631" s="82"/>
    </row>
    <row r="632" spans="1:11" x14ac:dyDescent="0.2">
      <c r="A632">
        <v>629</v>
      </c>
      <c r="B632" t="s">
        <v>198</v>
      </c>
      <c r="C632" t="str">
        <f>VLOOKUP(B632,'Master Anggota'!$E$2:$I$279,5,0)</f>
        <v>00327</v>
      </c>
      <c r="D632" s="108">
        <v>46167</v>
      </c>
      <c r="E632" s="56">
        <v>-6424608</v>
      </c>
      <c r="F632" t="s">
        <v>598</v>
      </c>
    </row>
    <row r="633" spans="1:11" x14ac:dyDescent="0.2">
      <c r="A633">
        <v>630</v>
      </c>
      <c r="B633" t="s">
        <v>208</v>
      </c>
      <c r="C633" t="str">
        <f>VLOOKUP(B633,'Master Anggota'!$E$2:$I$279,5,0)</f>
        <v>00328</v>
      </c>
      <c r="D633" s="108">
        <v>46167</v>
      </c>
      <c r="E633" s="56">
        <v>-550000</v>
      </c>
      <c r="F633" t="s">
        <v>598</v>
      </c>
    </row>
    <row r="634" spans="1:11" x14ac:dyDescent="0.2">
      <c r="A634">
        <v>631</v>
      </c>
      <c r="B634" t="s">
        <v>341</v>
      </c>
      <c r="C634" t="str">
        <f>VLOOKUP(B634,'Master Anggota'!$E$2:$I$279,5,0)</f>
        <v>00339</v>
      </c>
      <c r="D634" s="108">
        <v>46167</v>
      </c>
      <c r="E634" s="56">
        <v>-2325000</v>
      </c>
      <c r="F634" t="s">
        <v>598</v>
      </c>
    </row>
    <row r="635" spans="1:11" x14ac:dyDescent="0.2">
      <c r="A635">
        <v>632</v>
      </c>
      <c r="B635" t="s">
        <v>129</v>
      </c>
      <c r="C635" t="str">
        <f>VLOOKUP(B635,'Master Anggota'!$E$2:$I$279,5,0)</f>
        <v>00343</v>
      </c>
      <c r="D635" s="108">
        <v>46167</v>
      </c>
      <c r="E635" s="56">
        <v>-3105000</v>
      </c>
      <c r="F635" t="s">
        <v>598</v>
      </c>
    </row>
    <row r="636" spans="1:11" x14ac:dyDescent="0.2">
      <c r="A636">
        <v>633</v>
      </c>
      <c r="B636" t="s">
        <v>480</v>
      </c>
      <c r="C636" t="str">
        <f>VLOOKUP(B636,'Master Anggota'!$E$2:$I$279,5,0)</f>
        <v>00351</v>
      </c>
      <c r="D636" s="108">
        <v>46167</v>
      </c>
      <c r="E636" s="56">
        <v>-2325000</v>
      </c>
      <c r="F636" t="s">
        <v>598</v>
      </c>
    </row>
    <row r="637" spans="1:11" x14ac:dyDescent="0.2">
      <c r="A637">
        <v>634</v>
      </c>
      <c r="B637" t="s">
        <v>151</v>
      </c>
      <c r="C637" t="str">
        <f>VLOOKUP(B637,'Master Anggota'!$E$2:$I$279,5,0)</f>
        <v>00362</v>
      </c>
      <c r="D637" s="108">
        <v>46167</v>
      </c>
      <c r="E637" s="56">
        <v>-3842333</v>
      </c>
      <c r="F637" t="s">
        <v>598</v>
      </c>
    </row>
    <row r="638" spans="1:11" x14ac:dyDescent="0.2">
      <c r="A638">
        <v>635</v>
      </c>
      <c r="B638" t="s">
        <v>483</v>
      </c>
      <c r="C638" t="str">
        <f>VLOOKUP(B638,'Master Anggota'!$E$2:$I$279,5,0)</f>
        <v>00368</v>
      </c>
      <c r="D638" s="108">
        <v>46167</v>
      </c>
      <c r="E638" s="56">
        <v>-3275000</v>
      </c>
      <c r="F638" t="s">
        <v>598</v>
      </c>
    </row>
    <row r="639" spans="1:11" x14ac:dyDescent="0.2">
      <c r="A639">
        <v>636</v>
      </c>
      <c r="B639" t="s">
        <v>328</v>
      </c>
      <c r="C639" t="str">
        <f>VLOOKUP(B639,'Master Anggota'!$E$2:$I$279,5,0)</f>
        <v>00369</v>
      </c>
      <c r="D639" s="108">
        <v>46167</v>
      </c>
      <c r="E639" s="56">
        <v>-1812500</v>
      </c>
      <c r="F639" t="s">
        <v>598</v>
      </c>
    </row>
    <row r="640" spans="1:11" x14ac:dyDescent="0.2">
      <c r="A640">
        <v>637</v>
      </c>
      <c r="B640" t="s">
        <v>481</v>
      </c>
      <c r="C640" t="str">
        <f>VLOOKUP(B640,'Master Anggota'!$E$2:$I$279,5,0)</f>
        <v>00371</v>
      </c>
      <c r="D640" s="108">
        <v>46167</v>
      </c>
      <c r="E640" s="56">
        <v>-3955000</v>
      </c>
      <c r="F640" t="s">
        <v>598</v>
      </c>
    </row>
    <row r="641" spans="1:6" x14ac:dyDescent="0.2">
      <c r="A641">
        <v>638</v>
      </c>
      <c r="B641" t="s">
        <v>521</v>
      </c>
      <c r="C641" t="str">
        <f>VLOOKUP(B641,'Master Anggota'!$E$2:$I$279,5,0)</f>
        <v>00376</v>
      </c>
      <c r="D641" s="108">
        <v>46167</v>
      </c>
      <c r="E641" s="56">
        <v>-3558333</v>
      </c>
      <c r="F641" t="s">
        <v>598</v>
      </c>
    </row>
    <row r="642" spans="1:6" x14ac:dyDescent="0.2">
      <c r="A642">
        <v>639</v>
      </c>
      <c r="B642" t="s">
        <v>94</v>
      </c>
      <c r="C642" t="str">
        <f>VLOOKUP(B642,'Master Anggota'!$E$2:$I$279,5,0)</f>
        <v>00387</v>
      </c>
      <c r="D642" s="108">
        <v>46167</v>
      </c>
      <c r="E642" s="56">
        <v>-1741112</v>
      </c>
      <c r="F642" t="s">
        <v>598</v>
      </c>
    </row>
    <row r="643" spans="1:6" x14ac:dyDescent="0.2">
      <c r="A643">
        <v>640</v>
      </c>
      <c r="B643" t="s">
        <v>258</v>
      </c>
      <c r="C643" t="str">
        <f>VLOOKUP(B643,'Master Anggota'!$E$2:$I$279,5,0)</f>
        <v>00390</v>
      </c>
      <c r="D643" s="108">
        <v>46167</v>
      </c>
      <c r="E643" s="56">
        <v>-1866667</v>
      </c>
      <c r="F643" t="s">
        <v>598</v>
      </c>
    </row>
    <row r="644" spans="1:6" x14ac:dyDescent="0.2">
      <c r="A644">
        <v>641</v>
      </c>
      <c r="B644" t="s">
        <v>92</v>
      </c>
      <c r="C644" t="str">
        <f>VLOOKUP(B644,'Master Anggota'!$E$2:$I$279,5,0)</f>
        <v>00396</v>
      </c>
      <c r="D644" s="108">
        <v>46167</v>
      </c>
      <c r="E644" s="56">
        <v>-4475000</v>
      </c>
      <c r="F644" t="s">
        <v>598</v>
      </c>
    </row>
    <row r="645" spans="1:6" x14ac:dyDescent="0.2">
      <c r="A645">
        <v>642</v>
      </c>
      <c r="B645" t="s">
        <v>103</v>
      </c>
      <c r="C645" t="str">
        <f>VLOOKUP(B645,'Master Anggota'!$E$2:$I$279,5,0)</f>
        <v>00401</v>
      </c>
      <c r="D645" s="108">
        <v>46167</v>
      </c>
      <c r="E645" s="56">
        <v>-7195000</v>
      </c>
      <c r="F645" t="s">
        <v>598</v>
      </c>
    </row>
    <row r="646" spans="1:6" x14ac:dyDescent="0.2">
      <c r="A646">
        <v>643</v>
      </c>
      <c r="B646" t="s">
        <v>65</v>
      </c>
      <c r="C646" t="str">
        <f>VLOOKUP(B646,'Master Anggota'!$E$2:$I$279,5,0)</f>
        <v>00490</v>
      </c>
      <c r="D646" s="108">
        <v>46167</v>
      </c>
      <c r="E646" s="56">
        <v>-2750000</v>
      </c>
      <c r="F646" t="s">
        <v>598</v>
      </c>
    </row>
    <row r="647" spans="1:6" x14ac:dyDescent="0.2">
      <c r="A647">
        <v>644</v>
      </c>
      <c r="B647" t="s">
        <v>115</v>
      </c>
      <c r="C647" t="str">
        <f>VLOOKUP(B647,'Master Anggota'!$E$2:$I$279,5,0)</f>
        <v>00497</v>
      </c>
      <c r="D647" s="108">
        <v>46167</v>
      </c>
      <c r="E647" s="56">
        <v>-1400000</v>
      </c>
      <c r="F647" t="s">
        <v>598</v>
      </c>
    </row>
    <row r="648" spans="1:6" x14ac:dyDescent="0.2">
      <c r="A648">
        <v>645</v>
      </c>
      <c r="B648" t="s">
        <v>194</v>
      </c>
      <c r="C648" t="str">
        <f>VLOOKUP(B648,'Master Anggota'!$E$2:$I$279,5,0)</f>
        <v>00498</v>
      </c>
      <c r="D648" s="108">
        <v>46167</v>
      </c>
      <c r="E648" s="56">
        <v>-5920000</v>
      </c>
      <c r="F648" t="s">
        <v>598</v>
      </c>
    </row>
    <row r="649" spans="1:6" x14ac:dyDescent="0.2">
      <c r="A649">
        <v>646</v>
      </c>
      <c r="B649" t="s">
        <v>155</v>
      </c>
      <c r="C649" t="str">
        <f>VLOOKUP(B649,'Master Anggota'!$E$2:$I$279,5,0)</f>
        <v>00499</v>
      </c>
      <c r="D649" s="108">
        <v>46167</v>
      </c>
      <c r="E649" s="56">
        <v>-1291667</v>
      </c>
      <c r="F649" t="s">
        <v>598</v>
      </c>
    </row>
    <row r="650" spans="1:6" x14ac:dyDescent="0.2">
      <c r="A650">
        <v>647</v>
      </c>
      <c r="B650" t="s">
        <v>96</v>
      </c>
      <c r="C650" t="str">
        <f>VLOOKUP(B650,'Master Anggota'!$E$2:$I$279,5,0)</f>
        <v>00508</v>
      </c>
      <c r="D650" s="108">
        <v>46167</v>
      </c>
      <c r="E650" s="56">
        <v>-2708333</v>
      </c>
      <c r="F650" t="s">
        <v>598</v>
      </c>
    </row>
    <row r="651" spans="1:6" x14ac:dyDescent="0.2">
      <c r="A651">
        <v>648</v>
      </c>
      <c r="B651" t="s">
        <v>202</v>
      </c>
      <c r="C651" t="str">
        <f>VLOOKUP(B651,'Master Anggota'!$E$2:$I$279,5,0)</f>
        <v>00512</v>
      </c>
      <c r="D651" s="108">
        <v>46167</v>
      </c>
      <c r="E651" s="56">
        <v>-1033333</v>
      </c>
      <c r="F651" t="s">
        <v>598</v>
      </c>
    </row>
    <row r="652" spans="1:6" x14ac:dyDescent="0.2">
      <c r="A652">
        <v>649</v>
      </c>
      <c r="B652" t="s">
        <v>239</v>
      </c>
      <c r="C652" t="str">
        <f>VLOOKUP(B652,'Master Anggota'!$E$2:$I$279,5,0)</f>
        <v>00513</v>
      </c>
      <c r="D652" s="108">
        <v>46167</v>
      </c>
      <c r="E652" s="56">
        <v>-2708333</v>
      </c>
      <c r="F652" t="s">
        <v>598</v>
      </c>
    </row>
    <row r="653" spans="1:6" x14ac:dyDescent="0.2">
      <c r="A653">
        <v>650</v>
      </c>
      <c r="B653" t="s">
        <v>223</v>
      </c>
      <c r="C653" t="str">
        <f>VLOOKUP(B653,'Master Anggota'!$E$2:$I$279,5,0)</f>
        <v>00514</v>
      </c>
      <c r="D653" s="108">
        <v>46167</v>
      </c>
      <c r="E653" s="56">
        <v>-933334</v>
      </c>
      <c r="F653" t="s">
        <v>598</v>
      </c>
    </row>
    <row r="654" spans="1:6" x14ac:dyDescent="0.2">
      <c r="A654">
        <v>651</v>
      </c>
      <c r="B654" t="s">
        <v>274</v>
      </c>
      <c r="C654" t="str">
        <f>VLOOKUP(B654,'Master Anggota'!$E$2:$I$279,5,0)</f>
        <v>00515</v>
      </c>
      <c r="D654" s="108">
        <v>46167</v>
      </c>
      <c r="E654" s="56">
        <v>-1825000</v>
      </c>
      <c r="F654" t="s">
        <v>598</v>
      </c>
    </row>
    <row r="655" spans="1:6" x14ac:dyDescent="0.2">
      <c r="A655">
        <v>652</v>
      </c>
      <c r="B655" t="s">
        <v>233</v>
      </c>
      <c r="C655" t="str">
        <f>VLOOKUP(B655,'Master Anggota'!$E$2:$I$279,5,0)</f>
        <v>00516</v>
      </c>
      <c r="D655" s="108">
        <v>46167</v>
      </c>
      <c r="E655" s="56">
        <v>-383333</v>
      </c>
      <c r="F655" t="s">
        <v>598</v>
      </c>
    </row>
    <row r="656" spans="1:6" x14ac:dyDescent="0.2">
      <c r="A656">
        <v>653</v>
      </c>
      <c r="B656" t="s">
        <v>71</v>
      </c>
      <c r="C656" t="str">
        <f>VLOOKUP(B656,'Master Anggota'!$E$2:$I$279,5,0)</f>
        <v>00517</v>
      </c>
      <c r="D656" s="108">
        <v>46167</v>
      </c>
      <c r="E656" s="56">
        <v>-232500</v>
      </c>
      <c r="F656" t="s">
        <v>598</v>
      </c>
    </row>
    <row r="657" spans="1:6" x14ac:dyDescent="0.2">
      <c r="A657">
        <v>654</v>
      </c>
      <c r="B657" t="s">
        <v>200</v>
      </c>
      <c r="C657" t="str">
        <f>VLOOKUP(B657,'Master Anggota'!$E$2:$I$279,5,0)</f>
        <v>00520</v>
      </c>
      <c r="D657" s="108">
        <v>46167</v>
      </c>
      <c r="E657" s="56">
        <v>-1650000</v>
      </c>
      <c r="F657" t="s">
        <v>598</v>
      </c>
    </row>
    <row r="658" spans="1:6" x14ac:dyDescent="0.2">
      <c r="A658">
        <v>655</v>
      </c>
      <c r="B658" t="s">
        <v>107</v>
      </c>
      <c r="C658" t="str">
        <f>VLOOKUP(B658,'Master Anggota'!$E$2:$I$279,5,0)</f>
        <v>00521</v>
      </c>
      <c r="D658" s="108">
        <v>46167</v>
      </c>
      <c r="E658" s="56">
        <v>-4791667</v>
      </c>
      <c r="F658" t="s">
        <v>598</v>
      </c>
    </row>
    <row r="659" spans="1:6" x14ac:dyDescent="0.2">
      <c r="A659">
        <v>656</v>
      </c>
      <c r="B659" t="s">
        <v>235</v>
      </c>
      <c r="C659" t="str">
        <f>VLOOKUP(B659,'Master Anggota'!$E$2:$I$279,5,0)</f>
        <v>00523</v>
      </c>
      <c r="D659" s="108">
        <v>46167</v>
      </c>
      <c r="E659" s="56">
        <v>-2333333</v>
      </c>
      <c r="F659" t="s">
        <v>598</v>
      </c>
    </row>
    <row r="660" spans="1:6" x14ac:dyDescent="0.2">
      <c r="A660">
        <v>657</v>
      </c>
      <c r="B660" t="s">
        <v>252</v>
      </c>
      <c r="C660" t="str">
        <f>VLOOKUP(B660,'Master Anggota'!$E$2:$I$279,5,0)</f>
        <v>00524</v>
      </c>
      <c r="D660" s="108">
        <v>46167</v>
      </c>
      <c r="E660" s="56">
        <v>-2708333</v>
      </c>
      <c r="F660" t="s">
        <v>598</v>
      </c>
    </row>
    <row r="661" spans="1:6" x14ac:dyDescent="0.2">
      <c r="A661">
        <v>658</v>
      </c>
      <c r="B661" t="s">
        <v>206</v>
      </c>
      <c r="C661" t="str">
        <f>VLOOKUP(B661,'Master Anggota'!$E$2:$I$279,5,0)</f>
        <v>00525</v>
      </c>
      <c r="D661" s="108">
        <v>46167</v>
      </c>
      <c r="E661" s="56">
        <f>-550000*0</f>
        <v>0</v>
      </c>
      <c r="F661" t="s">
        <v>598</v>
      </c>
    </row>
    <row r="662" spans="1:6" x14ac:dyDescent="0.2">
      <c r="A662">
        <v>659</v>
      </c>
      <c r="B662" t="s">
        <v>241</v>
      </c>
      <c r="C662" t="str">
        <f>VLOOKUP(B662,'Master Anggota'!$E$2:$I$279,5,0)</f>
        <v>00526</v>
      </c>
      <c r="D662" s="108">
        <v>46167</v>
      </c>
      <c r="E662" s="56">
        <v>-2708333</v>
      </c>
      <c r="F662" t="s">
        <v>598</v>
      </c>
    </row>
    <row r="663" spans="1:6" x14ac:dyDescent="0.2">
      <c r="A663">
        <v>660</v>
      </c>
      <c r="B663" t="s">
        <v>214</v>
      </c>
      <c r="C663" t="str">
        <f>VLOOKUP(B663,'Master Anggota'!$E$2:$I$279,5,0)</f>
        <v>00529</v>
      </c>
      <c r="D663" s="108">
        <v>46167</v>
      </c>
      <c r="E663" s="56">
        <v>-1341667</v>
      </c>
      <c r="F663" t="s">
        <v>598</v>
      </c>
    </row>
    <row r="664" spans="1:6" x14ac:dyDescent="0.2">
      <c r="A664">
        <v>661</v>
      </c>
      <c r="B664" t="s">
        <v>243</v>
      </c>
      <c r="C664" t="str">
        <f>VLOOKUP(B664,'Master Anggota'!$E$2:$I$279,5,0)</f>
        <v>00530</v>
      </c>
      <c r="D664" s="108">
        <v>46167</v>
      </c>
      <c r="E664" s="56">
        <v>-3558333</v>
      </c>
      <c r="F664" t="s">
        <v>598</v>
      </c>
    </row>
    <row r="665" spans="1:6" x14ac:dyDescent="0.2">
      <c r="A665">
        <v>662</v>
      </c>
      <c r="B665" t="s">
        <v>225</v>
      </c>
      <c r="C665" t="str">
        <f>VLOOKUP(B665,'Master Anggota'!$E$2:$I$279,5,0)</f>
        <v>00531</v>
      </c>
      <c r="D665" s="108">
        <v>46167</v>
      </c>
      <c r="E665" s="56">
        <v>-440000</v>
      </c>
      <c r="F665" t="s">
        <v>598</v>
      </c>
    </row>
    <row r="666" spans="1:6" x14ac:dyDescent="0.2">
      <c r="A666">
        <v>663</v>
      </c>
      <c r="B666" t="s">
        <v>245</v>
      </c>
      <c r="C666" t="str">
        <f>VLOOKUP(B666,'Master Anggota'!$E$2:$I$279,5,0)</f>
        <v>00532</v>
      </c>
      <c r="D666" s="108">
        <v>46167</v>
      </c>
      <c r="E666" s="56">
        <v>-3826111</v>
      </c>
      <c r="F666" t="s">
        <v>598</v>
      </c>
    </row>
    <row r="667" spans="1:6" x14ac:dyDescent="0.2">
      <c r="A667">
        <v>664</v>
      </c>
      <c r="B667" t="s">
        <v>522</v>
      </c>
      <c r="C667" t="str">
        <f>VLOOKUP(B667,'Master Anggota'!$E$2:$I$279,5,0)</f>
        <v>00533</v>
      </c>
      <c r="D667" s="108">
        <v>46167</v>
      </c>
      <c r="E667" s="56">
        <v>-3275000</v>
      </c>
      <c r="F667" t="s">
        <v>598</v>
      </c>
    </row>
    <row r="668" spans="1:6" x14ac:dyDescent="0.2">
      <c r="A668">
        <v>665</v>
      </c>
      <c r="B668" t="s">
        <v>204</v>
      </c>
      <c r="C668" t="str">
        <f>VLOOKUP(B668,'Master Anggota'!$E$2:$I$279,5,0)</f>
        <v>00534</v>
      </c>
      <c r="D668" s="108">
        <v>46167</v>
      </c>
      <c r="E668" s="56">
        <v>-1858333</v>
      </c>
      <c r="F668" t="s">
        <v>598</v>
      </c>
    </row>
    <row r="669" spans="1:6" x14ac:dyDescent="0.2">
      <c r="A669">
        <v>666</v>
      </c>
      <c r="B669" t="s">
        <v>189</v>
      </c>
      <c r="C669" t="str">
        <f>VLOOKUP(B669,'Master Anggota'!$E$2:$I$279,5,0)</f>
        <v>00535</v>
      </c>
      <c r="D669" s="108">
        <v>46167</v>
      </c>
      <c r="E669" s="56">
        <v>-597333</v>
      </c>
      <c r="F669" t="s">
        <v>598</v>
      </c>
    </row>
    <row r="670" spans="1:6" x14ac:dyDescent="0.2">
      <c r="A670">
        <v>667</v>
      </c>
      <c r="B670" t="s">
        <v>81</v>
      </c>
      <c r="C670" t="str">
        <f>VLOOKUP(B670,'Master Anggota'!$E$2:$I$279,5,0)</f>
        <v>00537</v>
      </c>
      <c r="D670" s="108">
        <v>46167</v>
      </c>
      <c r="E670" s="56">
        <v>-2708333</v>
      </c>
      <c r="F670" t="s">
        <v>598</v>
      </c>
    </row>
    <row r="671" spans="1:6" x14ac:dyDescent="0.2">
      <c r="A671">
        <v>668</v>
      </c>
      <c r="B671" t="s">
        <v>53</v>
      </c>
      <c r="C671" t="str">
        <f>VLOOKUP(B671,'Master Anggota'!$E$2:$I$279,5,0)</f>
        <v>00540</v>
      </c>
      <c r="D671" s="108">
        <v>46167</v>
      </c>
      <c r="E671" s="56">
        <v>-775000</v>
      </c>
      <c r="F671" t="s">
        <v>598</v>
      </c>
    </row>
    <row r="672" spans="1:6" x14ac:dyDescent="0.2">
      <c r="A672">
        <v>669</v>
      </c>
      <c r="B672" t="s">
        <v>79</v>
      </c>
      <c r="C672" t="str">
        <f>VLOOKUP(B672,'Master Anggota'!$E$2:$I$279,5,0)</f>
        <v>00541</v>
      </c>
      <c r="D672" s="108">
        <v>46167</v>
      </c>
      <c r="E672" s="56">
        <v>-4125000</v>
      </c>
      <c r="F672" t="s">
        <v>598</v>
      </c>
    </row>
    <row r="673" spans="1:6" x14ac:dyDescent="0.2">
      <c r="A673">
        <v>670</v>
      </c>
      <c r="B673" t="s">
        <v>35</v>
      </c>
      <c r="C673" t="str">
        <f>VLOOKUP(B673,'Master Anggota'!$E$2:$I$279,5,0)</f>
        <v>00546</v>
      </c>
      <c r="D673" s="108">
        <v>46167</v>
      </c>
      <c r="E673" s="56">
        <v>-1575000</v>
      </c>
      <c r="F673" t="s">
        <v>598</v>
      </c>
    </row>
    <row r="674" spans="1:6" x14ac:dyDescent="0.2">
      <c r="A674">
        <v>671</v>
      </c>
      <c r="B674" t="s">
        <v>85</v>
      </c>
      <c r="C674" t="str">
        <f>VLOOKUP(B674,'Master Anggota'!$E$2:$I$279,5,0)</f>
        <v>00547</v>
      </c>
      <c r="D674" s="108">
        <v>46167</v>
      </c>
      <c r="E674" s="56">
        <v>-3173333</v>
      </c>
      <c r="F674" t="s">
        <v>598</v>
      </c>
    </row>
    <row r="675" spans="1:6" x14ac:dyDescent="0.2">
      <c r="A675">
        <v>672</v>
      </c>
      <c r="B675" t="s">
        <v>153</v>
      </c>
      <c r="C675" t="str">
        <f>VLOOKUP(B675,'Master Anggota'!$E$2:$I$279,5,0)</f>
        <v>00548</v>
      </c>
      <c r="D675" s="108">
        <v>46167</v>
      </c>
      <c r="E675" s="56">
        <v>-1348333</v>
      </c>
      <c r="F675" t="s">
        <v>598</v>
      </c>
    </row>
    <row r="676" spans="1:6" x14ac:dyDescent="0.2">
      <c r="A676">
        <v>673</v>
      </c>
      <c r="B676" t="s">
        <v>484</v>
      </c>
      <c r="C676" t="str">
        <f>VLOOKUP(B676,'Master Anggota'!$E$2:$I$279,5,0)</f>
        <v>00552</v>
      </c>
      <c r="D676" s="108">
        <v>46167</v>
      </c>
      <c r="E676" s="56">
        <v>-4408333</v>
      </c>
      <c r="F676" t="s">
        <v>598</v>
      </c>
    </row>
    <row r="677" spans="1:6" x14ac:dyDescent="0.2">
      <c r="A677">
        <v>674</v>
      </c>
      <c r="B677" t="s">
        <v>8</v>
      </c>
      <c r="C677" t="str">
        <f>VLOOKUP(B677,'Master Anggota'!$E$2:$I$279,5,0)</f>
        <v>00553</v>
      </c>
      <c r="D677" s="108">
        <v>46167</v>
      </c>
      <c r="E677" s="56">
        <v>-660000</v>
      </c>
      <c r="F677" t="s">
        <v>598</v>
      </c>
    </row>
    <row r="678" spans="1:6" x14ac:dyDescent="0.2">
      <c r="A678">
        <v>675</v>
      </c>
      <c r="B678" t="s">
        <v>87</v>
      </c>
      <c r="C678" t="str">
        <f>VLOOKUP(B678,'Master Anggota'!$E$2:$I$279,5,0)</f>
        <v>00554</v>
      </c>
      <c r="D678" s="108">
        <v>46167</v>
      </c>
      <c r="E678" s="56">
        <v>-530000</v>
      </c>
      <c r="F678" t="s">
        <v>598</v>
      </c>
    </row>
    <row r="679" spans="1:6" x14ac:dyDescent="0.2">
      <c r="A679">
        <v>676</v>
      </c>
      <c r="B679" t="s">
        <v>276</v>
      </c>
      <c r="C679" t="str">
        <f>VLOOKUP(B679,'Master Anggota'!$E$2:$I$279,5,0)</f>
        <v>00558</v>
      </c>
      <c r="D679" s="108">
        <v>46167</v>
      </c>
      <c r="E679" s="56">
        <v>-1341667</v>
      </c>
      <c r="F679" t="s">
        <v>598</v>
      </c>
    </row>
    <row r="680" spans="1:6" x14ac:dyDescent="0.2">
      <c r="A680">
        <v>677</v>
      </c>
      <c r="B680" t="s">
        <v>175</v>
      </c>
      <c r="C680" t="str">
        <f>VLOOKUP(B680,'Master Anggota'!$E$2:$I$279,5,0)</f>
        <v>00563</v>
      </c>
      <c r="D680" s="108">
        <v>46167</v>
      </c>
      <c r="E680" s="56">
        <v>-2708333</v>
      </c>
      <c r="F680" t="s">
        <v>598</v>
      </c>
    </row>
    <row r="681" spans="1:6" x14ac:dyDescent="0.2">
      <c r="A681">
        <v>678</v>
      </c>
      <c r="B681" t="s">
        <v>277</v>
      </c>
      <c r="C681" t="str">
        <f>VLOOKUP(B681,'Master Anggota'!$E$2:$I$279,5,0)</f>
        <v>00564</v>
      </c>
      <c r="D681" s="108">
        <v>46167</v>
      </c>
      <c r="E681" s="56">
        <v>-1291667</v>
      </c>
      <c r="F681" t="s">
        <v>598</v>
      </c>
    </row>
    <row r="682" spans="1:6" x14ac:dyDescent="0.2">
      <c r="A682">
        <v>679</v>
      </c>
      <c r="B682" t="s">
        <v>182</v>
      </c>
      <c r="C682" t="str">
        <f>VLOOKUP(B682,'Master Anggota'!$E$2:$I$279,5,0)</f>
        <v>00565</v>
      </c>
      <c r="D682" s="108">
        <v>46167</v>
      </c>
      <c r="E682" s="56">
        <v>-3125000</v>
      </c>
      <c r="F682" t="s">
        <v>598</v>
      </c>
    </row>
    <row r="683" spans="1:6" x14ac:dyDescent="0.2">
      <c r="A683">
        <v>680</v>
      </c>
      <c r="B683" t="s">
        <v>176</v>
      </c>
      <c r="C683" t="str">
        <f>VLOOKUP(B683,'Master Anggota'!$E$2:$I$279,5,0)</f>
        <v>00568</v>
      </c>
      <c r="D683" s="108">
        <v>46167</v>
      </c>
      <c r="E683" s="56">
        <v>-1085000</v>
      </c>
      <c r="F683" t="s">
        <v>598</v>
      </c>
    </row>
    <row r="684" spans="1:6" x14ac:dyDescent="0.2">
      <c r="A684">
        <v>681</v>
      </c>
      <c r="B684" t="s">
        <v>177</v>
      </c>
      <c r="C684" t="str">
        <f>VLOOKUP(B684,'Master Anggota'!$E$2:$I$279,5,0)</f>
        <v>00569</v>
      </c>
      <c r="D684" s="108">
        <v>46167</v>
      </c>
      <c r="E684" s="56">
        <v>-2595000</v>
      </c>
      <c r="F684" t="s">
        <v>598</v>
      </c>
    </row>
    <row r="685" spans="1:6" x14ac:dyDescent="0.2">
      <c r="A685">
        <v>682</v>
      </c>
      <c r="B685" t="s">
        <v>363</v>
      </c>
      <c r="C685" t="str">
        <f>VLOOKUP(B685,'Master Anggota'!$E$2:$I$279,5,0)</f>
        <v>00576</v>
      </c>
      <c r="D685" s="108">
        <v>46167</v>
      </c>
      <c r="E685" s="56">
        <v>-1858333</v>
      </c>
      <c r="F685" t="s">
        <v>598</v>
      </c>
    </row>
    <row r="686" spans="1:6" x14ac:dyDescent="0.2">
      <c r="A686">
        <v>683</v>
      </c>
      <c r="B686" t="s">
        <v>467</v>
      </c>
      <c r="C686" t="str">
        <f>VLOOKUP(B686,'Master Anggota'!$E$2:$I$279,5,0)</f>
        <v>00577</v>
      </c>
      <c r="D686" s="108">
        <v>46167</v>
      </c>
      <c r="E686" s="56">
        <v>-1603333</v>
      </c>
      <c r="F686" t="s">
        <v>598</v>
      </c>
    </row>
    <row r="687" spans="1:6" x14ac:dyDescent="0.2">
      <c r="A687">
        <v>684</v>
      </c>
      <c r="B687" t="s">
        <v>364</v>
      </c>
      <c r="C687" t="str">
        <f>VLOOKUP(B687,'Master Anggota'!$E$2:$I$279,5,0)</f>
        <v>00578</v>
      </c>
      <c r="D687" s="108">
        <v>46167</v>
      </c>
      <c r="E687" s="56">
        <v>-981667</v>
      </c>
      <c r="F687" t="s">
        <v>598</v>
      </c>
    </row>
    <row r="688" spans="1:6" x14ac:dyDescent="0.2">
      <c r="A688">
        <v>685</v>
      </c>
      <c r="B688" t="s">
        <v>523</v>
      </c>
      <c r="C688" t="str">
        <f>VLOOKUP(B688,'Master Anggota'!$E$2:$I$279,5,0)</f>
        <v>00579</v>
      </c>
      <c r="D688" s="108">
        <v>46167</v>
      </c>
      <c r="E688" s="56">
        <v>-767000</v>
      </c>
      <c r="F688" t="s">
        <v>598</v>
      </c>
    </row>
    <row r="689" spans="1:6" x14ac:dyDescent="0.2">
      <c r="A689">
        <v>686</v>
      </c>
      <c r="B689" t="s">
        <v>173</v>
      </c>
      <c r="C689" t="str">
        <f>VLOOKUP(B689,'Master Anggota'!$E$2:$I$279,5,0)</f>
        <v>00583</v>
      </c>
      <c r="D689" s="108">
        <v>46167</v>
      </c>
      <c r="E689" s="56">
        <v>-1120000</v>
      </c>
      <c r="F689" t="s">
        <v>598</v>
      </c>
    </row>
    <row r="690" spans="1:6" x14ac:dyDescent="0.2">
      <c r="A690">
        <v>687</v>
      </c>
      <c r="B690" t="s">
        <v>172</v>
      </c>
      <c r="C690" t="str">
        <f>VLOOKUP(B690,'Master Anggota'!$E$2:$I$279,5,0)</f>
        <v>00584</v>
      </c>
      <c r="D690" s="108">
        <v>46167</v>
      </c>
      <c r="E690" s="56">
        <v>-2708333</v>
      </c>
      <c r="F690" t="s">
        <v>598</v>
      </c>
    </row>
    <row r="691" spans="1:6" x14ac:dyDescent="0.2">
      <c r="A691">
        <v>688</v>
      </c>
      <c r="B691" t="s">
        <v>300</v>
      </c>
      <c r="C691" t="str">
        <f>VLOOKUP(B691,'Master Anggota'!$E$2:$I$279,5,0)</f>
        <v>00585</v>
      </c>
      <c r="D691" s="108">
        <v>46167</v>
      </c>
      <c r="E691" s="56">
        <v>-600000</v>
      </c>
      <c r="F691" t="s">
        <v>598</v>
      </c>
    </row>
    <row r="692" spans="1:6" x14ac:dyDescent="0.2">
      <c r="A692">
        <v>689</v>
      </c>
      <c r="B692" t="s">
        <v>188</v>
      </c>
      <c r="C692" t="str">
        <f>VLOOKUP(B692,'Master Anggota'!$E$2:$I$279,5,0)</f>
        <v>00596</v>
      </c>
      <c r="D692" s="108">
        <v>46167</v>
      </c>
      <c r="E692" s="56">
        <v>-1033333</v>
      </c>
      <c r="F692" t="s">
        <v>598</v>
      </c>
    </row>
    <row r="693" spans="1:6" x14ac:dyDescent="0.2">
      <c r="A693">
        <v>690</v>
      </c>
      <c r="B693" t="s">
        <v>326</v>
      </c>
      <c r="C693" t="str">
        <f>VLOOKUP(B693,'Master Anggota'!$E$2:$I$279,5,0)</f>
        <v>00608</v>
      </c>
      <c r="D693" s="108">
        <v>46167</v>
      </c>
      <c r="E693" s="56">
        <v>-671667</v>
      </c>
      <c r="F693" t="s">
        <v>598</v>
      </c>
    </row>
    <row r="694" spans="1:6" x14ac:dyDescent="0.2">
      <c r="A694">
        <v>691</v>
      </c>
      <c r="B694" t="s">
        <v>370</v>
      </c>
      <c r="C694" t="str">
        <f>VLOOKUP(B694,'Master Anggota'!$E$2:$I$279,5,0)</f>
        <v>00610</v>
      </c>
      <c r="D694" s="108">
        <v>46167</v>
      </c>
      <c r="E694" s="56">
        <v>-1866667</v>
      </c>
      <c r="F694" t="s">
        <v>598</v>
      </c>
    </row>
    <row r="695" spans="1:6" x14ac:dyDescent="0.2">
      <c r="A695">
        <v>692</v>
      </c>
      <c r="B695" t="s">
        <v>519</v>
      </c>
      <c r="C695" t="str">
        <f>VLOOKUP(B695,'Master Anggota'!$E$2:$I$279,5,0)</f>
        <v>00611</v>
      </c>
      <c r="D695" s="108">
        <v>46167</v>
      </c>
      <c r="E695" s="56">
        <v>-653333</v>
      </c>
      <c r="F695" t="s">
        <v>598</v>
      </c>
    </row>
    <row r="696" spans="1:6" x14ac:dyDescent="0.2">
      <c r="A696">
        <v>693</v>
      </c>
      <c r="B696" t="s">
        <v>400</v>
      </c>
      <c r="C696" t="str">
        <f>VLOOKUP(B696,'Master Anggota'!$E$2:$I$279,5,0)</f>
        <v>00614</v>
      </c>
      <c r="D696" s="108">
        <v>46167</v>
      </c>
      <c r="E696" s="56">
        <v>-723333</v>
      </c>
      <c r="F696" t="s">
        <v>598</v>
      </c>
    </row>
    <row r="697" spans="1:6" x14ac:dyDescent="0.2">
      <c r="A697">
        <v>694</v>
      </c>
      <c r="B697" t="s">
        <v>324</v>
      </c>
      <c r="C697" t="str">
        <f>VLOOKUP(B697,'Master Anggota'!$E$2:$I$279,5,0)</f>
        <v>00626</v>
      </c>
      <c r="D697" s="108">
        <v>46167</v>
      </c>
      <c r="E697" s="56">
        <v>-1500000</v>
      </c>
      <c r="F697" t="s">
        <v>598</v>
      </c>
    </row>
    <row r="698" spans="1:6" x14ac:dyDescent="0.2">
      <c r="A698">
        <v>695</v>
      </c>
      <c r="B698" t="s">
        <v>157</v>
      </c>
      <c r="C698" t="str">
        <f>VLOOKUP(B698,'Master Anggota'!$E$2:$I$279,5,0)</f>
        <v>00633</v>
      </c>
      <c r="D698" s="108">
        <v>46167</v>
      </c>
      <c r="E698" s="56">
        <v>-1916667</v>
      </c>
      <c r="F698" t="s">
        <v>598</v>
      </c>
    </row>
    <row r="699" spans="1:6" x14ac:dyDescent="0.2">
      <c r="A699">
        <v>696</v>
      </c>
      <c r="B699" t="s">
        <v>319</v>
      </c>
      <c r="C699" t="str">
        <f>VLOOKUP(B699,'Master Anggota'!$E$2:$I$279,5,0)</f>
        <v>01302</v>
      </c>
      <c r="D699" s="108">
        <v>46167</v>
      </c>
      <c r="E699" s="56">
        <v>-2200000</v>
      </c>
      <c r="F699" t="s">
        <v>598</v>
      </c>
    </row>
    <row r="700" spans="1:6" x14ac:dyDescent="0.2">
      <c r="A700">
        <v>697</v>
      </c>
      <c r="B700" t="s">
        <v>289</v>
      </c>
      <c r="C700" t="str">
        <f>VLOOKUP(B700,'Master Anggota'!$E$2:$I$279,5,0)</f>
        <v>01511</v>
      </c>
      <c r="D700" s="108">
        <v>46167</v>
      </c>
      <c r="E700" s="56">
        <v>-1680000</v>
      </c>
      <c r="F700" t="s">
        <v>598</v>
      </c>
    </row>
    <row r="701" spans="1:6" x14ac:dyDescent="0.2">
      <c r="A701">
        <v>698</v>
      </c>
      <c r="B701" t="s">
        <v>358</v>
      </c>
      <c r="C701" t="str">
        <f>VLOOKUP(B701,'Master Anggota'!$E$2:$I$279,5,0)</f>
        <v>01530</v>
      </c>
      <c r="D701" s="108">
        <v>46167</v>
      </c>
      <c r="E701" s="56">
        <v>-1760000</v>
      </c>
      <c r="F701" t="s">
        <v>598</v>
      </c>
    </row>
    <row r="702" spans="1:6" x14ac:dyDescent="0.2">
      <c r="A702">
        <v>699</v>
      </c>
      <c r="B702" t="s">
        <v>304</v>
      </c>
      <c r="C702" t="str">
        <f>VLOOKUP(B702,'Master Anggota'!$E$2:$I$279,5,0)</f>
        <v>01541</v>
      </c>
      <c r="D702" s="108">
        <v>46167</v>
      </c>
      <c r="E702" s="56">
        <v>-1513636</v>
      </c>
      <c r="F702" t="s">
        <v>598</v>
      </c>
    </row>
    <row r="703" spans="1:6" x14ac:dyDescent="0.2">
      <c r="A703">
        <v>700</v>
      </c>
      <c r="B703" t="s">
        <v>316</v>
      </c>
      <c r="C703" t="str">
        <f>VLOOKUP(B703,'Master Anggota'!$E$2:$I$279,5,0)</f>
        <v>01544</v>
      </c>
      <c r="D703" s="108">
        <v>46167</v>
      </c>
      <c r="E703" s="56">
        <v>-1430000</v>
      </c>
      <c r="F703" t="s">
        <v>598</v>
      </c>
    </row>
    <row r="704" spans="1:6" x14ac:dyDescent="0.2">
      <c r="A704">
        <v>701</v>
      </c>
      <c r="B704" t="s">
        <v>482</v>
      </c>
      <c r="C704" t="str">
        <f>VLOOKUP(B704,'Master Anggota'!$E$2:$I$279,5,0)</f>
        <v>01561</v>
      </c>
      <c r="D704" s="108">
        <v>46167</v>
      </c>
      <c r="E704" s="56">
        <v>-1430000</v>
      </c>
      <c r="F704" t="s">
        <v>598</v>
      </c>
    </row>
    <row r="705" spans="1:6" x14ac:dyDescent="0.2">
      <c r="A705">
        <v>702</v>
      </c>
      <c r="B705" t="s">
        <v>311</v>
      </c>
      <c r="C705" t="str">
        <f>VLOOKUP(B705,'Master Anggota'!$E$2:$I$279,5,0)</f>
        <v>01602</v>
      </c>
      <c r="D705" s="108">
        <v>46167</v>
      </c>
      <c r="E705" s="56">
        <v>-1433333</v>
      </c>
      <c r="F705" t="s">
        <v>598</v>
      </c>
    </row>
    <row r="706" spans="1:6" x14ac:dyDescent="0.2">
      <c r="A706">
        <v>703</v>
      </c>
      <c r="B706" t="s">
        <v>318</v>
      </c>
      <c r="C706" t="str">
        <f>VLOOKUP(B706,'Master Anggota'!$E$2:$I$279,5,0)</f>
        <v>01651</v>
      </c>
      <c r="D706" s="108">
        <v>46167</v>
      </c>
      <c r="E706" s="56">
        <v>-330000</v>
      </c>
      <c r="F706" t="s">
        <v>598</v>
      </c>
    </row>
    <row r="707" spans="1:6" x14ac:dyDescent="0.2">
      <c r="A707">
        <v>704</v>
      </c>
      <c r="B707" t="s">
        <v>327</v>
      </c>
      <c r="C707" t="str">
        <f>VLOOKUP(B707,'Master Anggota'!$E$2:$I$279,5,0)</f>
        <v>01665</v>
      </c>
      <c r="D707" s="108">
        <v>46167</v>
      </c>
      <c r="E707" s="56">
        <v>-618333</v>
      </c>
      <c r="F707" t="s">
        <v>598</v>
      </c>
    </row>
    <row r="708" spans="1:6" x14ac:dyDescent="0.2">
      <c r="A708">
        <v>705</v>
      </c>
      <c r="B708" t="s">
        <v>368</v>
      </c>
      <c r="C708" t="str">
        <f>VLOOKUP(B708,'Master Anggota'!$E$2:$I$279,5,0)</f>
        <v>01703</v>
      </c>
      <c r="D708" s="108">
        <v>46167</v>
      </c>
      <c r="E708" s="56">
        <v>-530000</v>
      </c>
      <c r="F708" t="s">
        <v>598</v>
      </c>
    </row>
    <row r="709" spans="1:6" x14ac:dyDescent="0.2">
      <c r="A709">
        <v>706</v>
      </c>
      <c r="B709" t="s">
        <v>497</v>
      </c>
      <c r="C709" t="str">
        <f>VLOOKUP(B709,'Master Anggota'!$E$2:$I$279,5,0)</f>
        <v>01719</v>
      </c>
      <c r="D709" s="108">
        <v>46167</v>
      </c>
      <c r="E709" s="56">
        <v>-735000</v>
      </c>
      <c r="F709" t="s">
        <v>598</v>
      </c>
    </row>
    <row r="710" spans="1:6" x14ac:dyDescent="0.2">
      <c r="A710">
        <v>707</v>
      </c>
      <c r="B710" t="s">
        <v>492</v>
      </c>
      <c r="C710" t="str">
        <f>VLOOKUP(B710,'Master Anggota'!$E$2:$I$279,5,0)</f>
        <v>01728</v>
      </c>
      <c r="D710" s="108">
        <v>46167</v>
      </c>
      <c r="E710" s="56">
        <v>-520000</v>
      </c>
      <c r="F710" t="s">
        <v>598</v>
      </c>
    </row>
    <row r="711" spans="1:6" x14ac:dyDescent="0.2">
      <c r="A711">
        <v>708</v>
      </c>
      <c r="B711" t="s">
        <v>439</v>
      </c>
      <c r="C711" t="str">
        <f>VLOOKUP(B711,'Master Anggota'!$E$2:$I$279,5,0)</f>
        <v>01730</v>
      </c>
      <c r="D711" s="108">
        <v>46167</v>
      </c>
      <c r="E711" s="56">
        <v>-706667</v>
      </c>
      <c r="F711" t="s">
        <v>598</v>
      </c>
    </row>
    <row r="712" spans="1:6" x14ac:dyDescent="0.2">
      <c r="A712">
        <v>709</v>
      </c>
      <c r="B712" t="s">
        <v>451</v>
      </c>
      <c r="C712" t="str">
        <f>VLOOKUP(B712,'Master Anggota'!$E$2:$I$279,5,0)</f>
        <v>01735</v>
      </c>
      <c r="D712" s="108">
        <v>46167</v>
      </c>
      <c r="E712" s="56">
        <v>-540000</v>
      </c>
      <c r="F712" t="s">
        <v>598</v>
      </c>
    </row>
    <row r="713" spans="1:6" x14ac:dyDescent="0.2">
      <c r="A713">
        <v>710</v>
      </c>
      <c r="B713" t="s">
        <v>448</v>
      </c>
      <c r="C713" t="str">
        <f>VLOOKUP(B713,'Master Anggota'!$E$2:$I$279,5,0)</f>
        <v>01737</v>
      </c>
      <c r="D713" s="108">
        <v>46167</v>
      </c>
      <c r="E713" s="56">
        <v>-540000</v>
      </c>
      <c r="F713" t="s">
        <v>598</v>
      </c>
    </row>
    <row r="714" spans="1:6" x14ac:dyDescent="0.2">
      <c r="A714">
        <v>711</v>
      </c>
      <c r="B714" t="s">
        <v>450</v>
      </c>
      <c r="C714" t="str">
        <f>VLOOKUP(B714,'Master Anggota'!$E$2:$I$279,5,0)</f>
        <v>01738</v>
      </c>
      <c r="D714" s="108">
        <v>46167</v>
      </c>
      <c r="E714" s="56">
        <v>-405000</v>
      </c>
      <c r="F714" t="s">
        <v>598</v>
      </c>
    </row>
    <row r="715" spans="1:6" x14ac:dyDescent="0.2">
      <c r="A715">
        <v>712</v>
      </c>
      <c r="B715" t="s">
        <v>495</v>
      </c>
      <c r="C715" t="str">
        <f>VLOOKUP(B715,'Master Anggota'!$E$2:$I$279,5,0)</f>
        <v>01754</v>
      </c>
      <c r="D715" s="108">
        <v>46167</v>
      </c>
      <c r="E715" s="56">
        <v>-1100000</v>
      </c>
      <c r="F715" t="s">
        <v>598</v>
      </c>
    </row>
    <row r="716" spans="1:6" x14ac:dyDescent="0.2">
      <c r="A716">
        <v>713</v>
      </c>
      <c r="B716" t="s">
        <v>499</v>
      </c>
      <c r="C716" t="str">
        <f>VLOOKUP(B716,'Master Anggota'!$E$2:$I$279,5,0)</f>
        <v>01775</v>
      </c>
      <c r="D716" s="108">
        <v>46167</v>
      </c>
      <c r="E716" s="56">
        <v>-540000</v>
      </c>
      <c r="F716" t="s">
        <v>598</v>
      </c>
    </row>
    <row r="717" spans="1:6" x14ac:dyDescent="0.2">
      <c r="A717">
        <v>714</v>
      </c>
      <c r="B717" t="s">
        <v>500</v>
      </c>
      <c r="C717" t="str">
        <f>VLOOKUP(B717,'Master Anggota'!$E$2:$I$279,5,0)</f>
        <v>01776</v>
      </c>
      <c r="D717" s="108">
        <v>46167</v>
      </c>
      <c r="E717" s="56">
        <v>-337500</v>
      </c>
      <c r="F717" t="s">
        <v>598</v>
      </c>
    </row>
    <row r="718" spans="1:6" x14ac:dyDescent="0.2">
      <c r="A718">
        <v>715</v>
      </c>
      <c r="B718" t="s">
        <v>526</v>
      </c>
      <c r="C718" t="str">
        <f>VLOOKUP(B718,'Master Anggota'!$E$2:$I$279,5,0)</f>
        <v>PHL</v>
      </c>
      <c r="D718" s="108">
        <v>46167</v>
      </c>
      <c r="E718" s="56">
        <v>-901000</v>
      </c>
      <c r="F718" t="s">
        <v>598</v>
      </c>
    </row>
    <row r="719" spans="1:6" x14ac:dyDescent="0.2">
      <c r="A719">
        <v>716</v>
      </c>
      <c r="B719" t="s">
        <v>527</v>
      </c>
      <c r="C719" t="str">
        <f>VLOOKUP(B719,'Master Anggota'!$E$2:$I$279,5,0)</f>
        <v>PHL</v>
      </c>
      <c r="D719" s="108">
        <v>46167</v>
      </c>
      <c r="E719" s="56">
        <v>-330000</v>
      </c>
      <c r="F719" t="s">
        <v>598</v>
      </c>
    </row>
    <row r="720" spans="1:6" x14ac:dyDescent="0.2">
      <c r="A720">
        <v>717</v>
      </c>
      <c r="B720" t="s">
        <v>295</v>
      </c>
      <c r="C720" t="str">
        <f>VLOOKUP(B720,'Master Anggota'!$E$2:$I$279,5,0)</f>
        <v>PHL</v>
      </c>
      <c r="D720" s="108">
        <v>46167</v>
      </c>
      <c r="E720" s="56">
        <v>-770000</v>
      </c>
      <c r="F720" t="s">
        <v>598</v>
      </c>
    </row>
    <row r="721" spans="1:13" x14ac:dyDescent="0.2">
      <c r="A721">
        <v>718</v>
      </c>
      <c r="B721" t="s">
        <v>278</v>
      </c>
      <c r="C721" t="str">
        <f>VLOOKUP(B721,'Master Anggota'!$E$2:$I$279,5,0)</f>
        <v>PHL</v>
      </c>
      <c r="D721" s="108">
        <v>46167</v>
      </c>
      <c r="E721" s="56">
        <v>-1650000</v>
      </c>
      <c r="F721" t="s">
        <v>598</v>
      </c>
    </row>
    <row r="722" spans="1:13" x14ac:dyDescent="0.2">
      <c r="A722">
        <v>719</v>
      </c>
      <c r="B722" t="s">
        <v>324</v>
      </c>
      <c r="C722" t="str">
        <f>VLOOKUP(B722,'Master Anggota'!$E$2:$I$279,5,0)</f>
        <v>00626</v>
      </c>
      <c r="D722" s="108">
        <v>46182</v>
      </c>
      <c r="E722" s="82">
        <v>-22500000</v>
      </c>
      <c r="F722" t="s">
        <v>598</v>
      </c>
      <c r="K722" s="82"/>
    </row>
    <row r="723" spans="1:13" x14ac:dyDescent="0.2">
      <c r="A723">
        <v>720</v>
      </c>
      <c r="B723" t="s">
        <v>318</v>
      </c>
      <c r="C723" t="str">
        <f>VLOOKUP(B723,'Master Anggota'!$E$2:$I$279,5,0)</f>
        <v>01651</v>
      </c>
      <c r="D723" s="108">
        <v>46176</v>
      </c>
      <c r="E723" s="82">
        <v>-2860000</v>
      </c>
      <c r="F723" t="s">
        <v>598</v>
      </c>
      <c r="K723" s="82"/>
    </row>
    <row r="724" spans="1:13" x14ac:dyDescent="0.2">
      <c r="A724">
        <v>721</v>
      </c>
      <c r="B724" t="s">
        <v>492</v>
      </c>
      <c r="C724" t="str">
        <f>VLOOKUP(B724,'Master Anggota'!$E$2:$I$279,5,0)</f>
        <v>01728</v>
      </c>
      <c r="D724" s="108">
        <v>46182</v>
      </c>
      <c r="E724" s="82">
        <v>-1560000</v>
      </c>
      <c r="F724" t="s">
        <v>598</v>
      </c>
      <c r="K724" s="82"/>
      <c r="L724" s="60"/>
    </row>
    <row r="725" spans="1:13" x14ac:dyDescent="0.2">
      <c r="A725">
        <v>722</v>
      </c>
      <c r="B725" t="s">
        <v>155</v>
      </c>
      <c r="C725" t="str">
        <f>VLOOKUP(B725,'Master Anggota'!$E$2:$I$279,5,0)</f>
        <v>00499</v>
      </c>
      <c r="D725" s="108">
        <v>46185</v>
      </c>
      <c r="E725" s="82">
        <v>-2583326</v>
      </c>
      <c r="F725" t="s">
        <v>598</v>
      </c>
      <c r="K725" s="82"/>
    </row>
    <row r="726" spans="1:13" x14ac:dyDescent="0.2">
      <c r="A726">
        <v>723</v>
      </c>
      <c r="B726" t="s">
        <v>252</v>
      </c>
      <c r="C726" t="str">
        <f>VLOOKUP(B726,'Master Anggota'!$E$2:$I$279,5,0)</f>
        <v>00524</v>
      </c>
      <c r="D726" s="108">
        <v>46182</v>
      </c>
      <c r="E726" s="56">
        <v>-43333336</v>
      </c>
      <c r="F726" t="s">
        <v>598</v>
      </c>
    </row>
    <row r="727" spans="1:13" x14ac:dyDescent="0.2">
      <c r="A727">
        <v>724</v>
      </c>
      <c r="B727" t="s">
        <v>252</v>
      </c>
      <c r="C727" t="str">
        <f>VLOOKUP(B727,'Master Anggota'!$E$2:$I$279,5,0)</f>
        <v>00524</v>
      </c>
      <c r="D727" s="108">
        <v>46182</v>
      </c>
      <c r="E727" s="56">
        <v>70000000</v>
      </c>
      <c r="F727" t="s">
        <v>617</v>
      </c>
      <c r="H727" t="s">
        <v>681</v>
      </c>
      <c r="I727" s="111">
        <v>46228</v>
      </c>
      <c r="J727" s="111">
        <v>46929</v>
      </c>
      <c r="K727" s="56">
        <v>3841667</v>
      </c>
      <c r="L727">
        <v>24</v>
      </c>
      <c r="M727" s="60">
        <f>K727*L727</f>
        <v>92200008</v>
      </c>
    </row>
    <row r="728" spans="1:13" x14ac:dyDescent="0.2">
      <c r="A728">
        <v>725</v>
      </c>
      <c r="B728" t="s">
        <v>252</v>
      </c>
      <c r="C728" t="str">
        <f>VLOOKUP(B728,'Master Anggota'!$E$2:$I$279,5,0)</f>
        <v>00524</v>
      </c>
      <c r="D728" s="108">
        <v>46182</v>
      </c>
      <c r="E728" s="56">
        <v>22200000</v>
      </c>
      <c r="F728" t="s">
        <v>616</v>
      </c>
    </row>
    <row r="729" spans="1:13" x14ac:dyDescent="0.2">
      <c r="A729">
        <v>726</v>
      </c>
      <c r="B729" t="s">
        <v>310</v>
      </c>
      <c r="C729" t="str">
        <f>VLOOKUP(B729,'Master Anggota'!$E$2:$I$279,5,0)</f>
        <v>01543</v>
      </c>
      <c r="D729" s="108">
        <v>46182</v>
      </c>
      <c r="E729" s="82">
        <v>3000000</v>
      </c>
      <c r="F729" t="s">
        <v>617</v>
      </c>
      <c r="H729" t="s">
        <v>694</v>
      </c>
      <c r="I729" s="111">
        <v>46228</v>
      </c>
      <c r="J729" s="111">
        <v>46929</v>
      </c>
      <c r="K729" s="82">
        <v>280000</v>
      </c>
      <c r="L729">
        <v>12</v>
      </c>
      <c r="M729" s="60">
        <f>K729*L729</f>
        <v>3360000</v>
      </c>
    </row>
    <row r="730" spans="1:13" x14ac:dyDescent="0.2">
      <c r="A730">
        <v>727</v>
      </c>
      <c r="B730" t="s">
        <v>310</v>
      </c>
      <c r="C730" t="str">
        <f>VLOOKUP(B730,'Master Anggota'!$E$2:$I$279,5,0)</f>
        <v>01543</v>
      </c>
      <c r="D730" s="108">
        <v>46182</v>
      </c>
      <c r="E730" s="82">
        <v>360000</v>
      </c>
      <c r="F730" t="s">
        <v>616</v>
      </c>
      <c r="K730" s="82"/>
    </row>
    <row r="731" spans="1:13" x14ac:dyDescent="0.2">
      <c r="A731">
        <v>728</v>
      </c>
      <c r="B731" t="s">
        <v>177</v>
      </c>
      <c r="C731" t="str">
        <f>VLOOKUP(B731,'Master Anggota'!$E$2:$I$279,5,0)</f>
        <v>00569</v>
      </c>
      <c r="D731" s="108">
        <v>46182</v>
      </c>
      <c r="E731" s="56">
        <v>-36330000</v>
      </c>
      <c r="F731" t="s">
        <v>598</v>
      </c>
    </row>
    <row r="732" spans="1:13" x14ac:dyDescent="0.2">
      <c r="A732">
        <v>729</v>
      </c>
      <c r="B732" t="s">
        <v>177</v>
      </c>
      <c r="C732" t="str">
        <f>VLOOKUP(B732,'Master Anggota'!$E$2:$I$279,5,0)</f>
        <v>00569</v>
      </c>
      <c r="D732" s="108">
        <v>46182</v>
      </c>
      <c r="E732" s="56">
        <v>58000000</v>
      </c>
      <c r="F732" t="s">
        <v>617</v>
      </c>
      <c r="H732" t="s">
        <v>683</v>
      </c>
      <c r="I732" s="111">
        <v>46228</v>
      </c>
      <c r="J732" s="111">
        <v>46929</v>
      </c>
      <c r="K732" s="56">
        <v>3161667</v>
      </c>
      <c r="L732">
        <v>24</v>
      </c>
      <c r="M732" s="60">
        <f>K732*L732</f>
        <v>75880008</v>
      </c>
    </row>
    <row r="733" spans="1:13" x14ac:dyDescent="0.2">
      <c r="A733">
        <v>730</v>
      </c>
      <c r="B733" t="s">
        <v>177</v>
      </c>
      <c r="C733" t="str">
        <f>VLOOKUP(B733,'Master Anggota'!$E$2:$I$279,5,0)</f>
        <v>00569</v>
      </c>
      <c r="D733" s="108">
        <v>46182</v>
      </c>
      <c r="E733" s="56">
        <v>17880000</v>
      </c>
      <c r="F733" t="s">
        <v>616</v>
      </c>
    </row>
    <row r="734" spans="1:13" x14ac:dyDescent="0.2">
      <c r="A734">
        <v>731</v>
      </c>
      <c r="B734" t="s">
        <v>324</v>
      </c>
      <c r="C734" t="str">
        <f>VLOOKUP(B734,'Master Anggota'!$E$2:$I$279,5,0)</f>
        <v>00626</v>
      </c>
      <c r="D734" s="108">
        <v>46182</v>
      </c>
      <c r="E734" s="82">
        <v>34000000</v>
      </c>
      <c r="F734" t="s">
        <v>617</v>
      </c>
      <c r="H734" t="s">
        <v>683</v>
      </c>
      <c r="I734" s="111">
        <v>46228</v>
      </c>
      <c r="J734" s="111">
        <v>46929</v>
      </c>
      <c r="K734" s="82">
        <v>1801667</v>
      </c>
      <c r="L734">
        <v>24</v>
      </c>
      <c r="M734" s="60">
        <f>K734*L734</f>
        <v>43240008</v>
      </c>
    </row>
    <row r="735" spans="1:13" x14ac:dyDescent="0.2">
      <c r="A735">
        <v>732</v>
      </c>
      <c r="B735" t="s">
        <v>324</v>
      </c>
      <c r="C735" t="str">
        <f>VLOOKUP(B735,'Master Anggota'!$E$2:$I$279,5,0)</f>
        <v>00626</v>
      </c>
      <c r="D735" s="108">
        <v>46182</v>
      </c>
      <c r="E735" s="82">
        <v>9240000</v>
      </c>
      <c r="F735" t="s">
        <v>616</v>
      </c>
      <c r="K735" s="82"/>
    </row>
    <row r="736" spans="1:13" x14ac:dyDescent="0.2">
      <c r="A736">
        <v>733</v>
      </c>
      <c r="B736" t="s">
        <v>492</v>
      </c>
      <c r="C736" t="str">
        <f>VLOOKUP(B736,'Master Anggota'!$E$2:$I$279,5,0)</f>
        <v>01728</v>
      </c>
      <c r="D736" s="108">
        <v>46182</v>
      </c>
      <c r="E736" s="82">
        <v>8000000</v>
      </c>
      <c r="F736" t="s">
        <v>617</v>
      </c>
      <c r="H736" t="s">
        <v>679</v>
      </c>
      <c r="I736" s="111">
        <v>46228</v>
      </c>
      <c r="J736" s="111">
        <v>46381</v>
      </c>
      <c r="K736" s="82">
        <v>1413333</v>
      </c>
      <c r="L736">
        <v>6</v>
      </c>
      <c r="M736" s="60">
        <f>K736*L736</f>
        <v>8479998</v>
      </c>
    </row>
    <row r="737" spans="1:13" x14ac:dyDescent="0.2">
      <c r="A737">
        <v>734</v>
      </c>
      <c r="B737" t="s">
        <v>492</v>
      </c>
      <c r="C737" t="str">
        <f>VLOOKUP(B737,'Master Anggota'!$E$2:$I$279,5,0)</f>
        <v>01728</v>
      </c>
      <c r="D737" s="108">
        <v>46182</v>
      </c>
      <c r="E737" s="82">
        <v>480000</v>
      </c>
      <c r="F737" t="s">
        <v>616</v>
      </c>
      <c r="K737" s="82"/>
    </row>
    <row r="738" spans="1:13" x14ac:dyDescent="0.2">
      <c r="A738">
        <v>735</v>
      </c>
      <c r="B738" t="s">
        <v>318</v>
      </c>
      <c r="C738" t="str">
        <f>VLOOKUP(B738,'Master Anggota'!$E$2:$I$279,5,0)</f>
        <v>01651</v>
      </c>
      <c r="D738" s="108">
        <v>46176</v>
      </c>
      <c r="E738" s="82">
        <v>5000000</v>
      </c>
      <c r="F738" t="s">
        <v>617</v>
      </c>
      <c r="H738" t="s">
        <v>685</v>
      </c>
      <c r="I738" s="111">
        <v>46228</v>
      </c>
      <c r="J738" s="111">
        <v>46502</v>
      </c>
      <c r="K738" s="82">
        <v>550000</v>
      </c>
      <c r="L738">
        <v>10</v>
      </c>
      <c r="M738" s="60">
        <f>K738*L738</f>
        <v>5500000</v>
      </c>
    </row>
    <row r="739" spans="1:13" x14ac:dyDescent="0.2">
      <c r="A739">
        <v>736</v>
      </c>
      <c r="B739" t="s">
        <v>318</v>
      </c>
      <c r="C739" t="str">
        <f>VLOOKUP(B739,'Master Anggota'!$E$2:$I$279,5,0)</f>
        <v>01651</v>
      </c>
      <c r="D739" s="108">
        <v>46176</v>
      </c>
      <c r="E739" s="82">
        <v>500000</v>
      </c>
      <c r="F739" t="s">
        <v>616</v>
      </c>
      <c r="K739" s="82"/>
    </row>
    <row r="740" spans="1:13" x14ac:dyDescent="0.2">
      <c r="A740">
        <v>737</v>
      </c>
      <c r="B740" t="s">
        <v>497</v>
      </c>
      <c r="C740" t="str">
        <f>VLOOKUP(B740,'Master Anggota'!$E$2:$I$279,5,0)</f>
        <v>01719</v>
      </c>
      <c r="D740" s="108">
        <v>46161</v>
      </c>
      <c r="E740" s="82">
        <v>-735000</v>
      </c>
      <c r="F740" t="s">
        <v>598</v>
      </c>
      <c r="K740" s="82"/>
    </row>
    <row r="741" spans="1:13" x14ac:dyDescent="0.2">
      <c r="A741">
        <v>738</v>
      </c>
      <c r="B741" t="s">
        <v>497</v>
      </c>
      <c r="C741" t="str">
        <f>VLOOKUP(B741,'Master Anggota'!$E$2:$I$279,5,0)</f>
        <v>01719</v>
      </c>
      <c r="D741" s="108">
        <v>46161</v>
      </c>
      <c r="E741" s="82">
        <v>5000000</v>
      </c>
      <c r="F741" t="s">
        <v>617</v>
      </c>
      <c r="H741" t="s">
        <v>685</v>
      </c>
      <c r="I741" s="111">
        <v>46228</v>
      </c>
      <c r="J741" s="111">
        <v>46502</v>
      </c>
      <c r="K741" s="82">
        <v>550000</v>
      </c>
      <c r="L741">
        <v>10</v>
      </c>
      <c r="M741" s="60">
        <f>K741*L741</f>
        <v>5500000</v>
      </c>
    </row>
    <row r="742" spans="1:13" x14ac:dyDescent="0.2">
      <c r="A742">
        <v>739</v>
      </c>
      <c r="B742" t="s">
        <v>497</v>
      </c>
      <c r="C742" t="str">
        <f>VLOOKUP(B742,'Master Anggota'!$E$2:$I$279,5,0)</f>
        <v>01719</v>
      </c>
      <c r="D742" s="108">
        <v>46161</v>
      </c>
      <c r="E742" s="82">
        <v>500000</v>
      </c>
      <c r="F742" t="s">
        <v>616</v>
      </c>
      <c r="K742" s="82"/>
    </row>
    <row r="743" spans="1:13" x14ac:dyDescent="0.2">
      <c r="A743">
        <v>740</v>
      </c>
      <c r="B743" t="s">
        <v>439</v>
      </c>
      <c r="C743" t="str">
        <f>VLOOKUP(B743,'Master Anggota'!$E$2:$I$279,5,0)</f>
        <v>01730</v>
      </c>
      <c r="D743" s="108">
        <v>46161</v>
      </c>
      <c r="E743" s="82">
        <v>-1413332</v>
      </c>
      <c r="F743" t="s">
        <v>598</v>
      </c>
      <c r="K743" s="82"/>
    </row>
    <row r="744" spans="1:13" x14ac:dyDescent="0.2">
      <c r="A744">
        <v>741</v>
      </c>
      <c r="B744" t="s">
        <v>439</v>
      </c>
      <c r="C744" t="str">
        <f>VLOOKUP(B744,'Master Anggota'!$E$2:$I$279,5,0)</f>
        <v>01730</v>
      </c>
      <c r="D744" s="108">
        <v>46161</v>
      </c>
      <c r="E744" s="82">
        <v>6000000</v>
      </c>
      <c r="F744" t="s">
        <v>617</v>
      </c>
      <c r="H744" t="s">
        <v>686</v>
      </c>
      <c r="I744" s="111">
        <v>46228</v>
      </c>
      <c r="J744" s="111">
        <v>46502</v>
      </c>
      <c r="K744" s="82">
        <v>660000</v>
      </c>
      <c r="L744">
        <v>10</v>
      </c>
      <c r="M744" s="60">
        <f>K744*L744</f>
        <v>6600000</v>
      </c>
    </row>
    <row r="745" spans="1:13" x14ac:dyDescent="0.2">
      <c r="A745">
        <v>742</v>
      </c>
      <c r="B745" t="s">
        <v>439</v>
      </c>
      <c r="C745" t="str">
        <f>VLOOKUP(B745,'Master Anggota'!$E$2:$I$279,5,0)</f>
        <v>01730</v>
      </c>
      <c r="D745" s="108">
        <v>46161</v>
      </c>
      <c r="E745" s="82">
        <v>600000</v>
      </c>
      <c r="F745" t="s">
        <v>616</v>
      </c>
      <c r="K745" s="82"/>
    </row>
    <row r="746" spans="1:13" x14ac:dyDescent="0.2">
      <c r="A746">
        <v>743</v>
      </c>
      <c r="B746" t="s">
        <v>539</v>
      </c>
      <c r="C746" t="str">
        <f>VLOOKUP(B746,'Master Anggota'!$E$2:$I$279,5,0)</f>
        <v>01800</v>
      </c>
      <c r="D746" s="108">
        <v>46182</v>
      </c>
      <c r="E746" s="82">
        <v>2000000</v>
      </c>
      <c r="F746" t="s">
        <v>617</v>
      </c>
      <c r="H746" t="s">
        <v>678</v>
      </c>
      <c r="I746" s="111">
        <v>46228</v>
      </c>
      <c r="J746" s="111">
        <v>46502</v>
      </c>
      <c r="K746" s="82">
        <v>220000</v>
      </c>
      <c r="L746">
        <v>10</v>
      </c>
      <c r="M746" s="60">
        <f>K746*L746</f>
        <v>2200000</v>
      </c>
    </row>
    <row r="747" spans="1:13" x14ac:dyDescent="0.2">
      <c r="A747">
        <v>744</v>
      </c>
      <c r="B747" t="s">
        <v>539</v>
      </c>
      <c r="C747" t="str">
        <f>VLOOKUP(B747,'Master Anggota'!$E$2:$I$279,5,0)</f>
        <v>01800</v>
      </c>
      <c r="D747" s="108">
        <v>46182</v>
      </c>
      <c r="E747" s="82">
        <v>200000</v>
      </c>
      <c r="F747" t="s">
        <v>616</v>
      </c>
      <c r="K747" s="82"/>
    </row>
    <row r="748" spans="1:13" x14ac:dyDescent="0.2">
      <c r="A748">
        <v>745</v>
      </c>
      <c r="B748" t="s">
        <v>155</v>
      </c>
      <c r="C748" t="str">
        <f>VLOOKUP(B748,'Master Anggota'!$E$2:$I$279,5,0)</f>
        <v>00499</v>
      </c>
      <c r="D748" s="108">
        <v>46185</v>
      </c>
      <c r="E748" s="82">
        <v>15000000</v>
      </c>
      <c r="F748" t="s">
        <v>617</v>
      </c>
      <c r="H748" t="s">
        <v>688</v>
      </c>
      <c r="I748" s="111">
        <v>46228</v>
      </c>
      <c r="J748" s="111">
        <v>46593</v>
      </c>
      <c r="K748" s="82">
        <v>1303846</v>
      </c>
      <c r="L748">
        <v>13</v>
      </c>
      <c r="M748" s="60">
        <f>K748*L748</f>
        <v>16949998</v>
      </c>
    </row>
    <row r="749" spans="1:13" x14ac:dyDescent="0.2">
      <c r="A749">
        <v>746</v>
      </c>
      <c r="B749" t="s">
        <v>155</v>
      </c>
      <c r="C749" t="str">
        <f>VLOOKUP(B749,'Master Anggota'!$E$2:$I$279,5,0)</f>
        <v>00499</v>
      </c>
      <c r="D749" s="108">
        <v>46185</v>
      </c>
      <c r="E749" s="82">
        <v>1950000</v>
      </c>
      <c r="F749" t="s">
        <v>616</v>
      </c>
      <c r="K749" s="82"/>
    </row>
    <row r="750" spans="1:13" x14ac:dyDescent="0.2">
      <c r="A750">
        <v>747</v>
      </c>
      <c r="B750" t="s">
        <v>202</v>
      </c>
      <c r="C750" t="str">
        <f>VLOOKUP(B750,'Master Anggota'!$E$2:$I$279,5,0)</f>
        <v>00512</v>
      </c>
      <c r="D750" s="108">
        <v>46185</v>
      </c>
      <c r="E750" s="56">
        <v>-16533336</v>
      </c>
      <c r="F750" t="s">
        <v>598</v>
      </c>
    </row>
    <row r="751" spans="1:13" x14ac:dyDescent="0.2">
      <c r="A751">
        <v>748</v>
      </c>
      <c r="B751" t="s">
        <v>202</v>
      </c>
      <c r="C751" t="str">
        <f>VLOOKUP(B751,'Master Anggota'!$E$2:$I$279,5,0)</f>
        <v>00512</v>
      </c>
      <c r="D751" s="108">
        <v>46185</v>
      </c>
      <c r="E751" s="56">
        <v>20000000</v>
      </c>
      <c r="F751" t="s">
        <v>617</v>
      </c>
      <c r="H751" t="s">
        <v>683</v>
      </c>
      <c r="I751" s="111">
        <v>46228</v>
      </c>
      <c r="J751" s="111">
        <v>46929</v>
      </c>
      <c r="K751" s="56">
        <v>1033333</v>
      </c>
      <c r="L751">
        <v>24</v>
      </c>
      <c r="M751" s="60">
        <f>K751*L751</f>
        <v>24799992</v>
      </c>
    </row>
    <row r="752" spans="1:13" x14ac:dyDescent="0.2">
      <c r="A752">
        <v>749</v>
      </c>
      <c r="B752" t="s">
        <v>202</v>
      </c>
      <c r="C752" t="str">
        <f>VLOOKUP(B752,'Master Anggota'!$E$2:$I$279,5,0)</f>
        <v>00512</v>
      </c>
      <c r="D752" s="108">
        <v>46185</v>
      </c>
      <c r="E752" s="56">
        <v>4800000</v>
      </c>
      <c r="F752" t="s">
        <v>616</v>
      </c>
    </row>
    <row r="753" spans="1:13" x14ac:dyDescent="0.2">
      <c r="A753">
        <v>750</v>
      </c>
      <c r="B753" t="s">
        <v>524</v>
      </c>
      <c r="C753" t="str">
        <f>VLOOKUP(B753,'Master Anggota'!$E$2:$I$279,5,0)</f>
        <v>01743</v>
      </c>
      <c r="D753" s="108">
        <v>46182</v>
      </c>
      <c r="E753" s="82">
        <v>3000000</v>
      </c>
      <c r="F753" t="s">
        <v>617</v>
      </c>
      <c r="H753" t="s">
        <v>689</v>
      </c>
      <c r="I753" s="111">
        <v>46228</v>
      </c>
      <c r="J753" s="111">
        <v>46443</v>
      </c>
      <c r="K753" s="82">
        <v>458571</v>
      </c>
      <c r="L753">
        <v>7</v>
      </c>
      <c r="M753" s="60">
        <f>K753*L753</f>
        <v>3209997</v>
      </c>
    </row>
    <row r="754" spans="1:13" x14ac:dyDescent="0.2">
      <c r="A754">
        <v>751</v>
      </c>
      <c r="B754" t="s">
        <v>524</v>
      </c>
      <c r="C754" t="str">
        <f>VLOOKUP(B754,'Master Anggota'!$E$2:$I$279,5,0)</f>
        <v>01743</v>
      </c>
      <c r="D754" s="108">
        <v>46182</v>
      </c>
      <c r="E754" s="82">
        <v>210000</v>
      </c>
      <c r="F754" t="s">
        <v>616</v>
      </c>
      <c r="K754" s="82"/>
    </row>
    <row r="755" spans="1:13" x14ac:dyDescent="0.2">
      <c r="A755">
        <v>752</v>
      </c>
      <c r="B755" t="s">
        <v>308</v>
      </c>
      <c r="C755" t="str">
        <f>VLOOKUP(B755,'Master Anggota'!$E$2:$I$279,5,0)</f>
        <v>01604</v>
      </c>
      <c r="D755" s="108">
        <v>46181</v>
      </c>
      <c r="E755" s="82">
        <v>10000000</v>
      </c>
      <c r="F755" t="s">
        <v>617</v>
      </c>
      <c r="H755" t="s">
        <v>685</v>
      </c>
      <c r="I755" s="111">
        <v>46228</v>
      </c>
      <c r="J755" s="111">
        <v>46502</v>
      </c>
      <c r="K755" s="82">
        <v>1100000</v>
      </c>
      <c r="L755">
        <v>10</v>
      </c>
      <c r="M755" s="60">
        <f>K755*L755</f>
        <v>11000000</v>
      </c>
    </row>
    <row r="756" spans="1:13" x14ac:dyDescent="0.2">
      <c r="A756">
        <v>753</v>
      </c>
      <c r="B756" t="s">
        <v>308</v>
      </c>
      <c r="C756" t="str">
        <f>VLOOKUP(B756,'Master Anggota'!$E$2:$I$279,5,0)</f>
        <v>01604</v>
      </c>
      <c r="D756" s="108">
        <v>46181</v>
      </c>
      <c r="E756" s="82">
        <v>1000000</v>
      </c>
      <c r="F756" t="s">
        <v>616</v>
      </c>
      <c r="K756" s="82"/>
    </row>
    <row r="757" spans="1:13" x14ac:dyDescent="0.2">
      <c r="A757">
        <v>754</v>
      </c>
      <c r="B757" t="s">
        <v>521</v>
      </c>
      <c r="C757" t="str">
        <f>VLOOKUP(B757,'Master Anggota'!$E$2:$I$279,5,0)</f>
        <v>00376</v>
      </c>
      <c r="D757" s="108">
        <v>46178</v>
      </c>
      <c r="E757" s="82">
        <v>-53558333</v>
      </c>
      <c r="F757" t="s">
        <v>598</v>
      </c>
      <c r="K757" s="82"/>
    </row>
    <row r="758" spans="1:13" x14ac:dyDescent="0.2">
      <c r="A758">
        <v>755</v>
      </c>
      <c r="B758" t="s">
        <v>521</v>
      </c>
      <c r="C758" t="str">
        <f>VLOOKUP(B758,'Master Anggota'!$E$2:$I$279,5,0)</f>
        <v>00376</v>
      </c>
      <c r="D758" s="108">
        <v>46178</v>
      </c>
      <c r="E758" s="82">
        <v>183330</v>
      </c>
      <c r="F758" t="s">
        <v>598</v>
      </c>
      <c r="H758" t="s">
        <v>627</v>
      </c>
      <c r="K758" s="82"/>
    </row>
    <row r="759" spans="1:13" x14ac:dyDescent="0.2">
      <c r="A759">
        <v>756</v>
      </c>
      <c r="B759" t="s">
        <v>521</v>
      </c>
      <c r="C759" t="str">
        <f>VLOOKUP(B759,'Master Anggota'!$E$2:$I$279,5,0)</f>
        <v>00376</v>
      </c>
      <c r="D759" s="108">
        <v>46178</v>
      </c>
      <c r="E759" s="82">
        <v>65000000</v>
      </c>
      <c r="F759" t="s">
        <v>617</v>
      </c>
      <c r="H759" t="s">
        <v>683</v>
      </c>
      <c r="I759" s="111">
        <v>46228</v>
      </c>
      <c r="J759" s="111">
        <v>46929</v>
      </c>
      <c r="K759" s="56">
        <v>3558333</v>
      </c>
      <c r="L759">
        <v>24</v>
      </c>
      <c r="M759" s="60">
        <f>K759*L759</f>
        <v>85399992</v>
      </c>
    </row>
    <row r="760" spans="1:13" x14ac:dyDescent="0.2">
      <c r="A760">
        <v>757</v>
      </c>
      <c r="B760" t="s">
        <v>521</v>
      </c>
      <c r="C760" t="str">
        <f>VLOOKUP(B760,'Master Anggota'!$E$2:$I$279,5,0)</f>
        <v>00376</v>
      </c>
      <c r="D760" s="108">
        <v>46178</v>
      </c>
      <c r="E760" s="82">
        <v>20400000</v>
      </c>
      <c r="F760" t="s">
        <v>616</v>
      </c>
    </row>
    <row r="761" spans="1:13" x14ac:dyDescent="0.2">
      <c r="A761">
        <v>758</v>
      </c>
      <c r="B761" t="s">
        <v>323</v>
      </c>
      <c r="C761" t="str">
        <f>VLOOKUP(B761,'Master Anggota'!$E$2:$I$279,5,0)</f>
        <v>01601</v>
      </c>
      <c r="D761" s="108">
        <v>46190</v>
      </c>
      <c r="E761" s="82">
        <v>5000000</v>
      </c>
      <c r="F761" t="s">
        <v>617</v>
      </c>
      <c r="H761" t="s">
        <v>685</v>
      </c>
      <c r="I761" s="111">
        <v>46228</v>
      </c>
      <c r="J761" s="111">
        <v>46502</v>
      </c>
      <c r="K761" s="82">
        <v>550000</v>
      </c>
      <c r="L761">
        <v>10</v>
      </c>
      <c r="M761" s="60">
        <f>K761*L761</f>
        <v>5500000</v>
      </c>
    </row>
    <row r="762" spans="1:13" x14ac:dyDescent="0.2">
      <c r="A762">
        <v>759</v>
      </c>
      <c r="B762" t="s">
        <v>323</v>
      </c>
      <c r="C762" t="str">
        <f>VLOOKUP(B762,'Master Anggota'!$E$2:$I$279,5,0)</f>
        <v>01601</v>
      </c>
      <c r="D762" s="108">
        <v>46190</v>
      </c>
      <c r="E762" s="82">
        <v>500000</v>
      </c>
      <c r="F762" t="s">
        <v>616</v>
      </c>
      <c r="K762" s="82"/>
    </row>
    <row r="763" spans="1:13" x14ac:dyDescent="0.2">
      <c r="A763">
        <v>760</v>
      </c>
      <c r="B763" t="s">
        <v>491</v>
      </c>
      <c r="C763" t="str">
        <f>VLOOKUP(B763,'Master Anggota'!$E$2:$I$279,5,0)</f>
        <v>01720</v>
      </c>
      <c r="D763" s="108">
        <v>46184</v>
      </c>
      <c r="E763" s="82">
        <v>17000000</v>
      </c>
      <c r="F763" t="s">
        <v>617</v>
      </c>
      <c r="H763" t="s">
        <v>695</v>
      </c>
      <c r="I763" s="111">
        <v>46228</v>
      </c>
      <c r="J763" s="111">
        <v>46808</v>
      </c>
      <c r="K763" s="82">
        <v>1020000</v>
      </c>
      <c r="L763">
        <v>20</v>
      </c>
      <c r="M763" s="60">
        <f>K763*L763</f>
        <v>20400000</v>
      </c>
    </row>
    <row r="764" spans="1:13" x14ac:dyDescent="0.2">
      <c r="A764">
        <v>761</v>
      </c>
      <c r="B764" t="s">
        <v>491</v>
      </c>
      <c r="C764" t="str">
        <f>VLOOKUP(B764,'Master Anggota'!$E$2:$I$279,5,0)</f>
        <v>01720</v>
      </c>
      <c r="D764" s="108">
        <v>46184</v>
      </c>
      <c r="E764" s="82">
        <v>3400000</v>
      </c>
      <c r="F764" t="s">
        <v>616</v>
      </c>
    </row>
    <row r="765" spans="1:13" x14ac:dyDescent="0.2">
      <c r="A765">
        <v>762</v>
      </c>
      <c r="B765" t="s">
        <v>151</v>
      </c>
      <c r="C765" t="str">
        <f>VLOOKUP(B765,'Master Anggota'!$E$2:$I$279,5,0)</f>
        <v>00362</v>
      </c>
      <c r="D765" s="108">
        <v>46190</v>
      </c>
      <c r="E765" s="82">
        <v>-4659340</v>
      </c>
      <c r="F765" t="s">
        <v>598</v>
      </c>
    </row>
    <row r="766" spans="1:13" x14ac:dyDescent="0.2">
      <c r="A766">
        <v>763</v>
      </c>
      <c r="B766" t="s">
        <v>151</v>
      </c>
      <c r="C766" t="str">
        <f>VLOOKUP(B766,'Master Anggota'!$E$2:$I$279,5,0)</f>
        <v>00362</v>
      </c>
      <c r="D766" s="108">
        <v>46190</v>
      </c>
      <c r="E766" s="82">
        <v>35000000</v>
      </c>
      <c r="F766" t="s">
        <v>617</v>
      </c>
      <c r="H766" t="s">
        <v>690</v>
      </c>
      <c r="I766" s="111">
        <v>46228</v>
      </c>
      <c r="J766" s="111">
        <v>46563</v>
      </c>
      <c r="K766" s="56">
        <v>3316667</v>
      </c>
      <c r="L766">
        <v>12</v>
      </c>
      <c r="M766" s="60">
        <f>K766*L766</f>
        <v>39800004</v>
      </c>
    </row>
    <row r="767" spans="1:13" x14ac:dyDescent="0.2">
      <c r="A767">
        <v>764</v>
      </c>
      <c r="B767" t="s">
        <v>151</v>
      </c>
      <c r="C767" t="str">
        <f>VLOOKUP(B767,'Master Anggota'!$E$2:$I$279,5,0)</f>
        <v>00362</v>
      </c>
      <c r="D767" s="108">
        <v>46190</v>
      </c>
      <c r="E767" s="82">
        <v>4800000</v>
      </c>
      <c r="F767" t="s">
        <v>616</v>
      </c>
    </row>
    <row r="768" spans="1:13" x14ac:dyDescent="0.2">
      <c r="A768">
        <v>765</v>
      </c>
      <c r="B768" t="s">
        <v>304</v>
      </c>
      <c r="C768" t="str">
        <f>VLOOKUP(B768,'Master Anggota'!$E$2:$I$279,5,0)</f>
        <v>01541</v>
      </c>
      <c r="D768" s="108">
        <v>46155</v>
      </c>
      <c r="E768" s="82">
        <v>-4390912</v>
      </c>
      <c r="F768" t="s">
        <v>598</v>
      </c>
      <c r="K768" s="82"/>
    </row>
    <row r="769" spans="1:13" x14ac:dyDescent="0.2">
      <c r="A769">
        <v>766</v>
      </c>
      <c r="B769" t="s">
        <v>304</v>
      </c>
      <c r="C769" t="str">
        <f>VLOOKUP(B769,'Master Anggota'!$E$2:$I$279,5,0)</f>
        <v>01541</v>
      </c>
      <c r="D769" s="108">
        <v>46155</v>
      </c>
      <c r="E769" s="82">
        <v>15000000</v>
      </c>
      <c r="F769" t="s">
        <v>617</v>
      </c>
      <c r="H769" t="s">
        <v>685</v>
      </c>
      <c r="I769" s="111">
        <v>46198</v>
      </c>
      <c r="J769" s="111">
        <v>46471</v>
      </c>
      <c r="K769" s="82">
        <v>1650000</v>
      </c>
      <c r="L769">
        <v>10</v>
      </c>
      <c r="M769" s="60">
        <f>K769*L769</f>
        <v>16500000</v>
      </c>
    </row>
    <row r="770" spans="1:13" x14ac:dyDescent="0.2">
      <c r="A770">
        <v>767</v>
      </c>
      <c r="B770" t="s">
        <v>304</v>
      </c>
      <c r="C770" t="str">
        <f>VLOOKUP(B770,'Master Anggota'!$E$2:$I$279,5,0)</f>
        <v>01541</v>
      </c>
      <c r="D770" s="108">
        <v>46155</v>
      </c>
      <c r="E770" s="82">
        <v>1500000</v>
      </c>
      <c r="F770" t="s">
        <v>616</v>
      </c>
      <c r="K770" s="82"/>
    </row>
    <row r="771" spans="1:13" x14ac:dyDescent="0.2">
      <c r="A771">
        <v>768</v>
      </c>
      <c r="B771" t="s">
        <v>421</v>
      </c>
      <c r="C771" t="str">
        <f>VLOOKUP(B771,'Master Anggota'!$E$2:$I$279,5,0)</f>
        <v>01560</v>
      </c>
      <c r="D771" s="108">
        <v>46155</v>
      </c>
      <c r="E771" s="82">
        <v>1500000</v>
      </c>
      <c r="F771" t="s">
        <v>617</v>
      </c>
      <c r="H771" t="s">
        <v>685</v>
      </c>
      <c r="I771" s="111">
        <v>46198</v>
      </c>
      <c r="J771" s="111">
        <v>46471</v>
      </c>
      <c r="K771" s="82">
        <v>165000</v>
      </c>
      <c r="L771">
        <v>10</v>
      </c>
      <c r="M771" s="60">
        <f>K771*L771</f>
        <v>1650000</v>
      </c>
    </row>
    <row r="772" spans="1:13" x14ac:dyDescent="0.2">
      <c r="A772">
        <v>769</v>
      </c>
      <c r="B772" t="s">
        <v>421</v>
      </c>
      <c r="C772" t="str">
        <f>VLOOKUP(B772,'Master Anggota'!$E$2:$I$279,5,0)</f>
        <v>01560</v>
      </c>
      <c r="D772" s="108">
        <v>46155</v>
      </c>
      <c r="E772" s="82">
        <v>150000</v>
      </c>
      <c r="F772" t="s">
        <v>616</v>
      </c>
      <c r="K772" s="82"/>
    </row>
    <row r="773" spans="1:13" x14ac:dyDescent="0.2">
      <c r="A773">
        <v>770</v>
      </c>
      <c r="B773" t="s">
        <v>270</v>
      </c>
      <c r="C773" t="str">
        <f>VLOOKUP(B773,'Master Anggota'!$E$2:$I$279,5,0)</f>
        <v>00509</v>
      </c>
      <c r="D773" s="108">
        <v>46149</v>
      </c>
      <c r="E773" s="82">
        <v>7000000</v>
      </c>
      <c r="F773" t="s">
        <v>617</v>
      </c>
      <c r="H773" t="s">
        <v>693</v>
      </c>
      <c r="I773" s="111">
        <v>46198</v>
      </c>
      <c r="J773" s="111">
        <v>46532</v>
      </c>
      <c r="K773" s="82">
        <v>653333</v>
      </c>
      <c r="L773">
        <v>12</v>
      </c>
      <c r="M773" s="60">
        <f>K773*L773</f>
        <v>7839996</v>
      </c>
    </row>
    <row r="774" spans="1:13" x14ac:dyDescent="0.2">
      <c r="A774">
        <v>771</v>
      </c>
      <c r="B774" t="s">
        <v>270</v>
      </c>
      <c r="C774" t="str">
        <f>VLOOKUP(B774,'Master Anggota'!$E$2:$I$279,5,0)</f>
        <v>00509</v>
      </c>
      <c r="D774" s="108">
        <v>46149</v>
      </c>
      <c r="E774" s="82">
        <v>840000</v>
      </c>
      <c r="F774" t="s">
        <v>616</v>
      </c>
      <c r="K774" s="82"/>
    </row>
    <row r="775" spans="1:13" x14ac:dyDescent="0.2">
      <c r="A775">
        <v>772</v>
      </c>
      <c r="B775" t="s">
        <v>546</v>
      </c>
      <c r="C775" t="str">
        <f>VLOOKUP(B775,'Master Anggota'!$E$2:$I$279,5,0)</f>
        <v>PHL Distribusi</v>
      </c>
      <c r="D775" s="108">
        <v>46199</v>
      </c>
      <c r="E775" s="82">
        <v>2250000</v>
      </c>
      <c r="F775" t="s">
        <v>617</v>
      </c>
      <c r="H775" t="s">
        <v>696</v>
      </c>
      <c r="I775" s="111">
        <v>46259</v>
      </c>
      <c r="J775" s="111">
        <v>46412</v>
      </c>
      <c r="K775" s="82">
        <v>397000</v>
      </c>
      <c r="L775">
        <v>6</v>
      </c>
      <c r="M775" s="60">
        <f>K775*L775</f>
        <v>2382000</v>
      </c>
    </row>
    <row r="776" spans="1:13" x14ac:dyDescent="0.2">
      <c r="A776">
        <v>773</v>
      </c>
      <c r="B776" t="s">
        <v>546</v>
      </c>
      <c r="C776" t="str">
        <f>VLOOKUP(B776,'Master Anggota'!$E$2:$I$279,5,0)</f>
        <v>PHL Distribusi</v>
      </c>
      <c r="D776" s="108">
        <v>46199</v>
      </c>
      <c r="E776" s="82">
        <v>135000</v>
      </c>
      <c r="F776" t="s">
        <v>616</v>
      </c>
      <c r="K776" s="82"/>
    </row>
    <row r="777" spans="1:13" x14ac:dyDescent="0.2">
      <c r="A777">
        <v>774</v>
      </c>
      <c r="B777" t="s">
        <v>317</v>
      </c>
      <c r="C777" t="str">
        <f>VLOOKUP(B777,'Master Anggota'!$E$2:$I$279,5,0)</f>
        <v>01573</v>
      </c>
      <c r="D777" s="108">
        <v>46199</v>
      </c>
      <c r="E777" s="82">
        <v>5000000</v>
      </c>
      <c r="F777" t="s">
        <v>617</v>
      </c>
      <c r="H777" t="s">
        <v>685</v>
      </c>
      <c r="I777" s="111">
        <v>46259</v>
      </c>
      <c r="J777" s="111">
        <v>46532</v>
      </c>
      <c r="K777" s="82">
        <v>550000</v>
      </c>
      <c r="L777">
        <v>10</v>
      </c>
      <c r="M777" s="60">
        <f>K777*L777</f>
        <v>5500000</v>
      </c>
    </row>
    <row r="778" spans="1:13" x14ac:dyDescent="0.2">
      <c r="A778">
        <v>775</v>
      </c>
      <c r="B778" t="s">
        <v>317</v>
      </c>
      <c r="C778" t="str">
        <f>VLOOKUP(B778,'Master Anggota'!$E$2:$I$279,5,0)</f>
        <v>01573</v>
      </c>
      <c r="D778" s="108">
        <v>46199</v>
      </c>
      <c r="E778" s="82">
        <v>500000</v>
      </c>
      <c r="F778" t="s">
        <v>616</v>
      </c>
      <c r="K778" s="82"/>
    </row>
    <row r="779" spans="1:13" x14ac:dyDescent="0.2">
      <c r="A779">
        <v>776</v>
      </c>
      <c r="B779" t="s">
        <v>362</v>
      </c>
      <c r="C779" t="str">
        <f>VLOOKUP(B779,'Master Anggota'!$E$2:$I$279,5,0)</f>
        <v>00570</v>
      </c>
      <c r="D779" s="108">
        <v>46195</v>
      </c>
      <c r="E779" s="82">
        <v>40000000</v>
      </c>
      <c r="F779" t="s">
        <v>617</v>
      </c>
      <c r="H779" t="s">
        <v>695</v>
      </c>
      <c r="I779" s="111">
        <v>46259</v>
      </c>
      <c r="J779" s="111">
        <v>46868</v>
      </c>
      <c r="K779" s="82">
        <v>2475000</v>
      </c>
      <c r="L779" s="126">
        <v>20</v>
      </c>
      <c r="M779" s="112">
        <v>24799992</v>
      </c>
    </row>
    <row r="780" spans="1:13" x14ac:dyDescent="0.2">
      <c r="A780">
        <v>777</v>
      </c>
      <c r="B780" t="s">
        <v>362</v>
      </c>
      <c r="C780" t="str">
        <f>VLOOKUP(B780,'Master Anggota'!$E$2:$I$279,5,0)</f>
        <v>00570</v>
      </c>
      <c r="D780" s="108">
        <v>46195</v>
      </c>
      <c r="E780" s="82">
        <v>9500000</v>
      </c>
      <c r="F780" t="s">
        <v>616</v>
      </c>
      <c r="K780" s="82"/>
    </row>
    <row r="781" spans="1:13" x14ac:dyDescent="0.2">
      <c r="A781">
        <v>778</v>
      </c>
      <c r="B781" t="s">
        <v>525</v>
      </c>
      <c r="C781" t="str">
        <f>VLOOKUP(B781,'Master Anggota'!$E$2:$I$279,5,0)</f>
        <v>00549</v>
      </c>
      <c r="D781" s="108">
        <v>46199</v>
      </c>
      <c r="E781" s="82">
        <v>20000000</v>
      </c>
      <c r="F781" t="s">
        <v>617</v>
      </c>
      <c r="H781" t="s">
        <v>683</v>
      </c>
      <c r="I781" s="111">
        <v>46259</v>
      </c>
      <c r="J781" s="111">
        <v>46959</v>
      </c>
      <c r="K781" s="82">
        <v>1033333</v>
      </c>
      <c r="L781">
        <v>24</v>
      </c>
      <c r="M781" s="60">
        <f>K781*L781</f>
        <v>24799992</v>
      </c>
    </row>
    <row r="782" spans="1:13" x14ac:dyDescent="0.2">
      <c r="A782">
        <v>779</v>
      </c>
      <c r="B782" t="s">
        <v>525</v>
      </c>
      <c r="C782" t="str">
        <f>VLOOKUP(B782,'Master Anggota'!$E$2:$I$279,5,0)</f>
        <v>00549</v>
      </c>
      <c r="D782" s="108">
        <v>46199</v>
      </c>
      <c r="E782" s="82">
        <v>4800000</v>
      </c>
      <c r="F782" t="s">
        <v>616</v>
      </c>
      <c r="K782" s="82"/>
    </row>
    <row r="783" spans="1:13" x14ac:dyDescent="0.2">
      <c r="A783">
        <v>780</v>
      </c>
      <c r="B783" t="s">
        <v>311</v>
      </c>
      <c r="C783" t="str">
        <f>VLOOKUP(B783,'Master Anggota'!$E$2:$I$279,5,0)</f>
        <v>01602</v>
      </c>
      <c r="D783" s="108">
        <v>46199</v>
      </c>
      <c r="E783" s="82">
        <v>-2650001</v>
      </c>
      <c r="F783" t="s">
        <v>598</v>
      </c>
      <c r="K783" s="82"/>
    </row>
    <row r="784" spans="1:13" x14ac:dyDescent="0.2">
      <c r="A784">
        <v>781</v>
      </c>
      <c r="B784" t="s">
        <v>311</v>
      </c>
      <c r="C784" t="str">
        <f>VLOOKUP(B784,'Master Anggota'!$E$2:$I$279,5,0)</f>
        <v>01602</v>
      </c>
      <c r="D784" s="108">
        <v>46199</v>
      </c>
      <c r="E784" s="82">
        <v>7000000</v>
      </c>
      <c r="F784" t="s">
        <v>617</v>
      </c>
      <c r="H784" t="s">
        <v>697</v>
      </c>
      <c r="I784" s="111">
        <v>46259</v>
      </c>
      <c r="J784" s="111">
        <v>46471</v>
      </c>
      <c r="K784" s="82">
        <v>945000</v>
      </c>
      <c r="L784">
        <v>8</v>
      </c>
      <c r="M784" s="60">
        <f>K784*L784</f>
        <v>7560000</v>
      </c>
    </row>
    <row r="785" spans="1:13" x14ac:dyDescent="0.2">
      <c r="A785">
        <v>782</v>
      </c>
      <c r="B785" t="s">
        <v>311</v>
      </c>
      <c r="C785" t="str">
        <f>VLOOKUP(B785,'Master Anggota'!$E$2:$I$279,5,0)</f>
        <v>01602</v>
      </c>
      <c r="D785" s="108">
        <v>46199</v>
      </c>
      <c r="E785" s="82">
        <v>560000</v>
      </c>
      <c r="F785" t="s">
        <v>616</v>
      </c>
      <c r="K785" s="82"/>
    </row>
    <row r="786" spans="1:13" x14ac:dyDescent="0.2">
      <c r="A786">
        <v>783</v>
      </c>
      <c r="B786" t="s">
        <v>400</v>
      </c>
      <c r="C786" t="str">
        <f>VLOOKUP(B786,'Master Anggota'!$E$2:$I$279,5,0)</f>
        <v>00614</v>
      </c>
      <c r="D786" s="108">
        <v>46199</v>
      </c>
      <c r="E786" s="82">
        <v>-10850003</v>
      </c>
      <c r="F786" t="s">
        <v>598</v>
      </c>
      <c r="K786" s="82"/>
    </row>
    <row r="787" spans="1:13" x14ac:dyDescent="0.2">
      <c r="A787">
        <v>784</v>
      </c>
      <c r="B787" t="s">
        <v>400</v>
      </c>
      <c r="C787" t="str">
        <f>VLOOKUP(B787,'Master Anggota'!$E$2:$I$279,5,0)</f>
        <v>00614</v>
      </c>
      <c r="D787" s="108">
        <v>46199</v>
      </c>
      <c r="E787" s="82">
        <v>20000000</v>
      </c>
      <c r="F787" t="s">
        <v>617</v>
      </c>
      <c r="H787" t="s">
        <v>683</v>
      </c>
      <c r="I787" s="111">
        <v>46259</v>
      </c>
      <c r="J787" s="111">
        <v>46959</v>
      </c>
      <c r="K787" s="82">
        <v>1033333</v>
      </c>
      <c r="L787">
        <v>24</v>
      </c>
      <c r="M787" s="60">
        <f>K787*L787</f>
        <v>24799992</v>
      </c>
    </row>
    <row r="788" spans="1:13" x14ac:dyDescent="0.2">
      <c r="A788">
        <v>785</v>
      </c>
      <c r="B788" t="s">
        <v>400</v>
      </c>
      <c r="C788" t="str">
        <f>VLOOKUP(B788,'Master Anggota'!$E$2:$I$279,5,0)</f>
        <v>00614</v>
      </c>
      <c r="D788" s="108">
        <v>46199</v>
      </c>
      <c r="E788" s="82">
        <v>4800000</v>
      </c>
      <c r="F788" t="s">
        <v>616</v>
      </c>
      <c r="K788" s="82"/>
    </row>
    <row r="789" spans="1:13" x14ac:dyDescent="0.2">
      <c r="A789">
        <v>786</v>
      </c>
      <c r="B789" t="s">
        <v>135</v>
      </c>
      <c r="C789" t="str">
        <f>VLOOKUP(B789,'Master Anggota'!$E$2:$I$279,5,0)</f>
        <v>00293</v>
      </c>
      <c r="D789" s="108">
        <v>46198</v>
      </c>
      <c r="E789" s="82">
        <v>-3808333</v>
      </c>
      <c r="F789" s="60" t="s">
        <v>598</v>
      </c>
      <c r="K789" s="82"/>
    </row>
    <row r="790" spans="1:13" x14ac:dyDescent="0.2">
      <c r="A790">
        <v>787</v>
      </c>
      <c r="B790" t="s">
        <v>248</v>
      </c>
      <c r="C790" t="str">
        <f>VLOOKUP(B790,'Master Anggota'!$E$2:$I$279,5,0)</f>
        <v>00302</v>
      </c>
      <c r="D790" s="108">
        <v>46198</v>
      </c>
      <c r="E790" s="82">
        <v>-3841667</v>
      </c>
      <c r="F790" s="60" t="s">
        <v>598</v>
      </c>
      <c r="K790" s="82"/>
    </row>
    <row r="791" spans="1:13" x14ac:dyDescent="0.2">
      <c r="A791">
        <v>788</v>
      </c>
      <c r="B791" t="s">
        <v>335</v>
      </c>
      <c r="C791" t="str">
        <f>VLOOKUP(B791,'Master Anggota'!$E$2:$I$279,5,0)</f>
        <v>00311</v>
      </c>
      <c r="D791" s="108">
        <v>46198</v>
      </c>
      <c r="E791" s="82">
        <v>-3958333</v>
      </c>
      <c r="F791" s="60" t="s">
        <v>598</v>
      </c>
      <c r="K791" s="82"/>
    </row>
    <row r="792" spans="1:13" x14ac:dyDescent="0.2">
      <c r="A792">
        <v>789</v>
      </c>
      <c r="B792" t="s">
        <v>113</v>
      </c>
      <c r="C792" t="str">
        <f>VLOOKUP(B792,'Master Anggota'!$E$2:$I$279,5,0)</f>
        <v>00317</v>
      </c>
      <c r="D792" s="108">
        <v>46198</v>
      </c>
      <c r="E792" s="82">
        <v>-2900000</v>
      </c>
      <c r="F792" s="60" t="s">
        <v>598</v>
      </c>
      <c r="K792" s="82"/>
    </row>
    <row r="793" spans="1:13" x14ac:dyDescent="0.2">
      <c r="A793">
        <v>790</v>
      </c>
      <c r="B793" t="s">
        <v>198</v>
      </c>
      <c r="C793" t="str">
        <f>VLOOKUP(B793,'Master Anggota'!$E$2:$I$279,5,0)</f>
        <v>00327</v>
      </c>
      <c r="D793" s="108">
        <v>46198</v>
      </c>
      <c r="E793" s="56">
        <v>-6424608</v>
      </c>
      <c r="F793" s="60" t="s">
        <v>598</v>
      </c>
    </row>
    <row r="794" spans="1:13" x14ac:dyDescent="0.2">
      <c r="A794">
        <v>791</v>
      </c>
      <c r="B794" t="s">
        <v>341</v>
      </c>
      <c r="C794" t="str">
        <f>VLOOKUP(B794,'Master Anggota'!$E$2:$I$279,5,0)</f>
        <v>00339</v>
      </c>
      <c r="D794" s="108">
        <v>46198</v>
      </c>
      <c r="E794" s="56">
        <v>-2325000</v>
      </c>
      <c r="F794" s="60" t="s">
        <v>598</v>
      </c>
    </row>
    <row r="795" spans="1:13" x14ac:dyDescent="0.2">
      <c r="A795">
        <v>792</v>
      </c>
      <c r="B795" t="s">
        <v>129</v>
      </c>
      <c r="C795" t="str">
        <f>VLOOKUP(B795,'Master Anggota'!$E$2:$I$279,5,0)</f>
        <v>00343</v>
      </c>
      <c r="D795" s="108">
        <v>46198</v>
      </c>
      <c r="E795" s="56">
        <v>-3105000</v>
      </c>
      <c r="F795" s="60" t="s">
        <v>598</v>
      </c>
    </row>
    <row r="796" spans="1:13" x14ac:dyDescent="0.2">
      <c r="A796">
        <v>793</v>
      </c>
      <c r="B796" t="s">
        <v>480</v>
      </c>
      <c r="C796" t="str">
        <f>VLOOKUP(B796,'Master Anggota'!$E$2:$I$279,5,0)</f>
        <v>00351</v>
      </c>
      <c r="D796" s="108">
        <v>46198</v>
      </c>
      <c r="E796" s="56">
        <v>-2325000</v>
      </c>
      <c r="F796" s="60" t="s">
        <v>598</v>
      </c>
    </row>
    <row r="797" spans="1:13" x14ac:dyDescent="0.2">
      <c r="A797">
        <v>794</v>
      </c>
      <c r="B797" t="s">
        <v>483</v>
      </c>
      <c r="C797" t="str">
        <f>VLOOKUP(B797,'Master Anggota'!$E$2:$I$279,5,0)</f>
        <v>00368</v>
      </c>
      <c r="D797" s="108">
        <v>46198</v>
      </c>
      <c r="E797" s="56">
        <v>-3275000</v>
      </c>
      <c r="F797" s="60" t="s">
        <v>598</v>
      </c>
    </row>
    <row r="798" spans="1:13" x14ac:dyDescent="0.2">
      <c r="A798">
        <v>795</v>
      </c>
      <c r="B798" t="s">
        <v>328</v>
      </c>
      <c r="C798" t="str">
        <f>VLOOKUP(B798,'Master Anggota'!$E$2:$I$279,5,0)</f>
        <v>00369</v>
      </c>
      <c r="D798" s="108">
        <v>46198</v>
      </c>
      <c r="E798" s="56">
        <v>-1812500</v>
      </c>
      <c r="F798" s="60" t="s">
        <v>598</v>
      </c>
    </row>
    <row r="799" spans="1:13" x14ac:dyDescent="0.2">
      <c r="A799">
        <v>796</v>
      </c>
      <c r="B799" t="s">
        <v>481</v>
      </c>
      <c r="C799" t="str">
        <f>VLOOKUP(B799,'Master Anggota'!$E$2:$I$279,5,0)</f>
        <v>00371</v>
      </c>
      <c r="D799" s="108">
        <v>46198</v>
      </c>
      <c r="E799" s="56">
        <v>-3955000</v>
      </c>
      <c r="F799" s="60" t="s">
        <v>598</v>
      </c>
    </row>
    <row r="800" spans="1:13" x14ac:dyDescent="0.2">
      <c r="A800">
        <v>797</v>
      </c>
      <c r="B800" t="s">
        <v>94</v>
      </c>
      <c r="C800" t="str">
        <f>VLOOKUP(B800,'Master Anggota'!$E$2:$I$279,5,0)</f>
        <v>00387</v>
      </c>
      <c r="D800" s="108">
        <v>46198</v>
      </c>
      <c r="E800" s="56">
        <v>-1741112</v>
      </c>
      <c r="F800" s="60" t="s">
        <v>598</v>
      </c>
    </row>
    <row r="801" spans="1:6" x14ac:dyDescent="0.2">
      <c r="A801">
        <v>798</v>
      </c>
      <c r="B801" t="s">
        <v>258</v>
      </c>
      <c r="C801" t="str">
        <f>VLOOKUP(B801,'Master Anggota'!$E$2:$I$279,5,0)</f>
        <v>00390</v>
      </c>
      <c r="D801" s="108">
        <v>46198</v>
      </c>
      <c r="E801" s="56">
        <v>-1866667</v>
      </c>
      <c r="F801" s="60" t="s">
        <v>598</v>
      </c>
    </row>
    <row r="802" spans="1:6" x14ac:dyDescent="0.2">
      <c r="A802">
        <v>799</v>
      </c>
      <c r="B802" t="s">
        <v>92</v>
      </c>
      <c r="C802" t="str">
        <f>VLOOKUP(B802,'Master Anggota'!$E$2:$I$279,5,0)</f>
        <v>00396</v>
      </c>
      <c r="D802" s="108">
        <v>46198</v>
      </c>
      <c r="E802" s="56">
        <v>-4475000</v>
      </c>
      <c r="F802" s="60" t="s">
        <v>598</v>
      </c>
    </row>
    <row r="803" spans="1:6" x14ac:dyDescent="0.2">
      <c r="A803">
        <v>800</v>
      </c>
      <c r="B803" t="s">
        <v>103</v>
      </c>
      <c r="C803" t="str">
        <f>VLOOKUP(B803,'Master Anggota'!$E$2:$I$279,5,0)</f>
        <v>00401</v>
      </c>
      <c r="D803" s="108">
        <v>46198</v>
      </c>
      <c r="E803" s="56">
        <v>-2120000</v>
      </c>
      <c r="F803" s="60" t="s">
        <v>598</v>
      </c>
    </row>
    <row r="804" spans="1:6" x14ac:dyDescent="0.2">
      <c r="A804">
        <v>801</v>
      </c>
      <c r="B804" t="s">
        <v>65</v>
      </c>
      <c r="C804" t="str">
        <f>VLOOKUP(B804,'Master Anggota'!$E$2:$I$279,5,0)</f>
        <v>00490</v>
      </c>
      <c r="D804" s="108">
        <v>46198</v>
      </c>
      <c r="E804" s="56">
        <v>-2325000</v>
      </c>
      <c r="F804" s="60" t="s">
        <v>598</v>
      </c>
    </row>
    <row r="805" spans="1:6" x14ac:dyDescent="0.2">
      <c r="A805">
        <v>802</v>
      </c>
      <c r="B805" t="s">
        <v>115</v>
      </c>
      <c r="C805" t="str">
        <f>VLOOKUP(B805,'Master Anggota'!$E$2:$I$279,5,0)</f>
        <v>00497</v>
      </c>
      <c r="D805" s="108">
        <v>46198</v>
      </c>
      <c r="E805" s="56">
        <v>-1400000</v>
      </c>
      <c r="F805" s="60" t="s">
        <v>598</v>
      </c>
    </row>
    <row r="806" spans="1:6" x14ac:dyDescent="0.2">
      <c r="A806">
        <v>803</v>
      </c>
      <c r="B806" t="s">
        <v>194</v>
      </c>
      <c r="C806" t="str">
        <f>VLOOKUP(B806,'Master Anggota'!$E$2:$I$279,5,0)</f>
        <v>00498</v>
      </c>
      <c r="D806" s="108">
        <v>46198</v>
      </c>
      <c r="E806" s="56">
        <v>-5920000</v>
      </c>
      <c r="F806" s="60" t="s">
        <v>598</v>
      </c>
    </row>
    <row r="807" spans="1:6" x14ac:dyDescent="0.2">
      <c r="A807">
        <v>804</v>
      </c>
      <c r="B807" t="s">
        <v>96</v>
      </c>
      <c r="C807" t="str">
        <f>VLOOKUP(B807,'Master Anggota'!$E$2:$I$279,5,0)</f>
        <v>00508</v>
      </c>
      <c r="D807" s="108">
        <v>46198</v>
      </c>
      <c r="E807" s="56">
        <v>-2708333</v>
      </c>
      <c r="F807" s="60" t="s">
        <v>598</v>
      </c>
    </row>
    <row r="808" spans="1:6" x14ac:dyDescent="0.2">
      <c r="A808">
        <v>805</v>
      </c>
      <c r="B808" t="s">
        <v>270</v>
      </c>
      <c r="C808" t="str">
        <f>VLOOKUP(B808,'Master Anggota'!$E$2:$I$279,5,0)</f>
        <v>00509</v>
      </c>
      <c r="D808" s="108">
        <v>46198</v>
      </c>
      <c r="E808" s="56">
        <v>-653333</v>
      </c>
      <c r="F808" s="60" t="s">
        <v>598</v>
      </c>
    </row>
    <row r="809" spans="1:6" x14ac:dyDescent="0.2">
      <c r="A809">
        <v>806</v>
      </c>
      <c r="B809" t="s">
        <v>37</v>
      </c>
      <c r="C809" t="str">
        <f>VLOOKUP(B809,'Master Anggota'!$E$2:$I$279,5,0)</f>
        <v>00511</v>
      </c>
      <c r="D809" s="108">
        <v>46198</v>
      </c>
      <c r="E809" s="56">
        <v>-1291667</v>
      </c>
      <c r="F809" s="60" t="s">
        <v>598</v>
      </c>
    </row>
    <row r="810" spans="1:6" x14ac:dyDescent="0.2">
      <c r="A810">
        <v>807</v>
      </c>
      <c r="B810" t="s">
        <v>239</v>
      </c>
      <c r="C810" t="str">
        <f>VLOOKUP(B810,'Master Anggota'!$E$2:$I$279,5,0)</f>
        <v>00513</v>
      </c>
      <c r="D810" s="108">
        <v>46198</v>
      </c>
      <c r="E810" s="56">
        <v>-2708333</v>
      </c>
      <c r="F810" s="60" t="s">
        <v>598</v>
      </c>
    </row>
    <row r="811" spans="1:6" x14ac:dyDescent="0.2">
      <c r="A811">
        <v>808</v>
      </c>
      <c r="B811" t="s">
        <v>223</v>
      </c>
      <c r="C811" t="str">
        <f>VLOOKUP(B811,'Master Anggota'!$E$2:$I$279,5,0)</f>
        <v>00514</v>
      </c>
      <c r="D811" s="108">
        <v>46198</v>
      </c>
      <c r="E811" s="56">
        <v>-933334</v>
      </c>
      <c r="F811" s="60" t="s">
        <v>598</v>
      </c>
    </row>
    <row r="812" spans="1:6" x14ac:dyDescent="0.2">
      <c r="A812">
        <v>809</v>
      </c>
      <c r="B812" t="s">
        <v>274</v>
      </c>
      <c r="C812" t="str">
        <f>VLOOKUP(B812,'Master Anggota'!$E$2:$I$279,5,0)</f>
        <v>00515</v>
      </c>
      <c r="D812" s="108">
        <v>46198</v>
      </c>
      <c r="E812" s="56">
        <v>-1825000</v>
      </c>
      <c r="F812" s="60" t="s">
        <v>598</v>
      </c>
    </row>
    <row r="813" spans="1:6" x14ac:dyDescent="0.2">
      <c r="A813">
        <v>810</v>
      </c>
      <c r="B813" t="s">
        <v>233</v>
      </c>
      <c r="C813" t="str">
        <f>VLOOKUP(B813,'Master Anggota'!$E$2:$I$279,5,0)</f>
        <v>00516</v>
      </c>
      <c r="D813" s="108">
        <v>46198</v>
      </c>
      <c r="E813" s="56">
        <v>-383333</v>
      </c>
      <c r="F813" s="60" t="s">
        <v>598</v>
      </c>
    </row>
    <row r="814" spans="1:6" x14ac:dyDescent="0.2">
      <c r="A814">
        <v>811</v>
      </c>
      <c r="B814" t="s">
        <v>71</v>
      </c>
      <c r="C814" t="str">
        <f>VLOOKUP(B814,'Master Anggota'!$E$2:$I$279,5,0)</f>
        <v>00517</v>
      </c>
      <c r="D814" s="108">
        <v>46198</v>
      </c>
      <c r="E814" s="56">
        <v>-232500</v>
      </c>
      <c r="F814" s="60" t="s">
        <v>598</v>
      </c>
    </row>
    <row r="815" spans="1:6" x14ac:dyDescent="0.2">
      <c r="A815">
        <v>812</v>
      </c>
      <c r="B815" t="s">
        <v>200</v>
      </c>
      <c r="C815" t="str">
        <f>VLOOKUP(B815,'Master Anggota'!$E$2:$I$279,5,0)</f>
        <v>00520</v>
      </c>
      <c r="D815" s="108">
        <v>46198</v>
      </c>
      <c r="E815" s="56">
        <v>-1650000</v>
      </c>
      <c r="F815" s="60" t="s">
        <v>598</v>
      </c>
    </row>
    <row r="816" spans="1:6" x14ac:dyDescent="0.2">
      <c r="A816">
        <v>813</v>
      </c>
      <c r="B816" t="s">
        <v>107</v>
      </c>
      <c r="C816" t="str">
        <f>VLOOKUP(B816,'Master Anggota'!$E$2:$I$279,5,0)</f>
        <v>00521</v>
      </c>
      <c r="D816" s="108">
        <v>46198</v>
      </c>
      <c r="E816" s="56">
        <v>-4791667</v>
      </c>
      <c r="F816" s="60" t="s">
        <v>598</v>
      </c>
    </row>
    <row r="817" spans="1:8" x14ac:dyDescent="0.2">
      <c r="A817">
        <v>814</v>
      </c>
      <c r="B817" t="s">
        <v>235</v>
      </c>
      <c r="C817" t="str">
        <f>VLOOKUP(B817,'Master Anggota'!$E$2:$I$279,5,0)</f>
        <v>00523</v>
      </c>
      <c r="D817" s="108">
        <v>46198</v>
      </c>
      <c r="E817" s="56">
        <v>-2333333</v>
      </c>
      <c r="F817" s="60" t="s">
        <v>598</v>
      </c>
    </row>
    <row r="818" spans="1:8" x14ac:dyDescent="0.2">
      <c r="A818">
        <v>815</v>
      </c>
      <c r="B818" t="s">
        <v>206</v>
      </c>
      <c r="C818" t="str">
        <f>VLOOKUP(B818,'Master Anggota'!$E$2:$I$279,5,0)</f>
        <v>00525</v>
      </c>
      <c r="D818" s="108">
        <v>46198</v>
      </c>
      <c r="E818" s="56">
        <v>-3331667</v>
      </c>
      <c r="F818" s="60" t="s">
        <v>598</v>
      </c>
    </row>
    <row r="819" spans="1:8" x14ac:dyDescent="0.2">
      <c r="A819">
        <v>816</v>
      </c>
      <c r="B819" t="s">
        <v>241</v>
      </c>
      <c r="C819" t="str">
        <f>VLOOKUP(B819,'Master Anggota'!$E$2:$I$279,5,0)</f>
        <v>00526</v>
      </c>
      <c r="D819" s="108">
        <v>46198</v>
      </c>
      <c r="E819" s="56">
        <v>-2708333</v>
      </c>
      <c r="F819" s="60" t="s">
        <v>598</v>
      </c>
    </row>
    <row r="820" spans="1:8" x14ac:dyDescent="0.2">
      <c r="A820">
        <v>817</v>
      </c>
      <c r="B820" t="s">
        <v>147</v>
      </c>
      <c r="C820" t="str">
        <f>VLOOKUP(B820,'Master Anggota'!$E$2:$I$279,5,0)</f>
        <v>00527</v>
      </c>
      <c r="D820" s="108">
        <v>46198</v>
      </c>
      <c r="E820" s="56">
        <v>-2425000</v>
      </c>
      <c r="F820" s="60" t="s">
        <v>598</v>
      </c>
    </row>
    <row r="821" spans="1:8" x14ac:dyDescent="0.2">
      <c r="A821">
        <v>818</v>
      </c>
      <c r="B821" t="s">
        <v>214</v>
      </c>
      <c r="C821" t="str">
        <f>VLOOKUP(B821,'Master Anggota'!$E$2:$I$279,5,0)</f>
        <v>00529</v>
      </c>
      <c r="D821" s="108">
        <v>46198</v>
      </c>
      <c r="E821" s="56">
        <v>0</v>
      </c>
      <c r="F821" s="60" t="s">
        <v>598</v>
      </c>
      <c r="H821" t="s">
        <v>723</v>
      </c>
    </row>
    <row r="822" spans="1:8" x14ac:dyDescent="0.2">
      <c r="A822">
        <v>819</v>
      </c>
      <c r="B822" t="s">
        <v>243</v>
      </c>
      <c r="C822" t="str">
        <f>VLOOKUP(B822,'Master Anggota'!$E$2:$I$279,5,0)</f>
        <v>00530</v>
      </c>
      <c r="D822" s="108">
        <v>46198</v>
      </c>
      <c r="E822" s="56">
        <v>-3558333</v>
      </c>
      <c r="F822" s="60" t="s">
        <v>598</v>
      </c>
    </row>
    <row r="823" spans="1:8" x14ac:dyDescent="0.2">
      <c r="A823">
        <v>820</v>
      </c>
      <c r="B823" t="s">
        <v>225</v>
      </c>
      <c r="C823" t="str">
        <f>VLOOKUP(B823,'Master Anggota'!$E$2:$I$279,5,0)</f>
        <v>00531</v>
      </c>
      <c r="D823" s="108">
        <v>46198</v>
      </c>
      <c r="E823" s="56">
        <v>-440000</v>
      </c>
      <c r="F823" s="60" t="s">
        <v>598</v>
      </c>
    </row>
    <row r="824" spans="1:8" x14ac:dyDescent="0.2">
      <c r="A824">
        <v>821</v>
      </c>
      <c r="B824" t="s">
        <v>245</v>
      </c>
      <c r="C824" t="str">
        <f>VLOOKUP(B824,'Master Anggota'!$E$2:$I$279,5,0)</f>
        <v>00532</v>
      </c>
      <c r="D824" s="108">
        <v>46198</v>
      </c>
      <c r="E824" s="56">
        <v>-3826111</v>
      </c>
      <c r="F824" s="60" t="s">
        <v>598</v>
      </c>
    </row>
    <row r="825" spans="1:8" x14ac:dyDescent="0.2">
      <c r="A825">
        <v>822</v>
      </c>
      <c r="B825" t="s">
        <v>522</v>
      </c>
      <c r="C825" t="str">
        <f>VLOOKUP(B825,'Master Anggota'!$E$2:$I$279,5,0)</f>
        <v>00533</v>
      </c>
      <c r="D825" s="108">
        <v>46198</v>
      </c>
      <c r="E825" s="56">
        <v>-3275000</v>
      </c>
      <c r="F825" s="60" t="s">
        <v>598</v>
      </c>
    </row>
    <row r="826" spans="1:8" x14ac:dyDescent="0.2">
      <c r="A826">
        <v>823</v>
      </c>
      <c r="B826" t="s">
        <v>204</v>
      </c>
      <c r="C826" t="str">
        <f>VLOOKUP(B826,'Master Anggota'!$E$2:$I$279,5,0)</f>
        <v>00534</v>
      </c>
      <c r="D826" s="108">
        <v>46198</v>
      </c>
      <c r="E826" s="56">
        <v>-1858333</v>
      </c>
      <c r="F826" s="60" t="s">
        <v>598</v>
      </c>
    </row>
    <row r="827" spans="1:8" x14ac:dyDescent="0.2">
      <c r="A827">
        <v>824</v>
      </c>
      <c r="B827" t="s">
        <v>189</v>
      </c>
      <c r="C827" t="str">
        <f>VLOOKUP(B827,'Master Anggota'!$E$2:$I$279,5,0)</f>
        <v>00535</v>
      </c>
      <c r="D827" s="108">
        <v>46198</v>
      </c>
      <c r="E827" s="56">
        <v>-597333</v>
      </c>
      <c r="F827" s="60" t="s">
        <v>598</v>
      </c>
    </row>
    <row r="828" spans="1:8" x14ac:dyDescent="0.2">
      <c r="A828">
        <v>825</v>
      </c>
      <c r="B828" t="s">
        <v>81</v>
      </c>
      <c r="C828" t="str">
        <f>VLOOKUP(B828,'Master Anggota'!$E$2:$I$279,5,0)</f>
        <v>00537</v>
      </c>
      <c r="D828" s="108">
        <v>46198</v>
      </c>
      <c r="E828" s="56">
        <v>-2708333</v>
      </c>
      <c r="F828" s="60" t="s">
        <v>598</v>
      </c>
    </row>
    <row r="829" spans="1:8" x14ac:dyDescent="0.2">
      <c r="A829">
        <v>826</v>
      </c>
      <c r="B829" t="s">
        <v>53</v>
      </c>
      <c r="C829" t="str">
        <f>VLOOKUP(B829,'Master Anggota'!$E$2:$I$279,5,0)</f>
        <v>00540</v>
      </c>
      <c r="D829" s="108">
        <v>46198</v>
      </c>
      <c r="E829" s="56">
        <v>-775000</v>
      </c>
      <c r="F829" s="60" t="s">
        <v>598</v>
      </c>
    </row>
    <row r="830" spans="1:8" x14ac:dyDescent="0.2">
      <c r="A830">
        <v>827</v>
      </c>
      <c r="B830" t="s">
        <v>79</v>
      </c>
      <c r="C830" t="str">
        <f>VLOOKUP(B830,'Master Anggota'!$E$2:$I$279,5,0)</f>
        <v>00541</v>
      </c>
      <c r="D830" s="108">
        <v>46198</v>
      </c>
      <c r="E830" s="56">
        <v>-4125000</v>
      </c>
      <c r="F830" s="60" t="s">
        <v>598</v>
      </c>
    </row>
    <row r="831" spans="1:8" x14ac:dyDescent="0.2">
      <c r="A831">
        <v>828</v>
      </c>
      <c r="B831" t="s">
        <v>35</v>
      </c>
      <c r="C831" t="str">
        <f>VLOOKUP(B831,'Master Anggota'!$E$2:$I$279,5,0)</f>
        <v>00546</v>
      </c>
      <c r="D831" s="108">
        <v>46198</v>
      </c>
      <c r="E831" s="56">
        <v>-1575000</v>
      </c>
      <c r="F831" s="60" t="s">
        <v>598</v>
      </c>
    </row>
    <row r="832" spans="1:8" x14ac:dyDescent="0.2">
      <c r="A832">
        <v>829</v>
      </c>
      <c r="B832" t="s">
        <v>85</v>
      </c>
      <c r="C832" t="str">
        <f>VLOOKUP(B832,'Master Anggota'!$E$2:$I$279,5,0)</f>
        <v>00547</v>
      </c>
      <c r="D832" s="108">
        <v>46198</v>
      </c>
      <c r="E832" s="56">
        <v>-3173333</v>
      </c>
      <c r="F832" s="60" t="s">
        <v>598</v>
      </c>
    </row>
    <row r="833" spans="1:6" x14ac:dyDescent="0.2">
      <c r="A833">
        <v>830</v>
      </c>
      <c r="B833" t="s">
        <v>153</v>
      </c>
      <c r="C833" t="str">
        <f>VLOOKUP(B833,'Master Anggota'!$E$2:$I$279,5,0)</f>
        <v>00548</v>
      </c>
      <c r="D833" s="108">
        <v>46198</v>
      </c>
      <c r="E833" s="56">
        <v>-1348333</v>
      </c>
      <c r="F833" s="60" t="s">
        <v>598</v>
      </c>
    </row>
    <row r="834" spans="1:6" x14ac:dyDescent="0.2">
      <c r="A834">
        <v>831</v>
      </c>
      <c r="B834" t="s">
        <v>484</v>
      </c>
      <c r="C834" t="str">
        <f>VLOOKUP(B834,'Master Anggota'!$E$2:$I$279,5,0)</f>
        <v>00552</v>
      </c>
      <c r="D834" s="108">
        <v>46198</v>
      </c>
      <c r="E834" s="56">
        <v>-4408333</v>
      </c>
      <c r="F834" s="60" t="s">
        <v>598</v>
      </c>
    </row>
    <row r="835" spans="1:6" x14ac:dyDescent="0.2">
      <c r="A835">
        <v>832</v>
      </c>
      <c r="B835" t="s">
        <v>8</v>
      </c>
      <c r="C835" t="str">
        <f>VLOOKUP(B835,'Master Anggota'!$E$2:$I$279,5,0)</f>
        <v>00553</v>
      </c>
      <c r="D835" s="108">
        <v>46198</v>
      </c>
      <c r="E835" s="56">
        <v>-3690000</v>
      </c>
      <c r="F835" s="60" t="s">
        <v>598</v>
      </c>
    </row>
    <row r="836" spans="1:6" x14ac:dyDescent="0.2">
      <c r="A836">
        <v>833</v>
      </c>
      <c r="B836" t="s">
        <v>87</v>
      </c>
      <c r="C836" t="str">
        <f>VLOOKUP(B836,'Master Anggota'!$E$2:$I$279,5,0)</f>
        <v>00554</v>
      </c>
      <c r="D836" s="108">
        <v>46198</v>
      </c>
      <c r="E836" s="56">
        <v>-530000</v>
      </c>
      <c r="F836" s="60" t="s">
        <v>598</v>
      </c>
    </row>
    <row r="837" spans="1:6" x14ac:dyDescent="0.2">
      <c r="A837">
        <v>834</v>
      </c>
      <c r="B837" t="s">
        <v>276</v>
      </c>
      <c r="C837" t="str">
        <f>VLOOKUP(B837,'Master Anggota'!$E$2:$I$279,5,0)</f>
        <v>00558</v>
      </c>
      <c r="D837" s="108">
        <v>46198</v>
      </c>
      <c r="E837" s="56">
        <v>-1341667</v>
      </c>
      <c r="F837" s="60" t="s">
        <v>598</v>
      </c>
    </row>
    <row r="838" spans="1:6" x14ac:dyDescent="0.2">
      <c r="A838">
        <v>835</v>
      </c>
      <c r="B838" t="s">
        <v>175</v>
      </c>
      <c r="C838" t="str">
        <f>VLOOKUP(B838,'Master Anggota'!$E$2:$I$279,5,0)</f>
        <v>00563</v>
      </c>
      <c r="D838" s="108">
        <v>46198</v>
      </c>
      <c r="E838" s="56">
        <v>-2708333</v>
      </c>
      <c r="F838" s="60" t="s">
        <v>598</v>
      </c>
    </row>
    <row r="839" spans="1:6" x14ac:dyDescent="0.2">
      <c r="A839">
        <v>836</v>
      </c>
      <c r="B839" t="s">
        <v>277</v>
      </c>
      <c r="C839" t="str">
        <f>VLOOKUP(B839,'Master Anggota'!$E$2:$I$279,5,0)</f>
        <v>00564</v>
      </c>
      <c r="D839" s="108">
        <v>46198</v>
      </c>
      <c r="E839" s="56">
        <v>-1291667</v>
      </c>
      <c r="F839" s="60" t="s">
        <v>598</v>
      </c>
    </row>
    <row r="840" spans="1:6" x14ac:dyDescent="0.2">
      <c r="A840">
        <v>837</v>
      </c>
      <c r="B840" t="s">
        <v>182</v>
      </c>
      <c r="C840" t="str">
        <f>VLOOKUP(B840,'Master Anggota'!$E$2:$I$279,5,0)</f>
        <v>00565</v>
      </c>
      <c r="D840" s="108">
        <v>46198</v>
      </c>
      <c r="E840" s="56">
        <v>-3125000</v>
      </c>
      <c r="F840" s="60" t="s">
        <v>598</v>
      </c>
    </row>
    <row r="841" spans="1:6" x14ac:dyDescent="0.2">
      <c r="A841">
        <v>838</v>
      </c>
      <c r="B841" t="s">
        <v>176</v>
      </c>
      <c r="C841" t="str">
        <f>VLOOKUP(B841,'Master Anggota'!$E$2:$I$279,5,0)</f>
        <v>00568</v>
      </c>
      <c r="D841" s="108">
        <v>46198</v>
      </c>
      <c r="E841" s="56">
        <v>-1085000</v>
      </c>
      <c r="F841" s="60" t="s">
        <v>598</v>
      </c>
    </row>
    <row r="842" spans="1:6" x14ac:dyDescent="0.2">
      <c r="A842">
        <v>839</v>
      </c>
      <c r="B842" t="s">
        <v>363</v>
      </c>
      <c r="C842" t="str">
        <f>VLOOKUP(B842,'Master Anggota'!$E$2:$I$279,5,0)</f>
        <v>00576</v>
      </c>
      <c r="D842" s="108">
        <v>46198</v>
      </c>
      <c r="E842" s="56">
        <v>-1858333</v>
      </c>
      <c r="F842" s="60" t="s">
        <v>598</v>
      </c>
    </row>
    <row r="843" spans="1:6" x14ac:dyDescent="0.2">
      <c r="A843">
        <v>840</v>
      </c>
      <c r="B843" t="s">
        <v>467</v>
      </c>
      <c r="C843" t="str">
        <f>VLOOKUP(B843,'Master Anggota'!$E$2:$I$279,5,0)</f>
        <v>00577</v>
      </c>
      <c r="D843" s="108">
        <v>46198</v>
      </c>
      <c r="E843" s="56">
        <v>-1603333</v>
      </c>
      <c r="F843" s="60" t="s">
        <v>598</v>
      </c>
    </row>
    <row r="844" spans="1:6" x14ac:dyDescent="0.2">
      <c r="A844">
        <v>841</v>
      </c>
      <c r="B844" t="s">
        <v>364</v>
      </c>
      <c r="C844" t="str">
        <f>VLOOKUP(B844,'Master Anggota'!$E$2:$I$279,5,0)</f>
        <v>00578</v>
      </c>
      <c r="D844" s="108">
        <v>46198</v>
      </c>
      <c r="E844" s="56">
        <v>-981667</v>
      </c>
      <c r="F844" s="60" t="s">
        <v>598</v>
      </c>
    </row>
    <row r="845" spans="1:6" x14ac:dyDescent="0.2">
      <c r="A845">
        <v>842</v>
      </c>
      <c r="B845" t="s">
        <v>523</v>
      </c>
      <c r="C845" t="str">
        <f>VLOOKUP(B845,'Master Anggota'!$E$2:$I$279,5,0)</f>
        <v>00579</v>
      </c>
      <c r="D845" s="108">
        <v>46198</v>
      </c>
      <c r="E845" s="56">
        <v>-767000</v>
      </c>
      <c r="F845" s="60" t="s">
        <v>598</v>
      </c>
    </row>
    <row r="846" spans="1:6" x14ac:dyDescent="0.2">
      <c r="A846">
        <v>843</v>
      </c>
      <c r="B846" t="s">
        <v>173</v>
      </c>
      <c r="C846" t="str">
        <f>VLOOKUP(B846,'Master Anggota'!$E$2:$I$279,5,0)</f>
        <v>00583</v>
      </c>
      <c r="D846" s="108">
        <v>46198</v>
      </c>
      <c r="E846" s="56">
        <v>-1120000</v>
      </c>
      <c r="F846" s="60" t="s">
        <v>598</v>
      </c>
    </row>
    <row r="847" spans="1:6" x14ac:dyDescent="0.2">
      <c r="A847">
        <v>844</v>
      </c>
      <c r="B847" t="s">
        <v>172</v>
      </c>
      <c r="C847" t="str">
        <f>VLOOKUP(B847,'Master Anggota'!$E$2:$I$279,5,0)</f>
        <v>00584</v>
      </c>
      <c r="D847" s="108">
        <v>46198</v>
      </c>
      <c r="E847" s="56">
        <v>-2708333</v>
      </c>
      <c r="F847" s="60" t="s">
        <v>598</v>
      </c>
    </row>
    <row r="848" spans="1:6" x14ac:dyDescent="0.2">
      <c r="A848">
        <v>845</v>
      </c>
      <c r="B848" t="s">
        <v>300</v>
      </c>
      <c r="C848" t="str">
        <f>VLOOKUP(B848,'Master Anggota'!$E$2:$I$279,5,0)</f>
        <v>00585</v>
      </c>
      <c r="D848" s="108">
        <v>46198</v>
      </c>
      <c r="E848" s="56">
        <v>-600000</v>
      </c>
      <c r="F848" s="60" t="s">
        <v>598</v>
      </c>
    </row>
    <row r="849" spans="1:6" x14ac:dyDescent="0.2">
      <c r="A849">
        <v>846</v>
      </c>
      <c r="B849" t="s">
        <v>188</v>
      </c>
      <c r="C849" t="str">
        <f>VLOOKUP(B849,'Master Anggota'!$E$2:$I$279,5,0)</f>
        <v>00596</v>
      </c>
      <c r="D849" s="108">
        <v>46198</v>
      </c>
      <c r="E849" s="56">
        <v>-1033333</v>
      </c>
      <c r="F849" s="60" t="s">
        <v>598</v>
      </c>
    </row>
    <row r="850" spans="1:6" x14ac:dyDescent="0.2">
      <c r="A850">
        <v>847</v>
      </c>
      <c r="B850" t="s">
        <v>326</v>
      </c>
      <c r="C850" t="str">
        <f>VLOOKUP(B850,'Master Anggota'!$E$2:$I$279,5,0)</f>
        <v>00608</v>
      </c>
      <c r="D850" s="108">
        <v>46198</v>
      </c>
      <c r="E850" s="56">
        <v>-671667</v>
      </c>
      <c r="F850" s="60" t="s">
        <v>598</v>
      </c>
    </row>
    <row r="851" spans="1:6" x14ac:dyDescent="0.2">
      <c r="A851">
        <v>848</v>
      </c>
      <c r="B851" t="s">
        <v>370</v>
      </c>
      <c r="C851" t="str">
        <f>VLOOKUP(B851,'Master Anggota'!$E$2:$I$279,5,0)</f>
        <v>00610</v>
      </c>
      <c r="D851" s="108">
        <v>46198</v>
      </c>
      <c r="E851" s="56">
        <v>-1866667</v>
      </c>
      <c r="F851" s="60" t="s">
        <v>598</v>
      </c>
    </row>
    <row r="852" spans="1:6" x14ac:dyDescent="0.2">
      <c r="A852">
        <v>849</v>
      </c>
      <c r="B852" t="s">
        <v>519</v>
      </c>
      <c r="C852" t="str">
        <f>VLOOKUP(B852,'Master Anggota'!$E$2:$I$279,5,0)</f>
        <v>00611</v>
      </c>
      <c r="D852" s="108">
        <v>46198</v>
      </c>
      <c r="E852" s="56">
        <v>-653333</v>
      </c>
      <c r="F852" s="60" t="s">
        <v>598</v>
      </c>
    </row>
    <row r="853" spans="1:6" x14ac:dyDescent="0.2">
      <c r="A853">
        <v>850</v>
      </c>
      <c r="B853" t="s">
        <v>157</v>
      </c>
      <c r="C853" t="str">
        <f>VLOOKUP(B853,'Master Anggota'!$E$2:$I$279,5,0)</f>
        <v>00633</v>
      </c>
      <c r="D853" s="108">
        <v>46198</v>
      </c>
      <c r="E853" s="56">
        <v>-1916667</v>
      </c>
      <c r="F853" s="60" t="s">
        <v>598</v>
      </c>
    </row>
    <row r="854" spans="1:6" x14ac:dyDescent="0.2">
      <c r="A854">
        <v>851</v>
      </c>
      <c r="B854" t="s">
        <v>319</v>
      </c>
      <c r="C854" t="str">
        <f>VLOOKUP(B854,'Master Anggota'!$E$2:$I$279,5,0)</f>
        <v>01302</v>
      </c>
      <c r="D854" s="108">
        <v>46198</v>
      </c>
      <c r="E854" s="56">
        <v>-2200000</v>
      </c>
      <c r="F854" s="60" t="s">
        <v>598</v>
      </c>
    </row>
    <row r="855" spans="1:6" x14ac:dyDescent="0.2">
      <c r="A855">
        <v>852</v>
      </c>
      <c r="B855" t="s">
        <v>289</v>
      </c>
      <c r="C855" t="str">
        <f>VLOOKUP(B855,'Master Anggota'!$E$2:$I$279,5,0)</f>
        <v>01511</v>
      </c>
      <c r="D855" s="108">
        <v>46198</v>
      </c>
      <c r="E855" s="56">
        <v>-1680000</v>
      </c>
      <c r="F855" s="60" t="s">
        <v>598</v>
      </c>
    </row>
    <row r="856" spans="1:6" x14ac:dyDescent="0.2">
      <c r="A856">
        <v>853</v>
      </c>
      <c r="B856" t="s">
        <v>358</v>
      </c>
      <c r="C856" t="str">
        <f>VLOOKUP(B856,'Master Anggota'!$E$2:$I$279,5,0)</f>
        <v>01530</v>
      </c>
      <c r="D856" s="108">
        <v>46198</v>
      </c>
      <c r="E856" s="56">
        <v>-1760000</v>
      </c>
      <c r="F856" s="60" t="s">
        <v>598</v>
      </c>
    </row>
    <row r="857" spans="1:6" x14ac:dyDescent="0.2">
      <c r="A857">
        <v>854</v>
      </c>
      <c r="B857" t="s">
        <v>304</v>
      </c>
      <c r="C857" t="str">
        <f>VLOOKUP(B857,'Master Anggota'!$E$2:$I$279,5,0)</f>
        <v>01541</v>
      </c>
      <c r="D857" s="108">
        <v>46198</v>
      </c>
      <c r="E857" s="56">
        <v>-1650000</v>
      </c>
      <c r="F857" s="60" t="s">
        <v>598</v>
      </c>
    </row>
    <row r="858" spans="1:6" x14ac:dyDescent="0.2">
      <c r="A858">
        <v>855</v>
      </c>
      <c r="B858" t="s">
        <v>316</v>
      </c>
      <c r="C858" t="str">
        <f>VLOOKUP(B858,'Master Anggota'!$E$2:$I$279,5,0)</f>
        <v>01544</v>
      </c>
      <c r="D858" s="108">
        <v>46198</v>
      </c>
      <c r="E858" s="56">
        <v>-1430000</v>
      </c>
      <c r="F858" s="60" t="s">
        <v>598</v>
      </c>
    </row>
    <row r="859" spans="1:6" x14ac:dyDescent="0.2">
      <c r="A859">
        <v>856</v>
      </c>
      <c r="B859" t="s">
        <v>421</v>
      </c>
      <c r="C859" t="str">
        <f>VLOOKUP(B859,'Master Anggota'!$E$2:$I$279,5,0)</f>
        <v>01560</v>
      </c>
      <c r="D859" s="108">
        <v>46198</v>
      </c>
      <c r="E859" s="56">
        <v>-165000</v>
      </c>
      <c r="F859" s="60" t="s">
        <v>598</v>
      </c>
    </row>
    <row r="860" spans="1:6" x14ac:dyDescent="0.2">
      <c r="A860">
        <v>857</v>
      </c>
      <c r="B860" t="s">
        <v>327</v>
      </c>
      <c r="C860" t="str">
        <f>VLOOKUP(B860,'Master Anggota'!$E$2:$I$279,5,0)</f>
        <v>01665</v>
      </c>
      <c r="D860" s="108">
        <v>46198</v>
      </c>
      <c r="E860" s="56">
        <v>-618333</v>
      </c>
      <c r="F860" s="60" t="s">
        <v>598</v>
      </c>
    </row>
    <row r="861" spans="1:6" x14ac:dyDescent="0.2">
      <c r="A861">
        <v>858</v>
      </c>
      <c r="B861" t="s">
        <v>368</v>
      </c>
      <c r="C861" t="str">
        <f>VLOOKUP(B861,'Master Anggota'!$E$2:$I$279,5,0)</f>
        <v>01703</v>
      </c>
      <c r="D861" s="108">
        <v>46198</v>
      </c>
      <c r="E861" s="56">
        <v>-530000</v>
      </c>
      <c r="F861" s="60" t="s">
        <v>598</v>
      </c>
    </row>
    <row r="862" spans="1:6" x14ac:dyDescent="0.2">
      <c r="A862">
        <v>859</v>
      </c>
      <c r="B862" t="s">
        <v>451</v>
      </c>
      <c r="C862" t="str">
        <f>VLOOKUP(B862,'Master Anggota'!$E$2:$I$279,5,0)</f>
        <v>01735</v>
      </c>
      <c r="D862" s="108">
        <v>46198</v>
      </c>
      <c r="E862" s="56">
        <v>-540000</v>
      </c>
      <c r="F862" s="60" t="s">
        <v>598</v>
      </c>
    </row>
    <row r="863" spans="1:6" x14ac:dyDescent="0.2">
      <c r="A863">
        <v>860</v>
      </c>
      <c r="B863" t="s">
        <v>448</v>
      </c>
      <c r="C863" t="str">
        <f>VLOOKUP(B863,'Master Anggota'!$E$2:$I$279,5,0)</f>
        <v>01737</v>
      </c>
      <c r="D863" s="108">
        <v>46198</v>
      </c>
      <c r="E863" s="56">
        <v>-540000</v>
      </c>
      <c r="F863" s="60" t="s">
        <v>598</v>
      </c>
    </row>
    <row r="864" spans="1:6" x14ac:dyDescent="0.2">
      <c r="A864">
        <v>861</v>
      </c>
      <c r="B864" t="s">
        <v>450</v>
      </c>
      <c r="C864" t="str">
        <f>VLOOKUP(B864,'Master Anggota'!$E$2:$I$279,5,0)</f>
        <v>01738</v>
      </c>
      <c r="D864" s="108">
        <v>46198</v>
      </c>
      <c r="E864" s="56">
        <v>-405000</v>
      </c>
      <c r="F864" s="60" t="s">
        <v>598</v>
      </c>
    </row>
    <row r="865" spans="1:13" x14ac:dyDescent="0.2">
      <c r="A865">
        <v>862</v>
      </c>
      <c r="B865" t="s">
        <v>495</v>
      </c>
      <c r="C865" t="str">
        <f>VLOOKUP(B865,'Master Anggota'!$E$2:$I$279,5,0)</f>
        <v>01754</v>
      </c>
      <c r="D865" s="108">
        <v>46198</v>
      </c>
      <c r="E865" s="56">
        <v>-1100000</v>
      </c>
      <c r="F865" s="60" t="s">
        <v>598</v>
      </c>
    </row>
    <row r="866" spans="1:13" x14ac:dyDescent="0.2">
      <c r="A866">
        <v>863</v>
      </c>
      <c r="B866" t="s">
        <v>499</v>
      </c>
      <c r="C866" t="str">
        <f>VLOOKUP(B866,'Master Anggota'!$E$2:$I$279,5,0)</f>
        <v>01775</v>
      </c>
      <c r="D866" s="108">
        <v>46198</v>
      </c>
      <c r="E866" s="56">
        <v>-540000</v>
      </c>
      <c r="F866" s="60" t="s">
        <v>598</v>
      </c>
    </row>
    <row r="867" spans="1:13" x14ac:dyDescent="0.2">
      <c r="A867">
        <v>864</v>
      </c>
      <c r="B867" t="s">
        <v>500</v>
      </c>
      <c r="C867" t="str">
        <f>VLOOKUP(B867,'Master Anggota'!$E$2:$I$279,5,0)</f>
        <v>01776</v>
      </c>
      <c r="D867" s="108">
        <v>46198</v>
      </c>
      <c r="E867" s="56">
        <v>-337500</v>
      </c>
      <c r="F867" s="60" t="s">
        <v>598</v>
      </c>
    </row>
    <row r="868" spans="1:13" x14ac:dyDescent="0.2">
      <c r="A868">
        <v>865</v>
      </c>
      <c r="B868" t="s">
        <v>526</v>
      </c>
      <c r="C868" t="str">
        <f>VLOOKUP(B868,'Master Anggota'!$E$2:$I$279,5,0)</f>
        <v>PHL</v>
      </c>
      <c r="D868" s="108">
        <v>46198</v>
      </c>
      <c r="E868" s="56">
        <v>-901000</v>
      </c>
      <c r="F868" s="60" t="s">
        <v>598</v>
      </c>
    </row>
    <row r="869" spans="1:13" x14ac:dyDescent="0.2">
      <c r="A869">
        <v>866</v>
      </c>
      <c r="B869" t="s">
        <v>527</v>
      </c>
      <c r="C869" t="str">
        <f>VLOOKUP(B869,'Master Anggota'!$E$2:$I$279,5,0)</f>
        <v>PHL</v>
      </c>
      <c r="D869" s="108">
        <v>46198</v>
      </c>
      <c r="E869" s="56">
        <v>-330000</v>
      </c>
      <c r="F869" s="60" t="s">
        <v>598</v>
      </c>
    </row>
    <row r="870" spans="1:13" x14ac:dyDescent="0.2">
      <c r="A870">
        <v>867</v>
      </c>
      <c r="B870" t="s">
        <v>295</v>
      </c>
      <c r="C870" t="str">
        <f>VLOOKUP(B870,'Master Anggota'!$E$2:$I$279,5,0)</f>
        <v>PHL</v>
      </c>
      <c r="D870" s="108">
        <v>46198</v>
      </c>
      <c r="E870" s="56">
        <v>-770000</v>
      </c>
      <c r="F870" s="60" t="s">
        <v>598</v>
      </c>
    </row>
    <row r="871" spans="1:13" x14ac:dyDescent="0.2">
      <c r="A871">
        <v>868</v>
      </c>
      <c r="B871" t="s">
        <v>278</v>
      </c>
      <c r="C871" t="str">
        <f>VLOOKUP(B871,'Master Anggota'!$E$2:$I$279,5,0)</f>
        <v>PHL</v>
      </c>
      <c r="D871" s="108">
        <v>46198</v>
      </c>
      <c r="E871" s="56">
        <v>-1650000</v>
      </c>
      <c r="F871" s="60" t="s">
        <v>598</v>
      </c>
    </row>
    <row r="872" spans="1:13" x14ac:dyDescent="0.2">
      <c r="A872">
        <v>869</v>
      </c>
      <c r="B872" t="s">
        <v>442</v>
      </c>
      <c r="C872" t="str">
        <f>VLOOKUP(B872,'Master Anggota'!$E$2:$I$279,5,0)</f>
        <v>00613</v>
      </c>
      <c r="D872" s="108">
        <v>46199</v>
      </c>
      <c r="E872" s="82">
        <v>15000000</v>
      </c>
      <c r="F872" t="s">
        <v>617</v>
      </c>
      <c r="H872" t="s">
        <v>694</v>
      </c>
      <c r="I872" s="111">
        <v>46259</v>
      </c>
      <c r="J872" s="111">
        <v>46593</v>
      </c>
      <c r="K872" s="82">
        <v>1400000</v>
      </c>
      <c r="L872">
        <v>12</v>
      </c>
      <c r="M872" s="60">
        <f>K872*L872</f>
        <v>16800000</v>
      </c>
    </row>
    <row r="873" spans="1:13" x14ac:dyDescent="0.2">
      <c r="A873">
        <v>870</v>
      </c>
      <c r="B873" t="s">
        <v>442</v>
      </c>
      <c r="C873" t="str">
        <f>VLOOKUP(B873,'Master Anggota'!$E$2:$I$279,5,0)</f>
        <v>00613</v>
      </c>
      <c r="D873" s="108">
        <v>46199</v>
      </c>
      <c r="E873" s="82">
        <v>1800000</v>
      </c>
      <c r="F873" t="s">
        <v>616</v>
      </c>
      <c r="K873" s="82"/>
    </row>
    <row r="874" spans="1:13" x14ac:dyDescent="0.2">
      <c r="A874">
        <v>871</v>
      </c>
      <c r="B874" t="s">
        <v>522</v>
      </c>
      <c r="C874" t="str">
        <f>VLOOKUP(B874,'Master Anggota'!$E$2:$I$279,5,0)</f>
        <v>00533</v>
      </c>
      <c r="D874" s="108">
        <v>46209</v>
      </c>
      <c r="E874" s="82">
        <v>76000000</v>
      </c>
      <c r="F874" t="s">
        <v>617</v>
      </c>
      <c r="H874" t="s">
        <v>726</v>
      </c>
      <c r="I874" s="111">
        <v>46259</v>
      </c>
      <c r="J874" s="111">
        <v>46959</v>
      </c>
      <c r="K874" s="82">
        <v>4181667</v>
      </c>
    </row>
    <row r="875" spans="1:13" x14ac:dyDescent="0.2">
      <c r="A875">
        <v>872</v>
      </c>
      <c r="B875" t="s">
        <v>522</v>
      </c>
      <c r="C875" t="str">
        <f>VLOOKUP(B875,'Master Anggota'!$E$2:$I$279,5,0)</f>
        <v>00533</v>
      </c>
      <c r="D875" s="108">
        <v>46209</v>
      </c>
      <c r="E875" s="82">
        <v>24360000</v>
      </c>
      <c r="F875" t="s">
        <v>616</v>
      </c>
      <c r="K875" s="82"/>
    </row>
    <row r="876" spans="1:13" x14ac:dyDescent="0.2">
      <c r="A876">
        <v>873</v>
      </c>
      <c r="B876" t="s">
        <v>522</v>
      </c>
      <c r="C876" t="str">
        <f>VLOOKUP(B876,'Master Anggota'!$E$2:$I$279,5,0)</f>
        <v>00533</v>
      </c>
      <c r="D876" s="108">
        <v>46209</v>
      </c>
      <c r="E876" s="82">
        <v>-42575000</v>
      </c>
      <c r="F876" t="s">
        <v>598</v>
      </c>
      <c r="K876" s="82"/>
    </row>
    <row r="877" spans="1:13" x14ac:dyDescent="0.2">
      <c r="A877">
        <v>874</v>
      </c>
      <c r="B877" t="s">
        <v>316</v>
      </c>
      <c r="C877" t="str">
        <f>VLOOKUP(B877,'Master Anggota'!$E$2:$I$279,5,0)</f>
        <v>01544</v>
      </c>
      <c r="D877" s="108">
        <v>46212</v>
      </c>
      <c r="E877" s="82">
        <v>20000000</v>
      </c>
      <c r="F877" t="s">
        <v>617</v>
      </c>
      <c r="H877" t="s">
        <v>693</v>
      </c>
      <c r="I877" s="111">
        <v>46259</v>
      </c>
      <c r="J877" s="111">
        <v>46593</v>
      </c>
      <c r="K877" s="82">
        <v>1866667</v>
      </c>
      <c r="L877">
        <v>12</v>
      </c>
      <c r="M877" s="60">
        <f>K877*L877</f>
        <v>22400004</v>
      </c>
    </row>
    <row r="878" spans="1:13" x14ac:dyDescent="0.2">
      <c r="A878">
        <v>875</v>
      </c>
      <c r="B878" t="s">
        <v>316</v>
      </c>
      <c r="C878" t="str">
        <f>VLOOKUP(B878,'Master Anggota'!$E$2:$I$279,5,0)</f>
        <v>01544</v>
      </c>
      <c r="D878" s="108">
        <v>46212</v>
      </c>
      <c r="E878" s="82">
        <v>2400000</v>
      </c>
      <c r="F878" t="s">
        <v>616</v>
      </c>
      <c r="K878" s="82"/>
    </row>
    <row r="879" spans="1:13" x14ac:dyDescent="0.2">
      <c r="A879">
        <v>876</v>
      </c>
      <c r="B879" t="s">
        <v>316</v>
      </c>
      <c r="C879" t="str">
        <f>VLOOKUP(B879,'Master Anggota'!$E$2:$I$279,5,0)</f>
        <v>01544</v>
      </c>
      <c r="D879" s="108">
        <v>46212</v>
      </c>
      <c r="E879" s="82">
        <v>-7150000</v>
      </c>
      <c r="F879" t="s">
        <v>598</v>
      </c>
      <c r="H879" t="s">
        <v>719</v>
      </c>
      <c r="K879" s="82"/>
    </row>
    <row r="880" spans="1:13" x14ac:dyDescent="0.2">
      <c r="A880">
        <v>877</v>
      </c>
      <c r="B880" t="s">
        <v>94</v>
      </c>
      <c r="C880" t="str">
        <f>VLOOKUP(B880,'Master Anggota'!$E$2:$I$279,5,0)</f>
        <v>00387</v>
      </c>
      <c r="D880" s="108">
        <v>46202</v>
      </c>
      <c r="E880" s="82">
        <v>1000000</v>
      </c>
      <c r="F880" s="60" t="s">
        <v>617</v>
      </c>
      <c r="H880" t="s">
        <v>694</v>
      </c>
      <c r="I880" s="111">
        <v>46259</v>
      </c>
      <c r="J880" s="111">
        <v>46593</v>
      </c>
      <c r="K880" s="82">
        <v>98333</v>
      </c>
      <c r="L880">
        <v>12</v>
      </c>
      <c r="M880" s="60">
        <f>K880*L880</f>
        <v>1179996</v>
      </c>
    </row>
    <row r="881" spans="1:13" x14ac:dyDescent="0.2">
      <c r="A881">
        <v>878</v>
      </c>
      <c r="B881" t="s">
        <v>94</v>
      </c>
      <c r="C881" t="str">
        <f>VLOOKUP(B881,'Master Anggota'!$E$2:$I$279,5,0)</f>
        <v>00387</v>
      </c>
      <c r="D881" s="108">
        <v>46202</v>
      </c>
      <c r="E881" s="82">
        <v>180000</v>
      </c>
      <c r="F881" s="60" t="s">
        <v>616</v>
      </c>
      <c r="K881" s="82">
        <f>E960-K880</f>
        <v>-1839445</v>
      </c>
    </row>
    <row r="882" spans="1:13" x14ac:dyDescent="0.2">
      <c r="A882">
        <v>879</v>
      </c>
      <c r="B882" t="s">
        <v>307</v>
      </c>
      <c r="C882" t="str">
        <f>VLOOKUP(B882,'Master Anggota'!$E$2:$I$279,5,0)</f>
        <v>00591</v>
      </c>
      <c r="D882" s="108">
        <v>46202</v>
      </c>
      <c r="E882" s="82">
        <v>8000000</v>
      </c>
      <c r="F882" t="s">
        <v>617</v>
      </c>
      <c r="H882" t="s">
        <v>694</v>
      </c>
      <c r="I882" s="111">
        <v>46259</v>
      </c>
      <c r="J882" s="111">
        <v>46593</v>
      </c>
      <c r="K882" s="82">
        <v>746667</v>
      </c>
      <c r="L882">
        <v>12</v>
      </c>
      <c r="M882" s="60">
        <f>K882*L882</f>
        <v>8960004</v>
      </c>
    </row>
    <row r="883" spans="1:13" x14ac:dyDescent="0.2">
      <c r="A883">
        <v>880</v>
      </c>
      <c r="B883" t="s">
        <v>307</v>
      </c>
      <c r="C883" t="str">
        <f>VLOOKUP(B883,'Master Anggota'!$E$2:$I$279,5,0)</f>
        <v>00591</v>
      </c>
      <c r="D883" s="108">
        <v>46202</v>
      </c>
      <c r="E883" s="82">
        <v>960000</v>
      </c>
      <c r="F883" t="s">
        <v>616</v>
      </c>
      <c r="K883" s="82">
        <f>E882+E883-K882</f>
        <v>8213333</v>
      </c>
    </row>
    <row r="884" spans="1:13" x14ac:dyDescent="0.2">
      <c r="A884">
        <v>881</v>
      </c>
      <c r="B884" t="s">
        <v>534</v>
      </c>
      <c r="C884" t="str">
        <f>VLOOKUP(B884,'Master Anggota'!$E$2:$I$279,5,0)</f>
        <v>Koka</v>
      </c>
      <c r="D884" s="108">
        <v>46212</v>
      </c>
      <c r="E884" s="82">
        <v>3000000</v>
      </c>
      <c r="F884" t="s">
        <v>617</v>
      </c>
      <c r="H884" t="s">
        <v>720</v>
      </c>
      <c r="I884" s="111">
        <v>46259</v>
      </c>
      <c r="J884" s="111">
        <v>46593</v>
      </c>
      <c r="K884" s="82">
        <v>1030000</v>
      </c>
      <c r="L884">
        <v>3</v>
      </c>
      <c r="M884" s="60">
        <f>K884*L884</f>
        <v>3090000</v>
      </c>
    </row>
    <row r="885" spans="1:13" x14ac:dyDescent="0.2">
      <c r="A885">
        <v>882</v>
      </c>
      <c r="B885" t="s">
        <v>534</v>
      </c>
      <c r="C885" t="str">
        <f>VLOOKUP(B885,'Master Anggota'!$E$2:$I$279,5,0)</f>
        <v>Koka</v>
      </c>
      <c r="D885" s="108">
        <v>46212</v>
      </c>
      <c r="E885" s="82">
        <v>90000</v>
      </c>
      <c r="F885" t="s">
        <v>616</v>
      </c>
      <c r="K885" s="82"/>
    </row>
    <row r="886" spans="1:13" x14ac:dyDescent="0.2">
      <c r="A886">
        <v>883</v>
      </c>
      <c r="B886" t="s">
        <v>526</v>
      </c>
      <c r="C886" t="str">
        <f>VLOOKUP(B886,'Master Anggota'!$E$2:$I$279,5,0)</f>
        <v>PHL</v>
      </c>
      <c r="D886" s="108">
        <v>46211</v>
      </c>
      <c r="E886" s="82">
        <v>5500000</v>
      </c>
      <c r="F886" t="s">
        <v>617</v>
      </c>
      <c r="H886" t="s">
        <v>693</v>
      </c>
      <c r="I886" s="111">
        <v>46259</v>
      </c>
      <c r="J886" s="111">
        <v>46593</v>
      </c>
      <c r="K886" s="82">
        <v>513333</v>
      </c>
      <c r="L886">
        <v>12</v>
      </c>
      <c r="M886" s="60">
        <f>K886*L886</f>
        <v>6159996</v>
      </c>
    </row>
    <row r="887" spans="1:13" x14ac:dyDescent="0.2">
      <c r="A887">
        <v>884</v>
      </c>
      <c r="B887" t="s">
        <v>526</v>
      </c>
      <c r="C887" t="str">
        <f>VLOOKUP(B887,'Master Anggota'!$E$2:$I$279,5,0)</f>
        <v>PHL</v>
      </c>
      <c r="D887" s="108">
        <v>46211</v>
      </c>
      <c r="E887" s="82">
        <v>660000</v>
      </c>
      <c r="F887" t="s">
        <v>616</v>
      </c>
      <c r="K887" s="82"/>
    </row>
    <row r="888" spans="1:13" x14ac:dyDescent="0.2">
      <c r="A888">
        <v>885</v>
      </c>
      <c r="B888" t="s">
        <v>526</v>
      </c>
      <c r="C888" t="str">
        <f>VLOOKUP(B888,'Master Anggota'!$E$2:$I$279,5,0)</f>
        <v>PHL</v>
      </c>
      <c r="D888" s="108">
        <v>46211</v>
      </c>
      <c r="E888" s="82">
        <v>-2703000</v>
      </c>
      <c r="F888" t="s">
        <v>598</v>
      </c>
      <c r="K888" s="82"/>
    </row>
    <row r="889" spans="1:13" x14ac:dyDescent="0.2">
      <c r="A889">
        <v>886</v>
      </c>
      <c r="B889" t="s">
        <v>92</v>
      </c>
      <c r="C889" t="str">
        <f>VLOOKUP(B889,'Master Anggota'!$E$2:$I$279,5,0)</f>
        <v>00396</v>
      </c>
      <c r="D889" s="108">
        <v>46211</v>
      </c>
      <c r="E889" s="82">
        <v>50000000</v>
      </c>
      <c r="F889" t="s">
        <v>617</v>
      </c>
      <c r="H889" t="s">
        <v>685</v>
      </c>
      <c r="I889" s="111">
        <v>46259</v>
      </c>
      <c r="J889" s="111">
        <v>46532</v>
      </c>
      <c r="K889" s="82">
        <v>6250000</v>
      </c>
      <c r="L889">
        <v>10</v>
      </c>
      <c r="M889" s="60">
        <f>K889*L889</f>
        <v>62500000</v>
      </c>
    </row>
    <row r="890" spans="1:13" x14ac:dyDescent="0.2">
      <c r="A890">
        <v>887</v>
      </c>
      <c r="B890" t="s">
        <v>92</v>
      </c>
      <c r="C890" t="str">
        <f>VLOOKUP(B890,'Master Anggota'!$E$2:$I$279,5,0)</f>
        <v>00396</v>
      </c>
      <c r="D890" s="108">
        <v>46211</v>
      </c>
      <c r="E890" s="82">
        <v>6250000</v>
      </c>
      <c r="F890" t="s">
        <v>616</v>
      </c>
      <c r="K890" s="82"/>
    </row>
    <row r="891" spans="1:13" x14ac:dyDescent="0.2">
      <c r="A891">
        <v>889</v>
      </c>
      <c r="B891" t="s">
        <v>172</v>
      </c>
      <c r="C891" t="str">
        <f>VLOOKUP(B891,'Master Anggota'!$E$2:$I$279,5,0)</f>
        <v>00584</v>
      </c>
      <c r="D891" s="108">
        <v>46211</v>
      </c>
      <c r="E891" s="82">
        <v>62000000</v>
      </c>
      <c r="F891" t="s">
        <v>617</v>
      </c>
      <c r="H891" t="s">
        <v>718</v>
      </c>
      <c r="I891" s="111">
        <v>46259</v>
      </c>
      <c r="J891" s="111">
        <v>46959</v>
      </c>
      <c r="K891" s="82">
        <v>3388333</v>
      </c>
    </row>
    <row r="892" spans="1:13" x14ac:dyDescent="0.2">
      <c r="A892">
        <v>890</v>
      </c>
      <c r="B892" t="s">
        <v>172</v>
      </c>
      <c r="C892" t="str">
        <f>VLOOKUP(B892,'Master Anggota'!$E$2:$I$279,5,0)</f>
        <v>00584</v>
      </c>
      <c r="D892" s="108">
        <v>46211</v>
      </c>
      <c r="E892" s="82">
        <v>19320000</v>
      </c>
      <c r="F892" t="s">
        <v>616</v>
      </c>
      <c r="K892" s="82"/>
    </row>
    <row r="893" spans="1:13" x14ac:dyDescent="0.2">
      <c r="A893">
        <v>891</v>
      </c>
      <c r="B893" t="s">
        <v>172</v>
      </c>
      <c r="C893" t="str">
        <f>VLOOKUP(B893,'Master Anggota'!$E$2:$I$279,5,0)</f>
        <v>00584</v>
      </c>
      <c r="D893" s="108">
        <v>46211</v>
      </c>
      <c r="E893" s="82">
        <v>-32500004</v>
      </c>
      <c r="F893" t="s">
        <v>598</v>
      </c>
      <c r="H893" t="s">
        <v>621</v>
      </c>
      <c r="K893" s="82"/>
    </row>
    <row r="894" spans="1:13" x14ac:dyDescent="0.2">
      <c r="A894">
        <v>892</v>
      </c>
      <c r="B894" t="s">
        <v>103</v>
      </c>
      <c r="C894" t="str">
        <f>VLOOKUP(B894,'Master Anggota'!$E$2:$I$279,5,0)</f>
        <v>00401</v>
      </c>
      <c r="D894" s="108">
        <v>46211</v>
      </c>
      <c r="E894" s="82">
        <v>15000000</v>
      </c>
      <c r="F894" t="s">
        <v>617</v>
      </c>
      <c r="H894" t="s">
        <v>685</v>
      </c>
      <c r="I894" s="111">
        <v>46259</v>
      </c>
      <c r="J894" s="111">
        <v>46532</v>
      </c>
      <c r="K894" s="82">
        <v>1650000</v>
      </c>
      <c r="L894">
        <v>10</v>
      </c>
      <c r="M894" s="60">
        <f>K894*L894</f>
        <v>16500000</v>
      </c>
    </row>
    <row r="895" spans="1:13" x14ac:dyDescent="0.2">
      <c r="A895">
        <v>893</v>
      </c>
      <c r="B895" t="s">
        <v>103</v>
      </c>
      <c r="C895" t="str">
        <f>VLOOKUP(B895,'Master Anggota'!$E$2:$I$279,5,0)</f>
        <v>00401</v>
      </c>
      <c r="D895" s="108">
        <v>46211</v>
      </c>
      <c r="E895" s="82">
        <v>1500000</v>
      </c>
      <c r="F895" t="s">
        <v>616</v>
      </c>
      <c r="K895" s="82"/>
    </row>
    <row r="896" spans="1:13" x14ac:dyDescent="0.2">
      <c r="A896">
        <v>894</v>
      </c>
      <c r="B896" t="s">
        <v>103</v>
      </c>
      <c r="C896" t="str">
        <f>VLOOKUP(B896,'Master Anggota'!$E$2:$I$279,5,0)</f>
        <v>00401</v>
      </c>
      <c r="D896" s="108">
        <v>46211</v>
      </c>
      <c r="E896" s="82">
        <v>-2480000</v>
      </c>
      <c r="F896" t="s">
        <v>598</v>
      </c>
      <c r="K896" s="82"/>
    </row>
    <row r="897" spans="1:13" x14ac:dyDescent="0.2">
      <c r="A897">
        <v>895</v>
      </c>
      <c r="B897" t="s">
        <v>531</v>
      </c>
      <c r="C897" t="str">
        <f>VLOOKUP(B897,'Master Anggota'!$E$2:$I$279,5,0)</f>
        <v>PHL</v>
      </c>
      <c r="D897" s="108">
        <v>46211</v>
      </c>
      <c r="E897" s="82">
        <v>3000000</v>
      </c>
      <c r="F897" t="s">
        <v>617</v>
      </c>
      <c r="H897" t="s">
        <v>685</v>
      </c>
      <c r="I897" s="111">
        <v>46259</v>
      </c>
      <c r="J897" s="111">
        <v>46532</v>
      </c>
      <c r="K897" s="82">
        <v>330000</v>
      </c>
      <c r="L897">
        <v>10</v>
      </c>
      <c r="M897" s="60">
        <f>K897*L897</f>
        <v>3300000</v>
      </c>
    </row>
    <row r="898" spans="1:13" x14ac:dyDescent="0.2">
      <c r="A898">
        <v>896</v>
      </c>
      <c r="B898" t="s">
        <v>531</v>
      </c>
      <c r="C898" t="str">
        <f>VLOOKUP(B898,'Master Anggota'!$E$2:$I$279,5,0)</f>
        <v>PHL</v>
      </c>
      <c r="D898" s="108">
        <v>46211</v>
      </c>
      <c r="E898" s="82">
        <v>300000</v>
      </c>
      <c r="F898" t="s">
        <v>616</v>
      </c>
      <c r="K898" s="82"/>
    </row>
    <row r="899" spans="1:13" x14ac:dyDescent="0.2">
      <c r="A899">
        <v>897</v>
      </c>
      <c r="B899" t="s">
        <v>358</v>
      </c>
      <c r="C899" t="str">
        <f>VLOOKUP(B899,'Master Anggota'!$E$2:$I$279,5,0)</f>
        <v>01530</v>
      </c>
      <c r="D899" s="108">
        <v>46211</v>
      </c>
      <c r="E899" s="82">
        <v>15000000</v>
      </c>
      <c r="F899" t="s">
        <v>617</v>
      </c>
      <c r="H899" t="s">
        <v>685</v>
      </c>
      <c r="I899" s="111">
        <v>46259</v>
      </c>
      <c r="J899" s="111">
        <v>46532</v>
      </c>
      <c r="K899" s="82">
        <v>1650000</v>
      </c>
      <c r="L899">
        <v>10</v>
      </c>
      <c r="M899" s="60">
        <f>K899*L899</f>
        <v>16500000</v>
      </c>
    </row>
    <row r="900" spans="1:13" x14ac:dyDescent="0.2">
      <c r="A900">
        <v>898</v>
      </c>
      <c r="B900" t="s">
        <v>358</v>
      </c>
      <c r="C900" t="str">
        <f>VLOOKUP(B900,'Master Anggota'!$E$2:$I$279,5,0)</f>
        <v>01530</v>
      </c>
      <c r="D900" s="108">
        <v>46211</v>
      </c>
      <c r="E900" s="82">
        <v>1500000</v>
      </c>
      <c r="F900" t="s">
        <v>616</v>
      </c>
      <c r="K900" s="82"/>
    </row>
    <row r="901" spans="1:13" x14ac:dyDescent="0.2">
      <c r="A901">
        <v>899</v>
      </c>
      <c r="B901" t="s">
        <v>358</v>
      </c>
      <c r="C901" t="str">
        <f>VLOOKUP(B901,'Master Anggota'!$E$2:$I$279,5,0)</f>
        <v>01530</v>
      </c>
      <c r="D901" s="108">
        <v>46211</v>
      </c>
      <c r="E901" s="82">
        <v>-1760000</v>
      </c>
      <c r="F901" t="s">
        <v>598</v>
      </c>
      <c r="H901" t="s">
        <v>724</v>
      </c>
      <c r="K901" s="82"/>
    </row>
    <row r="902" spans="1:13" x14ac:dyDescent="0.2">
      <c r="A902">
        <v>900</v>
      </c>
      <c r="B902" t="s">
        <v>289</v>
      </c>
      <c r="C902" t="str">
        <f>VLOOKUP(B902,'Master Anggota'!$E$2:$I$279,5,0)</f>
        <v>01511</v>
      </c>
      <c r="D902" s="108">
        <v>46211</v>
      </c>
      <c r="E902" s="82">
        <v>20000000</v>
      </c>
      <c r="F902" t="s">
        <v>617</v>
      </c>
      <c r="H902" t="s">
        <v>728</v>
      </c>
      <c r="I902" s="73">
        <v>46259</v>
      </c>
      <c r="J902" s="73">
        <v>46593</v>
      </c>
      <c r="K902" s="82">
        <v>1866667</v>
      </c>
    </row>
    <row r="903" spans="1:13" x14ac:dyDescent="0.2">
      <c r="A903">
        <v>901</v>
      </c>
      <c r="B903" t="s">
        <v>289</v>
      </c>
      <c r="C903" t="str">
        <f>VLOOKUP(B903,'Master Anggota'!$E$2:$I$279,5,0)</f>
        <v>01511</v>
      </c>
      <c r="D903" s="108">
        <v>46211</v>
      </c>
      <c r="E903" s="82">
        <v>2240000</v>
      </c>
      <c r="F903" t="s">
        <v>616</v>
      </c>
      <c r="I903" s="73"/>
      <c r="J903" s="73"/>
      <c r="K903" s="82"/>
    </row>
    <row r="904" spans="1:13" x14ac:dyDescent="0.2">
      <c r="A904">
        <v>902</v>
      </c>
      <c r="B904" t="s">
        <v>289</v>
      </c>
      <c r="C904" t="str">
        <f>VLOOKUP(B904,'Master Anggota'!$E$2:$I$279,5,0)</f>
        <v>01511</v>
      </c>
      <c r="D904" s="108">
        <v>46211</v>
      </c>
      <c r="E904" s="82">
        <v>-1680000</v>
      </c>
      <c r="F904" t="s">
        <v>598</v>
      </c>
      <c r="K904" s="82"/>
    </row>
    <row r="905" spans="1:13" x14ac:dyDescent="0.2">
      <c r="A905">
        <v>903</v>
      </c>
      <c r="B905" t="s">
        <v>243</v>
      </c>
      <c r="C905" t="str">
        <f>VLOOKUP(B905,'Master Anggota'!$E$2:$I$279,5,0)</f>
        <v>00530</v>
      </c>
      <c r="D905" s="108">
        <v>46212</v>
      </c>
      <c r="E905" s="82">
        <v>15000000</v>
      </c>
      <c r="F905" t="s">
        <v>617</v>
      </c>
      <c r="H905" t="s">
        <v>681</v>
      </c>
      <c r="I905" s="111">
        <v>46259</v>
      </c>
      <c r="J905" s="111">
        <v>46959</v>
      </c>
      <c r="K905" s="82">
        <v>850000</v>
      </c>
      <c r="L905">
        <v>24</v>
      </c>
      <c r="M905" s="60">
        <f>K905*L905</f>
        <v>20400000</v>
      </c>
    </row>
    <row r="906" spans="1:13" x14ac:dyDescent="0.2">
      <c r="A906">
        <v>904</v>
      </c>
      <c r="B906" t="s">
        <v>243</v>
      </c>
      <c r="C906" t="str">
        <f>VLOOKUP(B906,'Master Anggota'!$E$2:$I$279,5,0)</f>
        <v>00530</v>
      </c>
      <c r="D906" s="108">
        <v>46212</v>
      </c>
      <c r="E906" s="82">
        <v>5400000</v>
      </c>
      <c r="F906" t="s">
        <v>616</v>
      </c>
      <c r="K906" s="82"/>
    </row>
    <row r="907" spans="1:13" x14ac:dyDescent="0.2">
      <c r="A907">
        <v>905</v>
      </c>
      <c r="B907" t="s">
        <v>533</v>
      </c>
      <c r="C907" t="str">
        <f>VLOOKUP(B907,'Master Anggota'!$E$2:$I$279,5,0)</f>
        <v>Nasabah</v>
      </c>
      <c r="D907" s="108">
        <v>46093</v>
      </c>
      <c r="E907" s="82">
        <v>-1867000</v>
      </c>
      <c r="F907" t="s">
        <v>598</v>
      </c>
    </row>
    <row r="908" spans="1:13" x14ac:dyDescent="0.2">
      <c r="A908">
        <v>907</v>
      </c>
      <c r="B908" t="s">
        <v>486</v>
      </c>
      <c r="C908" t="str">
        <f>VLOOKUP(B908,'Master Anggota'!$E$2:$I$279,5,0)</f>
        <v>00281</v>
      </c>
      <c r="D908" s="108">
        <v>46161</v>
      </c>
      <c r="E908" s="56">
        <v>25000000</v>
      </c>
      <c r="F908" t="s">
        <v>617</v>
      </c>
      <c r="H908" t="s">
        <v>697</v>
      </c>
      <c r="I908" s="111" t="s">
        <v>637</v>
      </c>
      <c r="J908" s="111" t="s">
        <v>637</v>
      </c>
      <c r="K908" s="56">
        <v>3500000</v>
      </c>
    </row>
    <row r="909" spans="1:13" x14ac:dyDescent="0.2">
      <c r="A909">
        <v>908</v>
      </c>
      <c r="B909" t="s">
        <v>486</v>
      </c>
      <c r="C909" t="str">
        <f>VLOOKUP(B909,'Master Anggota'!$E$2:$I$279,5,0)</f>
        <v>00281</v>
      </c>
      <c r="D909" s="108">
        <v>46161</v>
      </c>
      <c r="E909" s="56">
        <v>3000000</v>
      </c>
      <c r="F909" t="s">
        <v>616</v>
      </c>
    </row>
    <row r="910" spans="1:13" x14ac:dyDescent="0.2">
      <c r="A910">
        <v>909</v>
      </c>
      <c r="B910" t="s">
        <v>533</v>
      </c>
      <c r="C910" t="str">
        <f>VLOOKUP(B910,'Master Anggota'!$E$2:$I$279,5,0)</f>
        <v>Nasabah</v>
      </c>
      <c r="D910" s="108">
        <v>46201</v>
      </c>
      <c r="E910" s="82">
        <v>-1867000</v>
      </c>
      <c r="F910" t="s">
        <v>598</v>
      </c>
      <c r="H910" t="s">
        <v>722</v>
      </c>
    </row>
    <row r="911" spans="1:13" x14ac:dyDescent="0.2">
      <c r="A911">
        <v>910</v>
      </c>
      <c r="B911" t="s">
        <v>206</v>
      </c>
      <c r="C911" t="str">
        <f>VLOOKUP(B911,'Master Anggota'!$E$2:$I$279,5,0)</f>
        <v>00525</v>
      </c>
      <c r="D911" s="108">
        <v>46218</v>
      </c>
      <c r="E911" s="82">
        <v>10000000</v>
      </c>
      <c r="F911" t="s">
        <v>617</v>
      </c>
      <c r="H911" t="s">
        <v>727</v>
      </c>
      <c r="I911" s="111">
        <v>46259</v>
      </c>
      <c r="J911" s="111">
        <v>46532</v>
      </c>
      <c r="K911" s="82">
        <v>1150000</v>
      </c>
    </row>
    <row r="912" spans="1:13" x14ac:dyDescent="0.2">
      <c r="A912">
        <v>911</v>
      </c>
      <c r="B912" t="s">
        <v>206</v>
      </c>
      <c r="C912" t="str">
        <f>VLOOKUP(B912,'Master Anggota'!$E$2:$I$279,5,0)</f>
        <v>00525</v>
      </c>
      <c r="D912" s="108">
        <v>46218</v>
      </c>
      <c r="E912" s="82">
        <v>1500000</v>
      </c>
      <c r="F912" t="s">
        <v>616</v>
      </c>
      <c r="K912" s="82"/>
    </row>
    <row r="913" spans="1:11" x14ac:dyDescent="0.2">
      <c r="A913">
        <v>913</v>
      </c>
      <c r="B913" t="s">
        <v>214</v>
      </c>
      <c r="C913" t="str">
        <f>VLOOKUP(B913,'Master Anggota'!$E$2:$I$279,5,0)</f>
        <v>00529</v>
      </c>
      <c r="D913" s="108">
        <v>46218</v>
      </c>
      <c r="E913" s="82">
        <v>26000000</v>
      </c>
      <c r="F913" t="s">
        <v>617</v>
      </c>
      <c r="H913" t="s">
        <v>726</v>
      </c>
      <c r="I913" s="111">
        <v>46259</v>
      </c>
      <c r="J913" s="111">
        <v>46959</v>
      </c>
      <c r="K913" s="82">
        <v>1348333</v>
      </c>
    </row>
    <row r="914" spans="1:11" x14ac:dyDescent="0.2">
      <c r="A914">
        <v>914</v>
      </c>
      <c r="B914" t="s">
        <v>214</v>
      </c>
      <c r="C914" t="str">
        <f>VLOOKUP(B914,'Master Anggota'!$E$2:$I$279,5,0)</f>
        <v>00529</v>
      </c>
      <c r="D914" s="108">
        <v>46218</v>
      </c>
      <c r="E914" s="82">
        <v>6360000</v>
      </c>
      <c r="F914" t="s">
        <v>616</v>
      </c>
      <c r="K914" s="82"/>
    </row>
    <row r="915" spans="1:11" x14ac:dyDescent="0.2">
      <c r="A915">
        <v>915</v>
      </c>
      <c r="B915" t="s">
        <v>214</v>
      </c>
      <c r="C915" t="str">
        <f>VLOOKUP(B915,'Master Anggota'!$E$2:$I$279,5,0)</f>
        <v>00529</v>
      </c>
      <c r="D915" s="108">
        <v>46218</v>
      </c>
      <c r="E915" s="82">
        <v>-16099999</v>
      </c>
      <c r="F915" t="s">
        <v>598</v>
      </c>
      <c r="K915" s="82"/>
    </row>
    <row r="916" spans="1:11" x14ac:dyDescent="0.2">
      <c r="A916">
        <v>916</v>
      </c>
      <c r="B916" t="s">
        <v>113</v>
      </c>
      <c r="C916" t="str">
        <f>VLOOKUP(B916,'Master Anggota'!$E$2:$I$279,5,0)</f>
        <v>00317</v>
      </c>
      <c r="D916" s="108">
        <v>46226</v>
      </c>
      <c r="E916" s="82">
        <v>15000000</v>
      </c>
      <c r="F916" s="60" t="s">
        <v>617</v>
      </c>
      <c r="H916" t="s">
        <v>727</v>
      </c>
      <c r="I916" s="111">
        <v>46259</v>
      </c>
      <c r="J916" s="111">
        <v>46532</v>
      </c>
      <c r="K916" s="82">
        <v>1650000</v>
      </c>
    </row>
    <row r="917" spans="1:11" x14ac:dyDescent="0.2">
      <c r="A917">
        <v>917</v>
      </c>
      <c r="B917" t="s">
        <v>113</v>
      </c>
      <c r="C917" t="str">
        <f>VLOOKUP(B917,'Master Anggota'!$E$2:$I$279,5,0)</f>
        <v>00317</v>
      </c>
      <c r="D917" s="108">
        <v>46226</v>
      </c>
      <c r="E917" s="82">
        <v>1500000</v>
      </c>
      <c r="F917" t="s">
        <v>616</v>
      </c>
      <c r="K917" s="82"/>
    </row>
    <row r="918" spans="1:11" x14ac:dyDescent="0.2">
      <c r="A918">
        <v>918</v>
      </c>
      <c r="B918" t="s">
        <v>500</v>
      </c>
      <c r="C918" t="str">
        <f>VLOOKUP(B918,'Master Anggota'!$E$2:$I$279,5,0)</f>
        <v>01776</v>
      </c>
      <c r="D918" s="108">
        <v>46227</v>
      </c>
      <c r="E918" s="56">
        <v>-337500</v>
      </c>
      <c r="F918" t="s">
        <v>598</v>
      </c>
    </row>
    <row r="919" spans="1:11" x14ac:dyDescent="0.2">
      <c r="A919">
        <v>919</v>
      </c>
      <c r="B919" t="s">
        <v>8</v>
      </c>
      <c r="C919" t="str">
        <f>VLOOKUP(B919,'Master Anggota'!$E$2:$I$279,5,0)</f>
        <v>00553</v>
      </c>
      <c r="D919" s="108">
        <v>46227</v>
      </c>
      <c r="E919" s="56">
        <v>-660000</v>
      </c>
      <c r="F919" t="s">
        <v>598</v>
      </c>
    </row>
    <row r="920" spans="1:11" x14ac:dyDescent="0.2">
      <c r="A920">
        <v>920</v>
      </c>
      <c r="B920" t="s">
        <v>318</v>
      </c>
      <c r="C920" t="str">
        <f>VLOOKUP(B920,'Master Anggota'!$E$2:$I$279,5,0)</f>
        <v>01651</v>
      </c>
      <c r="D920" s="108">
        <v>46227</v>
      </c>
      <c r="E920" s="56">
        <v>-550000</v>
      </c>
      <c r="F920" t="s">
        <v>598</v>
      </c>
    </row>
    <row r="921" spans="1:11" x14ac:dyDescent="0.2">
      <c r="A921">
        <v>921</v>
      </c>
      <c r="B921" t="s">
        <v>189</v>
      </c>
      <c r="C921" t="str">
        <f>VLOOKUP(B921,'Master Anggota'!$E$2:$I$279,5,0)</f>
        <v>00535</v>
      </c>
      <c r="D921" s="108">
        <v>46227</v>
      </c>
      <c r="E921" s="56">
        <v>-597333</v>
      </c>
      <c r="F921" t="s">
        <v>598</v>
      </c>
    </row>
    <row r="922" spans="1:11" x14ac:dyDescent="0.2">
      <c r="A922">
        <v>922</v>
      </c>
      <c r="B922" t="s">
        <v>524</v>
      </c>
      <c r="C922" t="str">
        <f>VLOOKUP(B922,'Master Anggota'!$E$2:$I$279,5,0)</f>
        <v>01743</v>
      </c>
      <c r="D922" s="108">
        <v>46227</v>
      </c>
      <c r="E922" s="56">
        <v>-458571</v>
      </c>
      <c r="F922" t="s">
        <v>598</v>
      </c>
    </row>
    <row r="923" spans="1:11" x14ac:dyDescent="0.2">
      <c r="A923">
        <v>923</v>
      </c>
      <c r="B923" t="s">
        <v>328</v>
      </c>
      <c r="C923" t="str">
        <f>VLOOKUP(B923,'Master Anggota'!$E$2:$I$279,5,0)</f>
        <v>00369</v>
      </c>
      <c r="D923" s="108">
        <v>46227</v>
      </c>
      <c r="E923" s="56">
        <v>-1812500</v>
      </c>
      <c r="F923" t="s">
        <v>598</v>
      </c>
    </row>
    <row r="924" spans="1:11" x14ac:dyDescent="0.2">
      <c r="A924">
        <v>924</v>
      </c>
      <c r="B924" t="s">
        <v>327</v>
      </c>
      <c r="C924" t="str">
        <f>VLOOKUP(B924,'Master Anggota'!$E$2:$I$279,5,0)</f>
        <v>01665</v>
      </c>
      <c r="D924" s="108">
        <v>46227</v>
      </c>
      <c r="E924" s="56">
        <v>-618333</v>
      </c>
      <c r="F924" t="s">
        <v>598</v>
      </c>
    </row>
    <row r="925" spans="1:11" x14ac:dyDescent="0.2">
      <c r="A925">
        <v>925</v>
      </c>
      <c r="B925" t="s">
        <v>484</v>
      </c>
      <c r="C925" t="str">
        <f>VLOOKUP(B925,'Master Anggota'!$E$2:$I$279,5,0)</f>
        <v>00552</v>
      </c>
      <c r="D925" s="108">
        <v>46227</v>
      </c>
      <c r="E925" s="56">
        <v>-4408333</v>
      </c>
      <c r="F925" t="s">
        <v>598</v>
      </c>
    </row>
    <row r="926" spans="1:11" x14ac:dyDescent="0.2">
      <c r="A926">
        <v>926</v>
      </c>
      <c r="B926" t="s">
        <v>527</v>
      </c>
      <c r="C926" t="str">
        <f>VLOOKUP(B926,'Master Anggota'!$E$2:$I$279,5,0)</f>
        <v>PHL</v>
      </c>
      <c r="D926" s="108">
        <v>46227</v>
      </c>
      <c r="E926" s="56">
        <v>-330000</v>
      </c>
      <c r="F926" t="s">
        <v>598</v>
      </c>
    </row>
    <row r="927" spans="1:11" x14ac:dyDescent="0.2">
      <c r="A927">
        <v>927</v>
      </c>
      <c r="B927" t="s">
        <v>319</v>
      </c>
      <c r="C927" t="str">
        <f>VLOOKUP(B927,'Master Anggota'!$E$2:$I$279,5,0)</f>
        <v>01302</v>
      </c>
      <c r="D927" s="108">
        <v>46227</v>
      </c>
      <c r="E927" s="56">
        <v>-2200000</v>
      </c>
      <c r="F927" t="s">
        <v>598</v>
      </c>
    </row>
    <row r="928" spans="1:11" x14ac:dyDescent="0.2">
      <c r="A928">
        <v>928</v>
      </c>
      <c r="B928" t="s">
        <v>451</v>
      </c>
      <c r="C928" t="str">
        <f>VLOOKUP(B928,'Master Anggota'!$E$2:$I$279,5,0)</f>
        <v>01735</v>
      </c>
      <c r="D928" s="108">
        <v>46227</v>
      </c>
      <c r="E928" s="56">
        <v>-540000</v>
      </c>
      <c r="F928" t="s">
        <v>598</v>
      </c>
    </row>
    <row r="929" spans="1:6" x14ac:dyDescent="0.2">
      <c r="A929">
        <v>929</v>
      </c>
      <c r="B929" t="s">
        <v>363</v>
      </c>
      <c r="C929" t="str">
        <f>VLOOKUP(B929,'Master Anggota'!$E$2:$I$279,5,0)</f>
        <v>00576</v>
      </c>
      <c r="D929" s="108">
        <v>46227</v>
      </c>
      <c r="E929" s="56">
        <v>-1858333</v>
      </c>
      <c r="F929" t="s">
        <v>598</v>
      </c>
    </row>
    <row r="930" spans="1:6" x14ac:dyDescent="0.2">
      <c r="A930">
        <v>930</v>
      </c>
      <c r="B930" t="s">
        <v>35</v>
      </c>
      <c r="C930" t="str">
        <f>VLOOKUP(B930,'Master Anggota'!$E$2:$I$279,5,0)</f>
        <v>00546</v>
      </c>
      <c r="D930" s="108">
        <v>46227</v>
      </c>
      <c r="E930" s="56">
        <v>-1575000</v>
      </c>
      <c r="F930" t="s">
        <v>598</v>
      </c>
    </row>
    <row r="931" spans="1:6" x14ac:dyDescent="0.2">
      <c r="A931">
        <v>931</v>
      </c>
      <c r="B931" t="s">
        <v>37</v>
      </c>
      <c r="C931" t="str">
        <f>VLOOKUP(B931,'Master Anggota'!$E$2:$I$279,5,0)</f>
        <v>00511</v>
      </c>
      <c r="D931" s="108">
        <v>46227</v>
      </c>
      <c r="E931" s="56">
        <v>-1291667</v>
      </c>
      <c r="F931" t="s">
        <v>598</v>
      </c>
    </row>
    <row r="932" spans="1:6" x14ac:dyDescent="0.2">
      <c r="A932">
        <v>932</v>
      </c>
      <c r="B932" t="s">
        <v>400</v>
      </c>
      <c r="C932" t="str">
        <f>VLOOKUP(B932,'Master Anggota'!$E$2:$I$279,5,0)</f>
        <v>00614</v>
      </c>
      <c r="D932" s="108">
        <v>46227</v>
      </c>
      <c r="E932" s="56">
        <v>-723333</v>
      </c>
      <c r="F932" t="s">
        <v>598</v>
      </c>
    </row>
    <row r="933" spans="1:6" x14ac:dyDescent="0.2">
      <c r="A933">
        <v>933</v>
      </c>
      <c r="B933" t="s">
        <v>522</v>
      </c>
      <c r="C933" t="str">
        <f>VLOOKUP(B933,'Master Anggota'!$E$2:$I$279,5,0)</f>
        <v>00533</v>
      </c>
      <c r="D933" s="108">
        <v>46227</v>
      </c>
      <c r="E933" s="56">
        <v>-3275000</v>
      </c>
      <c r="F933" t="s">
        <v>598</v>
      </c>
    </row>
    <row r="934" spans="1:6" x14ac:dyDescent="0.2">
      <c r="A934">
        <v>934</v>
      </c>
      <c r="B934" t="s">
        <v>586</v>
      </c>
      <c r="C934" t="str">
        <f>VLOOKUP(B934,'Master Anggota'!$E$2:$I$279,5,0)</f>
        <v>00579</v>
      </c>
      <c r="D934" s="108">
        <v>46227</v>
      </c>
      <c r="E934" s="56">
        <v>-767000</v>
      </c>
      <c r="F934" t="s">
        <v>598</v>
      </c>
    </row>
    <row r="935" spans="1:6" x14ac:dyDescent="0.2">
      <c r="A935">
        <v>935</v>
      </c>
      <c r="B935" t="s">
        <v>467</v>
      </c>
      <c r="C935" t="str">
        <f>VLOOKUP(B935,'Master Anggota'!$E$2:$I$279,5,0)</f>
        <v>00577</v>
      </c>
      <c r="D935" s="108">
        <v>46227</v>
      </c>
      <c r="E935" s="56">
        <v>-1603333</v>
      </c>
      <c r="F935" t="s">
        <v>598</v>
      </c>
    </row>
    <row r="936" spans="1:6" x14ac:dyDescent="0.2">
      <c r="A936">
        <v>936</v>
      </c>
      <c r="B936" t="s">
        <v>491</v>
      </c>
      <c r="C936" t="str">
        <f>VLOOKUP(B936,'Master Anggota'!$E$2:$I$279,5,0)</f>
        <v>01720</v>
      </c>
      <c r="D936" s="108">
        <v>46227</v>
      </c>
      <c r="E936" s="56">
        <v>-1020000</v>
      </c>
      <c r="F936" t="s">
        <v>598</v>
      </c>
    </row>
    <row r="937" spans="1:6" x14ac:dyDescent="0.2">
      <c r="A937">
        <v>937</v>
      </c>
      <c r="B937" t="s">
        <v>194</v>
      </c>
      <c r="C937" t="str">
        <f>VLOOKUP(B937,'Master Anggota'!$E$2:$I$279,5,0)</f>
        <v>00498</v>
      </c>
      <c r="D937" s="108">
        <v>46227</v>
      </c>
      <c r="E937" s="56">
        <v>-5920000</v>
      </c>
      <c r="F937" t="s">
        <v>598</v>
      </c>
    </row>
    <row r="938" spans="1:6" x14ac:dyDescent="0.2">
      <c r="A938">
        <v>938</v>
      </c>
      <c r="B938" t="s">
        <v>370</v>
      </c>
      <c r="C938" t="str">
        <f>VLOOKUP(B938,'Master Anggota'!$E$2:$I$279,5,0)</f>
        <v>00610</v>
      </c>
      <c r="D938" s="108">
        <v>46227</v>
      </c>
      <c r="E938" s="56">
        <v>-1866667</v>
      </c>
      <c r="F938" t="s">
        <v>598</v>
      </c>
    </row>
    <row r="939" spans="1:6" x14ac:dyDescent="0.2">
      <c r="A939">
        <v>939</v>
      </c>
      <c r="B939" t="s">
        <v>53</v>
      </c>
      <c r="C939" t="str">
        <f>VLOOKUP(B939,'Master Anggota'!$E$2:$I$279,5,0)</f>
        <v>00540</v>
      </c>
      <c r="D939" s="108">
        <v>46227</v>
      </c>
      <c r="E939" s="56">
        <v>-775000</v>
      </c>
      <c r="F939" t="s">
        <v>598</v>
      </c>
    </row>
    <row r="940" spans="1:6" x14ac:dyDescent="0.2">
      <c r="A940">
        <v>940</v>
      </c>
      <c r="B940" t="s">
        <v>198</v>
      </c>
      <c r="C940" t="str">
        <f>VLOOKUP(B940,'Master Anggota'!$E$2:$I$279,5,0)</f>
        <v>00327</v>
      </c>
      <c r="D940" s="108">
        <v>46227</v>
      </c>
      <c r="E940" s="56">
        <v>-6424608</v>
      </c>
      <c r="F940" t="s">
        <v>598</v>
      </c>
    </row>
    <row r="941" spans="1:6" x14ac:dyDescent="0.2">
      <c r="A941">
        <v>941</v>
      </c>
      <c r="B941" t="s">
        <v>65</v>
      </c>
      <c r="C941" t="str">
        <f>VLOOKUP(B941,'Master Anggota'!$E$2:$I$279,5,0)</f>
        <v>00490</v>
      </c>
      <c r="D941" s="108">
        <v>46227</v>
      </c>
      <c r="E941" s="56">
        <v>-2325000</v>
      </c>
      <c r="F941" t="s">
        <v>598</v>
      </c>
    </row>
    <row r="942" spans="1:6" x14ac:dyDescent="0.2">
      <c r="A942">
        <v>942</v>
      </c>
      <c r="B942" t="s">
        <v>200</v>
      </c>
      <c r="C942" t="str">
        <f>VLOOKUP(B942,'Master Anggota'!$E$2:$I$279,5,0)</f>
        <v>00520</v>
      </c>
      <c r="D942" s="108">
        <v>46227</v>
      </c>
      <c r="E942" s="56">
        <v>-1650000</v>
      </c>
      <c r="F942" t="s">
        <v>598</v>
      </c>
    </row>
    <row r="943" spans="1:6" x14ac:dyDescent="0.2">
      <c r="A943">
        <v>943</v>
      </c>
      <c r="B943" t="s">
        <v>439</v>
      </c>
      <c r="C943" t="str">
        <f>VLOOKUP(B943,'Master Anggota'!$E$2:$I$279,5,0)</f>
        <v>01730</v>
      </c>
      <c r="D943" s="108">
        <v>46227</v>
      </c>
      <c r="E943" s="56">
        <v>-660000</v>
      </c>
      <c r="F943" t="s">
        <v>598</v>
      </c>
    </row>
    <row r="944" spans="1:6" x14ac:dyDescent="0.2">
      <c r="A944">
        <v>944</v>
      </c>
      <c r="B944" t="s">
        <v>450</v>
      </c>
      <c r="C944" t="str">
        <f>VLOOKUP(B944,'Master Anggota'!$E$2:$I$279,5,0)</f>
        <v>01738</v>
      </c>
      <c r="D944" s="108">
        <v>46227</v>
      </c>
      <c r="E944" s="56">
        <v>-405000</v>
      </c>
      <c r="F944" t="s">
        <v>598</v>
      </c>
    </row>
    <row r="945" spans="1:6" x14ac:dyDescent="0.2">
      <c r="A945">
        <v>945</v>
      </c>
      <c r="B945" t="s">
        <v>182</v>
      </c>
      <c r="C945" t="str">
        <f>VLOOKUP(B945,'Master Anggota'!$E$2:$I$279,5,0)</f>
        <v>00565</v>
      </c>
      <c r="D945" s="108">
        <v>46227</v>
      </c>
      <c r="E945" s="56">
        <v>-3125000</v>
      </c>
      <c r="F945" t="s">
        <v>598</v>
      </c>
    </row>
    <row r="946" spans="1:6" x14ac:dyDescent="0.2">
      <c r="A946">
        <v>946</v>
      </c>
      <c r="B946" t="s">
        <v>175</v>
      </c>
      <c r="C946" t="str">
        <f>VLOOKUP(B946,'Master Anggota'!$E$2:$I$279,5,0)</f>
        <v>00563</v>
      </c>
      <c r="D946" s="108">
        <v>46227</v>
      </c>
      <c r="E946" s="56">
        <v>-2708333</v>
      </c>
      <c r="F946" t="s">
        <v>598</v>
      </c>
    </row>
    <row r="947" spans="1:6" x14ac:dyDescent="0.2">
      <c r="A947">
        <v>947</v>
      </c>
      <c r="B947" t="s">
        <v>202</v>
      </c>
      <c r="C947" t="str">
        <f>VLOOKUP(B947,'Master Anggota'!$E$2:$I$279,5,0)</f>
        <v>00512</v>
      </c>
      <c r="D947" s="108">
        <v>46227</v>
      </c>
      <c r="E947" s="56">
        <v>-1033333</v>
      </c>
      <c r="F947" t="s">
        <v>598</v>
      </c>
    </row>
    <row r="948" spans="1:6" x14ac:dyDescent="0.2">
      <c r="A948">
        <v>948</v>
      </c>
      <c r="B948" t="s">
        <v>300</v>
      </c>
      <c r="C948" t="str">
        <f>VLOOKUP(B948,'Master Anggota'!$E$2:$I$279,5,0)</f>
        <v>00585</v>
      </c>
      <c r="D948" s="108">
        <v>46227</v>
      </c>
      <c r="E948" s="56">
        <v>-600000</v>
      </c>
      <c r="F948" t="s">
        <v>598</v>
      </c>
    </row>
    <row r="949" spans="1:6" x14ac:dyDescent="0.2">
      <c r="A949">
        <v>949</v>
      </c>
      <c r="B949" t="s">
        <v>71</v>
      </c>
      <c r="C949" t="str">
        <f>VLOOKUP(B949,'Master Anggota'!$E$2:$I$279,5,0)</f>
        <v>00517</v>
      </c>
      <c r="D949" s="108">
        <v>46227</v>
      </c>
      <c r="E949" s="56">
        <v>-232500</v>
      </c>
      <c r="F949" t="s">
        <v>598</v>
      </c>
    </row>
    <row r="950" spans="1:6" x14ac:dyDescent="0.2">
      <c r="A950">
        <v>950</v>
      </c>
      <c r="B950" t="s">
        <v>79</v>
      </c>
      <c r="C950" t="str">
        <f>VLOOKUP(B950,'Master Anggota'!$E$2:$I$279,5,0)</f>
        <v>00541</v>
      </c>
      <c r="D950" s="108">
        <v>46227</v>
      </c>
      <c r="E950" s="56">
        <v>-4125000</v>
      </c>
      <c r="F950" t="s">
        <v>598</v>
      </c>
    </row>
    <row r="951" spans="1:6" x14ac:dyDescent="0.2">
      <c r="A951">
        <v>951</v>
      </c>
      <c r="B951" t="s">
        <v>81</v>
      </c>
      <c r="C951" t="str">
        <f>VLOOKUP(B951,'Master Anggota'!$E$2:$I$279,5,0)</f>
        <v>00537</v>
      </c>
      <c r="D951" s="108">
        <v>46227</v>
      </c>
      <c r="E951" s="56">
        <v>-2708333</v>
      </c>
      <c r="F951" t="s">
        <v>598</v>
      </c>
    </row>
    <row r="952" spans="1:6" x14ac:dyDescent="0.2">
      <c r="A952">
        <v>952</v>
      </c>
      <c r="B952" t="s">
        <v>364</v>
      </c>
      <c r="C952" t="str">
        <f>VLOOKUP(B952,'Master Anggota'!$E$2:$I$279,5,0)</f>
        <v>00578</v>
      </c>
      <c r="D952" s="108">
        <v>46227</v>
      </c>
      <c r="E952" s="56">
        <v>-981667</v>
      </c>
      <c r="F952" t="s">
        <v>598</v>
      </c>
    </row>
    <row r="953" spans="1:6" x14ac:dyDescent="0.2">
      <c r="A953">
        <v>953</v>
      </c>
      <c r="B953" t="s">
        <v>204</v>
      </c>
      <c r="C953" t="str">
        <f>VLOOKUP(B953,'Master Anggota'!$E$2:$I$279,5,0)</f>
        <v>00534</v>
      </c>
      <c r="D953" s="108">
        <v>46227</v>
      </c>
      <c r="E953" s="56">
        <v>-1858333</v>
      </c>
      <c r="F953" t="s">
        <v>598</v>
      </c>
    </row>
    <row r="954" spans="1:6" x14ac:dyDescent="0.2">
      <c r="A954">
        <v>954</v>
      </c>
      <c r="B954" t="s">
        <v>497</v>
      </c>
      <c r="C954" t="str">
        <f>VLOOKUP(B954,'Master Anggota'!$E$2:$I$279,5,0)</f>
        <v>01719</v>
      </c>
      <c r="D954" s="108">
        <v>46227</v>
      </c>
      <c r="E954" s="56">
        <v>-550000</v>
      </c>
      <c r="F954" t="s">
        <v>598</v>
      </c>
    </row>
    <row r="955" spans="1:6" x14ac:dyDescent="0.2">
      <c r="A955">
        <v>955</v>
      </c>
      <c r="B955" t="s">
        <v>85</v>
      </c>
      <c r="C955" t="str">
        <f>VLOOKUP(B955,'Master Anggota'!$E$2:$I$279,5,0)</f>
        <v>00547</v>
      </c>
      <c r="D955" s="108">
        <v>46227</v>
      </c>
      <c r="E955" s="56">
        <v>-3173333</v>
      </c>
      <c r="F955" t="s">
        <v>598</v>
      </c>
    </row>
    <row r="956" spans="1:6" x14ac:dyDescent="0.2">
      <c r="A956">
        <v>956</v>
      </c>
      <c r="B956" t="s">
        <v>206</v>
      </c>
      <c r="C956" t="str">
        <f>VLOOKUP(B956,'Master Anggota'!$E$2:$I$279,5,0)</f>
        <v>00525</v>
      </c>
      <c r="D956" s="108">
        <v>46227</v>
      </c>
      <c r="E956" s="56">
        <v>-3331667</v>
      </c>
      <c r="F956" t="s">
        <v>598</v>
      </c>
    </row>
    <row r="957" spans="1:6" x14ac:dyDescent="0.2">
      <c r="A957">
        <v>957</v>
      </c>
      <c r="B957" t="s">
        <v>499</v>
      </c>
      <c r="C957" t="str">
        <f>VLOOKUP(B957,'Master Anggota'!$E$2:$I$279,5,0)</f>
        <v>01775</v>
      </c>
      <c r="D957" s="108">
        <v>46227</v>
      </c>
      <c r="E957" s="56">
        <v>-540000</v>
      </c>
      <c r="F957" t="s">
        <v>598</v>
      </c>
    </row>
    <row r="958" spans="1:6" x14ac:dyDescent="0.2">
      <c r="A958">
        <v>958</v>
      </c>
      <c r="B958" t="s">
        <v>92</v>
      </c>
      <c r="C958" t="str">
        <f>VLOOKUP(B958,'Master Anggota'!$E$2:$I$279,5,0)</f>
        <v>00396</v>
      </c>
      <c r="D958" s="108">
        <v>46227</v>
      </c>
      <c r="E958" s="56">
        <v>-4475000</v>
      </c>
      <c r="F958" t="s">
        <v>598</v>
      </c>
    </row>
    <row r="959" spans="1:6" x14ac:dyDescent="0.2">
      <c r="A959">
        <v>959</v>
      </c>
      <c r="B959" t="s">
        <v>323</v>
      </c>
      <c r="C959" t="str">
        <f>VLOOKUP(B959,'Master Anggota'!$E$2:$I$279,5,0)</f>
        <v>01601</v>
      </c>
      <c r="D959" s="108">
        <v>46227</v>
      </c>
      <c r="E959" s="56">
        <v>-550000</v>
      </c>
      <c r="F959" t="s">
        <v>598</v>
      </c>
    </row>
    <row r="960" spans="1:6" x14ac:dyDescent="0.2">
      <c r="A960">
        <v>960</v>
      </c>
      <c r="B960" t="s">
        <v>94</v>
      </c>
      <c r="C960" t="str">
        <f>VLOOKUP(B960,'Master Anggota'!$E$2:$I$279,5,0)</f>
        <v>00387</v>
      </c>
      <c r="D960" s="108">
        <v>46227</v>
      </c>
      <c r="E960" s="56">
        <v>-1741112</v>
      </c>
      <c r="F960" t="s">
        <v>598</v>
      </c>
    </row>
    <row r="961" spans="1:6" x14ac:dyDescent="0.2">
      <c r="A961">
        <v>961</v>
      </c>
      <c r="B961" t="s">
        <v>96</v>
      </c>
      <c r="C961" t="str">
        <f>VLOOKUP(B961,'Master Anggota'!$E$2:$I$279,5,0)</f>
        <v>00508</v>
      </c>
      <c r="D961" s="108">
        <v>46227</v>
      </c>
      <c r="E961" s="56">
        <v>-2708333</v>
      </c>
      <c r="F961" t="s">
        <v>598</v>
      </c>
    </row>
    <row r="962" spans="1:6" x14ac:dyDescent="0.2">
      <c r="A962">
        <v>962</v>
      </c>
      <c r="B962" t="s">
        <v>304</v>
      </c>
      <c r="C962" t="str">
        <f>VLOOKUP(B962,'Master Anggota'!$E$2:$I$279,5,0)</f>
        <v>01541</v>
      </c>
      <c r="D962" s="108">
        <v>46227</v>
      </c>
      <c r="E962" s="56">
        <v>-1650000</v>
      </c>
      <c r="F962" t="s">
        <v>598</v>
      </c>
    </row>
    <row r="963" spans="1:6" x14ac:dyDescent="0.2">
      <c r="A963">
        <v>963</v>
      </c>
      <c r="B963" t="s">
        <v>295</v>
      </c>
      <c r="C963" t="str">
        <f>VLOOKUP(B963,'Master Anggota'!$E$2:$I$279,5,0)</f>
        <v>PHL</v>
      </c>
      <c r="D963" s="108">
        <v>46227</v>
      </c>
      <c r="E963" s="56">
        <v>-770000</v>
      </c>
      <c r="F963" t="s">
        <v>598</v>
      </c>
    </row>
    <row r="964" spans="1:6" x14ac:dyDescent="0.2">
      <c r="A964">
        <v>964</v>
      </c>
      <c r="B964" t="s">
        <v>481</v>
      </c>
      <c r="C964" t="str">
        <f>VLOOKUP(B964,'Master Anggota'!$E$2:$I$279,5,0)</f>
        <v>00371</v>
      </c>
      <c r="D964" s="108">
        <v>46227</v>
      </c>
      <c r="E964" s="56">
        <v>-3955000</v>
      </c>
      <c r="F964" t="s">
        <v>598</v>
      </c>
    </row>
    <row r="965" spans="1:6" x14ac:dyDescent="0.2">
      <c r="A965">
        <v>965</v>
      </c>
      <c r="B965" t="s">
        <v>480</v>
      </c>
      <c r="C965" t="str">
        <f>VLOOKUP(B965,'Master Anggota'!$E$2:$I$279,5,0)</f>
        <v>00351</v>
      </c>
      <c r="D965" s="108">
        <v>46227</v>
      </c>
      <c r="E965" s="56">
        <v>-2325000</v>
      </c>
      <c r="F965" t="s">
        <v>598</v>
      </c>
    </row>
    <row r="966" spans="1:6" x14ac:dyDescent="0.2">
      <c r="A966">
        <v>966</v>
      </c>
      <c r="B966" t="s">
        <v>289</v>
      </c>
      <c r="C966" t="str">
        <f>VLOOKUP(B966,'Master Anggota'!$E$2:$I$279,5,0)</f>
        <v>01511</v>
      </c>
      <c r="D966" s="108">
        <v>46227</v>
      </c>
      <c r="E966" s="56">
        <v>-1680000</v>
      </c>
      <c r="F966" t="s">
        <v>598</v>
      </c>
    </row>
    <row r="967" spans="1:6" x14ac:dyDescent="0.2">
      <c r="A967">
        <v>967</v>
      </c>
      <c r="B967" t="s">
        <v>223</v>
      </c>
      <c r="C967" t="str">
        <f>VLOOKUP(B967,'Master Anggota'!$E$2:$I$279,5,0)</f>
        <v>00514</v>
      </c>
      <c r="D967" s="108">
        <v>46227</v>
      </c>
      <c r="E967" s="56">
        <v>-933326</v>
      </c>
      <c r="F967" t="s">
        <v>598</v>
      </c>
    </row>
    <row r="968" spans="1:6" x14ac:dyDescent="0.2">
      <c r="A968">
        <v>968</v>
      </c>
      <c r="B968" t="s">
        <v>225</v>
      </c>
      <c r="C968" t="str">
        <f>VLOOKUP(B968,'Master Anggota'!$E$2:$I$279,5,0)</f>
        <v>00531</v>
      </c>
      <c r="D968" s="108">
        <v>46227</v>
      </c>
      <c r="E968" s="56">
        <v>-440000</v>
      </c>
      <c r="F968" t="s">
        <v>598</v>
      </c>
    </row>
    <row r="969" spans="1:6" x14ac:dyDescent="0.2">
      <c r="A969">
        <v>969</v>
      </c>
      <c r="B969" t="s">
        <v>483</v>
      </c>
      <c r="C969" t="str">
        <f>VLOOKUP(B969,'Master Anggota'!$E$2:$I$279,5,0)</f>
        <v>00368</v>
      </c>
      <c r="D969" s="108">
        <v>46227</v>
      </c>
      <c r="E969" s="56">
        <v>-3275000</v>
      </c>
      <c r="F969" t="s">
        <v>598</v>
      </c>
    </row>
    <row r="970" spans="1:6" x14ac:dyDescent="0.2">
      <c r="A970">
        <v>970</v>
      </c>
      <c r="B970" t="s">
        <v>176</v>
      </c>
      <c r="C970" t="str">
        <f>VLOOKUP(B970,'Master Anggota'!$E$2:$I$279,5,0)</f>
        <v>00568</v>
      </c>
      <c r="D970" s="108">
        <v>46227</v>
      </c>
      <c r="E970" s="56">
        <v>-1085000</v>
      </c>
      <c r="F970" t="s">
        <v>598</v>
      </c>
    </row>
    <row r="971" spans="1:6" x14ac:dyDescent="0.2">
      <c r="A971">
        <v>971</v>
      </c>
      <c r="B971" t="s">
        <v>368</v>
      </c>
      <c r="C971" t="str">
        <f>VLOOKUP(B971,'Master Anggota'!$E$2:$I$279,5,0)</f>
        <v>01703</v>
      </c>
      <c r="D971" s="108">
        <v>46227</v>
      </c>
      <c r="E971" s="56">
        <v>-530000</v>
      </c>
      <c r="F971" t="s">
        <v>598</v>
      </c>
    </row>
    <row r="972" spans="1:6" x14ac:dyDescent="0.2">
      <c r="A972">
        <v>972</v>
      </c>
      <c r="B972" t="s">
        <v>107</v>
      </c>
      <c r="C972" t="str">
        <f>VLOOKUP(B972,'Master Anggota'!$E$2:$I$279,5,0)</f>
        <v>00521</v>
      </c>
      <c r="D972" s="108">
        <v>46227</v>
      </c>
      <c r="E972" s="56">
        <v>-4791667</v>
      </c>
      <c r="F972" t="s">
        <v>598</v>
      </c>
    </row>
    <row r="973" spans="1:6" x14ac:dyDescent="0.2">
      <c r="A973">
        <v>973</v>
      </c>
      <c r="B973" t="s">
        <v>188</v>
      </c>
      <c r="C973" t="str">
        <f>VLOOKUP(B973,'Master Anggota'!$E$2:$I$279,5,0)</f>
        <v>00596</v>
      </c>
      <c r="D973" s="108">
        <v>46227</v>
      </c>
      <c r="E973" s="56">
        <v>-1033333</v>
      </c>
      <c r="F973" t="s">
        <v>598</v>
      </c>
    </row>
    <row r="974" spans="1:6" x14ac:dyDescent="0.2">
      <c r="A974">
        <v>974</v>
      </c>
      <c r="B974" t="s">
        <v>335</v>
      </c>
      <c r="C974" t="str">
        <f>VLOOKUP(B974,'Master Anggota'!$E$2:$I$279,5,0)</f>
        <v>00311</v>
      </c>
      <c r="D974" s="108">
        <v>46227</v>
      </c>
      <c r="E974" s="56">
        <v>-3958333</v>
      </c>
      <c r="F974" t="s">
        <v>598</v>
      </c>
    </row>
    <row r="975" spans="1:6" x14ac:dyDescent="0.2">
      <c r="A975">
        <v>975</v>
      </c>
      <c r="B975" t="s">
        <v>233</v>
      </c>
      <c r="C975" t="str">
        <f>VLOOKUP(B975,'Master Anggota'!$E$2:$I$279,5,0)</f>
        <v>00516</v>
      </c>
      <c r="D975" s="108">
        <v>46227</v>
      </c>
      <c r="E975" s="56">
        <v>-383333</v>
      </c>
      <c r="F975" t="s">
        <v>598</v>
      </c>
    </row>
    <row r="976" spans="1:6" x14ac:dyDescent="0.2">
      <c r="A976">
        <v>976</v>
      </c>
      <c r="B976" t="s">
        <v>235</v>
      </c>
      <c r="C976" t="str">
        <f>VLOOKUP(B976,'Master Anggota'!$E$2:$I$279,5,0)</f>
        <v>00523</v>
      </c>
      <c r="D976" s="108">
        <v>46227</v>
      </c>
      <c r="E976" s="56">
        <v>-2333333</v>
      </c>
      <c r="F976" t="s">
        <v>598</v>
      </c>
    </row>
    <row r="977" spans="1:6" x14ac:dyDescent="0.2">
      <c r="A977">
        <v>977</v>
      </c>
      <c r="B977" t="s">
        <v>239</v>
      </c>
      <c r="C977" t="str">
        <f>VLOOKUP(B977,'Master Anggota'!$E$2:$I$279,5,0)</f>
        <v>00513</v>
      </c>
      <c r="D977" s="108">
        <v>46227</v>
      </c>
      <c r="E977" s="56">
        <v>-2708333</v>
      </c>
      <c r="F977" t="s">
        <v>598</v>
      </c>
    </row>
    <row r="978" spans="1:6" x14ac:dyDescent="0.2">
      <c r="A978">
        <v>978</v>
      </c>
      <c r="B978" t="s">
        <v>421</v>
      </c>
      <c r="C978" t="str">
        <f>VLOOKUP(B978,'Master Anggota'!$E$2:$I$279,5,0)</f>
        <v>01560</v>
      </c>
      <c r="D978" s="108">
        <v>46227</v>
      </c>
      <c r="E978" s="56">
        <v>-165000</v>
      </c>
      <c r="F978" t="s">
        <v>598</v>
      </c>
    </row>
    <row r="979" spans="1:6" x14ac:dyDescent="0.2">
      <c r="A979">
        <v>979</v>
      </c>
      <c r="B979" t="s">
        <v>113</v>
      </c>
      <c r="C979" t="str">
        <f>VLOOKUP(B979,'Master Anggota'!$E$2:$I$279,5,0)</f>
        <v>00317</v>
      </c>
      <c r="D979" s="108">
        <v>46227</v>
      </c>
      <c r="E979" s="56">
        <v>-2900000</v>
      </c>
      <c r="F979" t="s">
        <v>598</v>
      </c>
    </row>
    <row r="980" spans="1:6" x14ac:dyDescent="0.2">
      <c r="A980">
        <v>980</v>
      </c>
      <c r="B980" t="s">
        <v>241</v>
      </c>
      <c r="C980" t="str">
        <f>VLOOKUP(B980,'Master Anggota'!$E$2:$I$279,5,0)</f>
        <v>00526</v>
      </c>
      <c r="D980" s="108">
        <v>46227</v>
      </c>
      <c r="E980" s="56">
        <v>-2708333</v>
      </c>
      <c r="F980" t="s">
        <v>598</v>
      </c>
    </row>
    <row r="981" spans="1:6" x14ac:dyDescent="0.2">
      <c r="A981">
        <v>981</v>
      </c>
      <c r="B981" t="s">
        <v>519</v>
      </c>
      <c r="C981" t="str">
        <f>VLOOKUP(B981,'Master Anggota'!$E$2:$I$279,5,0)</f>
        <v>00611</v>
      </c>
      <c r="D981" s="108">
        <v>46227</v>
      </c>
      <c r="E981" s="56">
        <v>-653333</v>
      </c>
      <c r="F981" t="s">
        <v>598</v>
      </c>
    </row>
    <row r="982" spans="1:6" x14ac:dyDescent="0.2">
      <c r="A982">
        <v>982</v>
      </c>
      <c r="B982" t="s">
        <v>115</v>
      </c>
      <c r="C982" t="str">
        <f>VLOOKUP(B982,'Master Anggota'!$E$2:$I$279,5,0)</f>
        <v>00497</v>
      </c>
      <c r="D982" s="108">
        <v>46227</v>
      </c>
      <c r="E982" s="56">
        <v>-1400000</v>
      </c>
      <c r="F982" t="s">
        <v>598</v>
      </c>
    </row>
    <row r="983" spans="1:6" x14ac:dyDescent="0.2">
      <c r="A983">
        <v>983</v>
      </c>
      <c r="B983" t="s">
        <v>243</v>
      </c>
      <c r="C983" t="str">
        <f>VLOOKUP(B983,'Master Anggota'!$E$2:$I$279,5,0)</f>
        <v>00530</v>
      </c>
      <c r="D983" s="108">
        <v>46227</v>
      </c>
      <c r="E983" s="56">
        <v>-3558333</v>
      </c>
      <c r="F983" t="s">
        <v>598</v>
      </c>
    </row>
    <row r="984" spans="1:6" x14ac:dyDescent="0.2">
      <c r="A984">
        <v>984</v>
      </c>
      <c r="B984" t="s">
        <v>492</v>
      </c>
      <c r="C984" t="str">
        <f>VLOOKUP(B984,'Master Anggota'!$E$2:$I$279,5,0)</f>
        <v>01728</v>
      </c>
      <c r="D984" s="108">
        <v>46227</v>
      </c>
      <c r="E984" s="56">
        <v>-1413333</v>
      </c>
      <c r="F984" t="s">
        <v>598</v>
      </c>
    </row>
    <row r="985" spans="1:6" x14ac:dyDescent="0.2">
      <c r="A985">
        <v>985</v>
      </c>
      <c r="B985" t="s">
        <v>308</v>
      </c>
      <c r="C985" t="str">
        <f>VLOOKUP(B985,'Master Anggota'!$E$2:$I$279,5,0)</f>
        <v>01604</v>
      </c>
      <c r="D985" s="108">
        <v>46227</v>
      </c>
      <c r="E985" s="56">
        <v>-1100000</v>
      </c>
      <c r="F985" t="s">
        <v>598</v>
      </c>
    </row>
    <row r="986" spans="1:6" x14ac:dyDescent="0.2">
      <c r="A986">
        <v>986</v>
      </c>
      <c r="B986" t="s">
        <v>245</v>
      </c>
      <c r="C986" t="str">
        <f>VLOOKUP(B986,'Master Anggota'!$E$2:$I$279,5,0)</f>
        <v>00532</v>
      </c>
      <c r="D986" s="108">
        <v>46227</v>
      </c>
      <c r="E986" s="56">
        <v>-3826111</v>
      </c>
      <c r="F986" t="s">
        <v>598</v>
      </c>
    </row>
    <row r="987" spans="1:6" x14ac:dyDescent="0.2">
      <c r="A987">
        <v>987</v>
      </c>
      <c r="B987" t="s">
        <v>341</v>
      </c>
      <c r="C987" t="str">
        <f>VLOOKUP(B987,'Master Anggota'!$E$2:$I$279,5,0)</f>
        <v>00339</v>
      </c>
      <c r="D987" s="108">
        <v>46227</v>
      </c>
      <c r="E987" s="56">
        <v>-2325000</v>
      </c>
      <c r="F987" t="s">
        <v>598</v>
      </c>
    </row>
    <row r="988" spans="1:6" x14ac:dyDescent="0.2">
      <c r="A988">
        <v>988</v>
      </c>
      <c r="B988" t="s">
        <v>495</v>
      </c>
      <c r="C988" t="str">
        <f>VLOOKUP(B988,'Master Anggota'!$E$2:$I$279,5,0)</f>
        <v>01754</v>
      </c>
      <c r="D988" s="108">
        <v>46227</v>
      </c>
      <c r="E988" s="56">
        <v>-1100000</v>
      </c>
      <c r="F988" t="s">
        <v>598</v>
      </c>
    </row>
    <row r="989" spans="1:6" x14ac:dyDescent="0.2">
      <c r="A989">
        <v>989</v>
      </c>
      <c r="B989" t="s">
        <v>177</v>
      </c>
      <c r="C989" t="str">
        <f>VLOOKUP(B989,'Master Anggota'!$E$2:$I$279,5,0)</f>
        <v>00569</v>
      </c>
      <c r="D989" s="108">
        <v>46227</v>
      </c>
      <c r="E989" s="56">
        <v>-3161667</v>
      </c>
      <c r="F989" t="s">
        <v>598</v>
      </c>
    </row>
    <row r="990" spans="1:6" x14ac:dyDescent="0.2">
      <c r="A990">
        <v>990</v>
      </c>
      <c r="B990" t="s">
        <v>173</v>
      </c>
      <c r="C990" t="str">
        <f>VLOOKUP(B990,'Master Anggota'!$E$2:$I$279,5,0)</f>
        <v>00583</v>
      </c>
      <c r="D990" s="108">
        <v>46227</v>
      </c>
      <c r="E990" s="56">
        <v>-1120000</v>
      </c>
      <c r="F990" t="s">
        <v>598</v>
      </c>
    </row>
    <row r="991" spans="1:6" x14ac:dyDescent="0.2">
      <c r="A991">
        <v>991</v>
      </c>
      <c r="B991" t="s">
        <v>248</v>
      </c>
      <c r="C991" t="str">
        <f>VLOOKUP(B991,'Master Anggota'!$E$2:$I$279,5,0)</f>
        <v>00302</v>
      </c>
      <c r="D991" s="108">
        <v>46227</v>
      </c>
      <c r="E991" s="56">
        <v>-3841667</v>
      </c>
      <c r="F991" t="s">
        <v>598</v>
      </c>
    </row>
    <row r="992" spans="1:6" x14ac:dyDescent="0.2">
      <c r="A992">
        <v>992</v>
      </c>
      <c r="B992" t="s">
        <v>278</v>
      </c>
      <c r="C992" t="str">
        <f>VLOOKUP(B992,'Master Anggota'!$E$2:$I$279,5,0)</f>
        <v>PHL</v>
      </c>
      <c r="D992" s="108">
        <v>46227</v>
      </c>
      <c r="E992" s="56">
        <v>-1650000</v>
      </c>
      <c r="F992" t="s">
        <v>598</v>
      </c>
    </row>
    <row r="993" spans="1:6" x14ac:dyDescent="0.2">
      <c r="A993">
        <v>993</v>
      </c>
      <c r="B993" t="s">
        <v>252</v>
      </c>
      <c r="C993" t="str">
        <f>VLOOKUP(B993,'Master Anggota'!$E$2:$I$279,5,0)</f>
        <v>00524</v>
      </c>
      <c r="D993" s="108">
        <v>46227</v>
      </c>
      <c r="E993" s="56">
        <v>-3841667</v>
      </c>
      <c r="F993" t="s">
        <v>598</v>
      </c>
    </row>
    <row r="994" spans="1:6" x14ac:dyDescent="0.2">
      <c r="A994">
        <v>994</v>
      </c>
      <c r="B994" t="s">
        <v>157</v>
      </c>
      <c r="C994" t="str">
        <f>VLOOKUP(B994,'Master Anggota'!$E$2:$I$279,5,0)</f>
        <v>00633</v>
      </c>
      <c r="D994" s="108">
        <v>46227</v>
      </c>
      <c r="E994" s="56">
        <v>-1916667</v>
      </c>
      <c r="F994" t="s">
        <v>598</v>
      </c>
    </row>
    <row r="995" spans="1:6" x14ac:dyDescent="0.2">
      <c r="A995">
        <v>995</v>
      </c>
      <c r="B995" t="s">
        <v>129</v>
      </c>
      <c r="C995" t="str">
        <f>VLOOKUP(B995,'Master Anggota'!$E$2:$I$279,5,0)</f>
        <v>00343</v>
      </c>
      <c r="D995" s="108">
        <v>46227</v>
      </c>
      <c r="E995" s="56">
        <v>-3105000</v>
      </c>
      <c r="F995" t="s">
        <v>598</v>
      </c>
    </row>
    <row r="996" spans="1:6" x14ac:dyDescent="0.2">
      <c r="A996">
        <v>996</v>
      </c>
      <c r="B996" t="s">
        <v>311</v>
      </c>
      <c r="C996" t="str">
        <f>VLOOKUP(B996,'Master Anggota'!$E$2:$I$279,5,0)</f>
        <v>01602</v>
      </c>
      <c r="D996" s="108">
        <v>46227</v>
      </c>
      <c r="E996" s="56">
        <v>-883333</v>
      </c>
      <c r="F996" t="s">
        <v>598</v>
      </c>
    </row>
    <row r="997" spans="1:6" x14ac:dyDescent="0.2">
      <c r="A997">
        <v>997</v>
      </c>
      <c r="B997" t="s">
        <v>135</v>
      </c>
      <c r="C997" t="str">
        <f>VLOOKUP(B997,'Master Anggota'!$E$2:$I$279,5,0)</f>
        <v>00293</v>
      </c>
      <c r="D997" s="108">
        <v>46227</v>
      </c>
      <c r="E997" s="56">
        <v>-3808333</v>
      </c>
      <c r="F997" t="s">
        <v>598</v>
      </c>
    </row>
    <row r="998" spans="1:6" x14ac:dyDescent="0.2">
      <c r="A998">
        <v>998</v>
      </c>
      <c r="B998" t="s">
        <v>258</v>
      </c>
      <c r="C998" t="str">
        <f>VLOOKUP(B998,'Master Anggota'!$E$2:$I$279,5,0)</f>
        <v>00390</v>
      </c>
      <c r="D998" s="108">
        <v>46227</v>
      </c>
      <c r="E998" s="56">
        <v>-1866663</v>
      </c>
      <c r="F998" t="s">
        <v>598</v>
      </c>
    </row>
    <row r="999" spans="1:6" x14ac:dyDescent="0.2">
      <c r="A999">
        <v>999</v>
      </c>
      <c r="B999" t="s">
        <v>310</v>
      </c>
      <c r="C999" t="str">
        <f>VLOOKUP(B999,'Master Anggota'!$E$2:$I$279,5,0)</f>
        <v>01543</v>
      </c>
      <c r="D999" s="108">
        <v>46227</v>
      </c>
      <c r="E999" s="56">
        <v>-280000</v>
      </c>
      <c r="F999" t="s">
        <v>598</v>
      </c>
    </row>
    <row r="1000" spans="1:6" x14ac:dyDescent="0.2">
      <c r="A1000">
        <v>1000</v>
      </c>
      <c r="B1000" t="s">
        <v>521</v>
      </c>
      <c r="C1000" t="str">
        <f>VLOOKUP(B1000,'Master Anggota'!$E$2:$I$279,5,0)</f>
        <v>00376</v>
      </c>
      <c r="D1000" s="108">
        <v>46227</v>
      </c>
      <c r="E1000" s="56">
        <v>-3558333</v>
      </c>
      <c r="F1000" t="s">
        <v>598</v>
      </c>
    </row>
    <row r="1001" spans="1:6" x14ac:dyDescent="0.2">
      <c r="A1001">
        <v>1001</v>
      </c>
      <c r="B1001" t="s">
        <v>270</v>
      </c>
      <c r="C1001" t="str">
        <f>VLOOKUP(B1001,'Master Anggota'!$E$2:$I$279,5,0)</f>
        <v>00509</v>
      </c>
      <c r="D1001" s="108">
        <v>46227</v>
      </c>
      <c r="E1001" s="56">
        <v>-653333</v>
      </c>
      <c r="F1001" t="s">
        <v>598</v>
      </c>
    </row>
    <row r="1002" spans="1:6" x14ac:dyDescent="0.2">
      <c r="A1002">
        <v>1002</v>
      </c>
      <c r="B1002" t="s">
        <v>274</v>
      </c>
      <c r="C1002" t="str">
        <f>VLOOKUP(B1002,'Master Anggota'!$E$2:$I$279,5,0)</f>
        <v>00515</v>
      </c>
      <c r="D1002" s="108">
        <v>46227</v>
      </c>
      <c r="E1002" s="56">
        <v>-1825000</v>
      </c>
      <c r="F1002" t="s">
        <v>598</v>
      </c>
    </row>
    <row r="1003" spans="1:6" x14ac:dyDescent="0.2">
      <c r="A1003">
        <v>1003</v>
      </c>
      <c r="B1003" t="s">
        <v>276</v>
      </c>
      <c r="C1003" t="str">
        <f>VLOOKUP(B1003,'Master Anggota'!$E$2:$I$279,5,0)</f>
        <v>00558</v>
      </c>
      <c r="D1003" s="108">
        <v>46227</v>
      </c>
      <c r="E1003" s="56">
        <v>-1341667</v>
      </c>
      <c r="F1003" t="s">
        <v>598</v>
      </c>
    </row>
    <row r="1004" spans="1:6" x14ac:dyDescent="0.2">
      <c r="A1004">
        <v>1004</v>
      </c>
      <c r="B1004" t="s">
        <v>277</v>
      </c>
      <c r="C1004" t="str">
        <f>VLOOKUP(B1004,'Master Anggota'!$E$2:$I$279,5,0)</f>
        <v>00564</v>
      </c>
      <c r="D1004" s="108">
        <v>46227</v>
      </c>
      <c r="E1004" s="56">
        <v>-1291667</v>
      </c>
      <c r="F1004" t="s">
        <v>598</v>
      </c>
    </row>
    <row r="1005" spans="1:6" x14ac:dyDescent="0.2">
      <c r="A1005">
        <v>1005</v>
      </c>
      <c r="B1005" t="s">
        <v>147</v>
      </c>
      <c r="C1005" t="str">
        <f>VLOOKUP(B1005,'Master Anggota'!$E$2:$I$279,5,0)</f>
        <v>00527</v>
      </c>
      <c r="D1005" s="108">
        <v>46227</v>
      </c>
      <c r="E1005" s="56">
        <v>-2425000</v>
      </c>
      <c r="F1005" t="s">
        <v>598</v>
      </c>
    </row>
    <row r="1006" spans="1:6" x14ac:dyDescent="0.2">
      <c r="A1006">
        <v>1006</v>
      </c>
      <c r="B1006" t="s">
        <v>324</v>
      </c>
      <c r="C1006" t="str">
        <f>VLOOKUP(B1006,'Master Anggota'!$E$2:$I$279,5,0)</f>
        <v>00626</v>
      </c>
      <c r="D1006" s="108">
        <v>46227</v>
      </c>
      <c r="E1006" s="56">
        <v>-1801667</v>
      </c>
      <c r="F1006" t="s">
        <v>598</v>
      </c>
    </row>
    <row r="1007" spans="1:6" x14ac:dyDescent="0.2">
      <c r="A1007">
        <v>1007</v>
      </c>
      <c r="B1007" t="s">
        <v>151</v>
      </c>
      <c r="C1007" t="str">
        <f>VLOOKUP(B1007,'Master Anggota'!$E$2:$I$279,5,0)</f>
        <v>00362</v>
      </c>
      <c r="D1007" s="108">
        <v>46227</v>
      </c>
      <c r="E1007" s="56">
        <v>-3316667</v>
      </c>
      <c r="F1007" t="s">
        <v>598</v>
      </c>
    </row>
    <row r="1008" spans="1:6" x14ac:dyDescent="0.2">
      <c r="A1008">
        <v>1008</v>
      </c>
      <c r="B1008" t="s">
        <v>539</v>
      </c>
      <c r="C1008" t="str">
        <f>VLOOKUP(B1008,'Master Anggota'!$E$2:$I$279,5,0)</f>
        <v>01800</v>
      </c>
      <c r="D1008" s="108">
        <v>46227</v>
      </c>
      <c r="E1008" s="56">
        <v>-220000</v>
      </c>
      <c r="F1008" t="s">
        <v>598</v>
      </c>
    </row>
    <row r="1009" spans="1:11" x14ac:dyDescent="0.2">
      <c r="A1009">
        <v>1009</v>
      </c>
      <c r="B1009" t="s">
        <v>153</v>
      </c>
      <c r="C1009" t="str">
        <f>VLOOKUP(B1009,'Master Anggota'!$E$2:$I$279,5,0)</f>
        <v>00548</v>
      </c>
      <c r="D1009" s="108">
        <v>46227</v>
      </c>
      <c r="E1009" s="56">
        <v>-1348333</v>
      </c>
      <c r="F1009" t="s">
        <v>598</v>
      </c>
    </row>
    <row r="1010" spans="1:11" x14ac:dyDescent="0.2">
      <c r="A1010">
        <v>1010</v>
      </c>
      <c r="B1010" t="s">
        <v>326</v>
      </c>
      <c r="C1010" t="str">
        <f>VLOOKUP(B1010,'Master Anggota'!$E$2:$I$279,5,0)</f>
        <v>00608</v>
      </c>
      <c r="D1010" s="108">
        <v>46227</v>
      </c>
      <c r="E1010" s="56">
        <v>-671667</v>
      </c>
      <c r="F1010" t="s">
        <v>598</v>
      </c>
    </row>
    <row r="1011" spans="1:11" x14ac:dyDescent="0.2">
      <c r="A1011">
        <v>1011</v>
      </c>
      <c r="B1011" t="s">
        <v>448</v>
      </c>
      <c r="C1011" t="str">
        <f>VLOOKUP(B1011,'Master Anggota'!$E$2:$I$279,5,0)</f>
        <v>01737</v>
      </c>
      <c r="D1011" s="108">
        <v>46227</v>
      </c>
      <c r="E1011" s="56">
        <v>-540000</v>
      </c>
      <c r="F1011" t="s">
        <v>598</v>
      </c>
    </row>
    <row r="1012" spans="1:11" x14ac:dyDescent="0.2">
      <c r="A1012">
        <v>1012</v>
      </c>
      <c r="B1012" t="s">
        <v>155</v>
      </c>
      <c r="C1012" t="str">
        <f>VLOOKUP(B1012,'Master Anggota'!$E$2:$I$279,5,0)</f>
        <v>00499</v>
      </c>
      <c r="D1012" s="108">
        <v>46227</v>
      </c>
      <c r="E1012" s="56">
        <v>-1303846</v>
      </c>
      <c r="F1012" t="s">
        <v>598</v>
      </c>
    </row>
    <row r="1013" spans="1:11" x14ac:dyDescent="0.2">
      <c r="B1013" t="s">
        <v>358</v>
      </c>
      <c r="C1013" t="str">
        <f>VLOOKUP(B1013,'Master Anggota'!$E$2:$I$279,5,0)</f>
        <v>01530</v>
      </c>
      <c r="D1013" s="108">
        <v>46226</v>
      </c>
      <c r="E1013" s="82">
        <v>3520000</v>
      </c>
      <c r="F1013" t="s">
        <v>598</v>
      </c>
      <c r="H1013" t="s">
        <v>725</v>
      </c>
      <c r="K1013" s="82"/>
    </row>
    <row r="1014" spans="1:11" x14ac:dyDescent="0.2">
      <c r="B1014" t="s">
        <v>258</v>
      </c>
      <c r="C1014" t="str">
        <f>VLOOKUP(B1014,'Master Anggota'!$E$2:$I$279,5,0)</f>
        <v>00390</v>
      </c>
      <c r="D1014" s="108">
        <v>46233</v>
      </c>
      <c r="E1014" s="56">
        <v>25000000</v>
      </c>
      <c r="F1014" t="s">
        <v>617</v>
      </c>
      <c r="H1014" t="s">
        <v>729</v>
      </c>
      <c r="I1014" s="111">
        <v>45925</v>
      </c>
      <c r="J1014" s="111">
        <v>46624</v>
      </c>
      <c r="K1014" s="56">
        <v>2333334</v>
      </c>
    </row>
    <row r="1015" spans="1:11" x14ac:dyDescent="0.2">
      <c r="B1015" t="s">
        <v>258</v>
      </c>
      <c r="C1015" t="str">
        <f>VLOOKUP(B1015,'Master Anggota'!$E$2:$I$279,5,0)</f>
        <v>00390</v>
      </c>
      <c r="D1015" s="108">
        <v>46233</v>
      </c>
      <c r="E1015" s="56">
        <v>3000000</v>
      </c>
      <c r="F1015" t="s">
        <v>616</v>
      </c>
    </row>
    <row r="1016" spans="1:11" x14ac:dyDescent="0.2">
      <c r="B1016" s="127" t="s">
        <v>327</v>
      </c>
      <c r="C1016" t="str">
        <f>VLOOKUP(B1016,'Master Anggota'!$E$2:$I$279,5,0)</f>
        <v>01665</v>
      </c>
      <c r="D1016" s="108">
        <v>46233</v>
      </c>
      <c r="E1016" s="82">
        <v>5000000</v>
      </c>
      <c r="F1016" s="60" t="s">
        <v>617</v>
      </c>
      <c r="H1016" t="s">
        <v>730</v>
      </c>
      <c r="I1016" s="111">
        <v>46290</v>
      </c>
      <c r="J1016" s="111">
        <v>46502</v>
      </c>
      <c r="K1016" s="82">
        <v>675000</v>
      </c>
    </row>
    <row r="1017" spans="1:11" x14ac:dyDescent="0.2">
      <c r="B1017" t="s">
        <v>327</v>
      </c>
      <c r="C1017" t="str">
        <f>VLOOKUP(B1017,'Master Anggota'!$E$2:$I$279,5,0)</f>
        <v>01665</v>
      </c>
      <c r="D1017" s="108">
        <v>46233</v>
      </c>
      <c r="E1017" s="82">
        <v>400000</v>
      </c>
      <c r="F1017" t="s">
        <v>616</v>
      </c>
      <c r="K1017" s="82"/>
    </row>
    <row r="1018" spans="1:11" x14ac:dyDescent="0.2">
      <c r="B1018" s="127" t="s">
        <v>83</v>
      </c>
      <c r="C1018" t="str">
        <f>VLOOKUP(B1018,'Master Anggota'!$E$2:$I$279,5,0)</f>
        <v>00322</v>
      </c>
      <c r="D1018" s="108">
        <v>46230</v>
      </c>
      <c r="E1018" s="82">
        <v>5000000</v>
      </c>
      <c r="F1018" t="s">
        <v>617</v>
      </c>
      <c r="H1018" t="s">
        <v>735</v>
      </c>
      <c r="I1018" s="111">
        <v>46290</v>
      </c>
      <c r="J1018" s="111">
        <v>46351</v>
      </c>
      <c r="K1018" s="82">
        <v>1716667</v>
      </c>
    </row>
    <row r="1019" spans="1:11" x14ac:dyDescent="0.2">
      <c r="B1019" t="s">
        <v>83</v>
      </c>
      <c r="C1019" t="str">
        <f>VLOOKUP(B1019,'Master Anggota'!$E$2:$I$279,5,0)</f>
        <v>00322</v>
      </c>
      <c r="D1019" s="108">
        <v>46230</v>
      </c>
      <c r="E1019" s="82">
        <v>150000</v>
      </c>
      <c r="F1019" t="s">
        <v>616</v>
      </c>
      <c r="K1019" s="82"/>
    </row>
    <row r="1020" spans="1:11" x14ac:dyDescent="0.2">
      <c r="B1020" s="127" t="s">
        <v>135</v>
      </c>
      <c r="C1020" t="str">
        <f>VLOOKUP(B1020,'Master Anggota'!$E$2:$I$279,5,0)</f>
        <v>00293</v>
      </c>
      <c r="D1020" s="108">
        <v>46230</v>
      </c>
      <c r="E1020" s="82">
        <v>60000000</v>
      </c>
      <c r="F1020" t="s">
        <v>617</v>
      </c>
      <c r="H1020" t="s">
        <v>738</v>
      </c>
      <c r="I1020" s="111" t="s">
        <v>630</v>
      </c>
      <c r="J1020" s="111" t="s">
        <v>630</v>
      </c>
      <c r="K1020" s="82">
        <v>65400000</v>
      </c>
    </row>
    <row r="1021" spans="1:11" x14ac:dyDescent="0.2">
      <c r="B1021" t="s">
        <v>135</v>
      </c>
      <c r="C1021" t="str">
        <f>VLOOKUP(B1021,'Master Anggota'!$E$2:$I$279,5,0)</f>
        <v>00293</v>
      </c>
      <c r="D1021" s="108">
        <v>46230</v>
      </c>
      <c r="E1021" s="82">
        <v>5400000</v>
      </c>
      <c r="F1021" t="s">
        <v>616</v>
      </c>
      <c r="K1021" s="82"/>
    </row>
    <row r="1022" spans="1:11" x14ac:dyDescent="0.2">
      <c r="B1022" t="s">
        <v>563</v>
      </c>
      <c r="C1022" t="str">
        <f>VLOOKUP(B1022,'Master Anggota'!$E$2:$I$279,5,0)</f>
        <v>PHL KJP</v>
      </c>
      <c r="D1022" s="108">
        <v>46198</v>
      </c>
      <c r="E1022" s="82">
        <v>-200000</v>
      </c>
      <c r="F1022" t="s">
        <v>598</v>
      </c>
    </row>
    <row r="1023" spans="1:11" x14ac:dyDescent="0.2">
      <c r="B1023" s="127" t="s">
        <v>548</v>
      </c>
      <c r="C1023" t="str">
        <f>VLOOKUP(B1023,'Master Anggota'!$E$2:$I$279,5,0)</f>
        <v>PHL Distribusi</v>
      </c>
      <c r="D1023" s="108">
        <v>46234</v>
      </c>
      <c r="E1023" s="82">
        <v>10000000</v>
      </c>
      <c r="F1023" t="s">
        <v>617</v>
      </c>
      <c r="H1023" t="s">
        <v>733</v>
      </c>
      <c r="I1023" s="111">
        <v>46290</v>
      </c>
      <c r="J1023" s="111">
        <v>46624</v>
      </c>
      <c r="K1023" s="82">
        <v>933333</v>
      </c>
    </row>
    <row r="1024" spans="1:11" x14ac:dyDescent="0.2">
      <c r="B1024" t="s">
        <v>548</v>
      </c>
      <c r="C1024" t="str">
        <f>VLOOKUP(B1024,'Master Anggota'!$E$2:$I$279,5,0)</f>
        <v>PHL Distribusi</v>
      </c>
      <c r="D1024" s="108">
        <v>46234</v>
      </c>
      <c r="E1024" s="82">
        <v>1200000</v>
      </c>
      <c r="F1024" t="s">
        <v>616</v>
      </c>
      <c r="K1024" s="82"/>
    </row>
    <row r="1025" spans="2:11" x14ac:dyDescent="0.2">
      <c r="B1025" s="127" t="s">
        <v>335</v>
      </c>
      <c r="C1025" t="str">
        <f>VLOOKUP(B1025,'Master Anggota'!$E$2:$I$279,5,0)</f>
        <v>00311</v>
      </c>
      <c r="D1025" s="108">
        <v>46238</v>
      </c>
      <c r="E1025" s="82">
        <v>60000000</v>
      </c>
      <c r="F1025" t="s">
        <v>617</v>
      </c>
      <c r="H1025" t="s">
        <v>741</v>
      </c>
      <c r="I1025" s="111">
        <v>46290</v>
      </c>
      <c r="J1025" s="111">
        <v>46716</v>
      </c>
      <c r="K1025" s="82">
        <v>4775000</v>
      </c>
    </row>
    <row r="1026" spans="2:11" x14ac:dyDescent="0.2">
      <c r="B1026" t="s">
        <v>335</v>
      </c>
      <c r="C1026" t="str">
        <f>VLOOKUP(B1026,'Master Anggota'!$E$2:$I$279,5,0)</f>
        <v>00311</v>
      </c>
      <c r="D1026" s="108">
        <v>46238</v>
      </c>
      <c r="E1026" s="82">
        <v>11625000</v>
      </c>
      <c r="F1026" t="s">
        <v>616</v>
      </c>
      <c r="K1026" s="82"/>
    </row>
    <row r="1027" spans="2:11" x14ac:dyDescent="0.2">
      <c r="B1027" s="127" t="s">
        <v>522</v>
      </c>
      <c r="C1027" t="str">
        <f>VLOOKUP(B1027,'Master Anggota'!$E$2:$I$279,5,0)</f>
        <v>00533</v>
      </c>
      <c r="D1027" s="108">
        <v>46237</v>
      </c>
      <c r="E1027" s="56">
        <v>3275000</v>
      </c>
      <c r="F1027" t="s">
        <v>598</v>
      </c>
      <c r="H1027" t="s">
        <v>734</v>
      </c>
    </row>
    <row r="1028" spans="2:11" x14ac:dyDescent="0.2">
      <c r="B1028" s="127" t="s">
        <v>153</v>
      </c>
      <c r="C1028" t="str">
        <f>VLOOKUP(B1028,'Master Anggota'!$E$2:$I$279,5,0)</f>
        <v>00548</v>
      </c>
      <c r="D1028" s="108">
        <v>46247</v>
      </c>
      <c r="E1028" s="82">
        <v>25000000</v>
      </c>
      <c r="F1028" t="s">
        <v>617</v>
      </c>
      <c r="H1028" t="s">
        <v>740</v>
      </c>
      <c r="I1028" s="111">
        <v>46290</v>
      </c>
      <c r="J1028" s="111">
        <v>46990</v>
      </c>
      <c r="K1028" s="82">
        <v>1291667</v>
      </c>
    </row>
    <row r="1029" spans="2:11" x14ac:dyDescent="0.2">
      <c r="B1029" t="s">
        <v>153</v>
      </c>
      <c r="C1029" t="str">
        <f>VLOOKUP(B1029,'Master Anggota'!$E$2:$I$279,5,0)</f>
        <v>00548</v>
      </c>
      <c r="D1029" s="108">
        <v>46247</v>
      </c>
      <c r="E1029" s="82">
        <v>6000000</v>
      </c>
      <c r="F1029" t="s">
        <v>616</v>
      </c>
      <c r="K1029" s="82"/>
    </row>
    <row r="1030" spans="2:11" x14ac:dyDescent="0.2">
      <c r="B1030" t="s">
        <v>153</v>
      </c>
      <c r="C1030" t="str">
        <f>VLOOKUP(B1030,'Master Anggota'!$E$2:$I$279,5,0)</f>
        <v>00548</v>
      </c>
      <c r="D1030" s="108">
        <v>46247</v>
      </c>
      <c r="E1030" s="82">
        <v>-17528337</v>
      </c>
      <c r="F1030" t="s">
        <v>598</v>
      </c>
      <c r="K1030" s="82"/>
    </row>
    <row r="1031" spans="2:11" x14ac:dyDescent="0.2">
      <c r="B1031" s="127" t="s">
        <v>277</v>
      </c>
      <c r="C1031" t="str">
        <f>VLOOKUP(B1031,'Master Anggota'!$E$2:$I$279,5,0)</f>
        <v>00564</v>
      </c>
      <c r="D1031" s="108">
        <v>46245</v>
      </c>
      <c r="E1031" s="82">
        <v>20000000</v>
      </c>
      <c r="F1031" t="s">
        <v>617</v>
      </c>
      <c r="H1031" t="s">
        <v>683</v>
      </c>
      <c r="I1031" s="111">
        <v>46290</v>
      </c>
      <c r="J1031" s="111">
        <v>46990</v>
      </c>
      <c r="K1031" s="82">
        <v>1033333</v>
      </c>
    </row>
    <row r="1032" spans="2:11" x14ac:dyDescent="0.2">
      <c r="B1032" t="s">
        <v>277</v>
      </c>
      <c r="C1032" t="str">
        <f>VLOOKUP(B1032,'Master Anggota'!$E$2:$I$279,5,0)</f>
        <v>00564</v>
      </c>
      <c r="D1032" s="108">
        <v>46245</v>
      </c>
      <c r="E1032" s="82">
        <v>4800000</v>
      </c>
      <c r="F1032" t="s">
        <v>616</v>
      </c>
      <c r="K1032" s="82"/>
    </row>
    <row r="1033" spans="2:11" x14ac:dyDescent="0.2">
      <c r="B1033" t="s">
        <v>277</v>
      </c>
      <c r="C1033" t="str">
        <f>VLOOKUP(B1033,'Master Anggota'!$E$2:$I$279,5,0)</f>
        <v>00564</v>
      </c>
      <c r="D1033" s="108">
        <v>46245</v>
      </c>
      <c r="E1033" s="82">
        <v>-16791663</v>
      </c>
      <c r="F1033" t="s">
        <v>598</v>
      </c>
      <c r="K1033" s="82"/>
    </row>
    <row r="1034" spans="2:11" s="62" customFormat="1" x14ac:dyDescent="0.2">
      <c r="B1034" s="62" t="s">
        <v>425</v>
      </c>
      <c r="C1034" s="62" t="str">
        <f>VLOOKUP(B1034,'Master Anggota'!$E$2:$I$279,5,0)</f>
        <v>00629</v>
      </c>
      <c r="D1034" s="119">
        <v>46245</v>
      </c>
      <c r="E1034" s="109">
        <v>8000000</v>
      </c>
      <c r="H1034" s="62" t="s">
        <v>736</v>
      </c>
      <c r="I1034" s="116"/>
      <c r="J1034" s="116"/>
      <c r="K1034" s="109"/>
    </row>
    <row r="1035" spans="2:11" s="62" customFormat="1" x14ac:dyDescent="0.2">
      <c r="B1035" s="62" t="s">
        <v>425</v>
      </c>
      <c r="C1035" s="62" t="str">
        <f>VLOOKUP(B1035,'Master Anggota'!$E$2:$I$279,5,0)</f>
        <v>00629</v>
      </c>
      <c r="D1035" s="119">
        <v>46245</v>
      </c>
      <c r="E1035" s="109"/>
      <c r="I1035" s="116"/>
      <c r="J1035" s="116"/>
      <c r="K1035" s="109"/>
    </row>
    <row r="1036" spans="2:11" x14ac:dyDescent="0.2">
      <c r="B1036" s="127" t="s">
        <v>295</v>
      </c>
      <c r="C1036" t="str">
        <f>VLOOKUP(B1036,'Master Anggota'!$E$2:$I$279,5,0)</f>
        <v>PHL</v>
      </c>
      <c r="D1036" s="108">
        <v>46245</v>
      </c>
      <c r="E1036" s="82">
        <v>5000000</v>
      </c>
      <c r="F1036" t="s">
        <v>617</v>
      </c>
      <c r="H1036" t="s">
        <v>742</v>
      </c>
      <c r="I1036" s="111">
        <v>46290</v>
      </c>
      <c r="J1036" s="111">
        <v>46563</v>
      </c>
      <c r="K1036" s="82">
        <v>466667</v>
      </c>
    </row>
    <row r="1037" spans="2:11" x14ac:dyDescent="0.2">
      <c r="B1037" t="s">
        <v>295</v>
      </c>
      <c r="C1037" t="str">
        <f>VLOOKUP(B1037,'Master Anggota'!$E$2:$I$279,5,0)</f>
        <v>PHL</v>
      </c>
      <c r="D1037" s="108">
        <v>46245</v>
      </c>
      <c r="E1037" s="82">
        <v>600000</v>
      </c>
      <c r="F1037" t="s">
        <v>616</v>
      </c>
      <c r="K1037" s="82"/>
    </row>
    <row r="1038" spans="2:11" x14ac:dyDescent="0.2">
      <c r="B1038" s="127" t="s">
        <v>370</v>
      </c>
      <c r="C1038" t="str">
        <f>VLOOKUP(B1038,'Master Anggota'!$E$2:$I$279,5,0)</f>
        <v>00610</v>
      </c>
      <c r="D1038" s="108">
        <v>46245</v>
      </c>
      <c r="E1038" s="82">
        <v>63000000</v>
      </c>
      <c r="F1038" t="s">
        <v>617</v>
      </c>
      <c r="H1038" t="s">
        <v>683</v>
      </c>
      <c r="I1038" s="111">
        <v>46290</v>
      </c>
      <c r="J1038" s="111">
        <v>46990</v>
      </c>
      <c r="K1038" s="82">
        <v>3445000</v>
      </c>
    </row>
    <row r="1039" spans="2:11" x14ac:dyDescent="0.2">
      <c r="B1039" t="s">
        <v>370</v>
      </c>
      <c r="C1039" t="str">
        <f>VLOOKUP(B1039,'Master Anggota'!$E$2:$I$279,5,0)</f>
        <v>00610</v>
      </c>
      <c r="D1039" s="108">
        <v>46245</v>
      </c>
      <c r="E1039" s="82">
        <v>19680000</v>
      </c>
      <c r="F1039" t="s">
        <v>616</v>
      </c>
      <c r="K1039" s="82"/>
    </row>
    <row r="1040" spans="2:11" x14ac:dyDescent="0.2">
      <c r="B1040" t="s">
        <v>370</v>
      </c>
      <c r="C1040" t="str">
        <f>VLOOKUP(B1040,'Master Anggota'!$E$2:$I$279,5,0)</f>
        <v>00610</v>
      </c>
      <c r="D1040" s="108">
        <v>46245</v>
      </c>
      <c r="E1040" s="82">
        <v>-13066665</v>
      </c>
      <c r="F1040" t="s">
        <v>598</v>
      </c>
      <c r="K1040" s="82"/>
    </row>
    <row r="1041" spans="2:12" x14ac:dyDescent="0.2">
      <c r="B1041" s="127" t="s">
        <v>368</v>
      </c>
      <c r="C1041" t="str">
        <f>VLOOKUP(B1041,'Master Anggota'!$E$2:$I$279,5,0)</f>
        <v>01703</v>
      </c>
      <c r="D1041" s="108">
        <v>46245</v>
      </c>
      <c r="E1041" s="56">
        <v>4000000</v>
      </c>
      <c r="F1041" t="s">
        <v>617</v>
      </c>
      <c r="H1041" t="s">
        <v>737</v>
      </c>
      <c r="I1041" s="111">
        <v>46290</v>
      </c>
      <c r="J1041" s="111">
        <v>46443</v>
      </c>
      <c r="K1041" s="56">
        <v>706667</v>
      </c>
      <c r="L1041" s="60">
        <f>K1041*6</f>
        <v>4240002</v>
      </c>
    </row>
    <row r="1042" spans="2:12" x14ac:dyDescent="0.2">
      <c r="B1042" t="s">
        <v>368</v>
      </c>
      <c r="C1042" t="str">
        <f>VLOOKUP(B1042,'Master Anggota'!$E$2:$I$279,5,0)</f>
        <v>01703</v>
      </c>
      <c r="D1042" s="108">
        <v>46245</v>
      </c>
      <c r="E1042" s="56">
        <v>240000</v>
      </c>
      <c r="F1042" t="s">
        <v>616</v>
      </c>
    </row>
    <row r="1043" spans="2:12" x14ac:dyDescent="0.2">
      <c r="B1043" s="127" t="s">
        <v>175</v>
      </c>
      <c r="C1043" t="str">
        <f>VLOOKUP(B1043,'Master Anggota'!$E$2:$I$279,5,0)</f>
        <v>00563</v>
      </c>
      <c r="D1043" s="108">
        <v>46245</v>
      </c>
      <c r="E1043" s="56">
        <v>12000000</v>
      </c>
      <c r="F1043" t="s">
        <v>617</v>
      </c>
      <c r="H1043" t="s">
        <v>739</v>
      </c>
      <c r="I1043" s="111">
        <v>46290</v>
      </c>
      <c r="J1043" s="111">
        <v>46990</v>
      </c>
      <c r="K1043" s="56">
        <v>680000</v>
      </c>
    </row>
    <row r="1044" spans="2:12" x14ac:dyDescent="0.2">
      <c r="B1044" t="s">
        <v>175</v>
      </c>
      <c r="C1044" t="str">
        <f>VLOOKUP(B1044,'Master Anggota'!$E$2:$I$279,5,0)</f>
        <v>00563</v>
      </c>
      <c r="D1044" s="108">
        <v>46245</v>
      </c>
      <c r="E1044" s="56">
        <v>4320000</v>
      </c>
      <c r="F1044" t="s">
        <v>616</v>
      </c>
    </row>
    <row r="1045" spans="2:12" x14ac:dyDescent="0.2">
      <c r="B1045" t="s">
        <v>335</v>
      </c>
      <c r="C1045" t="str">
        <f>VLOOKUP(B1045,'Master Anggota'!$E$2:$I$279,5,0)</f>
        <v>00311</v>
      </c>
      <c r="D1045" s="108">
        <v>46238</v>
      </c>
      <c r="E1045" s="82">
        <v>-27708336</v>
      </c>
      <c r="F1045" t="s">
        <v>598</v>
      </c>
      <c r="K1045" s="82"/>
    </row>
    <row r="1046" spans="2:12" x14ac:dyDescent="0.2">
      <c r="B1046" t="s">
        <v>307</v>
      </c>
      <c r="C1046" t="str">
        <f>VLOOKUP(B1046,'Master Anggota'!$E$2:$I$279,5,0)</f>
        <v>00591</v>
      </c>
      <c r="D1046" s="108">
        <v>46253</v>
      </c>
      <c r="E1046" s="82">
        <v>8500000</v>
      </c>
      <c r="F1046" t="s">
        <v>617</v>
      </c>
      <c r="H1046" t="s">
        <v>755</v>
      </c>
      <c r="I1046" s="111">
        <v>46320</v>
      </c>
      <c r="J1046" s="111">
        <v>46808</v>
      </c>
      <c r="K1046" s="82">
        <v>557222</v>
      </c>
    </row>
    <row r="1047" spans="2:12" x14ac:dyDescent="0.2">
      <c r="B1047" t="s">
        <v>307</v>
      </c>
      <c r="C1047" t="str">
        <f>VLOOKUP(B1047,'Master Anggota'!$E$2:$I$279,5,0)</f>
        <v>00591</v>
      </c>
      <c r="D1047" s="108">
        <v>46253</v>
      </c>
      <c r="E1047" s="82">
        <v>1530000</v>
      </c>
      <c r="F1047" t="s">
        <v>616</v>
      </c>
    </row>
    <row r="1048" spans="2:12" x14ac:dyDescent="0.2">
      <c r="B1048" t="s">
        <v>135</v>
      </c>
      <c r="C1048" t="str">
        <f>VLOOKUP(B1048,'Master Anggota'!$E$2:$I$279,5,0)</f>
        <v>00293</v>
      </c>
      <c r="D1048" s="73">
        <v>46258</v>
      </c>
      <c r="E1048" s="56">
        <v>-3808333</v>
      </c>
      <c r="F1048" s="62" t="s">
        <v>598</v>
      </c>
    </row>
    <row r="1049" spans="2:12" x14ac:dyDescent="0.2">
      <c r="B1049" t="s">
        <v>248</v>
      </c>
      <c r="C1049" t="str">
        <f>VLOOKUP(B1049,'Master Anggota'!$E$2:$I$279,5,0)</f>
        <v>00302</v>
      </c>
      <c r="D1049" s="73">
        <v>46258</v>
      </c>
      <c r="E1049" s="56">
        <v>-3841667</v>
      </c>
      <c r="F1049" s="62" t="s">
        <v>598</v>
      </c>
    </row>
    <row r="1050" spans="2:12" x14ac:dyDescent="0.2">
      <c r="B1050" t="s">
        <v>335</v>
      </c>
      <c r="C1050" t="str">
        <f>VLOOKUP(B1050,'Master Anggota'!$E$2:$I$279,5,0)</f>
        <v>00311</v>
      </c>
      <c r="D1050" s="73">
        <v>46258</v>
      </c>
      <c r="E1050" s="56">
        <v>-3958333</v>
      </c>
      <c r="F1050" s="62" t="s">
        <v>598</v>
      </c>
    </row>
    <row r="1051" spans="2:12" x14ac:dyDescent="0.2">
      <c r="B1051" t="s">
        <v>113</v>
      </c>
      <c r="C1051" t="str">
        <f>VLOOKUP(B1051,'Master Anggota'!$E$2:$I$279,5,0)</f>
        <v>00317</v>
      </c>
      <c r="D1051" s="73">
        <v>46258</v>
      </c>
      <c r="E1051" s="56">
        <v>-2770000</v>
      </c>
      <c r="F1051" s="62" t="s">
        <v>598</v>
      </c>
    </row>
    <row r="1052" spans="2:12" x14ac:dyDescent="0.2">
      <c r="B1052" t="s">
        <v>198</v>
      </c>
      <c r="C1052" t="str">
        <f>VLOOKUP(B1052,'Master Anggota'!$E$2:$I$279,5,0)</f>
        <v>00327</v>
      </c>
      <c r="D1052" s="73">
        <v>46258</v>
      </c>
      <c r="E1052" s="56">
        <v>-6424608</v>
      </c>
      <c r="F1052" s="62" t="s">
        <v>598</v>
      </c>
    </row>
    <row r="1053" spans="2:12" x14ac:dyDescent="0.2">
      <c r="B1053" t="s">
        <v>341</v>
      </c>
      <c r="C1053" t="str">
        <f>VLOOKUP(B1053,'Master Anggota'!$E$2:$I$279,5,0)</f>
        <v>00339</v>
      </c>
      <c r="D1053" s="73">
        <v>46258</v>
      </c>
      <c r="E1053" s="56">
        <v>-2325000</v>
      </c>
      <c r="F1053" s="62" t="s">
        <v>598</v>
      </c>
    </row>
    <row r="1054" spans="2:12" x14ac:dyDescent="0.2">
      <c r="B1054" t="s">
        <v>129</v>
      </c>
      <c r="C1054" t="str">
        <f>VLOOKUP(B1054,'Master Anggota'!$E$2:$I$279,5,0)</f>
        <v>00343</v>
      </c>
      <c r="D1054" s="73">
        <v>46258</v>
      </c>
      <c r="E1054" s="56">
        <v>-3105000</v>
      </c>
      <c r="F1054" s="62" t="s">
        <v>598</v>
      </c>
    </row>
    <row r="1055" spans="2:12" x14ac:dyDescent="0.2">
      <c r="B1055" t="s">
        <v>480</v>
      </c>
      <c r="C1055" t="str">
        <f>VLOOKUP(B1055,'Master Anggota'!$E$2:$I$279,5,0)</f>
        <v>00351</v>
      </c>
      <c r="D1055" s="73">
        <v>46258</v>
      </c>
      <c r="E1055" s="56">
        <v>-2325000</v>
      </c>
      <c r="F1055" s="62" t="s">
        <v>598</v>
      </c>
    </row>
    <row r="1056" spans="2:12" x14ac:dyDescent="0.2">
      <c r="B1056" t="s">
        <v>151</v>
      </c>
      <c r="C1056" t="str">
        <f>VLOOKUP(B1056,'Master Anggota'!$E$2:$I$279,5,0)</f>
        <v>00362</v>
      </c>
      <c r="D1056" s="73">
        <v>46258</v>
      </c>
      <c r="E1056" s="56">
        <v>-3316667</v>
      </c>
      <c r="F1056" s="62" t="s">
        <v>598</v>
      </c>
    </row>
    <row r="1057" spans="2:6" x14ac:dyDescent="0.2">
      <c r="B1057" t="s">
        <v>483</v>
      </c>
      <c r="C1057" t="str">
        <f>VLOOKUP(B1057,'Master Anggota'!$E$2:$I$279,5,0)</f>
        <v>00368</v>
      </c>
      <c r="D1057" s="73">
        <v>46258</v>
      </c>
      <c r="E1057" s="56">
        <v>-3275000</v>
      </c>
      <c r="F1057" s="62" t="s">
        <v>598</v>
      </c>
    </row>
    <row r="1058" spans="2:6" x14ac:dyDescent="0.2">
      <c r="B1058" t="s">
        <v>481</v>
      </c>
      <c r="C1058" t="str">
        <f>VLOOKUP(B1058,'Master Anggota'!$E$2:$I$279,5,0)</f>
        <v>00371</v>
      </c>
      <c r="D1058" s="73">
        <v>46258</v>
      </c>
      <c r="E1058" s="56">
        <v>-3955000</v>
      </c>
      <c r="F1058" s="62" t="s">
        <v>598</v>
      </c>
    </row>
    <row r="1059" spans="2:6" x14ac:dyDescent="0.2">
      <c r="B1059" t="s">
        <v>521</v>
      </c>
      <c r="C1059" t="str">
        <f>VLOOKUP(B1059,'Master Anggota'!$E$2:$I$279,5,0)</f>
        <v>00376</v>
      </c>
      <c r="D1059" s="73">
        <v>46258</v>
      </c>
      <c r="E1059" s="56">
        <v>-3558333</v>
      </c>
      <c r="F1059" s="62" t="s">
        <v>598</v>
      </c>
    </row>
    <row r="1060" spans="2:6" x14ac:dyDescent="0.2">
      <c r="B1060" t="s">
        <v>94</v>
      </c>
      <c r="C1060" t="str">
        <f>VLOOKUP(B1060,'Master Anggota'!$E$2:$I$279,5,0)</f>
        <v>00387</v>
      </c>
      <c r="D1060" s="73">
        <v>46258</v>
      </c>
      <c r="E1060" s="56">
        <v>-1839445</v>
      </c>
      <c r="F1060" s="62" t="s">
        <v>598</v>
      </c>
    </row>
    <row r="1061" spans="2:6" x14ac:dyDescent="0.2">
      <c r="B1061" t="s">
        <v>258</v>
      </c>
      <c r="C1061" t="str">
        <f>VLOOKUP(B1061,'Master Anggota'!$E$2:$I$279,5,0)</f>
        <v>00390</v>
      </c>
      <c r="D1061" s="73">
        <v>46258</v>
      </c>
      <c r="E1061" s="56">
        <v>-2333334</v>
      </c>
      <c r="F1061" s="62" t="s">
        <v>598</v>
      </c>
    </row>
    <row r="1062" spans="2:6" x14ac:dyDescent="0.2">
      <c r="B1062" t="s">
        <v>92</v>
      </c>
      <c r="C1062" t="str">
        <f>VLOOKUP(B1062,'Master Anggota'!$E$2:$I$279,5,0)</f>
        <v>00396</v>
      </c>
      <c r="D1062" s="73">
        <v>46258</v>
      </c>
      <c r="E1062" s="56">
        <v>-6250000</v>
      </c>
      <c r="F1062" s="62" t="s">
        <v>598</v>
      </c>
    </row>
    <row r="1063" spans="2:6" x14ac:dyDescent="0.2">
      <c r="B1063" t="s">
        <v>103</v>
      </c>
      <c r="C1063" t="str">
        <f>VLOOKUP(B1063,'Master Anggota'!$E$2:$I$279,5,0)</f>
        <v>00401</v>
      </c>
      <c r="D1063" s="73">
        <v>46258</v>
      </c>
      <c r="E1063" s="56">
        <v>-1650000</v>
      </c>
      <c r="F1063" s="62" t="s">
        <v>598</v>
      </c>
    </row>
    <row r="1064" spans="2:6" x14ac:dyDescent="0.2">
      <c r="B1064" t="s">
        <v>65</v>
      </c>
      <c r="C1064" t="str">
        <f>VLOOKUP(B1064,'Master Anggota'!$E$2:$I$279,5,0)</f>
        <v>00490</v>
      </c>
      <c r="D1064" s="73">
        <v>46258</v>
      </c>
      <c r="E1064" s="56">
        <v>-2325000</v>
      </c>
      <c r="F1064" s="62" t="s">
        <v>598</v>
      </c>
    </row>
    <row r="1065" spans="2:6" x14ac:dyDescent="0.2">
      <c r="B1065" t="s">
        <v>115</v>
      </c>
      <c r="C1065" t="str">
        <f>VLOOKUP(B1065,'Master Anggota'!$E$2:$I$279,5,0)</f>
        <v>00497</v>
      </c>
      <c r="D1065" s="73">
        <v>46258</v>
      </c>
      <c r="E1065" s="56">
        <v>-1400000</v>
      </c>
      <c r="F1065" s="62" t="s">
        <v>598</v>
      </c>
    </row>
    <row r="1066" spans="2:6" x14ac:dyDescent="0.2">
      <c r="B1066" t="s">
        <v>194</v>
      </c>
      <c r="C1066" t="str">
        <f>VLOOKUP(B1066,'Master Anggota'!$E$2:$I$279,5,0)</f>
        <v>00498</v>
      </c>
      <c r="D1066" s="73">
        <v>46258</v>
      </c>
      <c r="E1066" s="56">
        <v>-5920000</v>
      </c>
      <c r="F1066" s="62" t="s">
        <v>598</v>
      </c>
    </row>
    <row r="1067" spans="2:6" x14ac:dyDescent="0.2">
      <c r="B1067" t="s">
        <v>155</v>
      </c>
      <c r="C1067" t="str">
        <f>VLOOKUP(B1067,'Master Anggota'!$E$2:$I$279,5,0)</f>
        <v>00499</v>
      </c>
      <c r="D1067" s="73">
        <v>46258</v>
      </c>
      <c r="E1067" s="56">
        <v>-1303846</v>
      </c>
      <c r="F1067" s="62" t="s">
        <v>598</v>
      </c>
    </row>
    <row r="1068" spans="2:6" x14ac:dyDescent="0.2">
      <c r="B1068" t="s">
        <v>96</v>
      </c>
      <c r="C1068" t="str">
        <f>VLOOKUP(B1068,'Master Anggota'!$E$2:$I$279,5,0)</f>
        <v>00508</v>
      </c>
      <c r="D1068" s="73">
        <v>46258</v>
      </c>
      <c r="E1068" s="56">
        <v>-2708333</v>
      </c>
      <c r="F1068" s="62" t="s">
        <v>598</v>
      </c>
    </row>
    <row r="1069" spans="2:6" x14ac:dyDescent="0.2">
      <c r="B1069" t="s">
        <v>270</v>
      </c>
      <c r="C1069" t="str">
        <f>VLOOKUP(B1069,'Master Anggota'!$E$2:$I$279,5,0)</f>
        <v>00509</v>
      </c>
      <c r="D1069" s="73">
        <v>46258</v>
      </c>
      <c r="E1069" s="56">
        <v>-653333</v>
      </c>
      <c r="F1069" s="62" t="s">
        <v>598</v>
      </c>
    </row>
    <row r="1070" spans="2:6" x14ac:dyDescent="0.2">
      <c r="B1070" t="s">
        <v>37</v>
      </c>
      <c r="C1070" t="str">
        <f>VLOOKUP(B1070,'Master Anggota'!$E$2:$I$279,5,0)</f>
        <v>00511</v>
      </c>
      <c r="D1070" s="73">
        <v>46258</v>
      </c>
      <c r="E1070" s="56">
        <v>-1291667</v>
      </c>
      <c r="F1070" s="62" t="s">
        <v>598</v>
      </c>
    </row>
    <row r="1071" spans="2:6" x14ac:dyDescent="0.2">
      <c r="B1071" t="s">
        <v>202</v>
      </c>
      <c r="C1071" t="str">
        <f>VLOOKUP(B1071,'Master Anggota'!$E$2:$I$279,5,0)</f>
        <v>00512</v>
      </c>
      <c r="D1071" s="73">
        <v>46258</v>
      </c>
      <c r="E1071" s="56">
        <v>0</v>
      </c>
      <c r="F1071" s="62" t="s">
        <v>598</v>
      </c>
    </row>
    <row r="1072" spans="2:6" x14ac:dyDescent="0.2">
      <c r="B1072" t="s">
        <v>239</v>
      </c>
      <c r="C1072" t="str">
        <f>VLOOKUP(B1072,'Master Anggota'!$E$2:$I$279,5,0)</f>
        <v>00513</v>
      </c>
      <c r="D1072" s="73">
        <v>46258</v>
      </c>
      <c r="E1072" s="56">
        <v>-2708333</v>
      </c>
      <c r="F1072" s="62" t="s">
        <v>598</v>
      </c>
    </row>
    <row r="1073" spans="2:6" x14ac:dyDescent="0.2">
      <c r="B1073" t="s">
        <v>274</v>
      </c>
      <c r="C1073" t="str">
        <f>VLOOKUP(B1073,'Master Anggota'!$E$2:$I$279,5,0)</f>
        <v>00515</v>
      </c>
      <c r="D1073" s="73">
        <v>46258</v>
      </c>
      <c r="E1073" s="56">
        <v>-1825000</v>
      </c>
      <c r="F1073" s="62" t="s">
        <v>598</v>
      </c>
    </row>
    <row r="1074" spans="2:6" x14ac:dyDescent="0.2">
      <c r="B1074" t="s">
        <v>233</v>
      </c>
      <c r="C1074" t="str">
        <f>VLOOKUP(B1074,'Master Anggota'!$E$2:$I$279,5,0)</f>
        <v>00516</v>
      </c>
      <c r="D1074" s="73">
        <v>46258</v>
      </c>
      <c r="E1074" s="56">
        <v>-383333</v>
      </c>
      <c r="F1074" s="62" t="s">
        <v>598</v>
      </c>
    </row>
    <row r="1075" spans="2:6" x14ac:dyDescent="0.2">
      <c r="B1075" t="s">
        <v>71</v>
      </c>
      <c r="C1075" t="str">
        <f>VLOOKUP(B1075,'Master Anggota'!$E$2:$I$279,5,0)</f>
        <v>00517</v>
      </c>
      <c r="D1075" s="73">
        <v>46258</v>
      </c>
      <c r="E1075" s="56">
        <v>-232500</v>
      </c>
      <c r="F1075" s="62" t="s">
        <v>598</v>
      </c>
    </row>
    <row r="1076" spans="2:6" x14ac:dyDescent="0.2">
      <c r="B1076" t="s">
        <v>200</v>
      </c>
      <c r="C1076" t="str">
        <f>VLOOKUP(B1076,'Master Anggota'!$E$2:$I$279,5,0)</f>
        <v>00520</v>
      </c>
      <c r="D1076" s="73">
        <v>46258</v>
      </c>
      <c r="E1076" s="56">
        <v>-1650000</v>
      </c>
      <c r="F1076" s="62" t="s">
        <v>598</v>
      </c>
    </row>
    <row r="1077" spans="2:6" x14ac:dyDescent="0.2">
      <c r="B1077" t="s">
        <v>107</v>
      </c>
      <c r="C1077" t="str">
        <f>VLOOKUP(B1077,'Master Anggota'!$E$2:$I$279,5,0)</f>
        <v>00521</v>
      </c>
      <c r="D1077" s="73">
        <v>46258</v>
      </c>
      <c r="E1077" s="56">
        <v>-4791667</v>
      </c>
      <c r="F1077" s="62" t="s">
        <v>598</v>
      </c>
    </row>
    <row r="1078" spans="2:6" x14ac:dyDescent="0.2">
      <c r="B1078" t="s">
        <v>235</v>
      </c>
      <c r="C1078" t="str">
        <f>VLOOKUP(B1078,'Master Anggota'!$E$2:$I$279,5,0)</f>
        <v>00523</v>
      </c>
      <c r="D1078" s="73">
        <v>46258</v>
      </c>
      <c r="E1078" s="56">
        <v>-2333333</v>
      </c>
      <c r="F1078" s="62" t="s">
        <v>598</v>
      </c>
    </row>
    <row r="1079" spans="2:6" x14ac:dyDescent="0.2">
      <c r="B1079" t="s">
        <v>252</v>
      </c>
      <c r="C1079" t="str">
        <f>VLOOKUP(B1079,'Master Anggota'!$E$2:$I$279,5,0)</f>
        <v>00524</v>
      </c>
      <c r="D1079" s="73">
        <v>46258</v>
      </c>
      <c r="E1079" s="56">
        <v>-3841667</v>
      </c>
      <c r="F1079" s="62" t="s">
        <v>598</v>
      </c>
    </row>
    <row r="1080" spans="2:6" x14ac:dyDescent="0.2">
      <c r="B1080" t="s">
        <v>206</v>
      </c>
      <c r="C1080" t="str">
        <f>VLOOKUP(B1080,'Master Anggota'!$E$2:$I$279,5,0)</f>
        <v>00525</v>
      </c>
      <c r="D1080" s="73">
        <v>46258</v>
      </c>
      <c r="E1080" s="56">
        <v>-4481667</v>
      </c>
      <c r="F1080" s="62" t="s">
        <v>598</v>
      </c>
    </row>
    <row r="1081" spans="2:6" x14ac:dyDescent="0.2">
      <c r="B1081" t="s">
        <v>241</v>
      </c>
      <c r="C1081" t="str">
        <f>VLOOKUP(B1081,'Master Anggota'!$E$2:$I$279,5,0)</f>
        <v>00526</v>
      </c>
      <c r="D1081" s="73">
        <v>46258</v>
      </c>
      <c r="E1081" s="56">
        <v>-2708333</v>
      </c>
      <c r="F1081" s="62" t="s">
        <v>598</v>
      </c>
    </row>
    <row r="1082" spans="2:6" x14ac:dyDescent="0.2">
      <c r="B1082" t="s">
        <v>147</v>
      </c>
      <c r="C1082" t="str">
        <f>VLOOKUP(B1082,'Master Anggota'!$E$2:$I$279,5,0)</f>
        <v>00527</v>
      </c>
      <c r="D1082" s="73">
        <v>46258</v>
      </c>
      <c r="E1082" s="56">
        <v>-2425000</v>
      </c>
      <c r="F1082" s="62" t="s">
        <v>598</v>
      </c>
    </row>
    <row r="1083" spans="2:6" x14ac:dyDescent="0.2">
      <c r="B1083" t="s">
        <v>214</v>
      </c>
      <c r="C1083" t="str">
        <f>VLOOKUP(B1083,'Master Anggota'!$E$2:$I$279,5,0)</f>
        <v>00529</v>
      </c>
      <c r="D1083" s="73">
        <v>46258</v>
      </c>
      <c r="E1083" s="56">
        <v>-1348333</v>
      </c>
      <c r="F1083" s="62" t="s">
        <v>598</v>
      </c>
    </row>
    <row r="1084" spans="2:6" x14ac:dyDescent="0.2">
      <c r="B1084" t="s">
        <v>243</v>
      </c>
      <c r="C1084" t="str">
        <f>VLOOKUP(B1084,'Master Anggota'!$E$2:$I$279,5,0)</f>
        <v>00530</v>
      </c>
      <c r="D1084" s="73">
        <v>46258</v>
      </c>
      <c r="E1084" s="56">
        <v>-4408333</v>
      </c>
      <c r="F1084" s="62" t="s">
        <v>598</v>
      </c>
    </row>
    <row r="1085" spans="2:6" x14ac:dyDescent="0.2">
      <c r="B1085" t="s">
        <v>225</v>
      </c>
      <c r="C1085" t="str">
        <f>VLOOKUP(B1085,'Master Anggota'!$E$2:$I$279,5,0)</f>
        <v>00531</v>
      </c>
      <c r="D1085" s="73">
        <v>46258</v>
      </c>
      <c r="E1085" s="56">
        <v>-440000</v>
      </c>
      <c r="F1085" s="62" t="s">
        <v>598</v>
      </c>
    </row>
    <row r="1086" spans="2:6" x14ac:dyDescent="0.2">
      <c r="B1086" t="s">
        <v>245</v>
      </c>
      <c r="C1086" t="str">
        <f>VLOOKUP(B1086,'Master Anggota'!$E$2:$I$279,5,0)</f>
        <v>00532</v>
      </c>
      <c r="D1086" s="73">
        <v>46258</v>
      </c>
      <c r="E1086" s="56">
        <v>-3826111</v>
      </c>
      <c r="F1086" s="62" t="s">
        <v>598</v>
      </c>
    </row>
    <row r="1087" spans="2:6" x14ac:dyDescent="0.2">
      <c r="B1087" t="s">
        <v>522</v>
      </c>
      <c r="C1087" t="str">
        <f>VLOOKUP(B1087,'Master Anggota'!$E$2:$I$279,5,0)</f>
        <v>00533</v>
      </c>
      <c r="D1087" s="73">
        <v>46258</v>
      </c>
      <c r="E1087" s="56">
        <v>-3275000</v>
      </c>
      <c r="F1087" s="62" t="s">
        <v>598</v>
      </c>
    </row>
    <row r="1088" spans="2:6" x14ac:dyDescent="0.2">
      <c r="B1088" t="s">
        <v>204</v>
      </c>
      <c r="C1088" t="str">
        <f>VLOOKUP(B1088,'Master Anggota'!$E$2:$I$279,5,0)</f>
        <v>00534</v>
      </c>
      <c r="D1088" s="73">
        <v>46258</v>
      </c>
      <c r="E1088" s="56">
        <v>-1858333</v>
      </c>
      <c r="F1088" s="62" t="s">
        <v>598</v>
      </c>
    </row>
    <row r="1089" spans="2:6" x14ac:dyDescent="0.2">
      <c r="B1089" t="s">
        <v>189</v>
      </c>
      <c r="C1089" t="str">
        <f>VLOOKUP(B1089,'Master Anggota'!$E$2:$I$279,5,0)</f>
        <v>00535</v>
      </c>
      <c r="D1089" s="73">
        <v>46258</v>
      </c>
      <c r="E1089" s="56">
        <v>-597333</v>
      </c>
      <c r="F1089" s="62" t="s">
        <v>598</v>
      </c>
    </row>
    <row r="1090" spans="2:6" x14ac:dyDescent="0.2">
      <c r="B1090" t="s">
        <v>81</v>
      </c>
      <c r="C1090" t="str">
        <f>VLOOKUP(B1090,'Master Anggota'!$E$2:$I$279,5,0)</f>
        <v>00537</v>
      </c>
      <c r="D1090" s="73">
        <v>46258</v>
      </c>
      <c r="E1090" s="56">
        <v>-2708333</v>
      </c>
      <c r="F1090" s="62" t="s">
        <v>598</v>
      </c>
    </row>
    <row r="1091" spans="2:6" x14ac:dyDescent="0.2">
      <c r="B1091" t="s">
        <v>53</v>
      </c>
      <c r="C1091" t="str">
        <f>VLOOKUP(B1091,'Master Anggota'!$E$2:$I$279,5,0)</f>
        <v>00540</v>
      </c>
      <c r="D1091" s="73">
        <v>46258</v>
      </c>
      <c r="E1091" s="56">
        <v>-775000</v>
      </c>
      <c r="F1091" s="62" t="s">
        <v>598</v>
      </c>
    </row>
    <row r="1092" spans="2:6" x14ac:dyDescent="0.2">
      <c r="B1092" t="s">
        <v>79</v>
      </c>
      <c r="C1092" t="str">
        <f>VLOOKUP(B1092,'Master Anggota'!$E$2:$I$279,5,0)</f>
        <v>00541</v>
      </c>
      <c r="D1092" s="73">
        <v>46258</v>
      </c>
      <c r="E1092" s="56">
        <v>-4125000</v>
      </c>
      <c r="F1092" s="62" t="s">
        <v>598</v>
      </c>
    </row>
    <row r="1093" spans="2:6" x14ac:dyDescent="0.2">
      <c r="B1093" t="s">
        <v>35</v>
      </c>
      <c r="C1093" t="str">
        <f>VLOOKUP(B1093,'Master Anggota'!$E$2:$I$279,5,0)</f>
        <v>00546</v>
      </c>
      <c r="D1093" s="73">
        <v>46258</v>
      </c>
      <c r="E1093" s="56">
        <v>-1575000</v>
      </c>
      <c r="F1093" s="62" t="s">
        <v>598</v>
      </c>
    </row>
    <row r="1094" spans="2:6" x14ac:dyDescent="0.2">
      <c r="B1094" t="s">
        <v>85</v>
      </c>
      <c r="C1094" t="str">
        <f>VLOOKUP(B1094,'Master Anggota'!$E$2:$I$279,5,0)</f>
        <v>00547</v>
      </c>
      <c r="D1094" s="73">
        <v>46258</v>
      </c>
      <c r="E1094" s="56">
        <v>-3173333</v>
      </c>
      <c r="F1094" s="62" t="s">
        <v>598</v>
      </c>
    </row>
    <row r="1095" spans="2:6" x14ac:dyDescent="0.2">
      <c r="B1095" t="s">
        <v>153</v>
      </c>
      <c r="C1095" t="str">
        <f>VLOOKUP(B1095,'Master Anggota'!$E$2:$I$279,5,0)</f>
        <v>00548</v>
      </c>
      <c r="D1095" s="73">
        <v>46258</v>
      </c>
      <c r="E1095" s="56">
        <v>0</v>
      </c>
      <c r="F1095" s="62" t="s">
        <v>598</v>
      </c>
    </row>
    <row r="1096" spans="2:6" x14ac:dyDescent="0.2">
      <c r="B1096" t="s">
        <v>525</v>
      </c>
      <c r="C1096" t="str">
        <f>VLOOKUP(B1096,'Master Anggota'!$E$2:$I$279,5,0)</f>
        <v>00549</v>
      </c>
      <c r="D1096" s="73">
        <v>46258</v>
      </c>
      <c r="E1096" s="56">
        <v>-1033333</v>
      </c>
      <c r="F1096" s="62" t="s">
        <v>598</v>
      </c>
    </row>
    <row r="1097" spans="2:6" x14ac:dyDescent="0.2">
      <c r="B1097" t="s">
        <v>484</v>
      </c>
      <c r="C1097" t="str">
        <f>VLOOKUP(B1097,'Master Anggota'!$E$2:$I$279,5,0)</f>
        <v>00552</v>
      </c>
      <c r="D1097" s="73">
        <v>46258</v>
      </c>
      <c r="E1097" s="56">
        <v>-4408333</v>
      </c>
      <c r="F1097" s="62" t="s">
        <v>598</v>
      </c>
    </row>
    <row r="1098" spans="2:6" x14ac:dyDescent="0.2">
      <c r="B1098" t="s">
        <v>8</v>
      </c>
      <c r="C1098" t="str">
        <f>VLOOKUP(B1098,'Master Anggota'!$E$2:$I$279,5,0)</f>
        <v>00553</v>
      </c>
      <c r="D1098" s="73">
        <v>46258</v>
      </c>
      <c r="E1098" s="56">
        <v>-660000</v>
      </c>
      <c r="F1098" s="62" t="s">
        <v>598</v>
      </c>
    </row>
    <row r="1099" spans="2:6" x14ac:dyDescent="0.2">
      <c r="B1099" t="s">
        <v>276</v>
      </c>
      <c r="C1099" t="str">
        <f>VLOOKUP(B1099,'Master Anggota'!$E$2:$I$279,5,0)</f>
        <v>00558</v>
      </c>
      <c r="D1099" s="73">
        <v>46258</v>
      </c>
      <c r="E1099" s="56">
        <v>-1341667</v>
      </c>
      <c r="F1099" s="62" t="s">
        <v>598</v>
      </c>
    </row>
    <row r="1100" spans="2:6" x14ac:dyDescent="0.2">
      <c r="B1100" t="s">
        <v>175</v>
      </c>
      <c r="C1100" t="str">
        <f>VLOOKUP(B1100,'Master Anggota'!$E$2:$I$279,5,0)</f>
        <v>00563</v>
      </c>
      <c r="D1100" s="73">
        <v>46258</v>
      </c>
      <c r="E1100" s="56">
        <v>-2708333</v>
      </c>
      <c r="F1100" s="62" t="s">
        <v>598</v>
      </c>
    </row>
    <row r="1101" spans="2:6" x14ac:dyDescent="0.2">
      <c r="B1101" t="s">
        <v>277</v>
      </c>
      <c r="C1101" t="str">
        <f>VLOOKUP(B1101,'Master Anggota'!$E$2:$I$279,5,0)</f>
        <v>00564</v>
      </c>
      <c r="D1101" s="73">
        <v>46258</v>
      </c>
      <c r="E1101" s="56">
        <v>-1291667</v>
      </c>
      <c r="F1101" s="62" t="s">
        <v>598</v>
      </c>
    </row>
    <row r="1102" spans="2:6" x14ac:dyDescent="0.2">
      <c r="B1102" t="s">
        <v>182</v>
      </c>
      <c r="C1102" t="str">
        <f>VLOOKUP(B1102,'Master Anggota'!$E$2:$I$279,5,0)</f>
        <v>00565</v>
      </c>
      <c r="D1102" s="73">
        <v>46258</v>
      </c>
      <c r="E1102" s="56">
        <v>-3125000</v>
      </c>
      <c r="F1102" s="62" t="s">
        <v>598</v>
      </c>
    </row>
    <row r="1103" spans="2:6" x14ac:dyDescent="0.2">
      <c r="B1103" t="s">
        <v>176</v>
      </c>
      <c r="C1103" t="str">
        <f>VLOOKUP(B1103,'Master Anggota'!$E$2:$I$279,5,0)</f>
        <v>00568</v>
      </c>
      <c r="D1103" s="73">
        <v>46258</v>
      </c>
      <c r="E1103" s="56">
        <v>-1085000</v>
      </c>
      <c r="F1103" s="62" t="s">
        <v>598</v>
      </c>
    </row>
    <row r="1104" spans="2:6" x14ac:dyDescent="0.2">
      <c r="B1104" t="s">
        <v>177</v>
      </c>
      <c r="C1104" t="str">
        <f>VLOOKUP(B1104,'Master Anggota'!$E$2:$I$279,5,0)</f>
        <v>00569</v>
      </c>
      <c r="D1104" s="73">
        <v>46258</v>
      </c>
      <c r="E1104" s="56">
        <v>-3161667</v>
      </c>
      <c r="F1104" s="62" t="s">
        <v>598</v>
      </c>
    </row>
    <row r="1105" spans="2:6" x14ac:dyDescent="0.2">
      <c r="B1105" t="s">
        <v>362</v>
      </c>
      <c r="C1105" t="str">
        <f>VLOOKUP(B1105,'Master Anggota'!$E$2:$I$279,5,0)</f>
        <v>00570</v>
      </c>
      <c r="D1105" s="73">
        <v>46258</v>
      </c>
      <c r="E1105" s="56">
        <v>-2475000</v>
      </c>
      <c r="F1105" s="62" t="s">
        <v>598</v>
      </c>
    </row>
    <row r="1106" spans="2:6" x14ac:dyDescent="0.2">
      <c r="B1106" t="s">
        <v>363</v>
      </c>
      <c r="C1106" t="str">
        <f>VLOOKUP(B1106,'Master Anggota'!$E$2:$I$279,5,0)</f>
        <v>00576</v>
      </c>
      <c r="D1106" s="73">
        <v>46258</v>
      </c>
      <c r="E1106" s="56">
        <v>-1858333</v>
      </c>
      <c r="F1106" s="62" t="s">
        <v>598</v>
      </c>
    </row>
    <row r="1107" spans="2:6" x14ac:dyDescent="0.2">
      <c r="B1107" t="s">
        <v>467</v>
      </c>
      <c r="C1107" t="str">
        <f>VLOOKUP(B1107,'Master Anggota'!$E$2:$I$279,5,0)</f>
        <v>00577</v>
      </c>
      <c r="D1107" s="73">
        <v>46258</v>
      </c>
      <c r="E1107" s="56">
        <v>-1603333</v>
      </c>
      <c r="F1107" s="62" t="s">
        <v>598</v>
      </c>
    </row>
    <row r="1108" spans="2:6" x14ac:dyDescent="0.2">
      <c r="B1108" t="s">
        <v>364</v>
      </c>
      <c r="C1108" t="str">
        <f>VLOOKUP(B1108,'Master Anggota'!$E$2:$I$279,5,0)</f>
        <v>00578</v>
      </c>
      <c r="D1108" s="73">
        <v>46258</v>
      </c>
      <c r="E1108" s="56">
        <v>-981667</v>
      </c>
      <c r="F1108" s="62" t="s">
        <v>598</v>
      </c>
    </row>
    <row r="1109" spans="2:6" x14ac:dyDescent="0.2">
      <c r="B1109" t="s">
        <v>523</v>
      </c>
      <c r="C1109" t="str">
        <f>VLOOKUP(B1109,'Master Anggota'!$E$2:$I$279,5,0)</f>
        <v>00579</v>
      </c>
      <c r="D1109" s="73">
        <v>46258</v>
      </c>
      <c r="E1109" s="56">
        <v>-767000</v>
      </c>
      <c r="F1109" s="62" t="s">
        <v>598</v>
      </c>
    </row>
    <row r="1110" spans="2:6" x14ac:dyDescent="0.2">
      <c r="B1110" t="s">
        <v>172</v>
      </c>
      <c r="C1110" t="str">
        <f>VLOOKUP(B1110,'Master Anggota'!$E$2:$I$279,5,0)</f>
        <v>00584</v>
      </c>
      <c r="D1110" s="73">
        <v>46258</v>
      </c>
      <c r="E1110" s="56">
        <v>-3388333</v>
      </c>
      <c r="F1110" s="62" t="s">
        <v>598</v>
      </c>
    </row>
    <row r="1111" spans="2:6" x14ac:dyDescent="0.2">
      <c r="B1111" t="s">
        <v>300</v>
      </c>
      <c r="C1111" t="str">
        <f>VLOOKUP(B1111,'Master Anggota'!$E$2:$I$279,5,0)</f>
        <v>00585</v>
      </c>
      <c r="D1111" s="73">
        <v>46258</v>
      </c>
      <c r="E1111" s="56">
        <v>-600000</v>
      </c>
      <c r="F1111" s="62" t="s">
        <v>598</v>
      </c>
    </row>
    <row r="1112" spans="2:6" x14ac:dyDescent="0.2">
      <c r="B1112" t="s">
        <v>307</v>
      </c>
      <c r="C1112" t="str">
        <f>VLOOKUP(B1112,'Master Anggota'!$E$2:$I$279,5,0)</f>
        <v>00591</v>
      </c>
      <c r="D1112" s="73">
        <v>46258</v>
      </c>
      <c r="E1112" s="56">
        <v>-746667</v>
      </c>
      <c r="F1112" s="62" t="s">
        <v>598</v>
      </c>
    </row>
    <row r="1113" spans="2:6" x14ac:dyDescent="0.2">
      <c r="B1113" t="s">
        <v>188</v>
      </c>
      <c r="C1113" t="str">
        <f>VLOOKUP(B1113,'Master Anggota'!$E$2:$I$279,5,0)</f>
        <v>00596</v>
      </c>
      <c r="D1113" s="73">
        <v>46258</v>
      </c>
      <c r="E1113" s="56">
        <v>-1033333</v>
      </c>
      <c r="F1113" s="62" t="s">
        <v>598</v>
      </c>
    </row>
    <row r="1114" spans="2:6" x14ac:dyDescent="0.2">
      <c r="B1114" t="s">
        <v>326</v>
      </c>
      <c r="C1114" t="str">
        <f>VLOOKUP(B1114,'Master Anggota'!$E$2:$I$279,5,0)</f>
        <v>00608</v>
      </c>
      <c r="D1114" s="73">
        <v>46258</v>
      </c>
      <c r="E1114" s="56">
        <v>-671667</v>
      </c>
      <c r="F1114" s="62" t="s">
        <v>598</v>
      </c>
    </row>
    <row r="1115" spans="2:6" x14ac:dyDescent="0.2">
      <c r="B1115" t="s">
        <v>370</v>
      </c>
      <c r="C1115" t="str">
        <f>VLOOKUP(B1115,'Master Anggota'!$E$2:$I$279,5,0)</f>
        <v>00610</v>
      </c>
      <c r="D1115" s="73">
        <v>46258</v>
      </c>
      <c r="E1115" s="56">
        <v>0</v>
      </c>
      <c r="F1115" s="62" t="s">
        <v>598</v>
      </c>
    </row>
    <row r="1116" spans="2:6" x14ac:dyDescent="0.2">
      <c r="B1116" t="s">
        <v>519</v>
      </c>
      <c r="C1116" t="str">
        <f>VLOOKUP(B1116,'Master Anggota'!$E$2:$I$279,5,0)</f>
        <v>00611</v>
      </c>
      <c r="D1116" s="73">
        <v>46258</v>
      </c>
      <c r="E1116" s="56">
        <v>-653333</v>
      </c>
      <c r="F1116" s="62" t="s">
        <v>598</v>
      </c>
    </row>
    <row r="1117" spans="2:6" x14ac:dyDescent="0.2">
      <c r="B1117" t="s">
        <v>442</v>
      </c>
      <c r="C1117" t="str">
        <f>VLOOKUP(B1117,'Master Anggota'!$E$2:$I$279,5,0)</f>
        <v>00613</v>
      </c>
      <c r="D1117" s="73">
        <v>46258</v>
      </c>
      <c r="E1117" s="56">
        <v>-1400000</v>
      </c>
      <c r="F1117" s="62" t="s">
        <v>598</v>
      </c>
    </row>
    <row r="1118" spans="2:6" x14ac:dyDescent="0.2">
      <c r="B1118" t="s">
        <v>400</v>
      </c>
      <c r="C1118" t="str">
        <f>VLOOKUP(B1118,'Master Anggota'!$E$2:$I$279,5,0)</f>
        <v>00614</v>
      </c>
      <c r="D1118" s="73">
        <v>46258</v>
      </c>
      <c r="E1118" s="56">
        <v>-1033333</v>
      </c>
      <c r="F1118" s="62" t="s">
        <v>598</v>
      </c>
    </row>
    <row r="1119" spans="2:6" x14ac:dyDescent="0.2">
      <c r="B1119" t="s">
        <v>324</v>
      </c>
      <c r="C1119" t="str">
        <f>VLOOKUP(B1119,'Master Anggota'!$E$2:$I$279,5,0)</f>
        <v>00626</v>
      </c>
      <c r="D1119" s="73">
        <v>46258</v>
      </c>
      <c r="E1119" s="56">
        <v>-1801667</v>
      </c>
      <c r="F1119" s="62" t="s">
        <v>598</v>
      </c>
    </row>
    <row r="1120" spans="2:6" x14ac:dyDescent="0.2">
      <c r="B1120" t="s">
        <v>157</v>
      </c>
      <c r="C1120" t="str">
        <f>VLOOKUP(B1120,'Master Anggota'!$E$2:$I$279,5,0)</f>
        <v>00633</v>
      </c>
      <c r="D1120" s="73">
        <v>46258</v>
      </c>
      <c r="E1120" s="56">
        <v>-1916667</v>
      </c>
      <c r="F1120" s="62" t="s">
        <v>598</v>
      </c>
    </row>
    <row r="1121" spans="2:6" x14ac:dyDescent="0.2">
      <c r="B1121" t="s">
        <v>319</v>
      </c>
      <c r="C1121" t="str">
        <f>VLOOKUP(B1121,'Master Anggota'!$E$2:$I$279,5,0)</f>
        <v>01302</v>
      </c>
      <c r="D1121" s="73">
        <v>46258</v>
      </c>
      <c r="E1121" s="56">
        <v>-2200000</v>
      </c>
      <c r="F1121" s="62" t="s">
        <v>598</v>
      </c>
    </row>
    <row r="1122" spans="2:6" x14ac:dyDescent="0.2">
      <c r="B1122" t="s">
        <v>289</v>
      </c>
      <c r="C1122" t="str">
        <f>VLOOKUP(B1122,'Master Anggota'!$E$2:$I$279,5,0)</f>
        <v>01511</v>
      </c>
      <c r="D1122" s="73">
        <v>46258</v>
      </c>
      <c r="E1122" s="56">
        <v>-1866667</v>
      </c>
      <c r="F1122" s="62" t="s">
        <v>598</v>
      </c>
    </row>
    <row r="1123" spans="2:6" x14ac:dyDescent="0.2">
      <c r="B1123" t="s">
        <v>358</v>
      </c>
      <c r="C1123" t="str">
        <f>VLOOKUP(B1123,'Master Anggota'!$E$2:$I$279,5,0)</f>
        <v>01530</v>
      </c>
      <c r="D1123" s="73">
        <v>46258</v>
      </c>
      <c r="E1123" s="56">
        <v>-1650000</v>
      </c>
      <c r="F1123" s="62" t="s">
        <v>598</v>
      </c>
    </row>
    <row r="1124" spans="2:6" x14ac:dyDescent="0.2">
      <c r="B1124" t="s">
        <v>304</v>
      </c>
      <c r="C1124" t="str">
        <f>VLOOKUP(B1124,'Master Anggota'!$E$2:$I$279,5,0)</f>
        <v>01541</v>
      </c>
      <c r="D1124" s="73">
        <v>46258</v>
      </c>
      <c r="E1124" s="56">
        <v>-1650000</v>
      </c>
      <c r="F1124" s="62" t="s">
        <v>598</v>
      </c>
    </row>
    <row r="1125" spans="2:6" x14ac:dyDescent="0.2">
      <c r="B1125" t="s">
        <v>310</v>
      </c>
      <c r="C1125" t="str">
        <f>VLOOKUP(B1125,'Master Anggota'!$E$2:$I$279,5,0)</f>
        <v>01543</v>
      </c>
      <c r="D1125" s="73">
        <v>46258</v>
      </c>
      <c r="E1125" s="56">
        <v>-280000</v>
      </c>
      <c r="F1125" s="62" t="s">
        <v>598</v>
      </c>
    </row>
    <row r="1126" spans="2:6" x14ac:dyDescent="0.2">
      <c r="B1126" t="s">
        <v>316</v>
      </c>
      <c r="C1126" t="str">
        <f>VLOOKUP(B1126,'Master Anggota'!$E$2:$I$279,5,0)</f>
        <v>01544</v>
      </c>
      <c r="D1126" s="73">
        <v>46258</v>
      </c>
      <c r="E1126" s="56">
        <v>-1866667</v>
      </c>
      <c r="F1126" s="62" t="s">
        <v>598</v>
      </c>
    </row>
    <row r="1127" spans="2:6" x14ac:dyDescent="0.2">
      <c r="B1127" t="s">
        <v>421</v>
      </c>
      <c r="C1127" t="str">
        <f>VLOOKUP(B1127,'Master Anggota'!$E$2:$I$279,5,0)</f>
        <v>01560</v>
      </c>
      <c r="D1127" s="73">
        <v>46258</v>
      </c>
      <c r="E1127" s="56">
        <v>-165000</v>
      </c>
      <c r="F1127" s="62" t="s">
        <v>598</v>
      </c>
    </row>
    <row r="1128" spans="2:6" x14ac:dyDescent="0.2">
      <c r="B1128" t="s">
        <v>317</v>
      </c>
      <c r="C1128" t="str">
        <f>VLOOKUP(B1128,'Master Anggota'!$E$2:$I$279,5,0)</f>
        <v>01573</v>
      </c>
      <c r="D1128" s="73">
        <v>46258</v>
      </c>
      <c r="E1128" s="56">
        <v>-550000</v>
      </c>
      <c r="F1128" s="62" t="s">
        <v>598</v>
      </c>
    </row>
    <row r="1129" spans="2:6" x14ac:dyDescent="0.2">
      <c r="B1129" t="s">
        <v>323</v>
      </c>
      <c r="C1129" t="str">
        <f>VLOOKUP(B1129,'Master Anggota'!$E$2:$I$279,5,0)</f>
        <v>01601</v>
      </c>
      <c r="D1129" s="73">
        <v>46258</v>
      </c>
      <c r="E1129" s="56">
        <v>-550000</v>
      </c>
      <c r="F1129" s="62" t="s">
        <v>598</v>
      </c>
    </row>
    <row r="1130" spans="2:6" x14ac:dyDescent="0.2">
      <c r="B1130" t="s">
        <v>311</v>
      </c>
      <c r="C1130" t="str">
        <f>VLOOKUP(B1130,'Master Anggota'!$E$2:$I$279,5,0)</f>
        <v>01602</v>
      </c>
      <c r="D1130" s="73">
        <v>46258</v>
      </c>
      <c r="E1130" s="56">
        <v>-945000</v>
      </c>
      <c r="F1130" s="62" t="s">
        <v>598</v>
      </c>
    </row>
    <row r="1131" spans="2:6" x14ac:dyDescent="0.2">
      <c r="B1131" t="s">
        <v>308</v>
      </c>
      <c r="C1131" t="str">
        <f>VLOOKUP(B1131,'Master Anggota'!$E$2:$I$279,5,0)</f>
        <v>01604</v>
      </c>
      <c r="D1131" s="73">
        <v>46258</v>
      </c>
      <c r="E1131" s="56">
        <v>-1100000</v>
      </c>
      <c r="F1131" s="62" t="s">
        <v>598</v>
      </c>
    </row>
    <row r="1132" spans="2:6" x14ac:dyDescent="0.2">
      <c r="B1132" t="s">
        <v>318</v>
      </c>
      <c r="C1132" t="str">
        <f>VLOOKUP(B1132,'Master Anggota'!$E$2:$I$279,5,0)</f>
        <v>01651</v>
      </c>
      <c r="D1132" s="73">
        <v>46258</v>
      </c>
      <c r="E1132" s="56">
        <v>-550000</v>
      </c>
      <c r="F1132" s="62" t="s">
        <v>598</v>
      </c>
    </row>
    <row r="1133" spans="2:6" x14ac:dyDescent="0.2">
      <c r="B1133" t="s">
        <v>327</v>
      </c>
      <c r="C1133" t="str">
        <f>VLOOKUP(B1133,'Master Anggota'!$E$2:$I$279,5,0)</f>
        <v>01665</v>
      </c>
      <c r="D1133" s="73">
        <v>46258</v>
      </c>
      <c r="E1133" s="56">
        <v>-618335</v>
      </c>
      <c r="F1133" s="62" t="s">
        <v>598</v>
      </c>
    </row>
    <row r="1134" spans="2:6" x14ac:dyDescent="0.2">
      <c r="B1134" t="s">
        <v>368</v>
      </c>
      <c r="C1134" t="str">
        <f>VLOOKUP(B1134,'Master Anggota'!$E$2:$I$279,5,0)</f>
        <v>01703</v>
      </c>
      <c r="D1134" s="73">
        <v>46258</v>
      </c>
      <c r="E1134" s="56">
        <v>-530000</v>
      </c>
      <c r="F1134" s="62" t="s">
        <v>598</v>
      </c>
    </row>
    <row r="1135" spans="2:6" x14ac:dyDescent="0.2">
      <c r="B1135" t="s">
        <v>497</v>
      </c>
      <c r="C1135" t="str">
        <f>VLOOKUP(B1135,'Master Anggota'!$E$2:$I$279,5,0)</f>
        <v>01719</v>
      </c>
      <c r="D1135" s="73">
        <v>46258</v>
      </c>
      <c r="E1135" s="56">
        <v>-550000</v>
      </c>
      <c r="F1135" s="62" t="s">
        <v>598</v>
      </c>
    </row>
    <row r="1136" spans="2:6" x14ac:dyDescent="0.2">
      <c r="B1136" t="s">
        <v>491</v>
      </c>
      <c r="C1136" t="str">
        <f>VLOOKUP(B1136,'Master Anggota'!$E$2:$I$279,5,0)</f>
        <v>01720</v>
      </c>
      <c r="D1136" s="73">
        <v>46258</v>
      </c>
      <c r="E1136" s="56">
        <v>-1020000</v>
      </c>
      <c r="F1136" s="62" t="s">
        <v>598</v>
      </c>
    </row>
    <row r="1137" spans="2:8" x14ac:dyDescent="0.2">
      <c r="B1137" t="s">
        <v>492</v>
      </c>
      <c r="C1137" t="str">
        <f>VLOOKUP(B1137,'Master Anggota'!$E$2:$I$279,5,0)</f>
        <v>01728</v>
      </c>
      <c r="D1137" s="73">
        <v>46258</v>
      </c>
      <c r="E1137" s="56">
        <v>-1413333</v>
      </c>
      <c r="F1137" s="62" t="s">
        <v>598</v>
      </c>
    </row>
    <row r="1138" spans="2:8" x14ac:dyDescent="0.2">
      <c r="B1138" t="s">
        <v>439</v>
      </c>
      <c r="C1138" t="str">
        <f>VLOOKUP(B1138,'Master Anggota'!$E$2:$I$279,5,0)</f>
        <v>01730</v>
      </c>
      <c r="D1138" s="73">
        <v>46258</v>
      </c>
      <c r="E1138" s="56">
        <v>-660000</v>
      </c>
      <c r="F1138" s="62" t="s">
        <v>598</v>
      </c>
    </row>
    <row r="1139" spans="2:8" x14ac:dyDescent="0.2">
      <c r="B1139" t="s">
        <v>451</v>
      </c>
      <c r="C1139" t="str">
        <f>VLOOKUP(B1139,'Master Anggota'!$E$2:$I$279,5,0)</f>
        <v>01735</v>
      </c>
      <c r="D1139" s="73">
        <v>46258</v>
      </c>
      <c r="E1139" s="56">
        <v>-540000</v>
      </c>
      <c r="F1139" s="62" t="s">
        <v>598</v>
      </c>
    </row>
    <row r="1140" spans="2:8" x14ac:dyDescent="0.2">
      <c r="B1140" t="s">
        <v>448</v>
      </c>
      <c r="C1140" t="str">
        <f>VLOOKUP(B1140,'Master Anggota'!$E$2:$I$279,5,0)</f>
        <v>01737</v>
      </c>
      <c r="D1140" s="73">
        <v>46258</v>
      </c>
      <c r="E1140" s="56">
        <v>-540000</v>
      </c>
      <c r="F1140" s="62" t="s">
        <v>598</v>
      </c>
    </row>
    <row r="1141" spans="2:8" x14ac:dyDescent="0.2">
      <c r="B1141" t="s">
        <v>450</v>
      </c>
      <c r="C1141" t="str">
        <f>VLOOKUP(B1141,'Master Anggota'!$E$2:$I$279,5,0)</f>
        <v>01738</v>
      </c>
      <c r="D1141" s="73">
        <v>46258</v>
      </c>
      <c r="E1141" s="56">
        <v>-405000</v>
      </c>
      <c r="F1141" s="62" t="s">
        <v>598</v>
      </c>
    </row>
    <row r="1142" spans="2:8" x14ac:dyDescent="0.2">
      <c r="B1142" t="s">
        <v>524</v>
      </c>
      <c r="C1142" t="str">
        <f>VLOOKUP(B1142,'Master Anggota'!$E$2:$I$279,5,0)</f>
        <v>01743</v>
      </c>
      <c r="D1142" s="73">
        <v>46258</v>
      </c>
      <c r="E1142" s="56">
        <v>-458571</v>
      </c>
      <c r="F1142" s="62" t="s">
        <v>598</v>
      </c>
    </row>
    <row r="1143" spans="2:8" x14ac:dyDescent="0.2">
      <c r="B1143" t="s">
        <v>495</v>
      </c>
      <c r="C1143" t="str">
        <f>VLOOKUP(B1143,'Master Anggota'!$E$2:$I$279,5,0)</f>
        <v>01754</v>
      </c>
      <c r="D1143" s="73">
        <v>46258</v>
      </c>
      <c r="E1143" s="56">
        <v>-1100000</v>
      </c>
      <c r="F1143" s="62" t="s">
        <v>598</v>
      </c>
    </row>
    <row r="1144" spans="2:8" x14ac:dyDescent="0.2">
      <c r="B1144" t="s">
        <v>499</v>
      </c>
      <c r="C1144" t="str">
        <f>VLOOKUP(B1144,'Master Anggota'!$E$2:$I$279,5,0)</f>
        <v>01775</v>
      </c>
      <c r="D1144" s="73">
        <v>46258</v>
      </c>
      <c r="E1144" s="56">
        <v>-540000</v>
      </c>
      <c r="F1144" s="62" t="s">
        <v>598</v>
      </c>
    </row>
    <row r="1145" spans="2:8" x14ac:dyDescent="0.2">
      <c r="B1145" t="s">
        <v>500</v>
      </c>
      <c r="C1145" t="str">
        <f>VLOOKUP(B1145,'Master Anggota'!$E$2:$I$279,5,0)</f>
        <v>01776</v>
      </c>
      <c r="D1145" s="73">
        <v>46258</v>
      </c>
      <c r="E1145" s="56">
        <v>-337500</v>
      </c>
      <c r="F1145" s="62" t="s">
        <v>598</v>
      </c>
    </row>
    <row r="1146" spans="2:8" x14ac:dyDescent="0.2">
      <c r="B1146" t="s">
        <v>539</v>
      </c>
      <c r="C1146" t="str">
        <f>VLOOKUP(B1146,'Master Anggota'!$E$2:$I$279,5,0)</f>
        <v>01800</v>
      </c>
      <c r="D1146" s="73">
        <v>46258</v>
      </c>
      <c r="E1146" s="56">
        <v>-220000</v>
      </c>
      <c r="F1146" s="62" t="s">
        <v>598</v>
      </c>
    </row>
    <row r="1147" spans="2:8" x14ac:dyDescent="0.2">
      <c r="B1147" t="s">
        <v>526</v>
      </c>
      <c r="C1147" t="str">
        <f>VLOOKUP(B1147,'Master Anggota'!$E$2:$I$279,5,0)</f>
        <v>PHL</v>
      </c>
      <c r="D1147" s="73">
        <v>46258</v>
      </c>
      <c r="E1147" s="56">
        <v>-513333</v>
      </c>
      <c r="F1147" s="62" t="s">
        <v>598</v>
      </c>
    </row>
    <row r="1148" spans="2:8" x14ac:dyDescent="0.2">
      <c r="B1148" t="s">
        <v>527</v>
      </c>
      <c r="C1148" t="str">
        <f>VLOOKUP(B1148,'Master Anggota'!$E$2:$I$279,5,0)</f>
        <v>PHL</v>
      </c>
      <c r="D1148" s="73">
        <v>46258</v>
      </c>
      <c r="E1148" s="56">
        <v>-330000</v>
      </c>
      <c r="F1148" s="62" t="s">
        <v>598</v>
      </c>
    </row>
    <row r="1149" spans="2:8" x14ac:dyDescent="0.2">
      <c r="B1149" t="s">
        <v>295</v>
      </c>
      <c r="C1149" t="str">
        <f>VLOOKUP(B1149,'Master Anggota'!$E$2:$I$279,5,0)</f>
        <v>PHL</v>
      </c>
      <c r="D1149" s="73">
        <v>46258</v>
      </c>
      <c r="E1149" s="56">
        <v>-770000</v>
      </c>
      <c r="F1149" s="62" t="s">
        <v>598</v>
      </c>
    </row>
    <row r="1150" spans="2:8" x14ac:dyDescent="0.2">
      <c r="B1150" t="s">
        <v>278</v>
      </c>
      <c r="C1150" t="str">
        <f>VLOOKUP(B1150,'Master Anggota'!$E$2:$I$279,5,0)</f>
        <v>PHL</v>
      </c>
      <c r="D1150" s="73">
        <v>46258</v>
      </c>
      <c r="E1150" s="56">
        <v>-1650000</v>
      </c>
      <c r="F1150" s="62" t="s">
        <v>598</v>
      </c>
    </row>
    <row r="1151" spans="2:8" x14ac:dyDescent="0.2">
      <c r="B1151" t="s">
        <v>533</v>
      </c>
      <c r="C1151" t="str">
        <f>VLOOKUP(B1151,'Master Anggota'!$E$2:$I$279,5,0)</f>
        <v>Nasabah</v>
      </c>
      <c r="D1151" s="108">
        <v>46155</v>
      </c>
      <c r="E1151" s="82">
        <v>-1867000</v>
      </c>
      <c r="F1151" t="s">
        <v>598</v>
      </c>
      <c r="H1151" t="s">
        <v>746</v>
      </c>
    </row>
    <row r="1152" spans="2:8" x14ac:dyDescent="0.2">
      <c r="B1152" t="s">
        <v>533</v>
      </c>
      <c r="C1152" t="str">
        <f>VLOOKUP(B1152,'Master Anggota'!$E$2:$I$279,5,0)</f>
        <v>Nasabah</v>
      </c>
      <c r="D1152" s="108">
        <v>46218</v>
      </c>
      <c r="E1152" s="82">
        <v>-1867000</v>
      </c>
      <c r="F1152" t="s">
        <v>598</v>
      </c>
    </row>
    <row r="1153" spans="2:11" x14ac:dyDescent="0.2">
      <c r="B1153" t="s">
        <v>533</v>
      </c>
      <c r="C1153" t="str">
        <f>VLOOKUP(B1153,'Master Anggota'!$E$2:$I$279,5,0)</f>
        <v>Nasabah</v>
      </c>
      <c r="D1153" s="108">
        <v>46247</v>
      </c>
      <c r="E1153" s="82">
        <v>-1867000</v>
      </c>
      <c r="F1153" t="s">
        <v>598</v>
      </c>
    </row>
    <row r="1154" spans="2:11" s="62" customFormat="1" x14ac:dyDescent="0.2">
      <c r="B1154" s="62" t="s">
        <v>533</v>
      </c>
      <c r="C1154" s="62" t="str">
        <f>VLOOKUP(B1154,'Master Anggota'!$E$2:$I$279,5,0)</f>
        <v>Nasabah</v>
      </c>
      <c r="D1154" s="119">
        <v>46258</v>
      </c>
      <c r="E1154" s="109">
        <v>30000000</v>
      </c>
      <c r="H1154" s="62" t="s">
        <v>747</v>
      </c>
      <c r="I1154" s="116"/>
      <c r="J1154" s="116"/>
      <c r="K1154" s="109"/>
    </row>
    <row r="1155" spans="2:11" s="62" customFormat="1" x14ac:dyDescent="0.2">
      <c r="B1155" s="62" t="s">
        <v>533</v>
      </c>
      <c r="C1155" s="62" t="str">
        <f>VLOOKUP(B1155,'Master Anggota'!$E$2:$I$279,5,0)</f>
        <v>Nasabah</v>
      </c>
      <c r="D1155" s="119">
        <v>46258</v>
      </c>
      <c r="E1155" s="109"/>
      <c r="I1155" s="116"/>
      <c r="J1155" s="116"/>
      <c r="K1155" s="109"/>
    </row>
    <row r="1156" spans="2:11" s="62" customFormat="1" x14ac:dyDescent="0.2">
      <c r="B1156" s="62" t="s">
        <v>533</v>
      </c>
      <c r="C1156" s="62" t="str">
        <f>VLOOKUP(B1156,'Master Anggota'!$E$2:$I$279,5,0)</f>
        <v>Nasabah</v>
      </c>
      <c r="D1156" s="119">
        <v>46258</v>
      </c>
      <c r="E1156" s="109"/>
      <c r="I1156" s="116"/>
      <c r="J1156" s="116"/>
      <c r="K1156" s="109"/>
    </row>
    <row r="1157" spans="2:11" x14ac:dyDescent="0.2">
      <c r="B1157" t="s">
        <v>151</v>
      </c>
      <c r="C1157" t="str">
        <f>VLOOKUP(B1157,'Master Anggota'!$E$2:$I$279,5,0)</f>
        <v>00362</v>
      </c>
      <c r="D1157" s="108">
        <v>46261</v>
      </c>
      <c r="E1157" s="82">
        <v>7000000</v>
      </c>
      <c r="F1157" t="s">
        <v>617</v>
      </c>
      <c r="H1157" t="s">
        <v>753</v>
      </c>
      <c r="I1157" s="111">
        <v>46320</v>
      </c>
      <c r="J1157" s="111">
        <v>46593</v>
      </c>
      <c r="K1157" s="82">
        <v>805000</v>
      </c>
    </row>
    <row r="1158" spans="2:11" s="62" customFormat="1" x14ac:dyDescent="0.2">
      <c r="B1158" s="62" t="s">
        <v>129</v>
      </c>
      <c r="C1158" s="62" t="str">
        <f>VLOOKUP(B1158,'Master Anggota'!$E$2:$I$279,5,0)</f>
        <v>00343</v>
      </c>
      <c r="E1158" s="109">
        <v>55000000</v>
      </c>
      <c r="H1158" s="62" t="s">
        <v>649</v>
      </c>
      <c r="I1158" s="116"/>
      <c r="J1158" s="116"/>
      <c r="K1158" s="109"/>
    </row>
    <row r="1159" spans="2:11" s="62" customFormat="1" x14ac:dyDescent="0.2">
      <c r="B1159" s="62" t="s">
        <v>129</v>
      </c>
      <c r="C1159" s="62" t="str">
        <f>VLOOKUP(B1159,'Master Anggota'!$E$2:$I$279,5,0)</f>
        <v>00343</v>
      </c>
      <c r="E1159" s="109"/>
      <c r="I1159" s="116"/>
      <c r="J1159" s="116"/>
      <c r="K1159" s="109"/>
    </row>
    <row r="1160" spans="2:11" s="62" customFormat="1" x14ac:dyDescent="0.2">
      <c r="B1160" s="62" t="s">
        <v>129</v>
      </c>
      <c r="C1160" s="62" t="str">
        <f>VLOOKUP(B1160,'Master Anggota'!$E$2:$I$279,5,0)</f>
        <v>00343</v>
      </c>
      <c r="E1160" s="109"/>
      <c r="I1160" s="116"/>
      <c r="J1160" s="116"/>
      <c r="K1160" s="109"/>
    </row>
    <row r="1161" spans="2:11" x14ac:dyDescent="0.2">
      <c r="B1161" t="s">
        <v>48</v>
      </c>
      <c r="C1161" t="str">
        <f>VLOOKUP(B1161,'Master Anggota'!$E$2:$I$279,5,0)</f>
        <v>00325</v>
      </c>
      <c r="D1161" s="108">
        <v>46255</v>
      </c>
      <c r="E1161" s="56">
        <v>10000000</v>
      </c>
      <c r="F1161" t="s">
        <v>617</v>
      </c>
      <c r="H1161" t="s">
        <v>751</v>
      </c>
      <c r="I1161" s="111">
        <v>46290</v>
      </c>
      <c r="J1161" s="111">
        <v>46716</v>
      </c>
      <c r="K1161" s="56">
        <v>766667</v>
      </c>
    </row>
    <row r="1162" spans="2:11" x14ac:dyDescent="0.2">
      <c r="B1162" t="s">
        <v>48</v>
      </c>
      <c r="C1162" t="str">
        <f>VLOOKUP(B1162,'Master Anggota'!$E$2:$I$279,5,0)</f>
        <v>00325</v>
      </c>
      <c r="D1162" s="108">
        <v>46255</v>
      </c>
      <c r="E1162" s="56">
        <v>1500000</v>
      </c>
      <c r="F1162" t="s">
        <v>616</v>
      </c>
    </row>
    <row r="1163" spans="2:11" x14ac:dyDescent="0.2">
      <c r="B1163" t="s">
        <v>311</v>
      </c>
      <c r="C1163" t="str">
        <f>VLOOKUP(B1163,'Master Anggota'!$E$2:$I$279,5,0)</f>
        <v>01602</v>
      </c>
      <c r="D1163" s="73">
        <v>46261</v>
      </c>
      <c r="E1163" s="56">
        <v>883333</v>
      </c>
      <c r="F1163" t="s">
        <v>598</v>
      </c>
      <c r="H1163" t="s">
        <v>752</v>
      </c>
    </row>
    <row r="1164" spans="2:11" x14ac:dyDescent="0.2">
      <c r="B1164" t="s">
        <v>289</v>
      </c>
      <c r="C1164" t="str">
        <f>VLOOKUP(B1164,'Master Anggota'!$E$2:$I$279,5,0)</f>
        <v>01511</v>
      </c>
      <c r="D1164" s="108">
        <v>46230</v>
      </c>
      <c r="E1164" s="56">
        <v>1680000</v>
      </c>
      <c r="F1164" t="s">
        <v>598</v>
      </c>
      <c r="H1164" t="s">
        <v>752</v>
      </c>
    </row>
    <row r="1165" spans="2:11" x14ac:dyDescent="0.2">
      <c r="B1165" t="s">
        <v>400</v>
      </c>
      <c r="C1165" t="str">
        <f>VLOOKUP(B1165,'Master Anggota'!$E$2:$I$279,5,0)</f>
        <v>00614</v>
      </c>
      <c r="D1165" s="108">
        <v>46261</v>
      </c>
      <c r="E1165" s="56">
        <v>723333</v>
      </c>
      <c r="F1165" t="s">
        <v>598</v>
      </c>
      <c r="H1165" t="s">
        <v>752</v>
      </c>
    </row>
    <row r="1166" spans="2:11" x14ac:dyDescent="0.2">
      <c r="B1166" t="s">
        <v>173</v>
      </c>
      <c r="C1166" t="str">
        <f>VLOOKUP(B1166,'Master Anggota'!$E$2:$I$279,5,0)</f>
        <v>00583</v>
      </c>
      <c r="D1166" s="108">
        <v>46227</v>
      </c>
      <c r="E1166" s="56">
        <v>1120000</v>
      </c>
      <c r="F1166" t="s">
        <v>598</v>
      </c>
      <c r="H1166" t="s">
        <v>752</v>
      </c>
    </row>
    <row r="1167" spans="2:11" x14ac:dyDescent="0.2">
      <c r="B1167" t="s">
        <v>335</v>
      </c>
      <c r="C1167" t="str">
        <f>VLOOKUP(B1167,'Master Anggota'!$E$2:$I$279,5,0)</f>
        <v>00311</v>
      </c>
      <c r="D1167" s="73">
        <v>46261</v>
      </c>
      <c r="E1167" s="56">
        <v>3958333</v>
      </c>
      <c r="F1167" t="s">
        <v>598</v>
      </c>
      <c r="H1167" t="s">
        <v>752</v>
      </c>
    </row>
    <row r="1168" spans="2:11" x14ac:dyDescent="0.2">
      <c r="B1168" t="s">
        <v>277</v>
      </c>
      <c r="C1168" t="str">
        <f>VLOOKUP(B1168,'Master Anggota'!$E$2:$I$279,5,0)</f>
        <v>00564</v>
      </c>
      <c r="D1168" s="73">
        <v>46261</v>
      </c>
      <c r="E1168" s="56">
        <v>1291667</v>
      </c>
      <c r="F1168" t="s">
        <v>598</v>
      </c>
      <c r="H1168" t="s">
        <v>752</v>
      </c>
    </row>
    <row r="1169" spans="2:11" x14ac:dyDescent="0.2">
      <c r="B1169" t="s">
        <v>151</v>
      </c>
      <c r="C1169" t="str">
        <f>VLOOKUP(B1169,'Master Anggota'!$E$2:$I$279,5,0)</f>
        <v>00362</v>
      </c>
      <c r="D1169" s="108">
        <v>46261</v>
      </c>
      <c r="E1169" s="82">
        <v>1050000</v>
      </c>
      <c r="F1169" t="s">
        <v>616</v>
      </c>
      <c r="K1169" s="82"/>
    </row>
    <row r="1170" spans="2:11" x14ac:dyDescent="0.2">
      <c r="B1170" t="s">
        <v>182</v>
      </c>
      <c r="C1170" t="str">
        <f>VLOOKUP(B1170,'Master Anggota'!$E$2:$I$279,5,0)</f>
        <v>00565</v>
      </c>
      <c r="D1170" s="108">
        <v>46261</v>
      </c>
      <c r="E1170" s="56">
        <v>-37500000</v>
      </c>
      <c r="F1170" t="s">
        <v>598</v>
      </c>
    </row>
    <row r="1171" spans="2:11" x14ac:dyDescent="0.2">
      <c r="B1171" t="s">
        <v>182</v>
      </c>
      <c r="C1171" t="str">
        <f>VLOOKUP(B1171,'Master Anggota'!$E$2:$I$279,5,0)</f>
        <v>00565</v>
      </c>
      <c r="D1171" s="108">
        <v>46261</v>
      </c>
      <c r="E1171" s="56">
        <v>56000000</v>
      </c>
      <c r="F1171" s="60" t="s">
        <v>617</v>
      </c>
      <c r="H1171" t="s">
        <v>754</v>
      </c>
      <c r="I1171" s="111">
        <v>46320</v>
      </c>
      <c r="J1171" s="111">
        <v>47021</v>
      </c>
      <c r="K1171" s="56">
        <v>3048333</v>
      </c>
    </row>
    <row r="1172" spans="2:11" x14ac:dyDescent="0.2">
      <c r="B1172" t="s">
        <v>182</v>
      </c>
      <c r="C1172" t="str">
        <f>VLOOKUP(B1172,'Master Anggota'!$E$2:$I$279,5,0)</f>
        <v>00565</v>
      </c>
      <c r="D1172" s="108">
        <v>46261</v>
      </c>
      <c r="E1172" s="56">
        <v>17160000</v>
      </c>
      <c r="F1172" t="s">
        <v>616</v>
      </c>
    </row>
    <row r="1173" spans="2:11" s="62" customFormat="1" x14ac:dyDescent="0.2">
      <c r="B1173" s="62" t="s">
        <v>169</v>
      </c>
      <c r="C1173" s="62" t="str">
        <f>VLOOKUP(B1173,'Master Anggota'!$E$2:$I$279,5,0)</f>
        <v>01157</v>
      </c>
      <c r="D1173" s="119">
        <v>46266</v>
      </c>
      <c r="E1173" s="109">
        <v>20000000</v>
      </c>
      <c r="H1173" s="62" t="s">
        <v>756</v>
      </c>
      <c r="I1173" s="116"/>
      <c r="J1173" s="116"/>
      <c r="K1173" s="109"/>
    </row>
    <row r="1174" spans="2:11" s="62" customFormat="1" x14ac:dyDescent="0.2">
      <c r="B1174" s="62" t="s">
        <v>169</v>
      </c>
      <c r="C1174" s="62" t="str">
        <f>VLOOKUP(B1174,'Master Anggota'!$E$2:$I$279,5,0)</f>
        <v>01157</v>
      </c>
      <c r="D1174" s="119">
        <v>46266</v>
      </c>
      <c r="E1174" s="109"/>
      <c r="I1174" s="116"/>
      <c r="J1174" s="116"/>
      <c r="K1174" s="109"/>
    </row>
    <row r="1175" spans="2:11" s="62" customFormat="1" x14ac:dyDescent="0.2">
      <c r="B1175" s="62" t="s">
        <v>147</v>
      </c>
      <c r="C1175" s="62" t="str">
        <f>VLOOKUP(B1175,'Master Anggota'!$E$2:$I$279,5,0)</f>
        <v>00527</v>
      </c>
      <c r="D1175" s="119">
        <v>46266</v>
      </c>
      <c r="E1175" s="109">
        <v>90000000</v>
      </c>
      <c r="H1175" s="62" t="s">
        <v>756</v>
      </c>
      <c r="I1175" s="116"/>
      <c r="J1175" s="116"/>
      <c r="K1175" s="109"/>
    </row>
    <row r="1176" spans="2:11" s="62" customFormat="1" x14ac:dyDescent="0.2">
      <c r="B1176" s="62" t="s">
        <v>147</v>
      </c>
      <c r="C1176" s="62" t="str">
        <f>VLOOKUP(B1176,'Master Anggota'!$E$2:$I$279,5,0)</f>
        <v>00527</v>
      </c>
      <c r="D1176" s="119">
        <v>46266</v>
      </c>
      <c r="E1176" s="109"/>
      <c r="I1176" s="116"/>
      <c r="J1176" s="116"/>
      <c r="K1176" s="109"/>
    </row>
    <row r="1177" spans="2:11" s="62" customFormat="1" x14ac:dyDescent="0.2">
      <c r="B1177" s="62" t="s">
        <v>561</v>
      </c>
      <c r="C1177" s="62" t="str">
        <f>VLOOKUP(B1177,'Master Anggota'!$E$2:$I$279,5,0)</f>
        <v>PHL KJP</v>
      </c>
      <c r="D1177" s="119">
        <v>46266</v>
      </c>
      <c r="E1177" s="109">
        <v>1000000</v>
      </c>
      <c r="H1177" s="62" t="s">
        <v>759</v>
      </c>
      <c r="I1177" s="116"/>
      <c r="J1177" s="116"/>
      <c r="K1177" s="109"/>
    </row>
    <row r="1178" spans="2:11" s="62" customFormat="1" x14ac:dyDescent="0.2">
      <c r="B1178" s="62" t="s">
        <v>561</v>
      </c>
      <c r="C1178" s="62" t="str">
        <f>VLOOKUP(B1178,'Master Anggota'!$E$2:$I$279,5,0)</f>
        <v>PHL KJP</v>
      </c>
      <c r="D1178" s="119">
        <v>46266</v>
      </c>
      <c r="E1178" s="109"/>
      <c r="I1178" s="116"/>
      <c r="J1178" s="116"/>
      <c r="K1178" s="109"/>
    </row>
  </sheetData>
  <autoFilter ref="A3:K1178" xr:uid="{D4C02706-A80E-5B4C-BA70-3B0A38FA1833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C96C-186D-F34A-9BC0-664579CF71A8}">
  <sheetPr filterMode="1"/>
  <dimension ref="B2:L182"/>
  <sheetViews>
    <sheetView workbookViewId="0">
      <pane xSplit="4" ySplit="2" topLeftCell="E105" activePane="bottomRight" state="frozen"/>
      <selection pane="topRight" activeCell="E1" sqref="E1"/>
      <selection pane="bottomLeft" activeCell="A3" sqref="A3"/>
      <selection pane="bottomRight" activeCell="I183" sqref="I183"/>
    </sheetView>
  </sheetViews>
  <sheetFormatPr baseColWidth="10" defaultColWidth="10.83203125" defaultRowHeight="16" x14ac:dyDescent="0.2"/>
  <cols>
    <col min="2" max="2" width="7" customWidth="1"/>
    <col min="3" max="3" width="22.83203125" bestFit="1" customWidth="1"/>
    <col min="5" max="5" width="16.1640625" style="56" customWidth="1"/>
    <col min="6" max="6" width="11.5" style="56" bestFit="1" customWidth="1"/>
    <col min="7" max="7" width="13" bestFit="1" customWidth="1"/>
    <col min="8" max="8" width="15" bestFit="1" customWidth="1"/>
    <col min="10" max="10" width="15" style="56" customWidth="1"/>
    <col min="11" max="11" width="11.5" bestFit="1" customWidth="1"/>
    <col min="12" max="12" width="13.1640625" customWidth="1"/>
  </cols>
  <sheetData>
    <row r="2" spans="2:12" x14ac:dyDescent="0.2">
      <c r="B2" t="s">
        <v>602</v>
      </c>
      <c r="C2" t="s">
        <v>588</v>
      </c>
      <c r="D2" t="s">
        <v>589</v>
      </c>
      <c r="E2" s="56" t="s">
        <v>603</v>
      </c>
      <c r="F2" s="56" t="s">
        <v>604</v>
      </c>
      <c r="G2" t="s">
        <v>605</v>
      </c>
      <c r="H2" t="s">
        <v>606</v>
      </c>
      <c r="I2" t="s">
        <v>619</v>
      </c>
      <c r="J2" s="56" t="s">
        <v>597</v>
      </c>
    </row>
    <row r="3" spans="2:12" hidden="1" x14ac:dyDescent="0.2">
      <c r="B3">
        <v>1</v>
      </c>
      <c r="C3" t="s">
        <v>318</v>
      </c>
      <c r="D3" t="str">
        <f>VLOOKUP(C3,'Master Anggota'!$E$2:$I$279,5,0)</f>
        <v>01651</v>
      </c>
      <c r="E3" s="82">
        <v>3000000</v>
      </c>
      <c r="F3" s="82">
        <v>300000</v>
      </c>
      <c r="G3" s="111">
        <v>46078</v>
      </c>
      <c r="H3" s="111">
        <v>46351</v>
      </c>
      <c r="I3">
        <v>10</v>
      </c>
      <c r="J3" s="82" t="s">
        <v>641</v>
      </c>
      <c r="K3" s="111"/>
      <c r="L3" s="82"/>
    </row>
    <row r="4" spans="2:12" hidden="1" x14ac:dyDescent="0.2">
      <c r="B4">
        <v>2</v>
      </c>
      <c r="C4" t="s">
        <v>194</v>
      </c>
      <c r="D4" t="str">
        <f>VLOOKUP(C4,'Master Anggota'!$E$2:$I$279,5,0)</f>
        <v>00498</v>
      </c>
      <c r="E4" s="82">
        <v>93000000</v>
      </c>
      <c r="F4" s="82">
        <v>25400000</v>
      </c>
      <c r="G4" s="111">
        <v>46078</v>
      </c>
      <c r="H4" s="111">
        <v>46655</v>
      </c>
      <c r="I4">
        <v>20</v>
      </c>
      <c r="J4" s="56">
        <v>5920000</v>
      </c>
      <c r="K4" s="111"/>
    </row>
    <row r="5" spans="2:12" hidden="1" x14ac:dyDescent="0.2">
      <c r="B5">
        <v>3</v>
      </c>
      <c r="C5" t="s">
        <v>241</v>
      </c>
      <c r="D5" t="str">
        <f>VLOOKUP(C5,'Master Anggota'!$E$2:$I$279,5,0)</f>
        <v>00526</v>
      </c>
      <c r="E5" s="82">
        <v>50000000</v>
      </c>
      <c r="F5" s="82">
        <v>15000000</v>
      </c>
      <c r="G5" s="111">
        <v>46106</v>
      </c>
      <c r="H5" s="111">
        <v>46808</v>
      </c>
      <c r="I5">
        <v>24</v>
      </c>
      <c r="J5" s="56">
        <v>2708333</v>
      </c>
    </row>
    <row r="6" spans="2:12" hidden="1" x14ac:dyDescent="0.2">
      <c r="B6">
        <v>4</v>
      </c>
      <c r="C6" t="s">
        <v>53</v>
      </c>
      <c r="D6" t="str">
        <f>VLOOKUP(C6,'Master Anggota'!$E$2:$I$279,5,0)</f>
        <v>00540</v>
      </c>
      <c r="E6" s="82">
        <v>15000000</v>
      </c>
      <c r="F6" s="82">
        <v>3600000</v>
      </c>
      <c r="G6" s="111">
        <v>46078</v>
      </c>
      <c r="H6" s="111">
        <v>46777</v>
      </c>
      <c r="I6">
        <v>24</v>
      </c>
      <c r="J6" s="56">
        <v>775000</v>
      </c>
    </row>
    <row r="7" spans="2:12" hidden="1" x14ac:dyDescent="0.2">
      <c r="B7">
        <v>5</v>
      </c>
      <c r="C7" t="s">
        <v>316</v>
      </c>
      <c r="D7" t="str">
        <f>VLOOKUP(C7,'Master Anggota'!$E$2:$I$279,5,0)</f>
        <v>01544</v>
      </c>
      <c r="E7" s="82">
        <v>13000000</v>
      </c>
      <c r="F7" s="82">
        <v>1300000</v>
      </c>
      <c r="G7" s="111">
        <v>46078</v>
      </c>
      <c r="H7" s="111" t="s">
        <v>641</v>
      </c>
      <c r="I7">
        <v>10</v>
      </c>
      <c r="J7" s="82">
        <v>1430000</v>
      </c>
    </row>
    <row r="8" spans="2:12" hidden="1" x14ac:dyDescent="0.2">
      <c r="B8">
        <v>6</v>
      </c>
      <c r="C8" t="s">
        <v>527</v>
      </c>
      <c r="D8" t="str">
        <f>VLOOKUP(C8,'Master Anggota'!$E$2:$I$279,5,0)</f>
        <v>PHL</v>
      </c>
      <c r="E8" s="82">
        <v>3000000</v>
      </c>
      <c r="F8" s="82">
        <v>300000</v>
      </c>
      <c r="G8" s="111">
        <v>46078</v>
      </c>
      <c r="H8" s="111">
        <v>46351</v>
      </c>
      <c r="I8">
        <v>10</v>
      </c>
      <c r="J8" s="82">
        <v>330000</v>
      </c>
    </row>
    <row r="9" spans="2:12" hidden="1" x14ac:dyDescent="0.2">
      <c r="B9">
        <v>7</v>
      </c>
      <c r="C9" t="s">
        <v>90</v>
      </c>
      <c r="D9" t="str">
        <f>VLOOKUP(C9,'Master Anggota'!$E$2:$I$279,5,0)</f>
        <v>00363</v>
      </c>
      <c r="E9" s="82">
        <v>15000000</v>
      </c>
      <c r="F9" s="82">
        <v>1350000</v>
      </c>
      <c r="G9" t="s">
        <v>637</v>
      </c>
      <c r="H9" t="s">
        <v>637</v>
      </c>
      <c r="I9">
        <v>1</v>
      </c>
      <c r="J9" s="56">
        <v>16350000</v>
      </c>
    </row>
    <row r="10" spans="2:12" hidden="1" x14ac:dyDescent="0.2">
      <c r="B10">
        <v>8</v>
      </c>
      <c r="C10" t="s">
        <v>439</v>
      </c>
      <c r="D10" t="str">
        <f>VLOOKUP(C10,'Master Anggota'!$E$2:$I$279,5,0)</f>
        <v>01730</v>
      </c>
      <c r="E10" s="82">
        <v>4000000</v>
      </c>
      <c r="F10" s="82">
        <v>240000</v>
      </c>
      <c r="G10" s="111">
        <v>46078</v>
      </c>
      <c r="H10" s="111">
        <v>46228</v>
      </c>
      <c r="I10">
        <v>6</v>
      </c>
      <c r="J10" s="82" t="s">
        <v>641</v>
      </c>
    </row>
    <row r="11" spans="2:12" hidden="1" x14ac:dyDescent="0.2">
      <c r="B11">
        <v>9</v>
      </c>
      <c r="C11" t="s">
        <v>497</v>
      </c>
      <c r="D11" t="str">
        <f>VLOOKUP(C11,'Master Anggota'!$E$2:$I$279,5,0)</f>
        <v>01719</v>
      </c>
      <c r="E11" s="82">
        <v>3500000</v>
      </c>
      <c r="F11" s="82">
        <v>175000</v>
      </c>
      <c r="G11" s="111">
        <v>46078</v>
      </c>
      <c r="H11" s="111">
        <v>46198</v>
      </c>
      <c r="I11">
        <v>5</v>
      </c>
      <c r="J11" s="82" t="s">
        <v>641</v>
      </c>
    </row>
    <row r="12" spans="2:12" hidden="1" x14ac:dyDescent="0.2">
      <c r="B12">
        <v>10</v>
      </c>
      <c r="C12" t="s">
        <v>327</v>
      </c>
      <c r="D12" t="str">
        <f>VLOOKUP(C12,'Master Anggota'!$E$2:$I$279,5,0)</f>
        <v>01665</v>
      </c>
      <c r="E12" s="82">
        <v>3500000</v>
      </c>
      <c r="F12" s="82">
        <v>210000</v>
      </c>
      <c r="G12" s="111">
        <v>46106</v>
      </c>
      <c r="H12" s="111">
        <v>46259</v>
      </c>
      <c r="I12">
        <v>6</v>
      </c>
      <c r="J12" s="82">
        <v>618333</v>
      </c>
    </row>
    <row r="13" spans="2:12" hidden="1" x14ac:dyDescent="0.2">
      <c r="B13">
        <v>11</v>
      </c>
      <c r="C13" t="s">
        <v>235</v>
      </c>
      <c r="D13" t="str">
        <f>VLOOKUP(C13,'Master Anggota'!$E$2:$I$279,5,0)</f>
        <v>00523</v>
      </c>
      <c r="E13" s="82">
        <v>25000000</v>
      </c>
      <c r="F13" s="82">
        <v>3000000</v>
      </c>
      <c r="G13" s="111">
        <v>46106</v>
      </c>
      <c r="H13" s="111">
        <v>46443</v>
      </c>
      <c r="I13">
        <v>12</v>
      </c>
      <c r="J13" s="56">
        <v>2333333</v>
      </c>
    </row>
    <row r="14" spans="2:12" hidden="1" x14ac:dyDescent="0.2">
      <c r="B14">
        <v>12</v>
      </c>
      <c r="C14" t="s">
        <v>311</v>
      </c>
      <c r="D14" t="str">
        <f>VLOOKUP(C14,'Master Anggota'!$E$2:$I$279,5,0)</f>
        <v>01602</v>
      </c>
      <c r="E14" s="82">
        <v>5000000</v>
      </c>
      <c r="F14" s="82">
        <v>300000</v>
      </c>
      <c r="G14" s="111">
        <v>46106</v>
      </c>
      <c r="H14" s="111" t="s">
        <v>641</v>
      </c>
      <c r="I14">
        <v>6</v>
      </c>
      <c r="J14" s="56">
        <v>883333</v>
      </c>
    </row>
    <row r="15" spans="2:12" hidden="1" x14ac:dyDescent="0.2">
      <c r="B15">
        <v>13</v>
      </c>
      <c r="C15" t="s">
        <v>524</v>
      </c>
      <c r="D15" t="str">
        <f>VLOOKUP(C15,'Master Anggota'!$E$2:$I$279,5,0)</f>
        <v>01743</v>
      </c>
      <c r="E15" s="82">
        <v>700000</v>
      </c>
      <c r="F15" s="82">
        <v>14000</v>
      </c>
      <c r="G15" s="111">
        <v>46106</v>
      </c>
      <c r="H15" s="111">
        <v>46137</v>
      </c>
      <c r="I15">
        <v>2</v>
      </c>
      <c r="J15" s="56">
        <v>357000</v>
      </c>
    </row>
    <row r="16" spans="2:12" hidden="1" x14ac:dyDescent="0.2">
      <c r="B16">
        <v>14</v>
      </c>
      <c r="C16" t="s">
        <v>526</v>
      </c>
      <c r="D16" t="str">
        <f>VLOOKUP(C16,'Master Anggota'!$E$2:$I$279,5,0)</f>
        <v>PHL</v>
      </c>
      <c r="E16" s="82">
        <v>5100000</v>
      </c>
      <c r="F16" s="82">
        <v>306000</v>
      </c>
      <c r="G16" s="111">
        <v>46106</v>
      </c>
      <c r="H16" s="111">
        <v>46259</v>
      </c>
      <c r="I16">
        <v>6</v>
      </c>
      <c r="J16" s="56">
        <v>901000</v>
      </c>
    </row>
    <row r="17" spans="2:10" hidden="1" x14ac:dyDescent="0.2">
      <c r="B17">
        <v>15</v>
      </c>
      <c r="C17" t="s">
        <v>368</v>
      </c>
      <c r="D17" t="str">
        <f>VLOOKUP(C17,'Master Anggota'!$E$2:$I$279,5,0)</f>
        <v>01703</v>
      </c>
      <c r="E17" s="82">
        <v>3000000</v>
      </c>
      <c r="F17" s="82">
        <v>180000</v>
      </c>
      <c r="G17" s="111">
        <v>46106</v>
      </c>
      <c r="H17" s="111">
        <v>46259</v>
      </c>
      <c r="I17">
        <v>6</v>
      </c>
      <c r="J17" s="56">
        <v>530000</v>
      </c>
    </row>
    <row r="18" spans="2:10" hidden="1" x14ac:dyDescent="0.2">
      <c r="B18">
        <v>16</v>
      </c>
      <c r="C18" t="s">
        <v>175</v>
      </c>
      <c r="D18" t="str">
        <f>VLOOKUP(C18,'Master Anggota'!$E$2:$I$279,5,0)</f>
        <v>00563</v>
      </c>
      <c r="E18" s="82">
        <v>50000000</v>
      </c>
      <c r="F18" s="82">
        <v>15000000</v>
      </c>
      <c r="G18" s="111">
        <v>46106</v>
      </c>
      <c r="H18" s="111">
        <v>46808</v>
      </c>
      <c r="I18">
        <v>24</v>
      </c>
      <c r="J18" s="56">
        <v>2708333</v>
      </c>
    </row>
    <row r="19" spans="2:10" s="113" customFormat="1" hidden="1" x14ac:dyDescent="0.2">
      <c r="B19">
        <v>17</v>
      </c>
      <c r="C19" s="113" t="s">
        <v>157</v>
      </c>
      <c r="D19" s="113" t="str">
        <f>VLOOKUP(C19,'Master Anggota'!$E$2:$I$279,5,0)</f>
        <v>00633</v>
      </c>
      <c r="E19" s="114">
        <v>25000000</v>
      </c>
      <c r="F19" s="114">
        <v>3750000</v>
      </c>
      <c r="G19" s="115">
        <v>46106</v>
      </c>
      <c r="H19" s="115">
        <v>46532</v>
      </c>
      <c r="I19" s="113">
        <v>15</v>
      </c>
      <c r="J19" s="114">
        <v>1916667</v>
      </c>
    </row>
    <row r="20" spans="2:10" hidden="1" x14ac:dyDescent="0.2">
      <c r="B20">
        <v>18</v>
      </c>
      <c r="C20" t="s">
        <v>8</v>
      </c>
      <c r="D20" t="str">
        <f>VLOOKUP(C20,'Master Anggota'!$E$2:$I$279,5,0)</f>
        <v>00553</v>
      </c>
      <c r="E20"/>
      <c r="F20"/>
      <c r="G20" s="111">
        <v>46047</v>
      </c>
      <c r="H20" s="111">
        <v>46290</v>
      </c>
      <c r="I20">
        <v>10</v>
      </c>
      <c r="J20" s="56">
        <v>660000</v>
      </c>
    </row>
    <row r="21" spans="2:10" hidden="1" x14ac:dyDescent="0.2">
      <c r="B21">
        <v>19</v>
      </c>
      <c r="C21" t="s">
        <v>189</v>
      </c>
      <c r="D21" t="str">
        <f>VLOOKUP(C21,'Master Anggota'!$E$2:$I$279,5,0)</f>
        <v>00535</v>
      </c>
      <c r="E21"/>
      <c r="F21"/>
      <c r="G21" s="111">
        <v>46016</v>
      </c>
      <c r="H21" s="111">
        <v>46351</v>
      </c>
      <c r="J21" s="56">
        <v>597333</v>
      </c>
    </row>
    <row r="22" spans="2:10" hidden="1" x14ac:dyDescent="0.2">
      <c r="B22">
        <v>20</v>
      </c>
      <c r="C22" t="s">
        <v>552</v>
      </c>
      <c r="D22" t="str">
        <f>VLOOKUP(C22,'Master Anggota'!$E$2:$I$279,5,0)</f>
        <v>Nasabah</v>
      </c>
      <c r="E22"/>
      <c r="F22"/>
      <c r="G22" s="111">
        <v>45863</v>
      </c>
      <c r="H22" s="111">
        <v>46198</v>
      </c>
      <c r="J22" s="56">
        <v>189000</v>
      </c>
    </row>
    <row r="23" spans="2:10" hidden="1" x14ac:dyDescent="0.2">
      <c r="B23">
        <v>21</v>
      </c>
      <c r="C23" t="s">
        <v>328</v>
      </c>
      <c r="D23" t="str">
        <f>VLOOKUP(C23,'Master Anggota'!$E$2:$I$279,5,0)</f>
        <v>00369</v>
      </c>
      <c r="E23"/>
      <c r="F23"/>
      <c r="G23" s="111">
        <v>45772</v>
      </c>
      <c r="H23" s="111">
        <v>46228</v>
      </c>
      <c r="J23" s="56">
        <v>1812500</v>
      </c>
    </row>
    <row r="24" spans="2:10" hidden="1" x14ac:dyDescent="0.2">
      <c r="B24">
        <v>22</v>
      </c>
      <c r="C24" t="s">
        <v>484</v>
      </c>
      <c r="D24" t="str">
        <f>VLOOKUP(C24,'Master Anggota'!$E$2:$I$279,5,0)</f>
        <v>00552</v>
      </c>
      <c r="E24"/>
      <c r="F24"/>
      <c r="G24" s="111">
        <v>46047</v>
      </c>
      <c r="H24" s="111">
        <v>46746</v>
      </c>
      <c r="J24" s="56">
        <v>4408333</v>
      </c>
    </row>
    <row r="25" spans="2:10" hidden="1" x14ac:dyDescent="0.2">
      <c r="B25">
        <v>23</v>
      </c>
      <c r="C25" t="s">
        <v>325</v>
      </c>
      <c r="D25" t="str">
        <f>VLOOKUP(C25,'Master Anggota'!$E$2:$I$279,5,0)</f>
        <v>00607</v>
      </c>
      <c r="E25"/>
      <c r="F25"/>
      <c r="G25" s="111">
        <v>45833</v>
      </c>
      <c r="H25" s="111" t="s">
        <v>641</v>
      </c>
      <c r="J25" s="56">
        <v>775000</v>
      </c>
    </row>
    <row r="26" spans="2:10" hidden="1" x14ac:dyDescent="0.2">
      <c r="B26">
        <v>24</v>
      </c>
      <c r="C26" t="s">
        <v>319</v>
      </c>
      <c r="D26" t="str">
        <f>VLOOKUP(C26,'Master Anggota'!$E$2:$I$279,5,0)</f>
        <v>01302</v>
      </c>
      <c r="E26"/>
      <c r="F26"/>
      <c r="G26" s="111">
        <v>46016</v>
      </c>
      <c r="H26" s="111">
        <v>46290</v>
      </c>
      <c r="J26" s="56">
        <v>2200000</v>
      </c>
    </row>
    <row r="27" spans="2:10" hidden="1" x14ac:dyDescent="0.2">
      <c r="B27">
        <v>25</v>
      </c>
      <c r="C27" t="s">
        <v>363</v>
      </c>
      <c r="D27" t="str">
        <f>VLOOKUP(C27,'Master Anggota'!$E$2:$I$279,5,0)</f>
        <v>00576</v>
      </c>
      <c r="E27"/>
      <c r="F27"/>
      <c r="G27" s="111">
        <v>45894</v>
      </c>
      <c r="H27" s="111">
        <v>46593</v>
      </c>
      <c r="J27" s="56">
        <v>1858333</v>
      </c>
    </row>
    <row r="28" spans="2:10" hidden="1" x14ac:dyDescent="0.2">
      <c r="B28">
        <v>26</v>
      </c>
      <c r="C28" t="s">
        <v>35</v>
      </c>
      <c r="D28" t="str">
        <f>VLOOKUP(C28,'Master Anggota'!$E$2:$I$279,5,0)</f>
        <v>00546</v>
      </c>
      <c r="E28"/>
      <c r="F28"/>
      <c r="G28" s="111">
        <v>45894</v>
      </c>
      <c r="H28" s="111">
        <v>46593</v>
      </c>
      <c r="J28" s="56">
        <v>1575000</v>
      </c>
    </row>
    <row r="29" spans="2:10" hidden="1" x14ac:dyDescent="0.2">
      <c r="B29">
        <v>27</v>
      </c>
      <c r="C29" t="s">
        <v>400</v>
      </c>
      <c r="D29" t="str">
        <f>VLOOKUP(C29,'Master Anggota'!$E$2:$I$279,5,0)</f>
        <v>00614</v>
      </c>
      <c r="E29"/>
      <c r="F29"/>
      <c r="G29" s="111">
        <v>45925</v>
      </c>
      <c r="H29" s="111" t="s">
        <v>641</v>
      </c>
      <c r="J29" s="56">
        <v>723333</v>
      </c>
    </row>
    <row r="30" spans="2:10" hidden="1" x14ac:dyDescent="0.2">
      <c r="B30">
        <v>28</v>
      </c>
      <c r="C30" t="s">
        <v>522</v>
      </c>
      <c r="D30" t="str">
        <f>VLOOKUP(C30,'Master Anggota'!$E$2:$I$279,5,0)</f>
        <v>00533</v>
      </c>
      <c r="E30"/>
      <c r="F30"/>
      <c r="G30" s="111">
        <v>45894</v>
      </c>
      <c r="H30" s="111">
        <v>46593</v>
      </c>
      <c r="J30" s="56">
        <v>3275000</v>
      </c>
    </row>
    <row r="31" spans="2:10" hidden="1" x14ac:dyDescent="0.2">
      <c r="B31">
        <v>29</v>
      </c>
      <c r="C31" t="s">
        <v>586</v>
      </c>
      <c r="D31" t="str">
        <f>VLOOKUP(C31,'Master Anggota'!$E$2:$I$279,5,0)</f>
        <v>00579</v>
      </c>
      <c r="E31"/>
      <c r="F31"/>
      <c r="G31" s="111">
        <v>45894</v>
      </c>
      <c r="H31" s="111">
        <v>46320</v>
      </c>
      <c r="J31" s="56">
        <v>767000</v>
      </c>
    </row>
    <row r="32" spans="2:10" hidden="1" x14ac:dyDescent="0.2">
      <c r="B32">
        <v>30</v>
      </c>
      <c r="C32" t="s">
        <v>467</v>
      </c>
      <c r="D32" t="str">
        <f>VLOOKUP(C32,'Master Anggota'!$E$2:$I$279,5,0)</f>
        <v>00577</v>
      </c>
      <c r="E32"/>
      <c r="F32"/>
      <c r="G32" s="111">
        <v>45955</v>
      </c>
      <c r="H32" s="111">
        <v>46655</v>
      </c>
      <c r="J32" s="56">
        <v>1603333</v>
      </c>
    </row>
    <row r="33" spans="2:10" hidden="1" x14ac:dyDescent="0.2">
      <c r="B33">
        <v>31</v>
      </c>
      <c r="C33" t="s">
        <v>491</v>
      </c>
      <c r="D33" t="str">
        <f>VLOOKUP(C33,'Master Anggota'!$E$2:$I$279,5,0)</f>
        <v>01720</v>
      </c>
      <c r="E33"/>
      <c r="F33"/>
      <c r="G33" s="111">
        <v>45658</v>
      </c>
      <c r="H33" s="111">
        <v>46137</v>
      </c>
      <c r="J33" s="56">
        <v>1195000</v>
      </c>
    </row>
    <row r="34" spans="2:10" hidden="1" x14ac:dyDescent="0.2">
      <c r="B34">
        <v>32</v>
      </c>
      <c r="C34" t="s">
        <v>294</v>
      </c>
      <c r="D34" t="str">
        <f>VLOOKUP(C34,'Master Anggota'!$E$2:$I$279,5,0)</f>
        <v>PHL</v>
      </c>
      <c r="E34"/>
      <c r="F34"/>
      <c r="G34" s="111">
        <v>45894</v>
      </c>
      <c r="H34" s="111" t="s">
        <v>641</v>
      </c>
      <c r="J34" s="82">
        <v>0</v>
      </c>
    </row>
    <row r="35" spans="2:10" hidden="1" x14ac:dyDescent="0.2">
      <c r="B35">
        <v>33</v>
      </c>
      <c r="C35" t="s">
        <v>307</v>
      </c>
      <c r="D35" t="str">
        <f>VLOOKUP(C35,'Master Anggota'!$E$2:$I$279,5,0)</f>
        <v>00591</v>
      </c>
      <c r="E35"/>
      <c r="F35"/>
      <c r="G35" s="111">
        <v>45833</v>
      </c>
      <c r="H35" s="111" t="s">
        <v>641</v>
      </c>
      <c r="J35" s="56">
        <v>0</v>
      </c>
    </row>
    <row r="36" spans="2:10" hidden="1" x14ac:dyDescent="0.2">
      <c r="B36">
        <v>34</v>
      </c>
      <c r="C36" t="s">
        <v>198</v>
      </c>
      <c r="D36" t="str">
        <f>VLOOKUP(C36,'Master Anggota'!$E$2:$I$279,5,0)</f>
        <v>00327</v>
      </c>
      <c r="E36"/>
      <c r="F36"/>
      <c r="G36" s="111">
        <v>45833</v>
      </c>
      <c r="H36" s="111">
        <v>46532</v>
      </c>
      <c r="J36" s="56">
        <v>3275000</v>
      </c>
    </row>
    <row r="37" spans="2:10" hidden="1" x14ac:dyDescent="0.2">
      <c r="B37">
        <v>35</v>
      </c>
      <c r="C37" t="s">
        <v>198</v>
      </c>
      <c r="D37" t="str">
        <f>VLOOKUP(C37,'Master Anggota'!$E$2:$I$279,5,0)</f>
        <v>00327</v>
      </c>
      <c r="E37"/>
      <c r="F37"/>
      <c r="G37" s="111">
        <v>45955</v>
      </c>
      <c r="H37" s="111">
        <v>46655</v>
      </c>
      <c r="J37" s="56">
        <v>3149608</v>
      </c>
    </row>
    <row r="38" spans="2:10" hidden="1" x14ac:dyDescent="0.2">
      <c r="B38">
        <v>36</v>
      </c>
      <c r="C38" t="s">
        <v>65</v>
      </c>
      <c r="D38" t="str">
        <f>VLOOKUP(C38,'Master Anggota'!$E$2:$I$279,5,0)</f>
        <v>00490</v>
      </c>
      <c r="E38"/>
      <c r="F38"/>
      <c r="G38" s="111">
        <v>45833</v>
      </c>
      <c r="H38" s="111">
        <v>46106</v>
      </c>
      <c r="J38" s="56">
        <v>2750000</v>
      </c>
    </row>
    <row r="39" spans="2:10" hidden="1" x14ac:dyDescent="0.2">
      <c r="B39">
        <v>37</v>
      </c>
      <c r="C39" t="s">
        <v>200</v>
      </c>
      <c r="D39" t="str">
        <f>VLOOKUP(C39,'Master Anggota'!$E$2:$I$279,5,0)</f>
        <v>00520</v>
      </c>
      <c r="E39"/>
      <c r="F39"/>
      <c r="G39" s="111">
        <v>46047</v>
      </c>
      <c r="H39" s="111">
        <v>46290</v>
      </c>
      <c r="J39" s="56">
        <v>1650000</v>
      </c>
    </row>
    <row r="40" spans="2:10" hidden="1" x14ac:dyDescent="0.2">
      <c r="B40">
        <v>38</v>
      </c>
      <c r="C40" t="s">
        <v>182</v>
      </c>
      <c r="D40" t="str">
        <f>VLOOKUP(C40,'Master Anggota'!$E$2:$I$279,5,0)</f>
        <v>00565</v>
      </c>
      <c r="E40"/>
      <c r="F40"/>
      <c r="G40" s="111">
        <v>46047</v>
      </c>
      <c r="H40" s="111">
        <v>46624</v>
      </c>
      <c r="J40" s="56">
        <v>3125000</v>
      </c>
    </row>
    <row r="41" spans="2:10" hidden="1" x14ac:dyDescent="0.2">
      <c r="B41">
        <v>39</v>
      </c>
      <c r="C41" t="s">
        <v>533</v>
      </c>
      <c r="D41" t="str">
        <f>VLOOKUP(C41,'Master Anggota'!$E$2:$I$279,5,0)</f>
        <v>Nasabah</v>
      </c>
      <c r="E41"/>
      <c r="F41"/>
      <c r="G41" s="111">
        <v>46016</v>
      </c>
      <c r="H41" s="111">
        <v>46351</v>
      </c>
      <c r="J41" s="56">
        <v>1866667</v>
      </c>
    </row>
    <row r="42" spans="2:10" hidden="1" x14ac:dyDescent="0.2">
      <c r="B42">
        <v>40</v>
      </c>
      <c r="C42" t="s">
        <v>202</v>
      </c>
      <c r="D42" t="str">
        <f>VLOOKUP(C42,'Master Anggota'!$E$2:$I$279,5,0)</f>
        <v>00512</v>
      </c>
      <c r="E42"/>
      <c r="F42"/>
      <c r="G42" s="111">
        <v>45925</v>
      </c>
      <c r="H42" s="111">
        <v>46624</v>
      </c>
      <c r="J42" s="56" t="s">
        <v>641</v>
      </c>
    </row>
    <row r="43" spans="2:10" hidden="1" x14ac:dyDescent="0.2">
      <c r="B43">
        <v>41</v>
      </c>
      <c r="C43" t="s">
        <v>300</v>
      </c>
      <c r="D43" t="str">
        <f>VLOOKUP(C43,'Master Anggota'!$E$2:$I$279,5,0)</f>
        <v>00585</v>
      </c>
      <c r="E43"/>
      <c r="F43"/>
      <c r="G43" s="111">
        <v>45802</v>
      </c>
      <c r="H43" s="111">
        <v>46381</v>
      </c>
      <c r="J43" s="56">
        <v>600000</v>
      </c>
    </row>
    <row r="44" spans="2:10" hidden="1" x14ac:dyDescent="0.2">
      <c r="B44">
        <v>42</v>
      </c>
      <c r="C44" t="s">
        <v>79</v>
      </c>
      <c r="D44" t="str">
        <f>VLOOKUP(C44,'Master Anggota'!$E$2:$I$279,5,0)</f>
        <v>00541</v>
      </c>
      <c r="E44"/>
      <c r="F44"/>
      <c r="G44" s="111">
        <v>46047</v>
      </c>
      <c r="H44" s="111">
        <v>46746</v>
      </c>
      <c r="J44" s="56">
        <v>4125000</v>
      </c>
    </row>
    <row r="45" spans="2:10" hidden="1" x14ac:dyDescent="0.2">
      <c r="B45">
        <v>43</v>
      </c>
      <c r="C45" t="s">
        <v>81</v>
      </c>
      <c r="D45" t="str">
        <f>VLOOKUP(C45,'Master Anggota'!$E$2:$I$279,5,0)</f>
        <v>00537</v>
      </c>
      <c r="E45"/>
      <c r="F45"/>
      <c r="G45" s="111">
        <v>45894</v>
      </c>
      <c r="H45" s="111">
        <v>46593</v>
      </c>
      <c r="J45" s="56">
        <v>2708333</v>
      </c>
    </row>
    <row r="46" spans="2:10" hidden="1" x14ac:dyDescent="0.2">
      <c r="B46">
        <v>44</v>
      </c>
      <c r="C46" t="s">
        <v>364</v>
      </c>
      <c r="D46" t="str">
        <f>VLOOKUP(C46,'Master Anggota'!$E$2:$I$279,5,0)</f>
        <v>00578</v>
      </c>
      <c r="G46" s="111">
        <v>45894</v>
      </c>
      <c r="H46" s="111" t="s">
        <v>641</v>
      </c>
      <c r="J46" s="56">
        <v>0</v>
      </c>
    </row>
    <row r="47" spans="2:10" hidden="1" x14ac:dyDescent="0.2">
      <c r="B47">
        <v>45</v>
      </c>
      <c r="C47" t="s">
        <v>204</v>
      </c>
      <c r="D47" t="str">
        <f>VLOOKUP(C47,'Master Anggota'!$E$2:$I$279,5,0)</f>
        <v>00534</v>
      </c>
      <c r="E47"/>
      <c r="F47"/>
      <c r="G47" s="111">
        <v>45682</v>
      </c>
      <c r="H47" s="111" t="s">
        <v>641</v>
      </c>
      <c r="J47" s="56">
        <v>1825000</v>
      </c>
    </row>
    <row r="48" spans="2:10" hidden="1" x14ac:dyDescent="0.2">
      <c r="B48">
        <v>46</v>
      </c>
      <c r="C48" t="s">
        <v>85</v>
      </c>
      <c r="D48" t="str">
        <f>VLOOKUP(C48,'Master Anggota'!$E$2:$I$279,5,0)</f>
        <v>00547</v>
      </c>
      <c r="G48" s="111">
        <v>46016</v>
      </c>
      <c r="H48" s="111">
        <v>46716</v>
      </c>
      <c r="J48" s="56">
        <v>2368333</v>
      </c>
    </row>
    <row r="49" spans="2:10" hidden="1" x14ac:dyDescent="0.2">
      <c r="B49">
        <v>47</v>
      </c>
      <c r="C49" t="s">
        <v>482</v>
      </c>
      <c r="D49" t="str">
        <f>VLOOKUP(C49,'Master Anggota'!$E$2:$I$279,5,0)</f>
        <v>01561</v>
      </c>
      <c r="E49"/>
      <c r="F49"/>
      <c r="G49" s="111">
        <v>45894</v>
      </c>
      <c r="H49" s="111">
        <v>46167</v>
      </c>
      <c r="J49" s="56">
        <v>1430000</v>
      </c>
    </row>
    <row r="50" spans="2:10" hidden="1" x14ac:dyDescent="0.2">
      <c r="B50">
        <v>48</v>
      </c>
      <c r="C50" t="s">
        <v>206</v>
      </c>
      <c r="D50" t="str">
        <f>VLOOKUP(C50,'Master Anggota'!$E$2:$I$279,5,0)</f>
        <v>00525</v>
      </c>
      <c r="E50"/>
      <c r="F50"/>
      <c r="G50" s="111">
        <v>46016</v>
      </c>
      <c r="H50" s="111">
        <v>46716</v>
      </c>
      <c r="J50" s="56">
        <v>3331667</v>
      </c>
    </row>
    <row r="51" spans="2:10" hidden="1" x14ac:dyDescent="0.2">
      <c r="B51">
        <v>49</v>
      </c>
      <c r="C51" t="s">
        <v>208</v>
      </c>
      <c r="D51" t="str">
        <f>VLOOKUP(C51,'Master Anggota'!$E$2:$I$279,5,0)</f>
        <v>00328</v>
      </c>
      <c r="E51"/>
      <c r="F51"/>
      <c r="G51" s="111">
        <v>45682</v>
      </c>
      <c r="H51" s="111" t="s">
        <v>641</v>
      </c>
      <c r="J51" s="56">
        <v>3275000</v>
      </c>
    </row>
    <row r="52" spans="2:10" hidden="1" x14ac:dyDescent="0.2">
      <c r="B52">
        <v>50</v>
      </c>
      <c r="C52" t="s">
        <v>214</v>
      </c>
      <c r="D52" t="str">
        <f>VLOOKUP(C52,'Master Anggota'!$E$2:$I$279,5,0)</f>
        <v>00529</v>
      </c>
      <c r="E52"/>
      <c r="F52"/>
      <c r="G52" s="111">
        <v>45682</v>
      </c>
      <c r="H52" s="111" t="s">
        <v>641</v>
      </c>
      <c r="J52" s="56">
        <v>0</v>
      </c>
    </row>
    <row r="53" spans="2:10" hidden="1" x14ac:dyDescent="0.2">
      <c r="B53">
        <v>51</v>
      </c>
      <c r="C53" t="s">
        <v>87</v>
      </c>
      <c r="D53" t="str">
        <f>VLOOKUP(C53,'Master Anggota'!$E$2:$I$279,5,0)</f>
        <v>00554</v>
      </c>
      <c r="E53"/>
      <c r="F53"/>
      <c r="G53" s="111">
        <v>46047</v>
      </c>
      <c r="H53" s="111">
        <v>46167</v>
      </c>
      <c r="J53" s="56">
        <v>530000</v>
      </c>
    </row>
    <row r="54" spans="2:10" hidden="1" x14ac:dyDescent="0.2">
      <c r="B54">
        <v>52</v>
      </c>
      <c r="C54" t="s">
        <v>92</v>
      </c>
      <c r="D54" t="str">
        <f>VLOOKUP(C54,'Master Anggota'!$E$2:$I$279,5,0)</f>
        <v>00396</v>
      </c>
      <c r="E54"/>
      <c r="F54"/>
      <c r="G54" s="111">
        <v>45955</v>
      </c>
      <c r="H54" s="111" t="s">
        <v>641</v>
      </c>
      <c r="J54" s="56">
        <v>4475000</v>
      </c>
    </row>
    <row r="55" spans="2:10" hidden="1" x14ac:dyDescent="0.2">
      <c r="B55">
        <v>53</v>
      </c>
      <c r="C55" t="s">
        <v>94</v>
      </c>
      <c r="D55" t="str">
        <f>VLOOKUP(C55,'Master Anggota'!$E$2:$I$279,5,0)</f>
        <v>00387</v>
      </c>
      <c r="E55"/>
      <c r="F55"/>
      <c r="G55" s="111">
        <v>45894</v>
      </c>
      <c r="H55" s="111">
        <v>46959</v>
      </c>
      <c r="J55" s="56">
        <v>1586112</v>
      </c>
    </row>
    <row r="56" spans="2:10" hidden="1" x14ac:dyDescent="0.2">
      <c r="B56">
        <v>54</v>
      </c>
      <c r="C56" t="s">
        <v>94</v>
      </c>
      <c r="D56" t="str">
        <f>VLOOKUP(C56,'Master Anggota'!$E$2:$I$279,5,0)</f>
        <v>00387</v>
      </c>
      <c r="E56"/>
      <c r="F56"/>
      <c r="G56" s="111">
        <v>45682</v>
      </c>
      <c r="H56" s="111">
        <v>46381</v>
      </c>
      <c r="J56" s="56">
        <v>155000</v>
      </c>
    </row>
    <row r="57" spans="2:10" hidden="1" x14ac:dyDescent="0.2">
      <c r="B57">
        <v>55</v>
      </c>
      <c r="C57" t="s">
        <v>96</v>
      </c>
      <c r="D57" t="str">
        <f>VLOOKUP(C57,'Master Anggota'!$E$2:$I$279,5,0)</f>
        <v>00508</v>
      </c>
      <c r="E57"/>
      <c r="F57"/>
      <c r="G57" s="111">
        <v>46047</v>
      </c>
      <c r="H57" s="111">
        <v>46381</v>
      </c>
      <c r="J57" s="56">
        <v>2708333</v>
      </c>
    </row>
    <row r="58" spans="2:10" hidden="1" x14ac:dyDescent="0.2">
      <c r="B58">
        <v>56</v>
      </c>
      <c r="C58" t="s">
        <v>304</v>
      </c>
      <c r="D58" t="str">
        <f>VLOOKUP(C58,'Master Anggota'!$E$2:$I$279,5,0)</f>
        <v>01541</v>
      </c>
      <c r="E58"/>
      <c r="F58"/>
      <c r="G58" s="111">
        <v>45925</v>
      </c>
      <c r="H58" s="111">
        <v>46228</v>
      </c>
      <c r="J58" s="56" t="s">
        <v>641</v>
      </c>
    </row>
    <row r="59" spans="2:10" hidden="1" x14ac:dyDescent="0.2">
      <c r="B59">
        <v>57</v>
      </c>
      <c r="C59" t="s">
        <v>295</v>
      </c>
      <c r="D59" t="str">
        <f>VLOOKUP(C59,'Master Anggota'!$E$2:$I$279,5,0)</f>
        <v>PHL</v>
      </c>
      <c r="E59"/>
      <c r="F59"/>
      <c r="G59" s="111">
        <v>45955</v>
      </c>
      <c r="H59" s="111">
        <v>46228</v>
      </c>
      <c r="J59" s="56">
        <v>770000</v>
      </c>
    </row>
    <row r="60" spans="2:10" hidden="1" x14ac:dyDescent="0.2">
      <c r="B60">
        <v>58</v>
      </c>
      <c r="C60" t="s">
        <v>481</v>
      </c>
      <c r="D60" t="str">
        <f>VLOOKUP(C60,'Master Anggota'!$E$2:$I$279,5,0)</f>
        <v>00371</v>
      </c>
      <c r="E60"/>
      <c r="F60"/>
      <c r="G60" s="111">
        <v>45955</v>
      </c>
      <c r="H60" s="111">
        <v>46655</v>
      </c>
      <c r="J60" s="56">
        <v>3955000</v>
      </c>
    </row>
    <row r="61" spans="2:10" hidden="1" x14ac:dyDescent="0.2">
      <c r="B61">
        <v>59</v>
      </c>
      <c r="C61" t="s">
        <v>480</v>
      </c>
      <c r="D61" t="str">
        <f>VLOOKUP(C61,'Master Anggota'!$E$2:$I$279,5,0)</f>
        <v>00351</v>
      </c>
      <c r="E61"/>
      <c r="F61"/>
      <c r="G61" s="111">
        <v>46016</v>
      </c>
      <c r="H61" s="111">
        <v>46443</v>
      </c>
      <c r="J61" s="56">
        <v>2325000</v>
      </c>
    </row>
    <row r="62" spans="2:10" hidden="1" x14ac:dyDescent="0.2">
      <c r="B62">
        <v>60</v>
      </c>
      <c r="C62" t="s">
        <v>289</v>
      </c>
      <c r="D62" t="str">
        <f>VLOOKUP(C62,'Master Anggota'!$E$2:$I$279,5,0)</f>
        <v>01511</v>
      </c>
      <c r="E62"/>
      <c r="F62"/>
      <c r="G62" s="111">
        <v>45894</v>
      </c>
      <c r="H62" s="111" t="s">
        <v>641</v>
      </c>
      <c r="J62" s="56">
        <v>1680000</v>
      </c>
    </row>
    <row r="63" spans="2:10" hidden="1" x14ac:dyDescent="0.2">
      <c r="B63">
        <v>61</v>
      </c>
      <c r="C63" t="s">
        <v>223</v>
      </c>
      <c r="D63" t="str">
        <f>VLOOKUP(C63,'Master Anggota'!$E$2:$I$279,5,0)</f>
        <v>00514</v>
      </c>
      <c r="E63"/>
      <c r="F63"/>
      <c r="G63" s="111">
        <v>45894</v>
      </c>
      <c r="H63" s="111" t="s">
        <v>641</v>
      </c>
      <c r="J63" s="56">
        <v>933334</v>
      </c>
    </row>
    <row r="64" spans="2:10" hidden="1" x14ac:dyDescent="0.2">
      <c r="B64">
        <v>62</v>
      </c>
      <c r="C64" t="s">
        <v>225</v>
      </c>
      <c r="D64" t="str">
        <f>VLOOKUP(C64,'Master Anggota'!$E$2:$I$279,5,0)</f>
        <v>00531</v>
      </c>
      <c r="E64"/>
      <c r="F64"/>
      <c r="G64" s="111">
        <v>45894</v>
      </c>
      <c r="H64" s="111" t="s">
        <v>641</v>
      </c>
      <c r="J64" s="56">
        <v>0</v>
      </c>
    </row>
    <row r="65" spans="2:10" hidden="1" x14ac:dyDescent="0.2">
      <c r="B65">
        <v>63</v>
      </c>
      <c r="C65" t="s">
        <v>483</v>
      </c>
      <c r="D65" t="str">
        <f>VLOOKUP(C65,'Master Anggota'!$E$2:$I$279,5,0)</f>
        <v>00368</v>
      </c>
      <c r="E65"/>
      <c r="F65"/>
      <c r="G65" s="111">
        <v>45925</v>
      </c>
      <c r="H65" s="111">
        <v>46624</v>
      </c>
      <c r="J65" s="56">
        <v>3275000</v>
      </c>
    </row>
    <row r="66" spans="2:10" hidden="1" x14ac:dyDescent="0.2">
      <c r="B66">
        <v>64</v>
      </c>
      <c r="C66" t="s">
        <v>176</v>
      </c>
      <c r="D66" t="str">
        <f>VLOOKUP(C66,'Master Anggota'!$E$2:$I$279,5,0)</f>
        <v>00568</v>
      </c>
      <c r="E66"/>
      <c r="F66"/>
      <c r="G66" s="111">
        <v>46047</v>
      </c>
      <c r="H66" s="111">
        <v>46746</v>
      </c>
      <c r="J66" s="56">
        <v>1085000</v>
      </c>
    </row>
    <row r="67" spans="2:10" hidden="1" x14ac:dyDescent="0.2">
      <c r="B67">
        <v>65</v>
      </c>
      <c r="C67" t="s">
        <v>103</v>
      </c>
      <c r="D67" t="str">
        <f>VLOOKUP(C67,'Master Anggota'!$E$2:$I$279,5,0)</f>
        <v>00401</v>
      </c>
      <c r="E67"/>
      <c r="F67"/>
      <c r="G67" s="111">
        <v>45894</v>
      </c>
      <c r="H67" s="111" t="s">
        <v>641</v>
      </c>
      <c r="J67" s="56">
        <v>1200000</v>
      </c>
    </row>
    <row r="68" spans="2:10" hidden="1" x14ac:dyDescent="0.2">
      <c r="B68">
        <v>66</v>
      </c>
      <c r="C68" t="s">
        <v>103</v>
      </c>
      <c r="D68" t="str">
        <f>VLOOKUP(C68,'Master Anggota'!$E$2:$I$279,5,0)</f>
        <v>00401</v>
      </c>
      <c r="E68"/>
      <c r="F68"/>
      <c r="G68" s="111">
        <v>45894</v>
      </c>
      <c r="H68" s="111" t="s">
        <v>641</v>
      </c>
      <c r="J68" s="56">
        <v>2120000</v>
      </c>
    </row>
    <row r="69" spans="2:10" hidden="1" x14ac:dyDescent="0.2">
      <c r="B69">
        <v>67</v>
      </c>
      <c r="C69" t="s">
        <v>107</v>
      </c>
      <c r="D69" t="str">
        <f>VLOOKUP(C69,'Master Anggota'!$E$2:$I$279,5,0)</f>
        <v>00521</v>
      </c>
      <c r="E69"/>
      <c r="F69"/>
      <c r="G69" s="111">
        <v>45802</v>
      </c>
      <c r="H69" s="111" t="s">
        <v>641</v>
      </c>
      <c r="J69" s="56">
        <v>4791667</v>
      </c>
    </row>
    <row r="70" spans="2:10" hidden="1" x14ac:dyDescent="0.2">
      <c r="B70">
        <v>68</v>
      </c>
      <c r="C70" t="s">
        <v>188</v>
      </c>
      <c r="D70" t="str">
        <f>VLOOKUP(C70,'Master Anggota'!$E$2:$I$279,5,0)</f>
        <v>00596</v>
      </c>
      <c r="E70"/>
      <c r="F70"/>
      <c r="G70" s="111">
        <v>45833</v>
      </c>
      <c r="H70" s="111">
        <v>46532</v>
      </c>
      <c r="J70" s="56">
        <v>1033333</v>
      </c>
    </row>
    <row r="71" spans="2:10" hidden="1" x14ac:dyDescent="0.2">
      <c r="B71">
        <v>69</v>
      </c>
      <c r="C71" t="s">
        <v>335</v>
      </c>
      <c r="D71" t="str">
        <f>VLOOKUP(C71,'Master Anggota'!$E$2:$I$279,5,0)</f>
        <v>00311</v>
      </c>
      <c r="E71"/>
      <c r="F71"/>
      <c r="G71" s="111">
        <v>46016</v>
      </c>
      <c r="H71" s="111">
        <v>46443</v>
      </c>
      <c r="J71" s="56">
        <v>3958333</v>
      </c>
    </row>
    <row r="72" spans="2:10" hidden="1" x14ac:dyDescent="0.2">
      <c r="B72">
        <v>70</v>
      </c>
      <c r="C72" t="s">
        <v>233</v>
      </c>
      <c r="D72" t="str">
        <f>VLOOKUP(C72,'Master Anggota'!$E$2:$I$279,5,0)</f>
        <v>00516</v>
      </c>
      <c r="E72"/>
      <c r="F72"/>
      <c r="G72" s="111">
        <v>46016</v>
      </c>
      <c r="H72" s="111">
        <v>46443</v>
      </c>
      <c r="J72" s="56">
        <v>383333</v>
      </c>
    </row>
    <row r="73" spans="2:10" hidden="1" x14ac:dyDescent="0.2">
      <c r="B73">
        <v>71</v>
      </c>
      <c r="C73" t="s">
        <v>239</v>
      </c>
      <c r="D73" t="str">
        <f>VLOOKUP(C73,'Master Anggota'!$E$2:$I$279,5,0)</f>
        <v>00513</v>
      </c>
      <c r="E73"/>
      <c r="F73"/>
      <c r="G73" s="111">
        <v>46016</v>
      </c>
      <c r="H73" s="111">
        <v>46716</v>
      </c>
      <c r="J73" s="56">
        <v>2708333</v>
      </c>
    </row>
    <row r="74" spans="2:10" hidden="1" x14ac:dyDescent="0.2">
      <c r="B74">
        <v>72</v>
      </c>
      <c r="C74" t="s">
        <v>113</v>
      </c>
      <c r="D74" t="str">
        <f>VLOOKUP(C74,'Master Anggota'!$E$2:$I$279,5,0)</f>
        <v>00317</v>
      </c>
      <c r="E74"/>
      <c r="F74"/>
      <c r="G74" s="111">
        <v>45955</v>
      </c>
      <c r="H74" s="111" t="s">
        <v>641</v>
      </c>
      <c r="J74" s="56">
        <v>1650000</v>
      </c>
    </row>
    <row r="75" spans="2:10" hidden="1" x14ac:dyDescent="0.2">
      <c r="B75">
        <v>73</v>
      </c>
      <c r="C75" t="s">
        <v>113</v>
      </c>
      <c r="D75" t="str">
        <f>VLOOKUP(C75,'Master Anggota'!$E$2:$I$279,5,0)</f>
        <v>00317</v>
      </c>
      <c r="E75" s="82">
        <v>10000000</v>
      </c>
      <c r="F75" s="82">
        <v>1000000</v>
      </c>
      <c r="G75" s="111">
        <v>46047</v>
      </c>
      <c r="H75" s="111">
        <v>46290</v>
      </c>
      <c r="I75">
        <v>10</v>
      </c>
      <c r="J75" s="56">
        <v>1100000</v>
      </c>
    </row>
    <row r="76" spans="2:10" hidden="1" x14ac:dyDescent="0.2">
      <c r="B76">
        <v>74</v>
      </c>
      <c r="C76" t="s">
        <v>519</v>
      </c>
      <c r="D76" t="str">
        <f>VLOOKUP(C76,'Master Anggota'!$E$2:$I$279,5,0)</f>
        <v>00611</v>
      </c>
      <c r="E76"/>
      <c r="F76"/>
      <c r="G76" s="111">
        <v>45713</v>
      </c>
      <c r="H76" s="111" t="s">
        <v>641</v>
      </c>
      <c r="J76" s="56">
        <v>0</v>
      </c>
    </row>
    <row r="77" spans="2:10" hidden="1" x14ac:dyDescent="0.2">
      <c r="B77">
        <v>75</v>
      </c>
      <c r="C77" t="s">
        <v>519</v>
      </c>
      <c r="D77" t="str">
        <f>VLOOKUP(C77,'Master Anggota'!$E$2:$I$279,5,0)</f>
        <v>00611</v>
      </c>
      <c r="E77"/>
      <c r="F77"/>
      <c r="G77" s="111">
        <v>46047</v>
      </c>
      <c r="H77" s="111">
        <v>46381</v>
      </c>
      <c r="J77" s="56">
        <v>653333</v>
      </c>
    </row>
    <row r="78" spans="2:10" hidden="1" x14ac:dyDescent="0.2">
      <c r="B78">
        <v>76</v>
      </c>
      <c r="C78" t="s">
        <v>115</v>
      </c>
      <c r="D78" t="str">
        <f>VLOOKUP(C78,'Master Anggota'!$E$2:$I$279,5,0)</f>
        <v>00497</v>
      </c>
      <c r="E78"/>
      <c r="F78"/>
      <c r="G78" s="111">
        <v>45925</v>
      </c>
      <c r="H78" s="111">
        <v>46259</v>
      </c>
      <c r="J78" s="56">
        <v>1400000</v>
      </c>
    </row>
    <row r="79" spans="2:10" hidden="1" x14ac:dyDescent="0.2">
      <c r="B79">
        <v>77</v>
      </c>
      <c r="C79" t="s">
        <v>243</v>
      </c>
      <c r="D79" t="str">
        <f>VLOOKUP(C79,'Master Anggota'!$E$2:$I$279,5,0)</f>
        <v>00530</v>
      </c>
      <c r="E79"/>
      <c r="F79"/>
      <c r="G79" s="111">
        <v>46047</v>
      </c>
      <c r="H79" s="111">
        <v>46746</v>
      </c>
      <c r="J79" s="56">
        <v>3558333</v>
      </c>
    </row>
    <row r="80" spans="2:10" hidden="1" x14ac:dyDescent="0.2">
      <c r="B80">
        <v>78</v>
      </c>
      <c r="C80" t="s">
        <v>245</v>
      </c>
      <c r="D80" t="str">
        <f>VLOOKUP(C80,'Master Anggota'!$E$2:$I$279,5,0)</f>
        <v>00532</v>
      </c>
      <c r="E80" s="56">
        <v>60000000</v>
      </c>
      <c r="F80" s="56">
        <v>13950000</v>
      </c>
      <c r="G80" s="111">
        <v>45925</v>
      </c>
      <c r="H80" s="116" t="s">
        <v>641</v>
      </c>
      <c r="I80" s="62" t="s">
        <v>640</v>
      </c>
      <c r="J80" s="56">
        <v>0</v>
      </c>
    </row>
    <row r="81" spans="2:10" hidden="1" x14ac:dyDescent="0.2">
      <c r="B81">
        <v>79</v>
      </c>
      <c r="C81" t="s">
        <v>341</v>
      </c>
      <c r="D81" t="str">
        <f>VLOOKUP(C81,'Master Anggota'!$E$2:$I$279,5,0)</f>
        <v>00339</v>
      </c>
      <c r="E81"/>
      <c r="F81"/>
      <c r="G81" s="111">
        <v>45955</v>
      </c>
      <c r="H81" s="111">
        <v>46381</v>
      </c>
      <c r="J81" s="56">
        <v>2325000</v>
      </c>
    </row>
    <row r="82" spans="2:10" hidden="1" x14ac:dyDescent="0.2">
      <c r="B82">
        <v>80</v>
      </c>
      <c r="C82" t="s">
        <v>495</v>
      </c>
      <c r="D82" t="str">
        <f>VLOOKUP(C82,'Master Anggota'!$E$2:$I$279,5,0)</f>
        <v>01754</v>
      </c>
      <c r="E82"/>
      <c r="F82"/>
      <c r="G82" s="111">
        <v>46047</v>
      </c>
      <c r="H82" s="111">
        <v>46290</v>
      </c>
      <c r="J82" s="56">
        <v>1100000</v>
      </c>
    </row>
    <row r="83" spans="2:10" hidden="1" x14ac:dyDescent="0.2">
      <c r="B83">
        <v>81</v>
      </c>
      <c r="C83" t="s">
        <v>177</v>
      </c>
      <c r="D83" t="str">
        <f>VLOOKUP(C83,'Master Anggota'!$E$2:$I$279,5,0)</f>
        <v>00569</v>
      </c>
      <c r="E83"/>
      <c r="F83"/>
      <c r="G83" s="111">
        <v>45833</v>
      </c>
      <c r="H83" s="111">
        <v>46532</v>
      </c>
      <c r="J83" s="56" t="s">
        <v>641</v>
      </c>
    </row>
    <row r="84" spans="2:10" hidden="1" x14ac:dyDescent="0.2">
      <c r="B84">
        <v>82</v>
      </c>
      <c r="C84" t="s">
        <v>173</v>
      </c>
      <c r="D84" t="str">
        <f>VLOOKUP(C84,'Master Anggota'!$E$2:$I$279,5,0)</f>
        <v>00583</v>
      </c>
      <c r="E84"/>
      <c r="F84"/>
      <c r="G84" s="111">
        <v>45894</v>
      </c>
      <c r="H84" s="111">
        <v>46228</v>
      </c>
      <c r="J84" s="56">
        <v>1120000</v>
      </c>
    </row>
    <row r="85" spans="2:10" hidden="1" x14ac:dyDescent="0.2">
      <c r="B85">
        <v>83</v>
      </c>
      <c r="C85" t="s">
        <v>248</v>
      </c>
      <c r="D85" t="str">
        <f>VLOOKUP(C85,'Master Anggota'!$E$2:$I$279,5,0)</f>
        <v>00302</v>
      </c>
      <c r="E85"/>
      <c r="F85"/>
      <c r="G85" s="111">
        <v>45833</v>
      </c>
      <c r="H85" s="111">
        <v>46532</v>
      </c>
      <c r="J85" s="56">
        <v>3841667</v>
      </c>
    </row>
    <row r="86" spans="2:10" hidden="1" x14ac:dyDescent="0.2">
      <c r="B86">
        <v>84</v>
      </c>
      <c r="C86" t="s">
        <v>278</v>
      </c>
      <c r="D86" t="str">
        <f>VLOOKUP(C86,'Master Anggota'!$E$2:$I$279,5,0)</f>
        <v>PHL</v>
      </c>
      <c r="G86" s="111">
        <v>45863</v>
      </c>
      <c r="H86" s="111" t="s">
        <v>641</v>
      </c>
      <c r="J86" s="56">
        <v>0</v>
      </c>
    </row>
    <row r="87" spans="2:10" hidden="1" x14ac:dyDescent="0.2">
      <c r="B87">
        <v>85</v>
      </c>
      <c r="C87" t="s">
        <v>252</v>
      </c>
      <c r="D87" t="str">
        <f>VLOOKUP(C87,'Master Anggota'!$E$2:$I$279,5,0)</f>
        <v>00524</v>
      </c>
      <c r="E87"/>
      <c r="F87"/>
      <c r="G87" s="111">
        <v>45955</v>
      </c>
      <c r="H87" s="111">
        <v>46655</v>
      </c>
      <c r="J87" s="56" t="s">
        <v>641</v>
      </c>
    </row>
    <row r="88" spans="2:10" hidden="1" x14ac:dyDescent="0.2">
      <c r="B88">
        <v>86</v>
      </c>
      <c r="C88" t="s">
        <v>254</v>
      </c>
      <c r="D88" t="str">
        <f>VLOOKUP(C88,'Master Anggota'!$E$2:$I$279,5,0)</f>
        <v>00288</v>
      </c>
      <c r="E88"/>
      <c r="F88"/>
      <c r="G88" s="111">
        <v>45682</v>
      </c>
      <c r="H88" s="111">
        <v>46137</v>
      </c>
      <c r="J88" s="56">
        <v>1500000</v>
      </c>
    </row>
    <row r="89" spans="2:10" hidden="1" x14ac:dyDescent="0.2">
      <c r="B89">
        <v>87</v>
      </c>
      <c r="C89" t="s">
        <v>254</v>
      </c>
      <c r="D89" t="str">
        <f>VLOOKUP(C89,'Master Anggota'!$E$2:$I$279,5,0)</f>
        <v>00288</v>
      </c>
      <c r="E89"/>
      <c r="F89"/>
      <c r="G89" s="111" t="s">
        <v>638</v>
      </c>
      <c r="H89" s="111" t="s">
        <v>638</v>
      </c>
      <c r="J89" s="56">
        <v>60000000</v>
      </c>
    </row>
    <row r="90" spans="2:10" hidden="1" x14ac:dyDescent="0.2">
      <c r="B90">
        <v>88</v>
      </c>
      <c r="C90" t="s">
        <v>129</v>
      </c>
      <c r="D90" t="str">
        <f>VLOOKUP(C90,'Master Anggota'!$E$2:$I$279,5,0)</f>
        <v>00343</v>
      </c>
      <c r="E90"/>
      <c r="F90"/>
      <c r="G90" s="111">
        <v>45955</v>
      </c>
      <c r="H90" s="111">
        <v>46655</v>
      </c>
      <c r="J90" s="56">
        <v>3105000</v>
      </c>
    </row>
    <row r="91" spans="2:10" hidden="1" x14ac:dyDescent="0.2">
      <c r="B91">
        <v>89</v>
      </c>
      <c r="C91" t="s">
        <v>135</v>
      </c>
      <c r="D91" t="str">
        <f>VLOOKUP(C91,'Master Anggota'!$E$2:$I$279,5,0)</f>
        <v>00293</v>
      </c>
      <c r="E91"/>
      <c r="F91"/>
      <c r="G91" s="111">
        <v>46016</v>
      </c>
      <c r="H91" s="111">
        <v>46443</v>
      </c>
      <c r="J91" s="56">
        <v>3808333</v>
      </c>
    </row>
    <row r="92" spans="2:10" hidden="1" x14ac:dyDescent="0.2">
      <c r="B92">
        <v>90</v>
      </c>
      <c r="C92" t="s">
        <v>258</v>
      </c>
      <c r="D92" t="str">
        <f>VLOOKUP(C92,'Master Anggota'!$E$2:$I$279,5,0)</f>
        <v>00390</v>
      </c>
      <c r="E92"/>
      <c r="F92"/>
      <c r="G92" s="111">
        <v>45894</v>
      </c>
      <c r="H92" s="111" t="s">
        <v>641</v>
      </c>
      <c r="J92" s="56">
        <v>1866667</v>
      </c>
    </row>
    <row r="93" spans="2:10" hidden="1" x14ac:dyDescent="0.2">
      <c r="B93">
        <v>91</v>
      </c>
      <c r="C93" t="s">
        <v>521</v>
      </c>
      <c r="D93" t="str">
        <f>VLOOKUP(C93,'Master Anggota'!$E$2:$I$279,5,0)</f>
        <v>00376</v>
      </c>
      <c r="E93"/>
      <c r="F93"/>
      <c r="G93" s="111">
        <v>45925</v>
      </c>
      <c r="H93" s="111">
        <v>46624</v>
      </c>
      <c r="J93" s="56" t="s">
        <v>641</v>
      </c>
    </row>
    <row r="94" spans="2:10" hidden="1" x14ac:dyDescent="0.2">
      <c r="B94">
        <v>92</v>
      </c>
      <c r="C94" t="s">
        <v>358</v>
      </c>
      <c r="D94" t="str">
        <f>VLOOKUP(C94,'Master Anggota'!$E$2:$I$279,5,0)</f>
        <v>01530</v>
      </c>
      <c r="E94"/>
      <c r="F94"/>
      <c r="G94" s="111">
        <v>45894</v>
      </c>
      <c r="H94" s="111" t="s">
        <v>641</v>
      </c>
      <c r="J94" s="56">
        <v>1760000</v>
      </c>
    </row>
    <row r="95" spans="2:10" hidden="1" x14ac:dyDescent="0.2">
      <c r="B95">
        <v>93</v>
      </c>
      <c r="C95" t="s">
        <v>270</v>
      </c>
      <c r="D95" t="str">
        <f>VLOOKUP(C95,'Master Anggota'!$E$2:$I$279,5,0)</f>
        <v>00509</v>
      </c>
      <c r="E95"/>
      <c r="F95"/>
      <c r="G95" s="111">
        <v>45772</v>
      </c>
      <c r="H95" s="111">
        <v>46106</v>
      </c>
      <c r="J95" s="56">
        <v>653333</v>
      </c>
    </row>
    <row r="96" spans="2:10" hidden="1" x14ac:dyDescent="0.2">
      <c r="B96">
        <v>94</v>
      </c>
      <c r="C96" t="s">
        <v>274</v>
      </c>
      <c r="D96" t="str">
        <f>VLOOKUP(C96,'Master Anggota'!$E$2:$I$279,5,0)</f>
        <v>00515</v>
      </c>
      <c r="E96"/>
      <c r="F96"/>
      <c r="G96" s="111">
        <v>45772</v>
      </c>
      <c r="H96" s="111">
        <v>46351</v>
      </c>
      <c r="J96" s="56">
        <v>1825000</v>
      </c>
    </row>
    <row r="97" spans="2:10" hidden="1" x14ac:dyDescent="0.2">
      <c r="B97">
        <v>95</v>
      </c>
      <c r="C97" t="s">
        <v>276</v>
      </c>
      <c r="D97" t="str">
        <f>VLOOKUP(C97,'Master Anggota'!$E$2:$I$279,5,0)</f>
        <v>00558</v>
      </c>
      <c r="E97"/>
      <c r="F97"/>
      <c r="G97" s="111">
        <v>45925</v>
      </c>
      <c r="H97" s="111">
        <v>46624</v>
      </c>
      <c r="J97" s="56">
        <v>1341667</v>
      </c>
    </row>
    <row r="98" spans="2:10" hidden="1" x14ac:dyDescent="0.2">
      <c r="B98">
        <v>96</v>
      </c>
      <c r="C98" t="s">
        <v>277</v>
      </c>
      <c r="D98" t="str">
        <f>VLOOKUP(C98,'Master Anggota'!$E$2:$I$279,5,0)</f>
        <v>00564</v>
      </c>
      <c r="E98"/>
      <c r="F98"/>
      <c r="G98" s="111">
        <v>45925</v>
      </c>
      <c r="H98" s="111">
        <v>46624</v>
      </c>
      <c r="J98" s="56">
        <v>1291667</v>
      </c>
    </row>
    <row r="99" spans="2:10" hidden="1" x14ac:dyDescent="0.2">
      <c r="B99">
        <v>97</v>
      </c>
      <c r="C99" t="s">
        <v>389</v>
      </c>
      <c r="D99" t="str">
        <f>VLOOKUP(C99,'Master Anggota'!$E$2:$I$279,5,0)</f>
        <v>00593</v>
      </c>
      <c r="E99"/>
      <c r="F99"/>
      <c r="G99" s="111">
        <v>45802</v>
      </c>
      <c r="H99" s="111">
        <v>46078</v>
      </c>
      <c r="J99" s="56">
        <v>770000</v>
      </c>
    </row>
    <row r="100" spans="2:10" hidden="1" x14ac:dyDescent="0.2">
      <c r="B100">
        <v>98</v>
      </c>
      <c r="C100" t="s">
        <v>147</v>
      </c>
      <c r="D100" t="str">
        <f>VLOOKUP(C100,'Master Anggota'!$E$2:$I$279,5,0)</f>
        <v>00527</v>
      </c>
      <c r="E100"/>
      <c r="F100"/>
      <c r="G100" s="111">
        <v>45925</v>
      </c>
      <c r="H100" s="111" t="s">
        <v>641</v>
      </c>
      <c r="J100" s="56">
        <v>1858333</v>
      </c>
    </row>
    <row r="101" spans="2:10" hidden="1" x14ac:dyDescent="0.2">
      <c r="B101">
        <v>99</v>
      </c>
      <c r="C101" t="s">
        <v>324</v>
      </c>
      <c r="D101" t="str">
        <f>VLOOKUP(C101,'Master Anggota'!$E$2:$I$279,5,0)</f>
        <v>00626</v>
      </c>
      <c r="E101"/>
      <c r="F101"/>
      <c r="G101" s="111">
        <v>46047</v>
      </c>
      <c r="H101" s="111">
        <v>46624</v>
      </c>
      <c r="J101" s="56" t="s">
        <v>641</v>
      </c>
    </row>
    <row r="102" spans="2:10" hidden="1" x14ac:dyDescent="0.2">
      <c r="B102">
        <v>100</v>
      </c>
      <c r="C102" t="s">
        <v>151</v>
      </c>
      <c r="D102" t="str">
        <f>VLOOKUP(C102,'Master Anggota'!$E$2:$I$279,5,0)</f>
        <v>00362</v>
      </c>
      <c r="E102"/>
      <c r="F102"/>
      <c r="G102" s="111">
        <v>45863</v>
      </c>
      <c r="H102" s="111">
        <v>46198</v>
      </c>
      <c r="J102" s="56" t="s">
        <v>641</v>
      </c>
    </row>
    <row r="103" spans="2:10" hidden="1" x14ac:dyDescent="0.2">
      <c r="B103">
        <v>101</v>
      </c>
      <c r="C103" t="s">
        <v>151</v>
      </c>
      <c r="D103" t="str">
        <f>VLOOKUP(C103,'Master Anggota'!$E$2:$I$279,5,0)</f>
        <v>00362</v>
      </c>
      <c r="E103"/>
      <c r="F103"/>
      <c r="G103" s="111">
        <v>45894</v>
      </c>
      <c r="H103" s="111">
        <v>46228</v>
      </c>
      <c r="J103" s="56" t="s">
        <v>641</v>
      </c>
    </row>
    <row r="104" spans="2:10" hidden="1" x14ac:dyDescent="0.2">
      <c r="B104">
        <v>102</v>
      </c>
      <c r="C104" t="s">
        <v>151</v>
      </c>
      <c r="D104" t="str">
        <f>VLOOKUP(C104,'Master Anggota'!$E$2:$I$279,5,0)</f>
        <v>00362</v>
      </c>
      <c r="E104"/>
      <c r="F104"/>
      <c r="G104" s="111">
        <v>45894</v>
      </c>
      <c r="H104" s="111">
        <v>46167</v>
      </c>
      <c r="J104" s="56">
        <v>575000</v>
      </c>
    </row>
    <row r="105" spans="2:10" x14ac:dyDescent="0.2">
      <c r="B105">
        <v>103</v>
      </c>
      <c r="C105" t="s">
        <v>153</v>
      </c>
      <c r="D105" t="str">
        <f>VLOOKUP(C105,'Master Anggota'!$E$2:$I$279,5,0)</f>
        <v>00548</v>
      </c>
      <c r="E105"/>
      <c r="F105"/>
      <c r="G105" s="111">
        <v>45925</v>
      </c>
      <c r="H105" s="111" t="s">
        <v>641</v>
      </c>
      <c r="J105" s="56">
        <v>1348333</v>
      </c>
    </row>
    <row r="106" spans="2:10" hidden="1" x14ac:dyDescent="0.2">
      <c r="B106">
        <v>104</v>
      </c>
      <c r="C106" t="s">
        <v>326</v>
      </c>
      <c r="D106" t="str">
        <f>VLOOKUP(C106,'Master Anggota'!$E$2:$I$279,5,0)</f>
        <v>00608</v>
      </c>
      <c r="E106"/>
      <c r="F106"/>
      <c r="G106" s="111">
        <v>45833</v>
      </c>
      <c r="H106" s="111">
        <v>46532</v>
      </c>
      <c r="J106" s="56">
        <v>671667</v>
      </c>
    </row>
    <row r="107" spans="2:10" hidden="1" x14ac:dyDescent="0.2">
      <c r="B107">
        <v>105</v>
      </c>
      <c r="C107" t="s">
        <v>172</v>
      </c>
      <c r="D107" t="str">
        <f>VLOOKUP(C107,'Master Anggota'!$E$2:$I$279,5,0)</f>
        <v>00584</v>
      </c>
      <c r="E107"/>
      <c r="F107"/>
      <c r="G107" s="111">
        <v>45894</v>
      </c>
      <c r="H107" s="111" t="s">
        <v>641</v>
      </c>
      <c r="J107" s="56">
        <v>2708333</v>
      </c>
    </row>
    <row r="108" spans="2:10" hidden="1" x14ac:dyDescent="0.2">
      <c r="B108">
        <v>106</v>
      </c>
      <c r="C108" t="s">
        <v>155</v>
      </c>
      <c r="D108" t="str">
        <f>VLOOKUP(C108,'Master Anggota'!$E$2:$I$279,5,0)</f>
        <v>00499</v>
      </c>
      <c r="E108"/>
      <c r="F108"/>
      <c r="G108" s="111">
        <v>45682</v>
      </c>
      <c r="H108" s="111">
        <v>46228</v>
      </c>
      <c r="J108" s="56" t="s">
        <v>641</v>
      </c>
    </row>
    <row r="109" spans="2:10" hidden="1" x14ac:dyDescent="0.2">
      <c r="B109">
        <v>107</v>
      </c>
      <c r="C109" t="s">
        <v>531</v>
      </c>
      <c r="D109" t="str">
        <f>VLOOKUP(C109,'Master Anggota'!$E$2:$I$279,5,0)</f>
        <v>PHL</v>
      </c>
      <c r="E109"/>
      <c r="F109"/>
      <c r="G109" s="111">
        <v>45894</v>
      </c>
      <c r="H109" s="111">
        <v>46106</v>
      </c>
      <c r="J109" s="56">
        <v>525000</v>
      </c>
    </row>
    <row r="110" spans="2:10" hidden="1" x14ac:dyDescent="0.2">
      <c r="B110">
        <v>108</v>
      </c>
      <c r="C110" t="s">
        <v>90</v>
      </c>
      <c r="D110" t="str">
        <f>VLOOKUP(C110,'Master Anggota'!$E$2:$I$279,5,0)</f>
        <v>00363</v>
      </c>
      <c r="E110"/>
      <c r="F110"/>
      <c r="G110" s="111">
        <v>45682</v>
      </c>
      <c r="H110" s="111">
        <v>46137</v>
      </c>
      <c r="J110" s="56">
        <v>3450000</v>
      </c>
    </row>
    <row r="111" spans="2:10" hidden="1" x14ac:dyDescent="0.2">
      <c r="B111">
        <v>109</v>
      </c>
      <c r="C111" t="s">
        <v>90</v>
      </c>
      <c r="D111" t="str">
        <f>VLOOKUP(C111,'Master Anggota'!$E$2:$I$279,5,0)</f>
        <v>00363</v>
      </c>
      <c r="E111"/>
      <c r="F111"/>
      <c r="G111" t="s">
        <v>637</v>
      </c>
      <c r="H111" t="s">
        <v>637</v>
      </c>
      <c r="J111" s="56">
        <v>17475000</v>
      </c>
    </row>
    <row r="112" spans="2:10" hidden="1" x14ac:dyDescent="0.2">
      <c r="B112">
        <v>110</v>
      </c>
      <c r="C112" t="s">
        <v>90</v>
      </c>
      <c r="D112" t="str">
        <f>VLOOKUP(C112,'Master Anggota'!$E$2:$I$279,5,0)</f>
        <v>00363</v>
      </c>
      <c r="E112"/>
      <c r="F112"/>
      <c r="G112" t="s">
        <v>637</v>
      </c>
      <c r="H112" t="s">
        <v>637</v>
      </c>
      <c r="J112" s="56">
        <v>27625000</v>
      </c>
    </row>
    <row r="113" spans="2:10" hidden="1" x14ac:dyDescent="0.2">
      <c r="B113">
        <v>111</v>
      </c>
      <c r="C113" t="s">
        <v>311</v>
      </c>
      <c r="D113" t="str">
        <f>VLOOKUP(C113,'Master Anggota'!$E$2:$I$279,5,0)</f>
        <v>01602</v>
      </c>
      <c r="E113"/>
      <c r="F113"/>
      <c r="G113" s="111">
        <v>45894</v>
      </c>
      <c r="H113" s="111">
        <v>46167</v>
      </c>
      <c r="J113" s="56">
        <v>550000</v>
      </c>
    </row>
    <row r="114" spans="2:10" hidden="1" x14ac:dyDescent="0.2">
      <c r="C114" t="s">
        <v>225</v>
      </c>
      <c r="D114" t="str">
        <f>VLOOKUP(C114,'Master Anggota'!$E$2:$I$279,5,0)</f>
        <v>00531</v>
      </c>
      <c r="E114" s="56">
        <v>4000000</v>
      </c>
      <c r="F114" s="56">
        <v>400000</v>
      </c>
      <c r="G114" s="111">
        <v>46106</v>
      </c>
      <c r="H114" s="111">
        <v>46381</v>
      </c>
      <c r="I114" s="82">
        <v>10</v>
      </c>
      <c r="J114" s="82">
        <v>440000</v>
      </c>
    </row>
    <row r="115" spans="2:10" hidden="1" x14ac:dyDescent="0.2">
      <c r="C115" t="s">
        <v>370</v>
      </c>
      <c r="D115" t="str">
        <f>VLOOKUP(C115,'Master Anggota'!$E$2:$I$279,5,0)</f>
        <v>00610</v>
      </c>
      <c r="E115" s="56">
        <v>20000000</v>
      </c>
      <c r="F115" s="56">
        <v>2400000</v>
      </c>
      <c r="G115" s="111">
        <v>46106</v>
      </c>
      <c r="H115" s="111">
        <v>46443</v>
      </c>
      <c r="I115" s="82">
        <v>12</v>
      </c>
      <c r="J115" s="82">
        <v>1866667</v>
      </c>
    </row>
    <row r="116" spans="2:10" hidden="1" x14ac:dyDescent="0.2">
      <c r="C116" t="s">
        <v>214</v>
      </c>
      <c r="D116" t="str">
        <f>VLOOKUP(C116,'Master Anggota'!$E$2:$I$279,5,0)</f>
        <v>00529</v>
      </c>
      <c r="E116" s="56">
        <v>17500000</v>
      </c>
      <c r="F116" s="56">
        <v>2625000</v>
      </c>
      <c r="G116" s="111">
        <v>46106</v>
      </c>
      <c r="H116" s="111" t="s">
        <v>641</v>
      </c>
      <c r="I116" s="82">
        <v>12</v>
      </c>
      <c r="J116" s="82">
        <v>1341667</v>
      </c>
    </row>
    <row r="117" spans="2:10" hidden="1" x14ac:dyDescent="0.2">
      <c r="C117" t="s">
        <v>492</v>
      </c>
      <c r="D117" t="str">
        <f>VLOOKUP(C117,'Master Anggota'!$E$2:$I$279,5,0)</f>
        <v>01728</v>
      </c>
      <c r="E117" s="56">
        <v>2000000</v>
      </c>
      <c r="F117" s="56">
        <v>80000</v>
      </c>
      <c r="G117" s="111">
        <v>46167</v>
      </c>
      <c r="H117" s="111">
        <v>46259</v>
      </c>
      <c r="I117" s="82">
        <v>4</v>
      </c>
      <c r="J117" s="82" t="s">
        <v>641</v>
      </c>
    </row>
    <row r="118" spans="2:10" hidden="1" x14ac:dyDescent="0.2">
      <c r="C118" t="s">
        <v>103</v>
      </c>
      <c r="D118" t="str">
        <f>VLOOKUP(C118,'Master Anggota'!$E$2:$I$279,5,0)</f>
        <v>00401</v>
      </c>
      <c r="E118" s="56">
        <v>5000000</v>
      </c>
      <c r="F118" s="56">
        <v>75000</v>
      </c>
      <c r="G118" s="111">
        <v>46167</v>
      </c>
      <c r="H118" s="111" t="s">
        <v>641</v>
      </c>
      <c r="I118" s="82">
        <v>1</v>
      </c>
      <c r="J118" s="82">
        <v>5075000</v>
      </c>
    </row>
    <row r="119" spans="2:10" hidden="1" x14ac:dyDescent="0.2">
      <c r="C119" t="s">
        <v>278</v>
      </c>
      <c r="D119" t="str">
        <f>VLOOKUP(C119,'Master Anggota'!$E$2:$I$279,5,0)</f>
        <v>PHL</v>
      </c>
      <c r="E119" s="56">
        <v>15000000</v>
      </c>
      <c r="F119" s="56">
        <v>1500000</v>
      </c>
      <c r="G119" s="111">
        <v>46167</v>
      </c>
      <c r="H119" s="111">
        <v>46443</v>
      </c>
      <c r="I119">
        <v>10</v>
      </c>
      <c r="J119" s="56">
        <v>1650000</v>
      </c>
    </row>
    <row r="120" spans="2:10" hidden="1" x14ac:dyDescent="0.2">
      <c r="C120" t="s">
        <v>450</v>
      </c>
      <c r="D120" t="str">
        <f>VLOOKUP(C120,'Master Anggota'!$E$2:$I$279,5,0)</f>
        <v>01738</v>
      </c>
      <c r="E120" s="56">
        <v>3000000</v>
      </c>
      <c r="F120" s="56">
        <v>240000</v>
      </c>
      <c r="G120" s="111">
        <v>46167</v>
      </c>
      <c r="H120" s="111">
        <v>46381</v>
      </c>
      <c r="I120">
        <v>8</v>
      </c>
      <c r="J120" s="56">
        <v>405000</v>
      </c>
    </row>
    <row r="121" spans="2:10" hidden="1" x14ac:dyDescent="0.2">
      <c r="C121" t="s">
        <v>451</v>
      </c>
      <c r="D121" t="str">
        <f>VLOOKUP(C121,'Master Anggota'!$E$2:$I$279,5,0)</f>
        <v>01735</v>
      </c>
      <c r="E121" s="56">
        <v>4000000</v>
      </c>
      <c r="F121" s="56">
        <v>320000</v>
      </c>
      <c r="G121" s="111">
        <v>46167</v>
      </c>
      <c r="H121" s="111">
        <v>46381</v>
      </c>
      <c r="I121">
        <v>8</v>
      </c>
      <c r="J121" s="56">
        <v>540000</v>
      </c>
    </row>
    <row r="122" spans="2:10" hidden="1" x14ac:dyDescent="0.2">
      <c r="C122" t="s">
        <v>65</v>
      </c>
      <c r="D122" t="str">
        <f>VLOOKUP(C122,'Master Anggota'!$E$2:$I$279,5,0)</f>
        <v>00490</v>
      </c>
      <c r="E122" s="56">
        <v>30000000</v>
      </c>
      <c r="F122" s="56">
        <v>4875000</v>
      </c>
      <c r="G122" s="111">
        <v>46167</v>
      </c>
      <c r="H122" s="111">
        <v>46593</v>
      </c>
      <c r="I122">
        <v>15</v>
      </c>
      <c r="J122" s="56">
        <v>2325000</v>
      </c>
    </row>
    <row r="123" spans="2:10" hidden="1" x14ac:dyDescent="0.2">
      <c r="C123" t="s">
        <v>499</v>
      </c>
      <c r="D123" t="str">
        <f>VLOOKUP(C123,'Master Anggota'!$E$2:$I$279,5,0)</f>
        <v>01775</v>
      </c>
      <c r="E123" s="56">
        <v>4000000</v>
      </c>
      <c r="F123" s="56">
        <v>320000</v>
      </c>
      <c r="G123" s="111">
        <v>46167</v>
      </c>
      <c r="H123" s="111">
        <v>46381</v>
      </c>
      <c r="I123">
        <v>8</v>
      </c>
      <c r="J123" s="56">
        <v>540000</v>
      </c>
    </row>
    <row r="124" spans="2:10" hidden="1" x14ac:dyDescent="0.2">
      <c r="C124" t="s">
        <v>204</v>
      </c>
      <c r="D124" t="str">
        <f>VLOOKUP(C124,'Master Anggota'!$E$2:$I$279,5,0)</f>
        <v>00534</v>
      </c>
      <c r="E124" s="56">
        <v>35000000</v>
      </c>
      <c r="F124" s="56">
        <v>9600000</v>
      </c>
      <c r="G124" s="111">
        <v>46167</v>
      </c>
      <c r="H124" s="111">
        <v>46868</v>
      </c>
      <c r="I124">
        <v>24</v>
      </c>
      <c r="J124" s="56">
        <v>1858333</v>
      </c>
    </row>
    <row r="125" spans="2:10" hidden="1" x14ac:dyDescent="0.2">
      <c r="C125" s="46" t="s">
        <v>500</v>
      </c>
      <c r="D125" t="str">
        <f>VLOOKUP(C125,'Master Anggota'!$E$2:$I$279,5,0)</f>
        <v>01776</v>
      </c>
      <c r="E125" s="56">
        <v>2500000</v>
      </c>
      <c r="F125" s="56">
        <v>200000</v>
      </c>
      <c r="G125" s="111">
        <v>46167</v>
      </c>
      <c r="H125" s="111">
        <v>46381</v>
      </c>
      <c r="I125">
        <v>8</v>
      </c>
      <c r="J125" s="56">
        <v>337500</v>
      </c>
    </row>
    <row r="126" spans="2:10" hidden="1" x14ac:dyDescent="0.2">
      <c r="C126" t="s">
        <v>448</v>
      </c>
      <c r="D126" t="str">
        <f>VLOOKUP(C126,'Master Anggota'!$E$2:$I$279,5,0)</f>
        <v>01737</v>
      </c>
      <c r="E126" s="56">
        <v>4000000</v>
      </c>
      <c r="F126" s="56">
        <v>320000</v>
      </c>
      <c r="G126" s="111">
        <v>46167</v>
      </c>
      <c r="H126" s="111">
        <v>46381</v>
      </c>
      <c r="I126">
        <v>8</v>
      </c>
      <c r="J126" s="56">
        <v>540000</v>
      </c>
    </row>
    <row r="127" spans="2:10" hidden="1" x14ac:dyDescent="0.2">
      <c r="C127" t="s">
        <v>245</v>
      </c>
      <c r="D127" t="str">
        <f>VLOOKUP(C127,'Master Anggota'!$E$2:$I$279,5,0)</f>
        <v>00532</v>
      </c>
      <c r="E127" s="56">
        <v>56000000</v>
      </c>
      <c r="F127" s="56">
        <v>12870000</v>
      </c>
      <c r="G127" s="111">
        <v>46167</v>
      </c>
      <c r="H127" s="111">
        <v>46685</v>
      </c>
      <c r="I127">
        <v>18</v>
      </c>
      <c r="J127" s="56">
        <v>3826111</v>
      </c>
    </row>
    <row r="128" spans="2:10" hidden="1" x14ac:dyDescent="0.2">
      <c r="C128" t="s">
        <v>85</v>
      </c>
      <c r="D128" t="str">
        <f>VLOOKUP(C128,'Master Anggota'!$E$2:$I$279,5,0)</f>
        <v>00547</v>
      </c>
      <c r="E128" s="56">
        <v>7000000</v>
      </c>
      <c r="F128" s="56">
        <v>1050000</v>
      </c>
      <c r="G128" s="111">
        <v>46167</v>
      </c>
      <c r="H128" s="111">
        <v>46443</v>
      </c>
      <c r="I128">
        <v>10</v>
      </c>
      <c r="J128" s="56">
        <v>805000</v>
      </c>
    </row>
    <row r="129" spans="3:12" hidden="1" x14ac:dyDescent="0.2">
      <c r="C129" t="s">
        <v>364</v>
      </c>
      <c r="D129" t="str">
        <f>VLOOKUP(C129,'Master Anggota'!$E$2:$I$279,5,0)</f>
        <v>00578</v>
      </c>
      <c r="E129" s="56">
        <v>19000000</v>
      </c>
      <c r="F129" s="56">
        <v>4560000</v>
      </c>
      <c r="G129" s="111">
        <v>46167</v>
      </c>
      <c r="H129" s="111">
        <v>46868</v>
      </c>
      <c r="I129">
        <v>24</v>
      </c>
      <c r="J129" s="56">
        <v>981667</v>
      </c>
    </row>
    <row r="130" spans="3:12" hidden="1" x14ac:dyDescent="0.2">
      <c r="C130" t="s">
        <v>71</v>
      </c>
      <c r="D130" t="str">
        <f>VLOOKUP(C130,'Master Anggota'!$E$2:$I$279,5,0)</f>
        <v>00517</v>
      </c>
      <c r="E130" s="56">
        <v>4500000</v>
      </c>
      <c r="F130" s="56">
        <v>1080000</v>
      </c>
      <c r="G130" s="111">
        <v>46167</v>
      </c>
      <c r="H130" s="111">
        <v>46868</v>
      </c>
      <c r="I130">
        <v>24</v>
      </c>
      <c r="J130" s="56">
        <v>232500</v>
      </c>
    </row>
    <row r="131" spans="3:12" hidden="1" x14ac:dyDescent="0.2"/>
    <row r="132" spans="3:12" hidden="1" x14ac:dyDescent="0.2">
      <c r="C132" t="s">
        <v>107</v>
      </c>
      <c r="D132" t="str">
        <f>VLOOKUP(C132,'Master Anggota'!$E$2:$I$279,5,0)</f>
        <v>00521</v>
      </c>
      <c r="E132" s="56">
        <v>50000000</v>
      </c>
      <c r="F132" s="56">
        <v>7500000</v>
      </c>
      <c r="G132" s="111">
        <v>46198</v>
      </c>
      <c r="H132" s="111">
        <v>46532</v>
      </c>
      <c r="J132" s="56">
        <v>4791667</v>
      </c>
    </row>
    <row r="133" spans="3:12" hidden="1" x14ac:dyDescent="0.2">
      <c r="C133" t="s">
        <v>147</v>
      </c>
      <c r="D133" t="str">
        <f>VLOOKUP(C133,'Master Anggota'!$E$2:$I$279,5,0)</f>
        <v>00527</v>
      </c>
      <c r="E133" s="56">
        <v>45000000</v>
      </c>
      <c r="F133" s="56">
        <v>13200000</v>
      </c>
      <c r="G133" s="111">
        <v>46198</v>
      </c>
      <c r="H133" s="111">
        <v>46898</v>
      </c>
      <c r="I133">
        <v>24</v>
      </c>
      <c r="J133" s="56">
        <v>2425000</v>
      </c>
    </row>
    <row r="134" spans="3:12" hidden="1" x14ac:dyDescent="0.2">
      <c r="C134" t="s">
        <v>8</v>
      </c>
      <c r="D134" t="str">
        <f>VLOOKUP(C134,'Master Anggota'!$E$2:$I$279,5,0)</f>
        <v>00553</v>
      </c>
      <c r="E134" s="56">
        <v>3000000</v>
      </c>
      <c r="F134" s="56">
        <v>30000</v>
      </c>
      <c r="G134" s="111">
        <v>46198</v>
      </c>
      <c r="H134" s="111">
        <v>46198</v>
      </c>
      <c r="I134">
        <v>1</v>
      </c>
      <c r="J134" s="56">
        <v>3030000</v>
      </c>
    </row>
    <row r="135" spans="3:12" hidden="1" x14ac:dyDescent="0.2">
      <c r="C135" t="s">
        <v>563</v>
      </c>
      <c r="D135" t="str">
        <f>VLOOKUP(C135,'Master Anggota'!$E$2:$I$279,5,0)</f>
        <v>PHL KJP</v>
      </c>
      <c r="E135" s="56">
        <v>800000</v>
      </c>
      <c r="F135" s="56">
        <v>32000</v>
      </c>
      <c r="G135" s="111">
        <v>46198</v>
      </c>
      <c r="H135" s="111">
        <v>46290</v>
      </c>
      <c r="I135">
        <v>4</v>
      </c>
      <c r="J135" s="56">
        <v>208000</v>
      </c>
    </row>
    <row r="136" spans="3:12" hidden="1" x14ac:dyDescent="0.2">
      <c r="C136" t="s">
        <v>37</v>
      </c>
      <c r="D136" t="str">
        <f>VLOOKUP(C136,'Master Anggota'!$E$2:$I$279,5,0)</f>
        <v>00511</v>
      </c>
      <c r="E136" s="56">
        <v>25000000</v>
      </c>
      <c r="F136" s="56">
        <v>6000000</v>
      </c>
      <c r="G136" s="111">
        <v>46198</v>
      </c>
      <c r="H136" s="111">
        <v>46898</v>
      </c>
      <c r="I136">
        <v>24</v>
      </c>
      <c r="J136" s="56">
        <v>1291667</v>
      </c>
    </row>
    <row r="137" spans="3:12" hidden="1" x14ac:dyDescent="0.2">
      <c r="C137" t="s">
        <v>198</v>
      </c>
      <c r="E137" s="56">
        <v>47716469</v>
      </c>
      <c r="F137" s="56">
        <v>7157470</v>
      </c>
      <c r="G137" s="111" t="s">
        <v>637</v>
      </c>
      <c r="H137" s="111" t="s">
        <v>637</v>
      </c>
      <c r="I137">
        <v>1</v>
      </c>
      <c r="J137" s="56">
        <v>54873939</v>
      </c>
      <c r="K137" s="60">
        <f t="shared" ref="K137" si="0">E137+F137</f>
        <v>54873939</v>
      </c>
      <c r="L137" s="60">
        <f>J137*I137</f>
        <v>54873939</v>
      </c>
    </row>
    <row r="138" spans="3:12" hidden="1" x14ac:dyDescent="0.2">
      <c r="C138" t="s">
        <v>252</v>
      </c>
      <c r="E138" s="56">
        <v>70000000</v>
      </c>
      <c r="F138" s="56">
        <v>22200000</v>
      </c>
      <c r="G138" s="111">
        <v>46228</v>
      </c>
      <c r="H138" s="111">
        <v>46929</v>
      </c>
      <c r="I138">
        <v>24</v>
      </c>
      <c r="J138" s="56">
        <v>3841667</v>
      </c>
      <c r="K138" s="60">
        <f>E138+F138</f>
        <v>92200000</v>
      </c>
      <c r="L138" s="60">
        <f t="shared" ref="L138:L157" si="1">J138*I138</f>
        <v>92200008</v>
      </c>
    </row>
    <row r="139" spans="3:12" hidden="1" x14ac:dyDescent="0.2">
      <c r="C139" t="s">
        <v>310</v>
      </c>
      <c r="E139" s="56">
        <v>3000000</v>
      </c>
      <c r="F139" s="56">
        <v>360000</v>
      </c>
      <c r="G139" s="111">
        <v>46228</v>
      </c>
      <c r="H139" s="111">
        <v>46929</v>
      </c>
      <c r="I139">
        <v>12</v>
      </c>
      <c r="J139" s="56">
        <v>280000</v>
      </c>
      <c r="K139" s="60">
        <f t="shared" ref="K139:K157" si="2">E139+F139</f>
        <v>3360000</v>
      </c>
      <c r="L139" s="60">
        <f t="shared" si="1"/>
        <v>3360000</v>
      </c>
    </row>
    <row r="140" spans="3:12" hidden="1" x14ac:dyDescent="0.2">
      <c r="C140" t="s">
        <v>177</v>
      </c>
      <c r="E140" s="56">
        <v>58000000</v>
      </c>
      <c r="F140" s="56">
        <v>17880000</v>
      </c>
      <c r="G140" s="111">
        <v>46228</v>
      </c>
      <c r="H140" s="111">
        <v>46929</v>
      </c>
      <c r="I140">
        <v>24</v>
      </c>
      <c r="J140" s="56">
        <v>3161667</v>
      </c>
      <c r="K140" s="60">
        <f t="shared" si="2"/>
        <v>75880000</v>
      </c>
      <c r="L140" s="60">
        <f t="shared" si="1"/>
        <v>75880008</v>
      </c>
    </row>
    <row r="141" spans="3:12" hidden="1" x14ac:dyDescent="0.2">
      <c r="C141" t="s">
        <v>324</v>
      </c>
      <c r="E141" s="56">
        <v>34000000</v>
      </c>
      <c r="F141" s="56">
        <v>9240000</v>
      </c>
      <c r="G141" s="111">
        <v>46228</v>
      </c>
      <c r="H141" s="111">
        <v>46929</v>
      </c>
      <c r="I141">
        <v>24</v>
      </c>
      <c r="J141" s="56">
        <v>1801667</v>
      </c>
      <c r="K141" s="60">
        <f t="shared" si="2"/>
        <v>43240000</v>
      </c>
      <c r="L141" s="60">
        <f t="shared" si="1"/>
        <v>43240008</v>
      </c>
    </row>
    <row r="142" spans="3:12" hidden="1" x14ac:dyDescent="0.2">
      <c r="C142" t="s">
        <v>492</v>
      </c>
      <c r="E142" s="56">
        <v>8000000</v>
      </c>
      <c r="F142" s="56">
        <v>480000</v>
      </c>
      <c r="G142" s="111">
        <v>46228</v>
      </c>
      <c r="H142" s="111">
        <v>46381</v>
      </c>
      <c r="I142">
        <v>6</v>
      </c>
      <c r="J142" s="56">
        <v>1413333</v>
      </c>
      <c r="K142" s="60">
        <f t="shared" si="2"/>
        <v>8480000</v>
      </c>
      <c r="L142" s="60">
        <f t="shared" si="1"/>
        <v>8479998</v>
      </c>
    </row>
    <row r="143" spans="3:12" hidden="1" x14ac:dyDescent="0.2">
      <c r="C143" t="s">
        <v>318</v>
      </c>
      <c r="E143" s="56">
        <v>5000000</v>
      </c>
      <c r="F143" s="56">
        <v>500000</v>
      </c>
      <c r="G143" s="111">
        <v>46228</v>
      </c>
      <c r="H143" s="111">
        <v>46502</v>
      </c>
      <c r="I143">
        <v>10</v>
      </c>
      <c r="J143" s="56">
        <v>550000</v>
      </c>
      <c r="K143" s="60">
        <f t="shared" si="2"/>
        <v>5500000</v>
      </c>
      <c r="L143" s="60">
        <f t="shared" si="1"/>
        <v>5500000</v>
      </c>
    </row>
    <row r="144" spans="3:12" hidden="1" x14ac:dyDescent="0.2">
      <c r="C144" t="s">
        <v>497</v>
      </c>
      <c r="E144" s="56">
        <v>5000000</v>
      </c>
      <c r="F144" s="56">
        <v>500000</v>
      </c>
      <c r="G144" s="111">
        <v>46228</v>
      </c>
      <c r="H144" s="111">
        <v>46502</v>
      </c>
      <c r="I144">
        <v>10</v>
      </c>
      <c r="J144" s="56">
        <v>550000</v>
      </c>
      <c r="K144" s="60">
        <f t="shared" si="2"/>
        <v>5500000</v>
      </c>
      <c r="L144" s="60">
        <f t="shared" si="1"/>
        <v>5500000</v>
      </c>
    </row>
    <row r="145" spans="3:12" hidden="1" x14ac:dyDescent="0.2">
      <c r="C145" t="s">
        <v>439</v>
      </c>
      <c r="E145" s="56">
        <v>6000000</v>
      </c>
      <c r="F145" s="56">
        <v>600000</v>
      </c>
      <c r="G145" s="111">
        <v>46228</v>
      </c>
      <c r="H145" s="111">
        <v>46502</v>
      </c>
      <c r="I145">
        <v>10</v>
      </c>
      <c r="J145" s="56">
        <v>660000</v>
      </c>
      <c r="K145" s="60">
        <f t="shared" si="2"/>
        <v>6600000</v>
      </c>
      <c r="L145" s="60">
        <f t="shared" si="1"/>
        <v>6600000</v>
      </c>
    </row>
    <row r="146" spans="3:12" hidden="1" x14ac:dyDescent="0.2">
      <c r="C146" t="s">
        <v>539</v>
      </c>
      <c r="E146" s="56">
        <v>2000000</v>
      </c>
      <c r="F146" s="56">
        <v>200000</v>
      </c>
      <c r="G146" s="111">
        <v>46228</v>
      </c>
      <c r="H146" s="111">
        <v>46502</v>
      </c>
      <c r="I146">
        <v>10</v>
      </c>
      <c r="J146" s="56">
        <v>220000</v>
      </c>
      <c r="K146" s="60">
        <f t="shared" si="2"/>
        <v>2200000</v>
      </c>
      <c r="L146" s="60">
        <f t="shared" si="1"/>
        <v>2200000</v>
      </c>
    </row>
    <row r="147" spans="3:12" hidden="1" x14ac:dyDescent="0.2">
      <c r="C147" t="s">
        <v>155</v>
      </c>
      <c r="E147" s="56">
        <v>15000000</v>
      </c>
      <c r="F147" s="56">
        <v>1950000</v>
      </c>
      <c r="G147" s="111">
        <v>46228</v>
      </c>
      <c r="H147" s="111">
        <v>46593</v>
      </c>
      <c r="I147">
        <v>13</v>
      </c>
      <c r="J147" s="56">
        <v>1303846</v>
      </c>
      <c r="K147" s="60">
        <f t="shared" si="2"/>
        <v>16950000</v>
      </c>
      <c r="L147" s="60">
        <f t="shared" si="1"/>
        <v>16949998</v>
      </c>
    </row>
    <row r="148" spans="3:12" hidden="1" x14ac:dyDescent="0.2">
      <c r="C148" t="s">
        <v>202</v>
      </c>
      <c r="E148" s="56">
        <v>20000000</v>
      </c>
      <c r="F148" s="56">
        <v>4800000</v>
      </c>
      <c r="G148" s="111">
        <v>46228</v>
      </c>
      <c r="H148" s="111">
        <v>46929</v>
      </c>
      <c r="I148">
        <v>24</v>
      </c>
      <c r="J148" s="56">
        <v>1033333</v>
      </c>
      <c r="K148" s="60">
        <f t="shared" si="2"/>
        <v>24800000</v>
      </c>
      <c r="L148" s="60">
        <f t="shared" si="1"/>
        <v>24799992</v>
      </c>
    </row>
    <row r="149" spans="3:12" hidden="1" x14ac:dyDescent="0.2">
      <c r="C149" t="s">
        <v>524</v>
      </c>
      <c r="E149" s="56">
        <v>3000000</v>
      </c>
      <c r="F149" s="56">
        <v>210000</v>
      </c>
      <c r="G149" s="111">
        <v>46228</v>
      </c>
      <c r="H149" s="111">
        <v>46443</v>
      </c>
      <c r="I149">
        <v>7</v>
      </c>
      <c r="J149" s="56">
        <v>458571</v>
      </c>
      <c r="K149" s="60">
        <f t="shared" si="2"/>
        <v>3210000</v>
      </c>
      <c r="L149" s="60">
        <f t="shared" si="1"/>
        <v>3209997</v>
      </c>
    </row>
    <row r="150" spans="3:12" hidden="1" x14ac:dyDescent="0.2">
      <c r="C150" t="s">
        <v>308</v>
      </c>
      <c r="E150" s="56">
        <v>10000000</v>
      </c>
      <c r="F150" s="56">
        <v>1000000</v>
      </c>
      <c r="G150" s="111">
        <v>46228</v>
      </c>
      <c r="H150" s="111">
        <v>46502</v>
      </c>
      <c r="I150">
        <v>10</v>
      </c>
      <c r="J150" s="56">
        <v>1100000</v>
      </c>
      <c r="K150" s="60">
        <f t="shared" si="2"/>
        <v>11000000</v>
      </c>
      <c r="L150" s="60">
        <f t="shared" si="1"/>
        <v>11000000</v>
      </c>
    </row>
    <row r="151" spans="3:12" hidden="1" x14ac:dyDescent="0.2">
      <c r="C151" t="s">
        <v>521</v>
      </c>
      <c r="E151" s="56">
        <v>65000000</v>
      </c>
      <c r="F151" s="56">
        <v>20400000</v>
      </c>
      <c r="G151" s="111">
        <v>46228</v>
      </c>
      <c r="H151" s="111">
        <v>46929</v>
      </c>
      <c r="I151">
        <v>24</v>
      </c>
      <c r="J151" s="56">
        <v>3558333</v>
      </c>
      <c r="K151" s="60">
        <f t="shared" si="2"/>
        <v>85400000</v>
      </c>
      <c r="L151" s="60">
        <f t="shared" si="1"/>
        <v>85399992</v>
      </c>
    </row>
    <row r="152" spans="3:12" hidden="1" x14ac:dyDescent="0.2">
      <c r="C152" t="s">
        <v>323</v>
      </c>
      <c r="E152" s="56">
        <v>5000000</v>
      </c>
      <c r="F152" s="56">
        <v>500000</v>
      </c>
      <c r="G152" s="111">
        <v>46228</v>
      </c>
      <c r="H152" s="111">
        <v>46502</v>
      </c>
      <c r="I152">
        <v>10</v>
      </c>
      <c r="J152" s="56">
        <v>550000</v>
      </c>
      <c r="K152" s="60">
        <f t="shared" si="2"/>
        <v>5500000</v>
      </c>
      <c r="L152" s="60">
        <f t="shared" si="1"/>
        <v>5500000</v>
      </c>
    </row>
    <row r="153" spans="3:12" hidden="1" x14ac:dyDescent="0.2">
      <c r="C153" t="s">
        <v>491</v>
      </c>
      <c r="E153" s="56">
        <v>17000000</v>
      </c>
      <c r="F153" s="56">
        <v>3400000</v>
      </c>
      <c r="G153" s="111">
        <v>46228</v>
      </c>
      <c r="H153" s="111">
        <v>46808</v>
      </c>
      <c r="I153">
        <v>20</v>
      </c>
      <c r="J153" s="56">
        <v>1020000</v>
      </c>
      <c r="K153" s="60">
        <f t="shared" si="2"/>
        <v>20400000</v>
      </c>
      <c r="L153" s="60">
        <f t="shared" si="1"/>
        <v>20400000</v>
      </c>
    </row>
    <row r="154" spans="3:12" hidden="1" x14ac:dyDescent="0.2">
      <c r="C154" t="s">
        <v>151</v>
      </c>
      <c r="E154" s="56">
        <v>35000000</v>
      </c>
      <c r="F154" s="56">
        <v>4800000</v>
      </c>
      <c r="G154" s="111">
        <v>46228</v>
      </c>
      <c r="H154" s="111">
        <v>46563</v>
      </c>
      <c r="I154">
        <v>12</v>
      </c>
      <c r="J154" s="56">
        <v>3316667</v>
      </c>
      <c r="K154" s="60">
        <f t="shared" si="2"/>
        <v>39800000</v>
      </c>
      <c r="L154" s="60">
        <f t="shared" si="1"/>
        <v>39800004</v>
      </c>
    </row>
    <row r="155" spans="3:12" hidden="1" x14ac:dyDescent="0.2">
      <c r="C155" t="s">
        <v>304</v>
      </c>
      <c r="D155" t="str">
        <f>VLOOKUP(C155,'Master Anggota'!$E$2:$I$279,5,0)</f>
        <v>01541</v>
      </c>
      <c r="E155" s="56">
        <v>15000000</v>
      </c>
      <c r="F155" s="56">
        <v>1500000</v>
      </c>
      <c r="G155" s="111">
        <v>46198</v>
      </c>
      <c r="H155" s="111">
        <v>46471</v>
      </c>
      <c r="I155">
        <v>10</v>
      </c>
      <c r="J155" s="56">
        <v>1650000</v>
      </c>
      <c r="K155" s="60">
        <f t="shared" si="2"/>
        <v>16500000</v>
      </c>
      <c r="L155" s="60">
        <f t="shared" si="1"/>
        <v>16500000</v>
      </c>
    </row>
    <row r="156" spans="3:12" hidden="1" x14ac:dyDescent="0.2">
      <c r="C156" t="s">
        <v>421</v>
      </c>
      <c r="D156" t="str">
        <f>VLOOKUP(C156,'Master Anggota'!$E$2:$I$279,5,0)</f>
        <v>01560</v>
      </c>
      <c r="E156" s="56">
        <v>1500000</v>
      </c>
      <c r="F156" s="56">
        <v>150000</v>
      </c>
      <c r="G156" s="111">
        <v>46198</v>
      </c>
      <c r="H156" s="111">
        <v>46471</v>
      </c>
      <c r="I156">
        <v>10</v>
      </c>
      <c r="J156" s="56">
        <v>165000</v>
      </c>
      <c r="K156" s="60">
        <f t="shared" si="2"/>
        <v>1650000</v>
      </c>
      <c r="L156" s="60">
        <f t="shared" si="1"/>
        <v>1650000</v>
      </c>
    </row>
    <row r="157" spans="3:12" hidden="1" x14ac:dyDescent="0.2">
      <c r="C157" t="s">
        <v>270</v>
      </c>
      <c r="D157" t="str">
        <f>VLOOKUP(C157,'Master Anggota'!$E$2:$I$279,5,0)</f>
        <v>00509</v>
      </c>
      <c r="E157" s="56">
        <v>7000000</v>
      </c>
      <c r="F157" s="56">
        <v>840000</v>
      </c>
      <c r="G157" s="111">
        <v>46198</v>
      </c>
      <c r="H157" s="111">
        <v>46532</v>
      </c>
      <c r="I157">
        <v>12</v>
      </c>
      <c r="J157" s="56">
        <v>653333</v>
      </c>
      <c r="K157" s="60">
        <f t="shared" si="2"/>
        <v>7840000</v>
      </c>
      <c r="L157" s="60">
        <f t="shared" si="1"/>
        <v>7839996</v>
      </c>
    </row>
    <row r="158" spans="3:12" hidden="1" x14ac:dyDescent="0.2">
      <c r="C158" t="s">
        <v>546</v>
      </c>
      <c r="E158" s="56">
        <v>2250000</v>
      </c>
      <c r="F158" s="56">
        <v>135000</v>
      </c>
      <c r="G158" s="111">
        <v>46259</v>
      </c>
      <c r="H158" s="111">
        <v>46412</v>
      </c>
      <c r="I158">
        <v>6</v>
      </c>
      <c r="J158" s="56">
        <v>397000</v>
      </c>
      <c r="K158" s="60">
        <f t="shared" ref="K158:K163" si="3">E158+F158</f>
        <v>2385000</v>
      </c>
      <c r="L158" s="60">
        <f t="shared" ref="L158:L163" si="4">J158*I158</f>
        <v>2382000</v>
      </c>
    </row>
    <row r="159" spans="3:12" hidden="1" x14ac:dyDescent="0.2">
      <c r="C159" t="s">
        <v>317</v>
      </c>
      <c r="E159" s="56">
        <v>5000000</v>
      </c>
      <c r="F159" s="56">
        <v>500000</v>
      </c>
      <c r="G159" s="111">
        <v>46259</v>
      </c>
      <c r="H159" s="111">
        <v>46532</v>
      </c>
      <c r="I159">
        <v>10</v>
      </c>
      <c r="J159" s="56">
        <v>550000</v>
      </c>
      <c r="K159" s="60">
        <f t="shared" si="3"/>
        <v>5500000</v>
      </c>
      <c r="L159" s="60">
        <f t="shared" si="4"/>
        <v>5500000</v>
      </c>
    </row>
    <row r="160" spans="3:12" hidden="1" x14ac:dyDescent="0.2">
      <c r="C160" t="s">
        <v>362</v>
      </c>
      <c r="E160" s="56">
        <v>40000000</v>
      </c>
      <c r="F160" s="56">
        <v>9500000</v>
      </c>
      <c r="G160" s="111">
        <v>46259</v>
      </c>
      <c r="H160" s="111">
        <v>46868</v>
      </c>
      <c r="I160">
        <v>20</v>
      </c>
      <c r="J160" s="56">
        <v>2475000</v>
      </c>
      <c r="K160" s="60">
        <f t="shared" si="3"/>
        <v>49500000</v>
      </c>
      <c r="L160" s="60">
        <f t="shared" si="4"/>
        <v>49500000</v>
      </c>
    </row>
    <row r="161" spans="3:12" hidden="1" x14ac:dyDescent="0.2">
      <c r="C161" t="s">
        <v>525</v>
      </c>
      <c r="E161" s="56">
        <v>20000000</v>
      </c>
      <c r="F161" s="56">
        <v>4800000</v>
      </c>
      <c r="G161" s="111">
        <v>46259</v>
      </c>
      <c r="H161" s="111">
        <v>46959</v>
      </c>
      <c r="I161">
        <v>24</v>
      </c>
      <c r="J161" s="56">
        <v>1033333</v>
      </c>
      <c r="K161" s="60">
        <f t="shared" si="3"/>
        <v>24800000</v>
      </c>
      <c r="L161" s="60">
        <f t="shared" si="4"/>
        <v>24799992</v>
      </c>
    </row>
    <row r="162" spans="3:12" hidden="1" x14ac:dyDescent="0.2">
      <c r="C162" t="s">
        <v>311</v>
      </c>
      <c r="E162" s="56">
        <v>7000000</v>
      </c>
      <c r="F162" s="56">
        <v>560000</v>
      </c>
      <c r="G162" s="111">
        <v>46259</v>
      </c>
      <c r="H162" s="111">
        <v>46471</v>
      </c>
      <c r="I162">
        <v>8</v>
      </c>
      <c r="J162" s="56">
        <v>945000</v>
      </c>
      <c r="K162" s="60">
        <f t="shared" si="3"/>
        <v>7560000</v>
      </c>
      <c r="L162" s="60">
        <f t="shared" si="4"/>
        <v>7560000</v>
      </c>
    </row>
    <row r="163" spans="3:12" hidden="1" x14ac:dyDescent="0.2">
      <c r="C163" t="s">
        <v>400</v>
      </c>
      <c r="E163" s="56">
        <v>20000000</v>
      </c>
      <c r="F163" s="56">
        <v>4800000</v>
      </c>
      <c r="G163" s="111">
        <v>46259</v>
      </c>
      <c r="H163" s="111">
        <v>46959</v>
      </c>
      <c r="I163">
        <v>24</v>
      </c>
      <c r="J163" s="56">
        <v>1033333</v>
      </c>
      <c r="K163" s="60">
        <f t="shared" si="3"/>
        <v>24800000</v>
      </c>
      <c r="L163" s="60">
        <f t="shared" si="4"/>
        <v>24799992</v>
      </c>
    </row>
    <row r="164" spans="3:12" hidden="1" x14ac:dyDescent="0.2">
      <c r="C164" t="s">
        <v>442</v>
      </c>
      <c r="E164" s="56">
        <v>15000000</v>
      </c>
      <c r="F164" s="56">
        <v>1500000</v>
      </c>
      <c r="G164" s="111">
        <v>46259</v>
      </c>
      <c r="H164" s="111">
        <v>46593</v>
      </c>
      <c r="I164">
        <v>12</v>
      </c>
      <c r="J164" s="56">
        <v>1400000</v>
      </c>
      <c r="K164" s="60">
        <f t="shared" ref="K164" si="5">E164+F164</f>
        <v>16500000</v>
      </c>
      <c r="L164" s="60">
        <f t="shared" ref="L164" si="6">J164*I164</f>
        <v>16800000</v>
      </c>
    </row>
    <row r="165" spans="3:12" hidden="1" x14ac:dyDescent="0.2">
      <c r="C165" t="s">
        <v>316</v>
      </c>
      <c r="E165" s="56">
        <v>20000000</v>
      </c>
      <c r="F165" s="56">
        <f>E165/100*I165</f>
        <v>2400000</v>
      </c>
      <c r="G165" s="111">
        <v>46259</v>
      </c>
      <c r="H165" s="111">
        <v>46593</v>
      </c>
      <c r="I165">
        <v>12</v>
      </c>
      <c r="J165" s="56">
        <v>1866667</v>
      </c>
      <c r="K165" s="60">
        <f t="shared" ref="K165:K172" si="7">E165+F165</f>
        <v>22400000</v>
      </c>
      <c r="L165" s="60">
        <f t="shared" ref="L165:L172" si="8">J165*I165</f>
        <v>22400004</v>
      </c>
    </row>
    <row r="166" spans="3:12" hidden="1" x14ac:dyDescent="0.2">
      <c r="C166" t="s">
        <v>94</v>
      </c>
      <c r="E166" s="56">
        <v>1000000</v>
      </c>
      <c r="F166" s="56">
        <f>E166*1.5/100*I166</f>
        <v>180000</v>
      </c>
      <c r="G166" s="111">
        <v>46259</v>
      </c>
      <c r="H166" s="111">
        <v>46593</v>
      </c>
      <c r="I166">
        <v>12</v>
      </c>
      <c r="J166" s="56">
        <v>98333</v>
      </c>
      <c r="K166" s="60">
        <f t="shared" si="7"/>
        <v>1180000</v>
      </c>
      <c r="L166" s="60">
        <f t="shared" si="8"/>
        <v>1179996</v>
      </c>
    </row>
    <row r="167" spans="3:12" hidden="1" x14ac:dyDescent="0.2">
      <c r="C167" t="s">
        <v>307</v>
      </c>
      <c r="E167" s="56">
        <v>8000000</v>
      </c>
      <c r="F167" s="56">
        <f t="shared" ref="F167:F168" si="9">E167/100*I167</f>
        <v>960000</v>
      </c>
      <c r="G167" s="111">
        <v>46259</v>
      </c>
      <c r="H167" s="111">
        <v>46593</v>
      </c>
      <c r="I167">
        <v>12</v>
      </c>
      <c r="J167" s="56">
        <v>746667</v>
      </c>
      <c r="K167" s="60">
        <f t="shared" si="7"/>
        <v>8960000</v>
      </c>
      <c r="L167" s="60">
        <f t="shared" si="8"/>
        <v>8960004</v>
      </c>
    </row>
    <row r="168" spans="3:12" hidden="1" x14ac:dyDescent="0.2">
      <c r="C168" t="s">
        <v>534</v>
      </c>
      <c r="E168" s="56">
        <v>3000000</v>
      </c>
      <c r="F168" s="56">
        <f t="shared" si="9"/>
        <v>90000</v>
      </c>
      <c r="G168" s="111">
        <v>46259</v>
      </c>
      <c r="H168" s="111">
        <v>46593</v>
      </c>
      <c r="I168">
        <v>3</v>
      </c>
      <c r="J168" s="56">
        <v>1030000</v>
      </c>
      <c r="K168" s="60">
        <f t="shared" si="7"/>
        <v>3090000</v>
      </c>
      <c r="L168" s="60">
        <f t="shared" si="8"/>
        <v>3090000</v>
      </c>
    </row>
    <row r="169" spans="3:12" hidden="1" x14ac:dyDescent="0.2">
      <c r="C169" t="s">
        <v>243</v>
      </c>
      <c r="E169" s="56">
        <v>15000000</v>
      </c>
      <c r="F169" s="56">
        <f>E169*1.5/100*I169</f>
        <v>5400000</v>
      </c>
      <c r="G169" s="111">
        <v>46259</v>
      </c>
      <c r="H169" s="111">
        <v>46959</v>
      </c>
      <c r="I169">
        <v>24</v>
      </c>
      <c r="J169" s="56">
        <v>850000</v>
      </c>
      <c r="K169" s="60">
        <f t="shared" si="7"/>
        <v>20400000</v>
      </c>
      <c r="L169" s="60">
        <f t="shared" si="8"/>
        <v>20400000</v>
      </c>
    </row>
    <row r="170" spans="3:12" hidden="1" x14ac:dyDescent="0.2">
      <c r="C170" t="s">
        <v>486</v>
      </c>
      <c r="E170" s="56">
        <v>25000000</v>
      </c>
      <c r="F170" s="56">
        <v>3000000</v>
      </c>
      <c r="G170" s="111" t="s">
        <v>637</v>
      </c>
      <c r="H170" s="111" t="s">
        <v>637</v>
      </c>
      <c r="I170">
        <v>1</v>
      </c>
      <c r="J170" s="56">
        <v>28000000</v>
      </c>
      <c r="K170" s="60">
        <f t="shared" si="7"/>
        <v>28000000</v>
      </c>
      <c r="L170" s="60">
        <f t="shared" si="8"/>
        <v>28000000</v>
      </c>
    </row>
    <row r="171" spans="3:12" hidden="1" x14ac:dyDescent="0.2">
      <c r="C171" t="s">
        <v>206</v>
      </c>
      <c r="E171" s="82">
        <v>10000000</v>
      </c>
      <c r="F171" s="82">
        <v>1500000</v>
      </c>
      <c r="G171" s="111">
        <v>46259</v>
      </c>
      <c r="H171" s="111">
        <v>46532</v>
      </c>
      <c r="I171">
        <v>10</v>
      </c>
      <c r="J171" s="82">
        <v>1150000</v>
      </c>
      <c r="K171" s="60">
        <f t="shared" si="7"/>
        <v>11500000</v>
      </c>
      <c r="L171" s="60">
        <f t="shared" si="8"/>
        <v>11500000</v>
      </c>
    </row>
    <row r="172" spans="3:12" hidden="1" x14ac:dyDescent="0.2">
      <c r="C172" t="s">
        <v>214</v>
      </c>
      <c r="D172" t="str">
        <f>VLOOKUP(C172,'Master Anggota'!$E$2:$I$279,5,0)</f>
        <v>00529</v>
      </c>
      <c r="E172" s="82">
        <v>26000000</v>
      </c>
      <c r="F172" s="82">
        <v>6360000</v>
      </c>
      <c r="G172" s="111">
        <v>46259</v>
      </c>
      <c r="H172" s="111">
        <v>46959</v>
      </c>
      <c r="I172" s="82">
        <v>24</v>
      </c>
      <c r="J172" s="82">
        <v>1348333</v>
      </c>
      <c r="K172" s="60">
        <f t="shared" si="7"/>
        <v>32360000</v>
      </c>
      <c r="L172" s="60">
        <f t="shared" si="8"/>
        <v>32359992</v>
      </c>
    </row>
    <row r="173" spans="3:12" hidden="1" x14ac:dyDescent="0.2">
      <c r="C173" t="s">
        <v>113</v>
      </c>
      <c r="D173" t="str">
        <f>VLOOKUP(C173,'Master Anggota'!$E$2:$I$279,5,0)</f>
        <v>00317</v>
      </c>
      <c r="E173" s="82">
        <v>15000000</v>
      </c>
      <c r="F173" s="82">
        <v>1500000</v>
      </c>
      <c r="G173" s="111">
        <v>46259</v>
      </c>
      <c r="H173" s="111">
        <v>46532</v>
      </c>
      <c r="I173">
        <v>10</v>
      </c>
      <c r="J173" s="56">
        <v>1650000</v>
      </c>
      <c r="K173" s="60">
        <f t="shared" ref="K173:K176" si="10">E173+F173</f>
        <v>16500000</v>
      </c>
      <c r="L173" s="60">
        <f t="shared" ref="L173:L176" si="11">J173*I173</f>
        <v>16500000</v>
      </c>
    </row>
    <row r="174" spans="3:12" hidden="1" x14ac:dyDescent="0.2">
      <c r="C174" t="s">
        <v>113</v>
      </c>
      <c r="D174" t="str">
        <f>VLOOKUP(C174,'Master Anggota'!$E$2:$I$279,5,0)</f>
        <v>00317</v>
      </c>
      <c r="E174" s="82">
        <v>20000</v>
      </c>
      <c r="F174" s="82"/>
      <c r="G174" s="111">
        <v>46259</v>
      </c>
      <c r="H174" s="111">
        <v>46259</v>
      </c>
      <c r="I174">
        <v>1</v>
      </c>
      <c r="J174" s="56">
        <v>20000</v>
      </c>
      <c r="K174" s="60">
        <f t="shared" si="10"/>
        <v>20000</v>
      </c>
      <c r="L174" s="60">
        <f t="shared" si="11"/>
        <v>20000</v>
      </c>
    </row>
    <row r="175" spans="3:12" hidden="1" x14ac:dyDescent="0.2">
      <c r="C175" t="s">
        <v>358</v>
      </c>
      <c r="D175" t="str">
        <f>VLOOKUP(C175,'Master Anggota'!$E$2:$I$279,5,0)</f>
        <v>01530</v>
      </c>
      <c r="E175" s="82">
        <v>15000000</v>
      </c>
      <c r="F175" s="82">
        <v>1500000</v>
      </c>
      <c r="G175" s="111">
        <v>46259</v>
      </c>
      <c r="H175" s="111">
        <v>46532</v>
      </c>
      <c r="I175">
        <v>10</v>
      </c>
      <c r="J175" s="60">
        <v>1650000</v>
      </c>
      <c r="K175" s="60">
        <f t="shared" si="10"/>
        <v>16500000</v>
      </c>
      <c r="L175" s="60">
        <f t="shared" si="11"/>
        <v>16500000</v>
      </c>
    </row>
    <row r="176" spans="3:12" hidden="1" x14ac:dyDescent="0.2">
      <c r="C176" t="s">
        <v>258</v>
      </c>
      <c r="D176" t="str">
        <f>VLOOKUP(C176,'Master Anggota'!$E$2:$I$279,5,0)</f>
        <v>00390</v>
      </c>
      <c r="E176" s="56">
        <v>25000000</v>
      </c>
      <c r="F176" s="56">
        <v>3000000</v>
      </c>
      <c r="G176" s="111">
        <v>45925</v>
      </c>
      <c r="H176" s="111">
        <v>46624</v>
      </c>
      <c r="I176">
        <v>12</v>
      </c>
      <c r="J176" s="56">
        <v>2333334</v>
      </c>
      <c r="K176" s="60">
        <f t="shared" si="10"/>
        <v>28000000</v>
      </c>
      <c r="L176" s="60">
        <f t="shared" si="11"/>
        <v>28000008</v>
      </c>
    </row>
    <row r="177" spans="3:10" hidden="1" x14ac:dyDescent="0.2">
      <c r="C177" t="s">
        <v>92</v>
      </c>
      <c r="D177" t="str">
        <f>VLOOKUP(C177,'Master Anggota'!$E$2:$I$279,5,0)</f>
        <v>00396</v>
      </c>
      <c r="E177" s="82">
        <v>50000000</v>
      </c>
      <c r="F177" s="82">
        <v>6250000</v>
      </c>
      <c r="G177" s="111">
        <v>46259</v>
      </c>
      <c r="H177" s="111">
        <v>46532</v>
      </c>
      <c r="I177">
        <v>10</v>
      </c>
      <c r="J177" s="82">
        <v>6250000</v>
      </c>
    </row>
    <row r="178" spans="3:10" hidden="1" x14ac:dyDescent="0.2">
      <c r="C178" t="s">
        <v>103</v>
      </c>
      <c r="D178" t="str">
        <f>VLOOKUP(C178,'Master Anggota'!$E$2:$I$279,5,0)</f>
        <v>00401</v>
      </c>
      <c r="E178" s="56">
        <v>15000000</v>
      </c>
      <c r="F178" s="56">
        <v>1500000</v>
      </c>
      <c r="G178" s="111">
        <v>46259</v>
      </c>
      <c r="H178" s="111">
        <v>46532</v>
      </c>
      <c r="I178" s="82">
        <v>10</v>
      </c>
      <c r="J178" s="82">
        <v>1650000</v>
      </c>
    </row>
    <row r="179" spans="3:10" hidden="1" x14ac:dyDescent="0.2">
      <c r="C179" t="s">
        <v>172</v>
      </c>
      <c r="D179" t="str">
        <f>VLOOKUP(C179,'Master Anggota'!$E$2:$I$279,5,0)</f>
        <v>00584</v>
      </c>
      <c r="E179" s="82">
        <v>62000000</v>
      </c>
      <c r="F179" s="82">
        <v>19320000</v>
      </c>
      <c r="G179" s="111">
        <v>46259</v>
      </c>
      <c r="H179" s="111">
        <v>46959</v>
      </c>
      <c r="I179">
        <v>24</v>
      </c>
      <c r="J179" s="82">
        <v>3388333</v>
      </c>
    </row>
    <row r="180" spans="3:10" hidden="1" x14ac:dyDescent="0.2">
      <c r="C180" t="s">
        <v>289</v>
      </c>
      <c r="D180" t="str">
        <f>VLOOKUP(C180,'Master Anggota'!$E$2:$I$279,5,0)</f>
        <v>01511</v>
      </c>
      <c r="E180" s="82">
        <v>20000000</v>
      </c>
      <c r="F180" s="82">
        <v>2240000</v>
      </c>
      <c r="G180" s="73">
        <v>46259</v>
      </c>
      <c r="H180" s="73">
        <v>46593</v>
      </c>
      <c r="I180">
        <v>12</v>
      </c>
      <c r="J180" s="82">
        <v>1866667</v>
      </c>
    </row>
    <row r="181" spans="3:10" hidden="1" x14ac:dyDescent="0.2">
      <c r="C181" t="s">
        <v>526</v>
      </c>
      <c r="D181" t="str">
        <f>VLOOKUP(C181,'Master Anggota'!$E$2:$I$279,5,0)</f>
        <v>PHL</v>
      </c>
      <c r="E181" s="82">
        <v>5500000</v>
      </c>
      <c r="F181" s="82">
        <v>660000</v>
      </c>
      <c r="G181" s="111">
        <v>46259</v>
      </c>
      <c r="H181" s="111">
        <v>46593</v>
      </c>
      <c r="I181" s="82">
        <v>12</v>
      </c>
      <c r="J181" s="82">
        <v>513333</v>
      </c>
    </row>
    <row r="182" spans="3:10" x14ac:dyDescent="0.2">
      <c r="C182" t="s">
        <v>153</v>
      </c>
      <c r="D182" t="str">
        <f>VLOOKUP(C182,'Master Anggota'!$E$2:$I$279,5,0)</f>
        <v>00548</v>
      </c>
      <c r="E182" s="82">
        <v>25000000</v>
      </c>
      <c r="F182" s="82">
        <v>6000000</v>
      </c>
      <c r="G182" s="111">
        <v>46290</v>
      </c>
      <c r="H182" s="111">
        <v>46990</v>
      </c>
      <c r="I182" s="82">
        <v>24</v>
      </c>
      <c r="J182" s="82">
        <v>1291667</v>
      </c>
    </row>
  </sheetData>
  <autoFilter ref="B2:L181" xr:uid="{FF8CC96C-186D-F34A-9BC0-664579CF71A8}">
    <filterColumn colId="1">
      <filters>
        <filter val="Wawan Satriawan"/>
      </filters>
    </filterColumn>
  </autoFilter>
  <conditionalFormatting sqref="C1:C1048576">
    <cfRule type="duplicateValues" dxfId="3" priority="1"/>
    <cfRule type="top10" dxfId="2" priority="2" rank="10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6F72-1A54-2E45-AEDB-CEA6F2722836}">
  <dimension ref="A1:J215"/>
  <sheetViews>
    <sheetView topLeftCell="A89" workbookViewId="0">
      <selection activeCell="F167" sqref="F167"/>
    </sheetView>
  </sheetViews>
  <sheetFormatPr baseColWidth="10" defaultColWidth="10.83203125" defaultRowHeight="16" x14ac:dyDescent="0.2"/>
  <cols>
    <col min="1" max="1" width="6" bestFit="1" customWidth="1"/>
    <col min="2" max="2" width="22.83203125" bestFit="1" customWidth="1"/>
    <col min="3" max="3" width="13" bestFit="1" customWidth="1"/>
    <col min="4" max="4" width="10.83203125" style="56"/>
    <col min="5" max="5" width="22.83203125" bestFit="1" customWidth="1"/>
    <col min="6" max="6" width="12.6640625" style="56" bestFit="1" customWidth="1"/>
    <col min="7" max="7" width="10.83203125" style="56"/>
  </cols>
  <sheetData>
    <row r="1" spans="1:4" x14ac:dyDescent="0.2">
      <c r="A1" t="s">
        <v>602</v>
      </c>
      <c r="B1" t="s">
        <v>588</v>
      </c>
      <c r="C1" t="s">
        <v>589</v>
      </c>
      <c r="D1" s="56" t="s">
        <v>597</v>
      </c>
    </row>
    <row r="2" spans="1:4" x14ac:dyDescent="0.2">
      <c r="A2">
        <v>1</v>
      </c>
      <c r="B2" t="s">
        <v>194</v>
      </c>
      <c r="C2" t="s">
        <v>195</v>
      </c>
      <c r="D2" s="56">
        <v>5920000</v>
      </c>
    </row>
    <row r="3" spans="1:4" x14ac:dyDescent="0.2">
      <c r="A3">
        <v>2</v>
      </c>
      <c r="B3" t="s">
        <v>241</v>
      </c>
      <c r="C3" t="s">
        <v>242</v>
      </c>
      <c r="D3" s="56">
        <v>2708333</v>
      </c>
    </row>
    <row r="4" spans="1:4" x14ac:dyDescent="0.2">
      <c r="A4">
        <v>3</v>
      </c>
      <c r="B4" t="s">
        <v>53</v>
      </c>
      <c r="C4" t="s">
        <v>54</v>
      </c>
      <c r="D4" s="56">
        <v>775000</v>
      </c>
    </row>
    <row r="5" spans="1:4" x14ac:dyDescent="0.2">
      <c r="A5">
        <v>4</v>
      </c>
      <c r="B5" t="s">
        <v>527</v>
      </c>
      <c r="C5" t="s">
        <v>470</v>
      </c>
      <c r="D5" s="56">
        <v>330000</v>
      </c>
    </row>
    <row r="6" spans="1:4" x14ac:dyDescent="0.2">
      <c r="A6">
        <v>5</v>
      </c>
      <c r="B6" t="s">
        <v>327</v>
      </c>
      <c r="C6" t="s">
        <v>420</v>
      </c>
      <c r="D6" s="56">
        <v>618333</v>
      </c>
    </row>
    <row r="7" spans="1:4" x14ac:dyDescent="0.2">
      <c r="A7">
        <v>6</v>
      </c>
      <c r="B7" t="s">
        <v>235</v>
      </c>
      <c r="C7" t="s">
        <v>236</v>
      </c>
      <c r="D7" s="56">
        <v>2333333</v>
      </c>
    </row>
    <row r="8" spans="1:4" x14ac:dyDescent="0.2">
      <c r="A8">
        <v>7</v>
      </c>
      <c r="B8" t="s">
        <v>311</v>
      </c>
      <c r="C8" t="s">
        <v>408</v>
      </c>
      <c r="D8" s="56">
        <v>883333</v>
      </c>
    </row>
    <row r="9" spans="1:4" x14ac:dyDescent="0.2">
      <c r="A9">
        <v>8</v>
      </c>
      <c r="B9" t="s">
        <v>526</v>
      </c>
      <c r="C9" t="s">
        <v>470</v>
      </c>
      <c r="D9" s="56">
        <v>901000</v>
      </c>
    </row>
    <row r="10" spans="1:4" x14ac:dyDescent="0.2">
      <c r="A10">
        <v>9</v>
      </c>
      <c r="B10" t="s">
        <v>368</v>
      </c>
      <c r="C10" t="s">
        <v>429</v>
      </c>
      <c r="D10" s="56">
        <v>530000</v>
      </c>
    </row>
    <row r="11" spans="1:4" x14ac:dyDescent="0.2">
      <c r="A11">
        <v>10</v>
      </c>
      <c r="B11" t="s">
        <v>175</v>
      </c>
      <c r="C11" t="s">
        <v>381</v>
      </c>
      <c r="D11" s="56">
        <v>2708333</v>
      </c>
    </row>
    <row r="12" spans="1:4" x14ac:dyDescent="0.2">
      <c r="A12">
        <v>11</v>
      </c>
      <c r="B12" t="s">
        <v>157</v>
      </c>
      <c r="C12" t="s">
        <v>541</v>
      </c>
      <c r="D12" s="56">
        <v>1916667</v>
      </c>
    </row>
    <row r="13" spans="1:4" x14ac:dyDescent="0.2">
      <c r="A13">
        <v>12</v>
      </c>
      <c r="B13" t="s">
        <v>8</v>
      </c>
      <c r="C13" t="s">
        <v>22</v>
      </c>
      <c r="D13" s="56">
        <v>660000</v>
      </c>
    </row>
    <row r="14" spans="1:4" x14ac:dyDescent="0.2">
      <c r="A14">
        <v>13</v>
      </c>
      <c r="B14" t="s">
        <v>189</v>
      </c>
      <c r="C14" t="s">
        <v>191</v>
      </c>
      <c r="D14" s="56">
        <v>597333</v>
      </c>
    </row>
    <row r="15" spans="1:4" x14ac:dyDescent="0.2">
      <c r="A15">
        <v>14</v>
      </c>
      <c r="B15" t="s">
        <v>328</v>
      </c>
      <c r="C15" t="s">
        <v>329</v>
      </c>
      <c r="D15" s="56">
        <v>1812500</v>
      </c>
    </row>
    <row r="16" spans="1:4" x14ac:dyDescent="0.2">
      <c r="A16">
        <v>15</v>
      </c>
      <c r="B16" t="s">
        <v>484</v>
      </c>
      <c r="C16" t="s">
        <v>74</v>
      </c>
      <c r="D16" s="56">
        <v>4408333</v>
      </c>
    </row>
    <row r="17" spans="1:4" x14ac:dyDescent="0.2">
      <c r="A17">
        <v>16</v>
      </c>
      <c r="B17" t="s">
        <v>325</v>
      </c>
      <c r="C17" t="s">
        <v>418</v>
      </c>
      <c r="D17" s="56">
        <v>775000</v>
      </c>
    </row>
    <row r="18" spans="1:4" x14ac:dyDescent="0.2">
      <c r="A18">
        <v>17</v>
      </c>
      <c r="B18" t="s">
        <v>319</v>
      </c>
      <c r="C18" t="s">
        <v>320</v>
      </c>
      <c r="D18" s="56">
        <v>2200000</v>
      </c>
    </row>
    <row r="19" spans="1:4" x14ac:dyDescent="0.2">
      <c r="A19">
        <v>18</v>
      </c>
      <c r="B19" t="s">
        <v>363</v>
      </c>
      <c r="C19" t="s">
        <v>471</v>
      </c>
      <c r="D19" s="56">
        <v>1858333</v>
      </c>
    </row>
    <row r="20" spans="1:4" x14ac:dyDescent="0.2">
      <c r="A20">
        <v>19</v>
      </c>
      <c r="B20" t="s">
        <v>35</v>
      </c>
      <c r="C20" t="s">
        <v>36</v>
      </c>
      <c r="D20" s="56">
        <v>1575000</v>
      </c>
    </row>
    <row r="21" spans="1:4" x14ac:dyDescent="0.2">
      <c r="A21">
        <v>20</v>
      </c>
      <c r="B21" t="s">
        <v>400</v>
      </c>
      <c r="C21" t="s">
        <v>401</v>
      </c>
      <c r="D21" s="56">
        <v>723333</v>
      </c>
    </row>
    <row r="22" spans="1:4" x14ac:dyDescent="0.2">
      <c r="A22">
        <v>21</v>
      </c>
      <c r="B22" t="s">
        <v>522</v>
      </c>
      <c r="C22" t="s">
        <v>192</v>
      </c>
      <c r="D22" s="56">
        <v>3275000</v>
      </c>
    </row>
    <row r="23" spans="1:4" x14ac:dyDescent="0.2">
      <c r="A23">
        <v>22</v>
      </c>
      <c r="B23" t="s">
        <v>586</v>
      </c>
      <c r="C23" t="s">
        <v>479</v>
      </c>
      <c r="D23" s="56">
        <v>767000</v>
      </c>
    </row>
    <row r="24" spans="1:4" x14ac:dyDescent="0.2">
      <c r="A24">
        <v>23</v>
      </c>
      <c r="B24" t="s">
        <v>467</v>
      </c>
      <c r="C24" t="s">
        <v>468</v>
      </c>
      <c r="D24" s="56">
        <v>1603333</v>
      </c>
    </row>
    <row r="25" spans="1:4" x14ac:dyDescent="0.2">
      <c r="A25">
        <v>24</v>
      </c>
      <c r="B25" t="s">
        <v>198</v>
      </c>
      <c r="C25" t="s">
        <v>199</v>
      </c>
      <c r="D25" s="56">
        <v>3275000</v>
      </c>
    </row>
    <row r="26" spans="1:4" x14ac:dyDescent="0.2">
      <c r="A26">
        <v>25</v>
      </c>
      <c r="B26" t="s">
        <v>198</v>
      </c>
      <c r="C26" t="s">
        <v>199</v>
      </c>
      <c r="D26" s="56">
        <v>3149608</v>
      </c>
    </row>
    <row r="27" spans="1:4" x14ac:dyDescent="0.2">
      <c r="A27">
        <v>26</v>
      </c>
      <c r="B27" t="s">
        <v>200</v>
      </c>
      <c r="C27" t="s">
        <v>201</v>
      </c>
      <c r="D27" s="56">
        <v>1650000</v>
      </c>
    </row>
    <row r="28" spans="1:4" x14ac:dyDescent="0.2">
      <c r="A28">
        <v>27</v>
      </c>
      <c r="B28" t="s">
        <v>182</v>
      </c>
      <c r="C28" t="s">
        <v>387</v>
      </c>
      <c r="D28" s="56">
        <v>3125000</v>
      </c>
    </row>
    <row r="29" spans="1:4" x14ac:dyDescent="0.2">
      <c r="A29">
        <v>28</v>
      </c>
      <c r="B29" t="s">
        <v>533</v>
      </c>
      <c r="C29" t="s">
        <v>528</v>
      </c>
      <c r="D29" s="56">
        <v>1866667</v>
      </c>
    </row>
    <row r="30" spans="1:4" x14ac:dyDescent="0.2">
      <c r="A30">
        <v>29</v>
      </c>
      <c r="B30" t="s">
        <v>300</v>
      </c>
      <c r="C30" t="s">
        <v>398</v>
      </c>
      <c r="D30" s="56">
        <v>600000</v>
      </c>
    </row>
    <row r="31" spans="1:4" x14ac:dyDescent="0.2">
      <c r="A31">
        <v>30</v>
      </c>
      <c r="B31" t="s">
        <v>79</v>
      </c>
      <c r="C31" t="s">
        <v>80</v>
      </c>
      <c r="D31" s="56">
        <v>4125000</v>
      </c>
    </row>
    <row r="32" spans="1:4" x14ac:dyDescent="0.2">
      <c r="A32">
        <v>31</v>
      </c>
      <c r="B32" t="s">
        <v>81</v>
      </c>
      <c r="C32" t="s">
        <v>82</v>
      </c>
      <c r="D32" s="56">
        <v>2708333</v>
      </c>
    </row>
    <row r="33" spans="1:4" x14ac:dyDescent="0.2">
      <c r="A33">
        <v>32</v>
      </c>
      <c r="B33" t="s">
        <v>85</v>
      </c>
      <c r="C33" t="s">
        <v>86</v>
      </c>
      <c r="D33" s="56">
        <v>2368333</v>
      </c>
    </row>
    <row r="34" spans="1:4" x14ac:dyDescent="0.2">
      <c r="A34">
        <v>33</v>
      </c>
      <c r="B34" t="s">
        <v>206</v>
      </c>
      <c r="C34" t="s">
        <v>207</v>
      </c>
      <c r="D34" s="56">
        <v>3331667</v>
      </c>
    </row>
    <row r="35" spans="1:4" x14ac:dyDescent="0.2">
      <c r="A35">
        <v>34</v>
      </c>
      <c r="B35" t="s">
        <v>92</v>
      </c>
      <c r="C35" t="s">
        <v>93</v>
      </c>
      <c r="D35" s="56">
        <v>4475000</v>
      </c>
    </row>
    <row r="36" spans="1:4" x14ac:dyDescent="0.2">
      <c r="A36">
        <v>35</v>
      </c>
      <c r="B36" t="s">
        <v>94</v>
      </c>
      <c r="C36" t="s">
        <v>95</v>
      </c>
      <c r="D36" s="56">
        <v>1586112</v>
      </c>
    </row>
    <row r="37" spans="1:4" x14ac:dyDescent="0.2">
      <c r="A37">
        <v>36</v>
      </c>
      <c r="B37" t="s">
        <v>94</v>
      </c>
      <c r="C37" t="s">
        <v>95</v>
      </c>
      <c r="D37" s="56">
        <v>155000</v>
      </c>
    </row>
    <row r="38" spans="1:4" x14ac:dyDescent="0.2">
      <c r="A38">
        <v>37</v>
      </c>
      <c r="B38" t="s">
        <v>96</v>
      </c>
      <c r="C38" t="s">
        <v>97</v>
      </c>
      <c r="D38" s="56">
        <v>2708333</v>
      </c>
    </row>
    <row r="39" spans="1:4" x14ac:dyDescent="0.2">
      <c r="A39">
        <v>38</v>
      </c>
      <c r="B39" t="s">
        <v>295</v>
      </c>
      <c r="C39" t="s">
        <v>470</v>
      </c>
      <c r="D39" s="56">
        <v>770000</v>
      </c>
    </row>
    <row r="40" spans="1:4" x14ac:dyDescent="0.2">
      <c r="A40">
        <v>39</v>
      </c>
      <c r="B40" t="s">
        <v>481</v>
      </c>
      <c r="C40" t="s">
        <v>332</v>
      </c>
      <c r="D40" s="56">
        <v>3955000</v>
      </c>
    </row>
    <row r="41" spans="1:4" x14ac:dyDescent="0.2">
      <c r="A41">
        <v>40</v>
      </c>
      <c r="B41" t="s">
        <v>480</v>
      </c>
      <c r="C41" t="s">
        <v>98</v>
      </c>
      <c r="D41" s="56">
        <v>2325000</v>
      </c>
    </row>
    <row r="42" spans="1:4" x14ac:dyDescent="0.2">
      <c r="A42">
        <v>41</v>
      </c>
      <c r="B42" t="s">
        <v>289</v>
      </c>
      <c r="C42" t="s">
        <v>290</v>
      </c>
      <c r="D42" s="56">
        <v>1680000</v>
      </c>
    </row>
    <row r="43" spans="1:4" x14ac:dyDescent="0.2">
      <c r="A43">
        <v>42</v>
      </c>
      <c r="B43" t="s">
        <v>223</v>
      </c>
      <c r="C43" t="s">
        <v>224</v>
      </c>
      <c r="D43" s="56">
        <v>933334</v>
      </c>
    </row>
    <row r="44" spans="1:4" x14ac:dyDescent="0.2">
      <c r="A44">
        <v>43</v>
      </c>
      <c r="B44" t="s">
        <v>483</v>
      </c>
      <c r="C44" t="s">
        <v>102</v>
      </c>
      <c r="D44" s="56">
        <v>3275000</v>
      </c>
    </row>
    <row r="45" spans="1:4" x14ac:dyDescent="0.2">
      <c r="A45">
        <v>44</v>
      </c>
      <c r="B45" t="s">
        <v>176</v>
      </c>
      <c r="C45" t="s">
        <v>382</v>
      </c>
      <c r="D45" s="56">
        <v>1085000</v>
      </c>
    </row>
    <row r="46" spans="1:4" x14ac:dyDescent="0.2">
      <c r="A46">
        <v>45</v>
      </c>
      <c r="B46" t="s">
        <v>103</v>
      </c>
      <c r="C46" t="s">
        <v>104</v>
      </c>
      <c r="D46" s="56">
        <v>2120000</v>
      </c>
    </row>
    <row r="47" spans="1:4" x14ac:dyDescent="0.2">
      <c r="A47">
        <v>46</v>
      </c>
      <c r="B47" t="s">
        <v>188</v>
      </c>
      <c r="C47" t="s">
        <v>393</v>
      </c>
      <c r="D47" s="56">
        <v>1033333</v>
      </c>
    </row>
    <row r="48" spans="1:4" x14ac:dyDescent="0.2">
      <c r="A48">
        <v>47</v>
      </c>
      <c r="B48" t="s">
        <v>335</v>
      </c>
      <c r="C48" t="s">
        <v>336</v>
      </c>
      <c r="D48" s="56">
        <v>3958333</v>
      </c>
    </row>
    <row r="49" spans="1:4" x14ac:dyDescent="0.2">
      <c r="A49">
        <v>48</v>
      </c>
      <c r="B49" t="s">
        <v>233</v>
      </c>
      <c r="C49" t="s">
        <v>234</v>
      </c>
      <c r="D49" s="56">
        <v>383333</v>
      </c>
    </row>
    <row r="50" spans="1:4" x14ac:dyDescent="0.2">
      <c r="A50">
        <v>49</v>
      </c>
      <c r="B50" t="s">
        <v>239</v>
      </c>
      <c r="C50" t="s">
        <v>240</v>
      </c>
      <c r="D50" s="56">
        <v>2708333</v>
      </c>
    </row>
    <row r="51" spans="1:4" x14ac:dyDescent="0.2">
      <c r="A51">
        <v>50</v>
      </c>
      <c r="B51" t="s">
        <v>113</v>
      </c>
      <c r="C51" t="s">
        <v>114</v>
      </c>
      <c r="D51" s="56">
        <v>1650000</v>
      </c>
    </row>
    <row r="52" spans="1:4" x14ac:dyDescent="0.2">
      <c r="A52">
        <v>51</v>
      </c>
      <c r="B52" t="s">
        <v>113</v>
      </c>
      <c r="C52" t="s">
        <v>114</v>
      </c>
      <c r="D52" s="56">
        <v>1250000</v>
      </c>
    </row>
    <row r="53" spans="1:4" x14ac:dyDescent="0.2">
      <c r="A53">
        <v>52</v>
      </c>
      <c r="B53" t="s">
        <v>519</v>
      </c>
      <c r="C53" t="s">
        <v>399</v>
      </c>
      <c r="D53" s="56">
        <v>653333</v>
      </c>
    </row>
    <row r="54" spans="1:4" x14ac:dyDescent="0.2">
      <c r="A54">
        <v>53</v>
      </c>
      <c r="B54" t="s">
        <v>115</v>
      </c>
      <c r="C54" t="s">
        <v>116</v>
      </c>
      <c r="D54" s="56">
        <v>1400000</v>
      </c>
    </row>
    <row r="55" spans="1:4" x14ac:dyDescent="0.2">
      <c r="A55">
        <v>54</v>
      </c>
      <c r="B55" t="s">
        <v>243</v>
      </c>
      <c r="C55" t="s">
        <v>244</v>
      </c>
      <c r="D55" s="56">
        <v>3558333</v>
      </c>
    </row>
    <row r="56" spans="1:4" x14ac:dyDescent="0.2">
      <c r="A56">
        <v>55</v>
      </c>
      <c r="B56" t="s">
        <v>341</v>
      </c>
      <c r="C56" t="s">
        <v>342</v>
      </c>
      <c r="D56" s="56">
        <v>2325000</v>
      </c>
    </row>
    <row r="57" spans="1:4" x14ac:dyDescent="0.2">
      <c r="A57">
        <v>56</v>
      </c>
      <c r="B57" t="s">
        <v>495</v>
      </c>
      <c r="C57" t="s">
        <v>511</v>
      </c>
      <c r="D57" s="56">
        <v>1100000</v>
      </c>
    </row>
    <row r="58" spans="1:4" x14ac:dyDescent="0.2">
      <c r="A58">
        <v>57</v>
      </c>
      <c r="B58" t="s">
        <v>173</v>
      </c>
      <c r="C58" t="s">
        <v>379</v>
      </c>
      <c r="D58" s="56">
        <v>1120000</v>
      </c>
    </row>
    <row r="59" spans="1:4" x14ac:dyDescent="0.2">
      <c r="A59">
        <v>58</v>
      </c>
      <c r="B59" t="s">
        <v>248</v>
      </c>
      <c r="C59" t="s">
        <v>249</v>
      </c>
      <c r="D59" s="56">
        <v>3841667</v>
      </c>
    </row>
    <row r="60" spans="1:4" x14ac:dyDescent="0.2">
      <c r="A60">
        <v>59</v>
      </c>
      <c r="B60" t="s">
        <v>129</v>
      </c>
      <c r="C60" t="s">
        <v>130</v>
      </c>
      <c r="D60" s="56">
        <v>3105000</v>
      </c>
    </row>
    <row r="61" spans="1:4" x14ac:dyDescent="0.2">
      <c r="A61">
        <v>60</v>
      </c>
      <c r="B61" t="s">
        <v>135</v>
      </c>
      <c r="C61" t="s">
        <v>136</v>
      </c>
      <c r="D61" s="56">
        <v>3808333</v>
      </c>
    </row>
    <row r="62" spans="1:4" x14ac:dyDescent="0.2">
      <c r="A62">
        <v>61</v>
      </c>
      <c r="B62" t="s">
        <v>258</v>
      </c>
      <c r="C62" t="s">
        <v>259</v>
      </c>
      <c r="D62" s="56">
        <v>1866667</v>
      </c>
    </row>
    <row r="63" spans="1:4" x14ac:dyDescent="0.2">
      <c r="A63">
        <v>62</v>
      </c>
      <c r="B63" t="s">
        <v>274</v>
      </c>
      <c r="C63" t="s">
        <v>275</v>
      </c>
      <c r="D63" s="56">
        <v>1825000</v>
      </c>
    </row>
    <row r="64" spans="1:4" x14ac:dyDescent="0.2">
      <c r="A64">
        <v>63</v>
      </c>
      <c r="B64" t="s">
        <v>276</v>
      </c>
      <c r="C64" t="s">
        <v>394</v>
      </c>
      <c r="D64" s="56">
        <v>1341667</v>
      </c>
    </row>
    <row r="65" spans="1:4" x14ac:dyDescent="0.2">
      <c r="A65">
        <v>64</v>
      </c>
      <c r="B65" t="s">
        <v>277</v>
      </c>
      <c r="C65" t="s">
        <v>395</v>
      </c>
      <c r="D65" s="56">
        <v>1291667</v>
      </c>
    </row>
    <row r="66" spans="1:4" x14ac:dyDescent="0.2">
      <c r="A66">
        <v>65</v>
      </c>
      <c r="B66" t="s">
        <v>153</v>
      </c>
      <c r="C66" t="s">
        <v>154</v>
      </c>
      <c r="D66" s="56">
        <v>1348333</v>
      </c>
    </row>
    <row r="67" spans="1:4" x14ac:dyDescent="0.2">
      <c r="A67">
        <v>66</v>
      </c>
      <c r="B67" t="s">
        <v>326</v>
      </c>
      <c r="C67" t="s">
        <v>419</v>
      </c>
      <c r="D67" s="56">
        <v>671667</v>
      </c>
    </row>
    <row r="68" spans="1:4" x14ac:dyDescent="0.2">
      <c r="A68">
        <v>67</v>
      </c>
      <c r="B68" t="s">
        <v>172</v>
      </c>
      <c r="C68" t="s">
        <v>378</v>
      </c>
      <c r="D68" s="56">
        <v>2708333</v>
      </c>
    </row>
    <row r="69" spans="1:4" x14ac:dyDescent="0.2">
      <c r="A69">
        <v>68</v>
      </c>
      <c r="B69" t="s">
        <v>225</v>
      </c>
      <c r="C69" t="s">
        <v>226</v>
      </c>
      <c r="D69" s="56">
        <v>440000</v>
      </c>
    </row>
    <row r="70" spans="1:4" x14ac:dyDescent="0.2">
      <c r="A70">
        <v>69</v>
      </c>
      <c r="B70" t="s">
        <v>370</v>
      </c>
      <c r="C70" t="s">
        <v>432</v>
      </c>
      <c r="D70" s="56">
        <v>1866667</v>
      </c>
    </row>
    <row r="71" spans="1:4" x14ac:dyDescent="0.2">
      <c r="A71">
        <v>70</v>
      </c>
      <c r="B71" t="s">
        <v>214</v>
      </c>
      <c r="C71" t="s">
        <v>215</v>
      </c>
      <c r="D71" s="56">
        <v>1341667</v>
      </c>
    </row>
    <row r="72" spans="1:4" x14ac:dyDescent="0.2">
      <c r="A72">
        <v>71</v>
      </c>
      <c r="B72" t="s">
        <v>278</v>
      </c>
      <c r="C72" t="s">
        <v>470</v>
      </c>
      <c r="D72" s="56">
        <v>1650000</v>
      </c>
    </row>
    <row r="73" spans="1:4" x14ac:dyDescent="0.2">
      <c r="A73">
        <v>72</v>
      </c>
      <c r="B73" t="s">
        <v>450</v>
      </c>
      <c r="C73" t="s">
        <v>464</v>
      </c>
      <c r="D73" s="56">
        <v>405000</v>
      </c>
    </row>
    <row r="74" spans="1:4" x14ac:dyDescent="0.2">
      <c r="A74">
        <v>73</v>
      </c>
      <c r="B74" t="s">
        <v>451</v>
      </c>
      <c r="C74" t="s">
        <v>465</v>
      </c>
      <c r="D74" s="56">
        <v>540000</v>
      </c>
    </row>
    <row r="75" spans="1:4" x14ac:dyDescent="0.2">
      <c r="A75">
        <v>74</v>
      </c>
      <c r="B75" t="s">
        <v>65</v>
      </c>
      <c r="C75" t="s">
        <v>66</v>
      </c>
      <c r="D75" s="56">
        <v>2325000</v>
      </c>
    </row>
    <row r="76" spans="1:4" x14ac:dyDescent="0.2">
      <c r="A76">
        <v>75</v>
      </c>
      <c r="B76" t="s">
        <v>499</v>
      </c>
      <c r="C76" t="s">
        <v>509</v>
      </c>
      <c r="D76" s="56">
        <v>540000</v>
      </c>
    </row>
    <row r="77" spans="1:4" x14ac:dyDescent="0.2">
      <c r="A77">
        <v>76</v>
      </c>
      <c r="B77" t="s">
        <v>204</v>
      </c>
      <c r="C77" t="s">
        <v>205</v>
      </c>
      <c r="D77" s="56">
        <v>1858333</v>
      </c>
    </row>
    <row r="78" spans="1:4" x14ac:dyDescent="0.2">
      <c r="A78">
        <v>77</v>
      </c>
      <c r="B78" t="s">
        <v>500</v>
      </c>
      <c r="C78" t="s">
        <v>510</v>
      </c>
      <c r="D78" s="56">
        <v>337500</v>
      </c>
    </row>
    <row r="79" spans="1:4" x14ac:dyDescent="0.2">
      <c r="A79">
        <v>78</v>
      </c>
      <c r="B79" t="s">
        <v>448</v>
      </c>
      <c r="C79" t="s">
        <v>462</v>
      </c>
      <c r="D79" s="56">
        <v>540000</v>
      </c>
    </row>
    <row r="80" spans="1:4" x14ac:dyDescent="0.2">
      <c r="A80">
        <v>79</v>
      </c>
      <c r="B80" t="s">
        <v>245</v>
      </c>
      <c r="C80" t="s">
        <v>246</v>
      </c>
      <c r="D80" s="56">
        <v>3826111</v>
      </c>
    </row>
    <row r="81" spans="1:4" x14ac:dyDescent="0.2">
      <c r="A81">
        <v>80</v>
      </c>
      <c r="B81" t="s">
        <v>85</v>
      </c>
      <c r="C81" t="s">
        <v>86</v>
      </c>
      <c r="D81" s="56">
        <v>805000</v>
      </c>
    </row>
    <row r="82" spans="1:4" x14ac:dyDescent="0.2">
      <c r="A82">
        <v>81</v>
      </c>
      <c r="B82" t="s">
        <v>364</v>
      </c>
      <c r="C82" t="s">
        <v>466</v>
      </c>
      <c r="D82" s="56">
        <v>981667</v>
      </c>
    </row>
    <row r="83" spans="1:4" x14ac:dyDescent="0.2">
      <c r="A83">
        <v>82</v>
      </c>
      <c r="B83" t="s">
        <v>71</v>
      </c>
      <c r="C83" t="s">
        <v>72</v>
      </c>
      <c r="D83" s="56">
        <v>232500</v>
      </c>
    </row>
    <row r="84" spans="1:4" x14ac:dyDescent="0.2">
      <c r="A84">
        <v>83</v>
      </c>
      <c r="B84" t="s">
        <v>107</v>
      </c>
      <c r="C84" t="s">
        <v>108</v>
      </c>
      <c r="D84" s="56">
        <v>4791667</v>
      </c>
    </row>
    <row r="85" spans="1:4" x14ac:dyDescent="0.2">
      <c r="A85">
        <v>84</v>
      </c>
      <c r="B85" t="s">
        <v>147</v>
      </c>
      <c r="C85" t="s">
        <v>148</v>
      </c>
      <c r="D85" s="56">
        <v>2425000</v>
      </c>
    </row>
    <row r="86" spans="1:4" x14ac:dyDescent="0.2">
      <c r="A86">
        <v>85</v>
      </c>
      <c r="B86" t="s">
        <v>563</v>
      </c>
      <c r="C86" t="s">
        <v>609</v>
      </c>
      <c r="D86" s="56">
        <v>208000</v>
      </c>
    </row>
    <row r="87" spans="1:4" x14ac:dyDescent="0.2">
      <c r="A87">
        <v>86</v>
      </c>
      <c r="B87" t="s">
        <v>37</v>
      </c>
      <c r="C87" t="s">
        <v>38</v>
      </c>
      <c r="D87" s="56">
        <v>1291667</v>
      </c>
    </row>
    <row r="88" spans="1:4" x14ac:dyDescent="0.2">
      <c r="A88">
        <v>87</v>
      </c>
      <c r="B88" t="s">
        <v>252</v>
      </c>
      <c r="D88" s="56">
        <v>3841667</v>
      </c>
    </row>
    <row r="89" spans="1:4" x14ac:dyDescent="0.2">
      <c r="A89">
        <v>88</v>
      </c>
      <c r="B89" t="s">
        <v>310</v>
      </c>
      <c r="D89" s="56">
        <v>280000</v>
      </c>
    </row>
    <row r="90" spans="1:4" x14ac:dyDescent="0.2">
      <c r="A90">
        <v>89</v>
      </c>
      <c r="B90" t="s">
        <v>177</v>
      </c>
      <c r="D90" s="56">
        <v>3161667</v>
      </c>
    </row>
    <row r="91" spans="1:4" x14ac:dyDescent="0.2">
      <c r="A91">
        <v>90</v>
      </c>
      <c r="B91" t="s">
        <v>324</v>
      </c>
      <c r="D91" s="56">
        <v>1801667</v>
      </c>
    </row>
    <row r="92" spans="1:4" x14ac:dyDescent="0.2">
      <c r="A92">
        <v>91</v>
      </c>
      <c r="B92" t="s">
        <v>492</v>
      </c>
      <c r="D92" s="56">
        <v>1413333</v>
      </c>
    </row>
    <row r="93" spans="1:4" x14ac:dyDescent="0.2">
      <c r="A93">
        <v>92</v>
      </c>
      <c r="B93" t="s">
        <v>318</v>
      </c>
      <c r="D93" s="56">
        <v>550000</v>
      </c>
    </row>
    <row r="94" spans="1:4" x14ac:dyDescent="0.2">
      <c r="A94">
        <v>93</v>
      </c>
      <c r="B94" t="s">
        <v>497</v>
      </c>
      <c r="D94" s="56">
        <v>550000</v>
      </c>
    </row>
    <row r="95" spans="1:4" x14ac:dyDescent="0.2">
      <c r="A95">
        <v>94</v>
      </c>
      <c r="B95" t="s">
        <v>439</v>
      </c>
      <c r="D95" s="56">
        <v>660000</v>
      </c>
    </row>
    <row r="96" spans="1:4" x14ac:dyDescent="0.2">
      <c r="A96">
        <v>95</v>
      </c>
      <c r="B96" t="s">
        <v>539</v>
      </c>
      <c r="D96" s="56">
        <v>220000</v>
      </c>
    </row>
    <row r="97" spans="1:6" x14ac:dyDescent="0.2">
      <c r="A97">
        <v>96</v>
      </c>
      <c r="B97" t="s">
        <v>155</v>
      </c>
      <c r="D97" s="56">
        <v>1303846</v>
      </c>
    </row>
    <row r="98" spans="1:6" x14ac:dyDescent="0.2">
      <c r="A98">
        <v>97</v>
      </c>
      <c r="B98" t="s">
        <v>202</v>
      </c>
      <c r="D98" s="56">
        <v>1033333</v>
      </c>
    </row>
    <row r="99" spans="1:6" x14ac:dyDescent="0.2">
      <c r="A99">
        <v>98</v>
      </c>
      <c r="B99" t="s">
        <v>524</v>
      </c>
      <c r="D99" s="56">
        <v>458571</v>
      </c>
    </row>
    <row r="100" spans="1:6" x14ac:dyDescent="0.2">
      <c r="A100">
        <v>99</v>
      </c>
      <c r="B100" t="s">
        <v>308</v>
      </c>
      <c r="D100" s="56">
        <v>1100000</v>
      </c>
    </row>
    <row r="101" spans="1:6" x14ac:dyDescent="0.2">
      <c r="A101">
        <v>100</v>
      </c>
      <c r="B101" t="s">
        <v>521</v>
      </c>
      <c r="D101" s="56">
        <v>3558333</v>
      </c>
    </row>
    <row r="102" spans="1:6" x14ac:dyDescent="0.2">
      <c r="A102">
        <v>101</v>
      </c>
      <c r="B102" t="s">
        <v>323</v>
      </c>
      <c r="D102" s="56">
        <v>550000</v>
      </c>
    </row>
    <row r="103" spans="1:6" x14ac:dyDescent="0.2">
      <c r="A103">
        <v>102</v>
      </c>
      <c r="B103" t="s">
        <v>491</v>
      </c>
      <c r="D103" s="56">
        <v>1020000</v>
      </c>
    </row>
    <row r="104" spans="1:6" x14ac:dyDescent="0.2">
      <c r="A104">
        <v>103</v>
      </c>
      <c r="B104" t="s">
        <v>151</v>
      </c>
      <c r="D104" s="56">
        <v>3316667</v>
      </c>
    </row>
    <row r="105" spans="1:6" x14ac:dyDescent="0.2">
      <c r="A105">
        <v>104</v>
      </c>
      <c r="B105" t="s">
        <v>304</v>
      </c>
      <c r="C105" t="s">
        <v>402</v>
      </c>
      <c r="D105" s="56">
        <v>1650000</v>
      </c>
    </row>
    <row r="106" spans="1:6" x14ac:dyDescent="0.2">
      <c r="A106">
        <v>105</v>
      </c>
      <c r="B106" t="s">
        <v>421</v>
      </c>
      <c r="C106" t="s">
        <v>422</v>
      </c>
      <c r="D106" s="56">
        <v>165000</v>
      </c>
    </row>
    <row r="107" spans="1:6" x14ac:dyDescent="0.2">
      <c r="A107">
        <v>106</v>
      </c>
      <c r="B107" t="s">
        <v>270</v>
      </c>
      <c r="C107" t="s">
        <v>271</v>
      </c>
      <c r="D107" s="56">
        <v>653333</v>
      </c>
    </row>
    <row r="112" spans="1:6" x14ac:dyDescent="0.2">
      <c r="B112" s="57" t="s">
        <v>671</v>
      </c>
      <c r="C112" t="s">
        <v>658</v>
      </c>
      <c r="D112"/>
      <c r="E112" t="s">
        <v>671</v>
      </c>
      <c r="F112" s="56" t="s">
        <v>658</v>
      </c>
    </row>
    <row r="113" spans="2:8" x14ac:dyDescent="0.2">
      <c r="B113" s="123" t="s">
        <v>500</v>
      </c>
      <c r="C113" s="60">
        <v>337500</v>
      </c>
      <c r="D113"/>
      <c r="E113" t="s">
        <v>500</v>
      </c>
      <c r="F113" s="56">
        <v>337500</v>
      </c>
      <c r="G113" s="56">
        <f>VLOOKUP(E113,[2]Juli!$E$5:$J$176,6,0)</f>
        <v>337500</v>
      </c>
      <c r="H113" s="60">
        <f>G113-F113</f>
        <v>0</v>
      </c>
    </row>
    <row r="114" spans="2:8" x14ac:dyDescent="0.2">
      <c r="B114" s="123" t="s">
        <v>8</v>
      </c>
      <c r="C114" s="60">
        <v>660000</v>
      </c>
      <c r="D114"/>
      <c r="E114" t="s">
        <v>8</v>
      </c>
      <c r="F114" s="56">
        <v>660000</v>
      </c>
      <c r="G114" s="56">
        <f>VLOOKUP(E114,[2]Juli!$E$5:$J$176,6,0)</f>
        <v>660000</v>
      </c>
      <c r="H114" s="60">
        <f t="shared" ref="H114:H177" si="0">G114-F114</f>
        <v>0</v>
      </c>
    </row>
    <row r="115" spans="2:8" x14ac:dyDescent="0.2">
      <c r="B115" s="123" t="s">
        <v>318</v>
      </c>
      <c r="C115" s="60">
        <v>550000</v>
      </c>
      <c r="D115"/>
      <c r="E115" t="s">
        <v>318</v>
      </c>
      <c r="F115" s="56">
        <v>550000</v>
      </c>
      <c r="G115" s="56">
        <f>VLOOKUP(E115,[2]Juli!$E$5:$J$176,6,0)</f>
        <v>550000</v>
      </c>
      <c r="H115" s="60">
        <f t="shared" si="0"/>
        <v>0</v>
      </c>
    </row>
    <row r="116" spans="2:8" x14ac:dyDescent="0.2">
      <c r="B116" s="123" t="s">
        <v>189</v>
      </c>
      <c r="C116" s="60">
        <v>597333</v>
      </c>
      <c r="D116"/>
      <c r="E116" t="s">
        <v>189</v>
      </c>
      <c r="F116" s="56">
        <v>597333</v>
      </c>
      <c r="G116" s="56">
        <f>VLOOKUP(E116,[2]Juli!$E$5:$J$176,6,0)</f>
        <v>597333</v>
      </c>
      <c r="H116" s="60">
        <f t="shared" si="0"/>
        <v>0</v>
      </c>
    </row>
    <row r="117" spans="2:8" x14ac:dyDescent="0.2">
      <c r="B117" s="123" t="s">
        <v>524</v>
      </c>
      <c r="C117" s="60">
        <v>458571</v>
      </c>
      <c r="D117"/>
      <c r="E117" t="s">
        <v>524</v>
      </c>
      <c r="F117" s="56">
        <v>458571</v>
      </c>
      <c r="G117" s="56">
        <f>VLOOKUP(E117,[2]Juli!$E$5:$J$176,6,0)</f>
        <v>458571</v>
      </c>
      <c r="H117" s="60">
        <f t="shared" si="0"/>
        <v>0</v>
      </c>
    </row>
    <row r="118" spans="2:8" x14ac:dyDescent="0.2">
      <c r="B118" s="123" t="s">
        <v>328</v>
      </c>
      <c r="C118" s="60">
        <v>1812500</v>
      </c>
      <c r="D118"/>
      <c r="E118" t="s">
        <v>328</v>
      </c>
      <c r="F118" s="56">
        <v>1812500</v>
      </c>
      <c r="G118" s="56">
        <f>VLOOKUP(E118,[2]Juli!$E$5:$J$176,6,0)</f>
        <v>1812500</v>
      </c>
      <c r="H118" s="60">
        <f t="shared" si="0"/>
        <v>0</v>
      </c>
    </row>
    <row r="119" spans="2:8" x14ac:dyDescent="0.2">
      <c r="B119" s="123" t="s">
        <v>327</v>
      </c>
      <c r="C119" s="60">
        <v>618333</v>
      </c>
      <c r="D119"/>
      <c r="E119" t="s">
        <v>327</v>
      </c>
      <c r="F119" s="56">
        <v>618333</v>
      </c>
      <c r="G119" s="56">
        <f>VLOOKUP(E119,[2]Juli!$E$5:$J$176,6,0)</f>
        <v>618333</v>
      </c>
      <c r="H119" s="60">
        <f t="shared" si="0"/>
        <v>0</v>
      </c>
    </row>
    <row r="120" spans="2:8" x14ac:dyDescent="0.2">
      <c r="B120" s="123" t="s">
        <v>484</v>
      </c>
      <c r="C120" s="60">
        <v>4408333</v>
      </c>
      <c r="D120"/>
      <c r="E120" t="s">
        <v>484</v>
      </c>
      <c r="F120" s="56">
        <v>4408333</v>
      </c>
      <c r="G120" s="56">
        <f>VLOOKUP(E120,[2]Juli!$E$5:$J$176,6,0)</f>
        <v>4408333</v>
      </c>
      <c r="H120" s="60">
        <f t="shared" si="0"/>
        <v>0</v>
      </c>
    </row>
    <row r="121" spans="2:8" x14ac:dyDescent="0.2">
      <c r="B121" s="123" t="s">
        <v>325</v>
      </c>
      <c r="C121" s="60">
        <v>775000</v>
      </c>
      <c r="D121"/>
      <c r="E121" t="s">
        <v>325</v>
      </c>
      <c r="F121" s="56">
        <v>0</v>
      </c>
      <c r="G121" s="56">
        <v>0</v>
      </c>
      <c r="H121" s="60">
        <f t="shared" si="0"/>
        <v>0</v>
      </c>
    </row>
    <row r="122" spans="2:8" x14ac:dyDescent="0.2">
      <c r="B122" s="123" t="s">
        <v>527</v>
      </c>
      <c r="C122" s="60">
        <v>330000</v>
      </c>
      <c r="D122"/>
      <c r="E122" t="s">
        <v>527</v>
      </c>
      <c r="F122" s="56">
        <v>330000</v>
      </c>
      <c r="G122" s="56">
        <f>VLOOKUP(E122,[2]Juli!$E$5:$J$176,6,0)</f>
        <v>330000</v>
      </c>
      <c r="H122" s="60">
        <f t="shared" si="0"/>
        <v>0</v>
      </c>
    </row>
    <row r="123" spans="2:8" x14ac:dyDescent="0.2">
      <c r="B123" s="123" t="s">
        <v>319</v>
      </c>
      <c r="C123" s="60">
        <v>2200000</v>
      </c>
      <c r="D123"/>
      <c r="E123" t="s">
        <v>319</v>
      </c>
      <c r="F123" s="56">
        <v>2200000</v>
      </c>
      <c r="G123" s="56">
        <f>VLOOKUP(E123,[2]Juli!$E$5:$J$176,6,0)</f>
        <v>2200000</v>
      </c>
      <c r="H123" s="60">
        <f t="shared" si="0"/>
        <v>0</v>
      </c>
    </row>
    <row r="124" spans="2:8" x14ac:dyDescent="0.2">
      <c r="B124" s="123" t="s">
        <v>451</v>
      </c>
      <c r="C124" s="60">
        <v>540000</v>
      </c>
      <c r="D124"/>
      <c r="E124" t="s">
        <v>451</v>
      </c>
      <c r="F124" s="56">
        <v>540000</v>
      </c>
      <c r="G124" s="56">
        <f>VLOOKUP(E124,[2]Juli!$E$5:$J$176,6,0)</f>
        <v>540000</v>
      </c>
      <c r="H124" s="60">
        <f t="shared" si="0"/>
        <v>0</v>
      </c>
    </row>
    <row r="125" spans="2:8" x14ac:dyDescent="0.2">
      <c r="B125" s="123" t="s">
        <v>363</v>
      </c>
      <c r="C125" s="60">
        <v>1858333</v>
      </c>
      <c r="D125"/>
      <c r="E125" t="s">
        <v>363</v>
      </c>
      <c r="F125" s="56">
        <v>1858333</v>
      </c>
      <c r="G125" s="56">
        <f>VLOOKUP(E125,[2]Juli!$E$5:$J$176,6,0)</f>
        <v>1858333</v>
      </c>
      <c r="H125" s="60">
        <f t="shared" si="0"/>
        <v>0</v>
      </c>
    </row>
    <row r="126" spans="2:8" x14ac:dyDescent="0.2">
      <c r="B126" s="123" t="s">
        <v>35</v>
      </c>
      <c r="C126" s="60">
        <v>1575000</v>
      </c>
      <c r="D126"/>
      <c r="E126" t="s">
        <v>35</v>
      </c>
      <c r="F126" s="56">
        <v>1575000</v>
      </c>
      <c r="G126" s="56">
        <f>VLOOKUP(E126,[2]Juli!$E$5:$J$176,6,0)</f>
        <v>1575000</v>
      </c>
      <c r="H126" s="60">
        <f t="shared" si="0"/>
        <v>0</v>
      </c>
    </row>
    <row r="127" spans="2:8" x14ac:dyDescent="0.2">
      <c r="B127" s="123" t="s">
        <v>37</v>
      </c>
      <c r="C127" s="60">
        <v>1291667</v>
      </c>
      <c r="D127"/>
      <c r="E127" t="s">
        <v>37</v>
      </c>
      <c r="F127" s="56">
        <v>1291667</v>
      </c>
      <c r="G127" s="56">
        <f>VLOOKUP(E127,[2]Juli!$E$5:$J$176,6,0)</f>
        <v>1291667</v>
      </c>
      <c r="H127" s="60">
        <f t="shared" si="0"/>
        <v>0</v>
      </c>
    </row>
    <row r="128" spans="2:8" x14ac:dyDescent="0.2">
      <c r="B128" s="123" t="s">
        <v>400</v>
      </c>
      <c r="C128" s="60">
        <v>723333</v>
      </c>
      <c r="D128"/>
      <c r="E128" t="s">
        <v>400</v>
      </c>
      <c r="F128" s="56">
        <v>723333</v>
      </c>
      <c r="G128" s="56">
        <f>VLOOKUP(E128,[2]Juli!$E$5:$J$176,6,0)</f>
        <v>723333</v>
      </c>
      <c r="H128" s="60">
        <f t="shared" si="0"/>
        <v>0</v>
      </c>
    </row>
    <row r="129" spans="2:10" x14ac:dyDescent="0.2">
      <c r="B129" s="123" t="s">
        <v>522</v>
      </c>
      <c r="C129" s="60">
        <v>3275000</v>
      </c>
      <c r="D129"/>
      <c r="E129" t="s">
        <v>522</v>
      </c>
      <c r="F129" s="56">
        <v>3275000</v>
      </c>
      <c r="G129" s="56">
        <f>VLOOKUP(E129,[2]Juli!$E$5:$J$176,6,0)</f>
        <v>3275000</v>
      </c>
      <c r="H129" s="60">
        <f t="shared" si="0"/>
        <v>0</v>
      </c>
    </row>
    <row r="130" spans="2:10" x14ac:dyDescent="0.2">
      <c r="B130" s="123" t="s">
        <v>586</v>
      </c>
      <c r="C130" s="60">
        <v>767000</v>
      </c>
      <c r="E130" t="s">
        <v>586</v>
      </c>
      <c r="F130" s="56">
        <v>767000</v>
      </c>
      <c r="G130" s="56">
        <f>VLOOKUP(E130,[2]Juli!$E$5:$J$176,6,0)</f>
        <v>767000</v>
      </c>
      <c r="H130" s="60">
        <f t="shared" si="0"/>
        <v>0</v>
      </c>
    </row>
    <row r="131" spans="2:10" x14ac:dyDescent="0.2">
      <c r="B131" s="123" t="s">
        <v>467</v>
      </c>
      <c r="C131" s="60">
        <v>1603333</v>
      </c>
      <c r="E131" t="s">
        <v>467</v>
      </c>
      <c r="F131" s="56">
        <v>1603333</v>
      </c>
      <c r="G131" s="56">
        <f>VLOOKUP(E131,[2]Juli!$E$5:$J$176,6,0)</f>
        <v>1603333</v>
      </c>
      <c r="H131" s="60">
        <f t="shared" si="0"/>
        <v>0</v>
      </c>
    </row>
    <row r="132" spans="2:10" x14ac:dyDescent="0.2">
      <c r="B132" s="123" t="s">
        <v>491</v>
      </c>
      <c r="C132" s="60">
        <v>1020000</v>
      </c>
      <c r="E132" t="s">
        <v>491</v>
      </c>
      <c r="F132" s="56">
        <v>1020000</v>
      </c>
      <c r="G132" s="56">
        <f>VLOOKUP(E132,[2]Juli!$E$5:$J$176,6,0)</f>
        <v>1020000</v>
      </c>
      <c r="H132" s="60">
        <f t="shared" si="0"/>
        <v>0</v>
      </c>
    </row>
    <row r="133" spans="2:10" x14ac:dyDescent="0.2">
      <c r="B133" s="123" t="s">
        <v>194</v>
      </c>
      <c r="C133" s="60">
        <v>5920000</v>
      </c>
      <c r="E133" t="s">
        <v>194</v>
      </c>
      <c r="F133" s="56">
        <v>5920000</v>
      </c>
      <c r="G133" s="56">
        <f>VLOOKUP(E133,[2]Juli!$E$5:$J$176,6,0)</f>
        <v>5920000</v>
      </c>
      <c r="H133" s="60">
        <f t="shared" si="0"/>
        <v>0</v>
      </c>
    </row>
    <row r="134" spans="2:10" x14ac:dyDescent="0.2">
      <c r="B134" s="123" t="s">
        <v>370</v>
      </c>
      <c r="C134" s="60">
        <v>1866667</v>
      </c>
      <c r="E134" t="s">
        <v>370</v>
      </c>
      <c r="F134" s="56">
        <v>1866667</v>
      </c>
      <c r="G134" s="56">
        <f>VLOOKUP(E134,[2]Juli!$E$5:$J$176,6,0)</f>
        <v>1866667</v>
      </c>
      <c r="H134" s="60">
        <f t="shared" si="0"/>
        <v>0</v>
      </c>
    </row>
    <row r="135" spans="2:10" x14ac:dyDescent="0.2">
      <c r="B135" s="123" t="s">
        <v>563</v>
      </c>
      <c r="C135" s="60">
        <v>208000</v>
      </c>
      <c r="E135" t="s">
        <v>563</v>
      </c>
      <c r="F135" s="56">
        <v>0</v>
      </c>
      <c r="G135" s="56">
        <v>0</v>
      </c>
      <c r="H135" s="60">
        <f t="shared" si="0"/>
        <v>0</v>
      </c>
      <c r="I135" t="s">
        <v>470</v>
      </c>
      <c r="J135" s="56">
        <v>208000</v>
      </c>
    </row>
    <row r="136" spans="2:10" x14ac:dyDescent="0.2">
      <c r="B136" s="123" t="s">
        <v>53</v>
      </c>
      <c r="C136" s="60">
        <v>775000</v>
      </c>
      <c r="E136" t="s">
        <v>53</v>
      </c>
      <c r="F136" s="56">
        <v>775000</v>
      </c>
      <c r="G136" s="56">
        <f>VLOOKUP(E136,[2]Juli!$E$5:$J$176,6,0)</f>
        <v>775000</v>
      </c>
      <c r="H136" s="60">
        <f t="shared" si="0"/>
        <v>0</v>
      </c>
    </row>
    <row r="137" spans="2:10" x14ac:dyDescent="0.2">
      <c r="B137" s="123" t="s">
        <v>198</v>
      </c>
      <c r="C137" s="60">
        <v>6424608</v>
      </c>
      <c r="E137" t="s">
        <v>198</v>
      </c>
      <c r="F137" s="56">
        <v>6424608</v>
      </c>
      <c r="G137" s="56">
        <f>VLOOKUP(E137,[2]Juli!$E$5:$J$176,6,0)</f>
        <v>6424608</v>
      </c>
      <c r="H137" s="60">
        <f t="shared" si="0"/>
        <v>0</v>
      </c>
    </row>
    <row r="138" spans="2:10" x14ac:dyDescent="0.2">
      <c r="B138" s="123" t="s">
        <v>65</v>
      </c>
      <c r="C138" s="60">
        <v>2325000</v>
      </c>
      <c r="E138" t="s">
        <v>65</v>
      </c>
      <c r="F138" s="56">
        <v>2325000</v>
      </c>
      <c r="G138" s="56">
        <f>VLOOKUP(E138,[2]Juli!$E$5:$J$176,6,0)</f>
        <v>2325000</v>
      </c>
      <c r="H138" s="60">
        <f t="shared" si="0"/>
        <v>0</v>
      </c>
    </row>
    <row r="139" spans="2:10" x14ac:dyDescent="0.2">
      <c r="B139" s="123" t="s">
        <v>200</v>
      </c>
      <c r="C139" s="60">
        <v>1650000</v>
      </c>
      <c r="E139" t="s">
        <v>200</v>
      </c>
      <c r="F139" s="56">
        <v>1650000</v>
      </c>
      <c r="G139" s="56">
        <f>VLOOKUP(E139,[2]Juli!$E$5:$J$176,6,0)</f>
        <v>1650000</v>
      </c>
      <c r="H139" s="60">
        <f t="shared" si="0"/>
        <v>0</v>
      </c>
    </row>
    <row r="140" spans="2:10" x14ac:dyDescent="0.2">
      <c r="B140" s="123" t="s">
        <v>439</v>
      </c>
      <c r="C140" s="60">
        <v>660000</v>
      </c>
      <c r="E140" t="s">
        <v>439</v>
      </c>
      <c r="F140" s="56">
        <v>660000</v>
      </c>
      <c r="G140" s="56">
        <f>VLOOKUP(E140,[2]Juli!$E$5:$J$176,6,0)</f>
        <v>660000</v>
      </c>
      <c r="H140" s="60">
        <f t="shared" si="0"/>
        <v>0</v>
      </c>
    </row>
    <row r="141" spans="2:10" x14ac:dyDescent="0.2">
      <c r="B141" s="123" t="s">
        <v>450</v>
      </c>
      <c r="C141" s="60">
        <v>405000</v>
      </c>
      <c r="E141" t="s">
        <v>450</v>
      </c>
      <c r="F141" s="56">
        <v>405000</v>
      </c>
      <c r="G141" s="56">
        <f>VLOOKUP(E141,[2]Juli!$E$5:$J$176,6,0)</f>
        <v>405000</v>
      </c>
      <c r="H141" s="60">
        <f t="shared" si="0"/>
        <v>0</v>
      </c>
    </row>
    <row r="142" spans="2:10" x14ac:dyDescent="0.2">
      <c r="B142" s="123" t="s">
        <v>182</v>
      </c>
      <c r="C142" s="60">
        <v>3125000</v>
      </c>
      <c r="E142" t="s">
        <v>182</v>
      </c>
      <c r="F142" s="56">
        <v>3125000</v>
      </c>
      <c r="G142" s="56">
        <f>VLOOKUP(E142,[2]Juli!$E$5:$J$176,6,0)</f>
        <v>3125000</v>
      </c>
      <c r="H142" s="60">
        <f t="shared" si="0"/>
        <v>0</v>
      </c>
    </row>
    <row r="143" spans="2:10" x14ac:dyDescent="0.2">
      <c r="B143" s="123" t="s">
        <v>175</v>
      </c>
      <c r="C143" s="60">
        <v>2708333</v>
      </c>
      <c r="E143" t="s">
        <v>175</v>
      </c>
      <c r="F143" s="56">
        <v>2708333</v>
      </c>
      <c r="G143" s="56">
        <f>VLOOKUP(E143,[2]Juli!$E$5:$J$176,6,0)</f>
        <v>2708333</v>
      </c>
      <c r="H143" s="60">
        <f t="shared" si="0"/>
        <v>0</v>
      </c>
    </row>
    <row r="144" spans="2:10" x14ac:dyDescent="0.2">
      <c r="B144" s="123" t="s">
        <v>533</v>
      </c>
      <c r="C144" s="60">
        <v>1866667</v>
      </c>
      <c r="E144" t="s">
        <v>533</v>
      </c>
      <c r="F144" s="56">
        <v>0</v>
      </c>
      <c r="G144" s="56">
        <v>0</v>
      </c>
      <c r="H144" s="60">
        <f t="shared" si="0"/>
        <v>0</v>
      </c>
      <c r="I144" t="s">
        <v>49</v>
      </c>
      <c r="J144" s="56">
        <v>1866667</v>
      </c>
    </row>
    <row r="145" spans="2:8" x14ac:dyDescent="0.2">
      <c r="B145" s="123" t="s">
        <v>202</v>
      </c>
      <c r="C145" s="60">
        <v>1033333</v>
      </c>
      <c r="E145" t="s">
        <v>202</v>
      </c>
      <c r="F145" s="56">
        <v>1033333</v>
      </c>
      <c r="G145" s="56">
        <f>VLOOKUP(E145,[2]Juli!$E$5:$J$176,6,0)</f>
        <v>1033333</v>
      </c>
      <c r="H145" s="60">
        <f t="shared" si="0"/>
        <v>0</v>
      </c>
    </row>
    <row r="146" spans="2:8" x14ac:dyDescent="0.2">
      <c r="B146" s="123" t="s">
        <v>300</v>
      </c>
      <c r="C146" s="60">
        <v>600000</v>
      </c>
      <c r="E146" t="s">
        <v>300</v>
      </c>
      <c r="F146" s="56">
        <v>600000</v>
      </c>
      <c r="G146" s="56">
        <f>VLOOKUP(E146,[2]Juli!$E$5:$J$176,6,0)</f>
        <v>600000</v>
      </c>
      <c r="H146" s="60">
        <f t="shared" si="0"/>
        <v>0</v>
      </c>
    </row>
    <row r="147" spans="2:8" x14ac:dyDescent="0.2">
      <c r="B147" s="123" t="s">
        <v>71</v>
      </c>
      <c r="C147" s="60">
        <v>232500</v>
      </c>
      <c r="E147" t="s">
        <v>71</v>
      </c>
      <c r="F147" s="56">
        <v>232500</v>
      </c>
      <c r="G147" s="56">
        <f>VLOOKUP(E147,[2]Juli!$E$5:$J$176,6,0)</f>
        <v>232500</v>
      </c>
      <c r="H147" s="60">
        <f t="shared" si="0"/>
        <v>0</v>
      </c>
    </row>
    <row r="148" spans="2:8" x14ac:dyDescent="0.2">
      <c r="B148" s="123" t="s">
        <v>79</v>
      </c>
      <c r="C148" s="60">
        <v>4125000</v>
      </c>
      <c r="E148" t="s">
        <v>79</v>
      </c>
      <c r="F148" s="56">
        <v>4125000</v>
      </c>
      <c r="G148" s="56">
        <f>VLOOKUP(E148,[2]Juli!$E$5:$J$176,6,0)</f>
        <v>4125000</v>
      </c>
      <c r="H148" s="60">
        <f t="shared" si="0"/>
        <v>0</v>
      </c>
    </row>
    <row r="149" spans="2:8" x14ac:dyDescent="0.2">
      <c r="B149" s="123" t="s">
        <v>81</v>
      </c>
      <c r="C149" s="60">
        <v>2708333</v>
      </c>
      <c r="E149" t="s">
        <v>81</v>
      </c>
      <c r="F149" s="56">
        <v>2708333</v>
      </c>
      <c r="G149" s="56">
        <f>VLOOKUP(E149,[2]Juli!$E$5:$J$176,6,0)</f>
        <v>2708333</v>
      </c>
      <c r="H149" s="60">
        <f t="shared" si="0"/>
        <v>0</v>
      </c>
    </row>
    <row r="150" spans="2:8" x14ac:dyDescent="0.2">
      <c r="B150" s="123" t="s">
        <v>364</v>
      </c>
      <c r="C150" s="60">
        <v>981667</v>
      </c>
      <c r="E150" t="s">
        <v>364</v>
      </c>
      <c r="F150" s="56">
        <v>981667</v>
      </c>
      <c r="G150" s="56">
        <f>VLOOKUP(E150,[2]Juli!$E$5:$J$176,6,0)</f>
        <v>981667</v>
      </c>
      <c r="H150" s="60">
        <f t="shared" si="0"/>
        <v>0</v>
      </c>
    </row>
    <row r="151" spans="2:8" x14ac:dyDescent="0.2">
      <c r="B151" s="123" t="s">
        <v>204</v>
      </c>
      <c r="C151" s="60">
        <v>1858333</v>
      </c>
      <c r="E151" t="s">
        <v>204</v>
      </c>
      <c r="F151" s="56">
        <v>1858333</v>
      </c>
      <c r="G151" s="56">
        <f>VLOOKUP(E151,[2]Juli!$E$5:$J$176,6,0)</f>
        <v>1858333</v>
      </c>
      <c r="H151" s="60">
        <f t="shared" si="0"/>
        <v>0</v>
      </c>
    </row>
    <row r="152" spans="2:8" x14ac:dyDescent="0.2">
      <c r="B152" s="123" t="s">
        <v>497</v>
      </c>
      <c r="C152" s="60">
        <v>550000</v>
      </c>
      <c r="E152" t="s">
        <v>497</v>
      </c>
      <c r="F152" s="56">
        <v>550000</v>
      </c>
      <c r="G152" s="56">
        <f>VLOOKUP(E152,[2]Juli!$E$5:$J$176,6,0)</f>
        <v>550000</v>
      </c>
      <c r="H152" s="60">
        <f t="shared" si="0"/>
        <v>0</v>
      </c>
    </row>
    <row r="153" spans="2:8" x14ac:dyDescent="0.2">
      <c r="B153" s="123" t="s">
        <v>85</v>
      </c>
      <c r="C153" s="60">
        <v>3173333</v>
      </c>
      <c r="E153" t="s">
        <v>85</v>
      </c>
      <c r="F153" s="56">
        <v>3173333</v>
      </c>
      <c r="G153" s="56">
        <f>VLOOKUP(E153,[2]Juli!$E$5:$J$176,6,0)</f>
        <v>3173333</v>
      </c>
      <c r="H153" s="60">
        <f t="shared" si="0"/>
        <v>0</v>
      </c>
    </row>
    <row r="154" spans="2:8" x14ac:dyDescent="0.2">
      <c r="B154" s="123" t="s">
        <v>206</v>
      </c>
      <c r="C154" s="60">
        <v>3331667</v>
      </c>
      <c r="E154" t="s">
        <v>206</v>
      </c>
      <c r="F154" s="56">
        <v>3331667</v>
      </c>
      <c r="G154" s="56">
        <f>VLOOKUP(E154,[2]Juli!$E$5:$J$176,6,0)</f>
        <v>3331667</v>
      </c>
      <c r="H154" s="60">
        <f t="shared" si="0"/>
        <v>0</v>
      </c>
    </row>
    <row r="155" spans="2:8" x14ac:dyDescent="0.2">
      <c r="B155" s="123" t="s">
        <v>499</v>
      </c>
      <c r="C155" s="60">
        <v>540000</v>
      </c>
      <c r="E155" t="s">
        <v>499</v>
      </c>
      <c r="F155" s="56">
        <v>540000</v>
      </c>
      <c r="G155" s="56">
        <f>VLOOKUP(E155,[2]Juli!$E$5:$J$176,6,0)</f>
        <v>540000</v>
      </c>
      <c r="H155" s="60">
        <f t="shared" si="0"/>
        <v>0</v>
      </c>
    </row>
    <row r="156" spans="2:8" x14ac:dyDescent="0.2">
      <c r="B156" s="123" t="s">
        <v>214</v>
      </c>
      <c r="C156" s="60">
        <v>1341667</v>
      </c>
      <c r="E156" t="s">
        <v>214</v>
      </c>
      <c r="F156" s="56">
        <v>0</v>
      </c>
      <c r="G156" s="56">
        <f>VLOOKUP(E156,[2]Juli!$E$5:$J$176,6,0)</f>
        <v>0</v>
      </c>
      <c r="H156" s="60">
        <f t="shared" si="0"/>
        <v>0</v>
      </c>
    </row>
    <row r="157" spans="2:8" x14ac:dyDescent="0.2">
      <c r="B157" s="123" t="s">
        <v>92</v>
      </c>
      <c r="C157" s="60">
        <v>4475000</v>
      </c>
      <c r="E157" t="s">
        <v>92</v>
      </c>
      <c r="F157" s="56">
        <v>4475000</v>
      </c>
      <c r="G157" s="56">
        <f>VLOOKUP(E157,[2]Juli!$E$5:$J$176,6,0)</f>
        <v>4475000</v>
      </c>
      <c r="H157" s="60">
        <f t="shared" si="0"/>
        <v>0</v>
      </c>
    </row>
    <row r="158" spans="2:8" x14ac:dyDescent="0.2">
      <c r="B158" s="123" t="s">
        <v>323</v>
      </c>
      <c r="C158" s="60">
        <v>550000</v>
      </c>
      <c r="E158" t="s">
        <v>323</v>
      </c>
      <c r="F158" s="56">
        <v>550000</v>
      </c>
      <c r="G158" s="56">
        <f>VLOOKUP(E158,[2]Juli!$E$5:$J$176,6,0)</f>
        <v>550000</v>
      </c>
      <c r="H158" s="60">
        <f t="shared" si="0"/>
        <v>0</v>
      </c>
    </row>
    <row r="159" spans="2:8" x14ac:dyDescent="0.2">
      <c r="B159" s="123" t="s">
        <v>94</v>
      </c>
      <c r="C159" s="60">
        <v>1741112</v>
      </c>
      <c r="E159" t="s">
        <v>94</v>
      </c>
      <c r="F159" s="56">
        <v>1741112</v>
      </c>
      <c r="G159" s="56">
        <f>VLOOKUP(E159,[2]Juli!$E$5:$J$176,6,0)</f>
        <v>1741112</v>
      </c>
      <c r="H159" s="60">
        <f t="shared" si="0"/>
        <v>0</v>
      </c>
    </row>
    <row r="160" spans="2:8" x14ac:dyDescent="0.2">
      <c r="B160" s="123" t="s">
        <v>96</v>
      </c>
      <c r="C160" s="60">
        <v>2708333</v>
      </c>
      <c r="E160" t="s">
        <v>96</v>
      </c>
      <c r="F160" s="56">
        <v>2708333</v>
      </c>
      <c r="G160" s="56">
        <f>VLOOKUP(E160,[2]Juli!$E$5:$J$176,6,0)</f>
        <v>2708333</v>
      </c>
      <c r="H160" s="60">
        <f t="shared" si="0"/>
        <v>0</v>
      </c>
    </row>
    <row r="161" spans="2:8" x14ac:dyDescent="0.2">
      <c r="B161" s="123" t="s">
        <v>304</v>
      </c>
      <c r="C161" s="60">
        <v>1650000</v>
      </c>
      <c r="E161" t="s">
        <v>304</v>
      </c>
      <c r="F161" s="56">
        <v>1650000</v>
      </c>
      <c r="G161" s="56">
        <f>VLOOKUP(E161,[2]Juli!$E$5:$J$176,6,0)</f>
        <v>1650000</v>
      </c>
      <c r="H161" s="60">
        <f t="shared" si="0"/>
        <v>0</v>
      </c>
    </row>
    <row r="162" spans="2:8" x14ac:dyDescent="0.2">
      <c r="B162" s="123" t="s">
        <v>295</v>
      </c>
      <c r="C162" s="60">
        <v>770000</v>
      </c>
      <c r="E162" t="s">
        <v>295</v>
      </c>
      <c r="F162" s="56">
        <v>770000</v>
      </c>
      <c r="G162" s="56">
        <f>VLOOKUP(E162,[2]Juli!$E$5:$J$176,6,0)</f>
        <v>770000</v>
      </c>
      <c r="H162" s="60">
        <f t="shared" si="0"/>
        <v>0</v>
      </c>
    </row>
    <row r="163" spans="2:8" x14ac:dyDescent="0.2">
      <c r="B163" s="123" t="s">
        <v>481</v>
      </c>
      <c r="C163" s="60">
        <v>3955000</v>
      </c>
      <c r="E163" t="s">
        <v>481</v>
      </c>
      <c r="F163" s="56">
        <v>3955000</v>
      </c>
      <c r="G163" s="56">
        <f>VLOOKUP(E163,[2]Juli!$E$5:$J$176,6,0)</f>
        <v>3955000</v>
      </c>
      <c r="H163" s="60">
        <f t="shared" si="0"/>
        <v>0</v>
      </c>
    </row>
    <row r="164" spans="2:8" x14ac:dyDescent="0.2">
      <c r="B164" s="123" t="s">
        <v>480</v>
      </c>
      <c r="C164" s="60">
        <v>2325000</v>
      </c>
      <c r="E164" t="s">
        <v>480</v>
      </c>
      <c r="F164" s="56">
        <v>2325000</v>
      </c>
      <c r="G164" s="56">
        <f>VLOOKUP(E164,[2]Juli!$E$5:$J$176,6,0)</f>
        <v>2325000</v>
      </c>
      <c r="H164" s="60">
        <f t="shared" si="0"/>
        <v>0</v>
      </c>
    </row>
    <row r="165" spans="2:8" x14ac:dyDescent="0.2">
      <c r="B165" s="123" t="s">
        <v>289</v>
      </c>
      <c r="C165" s="60">
        <v>1680000</v>
      </c>
      <c r="E165" t="s">
        <v>289</v>
      </c>
      <c r="F165" s="56">
        <v>1680000</v>
      </c>
      <c r="G165" s="56">
        <f>VLOOKUP(E165,[2]Juli!$E$5:$J$176,6,0)</f>
        <v>1680000</v>
      </c>
      <c r="H165" s="60">
        <f t="shared" si="0"/>
        <v>0</v>
      </c>
    </row>
    <row r="166" spans="2:8" x14ac:dyDescent="0.2">
      <c r="B166" s="123" t="s">
        <v>223</v>
      </c>
      <c r="C166" s="60">
        <v>933334</v>
      </c>
      <c r="E166" t="s">
        <v>223</v>
      </c>
      <c r="F166" s="56">
        <v>933326</v>
      </c>
      <c r="G166" s="56">
        <f>VLOOKUP(E166,[2]Juli!$E$5:$J$176,6,0)</f>
        <v>933326</v>
      </c>
      <c r="H166" s="60">
        <f t="shared" si="0"/>
        <v>0</v>
      </c>
    </row>
    <row r="167" spans="2:8" x14ac:dyDescent="0.2">
      <c r="B167" s="123" t="s">
        <v>225</v>
      </c>
      <c r="C167" s="60">
        <v>440000</v>
      </c>
      <c r="E167" t="s">
        <v>225</v>
      </c>
      <c r="F167" s="56">
        <v>440000</v>
      </c>
      <c r="G167" s="56">
        <f>VLOOKUP(E167,[2]Juli!$E$5:$J$176,6,0)</f>
        <v>440000</v>
      </c>
      <c r="H167" s="60">
        <f t="shared" si="0"/>
        <v>0</v>
      </c>
    </row>
    <row r="168" spans="2:8" x14ac:dyDescent="0.2">
      <c r="B168" s="123" t="s">
        <v>483</v>
      </c>
      <c r="C168" s="60">
        <v>3275000</v>
      </c>
      <c r="E168" t="s">
        <v>483</v>
      </c>
      <c r="F168" s="56">
        <v>3275000</v>
      </c>
      <c r="G168" s="56">
        <f>VLOOKUP(E168,[2]Juli!$E$5:$J$176,6,0)</f>
        <v>3275000</v>
      </c>
      <c r="H168" s="60">
        <f t="shared" si="0"/>
        <v>0</v>
      </c>
    </row>
    <row r="169" spans="2:8" x14ac:dyDescent="0.2">
      <c r="B169" s="123" t="s">
        <v>176</v>
      </c>
      <c r="C169" s="60">
        <v>1085000</v>
      </c>
      <c r="E169" t="s">
        <v>176</v>
      </c>
      <c r="F169" s="56">
        <v>1085000</v>
      </c>
      <c r="G169" s="56">
        <f>VLOOKUP(E169,[2]Juli!$E$5:$J$176,6,0)</f>
        <v>1085000</v>
      </c>
      <c r="H169" s="60">
        <f t="shared" si="0"/>
        <v>0</v>
      </c>
    </row>
    <row r="170" spans="2:8" x14ac:dyDescent="0.2">
      <c r="B170" s="123" t="s">
        <v>103</v>
      </c>
      <c r="C170" s="60">
        <v>2120000</v>
      </c>
      <c r="E170" t="s">
        <v>103</v>
      </c>
      <c r="F170" s="56">
        <v>0</v>
      </c>
      <c r="G170" s="56">
        <f>VLOOKUP(E170,[2]Juli!$E$5:$J$176,6,0)</f>
        <v>0</v>
      </c>
      <c r="H170" s="60">
        <f t="shared" si="0"/>
        <v>0</v>
      </c>
    </row>
    <row r="171" spans="2:8" x14ac:dyDescent="0.2">
      <c r="B171" s="123" t="s">
        <v>368</v>
      </c>
      <c r="C171" s="60">
        <v>530000</v>
      </c>
      <c r="E171" t="s">
        <v>368</v>
      </c>
      <c r="F171" s="56">
        <v>530000</v>
      </c>
      <c r="G171" s="56">
        <f>VLOOKUP(E171,[2]Juli!$E$5:$J$176,6,0)</f>
        <v>530000</v>
      </c>
      <c r="H171" s="60">
        <f t="shared" si="0"/>
        <v>0</v>
      </c>
    </row>
    <row r="172" spans="2:8" x14ac:dyDescent="0.2">
      <c r="B172" s="123" t="s">
        <v>107</v>
      </c>
      <c r="C172" s="60">
        <v>4791667</v>
      </c>
      <c r="E172" t="s">
        <v>107</v>
      </c>
      <c r="F172" s="56">
        <v>4791667</v>
      </c>
      <c r="G172" s="56">
        <f>VLOOKUP(E172,[2]Juli!$E$5:$J$176,6,0)</f>
        <v>4791667</v>
      </c>
      <c r="H172" s="60">
        <f t="shared" si="0"/>
        <v>0</v>
      </c>
    </row>
    <row r="173" spans="2:8" x14ac:dyDescent="0.2">
      <c r="B173" s="123" t="s">
        <v>188</v>
      </c>
      <c r="C173" s="60">
        <v>1033333</v>
      </c>
      <c r="E173" t="s">
        <v>188</v>
      </c>
      <c r="F173" s="56">
        <v>1033333</v>
      </c>
      <c r="G173" s="56">
        <f>VLOOKUP(E173,[2]Juli!$E$5:$J$176,6,0)</f>
        <v>1033333</v>
      </c>
      <c r="H173" s="60">
        <f t="shared" si="0"/>
        <v>0</v>
      </c>
    </row>
    <row r="174" spans="2:8" x14ac:dyDescent="0.2">
      <c r="B174" s="123" t="s">
        <v>335</v>
      </c>
      <c r="C174" s="60">
        <v>3958333</v>
      </c>
      <c r="E174" t="s">
        <v>335</v>
      </c>
      <c r="F174" s="56">
        <v>3958333</v>
      </c>
      <c r="G174" s="56">
        <f>VLOOKUP(E174,[2]Juli!$E$5:$J$176,6,0)</f>
        <v>3958333</v>
      </c>
      <c r="H174" s="60">
        <f t="shared" si="0"/>
        <v>0</v>
      </c>
    </row>
    <row r="175" spans="2:8" x14ac:dyDescent="0.2">
      <c r="B175" s="123" t="s">
        <v>233</v>
      </c>
      <c r="C175" s="60">
        <v>383333</v>
      </c>
      <c r="E175" t="s">
        <v>233</v>
      </c>
      <c r="F175" s="56">
        <v>383333</v>
      </c>
      <c r="G175" s="56">
        <f>VLOOKUP(E175,[2]Juli!$E$5:$J$176,6,0)</f>
        <v>383333</v>
      </c>
      <c r="H175" s="60">
        <f t="shared" si="0"/>
        <v>0</v>
      </c>
    </row>
    <row r="176" spans="2:8" x14ac:dyDescent="0.2">
      <c r="B176" s="123" t="s">
        <v>235</v>
      </c>
      <c r="C176" s="60">
        <v>2333333</v>
      </c>
      <c r="E176" t="s">
        <v>235</v>
      </c>
      <c r="F176" s="56">
        <v>2333333</v>
      </c>
      <c r="G176" s="56">
        <f>VLOOKUP(E176,[2]Juli!$E$5:$J$176,6,0)</f>
        <v>2333333</v>
      </c>
      <c r="H176" s="60">
        <f t="shared" si="0"/>
        <v>0</v>
      </c>
    </row>
    <row r="177" spans="2:8" x14ac:dyDescent="0.2">
      <c r="B177" s="123" t="s">
        <v>239</v>
      </c>
      <c r="C177" s="60">
        <v>2708333</v>
      </c>
      <c r="E177" t="s">
        <v>239</v>
      </c>
      <c r="F177" s="56">
        <v>2708333</v>
      </c>
      <c r="G177" s="56">
        <f>VLOOKUP(E177,[2]Juli!$E$5:$J$176,6,0)</f>
        <v>2708333</v>
      </c>
      <c r="H177" s="60">
        <f t="shared" si="0"/>
        <v>0</v>
      </c>
    </row>
    <row r="178" spans="2:8" x14ac:dyDescent="0.2">
      <c r="B178" s="123" t="s">
        <v>421</v>
      </c>
      <c r="C178" s="60">
        <v>165000</v>
      </c>
      <c r="E178" t="s">
        <v>421</v>
      </c>
      <c r="F178" s="56">
        <v>165000</v>
      </c>
      <c r="G178" s="56">
        <f>VLOOKUP(E178,[2]Juli!$E$5:$J$176,6,0)</f>
        <v>165000</v>
      </c>
      <c r="H178" s="60">
        <f t="shared" ref="H178:H215" si="1">G178-F178</f>
        <v>0</v>
      </c>
    </row>
    <row r="179" spans="2:8" x14ac:dyDescent="0.2">
      <c r="B179" s="123" t="s">
        <v>113</v>
      </c>
      <c r="C179" s="60">
        <v>2900000</v>
      </c>
      <c r="E179" t="s">
        <v>113</v>
      </c>
      <c r="F179" s="56">
        <v>2900000</v>
      </c>
      <c r="G179" s="56">
        <f>VLOOKUP(E179,[2]Juli!$E$5:$J$176,6,0)</f>
        <v>2900000</v>
      </c>
      <c r="H179" s="60">
        <f t="shared" si="1"/>
        <v>0</v>
      </c>
    </row>
    <row r="180" spans="2:8" x14ac:dyDescent="0.2">
      <c r="B180" s="123" t="s">
        <v>241</v>
      </c>
      <c r="C180" s="60">
        <v>2708333</v>
      </c>
      <c r="E180" t="s">
        <v>241</v>
      </c>
      <c r="F180" s="56">
        <v>2708333</v>
      </c>
      <c r="G180" s="56">
        <f>VLOOKUP(E180,[2]Juli!$E$5:$J$176,6,0)</f>
        <v>2708333</v>
      </c>
      <c r="H180" s="60">
        <f t="shared" si="1"/>
        <v>0</v>
      </c>
    </row>
    <row r="181" spans="2:8" x14ac:dyDescent="0.2">
      <c r="B181" s="123" t="s">
        <v>519</v>
      </c>
      <c r="C181" s="60">
        <v>653333</v>
      </c>
      <c r="E181" t="s">
        <v>519</v>
      </c>
      <c r="F181" s="56">
        <v>653333</v>
      </c>
      <c r="G181" s="56">
        <f>VLOOKUP(E181,[2]Juli!$E$5:$J$176,6,0)</f>
        <v>653333</v>
      </c>
      <c r="H181" s="60">
        <f t="shared" si="1"/>
        <v>0</v>
      </c>
    </row>
    <row r="182" spans="2:8" x14ac:dyDescent="0.2">
      <c r="B182" s="123" t="s">
        <v>115</v>
      </c>
      <c r="C182" s="60">
        <v>1400000</v>
      </c>
      <c r="E182" t="s">
        <v>115</v>
      </c>
      <c r="F182" s="56">
        <v>1400000</v>
      </c>
      <c r="G182" s="56">
        <f>VLOOKUP(E182,[2]Juli!$E$5:$J$176,6,0)</f>
        <v>1400000</v>
      </c>
      <c r="H182" s="60">
        <f t="shared" si="1"/>
        <v>0</v>
      </c>
    </row>
    <row r="183" spans="2:8" x14ac:dyDescent="0.2">
      <c r="B183" s="123" t="s">
        <v>243</v>
      </c>
      <c r="C183" s="60">
        <v>3558333</v>
      </c>
      <c r="E183" t="s">
        <v>243</v>
      </c>
      <c r="F183" s="56">
        <v>3558333</v>
      </c>
      <c r="G183" s="56">
        <f>VLOOKUP(E183,[2]Juli!$E$5:$J$176,6,0)</f>
        <v>3558333</v>
      </c>
      <c r="H183" s="60">
        <f t="shared" si="1"/>
        <v>0</v>
      </c>
    </row>
    <row r="184" spans="2:8" x14ac:dyDescent="0.2">
      <c r="B184" s="123" t="s">
        <v>492</v>
      </c>
      <c r="C184" s="60">
        <v>1413333</v>
      </c>
      <c r="E184" t="s">
        <v>492</v>
      </c>
      <c r="F184" s="56">
        <v>1413333</v>
      </c>
      <c r="G184" s="56">
        <f>VLOOKUP(E184,[2]Juli!$E$5:$J$176,6,0)</f>
        <v>1413333</v>
      </c>
      <c r="H184" s="60">
        <f t="shared" si="1"/>
        <v>0</v>
      </c>
    </row>
    <row r="185" spans="2:8" x14ac:dyDescent="0.2">
      <c r="B185" s="123" t="s">
        <v>308</v>
      </c>
      <c r="C185" s="60">
        <v>1100000</v>
      </c>
      <c r="E185" t="s">
        <v>308</v>
      </c>
      <c r="F185" s="56">
        <v>1100000</v>
      </c>
      <c r="G185" s="56">
        <f>VLOOKUP(E185,[2]Juli!$E$5:$J$176,6,0)</f>
        <v>1100000</v>
      </c>
      <c r="H185" s="60">
        <f t="shared" si="1"/>
        <v>0</v>
      </c>
    </row>
    <row r="186" spans="2:8" x14ac:dyDescent="0.2">
      <c r="B186" s="123" t="s">
        <v>245</v>
      </c>
      <c r="C186" s="60">
        <v>3826111</v>
      </c>
      <c r="E186" t="s">
        <v>245</v>
      </c>
      <c r="F186" s="56">
        <v>3826111</v>
      </c>
      <c r="G186" s="56">
        <f>VLOOKUP(E186,[2]Juli!$E$5:$J$176,6,0)</f>
        <v>3826111</v>
      </c>
      <c r="H186" s="60">
        <f t="shared" si="1"/>
        <v>0</v>
      </c>
    </row>
    <row r="187" spans="2:8" x14ac:dyDescent="0.2">
      <c r="B187" s="123" t="s">
        <v>526</v>
      </c>
      <c r="C187" s="60">
        <v>901000</v>
      </c>
      <c r="E187" t="s">
        <v>526</v>
      </c>
      <c r="F187" s="56">
        <v>0</v>
      </c>
      <c r="G187" s="56">
        <f>VLOOKUP(E187,[2]Juli!$E$5:$J$176,6,0)</f>
        <v>0</v>
      </c>
      <c r="H187" s="60">
        <f t="shared" si="1"/>
        <v>0</v>
      </c>
    </row>
    <row r="188" spans="2:8" x14ac:dyDescent="0.2">
      <c r="B188" s="123" t="s">
        <v>341</v>
      </c>
      <c r="C188" s="60">
        <v>2325000</v>
      </c>
      <c r="E188" t="s">
        <v>341</v>
      </c>
      <c r="F188" s="56">
        <v>2325000</v>
      </c>
      <c r="G188" s="56">
        <f>VLOOKUP(E188,[2]Juli!$E$5:$J$176,6,0)</f>
        <v>2325000</v>
      </c>
      <c r="H188" s="60">
        <f t="shared" si="1"/>
        <v>0</v>
      </c>
    </row>
    <row r="189" spans="2:8" x14ac:dyDescent="0.2">
      <c r="B189" s="123" t="s">
        <v>495</v>
      </c>
      <c r="C189" s="60">
        <v>1100000</v>
      </c>
      <c r="E189" t="s">
        <v>495</v>
      </c>
      <c r="F189" s="56">
        <v>1100000</v>
      </c>
      <c r="G189" s="56">
        <f>VLOOKUP(E189,[2]Juli!$E$5:$J$176,6,0)</f>
        <v>1100000</v>
      </c>
      <c r="H189" s="60">
        <f t="shared" si="1"/>
        <v>0</v>
      </c>
    </row>
    <row r="190" spans="2:8" x14ac:dyDescent="0.2">
      <c r="B190" s="123" t="s">
        <v>177</v>
      </c>
      <c r="C190" s="60">
        <v>3161667</v>
      </c>
      <c r="E190" t="s">
        <v>177</v>
      </c>
      <c r="F190" s="56">
        <v>3161667</v>
      </c>
      <c r="G190" s="56">
        <f>VLOOKUP(E190,[2]Juli!$E$5:$J$176,6,0)</f>
        <v>3161667</v>
      </c>
      <c r="H190" s="60">
        <f t="shared" si="1"/>
        <v>0</v>
      </c>
    </row>
    <row r="191" spans="2:8" x14ac:dyDescent="0.2">
      <c r="B191" s="123" t="s">
        <v>173</v>
      </c>
      <c r="C191" s="60">
        <v>1120000</v>
      </c>
      <c r="E191" t="s">
        <v>173</v>
      </c>
      <c r="F191" s="56">
        <v>1120000</v>
      </c>
      <c r="G191" s="56">
        <f>VLOOKUP(E191,[2]Juli!$E$5:$J$176,6,0)</f>
        <v>1120000</v>
      </c>
      <c r="H191" s="60">
        <f t="shared" si="1"/>
        <v>0</v>
      </c>
    </row>
    <row r="192" spans="2:8" x14ac:dyDescent="0.2">
      <c r="B192" s="123" t="s">
        <v>248</v>
      </c>
      <c r="C192" s="60">
        <v>3841667</v>
      </c>
      <c r="E192" t="s">
        <v>248</v>
      </c>
      <c r="F192" s="56">
        <v>3841667</v>
      </c>
      <c r="G192" s="56">
        <f>VLOOKUP(E192,[2]Juli!$E$5:$J$176,6,0)</f>
        <v>3841667</v>
      </c>
      <c r="H192" s="60">
        <f t="shared" si="1"/>
        <v>0</v>
      </c>
    </row>
    <row r="193" spans="2:8" x14ac:dyDescent="0.2">
      <c r="B193" s="123" t="s">
        <v>278</v>
      </c>
      <c r="C193" s="60">
        <v>1650000</v>
      </c>
      <c r="E193" t="s">
        <v>278</v>
      </c>
      <c r="F193" s="56">
        <v>1650000</v>
      </c>
      <c r="G193" s="56">
        <f>VLOOKUP(E193,[2]Juli!$E$5:$J$176,6,0)</f>
        <v>1650000</v>
      </c>
      <c r="H193" s="60">
        <f t="shared" si="1"/>
        <v>0</v>
      </c>
    </row>
    <row r="194" spans="2:8" x14ac:dyDescent="0.2">
      <c r="B194" s="123" t="s">
        <v>252</v>
      </c>
      <c r="C194" s="60">
        <v>3841667</v>
      </c>
      <c r="E194" t="s">
        <v>252</v>
      </c>
      <c r="F194" s="56">
        <v>3841667</v>
      </c>
      <c r="G194" s="56">
        <f>VLOOKUP(E194,[2]Juli!$E$5:$J$176,6,0)</f>
        <v>3841667</v>
      </c>
      <c r="H194" s="60">
        <f t="shared" si="1"/>
        <v>0</v>
      </c>
    </row>
    <row r="195" spans="2:8" x14ac:dyDescent="0.2">
      <c r="B195" s="123" t="s">
        <v>157</v>
      </c>
      <c r="C195" s="60">
        <v>1916667</v>
      </c>
      <c r="E195" t="s">
        <v>157</v>
      </c>
      <c r="F195" s="56">
        <v>1916667</v>
      </c>
      <c r="G195" s="56">
        <f>VLOOKUP(E195,[2]Juli!$E$5:$J$176,6,0)</f>
        <v>1916667</v>
      </c>
      <c r="H195" s="60">
        <f t="shared" si="1"/>
        <v>0</v>
      </c>
    </row>
    <row r="196" spans="2:8" x14ac:dyDescent="0.2">
      <c r="B196" s="123" t="s">
        <v>129</v>
      </c>
      <c r="C196" s="60">
        <v>3105000</v>
      </c>
      <c r="E196" t="s">
        <v>129</v>
      </c>
      <c r="F196" s="56">
        <v>3105000</v>
      </c>
      <c r="G196" s="56">
        <f>VLOOKUP(E196,[2]Juli!$E$5:$J$176,6,0)</f>
        <v>3105000</v>
      </c>
      <c r="H196" s="60">
        <f t="shared" si="1"/>
        <v>0</v>
      </c>
    </row>
    <row r="197" spans="2:8" x14ac:dyDescent="0.2">
      <c r="B197" s="123" t="s">
        <v>311</v>
      </c>
      <c r="C197" s="60">
        <v>883333</v>
      </c>
      <c r="E197" t="s">
        <v>311</v>
      </c>
      <c r="F197" s="56">
        <v>883333</v>
      </c>
      <c r="G197" s="56">
        <f>VLOOKUP(E197,[2]Juli!$E$5:$J$176,6,0)</f>
        <v>883333</v>
      </c>
      <c r="H197" s="60">
        <f t="shared" si="1"/>
        <v>0</v>
      </c>
    </row>
    <row r="198" spans="2:8" x14ac:dyDescent="0.2">
      <c r="B198" s="123" t="s">
        <v>135</v>
      </c>
      <c r="C198" s="60">
        <v>3808333</v>
      </c>
      <c r="E198" t="s">
        <v>135</v>
      </c>
      <c r="F198" s="56">
        <v>3808333</v>
      </c>
      <c r="G198" s="56">
        <f>VLOOKUP(E198,[2]Juli!$E$5:$J$176,6,0)</f>
        <v>3808333</v>
      </c>
      <c r="H198" s="60">
        <f t="shared" si="1"/>
        <v>0</v>
      </c>
    </row>
    <row r="199" spans="2:8" x14ac:dyDescent="0.2">
      <c r="B199" s="123" t="s">
        <v>258</v>
      </c>
      <c r="C199" s="60">
        <v>1866667</v>
      </c>
      <c r="E199" t="s">
        <v>258</v>
      </c>
      <c r="F199" s="56">
        <v>1866667</v>
      </c>
      <c r="G199" s="56">
        <f>VLOOKUP(E199,[2]Juli!$E$5:$J$176,6,0)</f>
        <v>1866667</v>
      </c>
      <c r="H199" s="60">
        <f t="shared" si="1"/>
        <v>0</v>
      </c>
    </row>
    <row r="200" spans="2:8" x14ac:dyDescent="0.2">
      <c r="B200" s="123" t="s">
        <v>310</v>
      </c>
      <c r="C200" s="60">
        <v>280000</v>
      </c>
      <c r="E200" t="s">
        <v>310</v>
      </c>
      <c r="F200" s="56">
        <v>280000</v>
      </c>
      <c r="G200" s="56">
        <f>VLOOKUP(E200,[2]Juli!$E$5:$J$176,6,0)</f>
        <v>280000</v>
      </c>
      <c r="H200" s="60">
        <f t="shared" si="1"/>
        <v>0</v>
      </c>
    </row>
    <row r="201" spans="2:8" x14ac:dyDescent="0.2">
      <c r="B201" s="123" t="s">
        <v>521</v>
      </c>
      <c r="C201" s="60">
        <v>3558333</v>
      </c>
      <c r="E201" t="s">
        <v>521</v>
      </c>
      <c r="F201" s="56">
        <v>3558333</v>
      </c>
      <c r="G201" s="56">
        <f>VLOOKUP(E201,[2]Juli!$E$5:$J$176,6,0)</f>
        <v>3558333</v>
      </c>
      <c r="H201" s="60">
        <f t="shared" si="1"/>
        <v>0</v>
      </c>
    </row>
    <row r="202" spans="2:8" x14ac:dyDescent="0.2">
      <c r="B202" s="123" t="s">
        <v>270</v>
      </c>
      <c r="C202" s="60">
        <v>653333</v>
      </c>
      <c r="E202" t="s">
        <v>270</v>
      </c>
      <c r="F202" s="56">
        <v>653333</v>
      </c>
      <c r="G202" s="56">
        <f>VLOOKUP(E202,[2]Juli!$E$5:$J$176,6,0)</f>
        <v>653333</v>
      </c>
      <c r="H202" s="60">
        <f t="shared" si="1"/>
        <v>0</v>
      </c>
    </row>
    <row r="203" spans="2:8" x14ac:dyDescent="0.2">
      <c r="B203" s="123" t="s">
        <v>274</v>
      </c>
      <c r="C203" s="60">
        <v>1825000</v>
      </c>
      <c r="E203" t="s">
        <v>274</v>
      </c>
      <c r="F203" s="56">
        <v>1825000</v>
      </c>
      <c r="G203" s="56">
        <f>VLOOKUP(E203,[2]Juli!$E$5:$J$176,6,0)</f>
        <v>1825000</v>
      </c>
      <c r="H203" s="60">
        <f t="shared" si="1"/>
        <v>0</v>
      </c>
    </row>
    <row r="204" spans="2:8" x14ac:dyDescent="0.2">
      <c r="B204" s="123" t="s">
        <v>276</v>
      </c>
      <c r="C204" s="60">
        <v>1341667</v>
      </c>
      <c r="E204" t="s">
        <v>276</v>
      </c>
      <c r="F204" s="56">
        <v>1341667</v>
      </c>
      <c r="G204" s="56">
        <f>VLOOKUP(E204,[2]Juli!$E$5:$J$176,6,0)</f>
        <v>1341667</v>
      </c>
      <c r="H204" s="60">
        <f t="shared" si="1"/>
        <v>0</v>
      </c>
    </row>
    <row r="205" spans="2:8" x14ac:dyDescent="0.2">
      <c r="B205" s="123" t="s">
        <v>277</v>
      </c>
      <c r="C205" s="60">
        <v>1291667</v>
      </c>
      <c r="E205" t="s">
        <v>277</v>
      </c>
      <c r="F205" s="56">
        <v>1291667</v>
      </c>
      <c r="G205" s="56">
        <f>VLOOKUP(E205,[2]Juli!$E$5:$J$176,6,0)</f>
        <v>1291667</v>
      </c>
      <c r="H205" s="60">
        <f t="shared" si="1"/>
        <v>0</v>
      </c>
    </row>
    <row r="206" spans="2:8" x14ac:dyDescent="0.2">
      <c r="B206" s="123" t="s">
        <v>147</v>
      </c>
      <c r="C206" s="60">
        <v>2425000</v>
      </c>
      <c r="E206" t="s">
        <v>147</v>
      </c>
      <c r="F206" s="56">
        <v>2425000</v>
      </c>
      <c r="G206" s="56">
        <f>VLOOKUP(E206,[2]Juli!$E$5:$J$176,6,0)</f>
        <v>2425000</v>
      </c>
      <c r="H206" s="60">
        <f t="shared" si="1"/>
        <v>0</v>
      </c>
    </row>
    <row r="207" spans="2:8" x14ac:dyDescent="0.2">
      <c r="B207" s="123" t="s">
        <v>324</v>
      </c>
      <c r="C207" s="60">
        <v>1801667</v>
      </c>
      <c r="E207" t="s">
        <v>324</v>
      </c>
      <c r="F207" s="56">
        <v>1801667</v>
      </c>
      <c r="G207" s="56">
        <f>VLOOKUP(E207,[2]Juli!$E$5:$J$176,6,0)</f>
        <v>1801667</v>
      </c>
      <c r="H207" s="60">
        <f t="shared" si="1"/>
        <v>0</v>
      </c>
    </row>
    <row r="208" spans="2:8" x14ac:dyDescent="0.2">
      <c r="B208" s="123" t="s">
        <v>151</v>
      </c>
      <c r="C208" s="60">
        <v>3316667</v>
      </c>
      <c r="E208" t="s">
        <v>151</v>
      </c>
      <c r="F208" s="56">
        <v>3316667</v>
      </c>
      <c r="G208" s="56">
        <f>VLOOKUP(E208,[2]Juli!$E$5:$J$176,6,0)</f>
        <v>3316667</v>
      </c>
      <c r="H208" s="60">
        <f t="shared" si="1"/>
        <v>0</v>
      </c>
    </row>
    <row r="209" spans="2:8" x14ac:dyDescent="0.2">
      <c r="B209" s="123" t="s">
        <v>539</v>
      </c>
      <c r="C209" s="60">
        <v>220000</v>
      </c>
      <c r="E209" t="s">
        <v>539</v>
      </c>
      <c r="F209" s="56">
        <v>220000</v>
      </c>
      <c r="G209" s="56">
        <f>VLOOKUP(E209,[2]Juli!$E$5:$J$176,6,0)</f>
        <v>220000</v>
      </c>
      <c r="H209" s="60">
        <f t="shared" si="1"/>
        <v>0</v>
      </c>
    </row>
    <row r="210" spans="2:8" x14ac:dyDescent="0.2">
      <c r="B210" s="123" t="s">
        <v>153</v>
      </c>
      <c r="C210" s="60">
        <v>1348333</v>
      </c>
      <c r="E210" t="s">
        <v>153</v>
      </c>
      <c r="F210" s="56">
        <v>1348333</v>
      </c>
      <c r="G210" s="56">
        <f>VLOOKUP(E210,[2]Juli!$E$5:$J$176,6,0)</f>
        <v>1348333</v>
      </c>
      <c r="H210" s="60">
        <f t="shared" si="1"/>
        <v>0</v>
      </c>
    </row>
    <row r="211" spans="2:8" x14ac:dyDescent="0.2">
      <c r="B211" s="123" t="s">
        <v>326</v>
      </c>
      <c r="C211" s="60">
        <v>671667</v>
      </c>
      <c r="E211" t="s">
        <v>326</v>
      </c>
      <c r="F211" s="56">
        <v>671667</v>
      </c>
      <c r="G211" s="56">
        <f>VLOOKUP(E211,[2]Juli!$E$5:$J$176,6,0)</f>
        <v>671667</v>
      </c>
      <c r="H211" s="60">
        <f t="shared" si="1"/>
        <v>0</v>
      </c>
    </row>
    <row r="212" spans="2:8" x14ac:dyDescent="0.2">
      <c r="B212" s="123" t="s">
        <v>172</v>
      </c>
      <c r="C212" s="60">
        <v>2708333</v>
      </c>
      <c r="E212" t="s">
        <v>172</v>
      </c>
      <c r="F212" s="56">
        <v>0</v>
      </c>
      <c r="G212" s="56">
        <f>VLOOKUP(E212,[2]Juli!$E$5:$J$176,6,0)</f>
        <v>0</v>
      </c>
      <c r="H212" s="60">
        <f t="shared" si="1"/>
        <v>0</v>
      </c>
    </row>
    <row r="213" spans="2:8" x14ac:dyDescent="0.2">
      <c r="B213" s="123" t="s">
        <v>448</v>
      </c>
      <c r="C213" s="60">
        <v>540000</v>
      </c>
      <c r="E213" t="s">
        <v>448</v>
      </c>
      <c r="F213" s="56">
        <v>540000</v>
      </c>
      <c r="G213" s="56">
        <f>VLOOKUP(E213,[2]Juli!$E$5:$J$176,6,0)</f>
        <v>540000</v>
      </c>
      <c r="H213" s="60">
        <f t="shared" si="1"/>
        <v>0</v>
      </c>
    </row>
    <row r="214" spans="2:8" x14ac:dyDescent="0.2">
      <c r="B214" s="123" t="s">
        <v>155</v>
      </c>
      <c r="C214" s="60">
        <v>1303846</v>
      </c>
      <c r="E214" t="s">
        <v>155</v>
      </c>
      <c r="F214" s="56">
        <v>1303846</v>
      </c>
      <c r="G214" s="56">
        <f>VLOOKUP(E214,[2]Juli!$E$5:$J$176,6,0)</f>
        <v>1303846</v>
      </c>
      <c r="H214" s="60">
        <f t="shared" si="1"/>
        <v>0</v>
      </c>
    </row>
    <row r="215" spans="2:8" x14ac:dyDescent="0.2">
      <c r="B215" s="123" t="s">
        <v>476</v>
      </c>
      <c r="C215" s="60">
        <v>187788412</v>
      </c>
      <c r="E215" t="s">
        <v>476</v>
      </c>
      <c r="F215" s="56">
        <v>187788412</v>
      </c>
      <c r="G215" s="56" t="e">
        <f>VLOOKUP(E215,[2]Juli!$E$5:$J$176,6,0)</f>
        <v>#N/A</v>
      </c>
      <c r="H215" s="60" t="e">
        <f t="shared" si="1"/>
        <v>#N/A</v>
      </c>
    </row>
  </sheetData>
  <autoFilter ref="A1:J1" xr:uid="{D3ED6F72-1A54-2E45-AEDB-CEA6F2722836}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29CF-C49B-6947-90B3-0186998C11BF}">
  <dimension ref="C2:G224"/>
  <sheetViews>
    <sheetView topLeftCell="A186" workbookViewId="0">
      <selection activeCell="I118" sqref="I118"/>
    </sheetView>
  </sheetViews>
  <sheetFormatPr baseColWidth="10" defaultRowHeight="16" x14ac:dyDescent="0.2"/>
  <cols>
    <col min="3" max="3" width="22.83203125" bestFit="1" customWidth="1"/>
    <col min="4" max="4" width="13" bestFit="1" customWidth="1"/>
    <col min="6" max="6" width="22.83203125" bestFit="1" customWidth="1"/>
    <col min="7" max="7" width="12.6640625" style="56" bestFit="1" customWidth="1"/>
  </cols>
  <sheetData>
    <row r="2" spans="3:4" x14ac:dyDescent="0.2">
      <c r="C2" t="s">
        <v>588</v>
      </c>
      <c r="D2" s="56" t="s">
        <v>597</v>
      </c>
    </row>
    <row r="3" spans="3:4" x14ac:dyDescent="0.2">
      <c r="C3" t="s">
        <v>194</v>
      </c>
      <c r="D3" s="56">
        <v>5920000</v>
      </c>
    </row>
    <row r="4" spans="3:4" x14ac:dyDescent="0.2">
      <c r="C4" t="s">
        <v>241</v>
      </c>
      <c r="D4" s="56">
        <v>2708333</v>
      </c>
    </row>
    <row r="5" spans="3:4" x14ac:dyDescent="0.2">
      <c r="C5" t="s">
        <v>53</v>
      </c>
      <c r="D5" s="56">
        <v>775000</v>
      </c>
    </row>
    <row r="6" spans="3:4" x14ac:dyDescent="0.2">
      <c r="C6" t="s">
        <v>527</v>
      </c>
      <c r="D6" s="82">
        <v>330000</v>
      </c>
    </row>
    <row r="7" spans="3:4" x14ac:dyDescent="0.2">
      <c r="C7" t="s">
        <v>327</v>
      </c>
      <c r="D7" s="82">
        <v>618333</v>
      </c>
    </row>
    <row r="8" spans="3:4" x14ac:dyDescent="0.2">
      <c r="C8" t="s">
        <v>235</v>
      </c>
      <c r="D8" s="56">
        <v>2333333</v>
      </c>
    </row>
    <row r="9" spans="3:4" x14ac:dyDescent="0.2">
      <c r="C9" t="s">
        <v>526</v>
      </c>
      <c r="D9" s="56">
        <v>901000</v>
      </c>
    </row>
    <row r="10" spans="3:4" x14ac:dyDescent="0.2">
      <c r="C10" t="s">
        <v>368</v>
      </c>
      <c r="D10" s="56">
        <v>530000</v>
      </c>
    </row>
    <row r="11" spans="3:4" x14ac:dyDescent="0.2">
      <c r="C11" t="s">
        <v>175</v>
      </c>
      <c r="D11" s="56">
        <v>2708333</v>
      </c>
    </row>
    <row r="12" spans="3:4" x14ac:dyDescent="0.2">
      <c r="C12" s="113" t="s">
        <v>157</v>
      </c>
      <c r="D12" s="114">
        <v>1916667</v>
      </c>
    </row>
    <row r="13" spans="3:4" x14ac:dyDescent="0.2">
      <c r="C13" t="s">
        <v>8</v>
      </c>
      <c r="D13" s="56">
        <v>660000</v>
      </c>
    </row>
    <row r="14" spans="3:4" x14ac:dyDescent="0.2">
      <c r="C14" t="s">
        <v>189</v>
      </c>
      <c r="D14" s="56">
        <v>597333</v>
      </c>
    </row>
    <row r="15" spans="3:4" x14ac:dyDescent="0.2">
      <c r="C15" t="s">
        <v>484</v>
      </c>
      <c r="D15" s="56">
        <v>4408333</v>
      </c>
    </row>
    <row r="16" spans="3:4" x14ac:dyDescent="0.2">
      <c r="C16" t="s">
        <v>319</v>
      </c>
      <c r="D16" s="56">
        <v>2200000</v>
      </c>
    </row>
    <row r="17" spans="3:4" x14ac:dyDescent="0.2">
      <c r="C17" t="s">
        <v>363</v>
      </c>
      <c r="D17" s="56">
        <v>1858333</v>
      </c>
    </row>
    <row r="18" spans="3:4" x14ac:dyDescent="0.2">
      <c r="C18" t="s">
        <v>35</v>
      </c>
      <c r="D18" s="56">
        <v>1575000</v>
      </c>
    </row>
    <row r="19" spans="3:4" x14ac:dyDescent="0.2">
      <c r="C19" t="s">
        <v>400</v>
      </c>
      <c r="D19" s="56">
        <v>723333</v>
      </c>
    </row>
    <row r="20" spans="3:4" x14ac:dyDescent="0.2">
      <c r="C20" t="s">
        <v>522</v>
      </c>
      <c r="D20" s="56">
        <v>3275000</v>
      </c>
    </row>
    <row r="21" spans="3:4" x14ac:dyDescent="0.2">
      <c r="C21" t="s">
        <v>586</v>
      </c>
      <c r="D21" s="56">
        <v>767000</v>
      </c>
    </row>
    <row r="22" spans="3:4" x14ac:dyDescent="0.2">
      <c r="C22" t="s">
        <v>467</v>
      </c>
      <c r="D22" s="56">
        <v>1603333</v>
      </c>
    </row>
    <row r="23" spans="3:4" x14ac:dyDescent="0.2">
      <c r="C23" t="s">
        <v>198</v>
      </c>
      <c r="D23" s="56">
        <v>3275000</v>
      </c>
    </row>
    <row r="24" spans="3:4" x14ac:dyDescent="0.2">
      <c r="C24" t="s">
        <v>198</v>
      </c>
      <c r="D24" s="56">
        <v>3149608</v>
      </c>
    </row>
    <row r="25" spans="3:4" x14ac:dyDescent="0.2">
      <c r="C25" t="s">
        <v>200</v>
      </c>
      <c r="D25" s="56">
        <v>1650000</v>
      </c>
    </row>
    <row r="26" spans="3:4" x14ac:dyDescent="0.2">
      <c r="C26" t="s">
        <v>182</v>
      </c>
      <c r="D26" s="56">
        <v>3125000</v>
      </c>
    </row>
    <row r="27" spans="3:4" x14ac:dyDescent="0.2">
      <c r="C27" t="s">
        <v>533</v>
      </c>
      <c r="D27" s="56">
        <v>1866667</v>
      </c>
    </row>
    <row r="28" spans="3:4" x14ac:dyDescent="0.2">
      <c r="C28" t="s">
        <v>300</v>
      </c>
      <c r="D28" s="56">
        <v>600000</v>
      </c>
    </row>
    <row r="29" spans="3:4" x14ac:dyDescent="0.2">
      <c r="C29" t="s">
        <v>79</v>
      </c>
      <c r="D29" s="56">
        <v>4125000</v>
      </c>
    </row>
    <row r="30" spans="3:4" x14ac:dyDescent="0.2">
      <c r="C30" t="s">
        <v>81</v>
      </c>
      <c r="D30" s="56">
        <v>2708333</v>
      </c>
    </row>
    <row r="31" spans="3:4" x14ac:dyDescent="0.2">
      <c r="C31" t="s">
        <v>85</v>
      </c>
      <c r="D31" s="56">
        <v>2368333</v>
      </c>
    </row>
    <row r="32" spans="3:4" x14ac:dyDescent="0.2">
      <c r="C32" t="s">
        <v>206</v>
      </c>
      <c r="D32" s="56">
        <v>3331667</v>
      </c>
    </row>
    <row r="33" spans="3:4" x14ac:dyDescent="0.2">
      <c r="C33" t="s">
        <v>94</v>
      </c>
      <c r="D33" s="56">
        <v>1586112</v>
      </c>
    </row>
    <row r="34" spans="3:4" x14ac:dyDescent="0.2">
      <c r="C34" t="s">
        <v>94</v>
      </c>
      <c r="D34" s="56">
        <v>155000</v>
      </c>
    </row>
    <row r="35" spans="3:4" x14ac:dyDescent="0.2">
      <c r="C35" t="s">
        <v>96</v>
      </c>
      <c r="D35" s="56">
        <v>2708333</v>
      </c>
    </row>
    <row r="36" spans="3:4" x14ac:dyDescent="0.2">
      <c r="C36" t="s">
        <v>481</v>
      </c>
      <c r="D36" s="56">
        <v>3955000</v>
      </c>
    </row>
    <row r="37" spans="3:4" x14ac:dyDescent="0.2">
      <c r="C37" t="s">
        <v>480</v>
      </c>
      <c r="D37" s="56">
        <v>2325000</v>
      </c>
    </row>
    <row r="38" spans="3:4" x14ac:dyDescent="0.2">
      <c r="C38" t="s">
        <v>483</v>
      </c>
      <c r="D38" s="56">
        <v>3275000</v>
      </c>
    </row>
    <row r="39" spans="3:4" x14ac:dyDescent="0.2">
      <c r="C39" t="s">
        <v>176</v>
      </c>
      <c r="D39" s="56">
        <v>1085000</v>
      </c>
    </row>
    <row r="40" spans="3:4" x14ac:dyDescent="0.2">
      <c r="C40" t="s">
        <v>103</v>
      </c>
      <c r="D40" s="56">
        <v>2120000</v>
      </c>
    </row>
    <row r="41" spans="3:4" x14ac:dyDescent="0.2">
      <c r="C41" t="s">
        <v>188</v>
      </c>
      <c r="D41" s="56">
        <v>1033333</v>
      </c>
    </row>
    <row r="42" spans="3:4" x14ac:dyDescent="0.2">
      <c r="C42" t="s">
        <v>335</v>
      </c>
      <c r="D42" s="56">
        <v>3958333</v>
      </c>
    </row>
    <row r="43" spans="3:4" x14ac:dyDescent="0.2">
      <c r="C43" t="s">
        <v>233</v>
      </c>
      <c r="D43" s="56">
        <v>383333</v>
      </c>
    </row>
    <row r="44" spans="3:4" x14ac:dyDescent="0.2">
      <c r="C44" t="s">
        <v>239</v>
      </c>
      <c r="D44" s="56">
        <v>2708333</v>
      </c>
    </row>
    <row r="45" spans="3:4" x14ac:dyDescent="0.2">
      <c r="C45" t="s">
        <v>113</v>
      </c>
      <c r="D45" s="56">
        <v>1100000</v>
      </c>
    </row>
    <row r="46" spans="3:4" x14ac:dyDescent="0.2">
      <c r="C46" t="s">
        <v>519</v>
      </c>
      <c r="D46" s="56">
        <v>653333</v>
      </c>
    </row>
    <row r="47" spans="3:4" x14ac:dyDescent="0.2">
      <c r="C47" t="s">
        <v>115</v>
      </c>
      <c r="D47" s="56">
        <v>1400000</v>
      </c>
    </row>
    <row r="48" spans="3:4" x14ac:dyDescent="0.2">
      <c r="C48" t="s">
        <v>243</v>
      </c>
      <c r="D48" s="56">
        <v>3558333</v>
      </c>
    </row>
    <row r="49" spans="3:4" x14ac:dyDescent="0.2">
      <c r="C49" t="s">
        <v>341</v>
      </c>
      <c r="D49" s="56">
        <v>2325000</v>
      </c>
    </row>
    <row r="50" spans="3:4" x14ac:dyDescent="0.2">
      <c r="C50" t="s">
        <v>495</v>
      </c>
      <c r="D50" s="56">
        <v>1100000</v>
      </c>
    </row>
    <row r="51" spans="3:4" x14ac:dyDescent="0.2">
      <c r="C51" t="s">
        <v>248</v>
      </c>
      <c r="D51" s="56">
        <v>3841667</v>
      </c>
    </row>
    <row r="52" spans="3:4" x14ac:dyDescent="0.2">
      <c r="C52" t="s">
        <v>129</v>
      </c>
      <c r="D52" s="56">
        <v>3105000</v>
      </c>
    </row>
    <row r="53" spans="3:4" x14ac:dyDescent="0.2">
      <c r="C53" t="s">
        <v>135</v>
      </c>
      <c r="D53" s="56">
        <v>3808333</v>
      </c>
    </row>
    <row r="54" spans="3:4" x14ac:dyDescent="0.2">
      <c r="C54" t="s">
        <v>274</v>
      </c>
      <c r="D54" s="56">
        <v>1825000</v>
      </c>
    </row>
    <row r="55" spans="3:4" x14ac:dyDescent="0.2">
      <c r="C55" t="s">
        <v>276</v>
      </c>
      <c r="D55" s="56">
        <v>1341667</v>
      </c>
    </row>
    <row r="56" spans="3:4" x14ac:dyDescent="0.2">
      <c r="C56" t="s">
        <v>277</v>
      </c>
      <c r="D56" s="56">
        <v>1291667</v>
      </c>
    </row>
    <row r="57" spans="3:4" x14ac:dyDescent="0.2">
      <c r="C57" t="s">
        <v>153</v>
      </c>
      <c r="D57" s="56">
        <v>1348333</v>
      </c>
    </row>
    <row r="58" spans="3:4" x14ac:dyDescent="0.2">
      <c r="C58" t="s">
        <v>326</v>
      </c>
      <c r="D58" s="56">
        <v>671667</v>
      </c>
    </row>
    <row r="59" spans="3:4" x14ac:dyDescent="0.2">
      <c r="C59" t="s">
        <v>172</v>
      </c>
      <c r="D59" s="56">
        <v>2708333</v>
      </c>
    </row>
    <row r="60" spans="3:4" x14ac:dyDescent="0.2">
      <c r="C60" t="s">
        <v>225</v>
      </c>
      <c r="D60" s="82">
        <v>440000</v>
      </c>
    </row>
    <row r="61" spans="3:4" x14ac:dyDescent="0.2">
      <c r="C61" t="s">
        <v>370</v>
      </c>
      <c r="D61" s="82">
        <v>1866667</v>
      </c>
    </row>
    <row r="62" spans="3:4" x14ac:dyDescent="0.2">
      <c r="C62" t="s">
        <v>278</v>
      </c>
      <c r="D62" s="56">
        <v>1650000</v>
      </c>
    </row>
    <row r="63" spans="3:4" x14ac:dyDescent="0.2">
      <c r="C63" t="s">
        <v>450</v>
      </c>
      <c r="D63" s="56">
        <v>405000</v>
      </c>
    </row>
    <row r="64" spans="3:4" x14ac:dyDescent="0.2">
      <c r="C64" t="s">
        <v>451</v>
      </c>
      <c r="D64" s="56">
        <v>540000</v>
      </c>
    </row>
    <row r="65" spans="3:4" x14ac:dyDescent="0.2">
      <c r="C65" t="s">
        <v>65</v>
      </c>
      <c r="D65" s="56">
        <v>2325000</v>
      </c>
    </row>
    <row r="66" spans="3:4" x14ac:dyDescent="0.2">
      <c r="C66" t="s">
        <v>499</v>
      </c>
      <c r="D66" s="56">
        <v>540000</v>
      </c>
    </row>
    <row r="67" spans="3:4" x14ac:dyDescent="0.2">
      <c r="C67" t="s">
        <v>204</v>
      </c>
      <c r="D67" s="56">
        <v>1858333</v>
      </c>
    </row>
    <row r="68" spans="3:4" x14ac:dyDescent="0.2">
      <c r="C68" s="46" t="s">
        <v>500</v>
      </c>
      <c r="D68" s="56">
        <v>337500</v>
      </c>
    </row>
    <row r="69" spans="3:4" x14ac:dyDescent="0.2">
      <c r="C69" t="s">
        <v>448</v>
      </c>
      <c r="D69" s="56">
        <v>540000</v>
      </c>
    </row>
    <row r="70" spans="3:4" x14ac:dyDescent="0.2">
      <c r="C70" t="s">
        <v>245</v>
      </c>
      <c r="D70" s="56">
        <v>3826111</v>
      </c>
    </row>
    <row r="71" spans="3:4" x14ac:dyDescent="0.2">
      <c r="C71" t="s">
        <v>85</v>
      </c>
      <c r="D71" s="56">
        <v>805000</v>
      </c>
    </row>
    <row r="72" spans="3:4" x14ac:dyDescent="0.2">
      <c r="C72" t="s">
        <v>364</v>
      </c>
      <c r="D72" s="56">
        <v>981667</v>
      </c>
    </row>
    <row r="73" spans="3:4" x14ac:dyDescent="0.2">
      <c r="C73" t="s">
        <v>71</v>
      </c>
      <c r="D73" s="56">
        <v>232500</v>
      </c>
    </row>
    <row r="74" spans="3:4" x14ac:dyDescent="0.2">
      <c r="C74" t="s">
        <v>107</v>
      </c>
      <c r="D74" s="56">
        <v>4791667</v>
      </c>
    </row>
    <row r="75" spans="3:4" x14ac:dyDescent="0.2">
      <c r="C75" t="s">
        <v>147</v>
      </c>
      <c r="D75" s="56">
        <v>2425000</v>
      </c>
    </row>
    <row r="76" spans="3:4" x14ac:dyDescent="0.2">
      <c r="C76" t="s">
        <v>563</v>
      </c>
      <c r="D76" s="56">
        <v>208000</v>
      </c>
    </row>
    <row r="77" spans="3:4" x14ac:dyDescent="0.2">
      <c r="C77" t="s">
        <v>37</v>
      </c>
      <c r="D77" s="56">
        <v>1291667</v>
      </c>
    </row>
    <row r="78" spans="3:4" x14ac:dyDescent="0.2">
      <c r="C78" t="s">
        <v>252</v>
      </c>
      <c r="D78" s="56">
        <v>3841667</v>
      </c>
    </row>
    <row r="79" spans="3:4" x14ac:dyDescent="0.2">
      <c r="C79" t="s">
        <v>310</v>
      </c>
      <c r="D79" s="56">
        <v>280000</v>
      </c>
    </row>
    <row r="80" spans="3:4" x14ac:dyDescent="0.2">
      <c r="C80" t="s">
        <v>177</v>
      </c>
      <c r="D80" s="56">
        <v>3161667</v>
      </c>
    </row>
    <row r="81" spans="3:4" x14ac:dyDescent="0.2">
      <c r="C81" t="s">
        <v>324</v>
      </c>
      <c r="D81" s="56">
        <v>1801667</v>
      </c>
    </row>
    <row r="82" spans="3:4" x14ac:dyDescent="0.2">
      <c r="C82" t="s">
        <v>492</v>
      </c>
      <c r="D82" s="56">
        <v>1413333</v>
      </c>
    </row>
    <row r="83" spans="3:4" x14ac:dyDescent="0.2">
      <c r="C83" t="s">
        <v>318</v>
      </c>
      <c r="D83" s="56">
        <v>550000</v>
      </c>
    </row>
    <row r="84" spans="3:4" x14ac:dyDescent="0.2">
      <c r="C84" t="s">
        <v>497</v>
      </c>
      <c r="D84" s="56">
        <v>550000</v>
      </c>
    </row>
    <row r="85" spans="3:4" x14ac:dyDescent="0.2">
      <c r="C85" t="s">
        <v>439</v>
      </c>
      <c r="D85" s="56">
        <v>660000</v>
      </c>
    </row>
    <row r="86" spans="3:4" x14ac:dyDescent="0.2">
      <c r="C86" t="s">
        <v>539</v>
      </c>
      <c r="D86" s="56">
        <v>220000</v>
      </c>
    </row>
    <row r="87" spans="3:4" x14ac:dyDescent="0.2">
      <c r="C87" t="s">
        <v>155</v>
      </c>
      <c r="D87" s="56">
        <v>1303846</v>
      </c>
    </row>
    <row r="88" spans="3:4" x14ac:dyDescent="0.2">
      <c r="C88" t="s">
        <v>202</v>
      </c>
      <c r="D88" s="56">
        <v>1033333</v>
      </c>
    </row>
    <row r="89" spans="3:4" x14ac:dyDescent="0.2">
      <c r="C89" t="s">
        <v>524</v>
      </c>
      <c r="D89" s="56">
        <v>458571</v>
      </c>
    </row>
    <row r="90" spans="3:4" x14ac:dyDescent="0.2">
      <c r="C90" t="s">
        <v>308</v>
      </c>
      <c r="D90" s="56">
        <v>1100000</v>
      </c>
    </row>
    <row r="91" spans="3:4" x14ac:dyDescent="0.2">
      <c r="C91" t="s">
        <v>521</v>
      </c>
      <c r="D91" s="56">
        <v>3558333</v>
      </c>
    </row>
    <row r="92" spans="3:4" x14ac:dyDescent="0.2">
      <c r="C92" t="s">
        <v>323</v>
      </c>
      <c r="D92" s="56">
        <v>550000</v>
      </c>
    </row>
    <row r="93" spans="3:4" x14ac:dyDescent="0.2">
      <c r="C93" t="s">
        <v>491</v>
      </c>
      <c r="D93" s="56">
        <v>1020000</v>
      </c>
    </row>
    <row r="94" spans="3:4" x14ac:dyDescent="0.2">
      <c r="C94" t="s">
        <v>151</v>
      </c>
      <c r="D94" s="56">
        <v>3316667</v>
      </c>
    </row>
    <row r="95" spans="3:4" x14ac:dyDescent="0.2">
      <c r="C95" t="s">
        <v>304</v>
      </c>
      <c r="D95" s="56">
        <v>1650000</v>
      </c>
    </row>
    <row r="96" spans="3:4" x14ac:dyDescent="0.2">
      <c r="C96" t="s">
        <v>421</v>
      </c>
      <c r="D96" s="56">
        <v>165000</v>
      </c>
    </row>
    <row r="97" spans="3:4" x14ac:dyDescent="0.2">
      <c r="C97" t="s">
        <v>270</v>
      </c>
      <c r="D97" s="56">
        <v>653333</v>
      </c>
    </row>
    <row r="98" spans="3:4" x14ac:dyDescent="0.2">
      <c r="C98" t="s">
        <v>546</v>
      </c>
      <c r="D98" s="56">
        <v>397000</v>
      </c>
    </row>
    <row r="99" spans="3:4" x14ac:dyDescent="0.2">
      <c r="C99" t="s">
        <v>317</v>
      </c>
      <c r="D99" s="56">
        <v>550000</v>
      </c>
    </row>
    <row r="100" spans="3:4" x14ac:dyDescent="0.2">
      <c r="C100" t="s">
        <v>362</v>
      </c>
      <c r="D100" s="56">
        <v>2475000</v>
      </c>
    </row>
    <row r="101" spans="3:4" x14ac:dyDescent="0.2">
      <c r="C101" t="s">
        <v>525</v>
      </c>
      <c r="D101" s="56">
        <v>1033333</v>
      </c>
    </row>
    <row r="102" spans="3:4" x14ac:dyDescent="0.2">
      <c r="C102" t="s">
        <v>311</v>
      </c>
      <c r="D102" s="56">
        <v>945000</v>
      </c>
    </row>
    <row r="103" spans="3:4" x14ac:dyDescent="0.2">
      <c r="C103" t="s">
        <v>400</v>
      </c>
      <c r="D103" s="56">
        <v>1033333</v>
      </c>
    </row>
    <row r="104" spans="3:4" x14ac:dyDescent="0.2">
      <c r="C104" t="s">
        <v>442</v>
      </c>
      <c r="D104" s="56">
        <v>1400000</v>
      </c>
    </row>
    <row r="105" spans="3:4" x14ac:dyDescent="0.2">
      <c r="C105" t="s">
        <v>316</v>
      </c>
      <c r="D105" s="56">
        <v>1866667</v>
      </c>
    </row>
    <row r="106" spans="3:4" x14ac:dyDescent="0.2">
      <c r="C106" t="s">
        <v>94</v>
      </c>
      <c r="D106" s="56">
        <v>98333</v>
      </c>
    </row>
    <row r="107" spans="3:4" x14ac:dyDescent="0.2">
      <c r="C107" t="s">
        <v>307</v>
      </c>
      <c r="D107" s="56">
        <v>746667</v>
      </c>
    </row>
    <row r="108" spans="3:4" x14ac:dyDescent="0.2">
      <c r="C108" t="s">
        <v>534</v>
      </c>
      <c r="D108" s="56">
        <v>1030000</v>
      </c>
    </row>
    <row r="109" spans="3:4" x14ac:dyDescent="0.2">
      <c r="C109" t="s">
        <v>243</v>
      </c>
      <c r="D109" s="56">
        <v>850000</v>
      </c>
    </row>
    <row r="110" spans="3:4" x14ac:dyDescent="0.2">
      <c r="C110" t="s">
        <v>206</v>
      </c>
      <c r="D110" s="82">
        <v>1150000</v>
      </c>
    </row>
    <row r="111" spans="3:4" x14ac:dyDescent="0.2">
      <c r="C111" t="s">
        <v>214</v>
      </c>
      <c r="D111" s="82">
        <v>1348333</v>
      </c>
    </row>
    <row r="112" spans="3:4" x14ac:dyDescent="0.2">
      <c r="C112" t="s">
        <v>113</v>
      </c>
      <c r="D112" s="56">
        <v>1650000</v>
      </c>
    </row>
    <row r="113" spans="3:7" x14ac:dyDescent="0.2">
      <c r="C113" t="s">
        <v>113</v>
      </c>
      <c r="D113" s="56">
        <v>20000</v>
      </c>
    </row>
    <row r="114" spans="3:7" x14ac:dyDescent="0.2">
      <c r="C114" t="s">
        <v>358</v>
      </c>
      <c r="D114" s="60">
        <v>1650000</v>
      </c>
    </row>
    <row r="115" spans="3:7" x14ac:dyDescent="0.2">
      <c r="C115" t="s">
        <v>258</v>
      </c>
      <c r="D115" s="56">
        <v>2333334</v>
      </c>
    </row>
    <row r="119" spans="3:7" x14ac:dyDescent="0.2">
      <c r="C119" s="57" t="s">
        <v>671</v>
      </c>
      <c r="D119" t="s">
        <v>658</v>
      </c>
      <c r="F119" t="s">
        <v>671</v>
      </c>
      <c r="G119" s="56" t="s">
        <v>658</v>
      </c>
    </row>
    <row r="120" spans="3:7" x14ac:dyDescent="0.2">
      <c r="C120" s="123" t="s">
        <v>500</v>
      </c>
      <c r="D120" s="60">
        <v>337500</v>
      </c>
      <c r="F120" t="s">
        <v>500</v>
      </c>
      <c r="G120" s="56">
        <v>337500</v>
      </c>
    </row>
    <row r="121" spans="3:7" x14ac:dyDescent="0.2">
      <c r="C121" s="123" t="s">
        <v>8</v>
      </c>
      <c r="D121" s="60">
        <v>660000</v>
      </c>
      <c r="F121" t="s">
        <v>8</v>
      </c>
      <c r="G121" s="56">
        <v>660000</v>
      </c>
    </row>
    <row r="122" spans="3:7" x14ac:dyDescent="0.2">
      <c r="C122" s="123" t="s">
        <v>546</v>
      </c>
      <c r="D122" s="60">
        <v>397000</v>
      </c>
      <c r="F122" t="s">
        <v>546</v>
      </c>
      <c r="G122" s="56">
        <v>397000</v>
      </c>
    </row>
    <row r="123" spans="3:7" x14ac:dyDescent="0.2">
      <c r="C123" s="123" t="s">
        <v>318</v>
      </c>
      <c r="D123" s="60">
        <v>550000</v>
      </c>
      <c r="F123" t="s">
        <v>318</v>
      </c>
      <c r="G123" s="56">
        <v>550000</v>
      </c>
    </row>
    <row r="124" spans="3:7" x14ac:dyDescent="0.2">
      <c r="C124" s="123" t="s">
        <v>189</v>
      </c>
      <c r="D124" s="60">
        <v>597333</v>
      </c>
      <c r="F124" t="s">
        <v>189</v>
      </c>
      <c r="G124" s="56">
        <v>597333</v>
      </c>
    </row>
    <row r="125" spans="3:7" x14ac:dyDescent="0.2">
      <c r="C125" s="123" t="s">
        <v>525</v>
      </c>
      <c r="D125" s="60">
        <v>1033333</v>
      </c>
      <c r="F125" t="s">
        <v>525</v>
      </c>
      <c r="G125" s="56">
        <v>1033333</v>
      </c>
    </row>
    <row r="126" spans="3:7" x14ac:dyDescent="0.2">
      <c r="C126" s="123" t="s">
        <v>524</v>
      </c>
      <c r="D126" s="60">
        <v>458571</v>
      </c>
      <c r="F126" t="s">
        <v>524</v>
      </c>
      <c r="G126" s="56">
        <v>458571</v>
      </c>
    </row>
    <row r="127" spans="3:7" x14ac:dyDescent="0.2">
      <c r="C127" s="123" t="s">
        <v>327</v>
      </c>
      <c r="D127" s="60">
        <v>618333</v>
      </c>
      <c r="F127" t="s">
        <v>327</v>
      </c>
      <c r="G127" s="56">
        <v>618333</v>
      </c>
    </row>
    <row r="128" spans="3:7" x14ac:dyDescent="0.2">
      <c r="C128" s="123" t="s">
        <v>484</v>
      </c>
      <c r="D128" s="60">
        <v>4408333</v>
      </c>
      <c r="F128" t="s">
        <v>484</v>
      </c>
      <c r="G128" s="56">
        <v>4408333</v>
      </c>
    </row>
    <row r="129" spans="3:7" x14ac:dyDescent="0.2">
      <c r="C129" s="123" t="s">
        <v>527</v>
      </c>
      <c r="D129" s="60">
        <v>330000</v>
      </c>
      <c r="F129" t="s">
        <v>527</v>
      </c>
      <c r="G129" s="56">
        <v>330000</v>
      </c>
    </row>
    <row r="130" spans="3:7" x14ac:dyDescent="0.2">
      <c r="C130" s="123" t="s">
        <v>319</v>
      </c>
      <c r="D130" s="60">
        <v>2200000</v>
      </c>
      <c r="F130" t="s">
        <v>319</v>
      </c>
      <c r="G130" s="56">
        <v>2200000</v>
      </c>
    </row>
    <row r="131" spans="3:7" x14ac:dyDescent="0.2">
      <c r="C131" s="123" t="s">
        <v>451</v>
      </c>
      <c r="D131" s="60">
        <v>540000</v>
      </c>
      <c r="F131" t="s">
        <v>451</v>
      </c>
      <c r="G131" s="56">
        <v>540000</v>
      </c>
    </row>
    <row r="132" spans="3:7" x14ac:dyDescent="0.2">
      <c r="C132" s="123" t="s">
        <v>363</v>
      </c>
      <c r="D132" s="60">
        <v>1858333</v>
      </c>
      <c r="F132" t="s">
        <v>363</v>
      </c>
      <c r="G132" s="56">
        <v>1858333</v>
      </c>
    </row>
    <row r="133" spans="3:7" x14ac:dyDescent="0.2">
      <c r="C133" s="123" t="s">
        <v>35</v>
      </c>
      <c r="D133" s="60">
        <v>1575000</v>
      </c>
      <c r="F133" t="s">
        <v>35</v>
      </c>
      <c r="G133" s="56">
        <v>1575000</v>
      </c>
    </row>
    <row r="134" spans="3:7" x14ac:dyDescent="0.2">
      <c r="C134" s="123" t="s">
        <v>37</v>
      </c>
      <c r="D134" s="60">
        <v>1291667</v>
      </c>
      <c r="F134" t="s">
        <v>37</v>
      </c>
      <c r="G134" s="56">
        <v>1291667</v>
      </c>
    </row>
    <row r="135" spans="3:7" x14ac:dyDescent="0.2">
      <c r="C135" s="123" t="s">
        <v>400</v>
      </c>
      <c r="D135" s="60">
        <v>1756666</v>
      </c>
      <c r="F135" t="s">
        <v>400</v>
      </c>
      <c r="G135" s="56">
        <v>1756666</v>
      </c>
    </row>
    <row r="136" spans="3:7" x14ac:dyDescent="0.2">
      <c r="C136" s="123" t="s">
        <v>522</v>
      </c>
      <c r="D136" s="60">
        <v>3275000</v>
      </c>
      <c r="F136" t="s">
        <v>522</v>
      </c>
      <c r="G136" s="56">
        <v>3275000</v>
      </c>
    </row>
    <row r="137" spans="3:7" x14ac:dyDescent="0.2">
      <c r="C137" s="123" t="s">
        <v>586</v>
      </c>
      <c r="D137" s="60">
        <v>767000</v>
      </c>
      <c r="F137" t="s">
        <v>586</v>
      </c>
      <c r="G137" s="56">
        <v>767000</v>
      </c>
    </row>
    <row r="138" spans="3:7" x14ac:dyDescent="0.2">
      <c r="C138" s="123" t="s">
        <v>467</v>
      </c>
      <c r="D138" s="60">
        <v>1603333</v>
      </c>
      <c r="F138" t="s">
        <v>467</v>
      </c>
      <c r="G138" s="56">
        <v>1603333</v>
      </c>
    </row>
    <row r="139" spans="3:7" x14ac:dyDescent="0.2">
      <c r="C139" s="123" t="s">
        <v>491</v>
      </c>
      <c r="D139" s="60">
        <v>1020000</v>
      </c>
      <c r="F139" t="s">
        <v>491</v>
      </c>
      <c r="G139" s="56">
        <v>1020000</v>
      </c>
    </row>
    <row r="140" spans="3:7" x14ac:dyDescent="0.2">
      <c r="C140" s="123" t="s">
        <v>194</v>
      </c>
      <c r="D140" s="60">
        <v>5920000</v>
      </c>
      <c r="F140" t="s">
        <v>194</v>
      </c>
      <c r="G140" s="56">
        <v>5920000</v>
      </c>
    </row>
    <row r="141" spans="3:7" x14ac:dyDescent="0.2">
      <c r="C141" s="123" t="s">
        <v>370</v>
      </c>
      <c r="D141" s="60">
        <v>1866667</v>
      </c>
      <c r="F141" t="s">
        <v>370</v>
      </c>
      <c r="G141" s="56">
        <v>1866667</v>
      </c>
    </row>
    <row r="142" spans="3:7" x14ac:dyDescent="0.2">
      <c r="C142" s="123" t="s">
        <v>563</v>
      </c>
      <c r="D142" s="60">
        <v>208000</v>
      </c>
      <c r="F142" t="s">
        <v>563</v>
      </c>
      <c r="G142" s="56">
        <v>208000</v>
      </c>
    </row>
    <row r="143" spans="3:7" x14ac:dyDescent="0.2">
      <c r="C143" s="123" t="s">
        <v>53</v>
      </c>
      <c r="D143" s="60">
        <v>775000</v>
      </c>
      <c r="F143" t="s">
        <v>53</v>
      </c>
      <c r="G143" s="56">
        <v>775000</v>
      </c>
    </row>
    <row r="144" spans="3:7" x14ac:dyDescent="0.2">
      <c r="C144" s="123" t="s">
        <v>307</v>
      </c>
      <c r="D144" s="60">
        <v>746667</v>
      </c>
      <c r="F144" t="s">
        <v>307</v>
      </c>
      <c r="G144" s="56">
        <v>746667</v>
      </c>
    </row>
    <row r="145" spans="3:7" x14ac:dyDescent="0.2">
      <c r="C145" s="123" t="s">
        <v>198</v>
      </c>
      <c r="D145" s="60">
        <v>6424608</v>
      </c>
      <c r="F145" t="s">
        <v>198</v>
      </c>
      <c r="G145" s="56">
        <v>6424608</v>
      </c>
    </row>
    <row r="146" spans="3:7" x14ac:dyDescent="0.2">
      <c r="C146" s="123" t="s">
        <v>65</v>
      </c>
      <c r="D146" s="60">
        <v>2325000</v>
      </c>
      <c r="F146" t="s">
        <v>65</v>
      </c>
      <c r="G146" s="56">
        <v>2325000</v>
      </c>
    </row>
    <row r="147" spans="3:7" x14ac:dyDescent="0.2">
      <c r="C147" s="123" t="s">
        <v>200</v>
      </c>
      <c r="D147" s="60">
        <v>1650000</v>
      </c>
      <c r="F147" t="s">
        <v>200</v>
      </c>
      <c r="G147" s="56">
        <v>1650000</v>
      </c>
    </row>
    <row r="148" spans="3:7" x14ac:dyDescent="0.2">
      <c r="C148" s="123" t="s">
        <v>439</v>
      </c>
      <c r="D148" s="60">
        <v>660000</v>
      </c>
      <c r="F148" t="s">
        <v>439</v>
      </c>
      <c r="G148" s="56">
        <v>660000</v>
      </c>
    </row>
    <row r="149" spans="3:7" x14ac:dyDescent="0.2">
      <c r="C149" s="123" t="s">
        <v>534</v>
      </c>
      <c r="D149" s="60">
        <v>1030000</v>
      </c>
      <c r="F149" t="s">
        <v>534</v>
      </c>
      <c r="G149" s="56">
        <v>1030000</v>
      </c>
    </row>
    <row r="150" spans="3:7" x14ac:dyDescent="0.2">
      <c r="C150" s="123" t="s">
        <v>450</v>
      </c>
      <c r="D150" s="60">
        <v>405000</v>
      </c>
      <c r="F150" t="s">
        <v>450</v>
      </c>
      <c r="G150" s="56">
        <v>405000</v>
      </c>
    </row>
    <row r="151" spans="3:7" x14ac:dyDescent="0.2">
      <c r="C151" s="123" t="s">
        <v>182</v>
      </c>
      <c r="D151" s="60">
        <v>3125000</v>
      </c>
      <c r="F151" t="s">
        <v>182</v>
      </c>
      <c r="G151" s="56">
        <v>3125000</v>
      </c>
    </row>
    <row r="152" spans="3:7" x14ac:dyDescent="0.2">
      <c r="C152" s="123" t="s">
        <v>175</v>
      </c>
      <c r="D152" s="60">
        <v>2708333</v>
      </c>
      <c r="F152" t="s">
        <v>175</v>
      </c>
      <c r="G152" s="56">
        <v>2708333</v>
      </c>
    </row>
    <row r="153" spans="3:7" x14ac:dyDescent="0.2">
      <c r="C153" s="123" t="s">
        <v>533</v>
      </c>
      <c r="D153" s="60">
        <v>1866667</v>
      </c>
      <c r="F153" t="s">
        <v>533</v>
      </c>
      <c r="G153" s="56">
        <v>1866667</v>
      </c>
    </row>
    <row r="154" spans="3:7" x14ac:dyDescent="0.2">
      <c r="C154" s="123" t="s">
        <v>202</v>
      </c>
      <c r="D154" s="60">
        <v>1033333</v>
      </c>
      <c r="F154" t="s">
        <v>202</v>
      </c>
      <c r="G154" s="56">
        <v>1033333</v>
      </c>
    </row>
    <row r="155" spans="3:7" x14ac:dyDescent="0.2">
      <c r="C155" s="123" t="s">
        <v>300</v>
      </c>
      <c r="D155" s="60">
        <v>600000</v>
      </c>
      <c r="F155" t="s">
        <v>300</v>
      </c>
      <c r="G155" s="56">
        <v>600000</v>
      </c>
    </row>
    <row r="156" spans="3:7" x14ac:dyDescent="0.2">
      <c r="C156" s="123" t="s">
        <v>71</v>
      </c>
      <c r="D156" s="60">
        <v>232500</v>
      </c>
      <c r="F156" t="s">
        <v>71</v>
      </c>
      <c r="G156" s="56">
        <v>232500</v>
      </c>
    </row>
    <row r="157" spans="3:7" x14ac:dyDescent="0.2">
      <c r="C157" s="123" t="s">
        <v>79</v>
      </c>
      <c r="D157" s="60">
        <v>4125000</v>
      </c>
      <c r="F157" t="s">
        <v>79</v>
      </c>
      <c r="G157" s="56">
        <v>4125000</v>
      </c>
    </row>
    <row r="158" spans="3:7" x14ac:dyDescent="0.2">
      <c r="C158" s="123" t="s">
        <v>81</v>
      </c>
      <c r="D158" s="60">
        <v>2708333</v>
      </c>
      <c r="F158" t="s">
        <v>81</v>
      </c>
      <c r="G158" s="56">
        <v>2708333</v>
      </c>
    </row>
    <row r="159" spans="3:7" x14ac:dyDescent="0.2">
      <c r="C159" s="123" t="s">
        <v>364</v>
      </c>
      <c r="D159" s="60">
        <v>981667</v>
      </c>
      <c r="F159" t="s">
        <v>364</v>
      </c>
      <c r="G159" s="56">
        <v>981667</v>
      </c>
    </row>
    <row r="160" spans="3:7" x14ac:dyDescent="0.2">
      <c r="C160" s="123" t="s">
        <v>204</v>
      </c>
      <c r="D160" s="60">
        <v>1858333</v>
      </c>
      <c r="F160" t="s">
        <v>204</v>
      </c>
      <c r="G160" s="56">
        <v>1858333</v>
      </c>
    </row>
    <row r="161" spans="3:7" x14ac:dyDescent="0.2">
      <c r="C161" s="123" t="s">
        <v>497</v>
      </c>
      <c r="D161" s="60">
        <v>550000</v>
      </c>
      <c r="F161" t="s">
        <v>497</v>
      </c>
      <c r="G161" s="56">
        <v>550000</v>
      </c>
    </row>
    <row r="162" spans="3:7" x14ac:dyDescent="0.2">
      <c r="C162" s="123" t="s">
        <v>85</v>
      </c>
      <c r="D162" s="60">
        <v>3173333</v>
      </c>
      <c r="F162" t="s">
        <v>85</v>
      </c>
      <c r="G162" s="56">
        <v>3173333</v>
      </c>
    </row>
    <row r="163" spans="3:7" x14ac:dyDescent="0.2">
      <c r="C163" s="123" t="s">
        <v>206</v>
      </c>
      <c r="D163" s="60">
        <v>4481667</v>
      </c>
      <c r="F163" t="s">
        <v>206</v>
      </c>
      <c r="G163" s="56">
        <v>4481667</v>
      </c>
    </row>
    <row r="164" spans="3:7" x14ac:dyDescent="0.2">
      <c r="C164" s="123" t="s">
        <v>499</v>
      </c>
      <c r="D164" s="60">
        <v>540000</v>
      </c>
      <c r="F164" t="s">
        <v>499</v>
      </c>
      <c r="G164" s="56">
        <v>540000</v>
      </c>
    </row>
    <row r="165" spans="3:7" x14ac:dyDescent="0.2">
      <c r="C165" s="123" t="s">
        <v>214</v>
      </c>
      <c r="D165" s="60">
        <v>1348333</v>
      </c>
      <c r="F165" t="s">
        <v>214</v>
      </c>
      <c r="G165" s="56">
        <v>1348333</v>
      </c>
    </row>
    <row r="166" spans="3:7" x14ac:dyDescent="0.2">
      <c r="C166" s="123" t="s">
        <v>323</v>
      </c>
      <c r="D166" s="60">
        <v>550000</v>
      </c>
      <c r="F166" t="s">
        <v>323</v>
      </c>
      <c r="G166" s="56">
        <v>550000</v>
      </c>
    </row>
    <row r="167" spans="3:7" x14ac:dyDescent="0.2">
      <c r="C167" s="123" t="s">
        <v>94</v>
      </c>
      <c r="D167" s="60">
        <v>1839445</v>
      </c>
      <c r="F167" t="s">
        <v>94</v>
      </c>
      <c r="G167" s="56">
        <v>1839445</v>
      </c>
    </row>
    <row r="168" spans="3:7" x14ac:dyDescent="0.2">
      <c r="C168" s="123" t="s">
        <v>96</v>
      </c>
      <c r="D168" s="60">
        <v>2708333</v>
      </c>
      <c r="F168" t="s">
        <v>96</v>
      </c>
      <c r="G168" s="56">
        <v>2708333</v>
      </c>
    </row>
    <row r="169" spans="3:7" x14ac:dyDescent="0.2">
      <c r="C169" s="123" t="s">
        <v>304</v>
      </c>
      <c r="D169" s="60">
        <v>1650000</v>
      </c>
      <c r="F169" t="s">
        <v>304</v>
      </c>
      <c r="G169" s="56">
        <v>1650000</v>
      </c>
    </row>
    <row r="170" spans="3:7" x14ac:dyDescent="0.2">
      <c r="C170" s="123" t="s">
        <v>481</v>
      </c>
      <c r="D170" s="60">
        <v>3955000</v>
      </c>
      <c r="F170" t="s">
        <v>481</v>
      </c>
      <c r="G170" s="56">
        <v>3955000</v>
      </c>
    </row>
    <row r="171" spans="3:7" x14ac:dyDescent="0.2">
      <c r="C171" s="123" t="s">
        <v>480</v>
      </c>
      <c r="D171" s="60">
        <v>2325000</v>
      </c>
      <c r="F171" t="s">
        <v>480</v>
      </c>
      <c r="G171" s="56">
        <v>2325000</v>
      </c>
    </row>
    <row r="172" spans="3:7" x14ac:dyDescent="0.2">
      <c r="C172" s="123" t="s">
        <v>362</v>
      </c>
      <c r="D172" s="60">
        <v>2475000</v>
      </c>
      <c r="F172" t="s">
        <v>362</v>
      </c>
      <c r="G172" s="56">
        <v>2475000</v>
      </c>
    </row>
    <row r="173" spans="3:7" x14ac:dyDescent="0.2">
      <c r="C173" s="123" t="s">
        <v>225</v>
      </c>
      <c r="D173" s="60">
        <v>440000</v>
      </c>
      <c r="F173" t="s">
        <v>225</v>
      </c>
      <c r="G173" s="56">
        <v>440000</v>
      </c>
    </row>
    <row r="174" spans="3:7" x14ac:dyDescent="0.2">
      <c r="C174" s="123" t="s">
        <v>483</v>
      </c>
      <c r="D174" s="60">
        <v>3275000</v>
      </c>
      <c r="F174" t="s">
        <v>483</v>
      </c>
      <c r="G174" s="56">
        <v>3275000</v>
      </c>
    </row>
    <row r="175" spans="3:7" x14ac:dyDescent="0.2">
      <c r="C175" s="123" t="s">
        <v>176</v>
      </c>
      <c r="D175" s="60">
        <v>1085000</v>
      </c>
      <c r="F175" t="s">
        <v>176</v>
      </c>
      <c r="G175" s="56">
        <v>1085000</v>
      </c>
    </row>
    <row r="176" spans="3:7" x14ac:dyDescent="0.2">
      <c r="C176" s="123" t="s">
        <v>103</v>
      </c>
      <c r="D176" s="60">
        <v>2120000</v>
      </c>
      <c r="F176" t="s">
        <v>103</v>
      </c>
      <c r="G176" s="56">
        <v>2120000</v>
      </c>
    </row>
    <row r="177" spans="3:7" x14ac:dyDescent="0.2">
      <c r="C177" s="123" t="s">
        <v>368</v>
      </c>
      <c r="D177" s="60">
        <v>530000</v>
      </c>
      <c r="F177" t="s">
        <v>368</v>
      </c>
      <c r="G177" s="56">
        <v>530000</v>
      </c>
    </row>
    <row r="178" spans="3:7" x14ac:dyDescent="0.2">
      <c r="C178" s="123" t="s">
        <v>317</v>
      </c>
      <c r="D178" s="60">
        <v>550000</v>
      </c>
      <c r="F178" t="s">
        <v>317</v>
      </c>
      <c r="G178" s="56">
        <v>550000</v>
      </c>
    </row>
    <row r="179" spans="3:7" x14ac:dyDescent="0.2">
      <c r="C179" s="123" t="s">
        <v>107</v>
      </c>
      <c r="D179" s="60">
        <v>4791667</v>
      </c>
      <c r="F179" t="s">
        <v>107</v>
      </c>
      <c r="G179" s="56">
        <v>4791667</v>
      </c>
    </row>
    <row r="180" spans="3:7" x14ac:dyDescent="0.2">
      <c r="C180" s="123" t="s">
        <v>188</v>
      </c>
      <c r="D180" s="60">
        <v>1033333</v>
      </c>
      <c r="F180" t="s">
        <v>188</v>
      </c>
      <c r="G180" s="56">
        <v>1033333</v>
      </c>
    </row>
    <row r="181" spans="3:7" x14ac:dyDescent="0.2">
      <c r="C181" s="123" t="s">
        <v>316</v>
      </c>
      <c r="D181" s="60">
        <v>1866667</v>
      </c>
      <c r="F181" t="s">
        <v>316</v>
      </c>
      <c r="G181" s="56">
        <v>1866667</v>
      </c>
    </row>
    <row r="182" spans="3:7" x14ac:dyDescent="0.2">
      <c r="C182" s="123" t="s">
        <v>335</v>
      </c>
      <c r="D182" s="60">
        <v>3958333</v>
      </c>
      <c r="F182" t="s">
        <v>335</v>
      </c>
      <c r="G182" s="56">
        <v>3958333</v>
      </c>
    </row>
    <row r="183" spans="3:7" x14ac:dyDescent="0.2">
      <c r="C183" s="123" t="s">
        <v>233</v>
      </c>
      <c r="D183" s="60">
        <v>383333</v>
      </c>
      <c r="F183" t="s">
        <v>233</v>
      </c>
      <c r="G183" s="56">
        <v>383333</v>
      </c>
    </row>
    <row r="184" spans="3:7" x14ac:dyDescent="0.2">
      <c r="C184" s="123" t="s">
        <v>235</v>
      </c>
      <c r="D184" s="60">
        <v>2333333</v>
      </c>
      <c r="F184" t="s">
        <v>235</v>
      </c>
      <c r="G184" s="56">
        <v>2333333</v>
      </c>
    </row>
    <row r="185" spans="3:7" x14ac:dyDescent="0.2">
      <c r="C185" s="123" t="s">
        <v>239</v>
      </c>
      <c r="D185" s="60">
        <v>2708333</v>
      </c>
      <c r="F185" t="s">
        <v>239</v>
      </c>
      <c r="G185" s="56">
        <v>2708333</v>
      </c>
    </row>
    <row r="186" spans="3:7" x14ac:dyDescent="0.2">
      <c r="C186" s="123" t="s">
        <v>421</v>
      </c>
      <c r="D186" s="60">
        <v>165000</v>
      </c>
      <c r="F186" t="s">
        <v>421</v>
      </c>
      <c r="G186" s="56">
        <v>165000</v>
      </c>
    </row>
    <row r="187" spans="3:7" x14ac:dyDescent="0.2">
      <c r="C187" s="123" t="s">
        <v>113</v>
      </c>
      <c r="D187" s="60">
        <v>2770000</v>
      </c>
      <c r="F187" t="s">
        <v>113</v>
      </c>
      <c r="G187" s="56">
        <v>2770000</v>
      </c>
    </row>
    <row r="188" spans="3:7" x14ac:dyDescent="0.2">
      <c r="C188" s="123" t="s">
        <v>241</v>
      </c>
      <c r="D188" s="60">
        <v>2708333</v>
      </c>
      <c r="F188" t="s">
        <v>241</v>
      </c>
      <c r="G188" s="56">
        <v>2708333</v>
      </c>
    </row>
    <row r="189" spans="3:7" x14ac:dyDescent="0.2">
      <c r="C189" s="123" t="s">
        <v>519</v>
      </c>
      <c r="D189" s="60">
        <v>653333</v>
      </c>
      <c r="F189" t="s">
        <v>519</v>
      </c>
      <c r="G189" s="56">
        <v>653333</v>
      </c>
    </row>
    <row r="190" spans="3:7" x14ac:dyDescent="0.2">
      <c r="C190" s="123" t="s">
        <v>115</v>
      </c>
      <c r="D190" s="60">
        <v>1400000</v>
      </c>
      <c r="F190" t="s">
        <v>115</v>
      </c>
      <c r="G190" s="56">
        <v>1400000</v>
      </c>
    </row>
    <row r="191" spans="3:7" x14ac:dyDescent="0.2">
      <c r="C191" s="123" t="s">
        <v>243</v>
      </c>
      <c r="D191" s="60">
        <v>4408333</v>
      </c>
      <c r="F191" t="s">
        <v>243</v>
      </c>
      <c r="G191" s="56">
        <v>4408333</v>
      </c>
    </row>
    <row r="192" spans="3:7" x14ac:dyDescent="0.2">
      <c r="C192" s="123" t="s">
        <v>492</v>
      </c>
      <c r="D192" s="60">
        <v>1413333</v>
      </c>
      <c r="F192" t="s">
        <v>492</v>
      </c>
      <c r="G192" s="56">
        <v>1413333</v>
      </c>
    </row>
    <row r="193" spans="3:7" x14ac:dyDescent="0.2">
      <c r="C193" s="123" t="s">
        <v>308</v>
      </c>
      <c r="D193" s="60">
        <v>1100000</v>
      </c>
      <c r="F193" t="s">
        <v>308</v>
      </c>
      <c r="G193" s="56">
        <v>1100000</v>
      </c>
    </row>
    <row r="194" spans="3:7" x14ac:dyDescent="0.2">
      <c r="C194" s="123" t="s">
        <v>245</v>
      </c>
      <c r="D194" s="60">
        <v>3826111</v>
      </c>
      <c r="F194" t="s">
        <v>245</v>
      </c>
      <c r="G194" s="56">
        <v>3826111</v>
      </c>
    </row>
    <row r="195" spans="3:7" x14ac:dyDescent="0.2">
      <c r="C195" s="123" t="s">
        <v>526</v>
      </c>
      <c r="D195" s="60">
        <v>901000</v>
      </c>
      <c r="F195" t="s">
        <v>526</v>
      </c>
      <c r="G195" s="56">
        <v>901000</v>
      </c>
    </row>
    <row r="196" spans="3:7" x14ac:dyDescent="0.2">
      <c r="C196" s="123" t="s">
        <v>341</v>
      </c>
      <c r="D196" s="60">
        <v>2325000</v>
      </c>
      <c r="F196" t="s">
        <v>341</v>
      </c>
      <c r="G196" s="56">
        <v>2325000</v>
      </c>
    </row>
    <row r="197" spans="3:7" x14ac:dyDescent="0.2">
      <c r="C197" s="123" t="s">
        <v>495</v>
      </c>
      <c r="D197" s="60">
        <v>1100000</v>
      </c>
      <c r="F197" t="s">
        <v>495</v>
      </c>
      <c r="G197" s="56">
        <v>1100000</v>
      </c>
    </row>
    <row r="198" spans="3:7" x14ac:dyDescent="0.2">
      <c r="C198" s="123" t="s">
        <v>177</v>
      </c>
      <c r="D198" s="60">
        <v>3161667</v>
      </c>
      <c r="F198" t="s">
        <v>177</v>
      </c>
      <c r="G198" s="56">
        <v>3161667</v>
      </c>
    </row>
    <row r="199" spans="3:7" x14ac:dyDescent="0.2">
      <c r="C199" s="123" t="s">
        <v>248</v>
      </c>
      <c r="D199" s="60">
        <v>3841667</v>
      </c>
      <c r="F199" t="s">
        <v>248</v>
      </c>
      <c r="G199" s="56">
        <v>3841667</v>
      </c>
    </row>
    <row r="200" spans="3:7" x14ac:dyDescent="0.2">
      <c r="C200" s="123" t="s">
        <v>278</v>
      </c>
      <c r="D200" s="60">
        <v>1650000</v>
      </c>
      <c r="F200" t="s">
        <v>278</v>
      </c>
      <c r="G200" s="56">
        <v>1650000</v>
      </c>
    </row>
    <row r="201" spans="3:7" x14ac:dyDescent="0.2">
      <c r="C201" s="123" t="s">
        <v>252</v>
      </c>
      <c r="D201" s="60">
        <v>3841667</v>
      </c>
      <c r="F201" t="s">
        <v>252</v>
      </c>
      <c r="G201" s="56">
        <v>3841667</v>
      </c>
    </row>
    <row r="202" spans="3:7" x14ac:dyDescent="0.2">
      <c r="C202" s="123" t="s">
        <v>157</v>
      </c>
      <c r="D202" s="60">
        <v>1916667</v>
      </c>
      <c r="F202" t="s">
        <v>157</v>
      </c>
      <c r="G202" s="56">
        <v>1916667</v>
      </c>
    </row>
    <row r="203" spans="3:7" x14ac:dyDescent="0.2">
      <c r="C203" s="123" t="s">
        <v>129</v>
      </c>
      <c r="D203" s="60">
        <v>3105000</v>
      </c>
      <c r="F203" t="s">
        <v>129</v>
      </c>
      <c r="G203" s="56">
        <v>3105000</v>
      </c>
    </row>
    <row r="204" spans="3:7" x14ac:dyDescent="0.2">
      <c r="C204" s="123" t="s">
        <v>311</v>
      </c>
      <c r="D204" s="60">
        <v>945000</v>
      </c>
      <c r="F204" t="s">
        <v>311</v>
      </c>
      <c r="G204" s="56">
        <v>945000</v>
      </c>
    </row>
    <row r="205" spans="3:7" x14ac:dyDescent="0.2">
      <c r="C205" s="123" t="s">
        <v>135</v>
      </c>
      <c r="D205" s="60">
        <v>3808333</v>
      </c>
      <c r="F205" t="s">
        <v>135</v>
      </c>
      <c r="G205" s="56">
        <v>3808333</v>
      </c>
    </row>
    <row r="206" spans="3:7" x14ac:dyDescent="0.2">
      <c r="C206" s="123" t="s">
        <v>258</v>
      </c>
      <c r="D206" s="60">
        <v>2333334</v>
      </c>
      <c r="F206" t="s">
        <v>258</v>
      </c>
      <c r="G206" s="56">
        <v>2333334</v>
      </c>
    </row>
    <row r="207" spans="3:7" x14ac:dyDescent="0.2">
      <c r="C207" s="123" t="s">
        <v>310</v>
      </c>
      <c r="D207" s="60">
        <v>280000</v>
      </c>
      <c r="F207" t="s">
        <v>310</v>
      </c>
      <c r="G207" s="56">
        <v>280000</v>
      </c>
    </row>
    <row r="208" spans="3:7" x14ac:dyDescent="0.2">
      <c r="C208" s="123" t="s">
        <v>521</v>
      </c>
      <c r="D208" s="60">
        <v>3558333</v>
      </c>
      <c r="F208" t="s">
        <v>521</v>
      </c>
      <c r="G208" s="56">
        <v>3558333</v>
      </c>
    </row>
    <row r="209" spans="3:7" x14ac:dyDescent="0.2">
      <c r="C209" s="123" t="s">
        <v>358</v>
      </c>
      <c r="D209" s="60">
        <v>1650000</v>
      </c>
      <c r="F209" t="s">
        <v>358</v>
      </c>
      <c r="G209" s="56">
        <v>1650000</v>
      </c>
    </row>
    <row r="210" spans="3:7" x14ac:dyDescent="0.2">
      <c r="C210" s="123" t="s">
        <v>270</v>
      </c>
      <c r="D210" s="60">
        <v>653333</v>
      </c>
      <c r="F210" t="s">
        <v>270</v>
      </c>
      <c r="G210" s="56">
        <v>653333</v>
      </c>
    </row>
    <row r="211" spans="3:7" x14ac:dyDescent="0.2">
      <c r="C211" s="123" t="s">
        <v>274</v>
      </c>
      <c r="D211" s="60">
        <v>1825000</v>
      </c>
      <c r="F211" t="s">
        <v>274</v>
      </c>
      <c r="G211" s="56">
        <v>1825000</v>
      </c>
    </row>
    <row r="212" spans="3:7" x14ac:dyDescent="0.2">
      <c r="C212" s="123" t="s">
        <v>442</v>
      </c>
      <c r="D212" s="60">
        <v>1400000</v>
      </c>
      <c r="F212" t="s">
        <v>442</v>
      </c>
      <c r="G212" s="56">
        <v>1400000</v>
      </c>
    </row>
    <row r="213" spans="3:7" x14ac:dyDescent="0.2">
      <c r="C213" s="123" t="s">
        <v>276</v>
      </c>
      <c r="D213" s="60">
        <v>1341667</v>
      </c>
      <c r="F213" t="s">
        <v>276</v>
      </c>
      <c r="G213" s="56">
        <v>1341667</v>
      </c>
    </row>
    <row r="214" spans="3:7" x14ac:dyDescent="0.2">
      <c r="C214" s="123" t="s">
        <v>277</v>
      </c>
      <c r="D214" s="60">
        <v>1291667</v>
      </c>
      <c r="F214" t="s">
        <v>277</v>
      </c>
      <c r="G214" s="56">
        <v>1291667</v>
      </c>
    </row>
    <row r="215" spans="3:7" x14ac:dyDescent="0.2">
      <c r="C215" s="123" t="s">
        <v>147</v>
      </c>
      <c r="D215" s="60">
        <v>2425000</v>
      </c>
      <c r="F215" t="s">
        <v>147</v>
      </c>
      <c r="G215" s="56">
        <v>2425000</v>
      </c>
    </row>
    <row r="216" spans="3:7" x14ac:dyDescent="0.2">
      <c r="C216" s="123" t="s">
        <v>324</v>
      </c>
      <c r="D216" s="60">
        <v>1801667</v>
      </c>
      <c r="F216" t="s">
        <v>324</v>
      </c>
      <c r="G216" s="56">
        <v>1801667</v>
      </c>
    </row>
    <row r="217" spans="3:7" x14ac:dyDescent="0.2">
      <c r="C217" s="123" t="s">
        <v>151</v>
      </c>
      <c r="D217" s="60">
        <v>3316667</v>
      </c>
      <c r="F217" t="s">
        <v>151</v>
      </c>
      <c r="G217" s="56">
        <v>3316667</v>
      </c>
    </row>
    <row r="218" spans="3:7" x14ac:dyDescent="0.2">
      <c r="C218" s="123" t="s">
        <v>539</v>
      </c>
      <c r="D218" s="60">
        <v>220000</v>
      </c>
      <c r="F218" t="s">
        <v>539</v>
      </c>
      <c r="G218" s="56">
        <v>220000</v>
      </c>
    </row>
    <row r="219" spans="3:7" x14ac:dyDescent="0.2">
      <c r="C219" s="123" t="s">
        <v>153</v>
      </c>
      <c r="D219" s="60">
        <v>1348333</v>
      </c>
      <c r="F219" t="s">
        <v>153</v>
      </c>
      <c r="G219" s="56">
        <v>1348333</v>
      </c>
    </row>
    <row r="220" spans="3:7" x14ac:dyDescent="0.2">
      <c r="C220" s="123" t="s">
        <v>326</v>
      </c>
      <c r="D220" s="60">
        <v>671667</v>
      </c>
      <c r="F220" t="s">
        <v>326</v>
      </c>
      <c r="G220" s="56">
        <v>671667</v>
      </c>
    </row>
    <row r="221" spans="3:7" x14ac:dyDescent="0.2">
      <c r="C221" s="123" t="s">
        <v>172</v>
      </c>
      <c r="D221" s="60">
        <v>2708333</v>
      </c>
      <c r="F221" t="s">
        <v>172</v>
      </c>
      <c r="G221" s="56">
        <v>2708333</v>
      </c>
    </row>
    <row r="222" spans="3:7" x14ac:dyDescent="0.2">
      <c r="C222" s="123" t="s">
        <v>448</v>
      </c>
      <c r="D222" s="60">
        <v>540000</v>
      </c>
      <c r="F222" t="s">
        <v>448</v>
      </c>
      <c r="G222" s="56">
        <v>540000</v>
      </c>
    </row>
    <row r="223" spans="3:7" x14ac:dyDescent="0.2">
      <c r="C223" s="123" t="s">
        <v>155</v>
      </c>
      <c r="D223" s="60">
        <v>1303846</v>
      </c>
      <c r="F223" t="s">
        <v>155</v>
      </c>
      <c r="G223" s="56">
        <v>1303846</v>
      </c>
    </row>
    <row r="224" spans="3:7" x14ac:dyDescent="0.2">
      <c r="C224" s="123" t="s">
        <v>476</v>
      </c>
      <c r="D224" s="60">
        <v>190907911</v>
      </c>
      <c r="F224" t="s">
        <v>476</v>
      </c>
      <c r="G224" s="56">
        <v>190907911</v>
      </c>
    </row>
  </sheetData>
  <conditionalFormatting sqref="C2:C115">
    <cfRule type="duplicateValues" dxfId="1" priority="1"/>
    <cfRule type="top10" dxfId="0" priority="2" rank="10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Anggota</vt:lpstr>
      <vt:lpstr>Pivo Simpanan</vt:lpstr>
      <vt:lpstr>Detail Simpanan</vt:lpstr>
      <vt:lpstr>Pivo Pinjaman</vt:lpstr>
      <vt:lpstr>Detail Pinjaman</vt:lpstr>
      <vt:lpstr>Data Base Pinjaman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cahyo</dc:creator>
  <cp:lastModifiedBy>abdul cahyo</cp:lastModifiedBy>
  <cp:lastPrinted>2026-09-01T04:35:08Z</cp:lastPrinted>
  <dcterms:created xsi:type="dcterms:W3CDTF">2025-06-26T08:02:07Z</dcterms:created>
  <dcterms:modified xsi:type="dcterms:W3CDTF">2026-09-03T04:50:21Z</dcterms:modified>
</cp:coreProperties>
</file>