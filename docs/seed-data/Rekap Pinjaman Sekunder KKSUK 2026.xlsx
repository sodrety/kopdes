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d42cac66f58306/01. Koprasi Dharma Jaya/2026/Faisal/"/>
    </mc:Choice>
  </mc:AlternateContent>
  <xr:revisionPtr revIDLastSave="219" documentId="13_ncr:1_{0C195F6D-32AB-47E7-AF7B-097D0A526688}" xr6:coauthVersionLast="47" xr6:coauthVersionMax="47" xr10:uidLastSave="{30058453-DABA-204F-AF2D-FBFD9F7E36A1}"/>
  <bookViews>
    <workbookView xWindow="0" yWindow="660" windowWidth="29400" windowHeight="16900" tabRatio="740" activeTab="4" xr2:uid="{FF01A873-D178-4949-8DC6-1E5E79801D32}"/>
  </bookViews>
  <sheets>
    <sheet name="Pinjaman Barang Sekunder" sheetId="1" r:id="rId1"/>
    <sheet name="Sheet1" sheetId="8" r:id="rId2"/>
    <sheet name="Jaket Touring" sheetId="9" r:id="rId3"/>
    <sheet name="Pinjaman Barang Primer" sheetId="2" r:id="rId4"/>
    <sheet name="Pinjaman Barang Primer Harian" sheetId="7" r:id="rId5"/>
    <sheet name="Pinjaman Daging Event Lebaran" sheetId="3" r:id="rId6"/>
    <sheet name="Voucher Belanja KOKA" sheetId="4" r:id="rId7"/>
    <sheet name="Rekapan Untuk Ikrom" sheetId="5" r:id="rId8"/>
  </sheets>
  <definedNames>
    <definedName name="_xlnm._FilterDatabase" localSheetId="0" hidden="1">'Pinjaman Barang Sekunder'!$A$4:$AA$24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7" l="1"/>
  <c r="E24" i="1"/>
  <c r="F24" i="1" s="1"/>
  <c r="J8" i="7"/>
  <c r="E23" i="1"/>
  <c r="F23" i="1" s="1"/>
  <c r="V26" i="9"/>
  <c r="S26" i="9"/>
  <c r="R26" i="9"/>
  <c r="Q26" i="9"/>
  <c r="P26" i="9"/>
  <c r="N26" i="9"/>
  <c r="M26" i="9"/>
  <c r="L26" i="9"/>
  <c r="K26" i="9"/>
  <c r="X22" i="9"/>
  <c r="Z22" i="9" s="1"/>
  <c r="E22" i="9"/>
  <c r="F22" i="9" s="1"/>
  <c r="X21" i="9"/>
  <c r="E21" i="9"/>
  <c r="F21" i="9" s="1"/>
  <c r="X20" i="9"/>
  <c r="E20" i="9"/>
  <c r="F20" i="9" s="1"/>
  <c r="X19" i="9"/>
  <c r="E19" i="9"/>
  <c r="X18" i="9"/>
  <c r="E18" i="9"/>
  <c r="F18" i="9" s="1"/>
  <c r="X17" i="9"/>
  <c r="F17" i="9"/>
  <c r="X16" i="9"/>
  <c r="F16" i="9"/>
  <c r="X15" i="9"/>
  <c r="E15" i="9"/>
  <c r="F15" i="9" s="1"/>
  <c r="E14" i="9"/>
  <c r="F14" i="9" s="1"/>
  <c r="E13" i="9"/>
  <c r="F13" i="9" s="1"/>
  <c r="E12" i="9"/>
  <c r="F12" i="9" s="1"/>
  <c r="E11" i="9"/>
  <c r="F11" i="9" s="1"/>
  <c r="E10" i="9"/>
  <c r="F10" i="9" s="1"/>
  <c r="E9" i="9"/>
  <c r="F9" i="9" s="1"/>
  <c r="E8" i="9"/>
  <c r="F8" i="9" s="1"/>
  <c r="E7" i="9"/>
  <c r="F7" i="9" s="1"/>
  <c r="E6" i="9"/>
  <c r="F6" i="9" s="1"/>
  <c r="E5" i="9"/>
  <c r="F5" i="9" s="1"/>
  <c r="X22" i="1"/>
  <c r="X21" i="1"/>
  <c r="X20" i="1"/>
  <c r="X19" i="1"/>
  <c r="E22" i="1"/>
  <c r="F22" i="1" s="1"/>
  <c r="I22" i="1" s="1"/>
  <c r="E21" i="1"/>
  <c r="F21" i="1" s="1"/>
  <c r="I21" i="1" s="1"/>
  <c r="E20" i="1"/>
  <c r="F20" i="1" s="1"/>
  <c r="I20" i="1" s="1"/>
  <c r="I8" i="7"/>
  <c r="I15" i="8"/>
  <c r="I14" i="8"/>
  <c r="I8" i="8"/>
  <c r="I9" i="8" s="1"/>
  <c r="I10" i="8" s="1"/>
  <c r="I11" i="8" s="1"/>
  <c r="I12" i="8" s="1"/>
  <c r="I13" i="8" s="1"/>
  <c r="I7" i="8"/>
  <c r="I6" i="8"/>
  <c r="O9" i="1"/>
  <c r="E19" i="1"/>
  <c r="E18" i="1"/>
  <c r="F17" i="1"/>
  <c r="I17" i="1" s="1"/>
  <c r="P162" i="4"/>
  <c r="E162" i="4"/>
  <c r="F162" i="4"/>
  <c r="G162" i="4"/>
  <c r="H162" i="4"/>
  <c r="I162" i="4"/>
  <c r="J162" i="4"/>
  <c r="K162" i="4"/>
  <c r="L162" i="4"/>
  <c r="M162" i="4"/>
  <c r="N162" i="4"/>
  <c r="O162" i="4"/>
  <c r="D162" i="4"/>
  <c r="S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Q34" i="3"/>
  <c r="P158" i="4"/>
  <c r="X14" i="9" l="1"/>
  <c r="Y14" i="9" s="1"/>
  <c r="Z14" i="9" s="1"/>
  <c r="X13" i="9"/>
  <c r="X12" i="9"/>
  <c r="X11" i="9"/>
  <c r="Y11" i="9" s="1"/>
  <c r="Z11" i="9" s="1"/>
  <c r="X10" i="9"/>
  <c r="X8" i="9"/>
  <c r="X7" i="9"/>
  <c r="X6" i="9"/>
  <c r="U26" i="9"/>
  <c r="T26" i="9"/>
  <c r="X5" i="9"/>
  <c r="Y22" i="9"/>
  <c r="Y21" i="9"/>
  <c r="Z21" i="9" s="1"/>
  <c r="Y20" i="9"/>
  <c r="Z20" i="9" s="1"/>
  <c r="Y19" i="9"/>
  <c r="Z19" i="9"/>
  <c r="Y18" i="9"/>
  <c r="Z18" i="9" s="1"/>
  <c r="Y17" i="9"/>
  <c r="Z17" i="9" s="1"/>
  <c r="Y16" i="9"/>
  <c r="Z16" i="9" s="1"/>
  <c r="Y15" i="9"/>
  <c r="Z15" i="9" s="1"/>
  <c r="I14" i="9"/>
  <c r="I13" i="9"/>
  <c r="Y13" i="9"/>
  <c r="Z13" i="9" s="1"/>
  <c r="I12" i="9"/>
  <c r="Y12" i="9"/>
  <c r="Z12" i="9" s="1"/>
  <c r="I11" i="9"/>
  <c r="I10" i="9"/>
  <c r="Y10" i="9"/>
  <c r="Z10" i="9" s="1"/>
  <c r="O26" i="9"/>
  <c r="X9" i="9"/>
  <c r="I9" i="9"/>
  <c r="Y8" i="9"/>
  <c r="Z8" i="9" s="1"/>
  <c r="I8" i="9"/>
  <c r="I7" i="9"/>
  <c r="Y7" i="9"/>
  <c r="Z7" i="9" s="1"/>
  <c r="I6" i="9"/>
  <c r="Y6" i="9"/>
  <c r="Z6" i="9" s="1"/>
  <c r="I5" i="9"/>
  <c r="Y5" i="9"/>
  <c r="Z5" i="9" s="1"/>
  <c r="Z22" i="1"/>
  <c r="Y22" i="1"/>
  <c r="Y21" i="1"/>
  <c r="Z21" i="1" s="1"/>
  <c r="Y20" i="1"/>
  <c r="Z20" i="1" s="1"/>
  <c r="Z19" i="1"/>
  <c r="Y19" i="1"/>
  <c r="F18" i="1"/>
  <c r="I18" i="1" s="1"/>
  <c r="J134" i="5"/>
  <c r="J133" i="5"/>
  <c r="J111" i="5"/>
  <c r="K118" i="5"/>
  <c r="L118" i="5"/>
  <c r="M118" i="5"/>
  <c r="N118" i="5"/>
  <c r="O118" i="5"/>
  <c r="P118" i="5"/>
  <c r="Q118" i="5"/>
  <c r="R118" i="5"/>
  <c r="J118" i="5"/>
  <c r="P34" i="3"/>
  <c r="Y9" i="9" l="1"/>
  <c r="X26" i="9"/>
  <c r="K122" i="5"/>
  <c r="E15" i="1"/>
  <c r="F15" i="1" s="1"/>
  <c r="I15" i="1" s="1"/>
  <c r="F16" i="1"/>
  <c r="I16" i="1" s="1"/>
  <c r="G6" i="3"/>
  <c r="G7" i="3"/>
  <c r="G8" i="3"/>
  <c r="G9" i="3"/>
  <c r="G10" i="3"/>
  <c r="G11" i="3"/>
  <c r="G12" i="3"/>
  <c r="G13" i="3"/>
  <c r="G14" i="3"/>
  <c r="G15" i="3"/>
  <c r="G5" i="3"/>
  <c r="Z9" i="9" l="1"/>
  <c r="Y26" i="9"/>
  <c r="F6" i="3"/>
  <c r="H6" i="3" s="1"/>
  <c r="K6" i="3" s="1"/>
  <c r="F7" i="3"/>
  <c r="H7" i="3" s="1"/>
  <c r="K7" i="3" s="1"/>
  <c r="F8" i="3"/>
  <c r="H8" i="3" s="1"/>
  <c r="K8" i="3" s="1"/>
  <c r="F9" i="3"/>
  <c r="H9" i="3" s="1"/>
  <c r="K9" i="3" s="1"/>
  <c r="F10" i="3"/>
  <c r="H10" i="3" s="1"/>
  <c r="K10" i="3" s="1"/>
  <c r="F11" i="3"/>
  <c r="H11" i="3" s="1"/>
  <c r="K11" i="3" s="1"/>
  <c r="F12" i="3"/>
  <c r="H12" i="3" s="1"/>
  <c r="K12" i="3" s="1"/>
  <c r="F13" i="3"/>
  <c r="H13" i="3" s="1"/>
  <c r="K13" i="3" s="1"/>
  <c r="F14" i="3"/>
  <c r="H14" i="3" s="1"/>
  <c r="K14" i="3" s="1"/>
  <c r="F15" i="3"/>
  <c r="H15" i="3" s="1"/>
  <c r="K15" i="3" s="1"/>
  <c r="F5" i="3"/>
  <c r="H5" i="3" s="1"/>
  <c r="K5" i="3" s="1"/>
  <c r="K8" i="5" l="1"/>
  <c r="L8" i="5"/>
  <c r="M8" i="5"/>
  <c r="N8" i="5"/>
  <c r="O8" i="5"/>
  <c r="P8" i="5"/>
  <c r="Q8" i="5"/>
  <c r="R8" i="5"/>
  <c r="K9" i="5"/>
  <c r="L9" i="5"/>
  <c r="M9" i="5"/>
  <c r="N9" i="5"/>
  <c r="O9" i="5"/>
  <c r="P9" i="5"/>
  <c r="Q9" i="5"/>
  <c r="R9" i="5"/>
  <c r="K10" i="5"/>
  <c r="L10" i="5"/>
  <c r="M10" i="5"/>
  <c r="N10" i="5"/>
  <c r="O10" i="5"/>
  <c r="P10" i="5"/>
  <c r="Q10" i="5"/>
  <c r="R10" i="5"/>
  <c r="K11" i="5"/>
  <c r="L11" i="5"/>
  <c r="M11" i="5"/>
  <c r="N11" i="5"/>
  <c r="O11" i="5"/>
  <c r="P11" i="5"/>
  <c r="Q11" i="5"/>
  <c r="R11" i="5"/>
  <c r="K12" i="5"/>
  <c r="L12" i="5"/>
  <c r="M12" i="5"/>
  <c r="N12" i="5"/>
  <c r="O12" i="5"/>
  <c r="P12" i="5"/>
  <c r="Q12" i="5"/>
  <c r="R12" i="5"/>
  <c r="K13" i="5"/>
  <c r="L13" i="5"/>
  <c r="M13" i="5"/>
  <c r="N13" i="5"/>
  <c r="O13" i="5"/>
  <c r="P13" i="5"/>
  <c r="Q13" i="5"/>
  <c r="R13" i="5"/>
  <c r="K14" i="5"/>
  <c r="L14" i="5"/>
  <c r="M14" i="5"/>
  <c r="N14" i="5"/>
  <c r="O14" i="5"/>
  <c r="P14" i="5"/>
  <c r="Q14" i="5"/>
  <c r="R14" i="5"/>
  <c r="K15" i="5"/>
  <c r="L15" i="5"/>
  <c r="M15" i="5"/>
  <c r="N15" i="5"/>
  <c r="O15" i="5"/>
  <c r="P15" i="5"/>
  <c r="Q15" i="5"/>
  <c r="R15" i="5"/>
  <c r="K16" i="5"/>
  <c r="L16" i="5"/>
  <c r="M16" i="5"/>
  <c r="N16" i="5"/>
  <c r="O16" i="5"/>
  <c r="P16" i="5"/>
  <c r="Q16" i="5"/>
  <c r="R16" i="5"/>
  <c r="K17" i="5"/>
  <c r="L17" i="5"/>
  <c r="M17" i="5"/>
  <c r="N17" i="5"/>
  <c r="O17" i="5"/>
  <c r="P17" i="5"/>
  <c r="Q17" i="5"/>
  <c r="R17" i="5"/>
  <c r="K18" i="5"/>
  <c r="L18" i="5"/>
  <c r="M18" i="5"/>
  <c r="N18" i="5"/>
  <c r="O18" i="5"/>
  <c r="P18" i="5"/>
  <c r="Q18" i="5"/>
  <c r="R18" i="5"/>
  <c r="K19" i="5"/>
  <c r="L19" i="5"/>
  <c r="M19" i="5"/>
  <c r="N19" i="5"/>
  <c r="O19" i="5"/>
  <c r="P19" i="5"/>
  <c r="Q19" i="5"/>
  <c r="R19" i="5"/>
  <c r="K20" i="5"/>
  <c r="L20" i="5"/>
  <c r="M20" i="5"/>
  <c r="N20" i="5"/>
  <c r="O20" i="5"/>
  <c r="P20" i="5"/>
  <c r="Q20" i="5"/>
  <c r="R20" i="5"/>
  <c r="K21" i="5"/>
  <c r="L21" i="5"/>
  <c r="M21" i="5"/>
  <c r="N21" i="5"/>
  <c r="O21" i="5"/>
  <c r="P21" i="5"/>
  <c r="Q21" i="5"/>
  <c r="R21" i="5"/>
  <c r="K22" i="5"/>
  <c r="L22" i="5"/>
  <c r="M22" i="5"/>
  <c r="N22" i="5"/>
  <c r="O22" i="5"/>
  <c r="P22" i="5"/>
  <c r="Q22" i="5"/>
  <c r="R22" i="5"/>
  <c r="K23" i="5"/>
  <c r="L23" i="5"/>
  <c r="M23" i="5"/>
  <c r="N23" i="5"/>
  <c r="O23" i="5"/>
  <c r="P23" i="5"/>
  <c r="Q23" i="5"/>
  <c r="R23" i="5"/>
  <c r="K24" i="5"/>
  <c r="L24" i="5"/>
  <c r="M24" i="5"/>
  <c r="N24" i="5"/>
  <c r="O24" i="5"/>
  <c r="P24" i="5"/>
  <c r="Q24" i="5"/>
  <c r="R24" i="5"/>
  <c r="K25" i="5"/>
  <c r="L25" i="5"/>
  <c r="M25" i="5"/>
  <c r="N25" i="5"/>
  <c r="O25" i="5"/>
  <c r="P25" i="5"/>
  <c r="Q25" i="5"/>
  <c r="R25" i="5"/>
  <c r="K26" i="5"/>
  <c r="L26" i="5"/>
  <c r="M26" i="5"/>
  <c r="N26" i="5"/>
  <c r="O26" i="5"/>
  <c r="P26" i="5"/>
  <c r="Q26" i="5"/>
  <c r="R26" i="5"/>
  <c r="K27" i="5"/>
  <c r="L27" i="5"/>
  <c r="M27" i="5"/>
  <c r="N27" i="5"/>
  <c r="O27" i="5"/>
  <c r="P27" i="5"/>
  <c r="Q27" i="5"/>
  <c r="R27" i="5"/>
  <c r="K28" i="5"/>
  <c r="L28" i="5"/>
  <c r="M28" i="5"/>
  <c r="N28" i="5"/>
  <c r="O28" i="5"/>
  <c r="P28" i="5"/>
  <c r="Q28" i="5"/>
  <c r="R28" i="5"/>
  <c r="K29" i="5"/>
  <c r="L29" i="5"/>
  <c r="M29" i="5"/>
  <c r="N29" i="5"/>
  <c r="O29" i="5"/>
  <c r="P29" i="5"/>
  <c r="Q29" i="5"/>
  <c r="R29" i="5"/>
  <c r="K30" i="5"/>
  <c r="L30" i="5"/>
  <c r="M30" i="5"/>
  <c r="N30" i="5"/>
  <c r="O30" i="5"/>
  <c r="P30" i="5"/>
  <c r="Q30" i="5"/>
  <c r="R30" i="5"/>
  <c r="K31" i="5"/>
  <c r="L31" i="5"/>
  <c r="M31" i="5"/>
  <c r="N31" i="5"/>
  <c r="O31" i="5"/>
  <c r="P31" i="5"/>
  <c r="Q31" i="5"/>
  <c r="R31" i="5"/>
  <c r="K32" i="5"/>
  <c r="L32" i="5"/>
  <c r="M32" i="5"/>
  <c r="N32" i="5"/>
  <c r="O32" i="5"/>
  <c r="P32" i="5"/>
  <c r="Q32" i="5"/>
  <c r="R32" i="5"/>
  <c r="K33" i="5"/>
  <c r="L33" i="5"/>
  <c r="M33" i="5"/>
  <c r="N33" i="5"/>
  <c r="O33" i="5"/>
  <c r="P33" i="5"/>
  <c r="Q33" i="5"/>
  <c r="R33" i="5"/>
  <c r="K34" i="5"/>
  <c r="L34" i="5"/>
  <c r="M34" i="5"/>
  <c r="N34" i="5"/>
  <c r="O34" i="5"/>
  <c r="P34" i="5"/>
  <c r="Q34" i="5"/>
  <c r="R34" i="5"/>
  <c r="K35" i="5"/>
  <c r="L35" i="5"/>
  <c r="M35" i="5"/>
  <c r="N35" i="5"/>
  <c r="O35" i="5"/>
  <c r="P35" i="5"/>
  <c r="Q35" i="5"/>
  <c r="R35" i="5"/>
  <c r="K36" i="5"/>
  <c r="L36" i="5"/>
  <c r="M36" i="5"/>
  <c r="N36" i="5"/>
  <c r="O36" i="5"/>
  <c r="P36" i="5"/>
  <c r="Q36" i="5"/>
  <c r="R36" i="5"/>
  <c r="K37" i="5"/>
  <c r="L37" i="5"/>
  <c r="M37" i="5"/>
  <c r="N37" i="5"/>
  <c r="O37" i="5"/>
  <c r="P37" i="5"/>
  <c r="Q37" i="5"/>
  <c r="R37" i="5"/>
  <c r="K38" i="5"/>
  <c r="L38" i="5"/>
  <c r="M38" i="5"/>
  <c r="N38" i="5"/>
  <c r="O38" i="5"/>
  <c r="P38" i="5"/>
  <c r="Q38" i="5"/>
  <c r="R38" i="5"/>
  <c r="K39" i="5"/>
  <c r="L39" i="5"/>
  <c r="M39" i="5"/>
  <c r="N39" i="5"/>
  <c r="O39" i="5"/>
  <c r="P39" i="5"/>
  <c r="Q39" i="5"/>
  <c r="R39" i="5"/>
  <c r="K40" i="5"/>
  <c r="L40" i="5"/>
  <c r="M40" i="5"/>
  <c r="N40" i="5"/>
  <c r="O40" i="5"/>
  <c r="P40" i="5"/>
  <c r="Q40" i="5"/>
  <c r="R40" i="5"/>
  <c r="K41" i="5"/>
  <c r="L41" i="5"/>
  <c r="M41" i="5"/>
  <c r="N41" i="5"/>
  <c r="O41" i="5"/>
  <c r="P41" i="5"/>
  <c r="Q41" i="5"/>
  <c r="R41" i="5"/>
  <c r="K42" i="5"/>
  <c r="L42" i="5"/>
  <c r="M42" i="5"/>
  <c r="N42" i="5"/>
  <c r="O42" i="5"/>
  <c r="P42" i="5"/>
  <c r="Q42" i="5"/>
  <c r="R42" i="5"/>
  <c r="K43" i="5"/>
  <c r="L43" i="5"/>
  <c r="M43" i="5"/>
  <c r="N43" i="5"/>
  <c r="O43" i="5"/>
  <c r="P43" i="5"/>
  <c r="Q43" i="5"/>
  <c r="R43" i="5"/>
  <c r="K44" i="5"/>
  <c r="L44" i="5"/>
  <c r="M44" i="5"/>
  <c r="N44" i="5"/>
  <c r="O44" i="5"/>
  <c r="P44" i="5"/>
  <c r="Q44" i="5"/>
  <c r="R44" i="5"/>
  <c r="K45" i="5"/>
  <c r="L45" i="5"/>
  <c r="M45" i="5"/>
  <c r="N45" i="5"/>
  <c r="O45" i="5"/>
  <c r="P45" i="5"/>
  <c r="Q45" i="5"/>
  <c r="R45" i="5"/>
  <c r="K46" i="5"/>
  <c r="L46" i="5"/>
  <c r="M46" i="5"/>
  <c r="N46" i="5"/>
  <c r="O46" i="5"/>
  <c r="P46" i="5"/>
  <c r="Q46" i="5"/>
  <c r="R46" i="5"/>
  <c r="K47" i="5"/>
  <c r="L47" i="5"/>
  <c r="M47" i="5"/>
  <c r="N47" i="5"/>
  <c r="O47" i="5"/>
  <c r="P47" i="5"/>
  <c r="Q47" i="5"/>
  <c r="R47" i="5"/>
  <c r="K48" i="5"/>
  <c r="L48" i="5"/>
  <c r="M48" i="5"/>
  <c r="N48" i="5"/>
  <c r="O48" i="5"/>
  <c r="P48" i="5"/>
  <c r="Q48" i="5"/>
  <c r="R48" i="5"/>
  <c r="K49" i="5"/>
  <c r="L49" i="5"/>
  <c r="M49" i="5"/>
  <c r="N49" i="5"/>
  <c r="O49" i="5"/>
  <c r="P49" i="5"/>
  <c r="Q49" i="5"/>
  <c r="R49" i="5"/>
  <c r="K50" i="5"/>
  <c r="L50" i="5"/>
  <c r="M50" i="5"/>
  <c r="N50" i="5"/>
  <c r="O50" i="5"/>
  <c r="P50" i="5"/>
  <c r="Q50" i="5"/>
  <c r="R50" i="5"/>
  <c r="K51" i="5"/>
  <c r="L51" i="5"/>
  <c r="M51" i="5"/>
  <c r="N51" i="5"/>
  <c r="O51" i="5"/>
  <c r="P51" i="5"/>
  <c r="Q51" i="5"/>
  <c r="R51" i="5"/>
  <c r="K52" i="5"/>
  <c r="L52" i="5"/>
  <c r="M52" i="5"/>
  <c r="N52" i="5"/>
  <c r="O52" i="5"/>
  <c r="P52" i="5"/>
  <c r="Q52" i="5"/>
  <c r="R52" i="5"/>
  <c r="K53" i="5"/>
  <c r="L53" i="5"/>
  <c r="M53" i="5"/>
  <c r="N53" i="5"/>
  <c r="O53" i="5"/>
  <c r="P53" i="5"/>
  <c r="Q53" i="5"/>
  <c r="R53" i="5"/>
  <c r="K54" i="5"/>
  <c r="L54" i="5"/>
  <c r="M54" i="5"/>
  <c r="N54" i="5"/>
  <c r="O54" i="5"/>
  <c r="P54" i="5"/>
  <c r="Q54" i="5"/>
  <c r="R54" i="5"/>
  <c r="K55" i="5"/>
  <c r="L55" i="5"/>
  <c r="M55" i="5"/>
  <c r="N55" i="5"/>
  <c r="O55" i="5"/>
  <c r="P55" i="5"/>
  <c r="Q55" i="5"/>
  <c r="R55" i="5"/>
  <c r="K56" i="5"/>
  <c r="L56" i="5"/>
  <c r="M56" i="5"/>
  <c r="N56" i="5"/>
  <c r="O56" i="5"/>
  <c r="P56" i="5"/>
  <c r="Q56" i="5"/>
  <c r="R56" i="5"/>
  <c r="K57" i="5"/>
  <c r="L57" i="5"/>
  <c r="M57" i="5"/>
  <c r="N57" i="5"/>
  <c r="O57" i="5"/>
  <c r="P57" i="5"/>
  <c r="Q57" i="5"/>
  <c r="R57" i="5"/>
  <c r="K58" i="5"/>
  <c r="L58" i="5"/>
  <c r="M58" i="5"/>
  <c r="N58" i="5"/>
  <c r="O58" i="5"/>
  <c r="P58" i="5"/>
  <c r="Q58" i="5"/>
  <c r="R58" i="5"/>
  <c r="K59" i="5"/>
  <c r="L59" i="5"/>
  <c r="M59" i="5"/>
  <c r="N59" i="5"/>
  <c r="O59" i="5"/>
  <c r="P59" i="5"/>
  <c r="Q59" i="5"/>
  <c r="R59" i="5"/>
  <c r="K60" i="5"/>
  <c r="L60" i="5"/>
  <c r="M60" i="5"/>
  <c r="N60" i="5"/>
  <c r="O60" i="5"/>
  <c r="P60" i="5"/>
  <c r="Q60" i="5"/>
  <c r="R60" i="5"/>
  <c r="K61" i="5"/>
  <c r="L61" i="5"/>
  <c r="M61" i="5"/>
  <c r="N61" i="5"/>
  <c r="O61" i="5"/>
  <c r="P61" i="5"/>
  <c r="Q61" i="5"/>
  <c r="R61" i="5"/>
  <c r="K62" i="5"/>
  <c r="L62" i="5"/>
  <c r="M62" i="5"/>
  <c r="N62" i="5"/>
  <c r="O62" i="5"/>
  <c r="P62" i="5"/>
  <c r="Q62" i="5"/>
  <c r="R62" i="5"/>
  <c r="K63" i="5"/>
  <c r="L63" i="5"/>
  <c r="M63" i="5"/>
  <c r="N63" i="5"/>
  <c r="O63" i="5"/>
  <c r="P63" i="5"/>
  <c r="Q63" i="5"/>
  <c r="R63" i="5"/>
  <c r="K64" i="5"/>
  <c r="L64" i="5"/>
  <c r="M64" i="5"/>
  <c r="N64" i="5"/>
  <c r="O64" i="5"/>
  <c r="P64" i="5"/>
  <c r="Q64" i="5"/>
  <c r="R64" i="5"/>
  <c r="K65" i="5"/>
  <c r="L65" i="5"/>
  <c r="M65" i="5"/>
  <c r="N65" i="5"/>
  <c r="O65" i="5"/>
  <c r="P65" i="5"/>
  <c r="Q65" i="5"/>
  <c r="R65" i="5"/>
  <c r="K66" i="5"/>
  <c r="L66" i="5"/>
  <c r="M66" i="5"/>
  <c r="N66" i="5"/>
  <c r="O66" i="5"/>
  <c r="P66" i="5"/>
  <c r="Q66" i="5"/>
  <c r="R66" i="5"/>
  <c r="K67" i="5"/>
  <c r="L67" i="5"/>
  <c r="M67" i="5"/>
  <c r="N67" i="5"/>
  <c r="O67" i="5"/>
  <c r="P67" i="5"/>
  <c r="Q67" i="5"/>
  <c r="R67" i="5"/>
  <c r="K68" i="5"/>
  <c r="L68" i="5"/>
  <c r="M68" i="5"/>
  <c r="N68" i="5"/>
  <c r="O68" i="5"/>
  <c r="P68" i="5"/>
  <c r="Q68" i="5"/>
  <c r="R68" i="5"/>
  <c r="K69" i="5"/>
  <c r="L69" i="5"/>
  <c r="M69" i="5"/>
  <c r="N69" i="5"/>
  <c r="O69" i="5"/>
  <c r="P69" i="5"/>
  <c r="Q69" i="5"/>
  <c r="R69" i="5"/>
  <c r="K70" i="5"/>
  <c r="L70" i="5"/>
  <c r="M70" i="5"/>
  <c r="N70" i="5"/>
  <c r="O70" i="5"/>
  <c r="P70" i="5"/>
  <c r="Q70" i="5"/>
  <c r="R70" i="5"/>
  <c r="K71" i="5"/>
  <c r="L71" i="5"/>
  <c r="M71" i="5"/>
  <c r="N71" i="5"/>
  <c r="O71" i="5"/>
  <c r="P71" i="5"/>
  <c r="Q71" i="5"/>
  <c r="R71" i="5"/>
  <c r="K72" i="5"/>
  <c r="L72" i="5"/>
  <c r="M72" i="5"/>
  <c r="N72" i="5"/>
  <c r="O72" i="5"/>
  <c r="P72" i="5"/>
  <c r="Q72" i="5"/>
  <c r="R72" i="5"/>
  <c r="K73" i="5"/>
  <c r="L73" i="5"/>
  <c r="M73" i="5"/>
  <c r="N73" i="5"/>
  <c r="O73" i="5"/>
  <c r="P73" i="5"/>
  <c r="Q73" i="5"/>
  <c r="R73" i="5"/>
  <c r="K74" i="5"/>
  <c r="L74" i="5"/>
  <c r="M74" i="5"/>
  <c r="N74" i="5"/>
  <c r="O74" i="5"/>
  <c r="P74" i="5"/>
  <c r="Q74" i="5"/>
  <c r="R74" i="5"/>
  <c r="K75" i="5"/>
  <c r="L75" i="5"/>
  <c r="M75" i="5"/>
  <c r="N75" i="5"/>
  <c r="O75" i="5"/>
  <c r="P75" i="5"/>
  <c r="Q75" i="5"/>
  <c r="R75" i="5"/>
  <c r="K76" i="5"/>
  <c r="L76" i="5"/>
  <c r="M76" i="5"/>
  <c r="N76" i="5"/>
  <c r="O76" i="5"/>
  <c r="P76" i="5"/>
  <c r="Q76" i="5"/>
  <c r="R76" i="5"/>
  <c r="K77" i="5"/>
  <c r="L77" i="5"/>
  <c r="M77" i="5"/>
  <c r="N77" i="5"/>
  <c r="O77" i="5"/>
  <c r="P77" i="5"/>
  <c r="Q77" i="5"/>
  <c r="R77" i="5"/>
  <c r="K78" i="5"/>
  <c r="L78" i="5"/>
  <c r="M78" i="5"/>
  <c r="N78" i="5"/>
  <c r="O78" i="5"/>
  <c r="P78" i="5"/>
  <c r="Q78" i="5"/>
  <c r="R78" i="5"/>
  <c r="K79" i="5"/>
  <c r="L79" i="5"/>
  <c r="M79" i="5"/>
  <c r="N79" i="5"/>
  <c r="O79" i="5"/>
  <c r="P79" i="5"/>
  <c r="Q79" i="5"/>
  <c r="R79" i="5"/>
  <c r="K80" i="5"/>
  <c r="L80" i="5"/>
  <c r="M80" i="5"/>
  <c r="N80" i="5"/>
  <c r="O80" i="5"/>
  <c r="P80" i="5"/>
  <c r="Q80" i="5"/>
  <c r="R80" i="5"/>
  <c r="K81" i="5"/>
  <c r="L81" i="5"/>
  <c r="M81" i="5"/>
  <c r="N81" i="5"/>
  <c r="O81" i="5"/>
  <c r="P81" i="5"/>
  <c r="Q81" i="5"/>
  <c r="R81" i="5"/>
  <c r="K82" i="5"/>
  <c r="L82" i="5"/>
  <c r="M82" i="5"/>
  <c r="N82" i="5"/>
  <c r="O82" i="5"/>
  <c r="P82" i="5"/>
  <c r="Q82" i="5"/>
  <c r="R82" i="5"/>
  <c r="K83" i="5"/>
  <c r="L83" i="5"/>
  <c r="M83" i="5"/>
  <c r="N83" i="5"/>
  <c r="O83" i="5"/>
  <c r="P83" i="5"/>
  <c r="Q83" i="5"/>
  <c r="R83" i="5"/>
  <c r="K84" i="5"/>
  <c r="L84" i="5"/>
  <c r="M84" i="5"/>
  <c r="N84" i="5"/>
  <c r="O84" i="5"/>
  <c r="P84" i="5"/>
  <c r="Q84" i="5"/>
  <c r="R84" i="5"/>
  <c r="K85" i="5"/>
  <c r="L85" i="5"/>
  <c r="M85" i="5"/>
  <c r="N85" i="5"/>
  <c r="O85" i="5"/>
  <c r="O162" i="5" s="1"/>
  <c r="P85" i="5"/>
  <c r="P162" i="5" s="1"/>
  <c r="Q85" i="5"/>
  <c r="Q162" i="5" s="1"/>
  <c r="R85" i="5"/>
  <c r="R162" i="5" s="1"/>
  <c r="K86" i="5"/>
  <c r="L86" i="5"/>
  <c r="M86" i="5"/>
  <c r="N86" i="5"/>
  <c r="O86" i="5"/>
  <c r="P86" i="5"/>
  <c r="Q86" i="5"/>
  <c r="R86" i="5"/>
  <c r="K87" i="5"/>
  <c r="L87" i="5"/>
  <c r="M87" i="5"/>
  <c r="N87" i="5"/>
  <c r="O87" i="5"/>
  <c r="P87" i="5"/>
  <c r="Q87" i="5"/>
  <c r="R87" i="5"/>
  <c r="K88" i="5"/>
  <c r="L88" i="5"/>
  <c r="M88" i="5"/>
  <c r="N88" i="5"/>
  <c r="O88" i="5"/>
  <c r="P88" i="5"/>
  <c r="Q88" i="5"/>
  <c r="R88" i="5"/>
  <c r="K89" i="5"/>
  <c r="L89" i="5"/>
  <c r="M89" i="5"/>
  <c r="N89" i="5"/>
  <c r="O89" i="5"/>
  <c r="P89" i="5"/>
  <c r="Q89" i="5"/>
  <c r="R89" i="5"/>
  <c r="K90" i="5"/>
  <c r="L90" i="5"/>
  <c r="M90" i="5"/>
  <c r="N90" i="5"/>
  <c r="O90" i="5"/>
  <c r="P90" i="5"/>
  <c r="Q90" i="5"/>
  <c r="R90" i="5"/>
  <c r="K91" i="5"/>
  <c r="L91" i="5"/>
  <c r="M91" i="5"/>
  <c r="N91" i="5"/>
  <c r="O91" i="5"/>
  <c r="P91" i="5"/>
  <c r="Q91" i="5"/>
  <c r="R91" i="5"/>
  <c r="K92" i="5"/>
  <c r="L92" i="5"/>
  <c r="M92" i="5"/>
  <c r="N92" i="5"/>
  <c r="O92" i="5"/>
  <c r="P92" i="5"/>
  <c r="Q92" i="5"/>
  <c r="R92" i="5"/>
  <c r="K93" i="5"/>
  <c r="L93" i="5"/>
  <c r="M93" i="5"/>
  <c r="N93" i="5"/>
  <c r="O93" i="5"/>
  <c r="P93" i="5"/>
  <c r="Q93" i="5"/>
  <c r="R93" i="5"/>
  <c r="K94" i="5"/>
  <c r="L94" i="5"/>
  <c r="M94" i="5"/>
  <c r="N94" i="5"/>
  <c r="O94" i="5"/>
  <c r="P94" i="5"/>
  <c r="Q94" i="5"/>
  <c r="R94" i="5"/>
  <c r="K95" i="5"/>
  <c r="L95" i="5"/>
  <c r="M95" i="5"/>
  <c r="N95" i="5"/>
  <c r="O95" i="5"/>
  <c r="P95" i="5"/>
  <c r="Q95" i="5"/>
  <c r="R95" i="5"/>
  <c r="K96" i="5"/>
  <c r="L96" i="5"/>
  <c r="M96" i="5"/>
  <c r="N96" i="5"/>
  <c r="O96" i="5"/>
  <c r="P96" i="5"/>
  <c r="Q96" i="5"/>
  <c r="R96" i="5"/>
  <c r="K97" i="5"/>
  <c r="L97" i="5"/>
  <c r="M97" i="5"/>
  <c r="N97" i="5"/>
  <c r="O97" i="5"/>
  <c r="P97" i="5"/>
  <c r="Q97" i="5"/>
  <c r="R97" i="5"/>
  <c r="K98" i="5"/>
  <c r="L98" i="5"/>
  <c r="M98" i="5"/>
  <c r="N98" i="5"/>
  <c r="O98" i="5"/>
  <c r="P98" i="5"/>
  <c r="Q98" i="5"/>
  <c r="R98" i="5"/>
  <c r="K99" i="5"/>
  <c r="L99" i="5"/>
  <c r="M99" i="5"/>
  <c r="N99" i="5"/>
  <c r="O99" i="5"/>
  <c r="P99" i="5"/>
  <c r="Q99" i="5"/>
  <c r="R99" i="5"/>
  <c r="K100" i="5"/>
  <c r="L100" i="5"/>
  <c r="M100" i="5"/>
  <c r="N100" i="5"/>
  <c r="O100" i="5"/>
  <c r="P100" i="5"/>
  <c r="Q100" i="5"/>
  <c r="R100" i="5"/>
  <c r="K101" i="5"/>
  <c r="L101" i="5"/>
  <c r="M101" i="5"/>
  <c r="N101" i="5"/>
  <c r="O101" i="5"/>
  <c r="P101" i="5"/>
  <c r="Q101" i="5"/>
  <c r="R101" i="5"/>
  <c r="K102" i="5"/>
  <c r="L102" i="5"/>
  <c r="M102" i="5"/>
  <c r="N102" i="5"/>
  <c r="O102" i="5"/>
  <c r="P102" i="5"/>
  <c r="Q102" i="5"/>
  <c r="R102" i="5"/>
  <c r="K103" i="5"/>
  <c r="L103" i="5"/>
  <c r="M103" i="5"/>
  <c r="N103" i="5"/>
  <c r="O103" i="5"/>
  <c r="P103" i="5"/>
  <c r="Q103" i="5"/>
  <c r="R103" i="5"/>
  <c r="K104" i="5"/>
  <c r="L104" i="5"/>
  <c r="M104" i="5"/>
  <c r="N104" i="5"/>
  <c r="O104" i="5"/>
  <c r="P104" i="5"/>
  <c r="Q104" i="5"/>
  <c r="R104" i="5"/>
  <c r="K105" i="5"/>
  <c r="L105" i="5"/>
  <c r="M105" i="5"/>
  <c r="N105" i="5"/>
  <c r="O105" i="5"/>
  <c r="P105" i="5"/>
  <c r="Q105" i="5"/>
  <c r="R105" i="5"/>
  <c r="K106" i="5"/>
  <c r="L106" i="5"/>
  <c r="M106" i="5"/>
  <c r="N106" i="5"/>
  <c r="O106" i="5"/>
  <c r="P106" i="5"/>
  <c r="Q106" i="5"/>
  <c r="R106" i="5"/>
  <c r="K107" i="5"/>
  <c r="L107" i="5"/>
  <c r="M107" i="5"/>
  <c r="N107" i="5"/>
  <c r="O107" i="5"/>
  <c r="P107" i="5"/>
  <c r="Q107" i="5"/>
  <c r="R107" i="5"/>
  <c r="K108" i="5"/>
  <c r="L108" i="5"/>
  <c r="M108" i="5"/>
  <c r="N108" i="5"/>
  <c r="O108" i="5"/>
  <c r="P108" i="5"/>
  <c r="Q108" i="5"/>
  <c r="R108" i="5"/>
  <c r="K109" i="5"/>
  <c r="L109" i="5"/>
  <c r="M109" i="5"/>
  <c r="N109" i="5"/>
  <c r="O109" i="5"/>
  <c r="P109" i="5"/>
  <c r="Q109" i="5"/>
  <c r="R109" i="5"/>
  <c r="K110" i="5"/>
  <c r="L110" i="5"/>
  <c r="M110" i="5"/>
  <c r="N110" i="5"/>
  <c r="O110" i="5"/>
  <c r="P110" i="5"/>
  <c r="Q110" i="5"/>
  <c r="R110" i="5"/>
  <c r="K111" i="5"/>
  <c r="L111" i="5"/>
  <c r="M111" i="5"/>
  <c r="N111" i="5"/>
  <c r="O111" i="5"/>
  <c r="P111" i="5"/>
  <c r="Q111" i="5"/>
  <c r="R111" i="5"/>
  <c r="K112" i="5"/>
  <c r="L112" i="5"/>
  <c r="M112" i="5"/>
  <c r="N112" i="5"/>
  <c r="O112" i="5"/>
  <c r="P112" i="5"/>
  <c r="Q112" i="5"/>
  <c r="R112" i="5"/>
  <c r="K113" i="5"/>
  <c r="L113" i="5"/>
  <c r="M113" i="5"/>
  <c r="N113" i="5"/>
  <c r="O113" i="5"/>
  <c r="P113" i="5"/>
  <c r="Q113" i="5"/>
  <c r="R113" i="5"/>
  <c r="K114" i="5"/>
  <c r="L114" i="5"/>
  <c r="M114" i="5"/>
  <c r="N114" i="5"/>
  <c r="O114" i="5"/>
  <c r="P114" i="5"/>
  <c r="Q114" i="5"/>
  <c r="R114" i="5"/>
  <c r="K115" i="5"/>
  <c r="L115" i="5"/>
  <c r="M115" i="5"/>
  <c r="N115" i="5"/>
  <c r="O115" i="5"/>
  <c r="P115" i="5"/>
  <c r="Q115" i="5"/>
  <c r="R115" i="5"/>
  <c r="K116" i="5"/>
  <c r="L116" i="5"/>
  <c r="M116" i="5"/>
  <c r="N116" i="5"/>
  <c r="O116" i="5"/>
  <c r="P116" i="5"/>
  <c r="Q116" i="5"/>
  <c r="R116" i="5"/>
  <c r="K117" i="5"/>
  <c r="L117" i="5"/>
  <c r="M117" i="5"/>
  <c r="N117" i="5"/>
  <c r="O117" i="5"/>
  <c r="P117" i="5"/>
  <c r="Q117" i="5"/>
  <c r="R117" i="5"/>
  <c r="K119" i="5"/>
  <c r="L119" i="5"/>
  <c r="M119" i="5"/>
  <c r="N119" i="5"/>
  <c r="O119" i="5"/>
  <c r="P119" i="5"/>
  <c r="Q119" i="5"/>
  <c r="R119" i="5"/>
  <c r="K120" i="5"/>
  <c r="L120" i="5"/>
  <c r="M120" i="5"/>
  <c r="N120" i="5"/>
  <c r="O120" i="5"/>
  <c r="P120" i="5"/>
  <c r="Q120" i="5"/>
  <c r="R120" i="5"/>
  <c r="K121" i="5"/>
  <c r="L121" i="5"/>
  <c r="M121" i="5"/>
  <c r="N121" i="5"/>
  <c r="O121" i="5"/>
  <c r="P121" i="5"/>
  <c r="Q121" i="5"/>
  <c r="R121" i="5"/>
  <c r="L122" i="5"/>
  <c r="M122" i="5"/>
  <c r="N122" i="5"/>
  <c r="O122" i="5"/>
  <c r="P122" i="5"/>
  <c r="Q122" i="5"/>
  <c r="R122" i="5"/>
  <c r="K123" i="5"/>
  <c r="L123" i="5"/>
  <c r="M123" i="5"/>
  <c r="N123" i="5"/>
  <c r="O123" i="5"/>
  <c r="P123" i="5"/>
  <c r="Q123" i="5"/>
  <c r="R123" i="5"/>
  <c r="K124" i="5"/>
  <c r="L124" i="5"/>
  <c r="M124" i="5"/>
  <c r="N124" i="5"/>
  <c r="O124" i="5"/>
  <c r="P124" i="5"/>
  <c r="Q124" i="5"/>
  <c r="R124" i="5"/>
  <c r="K125" i="5"/>
  <c r="L125" i="5"/>
  <c r="M125" i="5"/>
  <c r="N125" i="5"/>
  <c r="O125" i="5"/>
  <c r="P125" i="5"/>
  <c r="Q125" i="5"/>
  <c r="R125" i="5"/>
  <c r="K126" i="5"/>
  <c r="L126" i="5"/>
  <c r="M126" i="5"/>
  <c r="N126" i="5"/>
  <c r="O126" i="5"/>
  <c r="P126" i="5"/>
  <c r="Q126" i="5"/>
  <c r="R126" i="5"/>
  <c r="K127" i="5"/>
  <c r="L127" i="5"/>
  <c r="M127" i="5"/>
  <c r="N127" i="5"/>
  <c r="O127" i="5"/>
  <c r="P127" i="5"/>
  <c r="Q127" i="5"/>
  <c r="R127" i="5"/>
  <c r="K128" i="5"/>
  <c r="L128" i="5"/>
  <c r="M128" i="5"/>
  <c r="N128" i="5"/>
  <c r="O128" i="5"/>
  <c r="P128" i="5"/>
  <c r="Q128" i="5"/>
  <c r="R128" i="5"/>
  <c r="K129" i="5"/>
  <c r="L129" i="5"/>
  <c r="M129" i="5"/>
  <c r="N129" i="5"/>
  <c r="O129" i="5"/>
  <c r="P129" i="5"/>
  <c r="Q129" i="5"/>
  <c r="R129" i="5"/>
  <c r="K130" i="5"/>
  <c r="L130" i="5"/>
  <c r="M130" i="5"/>
  <c r="N130" i="5"/>
  <c r="O130" i="5"/>
  <c r="P130" i="5"/>
  <c r="Q130" i="5"/>
  <c r="R130" i="5"/>
  <c r="K131" i="5"/>
  <c r="L131" i="5"/>
  <c r="M131" i="5"/>
  <c r="N131" i="5"/>
  <c r="O131" i="5"/>
  <c r="P131" i="5"/>
  <c r="Q131" i="5"/>
  <c r="R131" i="5"/>
  <c r="K132" i="5"/>
  <c r="L132" i="5"/>
  <c r="M132" i="5"/>
  <c r="N132" i="5"/>
  <c r="O132" i="5"/>
  <c r="P132" i="5"/>
  <c r="Q132" i="5"/>
  <c r="R132" i="5"/>
  <c r="K133" i="5"/>
  <c r="L133" i="5"/>
  <c r="M133" i="5"/>
  <c r="N133" i="5"/>
  <c r="O133" i="5"/>
  <c r="P133" i="5"/>
  <c r="Q133" i="5"/>
  <c r="R133" i="5"/>
  <c r="K134" i="5"/>
  <c r="L134" i="5"/>
  <c r="M134" i="5"/>
  <c r="N134" i="5"/>
  <c r="O134" i="5"/>
  <c r="P134" i="5"/>
  <c r="Q134" i="5"/>
  <c r="R134" i="5"/>
  <c r="K135" i="5"/>
  <c r="L135" i="5"/>
  <c r="M135" i="5"/>
  <c r="N135" i="5"/>
  <c r="O135" i="5"/>
  <c r="P135" i="5"/>
  <c r="Q135" i="5"/>
  <c r="R135" i="5"/>
  <c r="K136" i="5"/>
  <c r="L136" i="5"/>
  <c r="M136" i="5"/>
  <c r="N136" i="5"/>
  <c r="O136" i="5"/>
  <c r="P136" i="5"/>
  <c r="Q136" i="5"/>
  <c r="R136" i="5"/>
  <c r="K137" i="5"/>
  <c r="L137" i="5"/>
  <c r="M137" i="5"/>
  <c r="N137" i="5"/>
  <c r="O137" i="5"/>
  <c r="P137" i="5"/>
  <c r="Q137" i="5"/>
  <c r="R137" i="5"/>
  <c r="K138" i="5"/>
  <c r="L138" i="5"/>
  <c r="M138" i="5"/>
  <c r="N138" i="5"/>
  <c r="O138" i="5"/>
  <c r="P138" i="5"/>
  <c r="Q138" i="5"/>
  <c r="R138" i="5"/>
  <c r="K139" i="5"/>
  <c r="L139" i="5"/>
  <c r="M139" i="5"/>
  <c r="N139" i="5"/>
  <c r="O139" i="5"/>
  <c r="P139" i="5"/>
  <c r="Q139" i="5"/>
  <c r="R139" i="5"/>
  <c r="K140" i="5"/>
  <c r="L140" i="5"/>
  <c r="M140" i="5"/>
  <c r="N140" i="5"/>
  <c r="O140" i="5"/>
  <c r="P140" i="5"/>
  <c r="Q140" i="5"/>
  <c r="R140" i="5"/>
  <c r="K141" i="5"/>
  <c r="L141" i="5"/>
  <c r="M141" i="5"/>
  <c r="N141" i="5"/>
  <c r="O141" i="5"/>
  <c r="P141" i="5"/>
  <c r="Q141" i="5"/>
  <c r="R141" i="5"/>
  <c r="K142" i="5"/>
  <c r="L142" i="5"/>
  <c r="M142" i="5"/>
  <c r="N142" i="5"/>
  <c r="O142" i="5"/>
  <c r="P142" i="5"/>
  <c r="Q142" i="5"/>
  <c r="R142" i="5"/>
  <c r="K143" i="5"/>
  <c r="L143" i="5"/>
  <c r="M143" i="5"/>
  <c r="N143" i="5"/>
  <c r="O143" i="5"/>
  <c r="P143" i="5"/>
  <c r="Q143" i="5"/>
  <c r="R143" i="5"/>
  <c r="K144" i="5"/>
  <c r="L144" i="5"/>
  <c r="M144" i="5"/>
  <c r="N144" i="5"/>
  <c r="O144" i="5"/>
  <c r="P144" i="5"/>
  <c r="Q144" i="5"/>
  <c r="R144" i="5"/>
  <c r="K145" i="5"/>
  <c r="L145" i="5"/>
  <c r="M145" i="5"/>
  <c r="N145" i="5"/>
  <c r="O145" i="5"/>
  <c r="P145" i="5"/>
  <c r="Q145" i="5"/>
  <c r="R145" i="5"/>
  <c r="K146" i="5"/>
  <c r="L146" i="5"/>
  <c r="M146" i="5"/>
  <c r="N146" i="5"/>
  <c r="O146" i="5"/>
  <c r="P146" i="5"/>
  <c r="Q146" i="5"/>
  <c r="R146" i="5"/>
  <c r="K147" i="5"/>
  <c r="K162" i="5" s="1"/>
  <c r="L147" i="5"/>
  <c r="M147" i="5"/>
  <c r="N147" i="5"/>
  <c r="O147" i="5"/>
  <c r="P147" i="5"/>
  <c r="Q147" i="5"/>
  <c r="R147" i="5"/>
  <c r="K148" i="5"/>
  <c r="L148" i="5"/>
  <c r="M148" i="5"/>
  <c r="N148" i="5"/>
  <c r="O148" i="5"/>
  <c r="P148" i="5"/>
  <c r="Q148" i="5"/>
  <c r="R148" i="5"/>
  <c r="K149" i="5"/>
  <c r="L149" i="5"/>
  <c r="M149" i="5"/>
  <c r="N149" i="5"/>
  <c r="O149" i="5"/>
  <c r="P149" i="5"/>
  <c r="Q149" i="5"/>
  <c r="R149" i="5"/>
  <c r="K150" i="5"/>
  <c r="L150" i="5"/>
  <c r="M150" i="5"/>
  <c r="N150" i="5"/>
  <c r="O150" i="5"/>
  <c r="P150" i="5"/>
  <c r="Q150" i="5"/>
  <c r="R150" i="5"/>
  <c r="K151" i="5"/>
  <c r="L151" i="5"/>
  <c r="M151" i="5"/>
  <c r="N151" i="5"/>
  <c r="O151" i="5"/>
  <c r="P151" i="5"/>
  <c r="Q151" i="5"/>
  <c r="R151" i="5"/>
  <c r="K152" i="5"/>
  <c r="L152" i="5"/>
  <c r="M152" i="5"/>
  <c r="N152" i="5"/>
  <c r="O152" i="5"/>
  <c r="P152" i="5"/>
  <c r="Q152" i="5"/>
  <c r="R152" i="5"/>
  <c r="K153" i="5"/>
  <c r="L153" i="5"/>
  <c r="M153" i="5"/>
  <c r="N153" i="5"/>
  <c r="O153" i="5"/>
  <c r="P153" i="5"/>
  <c r="Q153" i="5"/>
  <c r="R153" i="5"/>
  <c r="K154" i="5"/>
  <c r="L154" i="5"/>
  <c r="M154" i="5"/>
  <c r="N154" i="5"/>
  <c r="O154" i="5"/>
  <c r="P154" i="5"/>
  <c r="Q154" i="5"/>
  <c r="R154" i="5"/>
  <c r="K155" i="5"/>
  <c r="L155" i="5"/>
  <c r="M155" i="5"/>
  <c r="N155" i="5"/>
  <c r="O155" i="5"/>
  <c r="P155" i="5"/>
  <c r="Q155" i="5"/>
  <c r="R155" i="5"/>
  <c r="K156" i="5"/>
  <c r="L156" i="5"/>
  <c r="M156" i="5"/>
  <c r="N156" i="5"/>
  <c r="O156" i="5"/>
  <c r="P156" i="5"/>
  <c r="Q156" i="5"/>
  <c r="R156" i="5"/>
  <c r="K157" i="5"/>
  <c r="L157" i="5"/>
  <c r="M157" i="5"/>
  <c r="N157" i="5"/>
  <c r="O157" i="5"/>
  <c r="P157" i="5"/>
  <c r="Q157" i="5"/>
  <c r="R157" i="5"/>
  <c r="K158" i="5"/>
  <c r="L158" i="5"/>
  <c r="M158" i="5"/>
  <c r="N158" i="5"/>
  <c r="O158" i="5"/>
  <c r="P158" i="5"/>
  <c r="Q158" i="5"/>
  <c r="R158" i="5"/>
  <c r="K159" i="5"/>
  <c r="L159" i="5"/>
  <c r="M159" i="5"/>
  <c r="N159" i="5"/>
  <c r="O159" i="5"/>
  <c r="P159" i="5"/>
  <c r="Q159" i="5"/>
  <c r="R159" i="5"/>
  <c r="J116" i="5"/>
  <c r="J151" i="5"/>
  <c r="J115" i="5"/>
  <c r="J127" i="5"/>
  <c r="J131" i="5"/>
  <c r="J142" i="5"/>
  <c r="J152" i="5"/>
  <c r="J114" i="5"/>
  <c r="J147" i="5"/>
  <c r="I57" i="5"/>
  <c r="I44" i="5"/>
  <c r="I111" i="5"/>
  <c r="I134" i="5"/>
  <c r="I118" i="5"/>
  <c r="E14" i="1"/>
  <c r="F14" i="1" s="1"/>
  <c r="I14" i="1" s="1"/>
  <c r="N162" i="5" l="1"/>
  <c r="M162" i="5"/>
  <c r="L162" i="5"/>
  <c r="H139" i="5"/>
  <c r="H137" i="5" l="1"/>
  <c r="I137" i="5"/>
  <c r="J137" i="5"/>
  <c r="G137" i="5"/>
  <c r="P133" i="4"/>
  <c r="H8" i="5"/>
  <c r="I8" i="5"/>
  <c r="J8" i="5"/>
  <c r="H9" i="5"/>
  <c r="I9" i="5"/>
  <c r="J9" i="5"/>
  <c r="H10" i="5"/>
  <c r="I10" i="5"/>
  <c r="J10" i="5"/>
  <c r="H11" i="5"/>
  <c r="I11" i="5"/>
  <c r="J11" i="5"/>
  <c r="H12" i="5"/>
  <c r="I12" i="5"/>
  <c r="J12" i="5"/>
  <c r="H13" i="5"/>
  <c r="I13" i="5"/>
  <c r="J13" i="5"/>
  <c r="H14" i="5"/>
  <c r="I14" i="5"/>
  <c r="J14" i="5"/>
  <c r="H15" i="5"/>
  <c r="I15" i="5"/>
  <c r="J15" i="5"/>
  <c r="H16" i="5"/>
  <c r="I16" i="5"/>
  <c r="J16" i="5"/>
  <c r="H17" i="5"/>
  <c r="I17" i="5"/>
  <c r="J17" i="5"/>
  <c r="H18" i="5"/>
  <c r="I18" i="5"/>
  <c r="J18" i="5"/>
  <c r="H19" i="5"/>
  <c r="I19" i="5"/>
  <c r="J19" i="5"/>
  <c r="H20" i="5"/>
  <c r="I20" i="5"/>
  <c r="J20" i="5"/>
  <c r="H21" i="5"/>
  <c r="I21" i="5"/>
  <c r="J21" i="5"/>
  <c r="H22" i="5"/>
  <c r="I22" i="5"/>
  <c r="J22" i="5"/>
  <c r="H23" i="5"/>
  <c r="I23" i="5"/>
  <c r="J23" i="5"/>
  <c r="H24" i="5"/>
  <c r="I24" i="5"/>
  <c r="J24" i="5"/>
  <c r="H25" i="5"/>
  <c r="I25" i="5"/>
  <c r="J25" i="5"/>
  <c r="H26" i="5"/>
  <c r="I26" i="5"/>
  <c r="J26" i="5"/>
  <c r="H27" i="5"/>
  <c r="I27" i="5"/>
  <c r="J27" i="5"/>
  <c r="H28" i="5"/>
  <c r="I28" i="5"/>
  <c r="J28" i="5"/>
  <c r="H29" i="5"/>
  <c r="I29" i="5"/>
  <c r="J29" i="5"/>
  <c r="H30" i="5"/>
  <c r="I30" i="5"/>
  <c r="J30" i="5"/>
  <c r="H31" i="5"/>
  <c r="I31" i="5"/>
  <c r="J31" i="5"/>
  <c r="H32" i="5"/>
  <c r="I32" i="5"/>
  <c r="J32" i="5"/>
  <c r="H33" i="5"/>
  <c r="I33" i="5"/>
  <c r="J33" i="5"/>
  <c r="H34" i="5"/>
  <c r="I34" i="5"/>
  <c r="J34" i="5"/>
  <c r="H35" i="5"/>
  <c r="I35" i="5"/>
  <c r="J35" i="5"/>
  <c r="H36" i="5"/>
  <c r="I36" i="5"/>
  <c r="J36" i="5"/>
  <c r="H37" i="5"/>
  <c r="I37" i="5"/>
  <c r="J37" i="5"/>
  <c r="H38" i="5"/>
  <c r="I38" i="5"/>
  <c r="J38" i="5"/>
  <c r="H39" i="5"/>
  <c r="I39" i="5"/>
  <c r="J39" i="5"/>
  <c r="H40" i="5"/>
  <c r="I40" i="5"/>
  <c r="J40" i="5"/>
  <c r="H41" i="5"/>
  <c r="I41" i="5"/>
  <c r="J41" i="5"/>
  <c r="H42" i="5"/>
  <c r="I42" i="5"/>
  <c r="J42" i="5"/>
  <c r="H43" i="5"/>
  <c r="I43" i="5"/>
  <c r="J43" i="5"/>
  <c r="H44" i="5"/>
  <c r="J44" i="5"/>
  <c r="H45" i="5"/>
  <c r="I45" i="5"/>
  <c r="J45" i="5"/>
  <c r="H46" i="5"/>
  <c r="I46" i="5"/>
  <c r="J46" i="5"/>
  <c r="H47" i="5"/>
  <c r="I47" i="5"/>
  <c r="J47" i="5"/>
  <c r="H48" i="5"/>
  <c r="I48" i="5"/>
  <c r="J48" i="5"/>
  <c r="H49" i="5"/>
  <c r="I49" i="5"/>
  <c r="J49" i="5"/>
  <c r="H50" i="5"/>
  <c r="I50" i="5"/>
  <c r="J50" i="5"/>
  <c r="H51" i="5"/>
  <c r="I51" i="5"/>
  <c r="J51" i="5"/>
  <c r="H52" i="5"/>
  <c r="I52" i="5"/>
  <c r="J52" i="5"/>
  <c r="H53" i="5"/>
  <c r="I53" i="5"/>
  <c r="J53" i="5"/>
  <c r="H54" i="5"/>
  <c r="I54" i="5"/>
  <c r="J54" i="5"/>
  <c r="H55" i="5"/>
  <c r="I55" i="5"/>
  <c r="J55" i="5"/>
  <c r="H56" i="5"/>
  <c r="I56" i="5"/>
  <c r="J56" i="5"/>
  <c r="H57" i="5"/>
  <c r="J57" i="5"/>
  <c r="H58" i="5"/>
  <c r="I58" i="5"/>
  <c r="J58" i="5"/>
  <c r="H59" i="5"/>
  <c r="I59" i="5"/>
  <c r="J59" i="5"/>
  <c r="H60" i="5"/>
  <c r="I60" i="5"/>
  <c r="J60" i="5"/>
  <c r="H61" i="5"/>
  <c r="I61" i="5"/>
  <c r="J61" i="5"/>
  <c r="H62" i="5"/>
  <c r="I62" i="5"/>
  <c r="J62" i="5"/>
  <c r="H63" i="5"/>
  <c r="I63" i="5"/>
  <c r="J63" i="5"/>
  <c r="H64" i="5"/>
  <c r="I64" i="5"/>
  <c r="J64" i="5"/>
  <c r="H65" i="5"/>
  <c r="I65" i="5"/>
  <c r="J65" i="5"/>
  <c r="H66" i="5"/>
  <c r="I66" i="5"/>
  <c r="J66" i="5"/>
  <c r="H67" i="5"/>
  <c r="I67" i="5"/>
  <c r="J67" i="5"/>
  <c r="H68" i="5"/>
  <c r="I68" i="5"/>
  <c r="J68" i="5"/>
  <c r="H69" i="5"/>
  <c r="I69" i="5"/>
  <c r="J69" i="5"/>
  <c r="H70" i="5"/>
  <c r="I70" i="5"/>
  <c r="J70" i="5"/>
  <c r="H71" i="5"/>
  <c r="I71" i="5"/>
  <c r="J71" i="5"/>
  <c r="H72" i="5"/>
  <c r="I72" i="5"/>
  <c r="J72" i="5"/>
  <c r="H73" i="5"/>
  <c r="I73" i="5"/>
  <c r="J73" i="5"/>
  <c r="H74" i="5"/>
  <c r="I74" i="5"/>
  <c r="J74" i="5"/>
  <c r="H75" i="5"/>
  <c r="I75" i="5"/>
  <c r="J75" i="5"/>
  <c r="H76" i="5"/>
  <c r="I76" i="5"/>
  <c r="J76" i="5"/>
  <c r="H77" i="5"/>
  <c r="I77" i="5"/>
  <c r="J77" i="5"/>
  <c r="H78" i="5"/>
  <c r="I78" i="5"/>
  <c r="J78" i="5"/>
  <c r="H79" i="5"/>
  <c r="I79" i="5"/>
  <c r="J79" i="5"/>
  <c r="H80" i="5"/>
  <c r="I80" i="5"/>
  <c r="J80" i="5"/>
  <c r="H81" i="5"/>
  <c r="I81" i="5"/>
  <c r="J81" i="5"/>
  <c r="H82" i="5"/>
  <c r="I82" i="5"/>
  <c r="J82" i="5"/>
  <c r="H83" i="5"/>
  <c r="I83" i="5"/>
  <c r="J83" i="5"/>
  <c r="H84" i="5"/>
  <c r="I84" i="5"/>
  <c r="J84" i="5"/>
  <c r="H85" i="5"/>
  <c r="I85" i="5"/>
  <c r="J85" i="5"/>
  <c r="H86" i="5"/>
  <c r="I86" i="5"/>
  <c r="J86" i="5"/>
  <c r="H87" i="5"/>
  <c r="I87" i="5"/>
  <c r="J87" i="5"/>
  <c r="H88" i="5"/>
  <c r="I88" i="5"/>
  <c r="J88" i="5"/>
  <c r="H89" i="5"/>
  <c r="I89" i="5"/>
  <c r="J89" i="5"/>
  <c r="H90" i="5"/>
  <c r="I90" i="5"/>
  <c r="J90" i="5"/>
  <c r="H91" i="5"/>
  <c r="I91" i="5"/>
  <c r="J91" i="5"/>
  <c r="H92" i="5"/>
  <c r="I92" i="5"/>
  <c r="J92" i="5"/>
  <c r="H93" i="5"/>
  <c r="I93" i="5"/>
  <c r="J93" i="5"/>
  <c r="H94" i="5"/>
  <c r="I94" i="5"/>
  <c r="J94" i="5"/>
  <c r="H95" i="5"/>
  <c r="I95" i="5"/>
  <c r="J95" i="5"/>
  <c r="H96" i="5"/>
  <c r="I96" i="5"/>
  <c r="J96" i="5"/>
  <c r="H97" i="5"/>
  <c r="I97" i="5"/>
  <c r="J97" i="5"/>
  <c r="H98" i="5"/>
  <c r="I98" i="5"/>
  <c r="J98" i="5"/>
  <c r="H99" i="5"/>
  <c r="I99" i="5"/>
  <c r="J99" i="5"/>
  <c r="H100" i="5"/>
  <c r="I100" i="5"/>
  <c r="J100" i="5"/>
  <c r="H101" i="5"/>
  <c r="I101" i="5"/>
  <c r="J101" i="5"/>
  <c r="H102" i="5"/>
  <c r="I102" i="5"/>
  <c r="J102" i="5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H110" i="5"/>
  <c r="I110" i="5"/>
  <c r="J110" i="5"/>
  <c r="H111" i="5"/>
  <c r="H112" i="5"/>
  <c r="I112" i="5"/>
  <c r="J112" i="5"/>
  <c r="H113" i="5"/>
  <c r="I113" i="5"/>
  <c r="J113" i="5"/>
  <c r="H114" i="5"/>
  <c r="I114" i="5"/>
  <c r="H115" i="5"/>
  <c r="I115" i="5"/>
  <c r="H116" i="5"/>
  <c r="I116" i="5"/>
  <c r="H117" i="5"/>
  <c r="I117" i="5"/>
  <c r="J117" i="5"/>
  <c r="H118" i="5"/>
  <c r="H119" i="5"/>
  <c r="I119" i="5"/>
  <c r="J119" i="5"/>
  <c r="H120" i="5"/>
  <c r="I120" i="5"/>
  <c r="J120" i="5"/>
  <c r="H121" i="5"/>
  <c r="I121" i="5"/>
  <c r="J121" i="5"/>
  <c r="H122" i="5"/>
  <c r="I122" i="5"/>
  <c r="J122" i="5"/>
  <c r="H123" i="5"/>
  <c r="I123" i="5"/>
  <c r="J123" i="5"/>
  <c r="H124" i="5"/>
  <c r="I124" i="5"/>
  <c r="J124" i="5"/>
  <c r="H125" i="5"/>
  <c r="I125" i="5"/>
  <c r="J125" i="5"/>
  <c r="H126" i="5"/>
  <c r="I126" i="5"/>
  <c r="J126" i="5"/>
  <c r="H127" i="5"/>
  <c r="I127" i="5"/>
  <c r="H128" i="5"/>
  <c r="I128" i="5"/>
  <c r="J128" i="5"/>
  <c r="H129" i="5"/>
  <c r="I129" i="5"/>
  <c r="J129" i="5"/>
  <c r="H130" i="5"/>
  <c r="I130" i="5"/>
  <c r="J130" i="5"/>
  <c r="H131" i="5"/>
  <c r="I131" i="5"/>
  <c r="H132" i="5"/>
  <c r="I132" i="5"/>
  <c r="J132" i="5"/>
  <c r="H133" i="5"/>
  <c r="I133" i="5"/>
  <c r="H134" i="5"/>
  <c r="H135" i="5"/>
  <c r="I135" i="5"/>
  <c r="J135" i="5"/>
  <c r="H136" i="5"/>
  <c r="I136" i="5"/>
  <c r="J136" i="5"/>
  <c r="H138" i="5"/>
  <c r="I138" i="5"/>
  <c r="J138" i="5"/>
  <c r="I139" i="5"/>
  <c r="J139" i="5"/>
  <c r="H140" i="5"/>
  <c r="I140" i="5"/>
  <c r="J140" i="5"/>
  <c r="H141" i="5"/>
  <c r="I141" i="5"/>
  <c r="J141" i="5"/>
  <c r="H142" i="5"/>
  <c r="I142" i="5"/>
  <c r="H143" i="5"/>
  <c r="I143" i="5"/>
  <c r="J143" i="5"/>
  <c r="H144" i="5"/>
  <c r="I144" i="5"/>
  <c r="J144" i="5"/>
  <c r="H145" i="5"/>
  <c r="I145" i="5"/>
  <c r="J145" i="5"/>
  <c r="H146" i="5"/>
  <c r="I146" i="5"/>
  <c r="J146" i="5"/>
  <c r="H147" i="5"/>
  <c r="I147" i="5"/>
  <c r="H148" i="5"/>
  <c r="I148" i="5"/>
  <c r="J148" i="5"/>
  <c r="H149" i="5"/>
  <c r="I149" i="5"/>
  <c r="J149" i="5"/>
  <c r="H150" i="5"/>
  <c r="I150" i="5"/>
  <c r="J150" i="5"/>
  <c r="H151" i="5"/>
  <c r="I151" i="5"/>
  <c r="H152" i="5"/>
  <c r="I152" i="5"/>
  <c r="H153" i="5"/>
  <c r="I153" i="5"/>
  <c r="J153" i="5"/>
  <c r="H154" i="5"/>
  <c r="I154" i="5"/>
  <c r="J154" i="5"/>
  <c r="H155" i="5"/>
  <c r="I155" i="5"/>
  <c r="J155" i="5"/>
  <c r="H156" i="5"/>
  <c r="I156" i="5"/>
  <c r="J156" i="5"/>
  <c r="H157" i="5"/>
  <c r="I157" i="5"/>
  <c r="J157" i="5"/>
  <c r="H158" i="5"/>
  <c r="I158" i="5"/>
  <c r="J158" i="5"/>
  <c r="H159" i="5"/>
  <c r="I159" i="5"/>
  <c r="J159" i="5"/>
  <c r="G143" i="5"/>
  <c r="G92" i="5"/>
  <c r="G29" i="5"/>
  <c r="G153" i="5"/>
  <c r="G147" i="5"/>
  <c r="G133" i="5"/>
  <c r="G122" i="5"/>
  <c r="G116" i="5"/>
  <c r="G114" i="5"/>
  <c r="G111" i="5"/>
  <c r="G102" i="5"/>
  <c r="G85" i="5"/>
  <c r="G162" i="5" s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6" i="5"/>
  <c r="G87" i="5"/>
  <c r="G88" i="5"/>
  <c r="G89" i="5"/>
  <c r="G90" i="5"/>
  <c r="G91" i="5"/>
  <c r="G93" i="5"/>
  <c r="G94" i="5"/>
  <c r="G95" i="5"/>
  <c r="G96" i="5"/>
  <c r="G97" i="5"/>
  <c r="G98" i="5"/>
  <c r="G99" i="5"/>
  <c r="G100" i="5"/>
  <c r="G101" i="5"/>
  <c r="G103" i="5"/>
  <c r="G104" i="5"/>
  <c r="G105" i="5"/>
  <c r="G106" i="5"/>
  <c r="G107" i="5"/>
  <c r="G108" i="5"/>
  <c r="G109" i="5"/>
  <c r="G110" i="5"/>
  <c r="G112" i="5"/>
  <c r="G113" i="5"/>
  <c r="G115" i="5"/>
  <c r="G117" i="5"/>
  <c r="G118" i="5"/>
  <c r="G119" i="5"/>
  <c r="G120" i="5"/>
  <c r="G121" i="5"/>
  <c r="G123" i="5"/>
  <c r="G124" i="5"/>
  <c r="G125" i="5"/>
  <c r="G126" i="5"/>
  <c r="G127" i="5"/>
  <c r="G128" i="5"/>
  <c r="G129" i="5"/>
  <c r="G130" i="5"/>
  <c r="G131" i="5"/>
  <c r="G132" i="5"/>
  <c r="G134" i="5"/>
  <c r="G135" i="5"/>
  <c r="G136" i="5"/>
  <c r="G138" i="5"/>
  <c r="G139" i="5"/>
  <c r="G140" i="5"/>
  <c r="G141" i="5"/>
  <c r="G142" i="5"/>
  <c r="G144" i="5"/>
  <c r="G145" i="5"/>
  <c r="G146" i="5"/>
  <c r="G148" i="5"/>
  <c r="G149" i="5"/>
  <c r="G150" i="5"/>
  <c r="G151" i="5"/>
  <c r="G152" i="5"/>
  <c r="G154" i="5"/>
  <c r="G155" i="5"/>
  <c r="G156" i="5"/>
  <c r="G157" i="5"/>
  <c r="G158" i="5"/>
  <c r="G159" i="5"/>
  <c r="G8" i="5"/>
  <c r="I162" i="5" l="1"/>
  <c r="H162" i="5"/>
  <c r="J162" i="5"/>
  <c r="P151" i="4"/>
  <c r="P152" i="4"/>
  <c r="P153" i="4"/>
  <c r="P154" i="4"/>
  <c r="P155" i="4"/>
  <c r="P156" i="4"/>
  <c r="P157" i="4"/>
  <c r="E16" i="7" l="1"/>
  <c r="F16" i="7"/>
  <c r="G16" i="7"/>
  <c r="H16" i="7"/>
  <c r="I16" i="7"/>
  <c r="J16" i="7"/>
  <c r="K16" i="7"/>
  <c r="L16" i="7"/>
  <c r="M16" i="7"/>
  <c r="N16" i="7"/>
  <c r="D16" i="7"/>
  <c r="C16" i="7"/>
  <c r="E13" i="1"/>
  <c r="F13" i="1" s="1"/>
  <c r="I13" i="1" s="1"/>
  <c r="X12" i="1"/>
  <c r="X13" i="1"/>
  <c r="X14" i="1"/>
  <c r="X15" i="1"/>
  <c r="X16" i="1"/>
  <c r="X17" i="1"/>
  <c r="X18" i="1"/>
  <c r="Y18" i="1" l="1"/>
  <c r="Z18" i="1" s="1"/>
  <c r="Y16" i="1"/>
  <c r="Z16" i="1" s="1"/>
  <c r="Y14" i="1"/>
  <c r="Z14" i="1" s="1"/>
  <c r="Y15" i="1"/>
  <c r="Z15" i="1" s="1"/>
  <c r="Y13" i="1"/>
  <c r="Z13" i="1" s="1"/>
  <c r="Y17" i="1"/>
  <c r="Z17" i="1" s="1"/>
  <c r="E12" i="1"/>
  <c r="F12" i="1" s="1"/>
  <c r="I12" i="1" s="1"/>
  <c r="L26" i="1"/>
  <c r="M26" i="1"/>
  <c r="N26" i="1"/>
  <c r="O26" i="1"/>
  <c r="P26" i="1"/>
  <c r="Q26" i="1"/>
  <c r="R26" i="1"/>
  <c r="S26" i="1"/>
  <c r="T26" i="1"/>
  <c r="U26" i="1"/>
  <c r="V26" i="1"/>
  <c r="E10" i="1"/>
  <c r="F10" i="1" s="1"/>
  <c r="I10" i="1" s="1"/>
  <c r="X10" i="1" s="1"/>
  <c r="E11" i="1"/>
  <c r="F11" i="1" s="1"/>
  <c r="I11" i="1" s="1"/>
  <c r="X11" i="1" s="1"/>
  <c r="O15" i="7"/>
  <c r="O13" i="7"/>
  <c r="O14" i="7"/>
  <c r="Y12" i="1" l="1"/>
  <c r="Z12" i="1" s="1"/>
  <c r="Y11" i="1"/>
  <c r="Z11" i="1" s="1"/>
  <c r="Y10" i="1"/>
  <c r="Z10" i="1" s="1"/>
  <c r="E9" i="1"/>
  <c r="F9" i="1" s="1"/>
  <c r="I9" i="1" l="1"/>
  <c r="X9" i="1" s="1"/>
  <c r="Y9" i="1" s="1"/>
  <c r="Z9" i="1" s="1"/>
  <c r="O12" i="7" l="1"/>
  <c r="S159" i="5" l="1"/>
  <c r="S158" i="5"/>
  <c r="S157" i="5"/>
  <c r="P150" i="4"/>
  <c r="P149" i="4"/>
  <c r="P148" i="4"/>
  <c r="P147" i="4"/>
  <c r="S156" i="5" l="1"/>
  <c r="O9" i="7"/>
  <c r="O10" i="7"/>
  <c r="O11" i="7"/>
  <c r="O8" i="7" l="1"/>
  <c r="O16" i="7" s="1"/>
  <c r="O7" i="7"/>
  <c r="E8" i="1" l="1"/>
  <c r="F8" i="1" s="1"/>
  <c r="I8" i="1" l="1"/>
  <c r="X8" i="1" s="1"/>
  <c r="Y8" i="1" s="1"/>
  <c r="Z8" i="1" s="1"/>
  <c r="Y10" i="3" l="1"/>
  <c r="Y5" i="3"/>
  <c r="Y6" i="3"/>
  <c r="Y7" i="3"/>
  <c r="Y8" i="3"/>
  <c r="Y9" i="3"/>
  <c r="Y11" i="3"/>
  <c r="Y12" i="3"/>
  <c r="Y13" i="3"/>
  <c r="Y14" i="3"/>
  <c r="Y15" i="3"/>
  <c r="Y16" i="3"/>
  <c r="AA16" i="3" s="1"/>
  <c r="Y17" i="3"/>
  <c r="AA17" i="3" s="1"/>
  <c r="Y18" i="3"/>
  <c r="AA18" i="3" s="1"/>
  <c r="Y19" i="3"/>
  <c r="AA19" i="3" s="1"/>
  <c r="Y20" i="3"/>
  <c r="AA20" i="3" s="1"/>
  <c r="Y21" i="3"/>
  <c r="AA21" i="3" s="1"/>
  <c r="Y22" i="3"/>
  <c r="AA22" i="3" s="1"/>
  <c r="Y23" i="3"/>
  <c r="AA23" i="3" s="1"/>
  <c r="Y24" i="3"/>
  <c r="AA24" i="3" s="1"/>
  <c r="Y25" i="3"/>
  <c r="AA25" i="3" s="1"/>
  <c r="Y26" i="3"/>
  <c r="AA26" i="3" s="1"/>
  <c r="Y27" i="3"/>
  <c r="AA27" i="3" s="1"/>
  <c r="Y28" i="3"/>
  <c r="AA28" i="3" s="1"/>
  <c r="Y29" i="3"/>
  <c r="AA29" i="3" s="1"/>
  <c r="Y30" i="3"/>
  <c r="AA30" i="3" s="1"/>
  <c r="Y31" i="3"/>
  <c r="AA31" i="3" s="1"/>
  <c r="Y32" i="3"/>
  <c r="AA32" i="3" s="1"/>
  <c r="Y33" i="3"/>
  <c r="AA33" i="3" s="1"/>
  <c r="X6" i="2"/>
  <c r="X7" i="2"/>
  <c r="F6" i="2"/>
  <c r="G6" i="2" s="1"/>
  <c r="J6" i="2" s="1"/>
  <c r="F7" i="2"/>
  <c r="G7" i="2" s="1"/>
  <c r="J7" i="2" s="1"/>
  <c r="E5" i="1"/>
  <c r="F5" i="1" s="1"/>
  <c r="I5" i="1" s="1"/>
  <c r="X5" i="1" s="1"/>
  <c r="E6" i="1"/>
  <c r="F6" i="1" s="1"/>
  <c r="I6" i="1" s="1"/>
  <c r="X6" i="1" s="1"/>
  <c r="E7" i="1"/>
  <c r="F7" i="1" s="1"/>
  <c r="I7" i="1" s="1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6" i="4"/>
  <c r="K26" i="1" l="1"/>
  <c r="X7" i="1"/>
  <c r="X26" i="1" s="1"/>
  <c r="S100" i="5"/>
  <c r="S109" i="5"/>
  <c r="S128" i="5"/>
  <c r="S119" i="5"/>
  <c r="S137" i="5"/>
  <c r="S130" i="5"/>
  <c r="S154" i="5"/>
  <c r="S145" i="5"/>
  <c r="S127" i="5"/>
  <c r="S112" i="5"/>
  <c r="S146" i="5"/>
  <c r="S121" i="5"/>
  <c r="S46" i="5"/>
  <c r="S91" i="5"/>
  <c r="S84" i="5"/>
  <c r="S13" i="5"/>
  <c r="S69" i="5"/>
  <c r="S55" i="5"/>
  <c r="S28" i="5"/>
  <c r="S21" i="5"/>
  <c r="S37" i="5"/>
  <c r="S9" i="5"/>
  <c r="S64" i="5"/>
  <c r="S136" i="5"/>
  <c r="S118" i="5"/>
  <c r="S108" i="5"/>
  <c r="S106" i="5"/>
  <c r="S102" i="5"/>
  <c r="S99" i="5"/>
  <c r="S97" i="5"/>
  <c r="S83" i="5"/>
  <c r="S81" i="5"/>
  <c r="S152" i="5"/>
  <c r="S134" i="5"/>
  <c r="S77" i="5"/>
  <c r="S155" i="5"/>
  <c r="S151" i="5"/>
  <c r="S150" i="5"/>
  <c r="S149" i="5"/>
  <c r="S148" i="5"/>
  <c r="S147" i="5"/>
  <c r="S144" i="5"/>
  <c r="S142" i="5"/>
  <c r="S141" i="5"/>
  <c r="S140" i="5"/>
  <c r="S139" i="5"/>
  <c r="S138" i="5"/>
  <c r="S135" i="5"/>
  <c r="S133" i="5"/>
  <c r="S132" i="5"/>
  <c r="S131" i="5"/>
  <c r="S129" i="5"/>
  <c r="S126" i="5"/>
  <c r="S124" i="5"/>
  <c r="S123" i="5"/>
  <c r="S122" i="5"/>
  <c r="S120" i="5"/>
  <c r="S117" i="5"/>
  <c r="S115" i="5"/>
  <c r="S114" i="5"/>
  <c r="S113" i="5"/>
  <c r="S111" i="5"/>
  <c r="S110" i="5"/>
  <c r="S107" i="5"/>
  <c r="S105" i="5"/>
  <c r="S104" i="5"/>
  <c r="S103" i="5"/>
  <c r="S101" i="5"/>
  <c r="S98" i="5"/>
  <c r="S96" i="5"/>
  <c r="S95" i="5"/>
  <c r="S94" i="5"/>
  <c r="S93" i="5"/>
  <c r="S92" i="5"/>
  <c r="S90" i="5"/>
  <c r="S89" i="5"/>
  <c r="S88" i="5"/>
  <c r="S87" i="5"/>
  <c r="S86" i="5"/>
  <c r="S85" i="5"/>
  <c r="S82" i="5"/>
  <c r="S143" i="5"/>
  <c r="S125" i="5"/>
  <c r="S116" i="5"/>
  <c r="S63" i="5"/>
  <c r="S54" i="5"/>
  <c r="S44" i="5"/>
  <c r="S36" i="5"/>
  <c r="S27" i="5"/>
  <c r="S20" i="5"/>
  <c r="S12" i="5"/>
  <c r="S78" i="5"/>
  <c r="S76" i="5"/>
  <c r="S153" i="5"/>
  <c r="S73" i="5"/>
  <c r="S62" i="5"/>
  <c r="S52" i="5"/>
  <c r="S48" i="5"/>
  <c r="S45" i="5"/>
  <c r="S43" i="5"/>
  <c r="S42" i="5"/>
  <c r="S41" i="5"/>
  <c r="S40" i="5"/>
  <c r="S39" i="5"/>
  <c r="S38" i="5"/>
  <c r="S35" i="5"/>
  <c r="S34" i="5"/>
  <c r="S33" i="5"/>
  <c r="S32" i="5"/>
  <c r="S31" i="5"/>
  <c r="S30" i="5"/>
  <c r="S29" i="5"/>
  <c r="S26" i="5"/>
  <c r="S25" i="5"/>
  <c r="S24" i="5"/>
  <c r="S23" i="5"/>
  <c r="S22" i="5"/>
  <c r="S19" i="5"/>
  <c r="S18" i="5"/>
  <c r="S17" i="5"/>
  <c r="S16" i="5"/>
  <c r="S15" i="5"/>
  <c r="S14" i="5"/>
  <c r="S11" i="5"/>
  <c r="S10" i="5"/>
  <c r="S70" i="5"/>
  <c r="S68" i="5"/>
  <c r="S67" i="5"/>
  <c r="S66" i="5"/>
  <c r="S65" i="5"/>
  <c r="S61" i="5"/>
  <c r="S60" i="5"/>
  <c r="S59" i="5"/>
  <c r="S58" i="5"/>
  <c r="S57" i="5"/>
  <c r="S56" i="5"/>
  <c r="S53" i="5"/>
  <c r="S51" i="5"/>
  <c r="S50" i="5"/>
  <c r="S49" i="5"/>
  <c r="S47" i="5"/>
  <c r="S72" i="5"/>
  <c r="S79" i="5"/>
  <c r="S71" i="5"/>
  <c r="S74" i="5"/>
  <c r="S75" i="5"/>
  <c r="S80" i="5"/>
  <c r="S8" i="5"/>
  <c r="Z24" i="3"/>
  <c r="Y7" i="2"/>
  <c r="Z7" i="2" s="1"/>
  <c r="Y6" i="2"/>
  <c r="Z6" i="2" s="1"/>
  <c r="Y6" i="1"/>
  <c r="Z6" i="1" s="1"/>
  <c r="Y5" i="1"/>
  <c r="S162" i="5" l="1"/>
  <c r="Y7" i="1"/>
  <c r="Z7" i="1" s="1"/>
  <c r="Z5" i="1"/>
  <c r="Z12" i="3"/>
  <c r="AA12" i="3" s="1"/>
  <c r="Z25" i="3"/>
  <c r="Z33" i="3"/>
  <c r="Z21" i="3"/>
  <c r="Z15" i="3"/>
  <c r="AA15" i="3" s="1"/>
  <c r="Z27" i="3"/>
  <c r="Z32" i="3"/>
  <c r="Z14" i="3"/>
  <c r="AA14" i="3" s="1"/>
  <c r="Z20" i="3"/>
  <c r="Z17" i="3"/>
  <c r="Z13" i="3"/>
  <c r="AA13" i="3" s="1"/>
  <c r="Z23" i="3"/>
  <c r="Z7" i="3"/>
  <c r="AA7" i="3" s="1"/>
  <c r="Z8" i="3"/>
  <c r="AA8" i="3" s="1"/>
  <c r="Z6" i="3"/>
  <c r="AA6" i="3" s="1"/>
  <c r="Z11" i="3"/>
  <c r="AA11" i="3" s="1"/>
  <c r="Z9" i="3"/>
  <c r="AA9" i="3" s="1"/>
  <c r="Z10" i="3"/>
  <c r="AA10" i="3" s="1"/>
  <c r="Z5" i="3"/>
  <c r="AA5" i="3" s="1"/>
  <c r="Z16" i="3"/>
  <c r="Z18" i="3"/>
  <c r="Z28" i="3"/>
  <c r="Z22" i="3"/>
  <c r="Z26" i="3"/>
  <c r="Z29" i="3"/>
  <c r="Z30" i="3"/>
  <c r="Z31" i="3"/>
  <c r="Z19" i="3"/>
  <c r="Y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tc={94002D5D-85B5-6B49-BB53-24FC6696829A}</author>
  </authors>
  <commentList>
    <comment ref="Q9" authorId="0" shapeId="0" xr:uid="{94002D5D-85B5-6B49-BB53-24FC669682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sudah dikembalikan 23 juli 2026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amri</author>
    <author>tc={2D36804B-E680-4C45-BD49-6B29B3224CC7}</author>
    <author>tc={D6841A4C-77CE-374B-AEFB-0B3115259A54}</author>
    <author>tc={917B6E57-E5C5-B840-9877-F4624BF73616}</author>
  </authors>
  <commentList>
    <comment ref="C6" authorId="0" shapeId="0" xr:uid="{8CE1C874-83B2-4C74-975F-82C0308EAE0E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05 Des 2025
1x Cedea Baso Ikan Besar 500Gr + 1x Kanzler Chicken Cordon Bleu Box (2 Pcs) 300Gr + 1x Gogo Fries Shoestring 1Kg = Rp. 107.940,-
12 Des 2025
2x Paket Sirloin Steak + 1x Djawara Fish Gurame Marinasi = Rp. 139.440,-
18 Des 2025
1x Djawara Fish Gurame Marinasi + 1x Djawara Fish Nila Marinasi = Rp. 106.050,-
23 Des 2025
1x Cedea Fish Dumpling Cheese 500gr + 1x Kimbo Heppiii Mini Sosis Bakar Keju Isi 12 550Gr + 2x DJ Shortplate Regular 500gr + 1x Nutriboost Strawberry 300ml = Rp. 187.425,-
24 Des 2025
1x DJ Shortplate Regular 500gr + 1x MyTaste Spicy Barbeque Level 3 Sauce 100gr + MyTaste Mushroom Sauce 100gr + Cedea Baso Ikan Besar 500gr = Rp. 100.065,-</t>
        </r>
      </text>
    </comment>
    <comment ref="D6" authorId="0" shapeId="0" xr:uid="{32693555-3E6A-4E93-A80A-8E0E553C2DF3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6 Feb 2026
1x Daging Giling Regular 500Gr + 1x Gogo Fries Shoestring 1Kg + 1x Nipis Madu 330ml = Rp. 77.595
</t>
        </r>
      </text>
    </comment>
    <comment ref="E6" authorId="0" shapeId="0" xr:uid="{976DEF80-FA7A-4507-BCCB-0D5141448704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6 Feb 2026
1x Daging Giling Regular 500Gr + 1x Gogo Fries Shoestring 1Kg + 1x Nipis Madu 330ml = Rp. 77.900,-</t>
        </r>
      </text>
    </comment>
    <comment ref="F6" authorId="0" shapeId="0" xr:uid="{E142C2FD-CD1F-463D-B65A-DF30A031F97A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23 Feb 2026
3x DJ Ayam Frozen Size 0.901.0 Ekor + 1x Vigo Bakso Ayam Isi 50 500Gr + 1x DJ Daging Slice Regular 500Gr = Rp. 197.400,-
27 Mar 2026
1x Begok Bebek Goreng Premium 500Gr = Rp. 72.450,-</t>
        </r>
      </text>
    </comment>
    <comment ref="G6" authorId="0" shapeId="0" xr:uid="{88D8540E-29E8-48B3-921F-A3C555A9D83D}">
      <text>
        <r>
          <rPr>
            <b/>
            <sz val="9"/>
            <color rgb="FF000000"/>
            <rFont val="Tahoma"/>
            <family val="2"/>
          </rPr>
          <t>faisal amri: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02 Apr 2026
</t>
        </r>
        <r>
          <rPr>
            <sz val="9"/>
            <color rgb="FF000000"/>
            <rFont val="Tahoma"/>
            <family val="2"/>
          </rPr>
          <t>1x Hatp Beef Patties 500Gr + 1x Iga Potong Paket Import + 1x Djawara Meat Iga Potong Ekonomis 500Gr = Rp. 162.750,-</t>
        </r>
      </text>
    </comment>
    <comment ref="J6" authorId="1" shapeId="0" xr:uid="{2D36804B-E680-4C45-BD49-6B29B3224CC7}">
      <text>
        <t>[Threaded comment]
Your version of Excel allows you to read this threaded comment; however, any edits to it will get removed if the file is opened in a newer version of Excel. Learn more: https://go.microsoft.com/fwlink/?linkid=870924
Comment:
    tanggal 2 agustus 
pengambilan daging 169.600
Reply:
    224000 dipotong pas keluar</t>
      </text>
    </comment>
    <comment ref="C7" authorId="0" shapeId="0" xr:uid="{7263B8BF-6879-49DA-A028-CFE90D9AC13E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02 Des 2025
1x Djawara Fish Nila Marinasi = Rp. 60.900,-</t>
        </r>
      </text>
    </comment>
    <comment ref="C8" authorId="0" shapeId="0" xr:uid="{0C6CC1D2-5D21-4EDA-8660-7B4A53308D6A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11 Des 2025
1x Paket Daging Paha Depan 1Kg + 2x Cedea Fish Dumpling Cheese 500Gr + 1x Cedea Fish Roll 250Gr = Rp. 207.585,-
24 Des 2025
4x Cedea otak2 Singapore 500gr + 4x Kimbo Heppiii Mini Sosis Bakar Keju Isi 12 550gr = Rp. 243.180,-
03 Jan 2026
1x Udang Kupas  Vacuum Pack 500gr + 2x Champ Nugget Kombinasi 225gr + 3x Djawara Meat Daging Potong Rendang Premium 500gr = Rp. 283.600,-
11 Jan 2026
3x Udang Kupas Vacuum Pack 500gr = Rp. 143.535,-</t>
        </r>
      </text>
    </comment>
    <comment ref="D8" authorId="0" shapeId="0" xr:uid="{60C18EF3-B088-4F47-B522-8E0F4EF33864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26 Jan 2026
2x Rendang DJ + 1x Djawara Chicken Paha Atas 1Kg = Rp. 322.350,- 
9 Feb 2026
2x FS Beras Sego Pulen 5Kg = Rp. 156.450,-
3 Feb 2026
1x Udang Kupas Vacuum + 2x Champ Nugget Kombinasi 225Gr + 3x Djawara Meat Daging Potong Rendang Premium 500gr = Rp. 297.780</t>
        </r>
      </text>
    </comment>
    <comment ref="F8" authorId="0" shapeId="0" xr:uid="{280CC0D2-7ECD-4B88-8188-3D5784DE8B74}">
      <text>
        <r>
          <rPr>
            <b/>
            <sz val="9"/>
            <color rgb="FF000000"/>
            <rFont val="Tahoma"/>
            <family val="2"/>
          </rPr>
          <t>faisal amri: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26 Feb 2026
</t>
        </r>
        <r>
          <rPr>
            <sz val="9"/>
            <color rgb="FF000000"/>
            <rFont val="Tahoma"/>
            <family val="2"/>
          </rPr>
          <t>3x Paket Daging Paha Belakang DJ = Rp. 425.250,-</t>
        </r>
      </text>
    </comment>
    <comment ref="G8" authorId="0" shapeId="0" xr:uid="{2318FFB5-9DD4-4018-86FC-DFF02F632DEF}">
      <text>
        <r>
          <rPr>
            <b/>
            <sz val="9"/>
            <color rgb="FF000000"/>
            <rFont val="Tahoma"/>
            <family val="2"/>
          </rPr>
          <t>faisal amri: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12 Apr 2026
</t>
        </r>
        <r>
          <rPr>
            <sz val="9"/>
            <color rgb="FF000000"/>
            <rFont val="Tahoma"/>
            <family val="2"/>
          </rPr>
          <t xml:space="preserve">1x Djawara Meat Hati Sapi 500Gr + 5x DJ Ayam Frozen Size 0.8 - 0.9 Ekor = Rp. 206.000,-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I8" authorId="2" shapeId="0" xr:uid="{D6841A4C-77CE-374B-AEFB-0B3115259A54}">
      <text>
        <t>[Threaded comment]
Your version of Excel allows you to read this threaded comment; however, any edits to it will get removed if the file is opened in a newer version of Excel. Learn more: https://go.microsoft.com/fwlink/?linkid=870924
Comment:
    6/3/2026 bayar daging
Reply:
    12/6/2026 bayar daging</t>
      </text>
    </comment>
    <comment ref="J8" authorId="3" shapeId="0" xr:uid="{917B6E57-E5C5-B840-9877-F4624BF736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Tanggal 28 Juli 2026
</t>
      </text>
    </comment>
    <comment ref="E9" authorId="0" shapeId="0" xr:uid="{E2B6C4F0-8F99-41F0-B248-632862520ACC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18 Feb 2026
Djawara Meat Rendang Value 1Kg = Rp.462.000,-</t>
        </r>
      </text>
    </comment>
    <comment ref="E10" authorId="0" shapeId="0" xr:uid="{885CC9FE-089A-4CC1-A14B-1841B26884E7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18 Feb 2026
2x Djawara Fish Nila Marinasi + 2x Paket Daging Paha Belakang DJ + 1x Hato Chicken Fillet 500Gr + 1x Hato Nugget Bubble Crispy 500Gr + 2x Udang Kupas Vacuum Pack 500Gr + 2x DJ Cumi Ring Import 500Gr + 1x GFI Bakso 200Gr + 0.2x DJ Salmon Coho Steak parting + 1x DJ Daging Giling Ayam 500Gr + 1x Cedea Crab Stick 250Gr + 1x DJ Ayam Frozen Size 0.9-1.0 Ekor + 1x Kimbo Mini Bratwurst Lada Hitam Isi 10 500Gr = Rp. 887.565,- </t>
        </r>
      </text>
    </comment>
    <comment ref="F10" authorId="0" shapeId="0" xr:uid="{DB620986-0EF2-4F17-AC27-AA8F28B7DC7E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18 Mar 2026
6x Paket Daging Paha Depan 1kg = Rp. 806.400,-
</t>
        </r>
      </text>
    </comment>
    <comment ref="E11" authorId="0" shapeId="0" xr:uid="{9631F180-5C2F-4E56-BB8B-D60757C1A33C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18 Feb 2026
1x DJ Iga Potong Paket Ekonomis 1Kg + 1x Black Gold CM01 Import India = Rp. 144.900,-</t>
        </r>
      </text>
    </comment>
    <comment ref="F11" authorId="0" shapeId="0" xr:uid="{39BCB665-5DC6-4AF2-916C-3212F210C180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20 Feb 2026
1x Black Gold CM01 Import India = Rp. 103.950,-</t>
        </r>
      </text>
    </comment>
    <comment ref="E12" authorId="0" shapeId="0" xr:uid="{3E35E9B2-B512-4621-9898-30B783EDF3F4}">
      <text>
        <r>
          <rPr>
            <b/>
            <sz val="9"/>
            <color indexed="81"/>
            <rFont val="Tahoma"/>
            <family val="2"/>
          </rPr>
          <t>faisal amri:</t>
        </r>
        <r>
          <rPr>
            <sz val="9"/>
            <color indexed="81"/>
            <rFont val="Tahoma"/>
            <family val="2"/>
          </rPr>
          <t xml:space="preserve">
17 Feb 2026
2x Paket Daging Semur = Rp. 256.200,-</t>
        </r>
      </text>
    </comment>
  </commentList>
</comments>
</file>

<file path=xl/sharedStrings.xml><?xml version="1.0" encoding="utf-8"?>
<sst xmlns="http://schemas.openxmlformats.org/spreadsheetml/2006/main" count="592" uniqueCount="233">
  <si>
    <t>Nama</t>
  </si>
  <si>
    <t>Barang</t>
  </si>
  <si>
    <t>Pokok</t>
  </si>
  <si>
    <t>Jumlah</t>
  </si>
  <si>
    <t xml:space="preserve"> Jumlah Pinjaman</t>
  </si>
  <si>
    <t>Tgl. Pinjaman Cair</t>
  </si>
  <si>
    <t>Mei</t>
  </si>
  <si>
    <t>Jan</t>
  </si>
  <si>
    <t>Feb</t>
  </si>
  <si>
    <t>Mar</t>
  </si>
  <si>
    <t>Apr</t>
  </si>
  <si>
    <t>Jun</t>
  </si>
  <si>
    <t>Jul</t>
  </si>
  <si>
    <t>Ags</t>
  </si>
  <si>
    <t>Sep</t>
  </si>
  <si>
    <t>Okt</t>
  </si>
  <si>
    <t>Nov</t>
  </si>
  <si>
    <t>Des</t>
  </si>
  <si>
    <t>Bulan</t>
  </si>
  <si>
    <t>Sisa Angsuran</t>
  </si>
  <si>
    <t>No</t>
  </si>
  <si>
    <t>Total Angsuran</t>
  </si>
  <si>
    <t>Saldo Angsuran Tahun Lalu</t>
  </si>
  <si>
    <t>HP Samsung</t>
  </si>
  <si>
    <t>Bunga (20%)</t>
  </si>
  <si>
    <t>Cicilan Perbulan</t>
  </si>
  <si>
    <t>Lama  Angsuran (x)</t>
  </si>
  <si>
    <t>Sugiarto</t>
  </si>
  <si>
    <t>Toni</t>
  </si>
  <si>
    <t>Rudiansyah</t>
  </si>
  <si>
    <t>Arief Indrawan</t>
  </si>
  <si>
    <t>Status</t>
  </si>
  <si>
    <t>Margin Rp. 3000 x /Kg</t>
  </si>
  <si>
    <t>Total Pesanan (kg/pcs)</t>
  </si>
  <si>
    <t>Margin Rp. 6000 x /Kg</t>
  </si>
  <si>
    <t>Harga Barang</t>
  </si>
  <si>
    <t>Budi Laksono</t>
  </si>
  <si>
    <t>Dara Maulida</t>
  </si>
  <si>
    <t>Dewi Kartini</t>
  </si>
  <si>
    <t>Ferika Pujiyanti</t>
  </si>
  <si>
    <t>Heni Triandini</t>
  </si>
  <si>
    <t>Herda</t>
  </si>
  <si>
    <t>Margono</t>
  </si>
  <si>
    <t>Mohammad Rizki</t>
  </si>
  <si>
    <t>Rico Septa Saputra</t>
  </si>
  <si>
    <t>Arno Nugroho</t>
  </si>
  <si>
    <t>Khairun Nisa</t>
  </si>
  <si>
    <t>Lita Ayu Rosida</t>
  </si>
  <si>
    <t>Mutiah Nur</t>
  </si>
  <si>
    <t>Clarisa Dini</t>
  </si>
  <si>
    <t>Afan Wahyu Syafii</t>
  </si>
  <si>
    <t>Gunawan</t>
  </si>
  <si>
    <t>Rosmiati</t>
  </si>
  <si>
    <t>Dedy Kurniawan</t>
  </si>
  <si>
    <t>H Alfian Noor, SH.SHI</t>
  </si>
  <si>
    <t>Fellix Stephen Willa</t>
  </si>
  <si>
    <t>Wawan Satriawan</t>
  </si>
  <si>
    <t>Citra Meiliana R</t>
  </si>
  <si>
    <t>Suci Nur Khasanah</t>
  </si>
  <si>
    <t>Anton</t>
  </si>
  <si>
    <t>Tri Iswahyudi</t>
  </si>
  <si>
    <t>Muhammad Irham</t>
  </si>
  <si>
    <t>Ahmad Zaid Mahfudi</t>
  </si>
  <si>
    <t>Arsim</t>
  </si>
  <si>
    <t>Didi Rahmat</t>
  </si>
  <si>
    <t>Eka Yanuar Santosa</t>
  </si>
  <si>
    <t>Heru Sri Margono</t>
  </si>
  <si>
    <t>Keren</t>
  </si>
  <si>
    <t>Muhammad Dzil Ikram Jani</t>
  </si>
  <si>
    <t>Taufiqurrahman</t>
  </si>
  <si>
    <t>Tri Indriyani</t>
  </si>
  <si>
    <t>Mumuh Mulyawan</t>
  </si>
  <si>
    <t>Rio Candra</t>
  </si>
  <si>
    <t>Sri Wahyuningsih</t>
  </si>
  <si>
    <t>Jamsari Bin Misnan</t>
  </si>
  <si>
    <t>Nowo Susiyanto</t>
  </si>
  <si>
    <t>Widodo</t>
  </si>
  <si>
    <t>Winardoyo</t>
  </si>
  <si>
    <t>Dehur</t>
  </si>
  <si>
    <t>Andri Kurniawan</t>
  </si>
  <si>
    <t>Faisal Amri</t>
  </si>
  <si>
    <t>Ir. Okto Hendri Fahlefi</t>
  </si>
  <si>
    <t>Akbar Fadhil</t>
  </si>
  <si>
    <t>Ahmad Fauzi</t>
  </si>
  <si>
    <t>Andung Juanda</t>
  </si>
  <si>
    <t>Anwari</t>
  </si>
  <si>
    <t>Heru Purboyo</t>
  </si>
  <si>
    <t>Indra Suwanda</t>
  </si>
  <si>
    <t>Narto Prayitno</t>
  </si>
  <si>
    <t>Rwandha Sutedira</t>
  </si>
  <si>
    <t xml:space="preserve">Umayah </t>
  </si>
  <si>
    <t>Tirto Bayu S</t>
  </si>
  <si>
    <t>Iwan Setiawan/Produksi</t>
  </si>
  <si>
    <t>Minan Khusnaeni</t>
  </si>
  <si>
    <t>Andrian Fadly</t>
  </si>
  <si>
    <t>Ferry Firmanto</t>
  </si>
  <si>
    <t>Hendra</t>
  </si>
  <si>
    <t>Marhasan</t>
  </si>
  <si>
    <t>Iskandar Sulistiyanto</t>
  </si>
  <si>
    <t>Repki Arianto</t>
  </si>
  <si>
    <t>Sudari</t>
  </si>
  <si>
    <t>Diki Firmansyah</t>
  </si>
  <si>
    <t>Yonatan Banobe</t>
  </si>
  <si>
    <t>Ir. Djoko Maryono</t>
  </si>
  <si>
    <t>Ismail</t>
  </si>
  <si>
    <t>Riana Merry Natalia</t>
  </si>
  <si>
    <t>S u d a d i</t>
  </si>
  <si>
    <t>Didi Tarmudi</t>
  </si>
  <si>
    <t>Ahmad Jamaludin</t>
  </si>
  <si>
    <t>Rahmat Zaeni</t>
  </si>
  <si>
    <t>Sugiyatwoko</t>
  </si>
  <si>
    <t>Slamet</t>
  </si>
  <si>
    <t>Dadi Muhamad Mulyadi</t>
  </si>
  <si>
    <t>Teolenta</t>
  </si>
  <si>
    <t>Suwarno</t>
  </si>
  <si>
    <t>Ade Kurnia</t>
  </si>
  <si>
    <t>Amir Suroto</t>
  </si>
  <si>
    <t>Sartono</t>
  </si>
  <si>
    <t>J u m a d i</t>
  </si>
  <si>
    <t>Rison Saeful Sobur</t>
  </si>
  <si>
    <t>Abdul Cahyo Nugroho</t>
  </si>
  <si>
    <t>Wiyan Eko Supriyanto</t>
  </si>
  <si>
    <t>Muhammad Topan</t>
  </si>
  <si>
    <t>Muhammad Khoirullah</t>
  </si>
  <si>
    <t>Total</t>
  </si>
  <si>
    <t>Keterangan</t>
  </si>
  <si>
    <t>Septi Priawandra</t>
  </si>
  <si>
    <t>Mohammad Firdaus</t>
  </si>
  <si>
    <t>Mohammad Ade Faiza</t>
  </si>
  <si>
    <t>Taufik Hidayat</t>
  </si>
  <si>
    <t>Rudi Nugroho</t>
  </si>
  <si>
    <t>Rian Alandy</t>
  </si>
  <si>
    <t>Alan Louby Van Houten</t>
  </si>
  <si>
    <t>Widi Kurnianto</t>
  </si>
  <si>
    <t>Rohaedi</t>
  </si>
  <si>
    <t>Agung Pambudi</t>
  </si>
  <si>
    <t>Novita</t>
  </si>
  <si>
    <t xml:space="preserve">Turut </t>
  </si>
  <si>
    <t>Edy Sukaryan</t>
  </si>
  <si>
    <t>I Made Mustada</t>
  </si>
  <si>
    <t>Sunardi</t>
  </si>
  <si>
    <t>Sri Hartoyo</t>
  </si>
  <si>
    <t>Sigit Hartanto</t>
  </si>
  <si>
    <t>Sulaeman</t>
  </si>
  <si>
    <t>Nurpendi</t>
  </si>
  <si>
    <t>Gede Arnawa</t>
  </si>
  <si>
    <t>Parsono</t>
  </si>
  <si>
    <t>Ketut Wijaya</t>
  </si>
  <si>
    <t>Eko Junaedi</t>
  </si>
  <si>
    <t>Nyoman Artawan</t>
  </si>
  <si>
    <t>Idris Rusmanto</t>
  </si>
  <si>
    <t>I Gede Mustika</t>
  </si>
  <si>
    <t>Komang Astawan</t>
  </si>
  <si>
    <t>Suwitno</t>
  </si>
  <si>
    <t>Sutrisno</t>
  </si>
  <si>
    <t>Ramli</t>
  </si>
  <si>
    <t>Herman</t>
  </si>
  <si>
    <t>Sobri</t>
  </si>
  <si>
    <t>Dian Susanto</t>
  </si>
  <si>
    <t>Ridwan</t>
  </si>
  <si>
    <t>Rizki Munardi</t>
  </si>
  <si>
    <t>Gede Suparta</t>
  </si>
  <si>
    <t>Kadek Sudarsana</t>
  </si>
  <si>
    <t>Deri Hedriawan</t>
  </si>
  <si>
    <t>Suratman</t>
  </si>
  <si>
    <t>Hesby Agaan</t>
  </si>
  <si>
    <t>Putu Dharma</t>
  </si>
  <si>
    <t>Ngadiono</t>
  </si>
  <si>
    <t>Sumihar Tambunan</t>
  </si>
  <si>
    <t>Jafar Dwiyanto</t>
  </si>
  <si>
    <t>M Agustiyadi</t>
  </si>
  <si>
    <t>Ahmat Saefudin</t>
  </si>
  <si>
    <t>Marwanto</t>
  </si>
  <si>
    <t>Darsim/PHL</t>
  </si>
  <si>
    <t>Jaimin</t>
  </si>
  <si>
    <t>Siswanto/PHL</t>
  </si>
  <si>
    <t>Alvin Alviandry</t>
  </si>
  <si>
    <t>Robert Lakburlawai</t>
  </si>
  <si>
    <t>Barang Pertama</t>
  </si>
  <si>
    <t>Laptop Advance</t>
  </si>
  <si>
    <t>Handphone Vivo V50 5G</t>
  </si>
  <si>
    <t>Qty</t>
  </si>
  <si>
    <t>Remark</t>
  </si>
  <si>
    <t>Total Belanja</t>
  </si>
  <si>
    <t>Pelunasan</t>
  </si>
  <si>
    <t>HP Oppo Reno 11 Pro 5g</t>
  </si>
  <si>
    <t>Indri Widyawati</t>
  </si>
  <si>
    <t>Romansyah</t>
  </si>
  <si>
    <t>Ria  Banita</t>
  </si>
  <si>
    <t>Toro Riyadi</t>
  </si>
  <si>
    <t>Bayu Adhitya Permana</t>
  </si>
  <si>
    <t>Infinix Note 50 Pro 8/256Gb</t>
  </si>
  <si>
    <t>HP Samsung Galaxy A26 5G</t>
  </si>
  <si>
    <t>Pinjaman Barang Sekunder</t>
  </si>
  <si>
    <t>Pinjaman Barang Primer</t>
  </si>
  <si>
    <t>Pinjaman Barang Primer Harian (Meatshop)</t>
  </si>
  <si>
    <t>Pinjaman Daging Event Lebaran</t>
  </si>
  <si>
    <t>Laptop Advan Workplus 12600H</t>
  </si>
  <si>
    <t>PINJAMAN BARANG SEKUNDER 2026</t>
  </si>
  <si>
    <t>HP Samsung A55 8/128Gb</t>
  </si>
  <si>
    <t>Hesby Aga</t>
  </si>
  <si>
    <t>12/19/2025</t>
  </si>
  <si>
    <t>Ari Wibowo ( Kebersihan Cakung )</t>
  </si>
  <si>
    <t>Ari Wibowo ( Produksi Kapuk)</t>
  </si>
  <si>
    <t>Ari Wibowo ( Produksi Kapuk )</t>
  </si>
  <si>
    <t>NPP</t>
  </si>
  <si>
    <t>Laptop Asus TUF A15 (Ryzen 5)</t>
  </si>
  <si>
    <t>Ari Wibowo</t>
  </si>
  <si>
    <t>Jamsari</t>
  </si>
  <si>
    <t>move to Serang</t>
  </si>
  <si>
    <t>Resign</t>
  </si>
  <si>
    <t>Pensiun</t>
  </si>
  <si>
    <t>Paha Belakang</t>
  </si>
  <si>
    <t>Paha Depan</t>
  </si>
  <si>
    <t>Donald Freddy Simanjuntak</t>
  </si>
  <si>
    <t>Umayah</t>
  </si>
  <si>
    <t>Kacamata</t>
  </si>
  <si>
    <t>Laptop HP 14 I3 1115G4</t>
  </si>
  <si>
    <t>Kasbon</t>
  </si>
  <si>
    <t>Sunardi - 00376</t>
  </si>
  <si>
    <t>Eddy Sukaryan</t>
  </si>
  <si>
    <t>Sumihar H. Tambunan</t>
  </si>
  <si>
    <t>Cicilan</t>
  </si>
  <si>
    <t>Saldo</t>
  </si>
  <si>
    <t>Tanggal</t>
  </si>
  <si>
    <t>HP Infinix Note 60 Pro 8/256</t>
  </si>
  <si>
    <t>Samsung A57 8/128</t>
  </si>
  <si>
    <t>Advan Laptop Workplus intel 15 12600H</t>
  </si>
  <si>
    <t>Eko Junaidi</t>
  </si>
  <si>
    <t>Jaket Turing DJ</t>
  </si>
  <si>
    <t>HP Oppo Reno Series</t>
  </si>
  <si>
    <t>Ditolak</t>
  </si>
  <si>
    <t>Lenovo Thinkpad Yoga L390 i5 8/256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</si>
</sst>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Rp&quot;* #,##0.00_-;\-&quot;Rp&quot;* #,##0.00_-;_-&quot;Rp&quot;* &quot;-&quot;??_-;_-@_-"/>
    <numFmt numFmtId="165" formatCode="_-* #,##0.00_-;\-* #,##0.00_-;_-* &quot;-&quot;??_-;_-@_-"/>
    <numFmt numFmtId="166" formatCode="_-&quot;Rp&quot;* #,##0_-;\-&quot;Rp&quot;* #,##0_-;_-&quot;Rp&quot;* &quot;-&quot;??_-;_-@_-"/>
    <numFmt numFmtId="167" formatCode="_(* #,##0_);_(* \(#,##0\);_(* &quot;-&quot;??_);_(@_)"/>
    <numFmt numFmtId="168" formatCode="dd\ mmm\ yyyy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BA25F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166" fontId="0" fillId="0" borderId="0" xfId="0" applyNumberFormat="1"/>
    <xf numFmtId="164" fontId="2" fillId="0" borderId="0" xfId="0" applyNumberFormat="1" applyFont="1"/>
    <xf numFmtId="0" fontId="0" fillId="0" borderId="1" xfId="0" applyBorder="1"/>
    <xf numFmtId="166" fontId="0" fillId="0" borderId="1" xfId="0" applyNumberFormat="1" applyBorder="1"/>
    <xf numFmtId="14" fontId="0" fillId="0" borderId="1" xfId="0" applyNumberFormat="1" applyBorder="1"/>
    <xf numFmtId="164" fontId="0" fillId="0" borderId="0" xfId="2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2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/>
    </xf>
    <xf numFmtId="166" fontId="0" fillId="4" borderId="1" xfId="0" applyNumberFormat="1" applyFill="1" applyBorder="1"/>
    <xf numFmtId="166" fontId="0" fillId="3" borderId="1" xfId="2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/>
    <xf numFmtId="166" fontId="0" fillId="6" borderId="1" xfId="0" applyNumberFormat="1" applyFill="1" applyBorder="1" applyAlignment="1">
      <alignment horizontal="right" vertical="center"/>
    </xf>
    <xf numFmtId="166" fontId="0" fillId="7" borderId="1" xfId="0" applyNumberFormat="1" applyFill="1" applyBorder="1"/>
    <xf numFmtId="166" fontId="0" fillId="8" borderId="1" xfId="0" applyNumberFormat="1" applyFill="1" applyBorder="1" applyAlignment="1">
      <alignment horizontal="center" vertical="center"/>
    </xf>
    <xf numFmtId="0" fontId="4" fillId="9" borderId="1" xfId="0" applyFont="1" applyFill="1" applyBorder="1"/>
    <xf numFmtId="166" fontId="4" fillId="9" borderId="1" xfId="0" applyNumberFormat="1" applyFont="1" applyFill="1" applyBorder="1"/>
    <xf numFmtId="0" fontId="6" fillId="0" borderId="1" xfId="0" applyFont="1" applyBorder="1" applyAlignment="1">
      <alignment vertical="center"/>
    </xf>
    <xf numFmtId="0" fontId="6" fillId="9" borderId="1" xfId="3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167" fontId="5" fillId="9" borderId="1" xfId="1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right" vertical="center"/>
    </xf>
    <xf numFmtId="0" fontId="6" fillId="0" borderId="1" xfId="3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6" fontId="2" fillId="0" borderId="0" xfId="0" applyNumberFormat="1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166" fontId="0" fillId="7" borderId="1" xfId="0" applyNumberForma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6" fontId="0" fillId="13" borderId="1" xfId="0" applyNumberFormat="1" applyFill="1" applyBorder="1"/>
    <xf numFmtId="0" fontId="6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2" fillId="10" borderId="1" xfId="2" applyNumberFormat="1" applyFont="1" applyFill="1" applyBorder="1" applyAlignment="1">
      <alignment horizontal="center" vertical="center" wrapText="1"/>
    </xf>
    <xf numFmtId="166" fontId="2" fillId="10" borderId="1" xfId="0" applyNumberFormat="1" applyFont="1" applyFill="1" applyBorder="1" applyAlignment="1">
      <alignment horizontal="center" vertical="center"/>
    </xf>
    <xf numFmtId="166" fontId="0" fillId="0" borderId="1" xfId="2" applyNumberFormat="1" applyFont="1" applyFill="1" applyBorder="1" applyAlignment="1">
      <alignment horizontal="center" vertical="center"/>
    </xf>
    <xf numFmtId="166" fontId="2" fillId="14" borderId="1" xfId="0" applyNumberFormat="1" applyFont="1" applyFill="1" applyBorder="1" applyAlignment="1">
      <alignment vertical="center"/>
    </xf>
    <xf numFmtId="166" fontId="2" fillId="12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164" fontId="2" fillId="15" borderId="1" xfId="2" applyNumberFormat="1" applyFont="1" applyFill="1" applyBorder="1" applyAlignment="1">
      <alignment horizontal="center" vertical="center" wrapText="1"/>
    </xf>
    <xf numFmtId="166" fontId="2" fillId="15" borderId="1" xfId="0" applyNumberFormat="1" applyFon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 vertical="center"/>
    </xf>
    <xf numFmtId="166" fontId="0" fillId="0" borderId="11" xfId="0" applyNumberFormat="1" applyBorder="1"/>
    <xf numFmtId="166" fontId="2" fillId="0" borderId="1" xfId="0" applyNumberFormat="1" applyFont="1" applyBorder="1"/>
    <xf numFmtId="166" fontId="2" fillId="10" borderId="1" xfId="0" applyNumberFormat="1" applyFont="1" applyFill="1" applyBorder="1"/>
    <xf numFmtId="0" fontId="6" fillId="0" borderId="0" xfId="3" applyFont="1" applyAlignment="1">
      <alignment horizontal="left" vertical="center"/>
    </xf>
    <xf numFmtId="0" fontId="0" fillId="2" borderId="0" xfId="0" applyFill="1"/>
    <xf numFmtId="0" fontId="0" fillId="16" borderId="0" xfId="0" applyFill="1"/>
    <xf numFmtId="0" fontId="0" fillId="10" borderId="0" xfId="0" applyFill="1"/>
    <xf numFmtId="0" fontId="0" fillId="15" borderId="0" xfId="0" applyFill="1"/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4" xfId="3" applyFont="1" applyBorder="1" applyAlignment="1">
      <alignment horizontal="left" vertical="center"/>
    </xf>
    <xf numFmtId="0" fontId="6" fillId="0" borderId="12" xfId="3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 wrapText="1"/>
    </xf>
    <xf numFmtId="14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6" fontId="0" fillId="11" borderId="1" xfId="0" applyNumberFormat="1" applyFill="1" applyBorder="1"/>
    <xf numFmtId="166" fontId="2" fillId="11" borderId="1" xfId="0" applyNumberFormat="1" applyFont="1" applyFill="1" applyBorder="1" applyAlignment="1">
      <alignment horizontal="right" vertical="center"/>
    </xf>
    <xf numFmtId="0" fontId="0" fillId="11" borderId="1" xfId="0" applyFill="1" applyBorder="1"/>
    <xf numFmtId="0" fontId="6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0" fontId="6" fillId="11" borderId="1" xfId="3" applyFont="1" applyFill="1" applyBorder="1" applyAlignment="1">
      <alignment horizontal="left" vertical="center"/>
    </xf>
    <xf numFmtId="166" fontId="2" fillId="11" borderId="1" xfId="0" applyNumberFormat="1" applyFont="1" applyFill="1" applyBorder="1"/>
    <xf numFmtId="0" fontId="0" fillId="0" borderId="1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6" fontId="0" fillId="0" borderId="1" xfId="0" applyNumberFormat="1" applyBorder="1" applyAlignment="1">
      <alignment horizontal="right" vertical="center"/>
    </xf>
    <xf numFmtId="0" fontId="0" fillId="0" borderId="14" xfId="0" applyBorder="1"/>
    <xf numFmtId="166" fontId="0" fillId="4" borderId="0" xfId="0" applyNumberFormat="1" applyFill="1"/>
    <xf numFmtId="166" fontId="0" fillId="3" borderId="0" xfId="2" applyNumberFormat="1" applyFont="1" applyFill="1" applyBorder="1" applyAlignment="1">
      <alignment horizontal="center" vertical="center"/>
    </xf>
    <xf numFmtId="166" fontId="2" fillId="5" borderId="0" xfId="0" applyNumberFormat="1" applyFont="1" applyFill="1"/>
    <xf numFmtId="14" fontId="0" fillId="0" borderId="0" xfId="0" applyNumberFormat="1" applyAlignment="1">
      <alignment horizontal="right" vertical="center"/>
    </xf>
    <xf numFmtId="166" fontId="0" fillId="8" borderId="0" xfId="0" applyNumberFormat="1" applyFill="1" applyAlignment="1">
      <alignment horizontal="center" vertical="center"/>
    </xf>
    <xf numFmtId="166" fontId="0" fillId="13" borderId="0" xfId="0" applyNumberFormat="1" applyFill="1"/>
    <xf numFmtId="166" fontId="0" fillId="0" borderId="0" xfId="0" applyNumberFormat="1" applyAlignment="1">
      <alignment horizontal="right" vertical="center"/>
    </xf>
    <xf numFmtId="41" fontId="0" fillId="0" borderId="0" xfId="5" applyFont="1"/>
    <xf numFmtId="168" fontId="0" fillId="0" borderId="1" xfId="0" applyNumberFormat="1" applyBorder="1"/>
    <xf numFmtId="41" fontId="0" fillId="0" borderId="1" xfId="5" applyFont="1" applyBorder="1"/>
    <xf numFmtId="0" fontId="0" fillId="11" borderId="0" xfId="0" applyFill="1" applyAlignment="1">
      <alignment horizontal="center" vertical="center"/>
    </xf>
    <xf numFmtId="0" fontId="0" fillId="11" borderId="14" xfId="0" applyFill="1" applyBorder="1"/>
    <xf numFmtId="166" fontId="0" fillId="11" borderId="0" xfId="0" applyNumberFormat="1" applyFill="1"/>
    <xf numFmtId="166" fontId="0" fillId="11" borderId="0" xfId="2" applyNumberFormat="1" applyFont="1" applyFill="1" applyBorder="1" applyAlignment="1">
      <alignment horizontal="center" vertical="center"/>
    </xf>
    <xf numFmtId="166" fontId="2" fillId="11" borderId="0" xfId="0" applyNumberFormat="1" applyFont="1" applyFill="1"/>
    <xf numFmtId="14" fontId="0" fillId="11" borderId="0" xfId="0" applyNumberFormat="1" applyFill="1" applyAlignment="1">
      <alignment horizontal="right" vertical="center"/>
    </xf>
    <xf numFmtId="166" fontId="0" fillId="11" borderId="0" xfId="0" applyNumberFormat="1" applyFill="1" applyAlignment="1">
      <alignment horizontal="center" vertical="center"/>
    </xf>
    <xf numFmtId="166" fontId="0" fillId="11" borderId="0" xfId="0" applyNumberFormat="1" applyFill="1" applyAlignment="1">
      <alignment horizontal="right" vertical="center"/>
    </xf>
    <xf numFmtId="0" fontId="2" fillId="11" borderId="0" xfId="0" applyFont="1" applyFill="1" applyAlignment="1">
      <alignment horizontal="center" vertical="center"/>
    </xf>
    <xf numFmtId="0" fontId="0" fillId="11" borderId="0" xfId="0" applyFill="1"/>
    <xf numFmtId="0" fontId="0" fillId="2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  <xf numFmtId="166" fontId="2" fillId="2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166" fontId="2" fillId="10" borderId="2" xfId="0" applyNumberFormat="1" applyFont="1" applyFill="1" applyBorder="1" applyAlignment="1">
      <alignment horizontal="center" vertical="center" wrapText="1"/>
    </xf>
    <xf numFmtId="166" fontId="2" fillId="10" borderId="3" xfId="0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166" fontId="2" fillId="1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/>
    </xf>
    <xf numFmtId="166" fontId="2" fillId="15" borderId="2" xfId="0" applyNumberFormat="1" applyFont="1" applyFill="1" applyBorder="1" applyAlignment="1">
      <alignment horizontal="center" vertical="center" wrapText="1"/>
    </xf>
    <xf numFmtId="166" fontId="2" fillId="15" borderId="3" xfId="0" applyNumberFormat="1" applyFont="1" applyFill="1" applyBorder="1" applyAlignment="1">
      <alignment horizontal="center" vertical="center" wrapText="1"/>
    </xf>
    <xf numFmtId="164" fontId="2" fillId="15" borderId="1" xfId="0" applyNumberFormat="1" applyFont="1" applyFill="1" applyBorder="1" applyAlignment="1">
      <alignment horizontal="center" vertical="center"/>
    </xf>
    <xf numFmtId="166" fontId="2" fillId="15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6">
    <cellStyle name="Comma" xfId="1" builtinId="3"/>
    <cellStyle name="Comma [0]" xfId="5" builtinId="6"/>
    <cellStyle name="Comma 2" xfId="4" xr:uid="{4C94E3F2-2603-4CC5-8E07-3E96B07FD1D6}"/>
    <cellStyle name="Normal" xfId="0" builtinId="0"/>
    <cellStyle name="Normal 2" xfId="3" xr:uid="{71EA4FB8-D63D-4715-BABD-FF65855AE880}"/>
    <cellStyle name="Percent" xfId="2" builtinId="5"/>
  </cellStyles>
  <dxfs count="34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BA25F"/>
      <color rgb="FFF3C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ul cahyo" id="{3DE5F1F6-66FF-DC42-AD31-24E21E89AFD8}" userId="7ad42cac66f58306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9" dT="2026-07-27T01:53:56.22" personId="{3DE5F1F6-66FF-DC42-AD31-24E21E89AFD8}" id="{94002D5D-85B5-6B49-BB53-24FC6696829A}">
    <text xml:space="preserve">sudah dikembalikan 23 juli 2026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6" dT="2026-08-19T03:02:18.77" personId="{3DE5F1F6-66FF-DC42-AD31-24E21E89AFD8}" id="{2D36804B-E680-4C45-BD49-6B29B3224CC7}">
    <text>tanggal 2 agustus 
pengambilan daging 169.600</text>
  </threadedComment>
  <threadedComment ref="J6" dT="2026-09-03T04:52:20.71" personId="{3DE5F1F6-66FF-DC42-AD31-24E21E89AFD8}" id="{3228BD14-6692-0242-81B8-E36685BE0753}" parentId="{2D36804B-E680-4C45-BD49-6B29B3224CC7}">
    <text>224000 dipotong pas keluar</text>
  </threadedComment>
  <threadedComment ref="I8" dT="2026-07-14T01:21:50.29" personId="{3DE5F1F6-66FF-DC42-AD31-24E21E89AFD8}" id="{D6841A4C-77CE-374B-AEFB-0B3115259A54}">
    <text xml:space="preserve">6/3/2026 bayar daging
</text>
  </threadedComment>
  <threadedComment ref="I8" dT="2026-07-14T01:23:05.05" personId="{3DE5F1F6-66FF-DC42-AD31-24E21E89AFD8}" id="{F7983F07-E1C2-0A4F-9C16-5D669F88D6B2}" parentId="{D6841A4C-77CE-374B-AEFB-0B3115259A54}">
    <text>12/6/2026 bayar daging</text>
  </threadedComment>
  <threadedComment ref="J8" dT="2026-08-19T03:05:00.87" personId="{3DE5F1F6-66FF-DC42-AD31-24E21E89AFD8}" id="{917B6E57-E5C5-B840-9877-F4624BF73616}">
    <text xml:space="preserve">Tanggal 28 Juli 2026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C7E6-2881-47C8-A876-A72BC35EF48E}">
  <sheetPr filterMode="1"/>
  <dimension ref="A1:AA128"/>
  <sheetViews>
    <sheetView zoomScaleNormal="100" workbookViewId="0">
      <pane xSplit="2" ySplit="4" topLeftCell="C10" activePane="bottomRight" state="frozen"/>
      <selection pane="topRight" activeCell="C1" sqref="C1"/>
      <selection pane="bottomLeft" activeCell="A5" sqref="A5"/>
      <selection pane="bottomRight" activeCell="I30" sqref="I30"/>
    </sheetView>
  </sheetViews>
  <sheetFormatPr baseColWidth="10" defaultColWidth="8.83203125" defaultRowHeight="15" x14ac:dyDescent="0.2"/>
  <cols>
    <col min="1" max="1" width="5.5" customWidth="1"/>
    <col min="2" max="2" width="22.33203125" bestFit="1" customWidth="1"/>
    <col min="3" max="3" width="29.1640625" bestFit="1" customWidth="1"/>
    <col min="4" max="4" width="15.5" customWidth="1"/>
    <col min="5" max="5" width="14.5" style="9" customWidth="1"/>
    <col min="6" max="6" width="15.5" style="5" customWidth="1"/>
    <col min="7" max="7" width="12" customWidth="1"/>
    <col min="8" max="8" width="9.1640625" style="1"/>
    <col min="9" max="9" width="14.5" style="10" customWidth="1"/>
    <col min="10" max="10" width="15.6640625" style="4" customWidth="1"/>
    <col min="11" max="11" width="13.6640625" style="4" customWidth="1"/>
    <col min="12" max="12" width="14.83203125" style="4" customWidth="1"/>
    <col min="13" max="23" width="13.6640625" style="4" customWidth="1"/>
    <col min="24" max="24" width="15.5" style="4" customWidth="1"/>
    <col min="25" max="25" width="14.33203125" style="4" customWidth="1"/>
    <col min="26" max="26" width="11.5" customWidth="1"/>
    <col min="27" max="27" width="31.83203125" customWidth="1"/>
  </cols>
  <sheetData>
    <row r="1" spans="1:27" ht="31" x14ac:dyDescent="0.2">
      <c r="A1" s="114" t="s">
        <v>198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7" x14ac:dyDescent="0.2">
      <c r="B2" t="s">
        <v>178</v>
      </c>
    </row>
    <row r="3" spans="1:27" x14ac:dyDescent="0.2">
      <c r="A3" s="115" t="s">
        <v>20</v>
      </c>
      <c r="B3" s="115" t="s">
        <v>0</v>
      </c>
      <c r="C3" s="115" t="s">
        <v>1</v>
      </c>
      <c r="D3" s="119" t="s">
        <v>4</v>
      </c>
      <c r="E3" s="119"/>
      <c r="F3" s="119"/>
      <c r="G3" s="120" t="s">
        <v>5</v>
      </c>
      <c r="H3" s="120" t="s">
        <v>26</v>
      </c>
      <c r="I3" s="117" t="s">
        <v>25</v>
      </c>
      <c r="J3" s="117" t="s">
        <v>22</v>
      </c>
      <c r="K3" s="121" t="s">
        <v>18</v>
      </c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2" t="s">
        <v>184</v>
      </c>
      <c r="X3" s="116" t="s">
        <v>21</v>
      </c>
      <c r="Y3" s="116" t="s">
        <v>19</v>
      </c>
      <c r="Z3" s="115" t="s">
        <v>31</v>
      </c>
      <c r="AA3" s="113" t="s">
        <v>125</v>
      </c>
    </row>
    <row r="4" spans="1:27" ht="28.5" customHeight="1" x14ac:dyDescent="0.2">
      <c r="A4" s="115"/>
      <c r="B4" s="115"/>
      <c r="C4" s="115"/>
      <c r="D4" s="11" t="s">
        <v>2</v>
      </c>
      <c r="E4" s="13" t="s">
        <v>24</v>
      </c>
      <c r="F4" s="12" t="s">
        <v>3</v>
      </c>
      <c r="G4" s="120"/>
      <c r="H4" s="120"/>
      <c r="I4" s="118"/>
      <c r="J4" s="118"/>
      <c r="K4" s="14" t="s">
        <v>7</v>
      </c>
      <c r="L4" s="14" t="s">
        <v>8</v>
      </c>
      <c r="M4" s="14" t="s">
        <v>9</v>
      </c>
      <c r="N4" s="14" t="s">
        <v>10</v>
      </c>
      <c r="O4" s="14" t="s">
        <v>6</v>
      </c>
      <c r="P4" s="14" t="s">
        <v>11</v>
      </c>
      <c r="Q4" s="14" t="s">
        <v>12</v>
      </c>
      <c r="R4" s="14" t="s">
        <v>13</v>
      </c>
      <c r="S4" s="14" t="s">
        <v>14</v>
      </c>
      <c r="T4" s="14" t="s">
        <v>15</v>
      </c>
      <c r="U4" s="14" t="s">
        <v>16</v>
      </c>
      <c r="V4" s="14" t="s">
        <v>17</v>
      </c>
      <c r="W4" s="123"/>
      <c r="X4" s="116"/>
      <c r="Y4" s="116"/>
      <c r="Z4" s="115"/>
      <c r="AA4" s="113"/>
    </row>
    <row r="5" spans="1:27" hidden="1" x14ac:dyDescent="0.2">
      <c r="A5" s="2">
        <v>1</v>
      </c>
      <c r="B5" s="23" t="s">
        <v>29</v>
      </c>
      <c r="C5" s="6" t="s">
        <v>23</v>
      </c>
      <c r="D5" s="15">
        <v>2650000</v>
      </c>
      <c r="E5" s="16">
        <f t="shared" ref="E5:E6" si="0">D5*20%</f>
        <v>530000</v>
      </c>
      <c r="F5" s="17">
        <f t="shared" ref="F5:F6" si="1">D5+E5</f>
        <v>3180000</v>
      </c>
      <c r="G5" s="77">
        <v>45692</v>
      </c>
      <c r="H5" s="2">
        <v>12</v>
      </c>
      <c r="I5" s="20">
        <f t="shared" ref="I5:I6" si="2">F5/H5</f>
        <v>265000</v>
      </c>
      <c r="J5" s="39">
        <v>2385000</v>
      </c>
      <c r="K5" s="7">
        <v>265000</v>
      </c>
      <c r="L5" s="7">
        <v>265000</v>
      </c>
      <c r="M5" s="7">
        <v>265000</v>
      </c>
      <c r="N5" s="7"/>
      <c r="O5" s="7"/>
      <c r="P5" s="7"/>
      <c r="Q5" s="7"/>
      <c r="R5" s="7"/>
      <c r="S5" s="7"/>
      <c r="T5" s="7"/>
      <c r="U5" s="7"/>
      <c r="V5" s="7"/>
      <c r="W5" s="56"/>
      <c r="X5" s="18">
        <f t="shared" ref="X5:X8" si="3">J5+K5+L5+M5+N5+O5+P5+Q5+R5+S5+T5+U5+V5+W5</f>
        <v>3180000</v>
      </c>
      <c r="Y5" s="19">
        <f t="shared" ref="Y5:Y7" si="4">F5-X5</f>
        <v>0</v>
      </c>
      <c r="Z5" s="30" t="str">
        <f t="shared" ref="Z5:Z12" si="5">IF(X5=0," ",IF(Y5=0,"Lunas",""))</f>
        <v>Lunas</v>
      </c>
      <c r="AA5" s="6"/>
    </row>
    <row r="6" spans="1:27" hidden="1" x14ac:dyDescent="0.2">
      <c r="A6" s="2">
        <v>2</v>
      </c>
      <c r="B6" s="23" t="s">
        <v>112</v>
      </c>
      <c r="C6" s="6" t="s">
        <v>23</v>
      </c>
      <c r="D6" s="15">
        <v>4500000</v>
      </c>
      <c r="E6" s="16">
        <f t="shared" si="0"/>
        <v>900000</v>
      </c>
      <c r="F6" s="17">
        <f t="shared" si="1"/>
        <v>5400000</v>
      </c>
      <c r="G6" s="77">
        <v>45632</v>
      </c>
      <c r="H6" s="2">
        <v>15</v>
      </c>
      <c r="I6" s="20">
        <f t="shared" si="2"/>
        <v>360000</v>
      </c>
      <c r="J6" s="39">
        <v>3960000</v>
      </c>
      <c r="K6" s="7">
        <v>360000</v>
      </c>
      <c r="L6" s="7">
        <v>360000</v>
      </c>
      <c r="M6" s="7">
        <v>360000</v>
      </c>
      <c r="N6" s="7">
        <v>360000</v>
      </c>
      <c r="O6" s="7"/>
      <c r="P6" s="7"/>
      <c r="Q6" s="7"/>
      <c r="R6" s="7"/>
      <c r="S6" s="7"/>
      <c r="T6" s="7"/>
      <c r="U6" s="7"/>
      <c r="V6" s="7"/>
      <c r="W6" s="56"/>
      <c r="X6" s="18">
        <f t="shared" si="3"/>
        <v>5400000</v>
      </c>
      <c r="Y6" s="19">
        <f t="shared" si="4"/>
        <v>0</v>
      </c>
      <c r="Z6" s="30" t="str">
        <f t="shared" si="5"/>
        <v>Lunas</v>
      </c>
      <c r="AA6" s="6"/>
    </row>
    <row r="7" spans="1:27" hidden="1" x14ac:dyDescent="0.2">
      <c r="A7" s="2">
        <v>3</v>
      </c>
      <c r="B7" s="29" t="s">
        <v>175</v>
      </c>
      <c r="C7" s="6" t="s">
        <v>191</v>
      </c>
      <c r="D7" s="15">
        <v>3000000</v>
      </c>
      <c r="E7" s="16">
        <f t="shared" ref="E7" si="6">D7*20%</f>
        <v>600000</v>
      </c>
      <c r="F7" s="17">
        <f t="shared" ref="F7" si="7">D7+E7</f>
        <v>3600000</v>
      </c>
      <c r="G7" s="77">
        <v>45959</v>
      </c>
      <c r="H7" s="2">
        <v>10</v>
      </c>
      <c r="I7" s="20">
        <f t="shared" ref="I7:I10" si="8">F7/H7</f>
        <v>360000</v>
      </c>
      <c r="J7" s="39">
        <v>720000</v>
      </c>
      <c r="K7" s="7">
        <v>360000</v>
      </c>
      <c r="L7" s="7">
        <v>360000</v>
      </c>
      <c r="M7" s="7">
        <v>360000</v>
      </c>
      <c r="N7" s="7"/>
      <c r="O7" s="7"/>
      <c r="P7" s="7"/>
      <c r="Q7" s="7"/>
      <c r="R7" s="7"/>
      <c r="S7" s="7"/>
      <c r="T7" s="7"/>
      <c r="U7" s="7"/>
      <c r="V7" s="7"/>
      <c r="W7" s="56">
        <v>1800000</v>
      </c>
      <c r="X7" s="18">
        <f t="shared" si="3"/>
        <v>3600000</v>
      </c>
      <c r="Y7" s="19">
        <f t="shared" si="4"/>
        <v>0</v>
      </c>
      <c r="Z7" s="30" t="str">
        <f t="shared" si="5"/>
        <v>Lunas</v>
      </c>
      <c r="AA7" s="6"/>
    </row>
    <row r="8" spans="1:27" hidden="1" x14ac:dyDescent="0.2">
      <c r="A8" s="2">
        <v>4</v>
      </c>
      <c r="B8" s="29" t="s">
        <v>146</v>
      </c>
      <c r="C8" s="6" t="s">
        <v>180</v>
      </c>
      <c r="D8" s="15">
        <v>6900000</v>
      </c>
      <c r="E8" s="16">
        <f>D8*20%</f>
        <v>1380000</v>
      </c>
      <c r="F8" s="17">
        <f>D8+E8</f>
        <v>8280000</v>
      </c>
      <c r="G8" s="77">
        <v>45831</v>
      </c>
      <c r="H8" s="2">
        <v>10</v>
      </c>
      <c r="I8" s="20">
        <f t="shared" si="8"/>
        <v>828000</v>
      </c>
      <c r="J8" s="39">
        <v>4968000</v>
      </c>
      <c r="K8" s="7">
        <v>828000</v>
      </c>
      <c r="L8" s="7">
        <v>828000</v>
      </c>
      <c r="M8" s="7">
        <v>828000</v>
      </c>
      <c r="N8" s="7">
        <v>828000</v>
      </c>
      <c r="O8" s="7"/>
      <c r="P8" s="7"/>
      <c r="Q8" s="7"/>
      <c r="R8" s="7"/>
      <c r="S8" s="7"/>
      <c r="T8" s="7"/>
      <c r="U8" s="7"/>
      <c r="V8" s="7"/>
      <c r="W8" s="56"/>
      <c r="X8" s="18">
        <f t="shared" si="3"/>
        <v>8280000</v>
      </c>
      <c r="Y8" s="19">
        <f t="shared" ref="Y8" si="9">F8-X8</f>
        <v>0</v>
      </c>
      <c r="Z8" s="30" t="str">
        <f t="shared" si="5"/>
        <v>Lunas</v>
      </c>
      <c r="AA8" s="6"/>
    </row>
    <row r="9" spans="1:27" hidden="1" x14ac:dyDescent="0.2">
      <c r="A9" s="2">
        <v>5</v>
      </c>
      <c r="B9" s="6" t="s">
        <v>169</v>
      </c>
      <c r="C9" s="6" t="s">
        <v>192</v>
      </c>
      <c r="D9" s="15">
        <v>3000000</v>
      </c>
      <c r="E9" s="16">
        <f>D9*20%</f>
        <v>600000</v>
      </c>
      <c r="F9" s="17">
        <f>D9+E9</f>
        <v>3600000</v>
      </c>
      <c r="G9" s="77">
        <v>45972</v>
      </c>
      <c r="H9" s="2">
        <v>10</v>
      </c>
      <c r="I9" s="20">
        <f t="shared" si="8"/>
        <v>360000</v>
      </c>
      <c r="J9" s="39">
        <v>360000</v>
      </c>
      <c r="K9" s="7">
        <v>360000</v>
      </c>
      <c r="L9" s="7">
        <v>360000</v>
      </c>
      <c r="M9" s="7">
        <v>360000</v>
      </c>
      <c r="N9" s="7">
        <v>360000</v>
      </c>
      <c r="O9" s="7">
        <f>360000+1800000</f>
        <v>2160000</v>
      </c>
      <c r="P9" s="7">
        <v>360000</v>
      </c>
      <c r="Q9" s="7">
        <v>-720000</v>
      </c>
      <c r="R9" s="7"/>
      <c r="S9" s="7"/>
      <c r="T9" s="7"/>
      <c r="U9" s="7"/>
      <c r="V9" s="7"/>
      <c r="W9" s="56"/>
      <c r="X9" s="18">
        <f t="shared" ref="X9:X11" si="10">J9+K9+L9+M9+N9+O9+P9+Q9+R9+S9+T9+U9+V9+W9</f>
        <v>3600000</v>
      </c>
      <c r="Y9" s="19">
        <f t="shared" ref="Y9:Y10" si="11">F9-X9</f>
        <v>0</v>
      </c>
      <c r="Z9" s="30" t="str">
        <f t="shared" si="5"/>
        <v>Lunas</v>
      </c>
      <c r="AA9" s="6"/>
    </row>
    <row r="10" spans="1:27" x14ac:dyDescent="0.2">
      <c r="A10" s="2">
        <v>6</v>
      </c>
      <c r="B10" s="6" t="s">
        <v>190</v>
      </c>
      <c r="C10" s="6" t="s">
        <v>179</v>
      </c>
      <c r="D10" s="15">
        <v>7500000</v>
      </c>
      <c r="E10" s="16">
        <f t="shared" ref="E10" si="12">D10*20%</f>
        <v>1500000</v>
      </c>
      <c r="F10" s="17">
        <f t="shared" ref="F10" si="13">D10+E10</f>
        <v>9000000</v>
      </c>
      <c r="G10" s="77">
        <v>45798</v>
      </c>
      <c r="H10" s="2">
        <v>10</v>
      </c>
      <c r="I10" s="20">
        <f t="shared" si="8"/>
        <v>900000</v>
      </c>
      <c r="J10" s="39">
        <v>5400000</v>
      </c>
      <c r="K10" s="7">
        <v>900000</v>
      </c>
      <c r="L10" s="7">
        <v>900000</v>
      </c>
      <c r="M10" s="7">
        <v>900000</v>
      </c>
      <c r="N10" s="7">
        <v>900000</v>
      </c>
      <c r="O10" s="7"/>
      <c r="P10" s="7"/>
      <c r="Q10" s="7"/>
      <c r="R10" s="7"/>
      <c r="S10" s="7"/>
      <c r="T10" s="7"/>
      <c r="U10" s="7"/>
      <c r="V10" s="7"/>
      <c r="W10" s="56"/>
      <c r="X10" s="18">
        <f t="shared" si="10"/>
        <v>9000000</v>
      </c>
      <c r="Y10" s="19">
        <f t="shared" si="11"/>
        <v>0</v>
      </c>
      <c r="Z10" s="30" t="str">
        <f t="shared" si="5"/>
        <v>Lunas</v>
      </c>
      <c r="AA10" s="6"/>
    </row>
    <row r="11" spans="1:27" hidden="1" x14ac:dyDescent="0.2">
      <c r="A11" s="2">
        <v>7</v>
      </c>
      <c r="B11" s="6" t="s">
        <v>220</v>
      </c>
      <c r="C11" s="6" t="s">
        <v>185</v>
      </c>
      <c r="D11" s="15">
        <v>7999000</v>
      </c>
      <c r="E11" s="16">
        <f>D11*20%</f>
        <v>1599800</v>
      </c>
      <c r="F11" s="17">
        <f>D11+E11</f>
        <v>9598800</v>
      </c>
      <c r="G11" s="77">
        <v>45854</v>
      </c>
      <c r="H11" s="2">
        <v>12</v>
      </c>
      <c r="I11" s="20">
        <f t="shared" ref="I11:I18" si="14">F11/H11</f>
        <v>799900</v>
      </c>
      <c r="J11" s="39">
        <v>3999500</v>
      </c>
      <c r="K11" s="7">
        <v>799900</v>
      </c>
      <c r="L11" s="7">
        <v>799900</v>
      </c>
      <c r="M11" s="7">
        <v>799900</v>
      </c>
      <c r="N11" s="7">
        <v>799900</v>
      </c>
      <c r="O11" s="7">
        <v>799900</v>
      </c>
      <c r="P11" s="7">
        <v>799900</v>
      </c>
      <c r="Q11" s="7">
        <v>799900</v>
      </c>
      <c r="R11" s="7"/>
      <c r="S11" s="7"/>
      <c r="T11" s="7"/>
      <c r="U11" s="7"/>
      <c r="V11" s="7"/>
      <c r="W11" s="56"/>
      <c r="X11" s="18">
        <f t="shared" si="10"/>
        <v>9598800</v>
      </c>
      <c r="Y11" s="19">
        <f>F11-X11</f>
        <v>0</v>
      </c>
      <c r="Z11" s="30" t="str">
        <f t="shared" si="5"/>
        <v>Lunas</v>
      </c>
      <c r="AA11" s="6"/>
    </row>
    <row r="12" spans="1:27" hidden="1" x14ac:dyDescent="0.2">
      <c r="A12" s="2">
        <v>8</v>
      </c>
      <c r="B12" s="6" t="s">
        <v>219</v>
      </c>
      <c r="C12" s="6" t="s">
        <v>197</v>
      </c>
      <c r="D12" s="15">
        <v>7000000</v>
      </c>
      <c r="E12" s="16">
        <f>D12*20%</f>
        <v>1400000</v>
      </c>
      <c r="F12" s="17">
        <f>D12+E12</f>
        <v>8400000</v>
      </c>
      <c r="G12" s="77">
        <v>45995</v>
      </c>
      <c r="H12" s="2">
        <v>10</v>
      </c>
      <c r="I12" s="20">
        <f t="shared" si="14"/>
        <v>840000</v>
      </c>
      <c r="J12" s="39"/>
      <c r="K12" s="7">
        <v>840000</v>
      </c>
      <c r="L12" s="7">
        <v>840000</v>
      </c>
      <c r="M12" s="7">
        <v>840000</v>
      </c>
      <c r="N12" s="7">
        <v>840000</v>
      </c>
      <c r="O12" s="7">
        <v>840000</v>
      </c>
      <c r="P12" s="7">
        <v>840000</v>
      </c>
      <c r="Q12" s="7">
        <v>840000</v>
      </c>
      <c r="R12" s="7">
        <v>840000</v>
      </c>
      <c r="S12" s="7"/>
      <c r="T12" s="7"/>
      <c r="U12" s="7"/>
      <c r="V12" s="7"/>
      <c r="W12" s="56"/>
      <c r="X12" s="18">
        <f t="shared" ref="X12:X18" si="15">J12+K12+L12+M12+N12+O12+P12+Q12+R12+S12+T12+U12+V12+W12</f>
        <v>6720000</v>
      </c>
      <c r="Y12" s="19">
        <f t="shared" ref="Y12:Y18" si="16">F12-X12</f>
        <v>1680000</v>
      </c>
      <c r="Z12" s="30" t="str">
        <f t="shared" si="5"/>
        <v/>
      </c>
      <c r="AA12" s="6"/>
    </row>
    <row r="13" spans="1:27" hidden="1" x14ac:dyDescent="0.2">
      <c r="A13" s="2">
        <v>9</v>
      </c>
      <c r="B13" s="6" t="s">
        <v>157</v>
      </c>
      <c r="C13" s="6" t="s">
        <v>199</v>
      </c>
      <c r="D13" s="15">
        <v>5049000</v>
      </c>
      <c r="E13" s="16">
        <f>D13*20%</f>
        <v>1009800</v>
      </c>
      <c r="F13" s="17">
        <f>D13+E13</f>
        <v>6058800</v>
      </c>
      <c r="G13" s="77" t="s">
        <v>201</v>
      </c>
      <c r="H13" s="2">
        <v>12</v>
      </c>
      <c r="I13" s="20">
        <f t="shared" si="14"/>
        <v>504900</v>
      </c>
      <c r="J13" s="39"/>
      <c r="K13" s="7">
        <v>504900</v>
      </c>
      <c r="L13" s="7">
        <v>504900</v>
      </c>
      <c r="M13" s="7">
        <v>504900</v>
      </c>
      <c r="N13" s="7">
        <v>504900</v>
      </c>
      <c r="O13" s="7">
        <v>504900</v>
      </c>
      <c r="P13" s="7">
        <v>504900</v>
      </c>
      <c r="Q13" s="7">
        <v>504900</v>
      </c>
      <c r="R13" s="7">
        <v>504900</v>
      </c>
      <c r="S13" s="7"/>
      <c r="T13" s="7"/>
      <c r="U13" s="7"/>
      <c r="V13" s="7"/>
      <c r="W13" s="56"/>
      <c r="X13" s="18">
        <f t="shared" si="15"/>
        <v>4039200</v>
      </c>
      <c r="Y13" s="19">
        <f t="shared" si="16"/>
        <v>2019600</v>
      </c>
      <c r="Z13" s="30" t="str">
        <f t="shared" ref="Z13:Z18" si="17">IF(X13=0," ",IF(Y13=0,"Lunas",""))</f>
        <v/>
      </c>
      <c r="AA13" s="6"/>
    </row>
    <row r="14" spans="1:27" hidden="1" x14ac:dyDescent="0.2">
      <c r="A14" s="2">
        <v>10</v>
      </c>
      <c r="B14" s="6" t="s">
        <v>142</v>
      </c>
      <c r="C14" s="6" t="s">
        <v>206</v>
      </c>
      <c r="D14" s="15">
        <v>9500000</v>
      </c>
      <c r="E14" s="16">
        <f>D14*20%</f>
        <v>1900000</v>
      </c>
      <c r="F14" s="17">
        <f>D14+E14</f>
        <v>11400000</v>
      </c>
      <c r="G14" s="77">
        <v>46064</v>
      </c>
      <c r="H14" s="2">
        <v>10</v>
      </c>
      <c r="I14" s="20">
        <f t="shared" si="14"/>
        <v>1140000</v>
      </c>
      <c r="J14" s="39"/>
      <c r="K14" s="7"/>
      <c r="L14" s="7"/>
      <c r="M14" s="7">
        <v>1140000</v>
      </c>
      <c r="N14" s="7">
        <v>1140000</v>
      </c>
      <c r="O14" s="7">
        <v>1140000</v>
      </c>
      <c r="P14" s="7">
        <v>1140000</v>
      </c>
      <c r="Q14" s="7">
        <v>1140000</v>
      </c>
      <c r="R14" s="7">
        <v>1140000</v>
      </c>
      <c r="S14" s="7"/>
      <c r="T14" s="7"/>
      <c r="U14" s="7"/>
      <c r="V14" s="7"/>
      <c r="W14" s="56"/>
      <c r="X14" s="18">
        <f t="shared" si="15"/>
        <v>6840000</v>
      </c>
      <c r="Y14" s="19">
        <f t="shared" si="16"/>
        <v>4560000</v>
      </c>
      <c r="Z14" s="30" t="str">
        <f t="shared" si="17"/>
        <v/>
      </c>
      <c r="AA14" s="6"/>
    </row>
    <row r="15" spans="1:27" hidden="1" x14ac:dyDescent="0.2">
      <c r="A15" s="2">
        <v>11</v>
      </c>
      <c r="B15" s="6" t="s">
        <v>146</v>
      </c>
      <c r="C15" s="6" t="s">
        <v>197</v>
      </c>
      <c r="D15" s="15">
        <v>7500000</v>
      </c>
      <c r="E15" s="16">
        <f t="shared" ref="E15" si="18">D15*20%</f>
        <v>1500000</v>
      </c>
      <c r="F15" s="17">
        <f t="shared" ref="F15:F17" si="19">D15+E15</f>
        <v>9000000</v>
      </c>
      <c r="G15" s="77"/>
      <c r="H15" s="2">
        <v>10</v>
      </c>
      <c r="I15" s="20">
        <f t="shared" si="14"/>
        <v>900000</v>
      </c>
      <c r="J15" s="39"/>
      <c r="K15" s="7"/>
      <c r="L15" s="7"/>
      <c r="M15" s="7"/>
      <c r="N15" s="7"/>
      <c r="O15" s="7">
        <v>900000</v>
      </c>
      <c r="P15" s="7">
        <v>900000</v>
      </c>
      <c r="Q15" s="7">
        <v>900000</v>
      </c>
      <c r="R15" s="7">
        <v>900000</v>
      </c>
      <c r="S15" s="7"/>
      <c r="T15" s="7"/>
      <c r="U15" s="7"/>
      <c r="V15" s="7"/>
      <c r="W15" s="56"/>
      <c r="X15" s="18">
        <f t="shared" si="15"/>
        <v>3600000</v>
      </c>
      <c r="Y15" s="19">
        <f t="shared" si="16"/>
        <v>5400000</v>
      </c>
      <c r="Z15" s="30" t="str">
        <f t="shared" si="17"/>
        <v/>
      </c>
      <c r="AA15" s="6"/>
    </row>
    <row r="16" spans="1:27" hidden="1" x14ac:dyDescent="0.2">
      <c r="A16" s="2">
        <v>12</v>
      </c>
      <c r="B16" s="6" t="s">
        <v>215</v>
      </c>
      <c r="C16" s="6" t="s">
        <v>216</v>
      </c>
      <c r="D16" s="15">
        <v>700000</v>
      </c>
      <c r="E16" s="16">
        <v>0</v>
      </c>
      <c r="F16" s="17">
        <f t="shared" si="19"/>
        <v>700000</v>
      </c>
      <c r="G16" s="77">
        <v>46141</v>
      </c>
      <c r="H16" s="2">
        <v>3</v>
      </c>
      <c r="I16" s="20">
        <f t="shared" si="14"/>
        <v>233333.33333333334</v>
      </c>
      <c r="J16" s="39"/>
      <c r="K16" s="7"/>
      <c r="L16" s="7"/>
      <c r="M16" s="7"/>
      <c r="N16" s="7"/>
      <c r="O16" s="7"/>
      <c r="P16" s="7">
        <v>233333</v>
      </c>
      <c r="Q16" s="7">
        <v>233333</v>
      </c>
      <c r="R16" s="7">
        <v>233333</v>
      </c>
      <c r="S16" s="7"/>
      <c r="T16" s="7"/>
      <c r="U16" s="7"/>
      <c r="V16" s="7"/>
      <c r="W16" s="56"/>
      <c r="X16" s="18">
        <f t="shared" si="15"/>
        <v>699999</v>
      </c>
      <c r="Y16" s="19">
        <f t="shared" si="16"/>
        <v>1</v>
      </c>
      <c r="Z16" s="30" t="str">
        <f t="shared" si="17"/>
        <v/>
      </c>
      <c r="AA16" s="6"/>
    </row>
    <row r="17" spans="1:27" hidden="1" x14ac:dyDescent="0.2">
      <c r="A17" s="2">
        <v>13</v>
      </c>
      <c r="B17" s="6" t="s">
        <v>221</v>
      </c>
      <c r="C17" s="6" t="s">
        <v>216</v>
      </c>
      <c r="D17" s="15">
        <v>750000</v>
      </c>
      <c r="E17" s="16">
        <v>0</v>
      </c>
      <c r="F17" s="17">
        <f t="shared" si="19"/>
        <v>750000</v>
      </c>
      <c r="G17" s="77">
        <v>46141</v>
      </c>
      <c r="H17" s="2">
        <v>3</v>
      </c>
      <c r="I17" s="20">
        <f t="shared" si="14"/>
        <v>250000</v>
      </c>
      <c r="J17" s="39"/>
      <c r="K17" s="7"/>
      <c r="L17" s="7"/>
      <c r="M17" s="7"/>
      <c r="N17" s="7"/>
      <c r="O17" s="7"/>
      <c r="P17" s="7">
        <v>250000</v>
      </c>
      <c r="Q17" s="7">
        <v>250000</v>
      </c>
      <c r="R17" s="7">
        <v>250000</v>
      </c>
      <c r="S17" s="7"/>
      <c r="T17" s="7"/>
      <c r="U17" s="7"/>
      <c r="V17" s="7"/>
      <c r="W17" s="56"/>
      <c r="X17" s="18">
        <f t="shared" si="15"/>
        <v>750000</v>
      </c>
      <c r="Y17" s="19">
        <f t="shared" si="16"/>
        <v>0</v>
      </c>
      <c r="Z17" s="30" t="str">
        <f t="shared" si="17"/>
        <v>Lunas</v>
      </c>
      <c r="AA17" s="6"/>
    </row>
    <row r="18" spans="1:27" x14ac:dyDescent="0.2">
      <c r="A18" s="2">
        <v>14</v>
      </c>
      <c r="B18" s="6" t="s">
        <v>190</v>
      </c>
      <c r="C18" s="6" t="s">
        <v>217</v>
      </c>
      <c r="D18" s="15">
        <v>5000000</v>
      </c>
      <c r="E18" s="16">
        <f>D18*20%</f>
        <v>1000000</v>
      </c>
      <c r="F18" s="17">
        <f>D18+E18</f>
        <v>6000000</v>
      </c>
      <c r="G18" s="77">
        <v>46188</v>
      </c>
      <c r="H18" s="2">
        <v>10</v>
      </c>
      <c r="I18" s="20">
        <f t="shared" si="14"/>
        <v>600000</v>
      </c>
      <c r="J18" s="39"/>
      <c r="K18" s="7"/>
      <c r="L18" s="7"/>
      <c r="M18" s="7"/>
      <c r="N18" s="7"/>
      <c r="O18" s="7"/>
      <c r="P18" s="7"/>
      <c r="Q18" s="7">
        <v>600000</v>
      </c>
      <c r="R18" s="7">
        <v>600000</v>
      </c>
      <c r="S18" s="7"/>
      <c r="T18" s="7"/>
      <c r="U18" s="7"/>
      <c r="V18" s="7"/>
      <c r="W18" s="56"/>
      <c r="X18" s="91">
        <f t="shared" si="15"/>
        <v>1200000</v>
      </c>
      <c r="Y18" s="7">
        <f t="shared" si="16"/>
        <v>4800000</v>
      </c>
      <c r="Z18" s="30" t="str">
        <f t="shared" si="17"/>
        <v/>
      </c>
      <c r="AA18" s="6"/>
    </row>
    <row r="19" spans="1:27" hidden="1" x14ac:dyDescent="0.2">
      <c r="A19" s="1"/>
      <c r="B19" s="92" t="s">
        <v>104</v>
      </c>
      <c r="C19" s="92" t="s">
        <v>218</v>
      </c>
      <c r="D19" s="93">
        <v>1000000</v>
      </c>
      <c r="E19" s="94">
        <f>1.5%*D19</f>
        <v>15000</v>
      </c>
      <c r="F19" s="95"/>
      <c r="G19" s="96"/>
      <c r="H19" s="1">
        <v>1</v>
      </c>
      <c r="I19" s="97"/>
      <c r="J19" s="98"/>
      <c r="W19" s="31"/>
      <c r="X19" s="91">
        <f t="shared" ref="X19:X22" si="20">J19+K19+L19+M19+N19+O19+P19+Q19+R19+S19+T19+U19+V19+W19</f>
        <v>0</v>
      </c>
      <c r="Y19" s="7">
        <f t="shared" ref="Y19:Y22" si="21">F19-X19</f>
        <v>0</v>
      </c>
      <c r="Z19" s="30" t="str">
        <f t="shared" ref="Z19:Z22" si="22">IF(X19=0," ",IF(Y19=0,"Lunas",""))</f>
        <v xml:space="preserve"> </v>
      </c>
    </row>
    <row r="20" spans="1:27" hidden="1" x14ac:dyDescent="0.2">
      <c r="A20" s="1"/>
      <c r="B20" s="92" t="s">
        <v>65</v>
      </c>
      <c r="C20" s="92" t="s">
        <v>225</v>
      </c>
      <c r="D20" s="93">
        <v>4600000</v>
      </c>
      <c r="E20" s="16">
        <f>D20*20%</f>
        <v>920000</v>
      </c>
      <c r="F20" s="17">
        <f>D20+E20</f>
        <v>5520000</v>
      </c>
      <c r="G20" s="96">
        <v>46233</v>
      </c>
      <c r="H20" s="2">
        <v>10</v>
      </c>
      <c r="I20" s="20">
        <f t="shared" ref="I20" si="23">F20/H20</f>
        <v>552000</v>
      </c>
      <c r="J20" s="98"/>
      <c r="S20" s="4">
        <v>552000</v>
      </c>
      <c r="W20" s="31"/>
      <c r="X20" s="91">
        <f t="shared" si="20"/>
        <v>552000</v>
      </c>
      <c r="Y20" s="7">
        <f t="shared" si="21"/>
        <v>4968000</v>
      </c>
      <c r="Z20" s="30" t="str">
        <f t="shared" si="22"/>
        <v/>
      </c>
    </row>
    <row r="21" spans="1:27" hidden="1" x14ac:dyDescent="0.2">
      <c r="A21" s="1"/>
      <c r="B21" s="92" t="s">
        <v>160</v>
      </c>
      <c r="C21" s="92" t="s">
        <v>226</v>
      </c>
      <c r="D21" s="93">
        <v>7000000</v>
      </c>
      <c r="E21" s="16">
        <f>D21*20%</f>
        <v>1400000</v>
      </c>
      <c r="F21" s="17">
        <f>D21+E21</f>
        <v>8400000</v>
      </c>
      <c r="G21" s="96">
        <v>46233</v>
      </c>
      <c r="H21" s="2">
        <v>10</v>
      </c>
      <c r="I21" s="20">
        <f t="shared" ref="I21" si="24">F21/H21</f>
        <v>840000</v>
      </c>
      <c r="J21" s="98"/>
      <c r="S21" s="4">
        <v>840000</v>
      </c>
      <c r="W21" s="31"/>
      <c r="X21" s="91">
        <f t="shared" si="20"/>
        <v>840000</v>
      </c>
      <c r="Y21" s="7">
        <f t="shared" si="21"/>
        <v>7560000</v>
      </c>
      <c r="Z21" s="30" t="str">
        <f t="shared" si="22"/>
        <v/>
      </c>
    </row>
    <row r="22" spans="1:27" hidden="1" x14ac:dyDescent="0.2">
      <c r="A22" s="1"/>
      <c r="B22" s="92" t="s">
        <v>219</v>
      </c>
      <c r="C22" s="92" t="s">
        <v>227</v>
      </c>
      <c r="D22" s="93">
        <v>6000000</v>
      </c>
      <c r="E22" s="16">
        <f>D22*20%</f>
        <v>1200000</v>
      </c>
      <c r="F22" s="17">
        <f>D22+E22</f>
        <v>7200000</v>
      </c>
      <c r="G22" s="96">
        <v>46245</v>
      </c>
      <c r="H22" s="2">
        <v>10</v>
      </c>
      <c r="I22" s="20">
        <f t="shared" ref="I22" si="25">F22/H22</f>
        <v>720000</v>
      </c>
      <c r="J22" s="98"/>
      <c r="S22" s="4">
        <v>720000</v>
      </c>
      <c r="W22" s="31"/>
      <c r="X22" s="91">
        <f t="shared" si="20"/>
        <v>720000</v>
      </c>
      <c r="Y22" s="7">
        <f t="shared" si="21"/>
        <v>6480000</v>
      </c>
      <c r="Z22" s="30" t="str">
        <f t="shared" si="22"/>
        <v/>
      </c>
    </row>
    <row r="23" spans="1:27" s="112" customFormat="1" hidden="1" x14ac:dyDescent="0.2">
      <c r="A23" s="103"/>
      <c r="B23" s="104" t="s">
        <v>220</v>
      </c>
      <c r="C23" s="81" t="s">
        <v>230</v>
      </c>
      <c r="D23" s="105">
        <v>7500000</v>
      </c>
      <c r="E23" s="106">
        <f>D23*20%</f>
        <v>1500000</v>
      </c>
      <c r="F23" s="107">
        <f>D23+E23</f>
        <v>9000000</v>
      </c>
      <c r="G23" s="108" t="s">
        <v>231</v>
      </c>
      <c r="H23" s="103"/>
      <c r="I23" s="109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7"/>
      <c r="X23" s="110"/>
      <c r="Y23" s="105"/>
      <c r="Z23" s="111"/>
    </row>
    <row r="24" spans="1:27" hidden="1" x14ac:dyDescent="0.2">
      <c r="A24" s="1"/>
      <c r="B24" s="92" t="s">
        <v>175</v>
      </c>
      <c r="C24" s="92" t="s">
        <v>232</v>
      </c>
      <c r="D24" s="93">
        <v>4050000</v>
      </c>
      <c r="E24" s="94">
        <f>D24*20%</f>
        <v>810000</v>
      </c>
      <c r="F24" s="95">
        <f>D24+E24</f>
        <v>4860000</v>
      </c>
      <c r="G24" s="96"/>
      <c r="I24" s="97"/>
      <c r="J24" s="98"/>
      <c r="W24" s="31"/>
      <c r="X24" s="99"/>
      <c r="Z24" s="74"/>
    </row>
    <row r="25" spans="1:27" x14ac:dyDescent="0.2">
      <c r="A25" s="1"/>
      <c r="B25" s="92"/>
      <c r="C25" s="92"/>
      <c r="D25" s="93"/>
      <c r="E25" s="94"/>
      <c r="F25" s="95"/>
      <c r="G25" s="96"/>
      <c r="I25" s="97"/>
      <c r="J25" s="98"/>
      <c r="W25" s="31"/>
      <c r="X25" s="99"/>
      <c r="Z25" s="74"/>
    </row>
    <row r="26" spans="1:27" x14ac:dyDescent="0.2">
      <c r="A26" s="1"/>
      <c r="B26" s="92"/>
      <c r="C26" s="92"/>
      <c r="D26" s="3"/>
      <c r="K26" s="4">
        <f t="shared" ref="K26:V26" si="26">SUM(K5:K18)</f>
        <v>5217800</v>
      </c>
      <c r="L26" s="4">
        <f t="shared" si="26"/>
        <v>5217800</v>
      </c>
      <c r="M26" s="4">
        <f t="shared" si="26"/>
        <v>6357800</v>
      </c>
      <c r="N26" s="4">
        <f t="shared" si="26"/>
        <v>5732800</v>
      </c>
      <c r="O26" s="4">
        <f t="shared" si="26"/>
        <v>6344800</v>
      </c>
      <c r="P26" s="4">
        <f t="shared" si="26"/>
        <v>5028133</v>
      </c>
      <c r="Q26" s="4">
        <f t="shared" si="26"/>
        <v>4548133</v>
      </c>
      <c r="R26" s="4">
        <f t="shared" si="26"/>
        <v>4468233</v>
      </c>
      <c r="S26" s="4">
        <f t="shared" si="26"/>
        <v>0</v>
      </c>
      <c r="T26" s="4">
        <f t="shared" si="26"/>
        <v>0</v>
      </c>
      <c r="U26" s="4">
        <f t="shared" si="26"/>
        <v>0</v>
      </c>
      <c r="V26" s="4">
        <f t="shared" si="26"/>
        <v>0</v>
      </c>
      <c r="X26" s="4">
        <f>SUM(X5:X18)</f>
        <v>66507999</v>
      </c>
      <c r="Y26" s="4">
        <f>SUM(Y5:Y18)</f>
        <v>18459601</v>
      </c>
    </row>
    <row r="27" spans="1:27" x14ac:dyDescent="0.2">
      <c r="A27" s="1"/>
      <c r="D27" s="3"/>
    </row>
    <row r="28" spans="1:27" x14ac:dyDescent="0.2">
      <c r="A28" s="1"/>
      <c r="D28" s="3"/>
    </row>
    <row r="29" spans="1:27" x14ac:dyDescent="0.2">
      <c r="A29" s="1"/>
      <c r="D29" s="3"/>
    </row>
    <row r="30" spans="1:27" x14ac:dyDescent="0.2">
      <c r="A30" s="1"/>
      <c r="D30" s="3"/>
    </row>
    <row r="31" spans="1:27" x14ac:dyDescent="0.2">
      <c r="A31" s="1"/>
      <c r="D31" s="3"/>
    </row>
    <row r="32" spans="1:27" x14ac:dyDescent="0.2">
      <c r="A32" s="1"/>
      <c r="D32" s="3"/>
    </row>
    <row r="33" spans="1:4" x14ac:dyDescent="0.2">
      <c r="A33" s="1"/>
      <c r="D33" s="3"/>
    </row>
    <row r="34" spans="1:4" x14ac:dyDescent="0.2">
      <c r="A34" s="1"/>
      <c r="D34" s="3"/>
    </row>
    <row r="35" spans="1:4" x14ac:dyDescent="0.2">
      <c r="A35" s="1"/>
      <c r="D35" s="3"/>
    </row>
    <row r="36" spans="1:4" x14ac:dyDescent="0.2">
      <c r="A36" s="1"/>
      <c r="D36" s="3"/>
    </row>
    <row r="37" spans="1:4" x14ac:dyDescent="0.2">
      <c r="A37" s="1"/>
      <c r="D37" s="3"/>
    </row>
    <row r="38" spans="1:4" x14ac:dyDescent="0.2">
      <c r="A38" s="1"/>
      <c r="D38" s="3"/>
    </row>
    <row r="39" spans="1:4" x14ac:dyDescent="0.2">
      <c r="A39" s="1"/>
      <c r="D39" s="3"/>
    </row>
    <row r="40" spans="1:4" x14ac:dyDescent="0.2">
      <c r="A40" s="1"/>
      <c r="D40" s="3"/>
    </row>
    <row r="41" spans="1:4" x14ac:dyDescent="0.2">
      <c r="A41" s="1"/>
      <c r="D41" s="3"/>
    </row>
    <row r="42" spans="1:4" x14ac:dyDescent="0.2">
      <c r="A42" s="1"/>
      <c r="D42" s="3"/>
    </row>
    <row r="43" spans="1:4" x14ac:dyDescent="0.2">
      <c r="A43" s="1"/>
      <c r="D43" s="3"/>
    </row>
    <row r="44" spans="1:4" x14ac:dyDescent="0.2">
      <c r="A44" s="1"/>
      <c r="D44" s="3"/>
    </row>
    <row r="45" spans="1:4" x14ac:dyDescent="0.2">
      <c r="A45" s="1"/>
      <c r="D45" s="3"/>
    </row>
    <row r="46" spans="1:4" x14ac:dyDescent="0.2">
      <c r="A46" s="1"/>
      <c r="D46" s="3"/>
    </row>
    <row r="47" spans="1:4" x14ac:dyDescent="0.2">
      <c r="A47" s="1"/>
      <c r="D47" s="3"/>
    </row>
    <row r="48" spans="1:4" x14ac:dyDescent="0.2">
      <c r="A48" s="1"/>
      <c r="D48" s="3"/>
    </row>
    <row r="49" spans="1:4" x14ac:dyDescent="0.2">
      <c r="A49" s="1"/>
      <c r="D49" s="3"/>
    </row>
    <row r="50" spans="1:4" x14ac:dyDescent="0.2">
      <c r="A50" s="1"/>
      <c r="D50" s="3"/>
    </row>
    <row r="51" spans="1:4" x14ac:dyDescent="0.2">
      <c r="A51" s="1"/>
      <c r="D51" s="3"/>
    </row>
    <row r="52" spans="1:4" x14ac:dyDescent="0.2">
      <c r="A52" s="1"/>
      <c r="D52" s="3"/>
    </row>
    <row r="53" spans="1:4" x14ac:dyDescent="0.2">
      <c r="A53" s="1"/>
      <c r="D53" s="3"/>
    </row>
    <row r="54" spans="1:4" x14ac:dyDescent="0.2">
      <c r="A54" s="1"/>
      <c r="D54" s="3"/>
    </row>
    <row r="55" spans="1:4" x14ac:dyDescent="0.2">
      <c r="A55" s="1"/>
      <c r="D55" s="3"/>
    </row>
    <row r="56" spans="1:4" x14ac:dyDescent="0.2">
      <c r="A56" s="1"/>
      <c r="D56" s="3"/>
    </row>
    <row r="57" spans="1:4" x14ac:dyDescent="0.2">
      <c r="A57" s="1"/>
      <c r="D57" s="3"/>
    </row>
    <row r="58" spans="1:4" x14ac:dyDescent="0.2">
      <c r="A58" s="1"/>
      <c r="D58" s="3"/>
    </row>
    <row r="59" spans="1:4" x14ac:dyDescent="0.2">
      <c r="A59" s="1"/>
      <c r="D59" s="3"/>
    </row>
    <row r="60" spans="1:4" x14ac:dyDescent="0.2">
      <c r="A60" s="1"/>
      <c r="D60" s="3"/>
    </row>
    <row r="61" spans="1:4" x14ac:dyDescent="0.2">
      <c r="A61" s="1"/>
      <c r="D61" s="3"/>
    </row>
    <row r="62" spans="1:4" x14ac:dyDescent="0.2">
      <c r="A62" s="1"/>
      <c r="D62" s="3"/>
    </row>
    <row r="63" spans="1:4" x14ac:dyDescent="0.2">
      <c r="A63" s="1"/>
      <c r="D63" s="3"/>
    </row>
    <row r="64" spans="1:4" x14ac:dyDescent="0.2">
      <c r="A64" s="1"/>
      <c r="D64" s="3"/>
    </row>
    <row r="65" spans="1:4" x14ac:dyDescent="0.2">
      <c r="A65" s="1"/>
      <c r="D65" s="3"/>
    </row>
    <row r="66" spans="1:4" x14ac:dyDescent="0.2">
      <c r="A66" s="1"/>
      <c r="D66" s="3"/>
    </row>
    <row r="67" spans="1:4" x14ac:dyDescent="0.2">
      <c r="A67" s="1"/>
      <c r="D67" s="3"/>
    </row>
    <row r="68" spans="1:4" x14ac:dyDescent="0.2">
      <c r="A68" s="1"/>
      <c r="D68" s="3"/>
    </row>
    <row r="69" spans="1:4" x14ac:dyDescent="0.2">
      <c r="A69" s="1"/>
      <c r="D69" s="3"/>
    </row>
    <row r="70" spans="1:4" x14ac:dyDescent="0.2">
      <c r="A70" s="1"/>
      <c r="D70" s="3"/>
    </row>
    <row r="71" spans="1:4" x14ac:dyDescent="0.2">
      <c r="A71" s="1"/>
      <c r="D71" s="3"/>
    </row>
    <row r="72" spans="1:4" x14ac:dyDescent="0.2">
      <c r="A72" s="1"/>
      <c r="D72" s="3"/>
    </row>
    <row r="73" spans="1:4" x14ac:dyDescent="0.2">
      <c r="A73" s="1"/>
      <c r="D73" s="3"/>
    </row>
    <row r="74" spans="1:4" x14ac:dyDescent="0.2">
      <c r="A74" s="1"/>
      <c r="D74" s="3"/>
    </row>
    <row r="75" spans="1:4" x14ac:dyDescent="0.2">
      <c r="A75" s="1"/>
      <c r="D75" s="3"/>
    </row>
    <row r="76" spans="1:4" x14ac:dyDescent="0.2">
      <c r="A76" s="1"/>
      <c r="D76" s="3"/>
    </row>
    <row r="77" spans="1:4" x14ac:dyDescent="0.2">
      <c r="A77" s="1"/>
      <c r="D77" s="3"/>
    </row>
    <row r="78" spans="1:4" x14ac:dyDescent="0.2">
      <c r="A78" s="1"/>
      <c r="D78" s="3"/>
    </row>
    <row r="79" spans="1:4" x14ac:dyDescent="0.2">
      <c r="A79" s="1"/>
      <c r="D79" s="3"/>
    </row>
    <row r="80" spans="1:4" x14ac:dyDescent="0.2">
      <c r="A80" s="1"/>
      <c r="D80" s="3"/>
    </row>
    <row r="81" spans="1:4" x14ac:dyDescent="0.2">
      <c r="A81" s="1"/>
      <c r="D81" s="3"/>
    </row>
    <row r="82" spans="1:4" x14ac:dyDescent="0.2">
      <c r="A82" s="1"/>
      <c r="D82" s="3"/>
    </row>
    <row r="83" spans="1:4" x14ac:dyDescent="0.2">
      <c r="A83" s="1"/>
      <c r="D83" s="3"/>
    </row>
    <row r="84" spans="1:4" x14ac:dyDescent="0.2">
      <c r="A84" s="1"/>
      <c r="D84" s="3"/>
    </row>
    <row r="85" spans="1:4" x14ac:dyDescent="0.2">
      <c r="A85" s="1"/>
      <c r="D85" s="3"/>
    </row>
    <row r="86" spans="1:4" x14ac:dyDescent="0.2">
      <c r="A86" s="1"/>
      <c r="D86" s="3"/>
    </row>
    <row r="87" spans="1:4" x14ac:dyDescent="0.2">
      <c r="A87" s="1"/>
      <c r="D87" s="3"/>
    </row>
    <row r="88" spans="1:4" x14ac:dyDescent="0.2">
      <c r="A88" s="1"/>
      <c r="D88" s="3"/>
    </row>
    <row r="89" spans="1:4" x14ac:dyDescent="0.2">
      <c r="A89" s="1"/>
      <c r="D89" s="3"/>
    </row>
    <row r="90" spans="1:4" x14ac:dyDescent="0.2">
      <c r="A90" s="1"/>
      <c r="D90" s="3"/>
    </row>
    <row r="91" spans="1:4" x14ac:dyDescent="0.2">
      <c r="A91" s="1"/>
      <c r="D91" s="3"/>
    </row>
    <row r="92" spans="1:4" x14ac:dyDescent="0.2">
      <c r="A92" s="1"/>
      <c r="D92" s="3"/>
    </row>
    <row r="93" spans="1:4" x14ac:dyDescent="0.2">
      <c r="A93" s="1"/>
      <c r="D93" s="3"/>
    </row>
    <row r="94" spans="1:4" x14ac:dyDescent="0.2">
      <c r="A94" s="1"/>
      <c r="D94" s="3"/>
    </row>
    <row r="95" spans="1:4" x14ac:dyDescent="0.2">
      <c r="A95" s="1"/>
      <c r="D95" s="3"/>
    </row>
    <row r="96" spans="1:4" x14ac:dyDescent="0.2">
      <c r="A96" s="1"/>
      <c r="D96" s="3"/>
    </row>
    <row r="97" spans="1:4" x14ac:dyDescent="0.2">
      <c r="A97" s="1"/>
      <c r="D97" s="3"/>
    </row>
    <row r="98" spans="1:4" x14ac:dyDescent="0.2">
      <c r="A98" s="1"/>
      <c r="D98" s="3"/>
    </row>
    <row r="99" spans="1:4" x14ac:dyDescent="0.2">
      <c r="A99" s="1"/>
      <c r="D99" s="3"/>
    </row>
    <row r="100" spans="1:4" x14ac:dyDescent="0.2">
      <c r="A100" s="1"/>
      <c r="D100" s="3"/>
    </row>
    <row r="101" spans="1:4" x14ac:dyDescent="0.2">
      <c r="A101" s="1"/>
      <c r="D101" s="3"/>
    </row>
    <row r="102" spans="1:4" x14ac:dyDescent="0.2">
      <c r="A102" s="1"/>
      <c r="D102" s="3"/>
    </row>
    <row r="103" spans="1:4" x14ac:dyDescent="0.2">
      <c r="A103" s="1"/>
      <c r="D103" s="3"/>
    </row>
    <row r="104" spans="1:4" x14ac:dyDescent="0.2">
      <c r="A104" s="1"/>
      <c r="D104" s="3"/>
    </row>
    <row r="105" spans="1:4" x14ac:dyDescent="0.2">
      <c r="A105" s="1"/>
      <c r="D105" s="3"/>
    </row>
    <row r="106" spans="1:4" x14ac:dyDescent="0.2">
      <c r="A106" s="1"/>
      <c r="D106" s="3"/>
    </row>
    <row r="107" spans="1:4" x14ac:dyDescent="0.2">
      <c r="A107" s="1"/>
      <c r="D107" s="3"/>
    </row>
    <row r="108" spans="1:4" x14ac:dyDescent="0.2">
      <c r="A108" s="1"/>
      <c r="D108" s="3"/>
    </row>
    <row r="109" spans="1:4" x14ac:dyDescent="0.2">
      <c r="A109" s="1"/>
      <c r="D109" s="3"/>
    </row>
    <row r="110" spans="1:4" x14ac:dyDescent="0.2">
      <c r="A110" s="1"/>
      <c r="D110" s="3"/>
    </row>
    <row r="111" spans="1:4" x14ac:dyDescent="0.2">
      <c r="A111" s="1"/>
      <c r="D111" s="3"/>
    </row>
    <row r="112" spans="1:4" x14ac:dyDescent="0.2">
      <c r="A112" s="1"/>
      <c r="D112" s="3"/>
    </row>
    <row r="113" spans="1:4" x14ac:dyDescent="0.2">
      <c r="A113" s="1"/>
      <c r="D113" s="3"/>
    </row>
    <row r="114" spans="1:4" x14ac:dyDescent="0.2">
      <c r="A114" s="1"/>
      <c r="D114" s="3"/>
    </row>
    <row r="115" spans="1:4" x14ac:dyDescent="0.2">
      <c r="A115" s="1"/>
      <c r="D115" s="3"/>
    </row>
    <row r="116" spans="1:4" x14ac:dyDescent="0.2">
      <c r="A116" s="1"/>
      <c r="D116" s="3"/>
    </row>
    <row r="117" spans="1:4" x14ac:dyDescent="0.2">
      <c r="A117" s="1"/>
      <c r="D117" s="3"/>
    </row>
    <row r="118" spans="1:4" x14ac:dyDescent="0.2">
      <c r="A118" s="1"/>
      <c r="D118" s="3"/>
    </row>
    <row r="119" spans="1:4" x14ac:dyDescent="0.2">
      <c r="A119" s="1"/>
      <c r="D119" s="3"/>
    </row>
    <row r="120" spans="1:4" x14ac:dyDescent="0.2">
      <c r="A120" s="1"/>
      <c r="D120" s="3"/>
    </row>
    <row r="121" spans="1:4" x14ac:dyDescent="0.2">
      <c r="A121" s="1"/>
      <c r="D121" s="3"/>
    </row>
    <row r="122" spans="1:4" x14ac:dyDescent="0.2">
      <c r="A122" s="1"/>
      <c r="D122" s="3"/>
    </row>
    <row r="123" spans="1:4" x14ac:dyDescent="0.2">
      <c r="A123" s="1"/>
      <c r="D123" s="3"/>
    </row>
    <row r="124" spans="1:4" x14ac:dyDescent="0.2">
      <c r="A124" s="1"/>
      <c r="D124" s="3"/>
    </row>
    <row r="125" spans="1:4" x14ac:dyDescent="0.2">
      <c r="A125" s="1"/>
      <c r="D125" s="3"/>
    </row>
    <row r="126" spans="1:4" x14ac:dyDescent="0.2">
      <c r="A126" s="1"/>
      <c r="D126" s="3"/>
    </row>
    <row r="127" spans="1:4" x14ac:dyDescent="0.2">
      <c r="A127" s="1"/>
      <c r="D127" s="3"/>
    </row>
    <row r="128" spans="1:4" x14ac:dyDescent="0.2">
      <c r="A128" s="1"/>
      <c r="D128" s="3"/>
    </row>
  </sheetData>
  <autoFilter ref="A4:AA24" xr:uid="{C681C7E6-2881-47C8-A876-A72BC35EF48E}">
    <filterColumn colId="1">
      <filters>
        <filter val="Bayu Adhitya Permana"/>
      </filters>
    </filterColumn>
  </autoFilter>
  <mergeCells count="15">
    <mergeCell ref="AA3:AA4"/>
    <mergeCell ref="A1:Y1"/>
    <mergeCell ref="Z3:Z4"/>
    <mergeCell ref="X3:X4"/>
    <mergeCell ref="Y3:Y4"/>
    <mergeCell ref="A3:A4"/>
    <mergeCell ref="J3:J4"/>
    <mergeCell ref="I3:I4"/>
    <mergeCell ref="D3:F3"/>
    <mergeCell ref="G3:G4"/>
    <mergeCell ref="C3:C4"/>
    <mergeCell ref="B3:B4"/>
    <mergeCell ref="H3:H4"/>
    <mergeCell ref="K3:V3"/>
    <mergeCell ref="W3:W4"/>
  </mergeCells>
  <conditionalFormatting sqref="K5:V5">
    <cfRule type="expression" dxfId="33" priority="38">
      <formula>$Z$5="Lunas"</formula>
    </cfRule>
  </conditionalFormatting>
  <conditionalFormatting sqref="K6:V6">
    <cfRule type="expression" dxfId="32" priority="36">
      <formula>$Z$6="Lunas"</formula>
    </cfRule>
  </conditionalFormatting>
  <conditionalFormatting sqref="K7:V7">
    <cfRule type="expression" dxfId="31" priority="29">
      <formula>$Z$7="Lunas"</formula>
    </cfRule>
  </conditionalFormatting>
  <conditionalFormatting sqref="K8:V8">
    <cfRule type="expression" dxfId="30" priority="28">
      <formula>$Z$8="Lunas"</formula>
    </cfRule>
  </conditionalFormatting>
  <conditionalFormatting sqref="K9:V9">
    <cfRule type="expression" dxfId="29" priority="25">
      <formula>$Z$9="Lunas"</formula>
    </cfRule>
  </conditionalFormatting>
  <conditionalFormatting sqref="K10:V10">
    <cfRule type="expression" dxfId="28" priority="24">
      <formula>$Z$10="Lunas"</formula>
    </cfRule>
  </conditionalFormatting>
  <conditionalFormatting sqref="K11:V11">
    <cfRule type="expression" dxfId="27" priority="23">
      <formula>$Z$11="Lunas"</formula>
    </cfRule>
  </conditionalFormatting>
  <conditionalFormatting sqref="K12:V12">
    <cfRule type="expression" dxfId="26" priority="22">
      <formula>$Z$12="Lunas"</formula>
    </cfRule>
  </conditionalFormatting>
  <conditionalFormatting sqref="K13:V13">
    <cfRule type="expression" dxfId="25" priority="9">
      <formula>$Z$13="Lunas"</formula>
    </cfRule>
  </conditionalFormatting>
  <conditionalFormatting sqref="K14:V14">
    <cfRule type="expression" dxfId="24" priority="8">
      <formula>$Z$14="Lunas"</formula>
    </cfRule>
  </conditionalFormatting>
  <conditionalFormatting sqref="K15:V15">
    <cfRule type="expression" dxfId="23" priority="7">
      <formula>$Z$15="Lunas"</formula>
    </cfRule>
  </conditionalFormatting>
  <conditionalFormatting sqref="K16:V16">
    <cfRule type="expression" dxfId="22" priority="6">
      <formula>$Z$16="Lunas"</formula>
    </cfRule>
  </conditionalFormatting>
  <conditionalFormatting sqref="K17:V17">
    <cfRule type="expression" dxfId="21" priority="5">
      <formula>$Z$17="Lunas"</formula>
    </cfRule>
  </conditionalFormatting>
  <conditionalFormatting sqref="K18:V25">
    <cfRule type="expression" dxfId="20" priority="4">
      <formula>$Z$18="Lunas"</formula>
    </cfRule>
  </conditionalFormatting>
  <conditionalFormatting sqref="Z5:Z25">
    <cfRule type="containsText" dxfId="19" priority="46" operator="containsText" text="Lunas">
      <formula>NOT(ISERROR(SEARCH("Lunas",Z5)))</formula>
    </cfRule>
    <cfRule type="containsText" dxfId="18" priority="47" operator="containsText" text="Lunas">
      <formula>NOT(ISERROR(SEARCH("Lunas",Z5)))</formula>
    </cfRule>
    <cfRule type="containsText" priority="48" operator="containsText" text="Lunas">
      <formula>NOT(ISERROR(SEARCH("Lunas",Z5)))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343E-C4E3-5D47-8BFA-94FDD2478B9D}">
  <sheetPr>
    <pageSetUpPr fitToPage="1"/>
  </sheetPr>
  <dimension ref="B4:I19"/>
  <sheetViews>
    <sheetView workbookViewId="0">
      <selection activeCell="B4" sqref="B4:I15"/>
    </sheetView>
  </sheetViews>
  <sheetFormatPr baseColWidth="10" defaultRowHeight="15" x14ac:dyDescent="0.2"/>
  <cols>
    <col min="2" max="2" width="3.33203125" bestFit="1" customWidth="1"/>
    <col min="3" max="3" width="12.33203125" bestFit="1" customWidth="1"/>
    <col min="4" max="4" width="21.83203125" bestFit="1" customWidth="1"/>
    <col min="5" max="5" width="21.83203125" customWidth="1"/>
  </cols>
  <sheetData>
    <row r="4" spans="2:9" x14ac:dyDescent="0.2">
      <c r="B4" s="124" t="s">
        <v>20</v>
      </c>
      <c r="C4" s="124" t="s">
        <v>0</v>
      </c>
      <c r="D4" s="124" t="s">
        <v>1</v>
      </c>
      <c r="E4" s="124" t="s">
        <v>224</v>
      </c>
      <c r="F4" s="124" t="s">
        <v>4</v>
      </c>
      <c r="G4" s="124"/>
      <c r="H4" s="124"/>
      <c r="I4" s="124"/>
    </row>
    <row r="5" spans="2:9" x14ac:dyDescent="0.2">
      <c r="B5" s="124"/>
      <c r="C5" s="124"/>
      <c r="D5" s="124"/>
      <c r="E5" s="124"/>
      <c r="F5" s="6" t="s">
        <v>2</v>
      </c>
      <c r="G5" s="6" t="s">
        <v>24</v>
      </c>
      <c r="H5" s="6" t="s">
        <v>222</v>
      </c>
      <c r="I5" s="6" t="s">
        <v>223</v>
      </c>
    </row>
    <row r="6" spans="2:9" x14ac:dyDescent="0.2">
      <c r="B6" s="6">
        <v>1</v>
      </c>
      <c r="C6" s="6" t="s">
        <v>169</v>
      </c>
      <c r="D6" s="6" t="s">
        <v>192</v>
      </c>
      <c r="E6" s="101">
        <v>45972</v>
      </c>
      <c r="F6" s="102">
        <v>3000000</v>
      </c>
      <c r="G6" s="102">
        <v>600000</v>
      </c>
      <c r="H6" s="102"/>
      <c r="I6" s="102">
        <f>SUM(F6:H6)</f>
        <v>3600000</v>
      </c>
    </row>
    <row r="7" spans="2:9" x14ac:dyDescent="0.2">
      <c r="B7" s="6"/>
      <c r="C7" s="6"/>
      <c r="D7" s="6"/>
      <c r="E7" s="101">
        <v>46016</v>
      </c>
      <c r="F7" s="102"/>
      <c r="G7" s="102"/>
      <c r="H7" s="102">
        <v>360000</v>
      </c>
      <c r="I7" s="102">
        <f>I6+SUM(F7:G7)-H7</f>
        <v>3240000</v>
      </c>
    </row>
    <row r="8" spans="2:9" x14ac:dyDescent="0.2">
      <c r="B8" s="6"/>
      <c r="C8" s="6"/>
      <c r="D8" s="6"/>
      <c r="E8" s="101">
        <v>46047</v>
      </c>
      <c r="F8" s="102"/>
      <c r="G8" s="102"/>
      <c r="H8" s="102">
        <v>360000</v>
      </c>
      <c r="I8" s="102">
        <f t="shared" ref="I8:I15" si="0">I7+SUM(F8:G8)-H8</f>
        <v>2880000</v>
      </c>
    </row>
    <row r="9" spans="2:9" x14ac:dyDescent="0.2">
      <c r="B9" s="6"/>
      <c r="C9" s="6"/>
      <c r="D9" s="6"/>
      <c r="E9" s="101">
        <v>46078</v>
      </c>
      <c r="F9" s="102"/>
      <c r="G9" s="102"/>
      <c r="H9" s="102">
        <v>360000</v>
      </c>
      <c r="I9" s="102">
        <f t="shared" si="0"/>
        <v>2520000</v>
      </c>
    </row>
    <row r="10" spans="2:9" x14ac:dyDescent="0.2">
      <c r="B10" s="6"/>
      <c r="C10" s="6"/>
      <c r="D10" s="6"/>
      <c r="E10" s="101">
        <v>46106</v>
      </c>
      <c r="F10" s="102"/>
      <c r="G10" s="102"/>
      <c r="H10" s="102">
        <v>360000</v>
      </c>
      <c r="I10" s="102">
        <f t="shared" si="0"/>
        <v>2160000</v>
      </c>
    </row>
    <row r="11" spans="2:9" x14ac:dyDescent="0.2">
      <c r="B11" s="6"/>
      <c r="C11" s="6"/>
      <c r="D11" s="6"/>
      <c r="E11" s="101">
        <v>46137</v>
      </c>
      <c r="F11" s="102"/>
      <c r="G11" s="102"/>
      <c r="H11" s="102">
        <v>360000</v>
      </c>
      <c r="I11" s="102">
        <f t="shared" si="0"/>
        <v>1800000</v>
      </c>
    </row>
    <row r="12" spans="2:9" x14ac:dyDescent="0.2">
      <c r="B12" s="6"/>
      <c r="C12" s="6"/>
      <c r="D12" s="6"/>
      <c r="E12" s="101">
        <v>46161</v>
      </c>
      <c r="F12" s="102"/>
      <c r="G12" s="102"/>
      <c r="H12" s="102">
        <v>360000</v>
      </c>
      <c r="I12" s="102">
        <f t="shared" si="0"/>
        <v>1440000</v>
      </c>
    </row>
    <row r="13" spans="2:9" x14ac:dyDescent="0.2">
      <c r="B13" s="6"/>
      <c r="C13" s="6"/>
      <c r="D13" s="6"/>
      <c r="E13" s="101">
        <v>46167</v>
      </c>
      <c r="F13" s="102"/>
      <c r="G13" s="102"/>
      <c r="H13" s="102">
        <v>1800000</v>
      </c>
      <c r="I13" s="102">
        <f t="shared" si="0"/>
        <v>-360000</v>
      </c>
    </row>
    <row r="14" spans="2:9" x14ac:dyDescent="0.2">
      <c r="B14" s="6"/>
      <c r="C14" s="6"/>
      <c r="D14" s="6"/>
      <c r="E14" s="101">
        <v>46198</v>
      </c>
      <c r="F14" s="102"/>
      <c r="G14" s="102"/>
      <c r="H14" s="102">
        <v>360000</v>
      </c>
      <c r="I14" s="102">
        <f t="shared" si="0"/>
        <v>-720000</v>
      </c>
    </row>
    <row r="15" spans="2:9" x14ac:dyDescent="0.2">
      <c r="B15" s="6"/>
      <c r="C15" s="6"/>
      <c r="D15" s="6"/>
      <c r="E15" s="6"/>
      <c r="F15" s="102"/>
      <c r="G15" s="102"/>
      <c r="H15" s="102"/>
      <c r="I15" s="102">
        <f t="shared" si="0"/>
        <v>-720000</v>
      </c>
    </row>
    <row r="16" spans="2:9" x14ac:dyDescent="0.2">
      <c r="F16" s="100"/>
      <c r="G16" s="100"/>
      <c r="H16" s="100"/>
      <c r="I16" s="100"/>
    </row>
    <row r="17" spans="6:9" x14ac:dyDescent="0.2">
      <c r="F17" s="100"/>
      <c r="G17" s="100"/>
      <c r="H17" s="100"/>
      <c r="I17" s="100"/>
    </row>
    <row r="18" spans="6:9" x14ac:dyDescent="0.2">
      <c r="F18" s="100"/>
      <c r="G18" s="100"/>
      <c r="H18" s="100"/>
      <c r="I18" s="100"/>
    </row>
    <row r="19" spans="6:9" x14ac:dyDescent="0.2">
      <c r="F19" s="100"/>
      <c r="G19" s="100"/>
      <c r="H19" s="100"/>
      <c r="I19" s="100"/>
    </row>
  </sheetData>
  <mergeCells count="5">
    <mergeCell ref="F4:I4"/>
    <mergeCell ref="B4:B5"/>
    <mergeCell ref="C4:C5"/>
    <mergeCell ref="D4:D5"/>
    <mergeCell ref="E4:E5"/>
  </mergeCells>
  <pageMargins left="0.7" right="0.7" top="0.75" bottom="0.75" header="0.3" footer="0.3"/>
  <pageSetup paperSize="9" scale="72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0A4B-9386-5B49-BB12-44EF56B89E03}">
  <dimension ref="A1:AA128"/>
  <sheetViews>
    <sheetView zoomScaleNormal="100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Y5" sqref="Y5"/>
    </sheetView>
  </sheetViews>
  <sheetFormatPr baseColWidth="10" defaultColWidth="8.83203125" defaultRowHeight="15" x14ac:dyDescent="0.2"/>
  <cols>
    <col min="1" max="1" width="5.5" customWidth="1"/>
    <col min="2" max="2" width="22.33203125" bestFit="1" customWidth="1"/>
    <col min="3" max="3" width="29.1640625" bestFit="1" customWidth="1"/>
    <col min="4" max="4" width="15.5" customWidth="1"/>
    <col min="5" max="5" width="14.5" style="9" customWidth="1"/>
    <col min="6" max="6" width="15.5" style="5" customWidth="1"/>
    <col min="7" max="7" width="12" customWidth="1"/>
    <col min="8" max="8" width="8.83203125" style="1"/>
    <col min="9" max="9" width="14.5" style="10" customWidth="1"/>
    <col min="10" max="10" width="15.6640625" style="4" customWidth="1"/>
    <col min="11" max="11" width="13.6640625" style="4" hidden="1" customWidth="1"/>
    <col min="12" max="12" width="14.83203125" style="4" hidden="1" customWidth="1"/>
    <col min="13" max="16" width="13.6640625" style="4" hidden="1" customWidth="1"/>
    <col min="17" max="23" width="13.6640625" style="4" customWidth="1"/>
    <col min="24" max="24" width="15.5" style="4" customWidth="1"/>
    <col min="25" max="25" width="14.33203125" style="4" customWidth="1"/>
    <col min="26" max="26" width="11.5" customWidth="1"/>
    <col min="27" max="27" width="31.83203125" customWidth="1"/>
  </cols>
  <sheetData>
    <row r="1" spans="1:27" ht="31" x14ac:dyDescent="0.2">
      <c r="A1" s="114" t="s">
        <v>198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7" x14ac:dyDescent="0.2">
      <c r="B2" t="s">
        <v>178</v>
      </c>
    </row>
    <row r="3" spans="1:27" x14ac:dyDescent="0.2">
      <c r="A3" s="115" t="s">
        <v>20</v>
      </c>
      <c r="B3" s="115" t="s">
        <v>0</v>
      </c>
      <c r="C3" s="115" t="s">
        <v>1</v>
      </c>
      <c r="D3" s="119" t="s">
        <v>4</v>
      </c>
      <c r="E3" s="119"/>
      <c r="F3" s="119"/>
      <c r="G3" s="120" t="s">
        <v>5</v>
      </c>
      <c r="H3" s="120" t="s">
        <v>26</v>
      </c>
      <c r="I3" s="117" t="s">
        <v>25</v>
      </c>
      <c r="J3" s="117" t="s">
        <v>22</v>
      </c>
      <c r="K3" s="121" t="s">
        <v>18</v>
      </c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2" t="s">
        <v>184</v>
      </c>
      <c r="X3" s="116" t="s">
        <v>21</v>
      </c>
      <c r="Y3" s="116" t="s">
        <v>19</v>
      </c>
      <c r="Z3" s="115" t="s">
        <v>31</v>
      </c>
      <c r="AA3" s="113" t="s">
        <v>125</v>
      </c>
    </row>
    <row r="4" spans="1:27" ht="28.5" customHeight="1" x14ac:dyDescent="0.2">
      <c r="A4" s="115"/>
      <c r="B4" s="115"/>
      <c r="C4" s="115"/>
      <c r="D4" s="11" t="s">
        <v>2</v>
      </c>
      <c r="E4" s="13" t="s">
        <v>24</v>
      </c>
      <c r="F4" s="12" t="s">
        <v>3</v>
      </c>
      <c r="G4" s="120"/>
      <c r="H4" s="120"/>
      <c r="I4" s="118"/>
      <c r="J4" s="118"/>
      <c r="K4" s="14" t="s">
        <v>7</v>
      </c>
      <c r="L4" s="14" t="s">
        <v>8</v>
      </c>
      <c r="M4" s="14" t="s">
        <v>9</v>
      </c>
      <c r="N4" s="14" t="s">
        <v>10</v>
      </c>
      <c r="O4" s="14" t="s">
        <v>6</v>
      </c>
      <c r="P4" s="14" t="s">
        <v>11</v>
      </c>
      <c r="Q4" s="14" t="s">
        <v>12</v>
      </c>
      <c r="R4" s="14" t="s">
        <v>13</v>
      </c>
      <c r="S4" s="14" t="s">
        <v>14</v>
      </c>
      <c r="T4" s="14" t="s">
        <v>15</v>
      </c>
      <c r="U4" s="14" t="s">
        <v>16</v>
      </c>
      <c r="V4" s="14" t="s">
        <v>17</v>
      </c>
      <c r="W4" s="123"/>
      <c r="X4" s="116"/>
      <c r="Y4" s="116"/>
      <c r="Z4" s="115"/>
      <c r="AA4" s="113"/>
    </row>
    <row r="5" spans="1:27" x14ac:dyDescent="0.2">
      <c r="A5" s="2">
        <v>1</v>
      </c>
      <c r="B5" s="23" t="s">
        <v>96</v>
      </c>
      <c r="C5" s="6" t="s">
        <v>229</v>
      </c>
      <c r="D5" s="15">
        <v>285000</v>
      </c>
      <c r="E5" s="16">
        <f t="shared" ref="E5:E7" si="0">D5*20%</f>
        <v>57000</v>
      </c>
      <c r="F5" s="17">
        <f t="shared" ref="F5:F7" si="1">D5+E5</f>
        <v>342000</v>
      </c>
      <c r="G5" s="77"/>
      <c r="H5" s="2">
        <v>3</v>
      </c>
      <c r="I5" s="20">
        <f t="shared" ref="I5:I14" si="2">F5/H5</f>
        <v>114000</v>
      </c>
      <c r="J5" s="39"/>
      <c r="K5" s="7"/>
      <c r="L5" s="7"/>
      <c r="M5" s="7"/>
      <c r="N5" s="7"/>
      <c r="O5" s="7"/>
      <c r="P5" s="7"/>
      <c r="Q5" s="7"/>
      <c r="R5" s="7"/>
      <c r="S5" s="7">
        <v>114000</v>
      </c>
      <c r="T5" s="7">
        <v>114000</v>
      </c>
      <c r="U5" s="7">
        <v>114000</v>
      </c>
      <c r="V5" s="7"/>
      <c r="W5" s="56"/>
      <c r="X5" s="18">
        <f t="shared" ref="X5:X22" si="3">J5+K5+L5+M5+N5+O5+P5+Q5+R5+S5+T5+U5+V5+W5</f>
        <v>342000</v>
      </c>
      <c r="Y5" s="19">
        <f t="shared" ref="Y5:Y10" si="4">F5-X5</f>
        <v>0</v>
      </c>
      <c r="Z5" s="30" t="str">
        <f t="shared" ref="Z5:Z22" si="5">IF(X5=0," ",IF(Y5=0,"Lunas",""))</f>
        <v>Lunas</v>
      </c>
      <c r="AA5" s="6"/>
    </row>
    <row r="6" spans="1:27" x14ac:dyDescent="0.2">
      <c r="A6" s="2">
        <v>2</v>
      </c>
      <c r="B6" s="23" t="s">
        <v>95</v>
      </c>
      <c r="C6" s="6" t="s">
        <v>229</v>
      </c>
      <c r="D6" s="15">
        <v>285000</v>
      </c>
      <c r="E6" s="16">
        <f t="shared" si="0"/>
        <v>57000</v>
      </c>
      <c r="F6" s="17">
        <f t="shared" si="1"/>
        <v>342000</v>
      </c>
      <c r="G6" s="77"/>
      <c r="H6" s="2">
        <v>3</v>
      </c>
      <c r="I6" s="20">
        <f t="shared" si="2"/>
        <v>114000</v>
      </c>
      <c r="J6" s="39"/>
      <c r="K6" s="7"/>
      <c r="L6" s="7"/>
      <c r="M6" s="7"/>
      <c r="N6" s="7"/>
      <c r="O6" s="7"/>
      <c r="P6" s="7"/>
      <c r="Q6" s="7"/>
      <c r="R6" s="7"/>
      <c r="S6" s="7">
        <v>114000</v>
      </c>
      <c r="T6" s="7">
        <v>114000</v>
      </c>
      <c r="U6" s="7">
        <v>114000</v>
      </c>
      <c r="V6" s="7"/>
      <c r="W6" s="56"/>
      <c r="X6" s="18">
        <f t="shared" si="3"/>
        <v>342000</v>
      </c>
      <c r="Y6" s="19">
        <f t="shared" si="4"/>
        <v>0</v>
      </c>
      <c r="Z6" s="30" t="str">
        <f t="shared" si="5"/>
        <v>Lunas</v>
      </c>
      <c r="AA6" s="6"/>
    </row>
    <row r="7" spans="1:27" x14ac:dyDescent="0.2">
      <c r="A7" s="2">
        <v>3</v>
      </c>
      <c r="B7" s="29" t="s">
        <v>215</v>
      </c>
      <c r="C7" s="6" t="s">
        <v>229</v>
      </c>
      <c r="D7" s="15">
        <v>270000</v>
      </c>
      <c r="E7" s="16">
        <f t="shared" si="0"/>
        <v>54000</v>
      </c>
      <c r="F7" s="17">
        <f t="shared" si="1"/>
        <v>324000</v>
      </c>
      <c r="G7" s="77"/>
      <c r="H7" s="2">
        <v>3</v>
      </c>
      <c r="I7" s="20">
        <f t="shared" si="2"/>
        <v>108000</v>
      </c>
      <c r="J7" s="39"/>
      <c r="K7" s="7"/>
      <c r="L7" s="7"/>
      <c r="M7" s="7"/>
      <c r="N7" s="7"/>
      <c r="O7" s="7"/>
      <c r="P7" s="7"/>
      <c r="Q7" s="7"/>
      <c r="R7" s="7"/>
      <c r="S7" s="7">
        <v>108000</v>
      </c>
      <c r="T7" s="7">
        <v>108000</v>
      </c>
      <c r="U7" s="7">
        <v>108000</v>
      </c>
      <c r="V7" s="7"/>
      <c r="W7" s="56"/>
      <c r="X7" s="18">
        <f t="shared" si="3"/>
        <v>324000</v>
      </c>
      <c r="Y7" s="19">
        <f t="shared" si="4"/>
        <v>0</v>
      </c>
      <c r="Z7" s="30" t="str">
        <f t="shared" si="5"/>
        <v>Lunas</v>
      </c>
      <c r="AA7" s="6"/>
    </row>
    <row r="8" spans="1:27" x14ac:dyDescent="0.2">
      <c r="A8" s="2">
        <v>4</v>
      </c>
      <c r="B8" s="29" t="s">
        <v>29</v>
      </c>
      <c r="C8" s="6" t="s">
        <v>229</v>
      </c>
      <c r="D8" s="15">
        <v>270000</v>
      </c>
      <c r="E8" s="16">
        <f>D8*20%</f>
        <v>54000</v>
      </c>
      <c r="F8" s="17">
        <f>D8+E8</f>
        <v>324000</v>
      </c>
      <c r="G8" s="77"/>
      <c r="H8" s="2">
        <v>3</v>
      </c>
      <c r="I8" s="20">
        <f t="shared" si="2"/>
        <v>108000</v>
      </c>
      <c r="J8" s="39"/>
      <c r="K8" s="7"/>
      <c r="L8" s="7"/>
      <c r="M8" s="7"/>
      <c r="N8" s="7"/>
      <c r="O8" s="7"/>
      <c r="P8" s="7"/>
      <c r="Q8" s="7"/>
      <c r="R8" s="7"/>
      <c r="S8" s="7">
        <v>108000</v>
      </c>
      <c r="T8" s="7">
        <v>108000</v>
      </c>
      <c r="U8" s="7">
        <v>108000</v>
      </c>
      <c r="V8" s="7"/>
      <c r="W8" s="56"/>
      <c r="X8" s="18">
        <f t="shared" si="3"/>
        <v>324000</v>
      </c>
      <c r="Y8" s="19">
        <f t="shared" si="4"/>
        <v>0</v>
      </c>
      <c r="Z8" s="30" t="str">
        <f t="shared" si="5"/>
        <v>Lunas</v>
      </c>
      <c r="AA8" s="6"/>
    </row>
    <row r="9" spans="1:27" x14ac:dyDescent="0.2">
      <c r="A9" s="2">
        <v>5</v>
      </c>
      <c r="B9" s="6" t="s">
        <v>100</v>
      </c>
      <c r="C9" s="6" t="s">
        <v>229</v>
      </c>
      <c r="D9" s="15">
        <v>270000</v>
      </c>
      <c r="E9" s="16">
        <f>D9*20%</f>
        <v>54000</v>
      </c>
      <c r="F9" s="17">
        <f>D9+E9</f>
        <v>324000</v>
      </c>
      <c r="G9" s="77"/>
      <c r="H9" s="2">
        <v>3</v>
      </c>
      <c r="I9" s="20">
        <f t="shared" si="2"/>
        <v>108000</v>
      </c>
      <c r="J9" s="39"/>
      <c r="K9" s="7"/>
      <c r="L9" s="7"/>
      <c r="M9" s="7"/>
      <c r="N9" s="7"/>
      <c r="O9" s="7"/>
      <c r="P9" s="7"/>
      <c r="Q9" s="7"/>
      <c r="R9" s="7"/>
      <c r="S9" s="7">
        <v>108000</v>
      </c>
      <c r="T9" s="7">
        <v>108000</v>
      </c>
      <c r="U9" s="7">
        <v>108000</v>
      </c>
      <c r="V9" s="7"/>
      <c r="W9" s="56"/>
      <c r="X9" s="18">
        <f t="shared" si="3"/>
        <v>324000</v>
      </c>
      <c r="Y9" s="19">
        <f t="shared" si="4"/>
        <v>0</v>
      </c>
      <c r="Z9" s="30" t="str">
        <f t="shared" si="5"/>
        <v>Lunas</v>
      </c>
      <c r="AA9" s="6"/>
    </row>
    <row r="10" spans="1:27" x14ac:dyDescent="0.2">
      <c r="A10" s="2">
        <v>6</v>
      </c>
      <c r="B10" s="6" t="s">
        <v>228</v>
      </c>
      <c r="C10" s="6" t="s">
        <v>229</v>
      </c>
      <c r="D10" s="15">
        <v>285000</v>
      </c>
      <c r="E10" s="16">
        <f t="shared" ref="E10" si="6">D10*20%</f>
        <v>57000</v>
      </c>
      <c r="F10" s="17">
        <f t="shared" ref="F10" si="7">D10+E10</f>
        <v>342000</v>
      </c>
      <c r="G10" s="77"/>
      <c r="H10" s="2">
        <v>3</v>
      </c>
      <c r="I10" s="20">
        <f t="shared" si="2"/>
        <v>114000</v>
      </c>
      <c r="J10" s="39"/>
      <c r="K10" s="7"/>
      <c r="L10" s="7"/>
      <c r="M10" s="7"/>
      <c r="N10" s="7"/>
      <c r="O10" s="7"/>
      <c r="P10" s="7"/>
      <c r="Q10" s="7"/>
      <c r="R10" s="7"/>
      <c r="S10" s="7">
        <v>114000</v>
      </c>
      <c r="T10" s="7">
        <v>114000</v>
      </c>
      <c r="U10" s="7">
        <v>114000</v>
      </c>
      <c r="V10" s="7"/>
      <c r="W10" s="56"/>
      <c r="X10" s="18">
        <f t="shared" si="3"/>
        <v>342000</v>
      </c>
      <c r="Y10" s="19">
        <f t="shared" si="4"/>
        <v>0</v>
      </c>
      <c r="Z10" s="30" t="str">
        <f t="shared" si="5"/>
        <v>Lunas</v>
      </c>
      <c r="AA10" s="6"/>
    </row>
    <row r="11" spans="1:27" x14ac:dyDescent="0.2">
      <c r="A11" s="2">
        <v>7</v>
      </c>
      <c r="B11" s="6" t="s">
        <v>65</v>
      </c>
      <c r="C11" s="6" t="s">
        <v>229</v>
      </c>
      <c r="D11" s="15">
        <v>270000</v>
      </c>
      <c r="E11" s="16">
        <f>D11*20%</f>
        <v>54000</v>
      </c>
      <c r="F11" s="17">
        <f>D11+E11</f>
        <v>324000</v>
      </c>
      <c r="G11" s="77"/>
      <c r="H11" s="2">
        <v>3</v>
      </c>
      <c r="I11" s="20">
        <f t="shared" si="2"/>
        <v>108000</v>
      </c>
      <c r="J11" s="39"/>
      <c r="K11" s="7"/>
      <c r="L11" s="7"/>
      <c r="M11" s="7"/>
      <c r="N11" s="7"/>
      <c r="O11" s="7"/>
      <c r="P11" s="7"/>
      <c r="Q11" s="7"/>
      <c r="R11" s="7"/>
      <c r="S11" s="7">
        <v>108000</v>
      </c>
      <c r="T11" s="7">
        <v>108000</v>
      </c>
      <c r="U11" s="7">
        <v>108000</v>
      </c>
      <c r="V11" s="7"/>
      <c r="W11" s="56"/>
      <c r="X11" s="18">
        <f t="shared" si="3"/>
        <v>324000</v>
      </c>
      <c r="Y11" s="19">
        <f>F11-X11</f>
        <v>0</v>
      </c>
      <c r="Z11" s="30" t="str">
        <f t="shared" si="5"/>
        <v>Lunas</v>
      </c>
      <c r="AA11" s="6"/>
    </row>
    <row r="12" spans="1:27" x14ac:dyDescent="0.2">
      <c r="A12" s="2">
        <v>8</v>
      </c>
      <c r="B12" s="6" t="s">
        <v>151</v>
      </c>
      <c r="C12" s="6" t="s">
        <v>229</v>
      </c>
      <c r="D12" s="15">
        <v>270000</v>
      </c>
      <c r="E12" s="16">
        <f>D12*20%</f>
        <v>54000</v>
      </c>
      <c r="F12" s="17">
        <f>D12+E12</f>
        <v>324000</v>
      </c>
      <c r="G12" s="77"/>
      <c r="H12" s="2">
        <v>3</v>
      </c>
      <c r="I12" s="20">
        <f t="shared" si="2"/>
        <v>108000</v>
      </c>
      <c r="J12" s="39"/>
      <c r="K12" s="7"/>
      <c r="L12" s="7"/>
      <c r="M12" s="7"/>
      <c r="N12" s="7"/>
      <c r="O12" s="7"/>
      <c r="P12" s="7"/>
      <c r="Q12" s="7"/>
      <c r="R12" s="7"/>
      <c r="S12" s="7">
        <v>108000</v>
      </c>
      <c r="T12" s="7">
        <v>108000</v>
      </c>
      <c r="U12" s="7">
        <v>108000</v>
      </c>
      <c r="V12" s="7"/>
      <c r="W12" s="56"/>
      <c r="X12" s="18">
        <f t="shared" si="3"/>
        <v>324000</v>
      </c>
      <c r="Y12" s="19">
        <f t="shared" ref="Y12:Y22" si="8">F12-X12</f>
        <v>0</v>
      </c>
      <c r="Z12" s="30" t="str">
        <f t="shared" si="5"/>
        <v>Lunas</v>
      </c>
      <c r="AA12" s="6"/>
    </row>
    <row r="13" spans="1:27" x14ac:dyDescent="0.2">
      <c r="A13" s="2">
        <v>9</v>
      </c>
      <c r="B13" s="6" t="s">
        <v>161</v>
      </c>
      <c r="C13" s="6" t="s">
        <v>229</v>
      </c>
      <c r="D13" s="15">
        <v>270000</v>
      </c>
      <c r="E13" s="16">
        <f>D13*20%</f>
        <v>54000</v>
      </c>
      <c r="F13" s="17">
        <f>D13+E13</f>
        <v>324000</v>
      </c>
      <c r="G13" s="77"/>
      <c r="H13" s="2">
        <v>3</v>
      </c>
      <c r="I13" s="20">
        <f t="shared" si="2"/>
        <v>108000</v>
      </c>
      <c r="J13" s="39"/>
      <c r="K13" s="7"/>
      <c r="L13" s="7"/>
      <c r="M13" s="7"/>
      <c r="N13" s="7"/>
      <c r="O13" s="7"/>
      <c r="P13" s="7"/>
      <c r="Q13" s="7"/>
      <c r="R13" s="7"/>
      <c r="S13" s="7">
        <v>108000</v>
      </c>
      <c r="T13" s="7">
        <v>108000</v>
      </c>
      <c r="U13" s="7">
        <v>108000</v>
      </c>
      <c r="V13" s="7"/>
      <c r="W13" s="56"/>
      <c r="X13" s="18">
        <f t="shared" si="3"/>
        <v>324000</v>
      </c>
      <c r="Y13" s="19">
        <f t="shared" si="8"/>
        <v>0</v>
      </c>
      <c r="Z13" s="30" t="str">
        <f t="shared" si="5"/>
        <v>Lunas</v>
      </c>
      <c r="AA13" s="6"/>
    </row>
    <row r="14" spans="1:27" x14ac:dyDescent="0.2">
      <c r="A14" s="2">
        <v>10</v>
      </c>
      <c r="B14" s="6" t="s">
        <v>96</v>
      </c>
      <c r="C14" s="6" t="s">
        <v>229</v>
      </c>
      <c r="D14" s="15">
        <v>270000</v>
      </c>
      <c r="E14" s="16">
        <f>D14*20%</f>
        <v>54000</v>
      </c>
      <c r="F14" s="17">
        <f>D14+E14</f>
        <v>324000</v>
      </c>
      <c r="G14" s="77"/>
      <c r="H14" s="2">
        <v>3</v>
      </c>
      <c r="I14" s="20">
        <f t="shared" si="2"/>
        <v>108000</v>
      </c>
      <c r="J14" s="39"/>
      <c r="K14" s="7"/>
      <c r="L14" s="7"/>
      <c r="M14" s="7"/>
      <c r="N14" s="7"/>
      <c r="O14" s="7"/>
      <c r="P14" s="7"/>
      <c r="Q14" s="7"/>
      <c r="R14" s="7"/>
      <c r="S14" s="7">
        <v>108000</v>
      </c>
      <c r="T14" s="7">
        <v>108000</v>
      </c>
      <c r="U14" s="7">
        <v>108000</v>
      </c>
      <c r="V14" s="7"/>
      <c r="W14" s="56"/>
      <c r="X14" s="18">
        <f t="shared" si="3"/>
        <v>324000</v>
      </c>
      <c r="Y14" s="19">
        <f t="shared" si="8"/>
        <v>0</v>
      </c>
      <c r="Z14" s="30" t="str">
        <f t="shared" si="5"/>
        <v>Lunas</v>
      </c>
      <c r="AA14" s="6"/>
    </row>
    <row r="15" spans="1:27" x14ac:dyDescent="0.2">
      <c r="A15" s="2">
        <v>11</v>
      </c>
      <c r="B15" s="6"/>
      <c r="C15" s="6"/>
      <c r="D15" s="15"/>
      <c r="E15" s="16">
        <f t="shared" ref="E15" si="9">D15*20%</f>
        <v>0</v>
      </c>
      <c r="F15" s="17">
        <f t="shared" ref="F15:F17" si="10">D15+E15</f>
        <v>0</v>
      </c>
      <c r="G15" s="77"/>
      <c r="H15" s="2"/>
      <c r="I15" s="20"/>
      <c r="J15" s="3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56"/>
      <c r="X15" s="18">
        <f t="shared" si="3"/>
        <v>0</v>
      </c>
      <c r="Y15" s="19">
        <f t="shared" si="8"/>
        <v>0</v>
      </c>
      <c r="Z15" s="30" t="str">
        <f t="shared" si="5"/>
        <v xml:space="preserve"> </v>
      </c>
      <c r="AA15" s="6"/>
    </row>
    <row r="16" spans="1:27" x14ac:dyDescent="0.2">
      <c r="A16" s="2">
        <v>12</v>
      </c>
      <c r="B16" s="6"/>
      <c r="C16" s="6"/>
      <c r="D16" s="15"/>
      <c r="E16" s="16">
        <v>0</v>
      </c>
      <c r="F16" s="17">
        <f t="shared" si="10"/>
        <v>0</v>
      </c>
      <c r="G16" s="77"/>
      <c r="H16" s="2"/>
      <c r="I16" s="20"/>
      <c r="J16" s="3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56"/>
      <c r="X16" s="18">
        <f t="shared" si="3"/>
        <v>0</v>
      </c>
      <c r="Y16" s="19">
        <f t="shared" si="8"/>
        <v>0</v>
      </c>
      <c r="Z16" s="30" t="str">
        <f t="shared" si="5"/>
        <v xml:space="preserve"> </v>
      </c>
      <c r="AA16" s="6"/>
    </row>
    <row r="17" spans="1:27" x14ac:dyDescent="0.2">
      <c r="A17" s="2">
        <v>13</v>
      </c>
      <c r="B17" s="6"/>
      <c r="C17" s="6"/>
      <c r="D17" s="15"/>
      <c r="E17" s="16">
        <v>0</v>
      </c>
      <c r="F17" s="17">
        <f t="shared" si="10"/>
        <v>0</v>
      </c>
      <c r="G17" s="77"/>
      <c r="H17" s="2"/>
      <c r="I17" s="20"/>
      <c r="J17" s="3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56"/>
      <c r="X17" s="18">
        <f t="shared" si="3"/>
        <v>0</v>
      </c>
      <c r="Y17" s="19">
        <f t="shared" si="8"/>
        <v>0</v>
      </c>
      <c r="Z17" s="30" t="str">
        <f t="shared" si="5"/>
        <v xml:space="preserve"> </v>
      </c>
      <c r="AA17" s="6"/>
    </row>
    <row r="18" spans="1:27" x14ac:dyDescent="0.2">
      <c r="A18" s="2">
        <v>14</v>
      </c>
      <c r="B18" s="6"/>
      <c r="C18" s="6"/>
      <c r="D18" s="15"/>
      <c r="E18" s="16">
        <f>D18*20%</f>
        <v>0</v>
      </c>
      <c r="F18" s="17">
        <f>D18+E18</f>
        <v>0</v>
      </c>
      <c r="G18" s="77"/>
      <c r="H18" s="2"/>
      <c r="I18" s="20"/>
      <c r="J18" s="39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56"/>
      <c r="X18" s="91">
        <f t="shared" si="3"/>
        <v>0</v>
      </c>
      <c r="Y18" s="7">
        <f t="shared" si="8"/>
        <v>0</v>
      </c>
      <c r="Z18" s="30" t="str">
        <f t="shared" si="5"/>
        <v xml:space="preserve"> </v>
      </c>
      <c r="AA18" s="6"/>
    </row>
    <row r="19" spans="1:27" x14ac:dyDescent="0.2">
      <c r="A19" s="1"/>
      <c r="B19" s="92"/>
      <c r="C19" s="92"/>
      <c r="D19" s="93"/>
      <c r="E19" s="94">
        <f>1.5%*D19</f>
        <v>0</v>
      </c>
      <c r="F19" s="95"/>
      <c r="G19" s="96"/>
      <c r="I19" s="97"/>
      <c r="J19" s="98"/>
      <c r="W19" s="31"/>
      <c r="X19" s="91">
        <f t="shared" si="3"/>
        <v>0</v>
      </c>
      <c r="Y19" s="7">
        <f t="shared" si="8"/>
        <v>0</v>
      </c>
      <c r="Z19" s="30" t="str">
        <f t="shared" si="5"/>
        <v xml:space="preserve"> </v>
      </c>
    </row>
    <row r="20" spans="1:27" x14ac:dyDescent="0.2">
      <c r="A20" s="1"/>
      <c r="B20" s="92"/>
      <c r="C20" s="92"/>
      <c r="D20" s="93"/>
      <c r="E20" s="16">
        <f>D20*20%</f>
        <v>0</v>
      </c>
      <c r="F20" s="17">
        <f>D20+E20</f>
        <v>0</v>
      </c>
      <c r="G20" s="96"/>
      <c r="H20" s="2"/>
      <c r="I20" s="20"/>
      <c r="J20" s="98"/>
      <c r="W20" s="31"/>
      <c r="X20" s="91">
        <f t="shared" si="3"/>
        <v>0</v>
      </c>
      <c r="Y20" s="7">
        <f t="shared" si="8"/>
        <v>0</v>
      </c>
      <c r="Z20" s="30" t="str">
        <f t="shared" si="5"/>
        <v xml:space="preserve"> </v>
      </c>
    </row>
    <row r="21" spans="1:27" x14ac:dyDescent="0.2">
      <c r="A21" s="1"/>
      <c r="B21" s="92"/>
      <c r="C21" s="92"/>
      <c r="D21" s="93"/>
      <c r="E21" s="16">
        <f>D21*20%</f>
        <v>0</v>
      </c>
      <c r="F21" s="17">
        <f>D21+E21</f>
        <v>0</v>
      </c>
      <c r="G21" s="96"/>
      <c r="H21" s="2"/>
      <c r="I21" s="20"/>
      <c r="J21" s="98"/>
      <c r="W21" s="31"/>
      <c r="X21" s="91">
        <f t="shared" si="3"/>
        <v>0</v>
      </c>
      <c r="Y21" s="7">
        <f t="shared" si="8"/>
        <v>0</v>
      </c>
      <c r="Z21" s="30" t="str">
        <f t="shared" si="5"/>
        <v xml:space="preserve"> </v>
      </c>
    </row>
    <row r="22" spans="1:27" x14ac:dyDescent="0.2">
      <c r="A22" s="1"/>
      <c r="B22" s="92"/>
      <c r="C22" s="92"/>
      <c r="D22" s="93"/>
      <c r="E22" s="16">
        <f>D22*20%</f>
        <v>0</v>
      </c>
      <c r="F22" s="17">
        <f>D22+E22</f>
        <v>0</v>
      </c>
      <c r="G22" s="96"/>
      <c r="H22" s="2"/>
      <c r="I22" s="20"/>
      <c r="J22" s="98"/>
      <c r="W22" s="31"/>
      <c r="X22" s="91">
        <f t="shared" si="3"/>
        <v>0</v>
      </c>
      <c r="Y22" s="7">
        <f t="shared" si="8"/>
        <v>0</v>
      </c>
      <c r="Z22" s="30" t="str">
        <f t="shared" si="5"/>
        <v xml:space="preserve"> </v>
      </c>
    </row>
    <row r="23" spans="1:27" x14ac:dyDescent="0.2">
      <c r="A23" s="1"/>
      <c r="B23" s="92"/>
      <c r="C23" s="92"/>
      <c r="D23" s="93"/>
      <c r="E23" s="94"/>
      <c r="F23" s="95"/>
      <c r="G23" s="96"/>
      <c r="I23" s="97"/>
      <c r="J23" s="98"/>
      <c r="W23" s="31"/>
      <c r="X23" s="99"/>
      <c r="Z23" s="74"/>
    </row>
    <row r="24" spans="1:27" x14ac:dyDescent="0.2">
      <c r="A24" s="1"/>
      <c r="B24" s="92"/>
      <c r="C24" s="92"/>
      <c r="D24" s="93"/>
      <c r="E24" s="94"/>
      <c r="F24" s="95"/>
      <c r="G24" s="96"/>
      <c r="I24" s="97"/>
      <c r="J24" s="98"/>
      <c r="W24" s="31"/>
      <c r="X24" s="99"/>
      <c r="Z24" s="74"/>
    </row>
    <row r="25" spans="1:27" x14ac:dyDescent="0.2">
      <c r="A25" s="1"/>
      <c r="B25" s="92"/>
      <c r="C25" s="92"/>
      <c r="D25" s="93"/>
      <c r="E25" s="94"/>
      <c r="F25" s="95"/>
      <c r="G25" s="96"/>
      <c r="I25" s="97"/>
      <c r="J25" s="98"/>
      <c r="W25" s="31"/>
      <c r="X25" s="99"/>
      <c r="Z25" s="74"/>
    </row>
    <row r="26" spans="1:27" x14ac:dyDescent="0.2">
      <c r="A26" s="1"/>
      <c r="B26" s="92"/>
      <c r="C26" s="92"/>
      <c r="D26" s="3"/>
      <c r="K26" s="4">
        <f t="shared" ref="K26:V26" si="11">SUM(K5:K18)</f>
        <v>0</v>
      </c>
      <c r="L26" s="4">
        <f t="shared" si="11"/>
        <v>0</v>
      </c>
      <c r="M26" s="4">
        <f t="shared" si="11"/>
        <v>0</v>
      </c>
      <c r="N26" s="4">
        <f t="shared" si="11"/>
        <v>0</v>
      </c>
      <c r="O26" s="4">
        <f t="shared" si="11"/>
        <v>0</v>
      </c>
      <c r="P26" s="4">
        <f t="shared" si="11"/>
        <v>0</v>
      </c>
      <c r="Q26" s="4">
        <f t="shared" si="11"/>
        <v>0</v>
      </c>
      <c r="R26" s="4">
        <f t="shared" si="11"/>
        <v>0</v>
      </c>
      <c r="S26" s="4">
        <f t="shared" si="11"/>
        <v>1098000</v>
      </c>
      <c r="T26" s="4">
        <f t="shared" si="11"/>
        <v>1098000</v>
      </c>
      <c r="U26" s="4">
        <f t="shared" si="11"/>
        <v>1098000</v>
      </c>
      <c r="V26" s="4">
        <f t="shared" si="11"/>
        <v>0</v>
      </c>
      <c r="X26" s="4">
        <f>SUM(X5:X18)</f>
        <v>3294000</v>
      </c>
      <c r="Y26" s="4">
        <f>SUM(Y5:Y18)</f>
        <v>0</v>
      </c>
    </row>
    <row r="27" spans="1:27" x14ac:dyDescent="0.2">
      <c r="A27" s="1"/>
      <c r="D27" s="3"/>
    </row>
    <row r="28" spans="1:27" x14ac:dyDescent="0.2">
      <c r="A28" s="1"/>
      <c r="D28" s="3"/>
    </row>
    <row r="29" spans="1:27" x14ac:dyDescent="0.2">
      <c r="A29" s="1"/>
      <c r="D29" s="3"/>
    </row>
    <row r="30" spans="1:27" x14ac:dyDescent="0.2">
      <c r="A30" s="1"/>
      <c r="D30" s="3"/>
    </row>
    <row r="31" spans="1:27" x14ac:dyDescent="0.2">
      <c r="A31" s="1"/>
      <c r="D31" s="3"/>
    </row>
    <row r="32" spans="1:27" x14ac:dyDescent="0.2">
      <c r="A32" s="1"/>
      <c r="D32" s="3"/>
    </row>
    <row r="33" spans="1:4" x14ac:dyDescent="0.2">
      <c r="A33" s="1"/>
      <c r="D33" s="3"/>
    </row>
    <row r="34" spans="1:4" x14ac:dyDescent="0.2">
      <c r="A34" s="1"/>
      <c r="D34" s="3"/>
    </row>
    <row r="35" spans="1:4" x14ac:dyDescent="0.2">
      <c r="A35" s="1"/>
      <c r="D35" s="3"/>
    </row>
    <row r="36" spans="1:4" x14ac:dyDescent="0.2">
      <c r="A36" s="1"/>
      <c r="D36" s="3"/>
    </row>
    <row r="37" spans="1:4" x14ac:dyDescent="0.2">
      <c r="A37" s="1"/>
      <c r="D37" s="3"/>
    </row>
    <row r="38" spans="1:4" x14ac:dyDescent="0.2">
      <c r="A38" s="1"/>
      <c r="D38" s="3"/>
    </row>
    <row r="39" spans="1:4" x14ac:dyDescent="0.2">
      <c r="A39" s="1"/>
      <c r="D39" s="3"/>
    </row>
    <row r="40" spans="1:4" x14ac:dyDescent="0.2">
      <c r="A40" s="1"/>
      <c r="D40" s="3"/>
    </row>
    <row r="41" spans="1:4" x14ac:dyDescent="0.2">
      <c r="A41" s="1"/>
      <c r="D41" s="3"/>
    </row>
    <row r="42" spans="1:4" x14ac:dyDescent="0.2">
      <c r="A42" s="1"/>
      <c r="D42" s="3"/>
    </row>
    <row r="43" spans="1:4" x14ac:dyDescent="0.2">
      <c r="A43" s="1"/>
      <c r="D43" s="3"/>
    </row>
    <row r="44" spans="1:4" x14ac:dyDescent="0.2">
      <c r="A44" s="1"/>
      <c r="D44" s="3"/>
    </row>
    <row r="45" spans="1:4" x14ac:dyDescent="0.2">
      <c r="A45" s="1"/>
      <c r="D45" s="3"/>
    </row>
    <row r="46" spans="1:4" x14ac:dyDescent="0.2">
      <c r="A46" s="1"/>
      <c r="D46" s="3"/>
    </row>
    <row r="47" spans="1:4" x14ac:dyDescent="0.2">
      <c r="A47" s="1"/>
      <c r="D47" s="3"/>
    </row>
    <row r="48" spans="1:4" x14ac:dyDescent="0.2">
      <c r="A48" s="1"/>
      <c r="D48" s="3"/>
    </row>
    <row r="49" spans="1:4" x14ac:dyDescent="0.2">
      <c r="A49" s="1"/>
      <c r="D49" s="3"/>
    </row>
    <row r="50" spans="1:4" x14ac:dyDescent="0.2">
      <c r="A50" s="1"/>
      <c r="D50" s="3"/>
    </row>
    <row r="51" spans="1:4" x14ac:dyDescent="0.2">
      <c r="A51" s="1"/>
      <c r="D51" s="3"/>
    </row>
    <row r="52" spans="1:4" x14ac:dyDescent="0.2">
      <c r="A52" s="1"/>
      <c r="D52" s="3"/>
    </row>
    <row r="53" spans="1:4" x14ac:dyDescent="0.2">
      <c r="A53" s="1"/>
      <c r="D53" s="3"/>
    </row>
    <row r="54" spans="1:4" x14ac:dyDescent="0.2">
      <c r="A54" s="1"/>
      <c r="D54" s="3"/>
    </row>
    <row r="55" spans="1:4" x14ac:dyDescent="0.2">
      <c r="A55" s="1"/>
      <c r="D55" s="3"/>
    </row>
    <row r="56" spans="1:4" x14ac:dyDescent="0.2">
      <c r="A56" s="1"/>
      <c r="D56" s="3"/>
    </row>
    <row r="57" spans="1:4" x14ac:dyDescent="0.2">
      <c r="A57" s="1"/>
      <c r="D57" s="3"/>
    </row>
    <row r="58" spans="1:4" x14ac:dyDescent="0.2">
      <c r="A58" s="1"/>
      <c r="D58" s="3"/>
    </row>
    <row r="59" spans="1:4" x14ac:dyDescent="0.2">
      <c r="A59" s="1"/>
      <c r="D59" s="3"/>
    </row>
    <row r="60" spans="1:4" x14ac:dyDescent="0.2">
      <c r="A60" s="1"/>
      <c r="D60" s="3"/>
    </row>
    <row r="61" spans="1:4" x14ac:dyDescent="0.2">
      <c r="A61" s="1"/>
      <c r="D61" s="3"/>
    </row>
    <row r="62" spans="1:4" x14ac:dyDescent="0.2">
      <c r="A62" s="1"/>
      <c r="D62" s="3"/>
    </row>
    <row r="63" spans="1:4" x14ac:dyDescent="0.2">
      <c r="A63" s="1"/>
      <c r="D63" s="3"/>
    </row>
    <row r="64" spans="1:4" x14ac:dyDescent="0.2">
      <c r="A64" s="1"/>
      <c r="D64" s="3"/>
    </row>
    <row r="65" spans="1:4" x14ac:dyDescent="0.2">
      <c r="A65" s="1"/>
      <c r="D65" s="3"/>
    </row>
    <row r="66" spans="1:4" x14ac:dyDescent="0.2">
      <c r="A66" s="1"/>
      <c r="D66" s="3"/>
    </row>
    <row r="67" spans="1:4" x14ac:dyDescent="0.2">
      <c r="A67" s="1"/>
      <c r="D67" s="3"/>
    </row>
    <row r="68" spans="1:4" x14ac:dyDescent="0.2">
      <c r="A68" s="1"/>
      <c r="D68" s="3"/>
    </row>
    <row r="69" spans="1:4" x14ac:dyDescent="0.2">
      <c r="A69" s="1"/>
      <c r="D69" s="3"/>
    </row>
    <row r="70" spans="1:4" x14ac:dyDescent="0.2">
      <c r="A70" s="1"/>
      <c r="D70" s="3"/>
    </row>
    <row r="71" spans="1:4" x14ac:dyDescent="0.2">
      <c r="A71" s="1"/>
      <c r="D71" s="3"/>
    </row>
    <row r="72" spans="1:4" x14ac:dyDescent="0.2">
      <c r="A72" s="1"/>
      <c r="D72" s="3"/>
    </row>
    <row r="73" spans="1:4" x14ac:dyDescent="0.2">
      <c r="A73" s="1"/>
      <c r="D73" s="3"/>
    </row>
    <row r="74" spans="1:4" x14ac:dyDescent="0.2">
      <c r="A74" s="1"/>
      <c r="D74" s="3"/>
    </row>
    <row r="75" spans="1:4" x14ac:dyDescent="0.2">
      <c r="A75" s="1"/>
      <c r="D75" s="3"/>
    </row>
    <row r="76" spans="1:4" x14ac:dyDescent="0.2">
      <c r="A76" s="1"/>
      <c r="D76" s="3"/>
    </row>
    <row r="77" spans="1:4" x14ac:dyDescent="0.2">
      <c r="A77" s="1"/>
      <c r="D77" s="3"/>
    </row>
    <row r="78" spans="1:4" x14ac:dyDescent="0.2">
      <c r="A78" s="1"/>
      <c r="D78" s="3"/>
    </row>
    <row r="79" spans="1:4" x14ac:dyDescent="0.2">
      <c r="A79" s="1"/>
      <c r="D79" s="3"/>
    </row>
    <row r="80" spans="1:4" x14ac:dyDescent="0.2">
      <c r="A80" s="1"/>
      <c r="D80" s="3"/>
    </row>
    <row r="81" spans="1:4" x14ac:dyDescent="0.2">
      <c r="A81" s="1"/>
      <c r="D81" s="3"/>
    </row>
    <row r="82" spans="1:4" x14ac:dyDescent="0.2">
      <c r="A82" s="1"/>
      <c r="D82" s="3"/>
    </row>
    <row r="83" spans="1:4" x14ac:dyDescent="0.2">
      <c r="A83" s="1"/>
      <c r="D83" s="3"/>
    </row>
    <row r="84" spans="1:4" x14ac:dyDescent="0.2">
      <c r="A84" s="1"/>
      <c r="D84" s="3"/>
    </row>
    <row r="85" spans="1:4" x14ac:dyDescent="0.2">
      <c r="A85" s="1"/>
      <c r="D85" s="3"/>
    </row>
    <row r="86" spans="1:4" x14ac:dyDescent="0.2">
      <c r="A86" s="1"/>
      <c r="D86" s="3"/>
    </row>
    <row r="87" spans="1:4" x14ac:dyDescent="0.2">
      <c r="A87" s="1"/>
      <c r="D87" s="3"/>
    </row>
    <row r="88" spans="1:4" x14ac:dyDescent="0.2">
      <c r="A88" s="1"/>
      <c r="D88" s="3"/>
    </row>
    <row r="89" spans="1:4" x14ac:dyDescent="0.2">
      <c r="A89" s="1"/>
      <c r="D89" s="3"/>
    </row>
    <row r="90" spans="1:4" x14ac:dyDescent="0.2">
      <c r="A90" s="1"/>
      <c r="D90" s="3"/>
    </row>
    <row r="91" spans="1:4" x14ac:dyDescent="0.2">
      <c r="A91" s="1"/>
      <c r="D91" s="3"/>
    </row>
    <row r="92" spans="1:4" x14ac:dyDescent="0.2">
      <c r="A92" s="1"/>
      <c r="D92" s="3"/>
    </row>
    <row r="93" spans="1:4" x14ac:dyDescent="0.2">
      <c r="A93" s="1"/>
      <c r="D93" s="3"/>
    </row>
    <row r="94" spans="1:4" x14ac:dyDescent="0.2">
      <c r="A94" s="1"/>
      <c r="D94" s="3"/>
    </row>
    <row r="95" spans="1:4" x14ac:dyDescent="0.2">
      <c r="A95" s="1"/>
      <c r="D95" s="3"/>
    </row>
    <row r="96" spans="1:4" x14ac:dyDescent="0.2">
      <c r="A96" s="1"/>
      <c r="D96" s="3"/>
    </row>
    <row r="97" spans="1:4" x14ac:dyDescent="0.2">
      <c r="A97" s="1"/>
      <c r="D97" s="3"/>
    </row>
    <row r="98" spans="1:4" x14ac:dyDescent="0.2">
      <c r="A98" s="1"/>
      <c r="D98" s="3"/>
    </row>
    <row r="99" spans="1:4" x14ac:dyDescent="0.2">
      <c r="A99" s="1"/>
      <c r="D99" s="3"/>
    </row>
    <row r="100" spans="1:4" x14ac:dyDescent="0.2">
      <c r="A100" s="1"/>
      <c r="D100" s="3"/>
    </row>
    <row r="101" spans="1:4" x14ac:dyDescent="0.2">
      <c r="A101" s="1"/>
      <c r="D101" s="3"/>
    </row>
    <row r="102" spans="1:4" x14ac:dyDescent="0.2">
      <c r="A102" s="1"/>
      <c r="D102" s="3"/>
    </row>
    <row r="103" spans="1:4" x14ac:dyDescent="0.2">
      <c r="A103" s="1"/>
      <c r="D103" s="3"/>
    </row>
    <row r="104" spans="1:4" x14ac:dyDescent="0.2">
      <c r="A104" s="1"/>
      <c r="D104" s="3"/>
    </row>
    <row r="105" spans="1:4" x14ac:dyDescent="0.2">
      <c r="A105" s="1"/>
      <c r="D105" s="3"/>
    </row>
    <row r="106" spans="1:4" x14ac:dyDescent="0.2">
      <c r="A106" s="1"/>
      <c r="D106" s="3"/>
    </row>
    <row r="107" spans="1:4" x14ac:dyDescent="0.2">
      <c r="A107" s="1"/>
      <c r="D107" s="3"/>
    </row>
    <row r="108" spans="1:4" x14ac:dyDescent="0.2">
      <c r="A108" s="1"/>
      <c r="D108" s="3"/>
    </row>
    <row r="109" spans="1:4" x14ac:dyDescent="0.2">
      <c r="A109" s="1"/>
      <c r="D109" s="3"/>
    </row>
    <row r="110" spans="1:4" x14ac:dyDescent="0.2">
      <c r="A110" s="1"/>
      <c r="D110" s="3"/>
    </row>
    <row r="111" spans="1:4" x14ac:dyDescent="0.2">
      <c r="A111" s="1"/>
      <c r="D111" s="3"/>
    </row>
    <row r="112" spans="1:4" x14ac:dyDescent="0.2">
      <c r="A112" s="1"/>
      <c r="D112" s="3"/>
    </row>
    <row r="113" spans="1:4" x14ac:dyDescent="0.2">
      <c r="A113" s="1"/>
      <c r="D113" s="3"/>
    </row>
    <row r="114" spans="1:4" x14ac:dyDescent="0.2">
      <c r="A114" s="1"/>
      <c r="D114" s="3"/>
    </row>
    <row r="115" spans="1:4" x14ac:dyDescent="0.2">
      <c r="A115" s="1"/>
      <c r="D115" s="3"/>
    </row>
    <row r="116" spans="1:4" x14ac:dyDescent="0.2">
      <c r="A116" s="1"/>
      <c r="D116" s="3"/>
    </row>
    <row r="117" spans="1:4" x14ac:dyDescent="0.2">
      <c r="A117" s="1"/>
      <c r="D117" s="3"/>
    </row>
    <row r="118" spans="1:4" x14ac:dyDescent="0.2">
      <c r="A118" s="1"/>
      <c r="D118" s="3"/>
    </row>
    <row r="119" spans="1:4" x14ac:dyDescent="0.2">
      <c r="A119" s="1"/>
      <c r="D119" s="3"/>
    </row>
    <row r="120" spans="1:4" x14ac:dyDescent="0.2">
      <c r="A120" s="1"/>
      <c r="D120" s="3"/>
    </row>
    <row r="121" spans="1:4" x14ac:dyDescent="0.2">
      <c r="A121" s="1"/>
      <c r="D121" s="3"/>
    </row>
    <row r="122" spans="1:4" x14ac:dyDescent="0.2">
      <c r="A122" s="1"/>
      <c r="D122" s="3"/>
    </row>
    <row r="123" spans="1:4" x14ac:dyDescent="0.2">
      <c r="A123" s="1"/>
      <c r="D123" s="3"/>
    </row>
    <row r="124" spans="1:4" x14ac:dyDescent="0.2">
      <c r="A124" s="1"/>
      <c r="D124" s="3"/>
    </row>
    <row r="125" spans="1:4" x14ac:dyDescent="0.2">
      <c r="A125" s="1"/>
      <c r="D125" s="3"/>
    </row>
    <row r="126" spans="1:4" x14ac:dyDescent="0.2">
      <c r="A126" s="1"/>
      <c r="D126" s="3"/>
    </row>
    <row r="127" spans="1:4" x14ac:dyDescent="0.2">
      <c r="A127" s="1"/>
      <c r="D127" s="3"/>
    </row>
    <row r="128" spans="1:4" x14ac:dyDescent="0.2">
      <c r="A128" s="1"/>
      <c r="D128" s="3"/>
    </row>
  </sheetData>
  <mergeCells count="15">
    <mergeCell ref="Z3:Z4"/>
    <mergeCell ref="AA3:AA4"/>
    <mergeCell ref="A1:Y1"/>
    <mergeCell ref="A3:A4"/>
    <mergeCell ref="B3:B4"/>
    <mergeCell ref="C3:C4"/>
    <mergeCell ref="D3:F3"/>
    <mergeCell ref="G3:G4"/>
    <mergeCell ref="H3:H4"/>
    <mergeCell ref="I3:I4"/>
    <mergeCell ref="J3:J4"/>
    <mergeCell ref="K3:V3"/>
    <mergeCell ref="W3:W4"/>
    <mergeCell ref="X3:X4"/>
    <mergeCell ref="Y3:Y4"/>
  </mergeCells>
  <conditionalFormatting sqref="K5:V5">
    <cfRule type="expression" dxfId="17" priority="14">
      <formula>$Z$5="Lunas"</formula>
    </cfRule>
  </conditionalFormatting>
  <conditionalFormatting sqref="K6:V6">
    <cfRule type="expression" dxfId="16" priority="13">
      <formula>$Z$6="Lunas"</formula>
    </cfRule>
  </conditionalFormatting>
  <conditionalFormatting sqref="K7:V7">
    <cfRule type="expression" dxfId="15" priority="12">
      <formula>$Z$7="Lunas"</formula>
    </cfRule>
  </conditionalFormatting>
  <conditionalFormatting sqref="K8:V8">
    <cfRule type="expression" dxfId="14" priority="11">
      <formula>$Z$8="Lunas"</formula>
    </cfRule>
  </conditionalFormatting>
  <conditionalFormatting sqref="K9:V9">
    <cfRule type="expression" dxfId="13" priority="10">
      <formula>$Z$9="Lunas"</formula>
    </cfRule>
  </conditionalFormatting>
  <conditionalFormatting sqref="K10:V10">
    <cfRule type="expression" dxfId="12" priority="9">
      <formula>$Z$10="Lunas"</formula>
    </cfRule>
  </conditionalFormatting>
  <conditionalFormatting sqref="K11:V11">
    <cfRule type="expression" dxfId="11" priority="8">
      <formula>$Z$11="Lunas"</formula>
    </cfRule>
  </conditionalFormatting>
  <conditionalFormatting sqref="K12:V12">
    <cfRule type="expression" dxfId="10" priority="7">
      <formula>$Z$12="Lunas"</formula>
    </cfRule>
  </conditionalFormatting>
  <conditionalFormatting sqref="K13:V13">
    <cfRule type="expression" dxfId="9" priority="6">
      <formula>$Z$13="Lunas"</formula>
    </cfRule>
  </conditionalFormatting>
  <conditionalFormatting sqref="K14:V14">
    <cfRule type="expression" dxfId="8" priority="5">
      <formula>$Z$14="Lunas"</formula>
    </cfRule>
  </conditionalFormatting>
  <conditionalFormatting sqref="K15:V15">
    <cfRule type="expression" dxfId="7" priority="4">
      <formula>$Z$15="Lunas"</formula>
    </cfRule>
  </conditionalFormatting>
  <conditionalFormatting sqref="K16:V16">
    <cfRule type="expression" dxfId="6" priority="3">
      <formula>$Z$16="Lunas"</formula>
    </cfRule>
  </conditionalFormatting>
  <conditionalFormatting sqref="K17:V17">
    <cfRule type="expression" dxfId="5" priority="2">
      <formula>$Z$17="Lunas"</formula>
    </cfRule>
  </conditionalFormatting>
  <conditionalFormatting sqref="K18:V25">
    <cfRule type="expression" dxfId="4" priority="1">
      <formula>$Z$18="Lunas"</formula>
    </cfRule>
  </conditionalFormatting>
  <conditionalFormatting sqref="Z5:Z25">
    <cfRule type="containsText" dxfId="3" priority="15" operator="containsText" text="Lunas">
      <formula>NOT(ISERROR(SEARCH("Lunas",Z5)))</formula>
    </cfRule>
    <cfRule type="containsText" dxfId="2" priority="16" operator="containsText" text="Lunas">
      <formula>NOT(ISERROR(SEARCH("Lunas",Z5)))</formula>
    </cfRule>
    <cfRule type="containsText" priority="17" operator="containsText" text="Lunas">
      <formula>NOT(ISERROR(SEARCH("Lunas",Z5)))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5197-7AD9-4987-ADB9-AFB642A8FDDE}">
  <dimension ref="A4:Z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P17" sqref="P17"/>
    </sheetView>
  </sheetViews>
  <sheetFormatPr baseColWidth="10" defaultColWidth="8.83203125" defaultRowHeight="15" x14ac:dyDescent="0.2"/>
  <cols>
    <col min="1" max="1" width="5.5" customWidth="1"/>
    <col min="2" max="2" width="25" style="32" bestFit="1" customWidth="1"/>
    <col min="3" max="3" width="32.5" style="35" customWidth="1"/>
    <col min="4" max="4" width="11.6640625" style="1" customWidth="1"/>
    <col min="5" max="5" width="15.5" style="32" customWidth="1"/>
    <col min="6" max="6" width="14.5" customWidth="1"/>
    <col min="7" max="7" width="15.5" style="32" customWidth="1"/>
    <col min="8" max="8" width="12" style="32" customWidth="1"/>
    <col min="9" max="9" width="9.1640625" style="32"/>
    <col min="10" max="10" width="14.5" style="32" customWidth="1"/>
    <col min="11" max="11" width="15.6640625" style="32" customWidth="1"/>
    <col min="12" max="12" width="13.6640625" style="32" customWidth="1"/>
    <col min="13" max="13" width="14.83203125" style="32" customWidth="1"/>
    <col min="14" max="23" width="13.6640625" style="32" customWidth="1"/>
    <col min="24" max="24" width="15.5" style="32" customWidth="1"/>
    <col min="25" max="25" width="14.33203125" style="32" customWidth="1"/>
    <col min="26" max="26" width="11.5" style="32" customWidth="1"/>
  </cols>
  <sheetData>
    <row r="4" spans="1:26" x14ac:dyDescent="0.2">
      <c r="A4" s="125" t="s">
        <v>20</v>
      </c>
      <c r="B4" s="125" t="s">
        <v>0</v>
      </c>
      <c r="C4" s="126" t="s">
        <v>1</v>
      </c>
      <c r="D4" s="128" t="s">
        <v>33</v>
      </c>
      <c r="E4" s="127" t="s">
        <v>4</v>
      </c>
      <c r="F4" s="127"/>
      <c r="G4" s="127"/>
      <c r="H4" s="126" t="s">
        <v>5</v>
      </c>
      <c r="I4" s="126" t="s">
        <v>26</v>
      </c>
      <c r="J4" s="130" t="s">
        <v>25</v>
      </c>
      <c r="K4" s="130" t="s">
        <v>22</v>
      </c>
      <c r="L4" s="132" t="s">
        <v>18</v>
      </c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3" t="s">
        <v>21</v>
      </c>
      <c r="Y4" s="133" t="s">
        <v>19</v>
      </c>
      <c r="Z4" s="125" t="s">
        <v>31</v>
      </c>
    </row>
    <row r="5" spans="1:26" ht="32" x14ac:dyDescent="0.2">
      <c r="A5" s="125"/>
      <c r="B5" s="125"/>
      <c r="C5" s="126"/>
      <c r="D5" s="129"/>
      <c r="E5" s="41" t="s">
        <v>2</v>
      </c>
      <c r="F5" s="43" t="s">
        <v>32</v>
      </c>
      <c r="G5" s="42" t="s">
        <v>3</v>
      </c>
      <c r="H5" s="126"/>
      <c r="I5" s="126"/>
      <c r="J5" s="131"/>
      <c r="K5" s="131"/>
      <c r="L5" s="44" t="s">
        <v>7</v>
      </c>
      <c r="M5" s="44" t="s">
        <v>8</v>
      </c>
      <c r="N5" s="44" t="s">
        <v>9</v>
      </c>
      <c r="O5" s="44" t="s">
        <v>10</v>
      </c>
      <c r="P5" s="44" t="s">
        <v>6</v>
      </c>
      <c r="Q5" s="44" t="s">
        <v>11</v>
      </c>
      <c r="R5" s="44" t="s">
        <v>12</v>
      </c>
      <c r="S5" s="44" t="s">
        <v>13</v>
      </c>
      <c r="T5" s="44" t="s">
        <v>14</v>
      </c>
      <c r="U5" s="44" t="s">
        <v>15</v>
      </c>
      <c r="V5" s="44" t="s">
        <v>16</v>
      </c>
      <c r="W5" s="44" t="s">
        <v>17</v>
      </c>
      <c r="X5" s="133"/>
      <c r="Y5" s="133"/>
      <c r="Z5" s="125"/>
    </row>
    <row r="6" spans="1:26" x14ac:dyDescent="0.2">
      <c r="A6" s="2">
        <v>1</v>
      </c>
      <c r="B6" s="23"/>
      <c r="C6" s="34"/>
      <c r="D6" s="2"/>
      <c r="E6" s="38"/>
      <c r="F6" s="45">
        <f t="shared" ref="F6" si="0">D6*3000</f>
        <v>0</v>
      </c>
      <c r="G6" s="46">
        <f t="shared" ref="G6" si="1">E6+F6</f>
        <v>0</v>
      </c>
      <c r="H6" s="37"/>
      <c r="I6" s="2"/>
      <c r="J6" s="20" t="e">
        <f t="shared" ref="J6" si="2">G6/I6</f>
        <v>#DIV/0!</v>
      </c>
      <c r="K6" s="33"/>
      <c r="L6" s="33"/>
      <c r="M6" s="33"/>
      <c r="N6" s="33"/>
      <c r="O6" s="38"/>
      <c r="P6" s="38"/>
      <c r="Q6" s="38"/>
      <c r="R6" s="33"/>
      <c r="S6" s="33"/>
      <c r="T6" s="33"/>
      <c r="U6" s="33"/>
      <c r="V6" s="33"/>
      <c r="W6" s="33"/>
      <c r="X6" s="18">
        <f t="shared" ref="X6" si="3">K6+L6+M6+N6+O6+P6+Q6+R6+S6+T6+U6+V6+W6</f>
        <v>0</v>
      </c>
      <c r="Y6" s="36">
        <f t="shared" ref="Y6" si="4">G6-X6</f>
        <v>0</v>
      </c>
      <c r="Z6" s="30" t="str">
        <f t="shared" ref="Z6:Z7" si="5">IF(X6=0," ",IF(Y6=0,"Lunas"," "))</f>
        <v xml:space="preserve"> </v>
      </c>
    </row>
    <row r="7" spans="1:26" x14ac:dyDescent="0.2">
      <c r="A7" s="2">
        <v>2</v>
      </c>
      <c r="B7" s="24"/>
      <c r="C7" s="34"/>
      <c r="D7" s="2"/>
      <c r="E7" s="38"/>
      <c r="F7" s="45">
        <f t="shared" ref="F7" si="6">D7*3000</f>
        <v>0</v>
      </c>
      <c r="G7" s="46">
        <f t="shared" ref="G7" si="7">E7+F7</f>
        <v>0</v>
      </c>
      <c r="H7" s="37"/>
      <c r="I7" s="2"/>
      <c r="J7" s="20" t="e">
        <f t="shared" ref="J7" si="8">G7/I7</f>
        <v>#DIV/0!</v>
      </c>
      <c r="K7" s="33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18">
        <f t="shared" ref="X7" si="9">K7+L7+M7+N7+O7+P7+Q7+R7+S7+T7+U7+V7+W7</f>
        <v>0</v>
      </c>
      <c r="Y7" s="36">
        <f t="shared" ref="Y7" si="10">G7-X7</f>
        <v>0</v>
      </c>
      <c r="Z7" s="30" t="str">
        <f t="shared" si="5"/>
        <v xml:space="preserve"> </v>
      </c>
    </row>
    <row r="8" spans="1:26" x14ac:dyDescent="0.2">
      <c r="A8" s="6"/>
      <c r="B8" s="33"/>
      <c r="C8" s="34"/>
      <c r="D8" s="2"/>
      <c r="E8" s="38"/>
      <c r="F8" s="45"/>
      <c r="G8" s="46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</sheetData>
  <mergeCells count="13">
    <mergeCell ref="Z4:Z5"/>
    <mergeCell ref="A4:A5"/>
    <mergeCell ref="B4:B5"/>
    <mergeCell ref="C4:C5"/>
    <mergeCell ref="E4:G4"/>
    <mergeCell ref="H4:H5"/>
    <mergeCell ref="I4:I5"/>
    <mergeCell ref="D4:D5"/>
    <mergeCell ref="J4:J5"/>
    <mergeCell ref="K4:K5"/>
    <mergeCell ref="L4:W4"/>
    <mergeCell ref="X4:X5"/>
    <mergeCell ref="Y4:Y5"/>
  </mergeCells>
  <conditionalFormatting sqref="Z6:Z7">
    <cfRule type="containsText" dxfId="1" priority="1" operator="containsText" text="Lunas">
      <formula>NOT(ISERROR(SEARCH("Lunas",Z6)))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9AC1-BABA-4408-833D-25E97A197241}">
  <dimension ref="A4:P27"/>
  <sheetViews>
    <sheetView tabSelected="1" workbookViewId="0">
      <pane xSplit="2" topLeftCell="C1" activePane="topRight" state="frozen"/>
      <selection pane="topRight" activeCell="L20" sqref="L20"/>
    </sheetView>
  </sheetViews>
  <sheetFormatPr baseColWidth="10" defaultColWidth="8.83203125" defaultRowHeight="15" x14ac:dyDescent="0.2"/>
  <cols>
    <col min="1" max="1" width="4.1640625" style="1" customWidth="1"/>
    <col min="2" max="2" width="28" customWidth="1"/>
    <col min="3" max="14" width="13.6640625" customWidth="1"/>
    <col min="15" max="15" width="20.6640625" customWidth="1"/>
  </cols>
  <sheetData>
    <row r="4" spans="1:16" x14ac:dyDescent="0.2">
      <c r="A4" s="134" t="s">
        <v>20</v>
      </c>
      <c r="B4" s="134" t="s">
        <v>0</v>
      </c>
      <c r="C4" s="135" t="s">
        <v>18</v>
      </c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 t="s">
        <v>183</v>
      </c>
      <c r="P4" s="134" t="s">
        <v>31</v>
      </c>
    </row>
    <row r="5" spans="1:16" x14ac:dyDescent="0.2">
      <c r="A5" s="134"/>
      <c r="B5" s="134"/>
      <c r="C5" s="47" t="s">
        <v>7</v>
      </c>
      <c r="D5" s="47" t="s">
        <v>8</v>
      </c>
      <c r="E5" s="47" t="s">
        <v>9</v>
      </c>
      <c r="F5" s="47" t="s">
        <v>10</v>
      </c>
      <c r="G5" s="47" t="s">
        <v>6</v>
      </c>
      <c r="H5" s="47" t="s">
        <v>11</v>
      </c>
      <c r="I5" s="47" t="s">
        <v>12</v>
      </c>
      <c r="J5" s="47" t="s">
        <v>13</v>
      </c>
      <c r="K5" s="47" t="s">
        <v>14</v>
      </c>
      <c r="L5" s="47" t="s">
        <v>15</v>
      </c>
      <c r="M5" s="47" t="s">
        <v>16</v>
      </c>
      <c r="N5" s="47" t="s">
        <v>17</v>
      </c>
      <c r="O5" s="136"/>
      <c r="P5" s="134"/>
    </row>
    <row r="6" spans="1:16" x14ac:dyDescent="0.2">
      <c r="A6" s="2">
        <v>1</v>
      </c>
      <c r="B6" s="26" t="s">
        <v>200</v>
      </c>
      <c r="C6" s="38">
        <v>640920</v>
      </c>
      <c r="D6" s="38">
        <v>77595</v>
      </c>
      <c r="E6" s="38">
        <v>77900</v>
      </c>
      <c r="F6" s="38">
        <v>269850</v>
      </c>
      <c r="G6" s="38">
        <v>162750</v>
      </c>
      <c r="H6" s="38"/>
      <c r="I6" s="38"/>
      <c r="J6" s="38">
        <f>169600+(5%*169600)+ (224000+(5%*224000))</f>
        <v>413280</v>
      </c>
      <c r="K6" s="38"/>
      <c r="L6" s="38"/>
      <c r="M6" s="38"/>
      <c r="N6" s="38"/>
      <c r="O6" s="18">
        <v>353430</v>
      </c>
      <c r="P6" s="30"/>
    </row>
    <row r="7" spans="1:16" x14ac:dyDescent="0.2">
      <c r="A7" s="2">
        <v>2</v>
      </c>
      <c r="B7" s="24" t="s">
        <v>56</v>
      </c>
      <c r="C7" s="38">
        <v>60900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18">
        <f>SUM(C7:N7)</f>
        <v>60900</v>
      </c>
      <c r="P7" s="30"/>
    </row>
    <row r="8" spans="1:16" x14ac:dyDescent="0.2">
      <c r="A8" s="2">
        <v>3</v>
      </c>
      <c r="B8" s="24" t="s">
        <v>104</v>
      </c>
      <c r="C8" s="7">
        <v>877900</v>
      </c>
      <c r="D8" s="7">
        <v>776580</v>
      </c>
      <c r="E8" s="7"/>
      <c r="F8" s="7">
        <v>425250</v>
      </c>
      <c r="G8" s="7">
        <v>206000</v>
      </c>
      <c r="H8" s="38"/>
      <c r="I8" s="7">
        <f>(756000+200000)+(5%*956000)</f>
        <v>1003800</v>
      </c>
      <c r="J8" s="7">
        <f>(233800+(5%*233800))</f>
        <v>245490</v>
      </c>
      <c r="K8" s="7"/>
      <c r="L8" s="7"/>
      <c r="M8" s="7"/>
      <c r="N8" s="7"/>
      <c r="O8" s="18">
        <f>SUM(C8:N8)</f>
        <v>3535020</v>
      </c>
      <c r="P8" s="6"/>
    </row>
    <row r="9" spans="1:16" x14ac:dyDescent="0.2">
      <c r="A9" s="2">
        <v>4</v>
      </c>
      <c r="B9" s="6" t="s">
        <v>207</v>
      </c>
      <c r="C9" s="7"/>
      <c r="D9" s="7"/>
      <c r="E9" s="7">
        <v>462000</v>
      </c>
      <c r="F9" s="7"/>
      <c r="G9" s="7"/>
      <c r="H9" s="7"/>
      <c r="I9" s="7"/>
      <c r="J9" s="7"/>
      <c r="K9" s="7"/>
      <c r="L9" s="7"/>
      <c r="M9" s="7"/>
      <c r="N9" s="7"/>
      <c r="O9" s="18">
        <f t="shared" ref="O9:O15" si="0">SUM(C9:N9)</f>
        <v>462000</v>
      </c>
      <c r="P9" s="6"/>
    </row>
    <row r="10" spans="1:16" x14ac:dyDescent="0.2">
      <c r="A10" s="2">
        <v>5</v>
      </c>
      <c r="B10" s="6" t="s">
        <v>190</v>
      </c>
      <c r="C10" s="7"/>
      <c r="D10" s="7"/>
      <c r="E10" s="7">
        <v>887565</v>
      </c>
      <c r="F10" s="7">
        <v>806400</v>
      </c>
      <c r="G10" s="7"/>
      <c r="H10" s="7"/>
      <c r="I10" s="7"/>
      <c r="J10" s="7"/>
      <c r="K10" s="7"/>
      <c r="L10" s="7"/>
      <c r="M10" s="7"/>
      <c r="N10" s="7"/>
      <c r="O10" s="18">
        <f t="shared" si="0"/>
        <v>1693965</v>
      </c>
      <c r="P10" s="6"/>
    </row>
    <row r="11" spans="1:16" x14ac:dyDescent="0.2">
      <c r="A11" s="2">
        <v>6</v>
      </c>
      <c r="B11" s="24" t="s">
        <v>63</v>
      </c>
      <c r="C11" s="7"/>
      <c r="D11" s="7"/>
      <c r="E11" s="7">
        <v>144900</v>
      </c>
      <c r="F11" s="7">
        <v>103950</v>
      </c>
      <c r="G11" s="7"/>
      <c r="H11" s="7"/>
      <c r="I11" s="7"/>
      <c r="J11" s="7"/>
      <c r="K11" s="7"/>
      <c r="L11" s="7"/>
      <c r="M11" s="7"/>
      <c r="N11" s="7"/>
      <c r="O11" s="18">
        <f t="shared" si="0"/>
        <v>248850</v>
      </c>
      <c r="P11" s="6"/>
    </row>
    <row r="12" spans="1:16" x14ac:dyDescent="0.2">
      <c r="A12" s="2">
        <v>7</v>
      </c>
      <c r="B12" s="24" t="s">
        <v>208</v>
      </c>
      <c r="C12" s="7"/>
      <c r="D12" s="7"/>
      <c r="E12" s="7">
        <v>256200</v>
      </c>
      <c r="F12" s="7"/>
      <c r="G12" s="7"/>
      <c r="H12" s="7"/>
      <c r="I12" s="7"/>
      <c r="J12" s="7"/>
      <c r="K12" s="7"/>
      <c r="L12" s="7"/>
      <c r="M12" s="7"/>
      <c r="N12" s="7"/>
      <c r="O12" s="18">
        <f t="shared" si="0"/>
        <v>256200</v>
      </c>
      <c r="P12" s="6"/>
    </row>
    <row r="13" spans="1:16" x14ac:dyDescent="0.2">
      <c r="A13" s="2">
        <v>8</v>
      </c>
      <c r="B13" s="24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18">
        <f t="shared" si="0"/>
        <v>0</v>
      </c>
      <c r="P13" s="6"/>
    </row>
    <row r="14" spans="1:16" x14ac:dyDescent="0.2">
      <c r="A14" s="2">
        <v>9</v>
      </c>
      <c r="B14" s="24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18">
        <f t="shared" si="0"/>
        <v>0</v>
      </c>
      <c r="P14" s="6"/>
    </row>
    <row r="15" spans="1:16" x14ac:dyDescent="0.2">
      <c r="A15" s="2">
        <v>10</v>
      </c>
      <c r="B15" s="2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8">
        <f t="shared" si="0"/>
        <v>0</v>
      </c>
      <c r="P15" s="6"/>
    </row>
    <row r="16" spans="1:16" x14ac:dyDescent="0.2">
      <c r="A16"/>
      <c r="C16" s="4">
        <f>SUM(C6:C15)</f>
        <v>1579720</v>
      </c>
      <c r="D16" s="4">
        <f>SUM(D6:D15)</f>
        <v>854175</v>
      </c>
      <c r="E16" s="4">
        <f t="shared" ref="E16:O16" si="1">SUM(E6:E15)</f>
        <v>1828565</v>
      </c>
      <c r="F16" s="4">
        <f t="shared" si="1"/>
        <v>1605450</v>
      </c>
      <c r="G16" s="4">
        <f t="shared" si="1"/>
        <v>368750</v>
      </c>
      <c r="H16" s="4">
        <f t="shared" si="1"/>
        <v>0</v>
      </c>
      <c r="I16" s="4">
        <f t="shared" si="1"/>
        <v>1003800</v>
      </c>
      <c r="J16" s="4">
        <f t="shared" si="1"/>
        <v>658770</v>
      </c>
      <c r="K16" s="4">
        <f t="shared" si="1"/>
        <v>0</v>
      </c>
      <c r="L16" s="4">
        <f t="shared" si="1"/>
        <v>0</v>
      </c>
      <c r="M16" s="4">
        <f t="shared" si="1"/>
        <v>0</v>
      </c>
      <c r="N16" s="4">
        <f t="shared" si="1"/>
        <v>0</v>
      </c>
      <c r="O16" s="31">
        <f t="shared" si="1"/>
        <v>6610365</v>
      </c>
    </row>
    <row r="17" spans="1:15" x14ac:dyDescent="0.2">
      <c r="A17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</sheetData>
  <mergeCells count="5">
    <mergeCell ref="P4:P5"/>
    <mergeCell ref="C4:N4"/>
    <mergeCell ref="O4:O5"/>
    <mergeCell ref="A4:A5"/>
    <mergeCell ref="B4:B5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A038-3EF3-4480-BB0E-925868F071AB}">
  <dimension ref="A3:AA34"/>
  <sheetViews>
    <sheetView zoomScale="82" zoomScaleNormal="35" workbookViewId="0">
      <selection activeCell="P5" sqref="P5"/>
    </sheetView>
  </sheetViews>
  <sheetFormatPr baseColWidth="10" defaultColWidth="8.83203125" defaultRowHeight="15" x14ac:dyDescent="0.2"/>
  <cols>
    <col min="1" max="1" width="5.5" customWidth="1"/>
    <col min="2" max="2" width="25" bestFit="1" customWidth="1"/>
    <col min="3" max="3" width="18.6640625" customWidth="1"/>
    <col min="4" max="4" width="14" bestFit="1" customWidth="1"/>
    <col min="5" max="5" width="11.6640625" style="1" customWidth="1"/>
    <col min="6" max="6" width="15.5" customWidth="1"/>
    <col min="7" max="7" width="14.5" customWidth="1"/>
    <col min="8" max="8" width="15.5" customWidth="1"/>
    <col min="9" max="9" width="12" customWidth="1"/>
    <col min="11" max="11" width="14.5" customWidth="1"/>
    <col min="12" max="12" width="15.6640625" customWidth="1"/>
    <col min="13" max="13" width="13.6640625" customWidth="1"/>
    <col min="14" max="14" width="14.83203125" customWidth="1"/>
    <col min="15" max="24" width="13.6640625" customWidth="1"/>
    <col min="25" max="25" width="15.5" customWidth="1"/>
    <col min="26" max="26" width="14.33203125" customWidth="1"/>
    <col min="27" max="27" width="11.5" customWidth="1"/>
  </cols>
  <sheetData>
    <row r="3" spans="1:27" x14ac:dyDescent="0.2">
      <c r="A3" s="138" t="s">
        <v>20</v>
      </c>
      <c r="B3" s="138" t="s">
        <v>0</v>
      </c>
      <c r="C3" s="138" t="s">
        <v>1</v>
      </c>
      <c r="D3" s="49"/>
      <c r="E3" s="139" t="s">
        <v>33</v>
      </c>
      <c r="F3" s="141" t="s">
        <v>4</v>
      </c>
      <c r="G3" s="141"/>
      <c r="H3" s="141"/>
      <c r="I3" s="137" t="s">
        <v>5</v>
      </c>
      <c r="J3" s="137" t="s">
        <v>26</v>
      </c>
      <c r="K3" s="142" t="s">
        <v>25</v>
      </c>
      <c r="L3" s="142" t="s">
        <v>22</v>
      </c>
      <c r="M3" s="144" t="s">
        <v>18</v>
      </c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5" t="s">
        <v>21</v>
      </c>
      <c r="Z3" s="145" t="s">
        <v>19</v>
      </c>
      <c r="AA3" s="138" t="s">
        <v>31</v>
      </c>
    </row>
    <row r="4" spans="1:27" ht="32" x14ac:dyDescent="0.2">
      <c r="A4" s="138"/>
      <c r="B4" s="138"/>
      <c r="C4" s="138"/>
      <c r="D4" s="51" t="s">
        <v>35</v>
      </c>
      <c r="E4" s="140"/>
      <c r="F4" s="48" t="s">
        <v>2</v>
      </c>
      <c r="G4" s="52" t="s">
        <v>34</v>
      </c>
      <c r="H4" s="50" t="s">
        <v>3</v>
      </c>
      <c r="I4" s="137"/>
      <c r="J4" s="137"/>
      <c r="K4" s="143"/>
      <c r="L4" s="143"/>
      <c r="M4" s="53" t="s">
        <v>7</v>
      </c>
      <c r="N4" s="53" t="s">
        <v>8</v>
      </c>
      <c r="O4" s="53" t="s">
        <v>9</v>
      </c>
      <c r="P4" s="53" t="s">
        <v>10</v>
      </c>
      <c r="Q4" s="53" t="s">
        <v>6</v>
      </c>
      <c r="R4" s="53" t="s">
        <v>11</v>
      </c>
      <c r="S4" s="53" t="s">
        <v>12</v>
      </c>
      <c r="T4" s="53" t="s">
        <v>13</v>
      </c>
      <c r="U4" s="53" t="s">
        <v>14</v>
      </c>
      <c r="V4" s="53" t="s">
        <v>15</v>
      </c>
      <c r="W4" s="53" t="s">
        <v>16</v>
      </c>
      <c r="X4" s="53" t="s">
        <v>17</v>
      </c>
      <c r="Y4" s="145"/>
      <c r="Z4" s="145"/>
      <c r="AA4" s="138"/>
    </row>
    <row r="5" spans="1:27" x14ac:dyDescent="0.2">
      <c r="A5" s="2">
        <v>1</v>
      </c>
      <c r="B5" s="29" t="s">
        <v>169</v>
      </c>
      <c r="C5" s="6" t="s">
        <v>212</v>
      </c>
      <c r="D5" s="7">
        <v>135500</v>
      </c>
      <c r="E5" s="2">
        <v>3</v>
      </c>
      <c r="F5" s="15">
        <f>D5*E5</f>
        <v>406500</v>
      </c>
      <c r="G5" s="16">
        <f>E5*6000</f>
        <v>18000</v>
      </c>
      <c r="H5" s="17">
        <f>G5+F5</f>
        <v>424500</v>
      </c>
      <c r="I5" s="8"/>
      <c r="J5" s="2">
        <v>3</v>
      </c>
      <c r="K5" s="20">
        <f>H5/J5</f>
        <v>141500</v>
      </c>
      <c r="L5" s="6"/>
      <c r="M5" s="6"/>
      <c r="N5" s="6"/>
      <c r="O5" s="6"/>
      <c r="P5" s="7">
        <v>141500</v>
      </c>
      <c r="Q5" s="7">
        <v>141500</v>
      </c>
      <c r="R5" s="7">
        <v>141500</v>
      </c>
      <c r="S5" s="7"/>
      <c r="T5" s="7"/>
      <c r="U5" s="7"/>
      <c r="V5" s="7"/>
      <c r="W5" s="7"/>
      <c r="X5" s="7"/>
      <c r="Y5" s="18">
        <f t="shared" ref="Y5:Y7" si="0">L5+M5+N5+O5+P5+Q5+R5+S5+T5+U5+V5+W5+X5</f>
        <v>424500</v>
      </c>
      <c r="Z5" s="19">
        <f t="shared" ref="Z5:Z7" si="1">H5-Y5</f>
        <v>0</v>
      </c>
      <c r="AA5" s="30" t="str">
        <f t="shared" ref="AA5:AA33" si="2">IF(Y5=0," ",IF(Z5=0,"Lunas"," "))</f>
        <v>Lunas</v>
      </c>
    </row>
    <row r="6" spans="1:27" x14ac:dyDescent="0.2">
      <c r="A6" s="2">
        <v>2</v>
      </c>
      <c r="B6" s="29" t="s">
        <v>220</v>
      </c>
      <c r="C6" s="6" t="s">
        <v>212</v>
      </c>
      <c r="D6" s="7">
        <v>135500</v>
      </c>
      <c r="E6" s="2">
        <v>10</v>
      </c>
      <c r="F6" s="15">
        <f t="shared" ref="F6:F15" si="3">D6*E6</f>
        <v>1355000</v>
      </c>
      <c r="G6" s="16">
        <f t="shared" ref="G6:G15" si="4">E6*6000</f>
        <v>60000</v>
      </c>
      <c r="H6" s="17">
        <f t="shared" ref="H6:H15" si="5">G6+F6</f>
        <v>1415000</v>
      </c>
      <c r="I6" s="8"/>
      <c r="J6" s="2">
        <v>3</v>
      </c>
      <c r="K6" s="20">
        <f t="shared" ref="K6:K15" si="6">H6/J6</f>
        <v>471666.66666666669</v>
      </c>
      <c r="L6" s="6"/>
      <c r="M6" s="6"/>
      <c r="N6" s="6"/>
      <c r="O6" s="6"/>
      <c r="P6" s="7">
        <v>471666.66666666669</v>
      </c>
      <c r="Q6" s="7">
        <v>471666.66666666669</v>
      </c>
      <c r="R6" s="7">
        <v>471666.66666666669</v>
      </c>
      <c r="S6" s="7"/>
      <c r="T6" s="7"/>
      <c r="U6" s="7"/>
      <c r="V6" s="7"/>
      <c r="W6" s="7"/>
      <c r="X6" s="7"/>
      <c r="Y6" s="18">
        <f t="shared" si="0"/>
        <v>1415000</v>
      </c>
      <c r="Z6" s="19">
        <f t="shared" si="1"/>
        <v>0</v>
      </c>
      <c r="AA6" s="30" t="str">
        <f t="shared" si="2"/>
        <v>Lunas</v>
      </c>
    </row>
    <row r="7" spans="1:27" x14ac:dyDescent="0.2">
      <c r="A7" s="2">
        <v>3</v>
      </c>
      <c r="B7" s="29" t="s">
        <v>174</v>
      </c>
      <c r="C7" s="6" t="s">
        <v>212</v>
      </c>
      <c r="D7" s="7">
        <v>135500</v>
      </c>
      <c r="E7" s="2">
        <v>3</v>
      </c>
      <c r="F7" s="15">
        <f t="shared" si="3"/>
        <v>406500</v>
      </c>
      <c r="G7" s="16">
        <f t="shared" si="4"/>
        <v>18000</v>
      </c>
      <c r="H7" s="17">
        <f t="shared" si="5"/>
        <v>424500</v>
      </c>
      <c r="I7" s="8"/>
      <c r="J7" s="2">
        <v>3</v>
      </c>
      <c r="K7" s="20">
        <f t="shared" si="6"/>
        <v>141500</v>
      </c>
      <c r="L7" s="6"/>
      <c r="M7" s="6"/>
      <c r="N7" s="6"/>
      <c r="O7" s="6"/>
      <c r="P7" s="7">
        <v>141500</v>
      </c>
      <c r="Q7" s="7">
        <v>141500</v>
      </c>
      <c r="R7" s="7">
        <v>141500</v>
      </c>
      <c r="S7" s="7"/>
      <c r="T7" s="7"/>
      <c r="U7" s="7"/>
      <c r="V7" s="7"/>
      <c r="W7" s="7"/>
      <c r="X7" s="7"/>
      <c r="Y7" s="18">
        <f t="shared" si="0"/>
        <v>424500</v>
      </c>
      <c r="Z7" s="19">
        <f t="shared" si="1"/>
        <v>0</v>
      </c>
      <c r="AA7" s="30" t="str">
        <f t="shared" si="2"/>
        <v>Lunas</v>
      </c>
    </row>
    <row r="8" spans="1:27" x14ac:dyDescent="0.2">
      <c r="A8" s="2">
        <v>4</v>
      </c>
      <c r="B8" s="29" t="s">
        <v>164</v>
      </c>
      <c r="C8" s="6" t="s">
        <v>213</v>
      </c>
      <c r="D8" s="7">
        <v>128000</v>
      </c>
      <c r="E8" s="2">
        <v>2</v>
      </c>
      <c r="F8" s="15">
        <f t="shared" si="3"/>
        <v>256000</v>
      </c>
      <c r="G8" s="16">
        <f t="shared" si="4"/>
        <v>12000</v>
      </c>
      <c r="H8" s="17">
        <f t="shared" si="5"/>
        <v>268000</v>
      </c>
      <c r="I8" s="8"/>
      <c r="J8" s="2">
        <v>3</v>
      </c>
      <c r="K8" s="20">
        <f t="shared" si="6"/>
        <v>89333.333333333328</v>
      </c>
      <c r="L8" s="6"/>
      <c r="M8" s="6"/>
      <c r="N8" s="6"/>
      <c r="O8" s="6"/>
      <c r="P8" s="7">
        <v>89333.333333333328</v>
      </c>
      <c r="Q8" s="7">
        <v>89333.333333333328</v>
      </c>
      <c r="R8" s="7">
        <v>89333.333333333328</v>
      </c>
      <c r="S8" s="7"/>
      <c r="T8" s="7"/>
      <c r="U8" s="7"/>
      <c r="V8" s="7"/>
      <c r="W8" s="7"/>
      <c r="X8" s="7"/>
      <c r="Y8" s="18">
        <f t="shared" ref="Y8:Y21" si="7">L8+M8+N8+O8+P8+Q8+R8+S8+T8+U8+V8+W8+X8</f>
        <v>268000</v>
      </c>
      <c r="Z8" s="19">
        <f t="shared" ref="Z8:Z21" si="8">H8-Y8</f>
        <v>0</v>
      </c>
      <c r="AA8" s="30" t="str">
        <f t="shared" si="2"/>
        <v>Lunas</v>
      </c>
    </row>
    <row r="9" spans="1:27" x14ac:dyDescent="0.2">
      <c r="A9" s="2">
        <v>5</v>
      </c>
      <c r="B9" s="29" t="s">
        <v>155</v>
      </c>
      <c r="C9" s="6" t="s">
        <v>213</v>
      </c>
      <c r="D9" s="7">
        <v>128000</v>
      </c>
      <c r="E9" s="2">
        <v>2</v>
      </c>
      <c r="F9" s="15">
        <f t="shared" si="3"/>
        <v>256000</v>
      </c>
      <c r="G9" s="16">
        <f t="shared" si="4"/>
        <v>12000</v>
      </c>
      <c r="H9" s="17">
        <f t="shared" si="5"/>
        <v>268000</v>
      </c>
      <c r="I9" s="8"/>
      <c r="J9" s="2">
        <v>3</v>
      </c>
      <c r="K9" s="20">
        <f t="shared" si="6"/>
        <v>89333.333333333328</v>
      </c>
      <c r="L9" s="6"/>
      <c r="M9" s="6"/>
      <c r="N9" s="6"/>
      <c r="O9" s="6"/>
      <c r="P9" s="7">
        <v>89333.333333333328</v>
      </c>
      <c r="Q9" s="7">
        <v>89333.333333333328</v>
      </c>
      <c r="R9" s="7">
        <v>89333.333333333328</v>
      </c>
      <c r="S9" s="7"/>
      <c r="T9" s="7"/>
      <c r="U9" s="7"/>
      <c r="V9" s="7"/>
      <c r="W9" s="7"/>
      <c r="X9" s="7"/>
      <c r="Y9" s="18">
        <f t="shared" si="7"/>
        <v>268000</v>
      </c>
      <c r="Z9" s="19">
        <f t="shared" si="8"/>
        <v>0</v>
      </c>
      <c r="AA9" s="30" t="str">
        <f t="shared" si="2"/>
        <v>Lunas</v>
      </c>
    </row>
    <row r="10" spans="1:27" x14ac:dyDescent="0.2">
      <c r="A10" s="2">
        <v>6</v>
      </c>
      <c r="B10" s="29" t="s">
        <v>151</v>
      </c>
      <c r="C10" s="6" t="s">
        <v>212</v>
      </c>
      <c r="D10" s="7">
        <v>135500</v>
      </c>
      <c r="E10" s="2">
        <v>11</v>
      </c>
      <c r="F10" s="15">
        <f t="shared" si="3"/>
        <v>1490500</v>
      </c>
      <c r="G10" s="16">
        <f t="shared" si="4"/>
        <v>66000</v>
      </c>
      <c r="H10" s="17">
        <f t="shared" si="5"/>
        <v>1556500</v>
      </c>
      <c r="I10" s="8"/>
      <c r="J10" s="2">
        <v>3</v>
      </c>
      <c r="K10" s="20">
        <f t="shared" si="6"/>
        <v>518833.33333333331</v>
      </c>
      <c r="L10" s="6"/>
      <c r="M10" s="6"/>
      <c r="N10" s="6"/>
      <c r="O10" s="6"/>
      <c r="P10" s="7">
        <v>518833.33333333331</v>
      </c>
      <c r="Q10" s="7">
        <v>518833.33333333331</v>
      </c>
      <c r="R10" s="7">
        <v>518833.33333333331</v>
      </c>
      <c r="S10" s="7"/>
      <c r="T10" s="7"/>
      <c r="U10" s="7"/>
      <c r="V10" s="7"/>
      <c r="W10" s="7"/>
      <c r="X10" s="7"/>
      <c r="Y10" s="18">
        <f t="shared" ref="Y10" si="9">L10+M10+N10+O10+P10+Q10+R10+S10+T10+U10+V10+W10+X10</f>
        <v>1556500</v>
      </c>
      <c r="Z10" s="19">
        <f t="shared" ref="Z10" si="10">H10-Y10</f>
        <v>0</v>
      </c>
      <c r="AA10" s="30" t="str">
        <f t="shared" si="2"/>
        <v>Lunas</v>
      </c>
    </row>
    <row r="11" spans="1:27" x14ac:dyDescent="0.2">
      <c r="A11" s="2">
        <v>7</v>
      </c>
      <c r="B11" s="29" t="s">
        <v>139</v>
      </c>
      <c r="C11" s="6" t="s">
        <v>212</v>
      </c>
      <c r="D11" s="7">
        <v>135500</v>
      </c>
      <c r="E11" s="2">
        <v>2</v>
      </c>
      <c r="F11" s="15">
        <f t="shared" si="3"/>
        <v>271000</v>
      </c>
      <c r="G11" s="16">
        <f t="shared" si="4"/>
        <v>12000</v>
      </c>
      <c r="H11" s="17">
        <f t="shared" si="5"/>
        <v>283000</v>
      </c>
      <c r="I11" s="8"/>
      <c r="J11" s="2">
        <v>3</v>
      </c>
      <c r="K11" s="20">
        <f t="shared" si="6"/>
        <v>94333.333333333328</v>
      </c>
      <c r="L11" s="6"/>
      <c r="M11" s="6"/>
      <c r="N11" s="6"/>
      <c r="O11" s="6"/>
      <c r="P11" s="7">
        <v>94333.333333333328</v>
      </c>
      <c r="Q11" s="7">
        <v>94333.333333333328</v>
      </c>
      <c r="R11" s="7">
        <v>94333.333333333328</v>
      </c>
      <c r="S11" s="7"/>
      <c r="T11" s="7"/>
      <c r="U11" s="7"/>
      <c r="V11" s="7"/>
      <c r="W11" s="7"/>
      <c r="X11" s="7"/>
      <c r="Y11" s="18">
        <f t="shared" si="7"/>
        <v>283000</v>
      </c>
      <c r="Z11" s="19">
        <f t="shared" si="8"/>
        <v>0</v>
      </c>
      <c r="AA11" s="30" t="str">
        <f t="shared" si="2"/>
        <v>Lunas</v>
      </c>
    </row>
    <row r="12" spans="1:27" x14ac:dyDescent="0.2">
      <c r="A12" s="2">
        <v>8</v>
      </c>
      <c r="B12" s="85" t="s">
        <v>173</v>
      </c>
      <c r="C12" s="6" t="s">
        <v>212</v>
      </c>
      <c r="D12" s="7">
        <v>135500</v>
      </c>
      <c r="E12" s="2">
        <v>4</v>
      </c>
      <c r="F12" s="15">
        <f t="shared" si="3"/>
        <v>542000</v>
      </c>
      <c r="G12" s="16">
        <f t="shared" si="4"/>
        <v>24000</v>
      </c>
      <c r="H12" s="17">
        <f t="shared" si="5"/>
        <v>566000</v>
      </c>
      <c r="I12" s="8"/>
      <c r="J12" s="2">
        <v>3</v>
      </c>
      <c r="K12" s="20">
        <f t="shared" si="6"/>
        <v>188666.66666666666</v>
      </c>
      <c r="L12" s="6"/>
      <c r="M12" s="6"/>
      <c r="N12" s="6"/>
      <c r="O12" s="6"/>
      <c r="P12" s="7">
        <v>188666.66666666666</v>
      </c>
      <c r="Q12" s="7">
        <v>188666.66666666666</v>
      </c>
      <c r="R12" s="7">
        <v>188666.66666666666</v>
      </c>
      <c r="S12" s="7"/>
      <c r="T12" s="7"/>
      <c r="U12" s="7"/>
      <c r="V12" s="7"/>
      <c r="W12" s="7"/>
      <c r="X12" s="7"/>
      <c r="Y12" s="18">
        <f t="shared" si="7"/>
        <v>566000</v>
      </c>
      <c r="Z12" s="19">
        <f t="shared" si="8"/>
        <v>0</v>
      </c>
      <c r="AA12" s="30" t="str">
        <f t="shared" si="2"/>
        <v>Lunas</v>
      </c>
    </row>
    <row r="13" spans="1:27" x14ac:dyDescent="0.2">
      <c r="A13" s="2">
        <v>9</v>
      </c>
      <c r="B13" s="29" t="s">
        <v>219</v>
      </c>
      <c r="C13" s="6" t="s">
        <v>212</v>
      </c>
      <c r="D13" s="7">
        <v>135500</v>
      </c>
      <c r="E13" s="2">
        <v>5</v>
      </c>
      <c r="F13" s="15">
        <f t="shared" si="3"/>
        <v>677500</v>
      </c>
      <c r="G13" s="16">
        <f t="shared" si="4"/>
        <v>30000</v>
      </c>
      <c r="H13" s="17">
        <f t="shared" si="5"/>
        <v>707500</v>
      </c>
      <c r="I13" s="8"/>
      <c r="J13" s="2">
        <v>3</v>
      </c>
      <c r="K13" s="20">
        <f t="shared" si="6"/>
        <v>235833.33333333334</v>
      </c>
      <c r="L13" s="6"/>
      <c r="M13" s="6"/>
      <c r="N13" s="6"/>
      <c r="O13" s="6"/>
      <c r="P13" s="7">
        <v>235833.33333333334</v>
      </c>
      <c r="Q13" s="7">
        <v>235833.33333333334</v>
      </c>
      <c r="R13" s="7">
        <v>235833.33333333334</v>
      </c>
      <c r="S13" s="7"/>
      <c r="T13" s="7"/>
      <c r="U13" s="7"/>
      <c r="V13" s="7"/>
      <c r="W13" s="7"/>
      <c r="X13" s="7"/>
      <c r="Y13" s="18">
        <f t="shared" si="7"/>
        <v>707500</v>
      </c>
      <c r="Z13" s="19">
        <f t="shared" si="8"/>
        <v>0</v>
      </c>
      <c r="AA13" s="30" t="str">
        <f t="shared" si="2"/>
        <v>Lunas</v>
      </c>
    </row>
    <row r="14" spans="1:27" x14ac:dyDescent="0.2">
      <c r="A14" s="2">
        <v>10</v>
      </c>
      <c r="B14" s="29" t="s">
        <v>157</v>
      </c>
      <c r="C14" s="6" t="s">
        <v>212</v>
      </c>
      <c r="D14" s="7">
        <v>135500</v>
      </c>
      <c r="E14" s="2">
        <v>2</v>
      </c>
      <c r="F14" s="15">
        <f t="shared" si="3"/>
        <v>271000</v>
      </c>
      <c r="G14" s="16">
        <f t="shared" si="4"/>
        <v>12000</v>
      </c>
      <c r="H14" s="17">
        <f t="shared" si="5"/>
        <v>283000</v>
      </c>
      <c r="I14" s="8"/>
      <c r="J14" s="2">
        <v>3</v>
      </c>
      <c r="K14" s="20">
        <f t="shared" si="6"/>
        <v>94333.333333333328</v>
      </c>
      <c r="L14" s="6"/>
      <c r="M14" s="6"/>
      <c r="N14" s="6"/>
      <c r="O14" s="6"/>
      <c r="P14" s="7">
        <v>94333.333333333328</v>
      </c>
      <c r="Q14" s="7">
        <v>94333.333333333328</v>
      </c>
      <c r="R14" s="7">
        <v>94333.333333333328</v>
      </c>
      <c r="S14" s="7"/>
      <c r="T14" s="7"/>
      <c r="U14" s="7"/>
      <c r="V14" s="7"/>
      <c r="W14" s="7"/>
      <c r="X14" s="7"/>
      <c r="Y14" s="18">
        <f t="shared" si="7"/>
        <v>283000</v>
      </c>
      <c r="Z14" s="19">
        <f t="shared" si="8"/>
        <v>0</v>
      </c>
      <c r="AA14" s="30" t="str">
        <f t="shared" si="2"/>
        <v>Lunas</v>
      </c>
    </row>
    <row r="15" spans="1:27" x14ac:dyDescent="0.2">
      <c r="A15" s="2">
        <v>11</v>
      </c>
      <c r="B15" s="29" t="s">
        <v>142</v>
      </c>
      <c r="C15" s="6" t="s">
        <v>212</v>
      </c>
      <c r="D15" s="7">
        <v>135500</v>
      </c>
      <c r="E15" s="2">
        <v>6</v>
      </c>
      <c r="F15" s="15">
        <f t="shared" si="3"/>
        <v>813000</v>
      </c>
      <c r="G15" s="16">
        <f t="shared" si="4"/>
        <v>36000</v>
      </c>
      <c r="H15" s="17">
        <f t="shared" si="5"/>
        <v>849000</v>
      </c>
      <c r="I15" s="8"/>
      <c r="J15" s="2">
        <v>3</v>
      </c>
      <c r="K15" s="20">
        <f t="shared" si="6"/>
        <v>283000</v>
      </c>
      <c r="L15" s="6"/>
      <c r="M15" s="6"/>
      <c r="N15" s="6"/>
      <c r="O15" s="6"/>
      <c r="P15" s="7">
        <v>283000</v>
      </c>
      <c r="Q15" s="7">
        <v>283000</v>
      </c>
      <c r="R15" s="7">
        <v>283000</v>
      </c>
      <c r="S15" s="7"/>
      <c r="T15" s="7"/>
      <c r="U15" s="7"/>
      <c r="V15" s="7"/>
      <c r="W15" s="7"/>
      <c r="X15" s="7"/>
      <c r="Y15" s="18">
        <f t="shared" si="7"/>
        <v>849000</v>
      </c>
      <c r="Z15" s="19">
        <f t="shared" si="8"/>
        <v>0</v>
      </c>
      <c r="AA15" s="30" t="str">
        <f t="shared" si="2"/>
        <v>Lunas</v>
      </c>
    </row>
    <row r="16" spans="1:27" x14ac:dyDescent="0.2">
      <c r="A16" s="2">
        <v>12</v>
      </c>
      <c r="B16" s="24"/>
      <c r="C16" s="21"/>
      <c r="D16" s="22"/>
      <c r="E16" s="27"/>
      <c r="F16" s="15"/>
      <c r="G16" s="16"/>
      <c r="H16" s="17"/>
      <c r="I16" s="8"/>
      <c r="J16" s="2"/>
      <c r="K16" s="20"/>
      <c r="L16" s="6"/>
      <c r="M16" s="6"/>
      <c r="N16" s="6"/>
      <c r="O16" s="6"/>
      <c r="P16" s="7"/>
      <c r="Q16" s="7"/>
      <c r="R16" s="7"/>
      <c r="S16" s="7"/>
      <c r="T16" s="7"/>
      <c r="U16" s="7"/>
      <c r="V16" s="7"/>
      <c r="W16" s="7"/>
      <c r="X16" s="7"/>
      <c r="Y16" s="18">
        <f t="shared" si="7"/>
        <v>0</v>
      </c>
      <c r="Z16" s="19">
        <f t="shared" si="8"/>
        <v>0</v>
      </c>
      <c r="AA16" s="30" t="str">
        <f t="shared" si="2"/>
        <v xml:space="preserve"> </v>
      </c>
    </row>
    <row r="17" spans="1:27" x14ac:dyDescent="0.2">
      <c r="A17" s="2">
        <v>13</v>
      </c>
      <c r="B17" s="24"/>
      <c r="C17" s="6"/>
      <c r="D17" s="7"/>
      <c r="E17" s="2"/>
      <c r="F17" s="15"/>
      <c r="G17" s="16"/>
      <c r="H17" s="17"/>
      <c r="I17" s="8"/>
      <c r="J17" s="2"/>
      <c r="K17" s="20"/>
      <c r="L17" s="6"/>
      <c r="M17" s="6"/>
      <c r="N17" s="6"/>
      <c r="O17" s="6"/>
      <c r="P17" s="7"/>
      <c r="Q17" s="7"/>
      <c r="R17" s="7"/>
      <c r="S17" s="7"/>
      <c r="T17" s="7"/>
      <c r="U17" s="7"/>
      <c r="V17" s="7"/>
      <c r="W17" s="7"/>
      <c r="X17" s="7"/>
      <c r="Y17" s="18">
        <f t="shared" si="7"/>
        <v>0</v>
      </c>
      <c r="Z17" s="19">
        <f t="shared" si="8"/>
        <v>0</v>
      </c>
      <c r="AA17" s="30" t="str">
        <f t="shared" si="2"/>
        <v xml:space="preserve"> </v>
      </c>
    </row>
    <row r="18" spans="1:27" x14ac:dyDescent="0.2">
      <c r="A18" s="2">
        <v>14</v>
      </c>
      <c r="B18" s="24"/>
      <c r="C18" s="21"/>
      <c r="D18" s="22"/>
      <c r="E18" s="27"/>
      <c r="F18" s="15"/>
      <c r="G18" s="16"/>
      <c r="H18" s="17"/>
      <c r="I18" s="8"/>
      <c r="J18" s="2"/>
      <c r="K18" s="20"/>
      <c r="L18" s="6"/>
      <c r="M18" s="6"/>
      <c r="N18" s="6"/>
      <c r="O18" s="6"/>
      <c r="P18" s="7"/>
      <c r="Q18" s="7"/>
      <c r="R18" s="7"/>
      <c r="S18" s="7"/>
      <c r="T18" s="7"/>
      <c r="U18" s="7"/>
      <c r="V18" s="7"/>
      <c r="W18" s="7"/>
      <c r="X18" s="7"/>
      <c r="Y18" s="18">
        <f t="shared" si="7"/>
        <v>0</v>
      </c>
      <c r="Z18" s="19">
        <f t="shared" si="8"/>
        <v>0</v>
      </c>
      <c r="AA18" s="30" t="str">
        <f t="shared" si="2"/>
        <v xml:space="preserve"> </v>
      </c>
    </row>
    <row r="19" spans="1:27" x14ac:dyDescent="0.2">
      <c r="A19" s="2">
        <v>15</v>
      </c>
      <c r="B19" s="24"/>
      <c r="C19" s="21"/>
      <c r="D19" s="22"/>
      <c r="E19" s="27"/>
      <c r="F19" s="15"/>
      <c r="G19" s="16"/>
      <c r="H19" s="17"/>
      <c r="I19" s="8"/>
      <c r="J19" s="2"/>
      <c r="K19" s="20"/>
      <c r="L19" s="6"/>
      <c r="M19" s="6"/>
      <c r="N19" s="6"/>
      <c r="O19" s="6"/>
      <c r="P19" s="7"/>
      <c r="Q19" s="7"/>
      <c r="R19" s="7"/>
      <c r="S19" s="7"/>
      <c r="T19" s="7"/>
      <c r="U19" s="7"/>
      <c r="V19" s="7"/>
      <c r="W19" s="7"/>
      <c r="X19" s="7"/>
      <c r="Y19" s="18">
        <f t="shared" si="7"/>
        <v>0</v>
      </c>
      <c r="Z19" s="19">
        <f t="shared" si="8"/>
        <v>0</v>
      </c>
      <c r="AA19" s="30" t="str">
        <f t="shared" si="2"/>
        <v xml:space="preserve"> </v>
      </c>
    </row>
    <row r="20" spans="1:27" x14ac:dyDescent="0.2">
      <c r="A20" s="2">
        <v>16</v>
      </c>
      <c r="B20" s="24"/>
      <c r="C20" s="6"/>
      <c r="D20" s="7"/>
      <c r="E20" s="2"/>
      <c r="F20" s="15"/>
      <c r="G20" s="16"/>
      <c r="H20" s="17"/>
      <c r="I20" s="8"/>
      <c r="J20" s="2"/>
      <c r="K20" s="20"/>
      <c r="L20" s="6"/>
      <c r="M20" s="6"/>
      <c r="N20" s="6"/>
      <c r="O20" s="6"/>
      <c r="P20" s="7"/>
      <c r="Q20" s="7"/>
      <c r="R20" s="7"/>
      <c r="S20" s="7"/>
      <c r="T20" s="7"/>
      <c r="U20" s="7"/>
      <c r="V20" s="7"/>
      <c r="W20" s="7"/>
      <c r="X20" s="7"/>
      <c r="Y20" s="18">
        <f t="shared" si="7"/>
        <v>0</v>
      </c>
      <c r="Z20" s="19">
        <f t="shared" si="8"/>
        <v>0</v>
      </c>
      <c r="AA20" s="30" t="str">
        <f t="shared" si="2"/>
        <v xml:space="preserve"> </v>
      </c>
    </row>
    <row r="21" spans="1:27" x14ac:dyDescent="0.2">
      <c r="A21" s="2">
        <v>17</v>
      </c>
      <c r="B21" s="24"/>
      <c r="C21" s="21"/>
      <c r="D21" s="22"/>
      <c r="E21" s="27"/>
      <c r="F21" s="15"/>
      <c r="G21" s="16"/>
      <c r="H21" s="17"/>
      <c r="I21" s="8"/>
      <c r="J21" s="2"/>
      <c r="K21" s="20"/>
      <c r="L21" s="6"/>
      <c r="M21" s="6"/>
      <c r="N21" s="6"/>
      <c r="O21" s="6"/>
      <c r="P21" s="7"/>
      <c r="Q21" s="7"/>
      <c r="R21" s="7"/>
      <c r="S21" s="7"/>
      <c r="T21" s="7"/>
      <c r="U21" s="7"/>
      <c r="V21" s="7"/>
      <c r="W21" s="7"/>
      <c r="X21" s="7"/>
      <c r="Y21" s="18">
        <f t="shared" si="7"/>
        <v>0</v>
      </c>
      <c r="Z21" s="19">
        <f t="shared" si="8"/>
        <v>0</v>
      </c>
      <c r="AA21" s="30" t="str">
        <f t="shared" si="2"/>
        <v xml:space="preserve"> </v>
      </c>
    </row>
    <row r="22" spans="1:27" x14ac:dyDescent="0.2">
      <c r="A22" s="2">
        <v>18</v>
      </c>
      <c r="B22" s="24"/>
      <c r="C22" s="6"/>
      <c r="D22" s="7"/>
      <c r="E22" s="2"/>
      <c r="F22" s="15"/>
      <c r="G22" s="16"/>
      <c r="H22" s="17"/>
      <c r="I22" s="8"/>
      <c r="J22" s="2"/>
      <c r="K22" s="20"/>
      <c r="L22" s="6"/>
      <c r="M22" s="6"/>
      <c r="N22" s="6"/>
      <c r="O22" s="6"/>
      <c r="P22" s="7"/>
      <c r="Q22" s="7"/>
      <c r="R22" s="7"/>
      <c r="S22" s="7"/>
      <c r="T22" s="7"/>
      <c r="U22" s="7"/>
      <c r="V22" s="7"/>
      <c r="W22" s="7"/>
      <c r="X22" s="7"/>
      <c r="Y22" s="18">
        <f t="shared" ref="Y22:Y33" si="11">L22+M22+N22+O22+P22+Q22+R22+S22+T22+U22+V22+W22+X22</f>
        <v>0</v>
      </c>
      <c r="Z22" s="19">
        <f t="shared" ref="Z22:Z33" si="12">H22-Y22</f>
        <v>0</v>
      </c>
      <c r="AA22" s="30" t="str">
        <f t="shared" si="2"/>
        <v xml:space="preserve"> </v>
      </c>
    </row>
    <row r="23" spans="1:27" x14ac:dyDescent="0.2">
      <c r="A23" s="2">
        <v>19</v>
      </c>
      <c r="B23" s="24"/>
      <c r="C23" s="21"/>
      <c r="D23" s="22"/>
      <c r="E23" s="27"/>
      <c r="F23" s="15"/>
      <c r="G23" s="16"/>
      <c r="H23" s="17"/>
      <c r="I23" s="8"/>
      <c r="J23" s="2"/>
      <c r="K23" s="20"/>
      <c r="L23" s="6"/>
      <c r="M23" s="6"/>
      <c r="N23" s="6"/>
      <c r="O23" s="6"/>
      <c r="P23" s="7"/>
      <c r="Q23" s="7"/>
      <c r="R23" s="7"/>
      <c r="S23" s="7"/>
      <c r="T23" s="7"/>
      <c r="U23" s="7"/>
      <c r="V23" s="7"/>
      <c r="W23" s="7"/>
      <c r="X23" s="7"/>
      <c r="Y23" s="18">
        <f t="shared" si="11"/>
        <v>0</v>
      </c>
      <c r="Z23" s="19">
        <f t="shared" si="12"/>
        <v>0</v>
      </c>
      <c r="AA23" s="30" t="str">
        <f t="shared" si="2"/>
        <v xml:space="preserve"> </v>
      </c>
    </row>
    <row r="24" spans="1:27" x14ac:dyDescent="0.2">
      <c r="A24" s="2">
        <v>20</v>
      </c>
      <c r="B24" s="24"/>
      <c r="C24" s="21"/>
      <c r="D24" s="22"/>
      <c r="E24" s="27"/>
      <c r="F24" s="15"/>
      <c r="G24" s="16"/>
      <c r="H24" s="17"/>
      <c r="I24" s="8"/>
      <c r="J24" s="2"/>
      <c r="K24" s="20"/>
      <c r="L24" s="6"/>
      <c r="M24" s="6"/>
      <c r="N24" s="6"/>
      <c r="O24" s="6"/>
      <c r="P24" s="7"/>
      <c r="Q24" s="7"/>
      <c r="R24" s="7"/>
      <c r="S24" s="7"/>
      <c r="T24" s="7"/>
      <c r="U24" s="7"/>
      <c r="V24" s="7"/>
      <c r="W24" s="7"/>
      <c r="X24" s="7"/>
      <c r="Y24" s="18">
        <f t="shared" si="11"/>
        <v>0</v>
      </c>
      <c r="Z24" s="19">
        <f t="shared" si="12"/>
        <v>0</v>
      </c>
      <c r="AA24" s="30" t="str">
        <f t="shared" si="2"/>
        <v xml:space="preserve"> </v>
      </c>
    </row>
    <row r="25" spans="1:27" x14ac:dyDescent="0.2">
      <c r="A25" s="2">
        <v>21</v>
      </c>
      <c r="B25" s="24"/>
      <c r="C25" s="6"/>
      <c r="D25" s="7"/>
      <c r="E25" s="2"/>
      <c r="F25" s="15"/>
      <c r="G25" s="16"/>
      <c r="H25" s="17"/>
      <c r="I25" s="8"/>
      <c r="J25" s="2"/>
      <c r="K25" s="20"/>
      <c r="L25" s="6"/>
      <c r="M25" s="6"/>
      <c r="N25" s="6"/>
      <c r="O25" s="6"/>
      <c r="P25" s="7"/>
      <c r="Q25" s="7"/>
      <c r="R25" s="7"/>
      <c r="S25" s="7"/>
      <c r="T25" s="7"/>
      <c r="U25" s="7"/>
      <c r="V25" s="7"/>
      <c r="W25" s="7"/>
      <c r="X25" s="7"/>
      <c r="Y25" s="18">
        <f t="shared" si="11"/>
        <v>0</v>
      </c>
      <c r="Z25" s="19">
        <f t="shared" si="12"/>
        <v>0</v>
      </c>
      <c r="AA25" s="30" t="str">
        <f t="shared" si="2"/>
        <v xml:space="preserve"> </v>
      </c>
    </row>
    <row r="26" spans="1:27" x14ac:dyDescent="0.2">
      <c r="A26" s="2">
        <v>22</v>
      </c>
      <c r="B26" s="24"/>
      <c r="C26" s="21"/>
      <c r="D26" s="22"/>
      <c r="E26" s="27"/>
      <c r="F26" s="15"/>
      <c r="G26" s="16"/>
      <c r="H26" s="17"/>
      <c r="I26" s="8"/>
      <c r="J26" s="2"/>
      <c r="K26" s="20"/>
      <c r="L26" s="6"/>
      <c r="M26" s="6"/>
      <c r="N26" s="6"/>
      <c r="O26" s="6"/>
      <c r="P26" s="7"/>
      <c r="Q26" s="7"/>
      <c r="R26" s="7"/>
      <c r="S26" s="7"/>
      <c r="T26" s="7"/>
      <c r="U26" s="7"/>
      <c r="V26" s="7"/>
      <c r="W26" s="7"/>
      <c r="X26" s="7"/>
      <c r="Y26" s="18">
        <f t="shared" si="11"/>
        <v>0</v>
      </c>
      <c r="Z26" s="19">
        <f t="shared" si="12"/>
        <v>0</v>
      </c>
      <c r="AA26" s="30" t="str">
        <f t="shared" si="2"/>
        <v xml:space="preserve"> </v>
      </c>
    </row>
    <row r="27" spans="1:27" x14ac:dyDescent="0.2">
      <c r="A27" s="2">
        <v>23</v>
      </c>
      <c r="B27" s="24"/>
      <c r="C27" s="6"/>
      <c r="D27" s="7"/>
      <c r="E27" s="2"/>
      <c r="F27" s="15"/>
      <c r="G27" s="16"/>
      <c r="H27" s="17"/>
      <c r="I27" s="8"/>
      <c r="J27" s="2"/>
      <c r="K27" s="20"/>
      <c r="L27" s="6"/>
      <c r="M27" s="6"/>
      <c r="N27" s="6"/>
      <c r="O27" s="6"/>
      <c r="P27" s="7"/>
      <c r="Q27" s="7"/>
      <c r="R27" s="7"/>
      <c r="S27" s="7"/>
      <c r="T27" s="7"/>
      <c r="U27" s="7"/>
      <c r="V27" s="7"/>
      <c r="W27" s="7"/>
      <c r="X27" s="7"/>
      <c r="Y27" s="18">
        <f t="shared" si="11"/>
        <v>0</v>
      </c>
      <c r="Z27" s="19">
        <f t="shared" si="12"/>
        <v>0</v>
      </c>
      <c r="AA27" s="30" t="str">
        <f t="shared" si="2"/>
        <v xml:space="preserve"> </v>
      </c>
    </row>
    <row r="28" spans="1:27" x14ac:dyDescent="0.2">
      <c r="A28" s="2">
        <v>24</v>
      </c>
      <c r="B28" s="24"/>
      <c r="C28" s="6"/>
      <c r="D28" s="7"/>
      <c r="E28" s="2"/>
      <c r="F28" s="15"/>
      <c r="G28" s="16"/>
      <c r="H28" s="17"/>
      <c r="I28" s="8"/>
      <c r="J28" s="2"/>
      <c r="K28" s="20"/>
      <c r="L28" s="6"/>
      <c r="M28" s="6"/>
      <c r="N28" s="6"/>
      <c r="O28" s="6"/>
      <c r="P28" s="7"/>
      <c r="Q28" s="7"/>
      <c r="R28" s="7"/>
      <c r="S28" s="7"/>
      <c r="T28" s="7"/>
      <c r="U28" s="7"/>
      <c r="V28" s="7"/>
      <c r="W28" s="7"/>
      <c r="X28" s="7"/>
      <c r="Y28" s="18">
        <f t="shared" si="11"/>
        <v>0</v>
      </c>
      <c r="Z28" s="19">
        <f t="shared" si="12"/>
        <v>0</v>
      </c>
      <c r="AA28" s="30" t="str">
        <f t="shared" si="2"/>
        <v xml:space="preserve"> </v>
      </c>
    </row>
    <row r="29" spans="1:27" x14ac:dyDescent="0.2">
      <c r="A29" s="2">
        <v>25</v>
      </c>
      <c r="B29" s="24"/>
      <c r="C29" s="6"/>
      <c r="D29" s="7"/>
      <c r="E29" s="2"/>
      <c r="F29" s="15"/>
      <c r="G29" s="16"/>
      <c r="H29" s="17"/>
      <c r="I29" s="8"/>
      <c r="J29" s="2"/>
      <c r="K29" s="20"/>
      <c r="L29" s="6"/>
      <c r="M29" s="6"/>
      <c r="N29" s="6"/>
      <c r="O29" s="6"/>
      <c r="P29" s="7"/>
      <c r="Q29" s="7"/>
      <c r="R29" s="7"/>
      <c r="S29" s="7"/>
      <c r="T29" s="7"/>
      <c r="U29" s="7"/>
      <c r="V29" s="7"/>
      <c r="W29" s="7"/>
      <c r="X29" s="7"/>
      <c r="Y29" s="18">
        <f t="shared" si="11"/>
        <v>0</v>
      </c>
      <c r="Z29" s="19">
        <f t="shared" si="12"/>
        <v>0</v>
      </c>
      <c r="AA29" s="30" t="str">
        <f t="shared" si="2"/>
        <v xml:space="preserve"> </v>
      </c>
    </row>
    <row r="30" spans="1:27" x14ac:dyDescent="0.2">
      <c r="A30" s="2">
        <v>26</v>
      </c>
      <c r="B30" s="24"/>
      <c r="C30" s="6"/>
      <c r="D30" s="7"/>
      <c r="E30" s="2"/>
      <c r="F30" s="15"/>
      <c r="G30" s="16"/>
      <c r="H30" s="17"/>
      <c r="I30" s="8"/>
      <c r="J30" s="2"/>
      <c r="K30" s="20"/>
      <c r="L30" s="6"/>
      <c r="M30" s="6"/>
      <c r="N30" s="6"/>
      <c r="O30" s="6"/>
      <c r="P30" s="7"/>
      <c r="Q30" s="7"/>
      <c r="R30" s="7"/>
      <c r="S30" s="7"/>
      <c r="T30" s="7"/>
      <c r="U30" s="7"/>
      <c r="V30" s="7"/>
      <c r="W30" s="7"/>
      <c r="X30" s="7"/>
      <c r="Y30" s="18">
        <f t="shared" si="11"/>
        <v>0</v>
      </c>
      <c r="Z30" s="19">
        <f t="shared" si="12"/>
        <v>0</v>
      </c>
      <c r="AA30" s="30" t="str">
        <f t="shared" si="2"/>
        <v xml:space="preserve"> </v>
      </c>
    </row>
    <row r="31" spans="1:27" x14ac:dyDescent="0.2">
      <c r="A31" s="2">
        <v>27</v>
      </c>
      <c r="B31" s="24"/>
      <c r="C31" s="6"/>
      <c r="D31" s="7"/>
      <c r="E31" s="2"/>
      <c r="F31" s="15"/>
      <c r="G31" s="16"/>
      <c r="H31" s="17"/>
      <c r="I31" s="8"/>
      <c r="J31" s="2"/>
      <c r="K31" s="20"/>
      <c r="L31" s="6"/>
      <c r="M31" s="6"/>
      <c r="N31" s="6"/>
      <c r="O31" s="6"/>
      <c r="P31" s="7"/>
      <c r="Q31" s="7"/>
      <c r="R31" s="7"/>
      <c r="S31" s="7"/>
      <c r="T31" s="7"/>
      <c r="U31" s="7"/>
      <c r="V31" s="7"/>
      <c r="W31" s="7"/>
      <c r="X31" s="7"/>
      <c r="Y31" s="18">
        <f t="shared" si="11"/>
        <v>0</v>
      </c>
      <c r="Z31" s="19">
        <f t="shared" si="12"/>
        <v>0</v>
      </c>
      <c r="AA31" s="30" t="str">
        <f t="shared" si="2"/>
        <v xml:space="preserve"> </v>
      </c>
    </row>
    <row r="32" spans="1:27" x14ac:dyDescent="0.2">
      <c r="A32" s="2">
        <v>28</v>
      </c>
      <c r="B32" s="24"/>
      <c r="C32" s="6"/>
      <c r="D32" s="7"/>
      <c r="E32" s="2"/>
      <c r="F32" s="15"/>
      <c r="G32" s="16"/>
      <c r="H32" s="17"/>
      <c r="I32" s="8"/>
      <c r="J32" s="2"/>
      <c r="K32" s="20"/>
      <c r="L32" s="6"/>
      <c r="M32" s="6"/>
      <c r="N32" s="6"/>
      <c r="O32" s="6"/>
      <c r="P32" s="7"/>
      <c r="Q32" s="7"/>
      <c r="R32" s="7"/>
      <c r="S32" s="7"/>
      <c r="T32" s="7"/>
      <c r="U32" s="7"/>
      <c r="V32" s="7"/>
      <c r="W32" s="7"/>
      <c r="X32" s="7"/>
      <c r="Y32" s="18">
        <f t="shared" si="11"/>
        <v>0</v>
      </c>
      <c r="Z32" s="19">
        <f t="shared" si="12"/>
        <v>0</v>
      </c>
      <c r="AA32" s="30" t="str">
        <f t="shared" si="2"/>
        <v xml:space="preserve"> </v>
      </c>
    </row>
    <row r="33" spans="1:27" x14ac:dyDescent="0.2">
      <c r="A33" s="2">
        <v>29</v>
      </c>
      <c r="B33" s="24"/>
      <c r="C33" s="6"/>
      <c r="D33" s="7"/>
      <c r="E33" s="2"/>
      <c r="F33" s="15"/>
      <c r="G33" s="16"/>
      <c r="H33" s="17"/>
      <c r="I33" s="8"/>
      <c r="J33" s="2"/>
      <c r="K33" s="20"/>
      <c r="L33" s="6"/>
      <c r="M33" s="6"/>
      <c r="N33" s="6"/>
      <c r="O33" s="6"/>
      <c r="P33" s="7"/>
      <c r="Q33" s="7"/>
      <c r="R33" s="7"/>
      <c r="S33" s="7"/>
      <c r="T33" s="7"/>
      <c r="U33" s="7"/>
      <c r="V33" s="7"/>
      <c r="W33" s="7"/>
      <c r="X33" s="7"/>
      <c r="Y33" s="18">
        <f t="shared" si="11"/>
        <v>0</v>
      </c>
      <c r="Z33" s="19">
        <f t="shared" si="12"/>
        <v>0</v>
      </c>
      <c r="AA33" s="30" t="str">
        <f t="shared" si="2"/>
        <v xml:space="preserve"> </v>
      </c>
    </row>
    <row r="34" spans="1:27" x14ac:dyDescent="0.2">
      <c r="P34" s="4">
        <f>SUM(P5:P33)</f>
        <v>2348333.333333333</v>
      </c>
      <c r="Q34" s="4">
        <f>SUM(Q5:Q33)</f>
        <v>2348333.333333333</v>
      </c>
    </row>
  </sheetData>
  <mergeCells count="13">
    <mergeCell ref="AA3:AA4"/>
    <mergeCell ref="J3:J4"/>
    <mergeCell ref="K3:K4"/>
    <mergeCell ref="L3:L4"/>
    <mergeCell ref="M3:X3"/>
    <mergeCell ref="Y3:Y4"/>
    <mergeCell ref="Z3:Z4"/>
    <mergeCell ref="I3:I4"/>
    <mergeCell ref="A3:A4"/>
    <mergeCell ref="B3:B4"/>
    <mergeCell ref="C3:C4"/>
    <mergeCell ref="E3:E4"/>
    <mergeCell ref="F3:H3"/>
  </mergeCells>
  <conditionalFormatting sqref="AA5:AA33">
    <cfRule type="containsText" dxfId="0" priority="1" operator="containsText" text="Lunas">
      <formula>NOT(ISERROR(SEARCH("Lunas",AA5)))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371B-EB92-4DD5-8640-2C01ADE1AF64}">
  <dimension ref="A4:Q162"/>
  <sheetViews>
    <sheetView zoomScaleNormal="100" workbookViewId="0">
      <pane xSplit="3" ySplit="5" topLeftCell="G112" activePane="bottomRight" state="frozen"/>
      <selection pane="topRight" activeCell="D1" sqref="D1"/>
      <selection pane="bottomLeft" activeCell="A6" sqref="A6"/>
      <selection pane="bottomRight" activeCell="B145" sqref="B145"/>
    </sheetView>
  </sheetViews>
  <sheetFormatPr baseColWidth="10" defaultColWidth="8.83203125" defaultRowHeight="15" x14ac:dyDescent="0.2"/>
  <cols>
    <col min="1" max="1" width="5.5" customWidth="1"/>
    <col min="2" max="2" width="26" customWidth="1"/>
    <col min="3" max="3" width="4.1640625" style="1" customWidth="1"/>
    <col min="4" max="15" width="14.6640625" customWidth="1"/>
    <col min="16" max="16" width="15.6640625" customWidth="1"/>
    <col min="17" max="17" width="42.33203125" customWidth="1"/>
  </cols>
  <sheetData>
    <row r="4" spans="1:17" x14ac:dyDescent="0.2">
      <c r="A4" s="146" t="s">
        <v>20</v>
      </c>
      <c r="B4" s="146" t="s">
        <v>0</v>
      </c>
      <c r="C4" s="149" t="s">
        <v>181</v>
      </c>
      <c r="D4" s="147" t="s">
        <v>18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8" t="s">
        <v>124</v>
      </c>
      <c r="Q4" s="146" t="s">
        <v>125</v>
      </c>
    </row>
    <row r="5" spans="1:17" x14ac:dyDescent="0.2">
      <c r="A5" s="146"/>
      <c r="B5" s="146"/>
      <c r="C5" s="150"/>
      <c r="D5" s="54" t="s">
        <v>7</v>
      </c>
      <c r="E5" s="54" t="s">
        <v>8</v>
      </c>
      <c r="F5" s="54" t="s">
        <v>9</v>
      </c>
      <c r="G5" s="54" t="s">
        <v>10</v>
      </c>
      <c r="H5" s="54" t="s">
        <v>6</v>
      </c>
      <c r="I5" s="54" t="s">
        <v>11</v>
      </c>
      <c r="J5" s="54" t="s">
        <v>12</v>
      </c>
      <c r="K5" s="54" t="s">
        <v>13</v>
      </c>
      <c r="L5" s="54" t="s">
        <v>14</v>
      </c>
      <c r="M5" s="54" t="s">
        <v>15</v>
      </c>
      <c r="N5" s="54" t="s">
        <v>16</v>
      </c>
      <c r="O5" s="54" t="s">
        <v>17</v>
      </c>
      <c r="P5" s="148"/>
      <c r="Q5" s="146"/>
    </row>
    <row r="6" spans="1:17" x14ac:dyDescent="0.2">
      <c r="A6" s="2">
        <v>1</v>
      </c>
      <c r="B6" s="25" t="s">
        <v>36</v>
      </c>
      <c r="C6" s="78">
        <v>1</v>
      </c>
      <c r="D6" s="7">
        <v>135000</v>
      </c>
      <c r="E6" s="7">
        <v>135000</v>
      </c>
      <c r="F6" s="7">
        <v>135000</v>
      </c>
      <c r="G6" s="7"/>
      <c r="H6" s="7">
        <v>135000</v>
      </c>
      <c r="I6" s="7"/>
      <c r="J6" s="7"/>
      <c r="K6" s="7"/>
      <c r="L6" s="7"/>
      <c r="M6" s="7"/>
      <c r="N6" s="7"/>
      <c r="O6" s="7"/>
      <c r="P6" s="28">
        <f>SUM(D6:O6)</f>
        <v>540000</v>
      </c>
      <c r="Q6" s="6"/>
    </row>
    <row r="7" spans="1:17" x14ac:dyDescent="0.2">
      <c r="A7" s="2">
        <v>2</v>
      </c>
      <c r="B7" s="23" t="s">
        <v>37</v>
      </c>
      <c r="C7" s="78">
        <v>1</v>
      </c>
      <c r="D7" s="7">
        <v>135000</v>
      </c>
      <c r="E7" s="7">
        <v>135000</v>
      </c>
      <c r="F7" s="7">
        <v>135000</v>
      </c>
      <c r="G7" s="7"/>
      <c r="H7" s="7">
        <v>135000</v>
      </c>
      <c r="I7" s="7"/>
      <c r="J7" s="7"/>
      <c r="K7" s="7"/>
      <c r="L7" s="7"/>
      <c r="M7" s="7"/>
      <c r="N7" s="7"/>
      <c r="O7" s="7"/>
      <c r="P7" s="28">
        <f t="shared" ref="P7:P62" si="0">SUM(D7:O7)</f>
        <v>540000</v>
      </c>
      <c r="Q7" s="6"/>
    </row>
    <row r="8" spans="1:17" x14ac:dyDescent="0.2">
      <c r="A8" s="2">
        <v>3</v>
      </c>
      <c r="B8" s="23" t="s">
        <v>38</v>
      </c>
      <c r="C8" s="78">
        <v>1</v>
      </c>
      <c r="D8" s="7">
        <v>135000</v>
      </c>
      <c r="E8" s="7">
        <v>135000</v>
      </c>
      <c r="F8" s="7">
        <v>135000</v>
      </c>
      <c r="G8" s="7"/>
      <c r="H8" s="7">
        <v>135000</v>
      </c>
      <c r="I8" s="7"/>
      <c r="J8" s="7"/>
      <c r="K8" s="7"/>
      <c r="L8" s="7"/>
      <c r="M8" s="7"/>
      <c r="N8" s="7"/>
      <c r="O8" s="7"/>
      <c r="P8" s="28">
        <f t="shared" si="0"/>
        <v>540000</v>
      </c>
      <c r="Q8" s="6"/>
    </row>
    <row r="9" spans="1:17" x14ac:dyDescent="0.2">
      <c r="A9" s="2">
        <v>4</v>
      </c>
      <c r="B9" s="23" t="s">
        <v>39</v>
      </c>
      <c r="C9" s="78">
        <v>1</v>
      </c>
      <c r="D9" s="7">
        <v>135000</v>
      </c>
      <c r="E9" s="7">
        <v>135000</v>
      </c>
      <c r="F9" s="7">
        <v>135000</v>
      </c>
      <c r="G9" s="7"/>
      <c r="H9" s="7">
        <v>135000</v>
      </c>
      <c r="I9" s="7"/>
      <c r="J9" s="7"/>
      <c r="K9" s="7"/>
      <c r="L9" s="7"/>
      <c r="M9" s="7"/>
      <c r="N9" s="7"/>
      <c r="O9" s="7"/>
      <c r="P9" s="28">
        <f t="shared" si="0"/>
        <v>540000</v>
      </c>
      <c r="Q9" s="6"/>
    </row>
    <row r="10" spans="1:17" x14ac:dyDescent="0.2">
      <c r="A10" s="2">
        <v>5</v>
      </c>
      <c r="B10" s="23" t="s">
        <v>40</v>
      </c>
      <c r="C10" s="78">
        <v>1</v>
      </c>
      <c r="D10" s="7">
        <v>135000</v>
      </c>
      <c r="E10" s="7">
        <v>135000</v>
      </c>
      <c r="F10" s="7">
        <v>135000</v>
      </c>
      <c r="G10" s="7"/>
      <c r="H10" s="7">
        <v>135000</v>
      </c>
      <c r="I10" s="7"/>
      <c r="J10" s="7"/>
      <c r="K10" s="7"/>
      <c r="L10" s="7"/>
      <c r="M10" s="7"/>
      <c r="N10" s="7"/>
      <c r="O10" s="7"/>
      <c r="P10" s="28">
        <f t="shared" si="0"/>
        <v>540000</v>
      </c>
      <c r="Q10" s="6"/>
    </row>
    <row r="11" spans="1:17" x14ac:dyDescent="0.2">
      <c r="A11" s="2">
        <v>6</v>
      </c>
      <c r="B11" s="23" t="s">
        <v>41</v>
      </c>
      <c r="C11" s="78">
        <v>1</v>
      </c>
      <c r="D11" s="7">
        <v>135000</v>
      </c>
      <c r="E11" s="7">
        <v>135000</v>
      </c>
      <c r="F11" s="7">
        <v>135000</v>
      </c>
      <c r="G11" s="7"/>
      <c r="H11" s="7">
        <v>135000</v>
      </c>
      <c r="I11" s="7"/>
      <c r="J11" s="7"/>
      <c r="K11" s="7"/>
      <c r="L11" s="7"/>
      <c r="M11" s="7"/>
      <c r="N11" s="7"/>
      <c r="O11" s="7"/>
      <c r="P11" s="28">
        <f t="shared" si="0"/>
        <v>540000</v>
      </c>
      <c r="Q11" s="6"/>
    </row>
    <row r="12" spans="1:17" x14ac:dyDescent="0.2">
      <c r="A12" s="2">
        <v>7</v>
      </c>
      <c r="B12" s="23" t="s">
        <v>42</v>
      </c>
      <c r="C12" s="78">
        <v>1</v>
      </c>
      <c r="D12" s="7">
        <v>135000</v>
      </c>
      <c r="E12" s="7">
        <v>135000</v>
      </c>
      <c r="F12" s="7">
        <v>135000</v>
      </c>
      <c r="G12" s="7"/>
      <c r="H12" s="7">
        <v>135000</v>
      </c>
      <c r="I12" s="7"/>
      <c r="J12" s="7"/>
      <c r="K12" s="7"/>
      <c r="L12" s="7"/>
      <c r="M12" s="7"/>
      <c r="N12" s="7"/>
      <c r="O12" s="7"/>
      <c r="P12" s="28">
        <f t="shared" si="0"/>
        <v>540000</v>
      </c>
      <c r="Q12" s="6"/>
    </row>
    <row r="13" spans="1:17" x14ac:dyDescent="0.2">
      <c r="A13" s="2">
        <v>8</v>
      </c>
      <c r="B13" s="23" t="s">
        <v>43</v>
      </c>
      <c r="C13" s="78">
        <v>1</v>
      </c>
      <c r="D13" s="7">
        <v>135000</v>
      </c>
      <c r="E13" s="7">
        <v>135000</v>
      </c>
      <c r="F13" s="7">
        <v>135000</v>
      </c>
      <c r="G13" s="7"/>
      <c r="H13" s="7">
        <v>135000</v>
      </c>
      <c r="I13" s="7"/>
      <c r="J13" s="7"/>
      <c r="K13" s="7"/>
      <c r="L13" s="7"/>
      <c r="M13" s="7"/>
      <c r="N13" s="7"/>
      <c r="O13" s="7"/>
      <c r="P13" s="28">
        <f t="shared" si="0"/>
        <v>540000</v>
      </c>
      <c r="Q13" s="6"/>
    </row>
    <row r="14" spans="1:17" x14ac:dyDescent="0.2">
      <c r="A14" s="2">
        <v>9</v>
      </c>
      <c r="B14" s="23" t="s">
        <v>44</v>
      </c>
      <c r="C14" s="78">
        <v>1</v>
      </c>
      <c r="D14" s="7">
        <v>135000</v>
      </c>
      <c r="E14" s="7">
        <v>135000</v>
      </c>
      <c r="F14" s="7">
        <v>135000</v>
      </c>
      <c r="G14" s="7"/>
      <c r="H14" s="7">
        <v>135000</v>
      </c>
      <c r="I14" s="7"/>
      <c r="J14" s="7"/>
      <c r="K14" s="7"/>
      <c r="L14" s="7"/>
      <c r="M14" s="7"/>
      <c r="N14" s="7"/>
      <c r="O14" s="7"/>
      <c r="P14" s="28">
        <f t="shared" si="0"/>
        <v>540000</v>
      </c>
      <c r="Q14" s="6"/>
    </row>
    <row r="15" spans="1:17" x14ac:dyDescent="0.2">
      <c r="A15" s="2">
        <v>10</v>
      </c>
      <c r="B15" s="23" t="s">
        <v>45</v>
      </c>
      <c r="C15" s="78">
        <v>1</v>
      </c>
      <c r="D15" s="7">
        <v>135000</v>
      </c>
      <c r="E15" s="7">
        <v>135000</v>
      </c>
      <c r="F15" s="7">
        <v>135000</v>
      </c>
      <c r="G15" s="7"/>
      <c r="H15" s="7">
        <v>135000</v>
      </c>
      <c r="I15" s="7"/>
      <c r="J15" s="7"/>
      <c r="K15" s="7"/>
      <c r="L15" s="7"/>
      <c r="M15" s="7"/>
      <c r="N15" s="7"/>
      <c r="O15" s="7"/>
      <c r="P15" s="28">
        <f t="shared" si="0"/>
        <v>540000</v>
      </c>
      <c r="Q15" s="6"/>
    </row>
    <row r="16" spans="1:17" x14ac:dyDescent="0.2">
      <c r="A16" s="2">
        <v>11</v>
      </c>
      <c r="B16" s="23" t="s">
        <v>46</v>
      </c>
      <c r="C16" s="78">
        <v>1</v>
      </c>
      <c r="D16" s="7">
        <v>135000</v>
      </c>
      <c r="E16" s="7">
        <v>135000</v>
      </c>
      <c r="F16" s="7">
        <v>135000</v>
      </c>
      <c r="G16" s="7"/>
      <c r="H16" s="7">
        <v>135000</v>
      </c>
      <c r="I16" s="7"/>
      <c r="J16" s="7"/>
      <c r="K16" s="7"/>
      <c r="L16" s="7"/>
      <c r="M16" s="7"/>
      <c r="N16" s="7"/>
      <c r="O16" s="7"/>
      <c r="P16" s="28">
        <f t="shared" si="0"/>
        <v>540000</v>
      </c>
      <c r="Q16" s="6"/>
    </row>
    <row r="17" spans="1:17" x14ac:dyDescent="0.2">
      <c r="A17" s="2">
        <v>12</v>
      </c>
      <c r="B17" s="23" t="s">
        <v>47</v>
      </c>
      <c r="C17" s="78">
        <v>1</v>
      </c>
      <c r="D17" s="7">
        <v>135000</v>
      </c>
      <c r="E17" s="7">
        <v>135000</v>
      </c>
      <c r="F17" s="7">
        <v>135000</v>
      </c>
      <c r="G17" s="7"/>
      <c r="H17" s="7">
        <v>135000</v>
      </c>
      <c r="I17" s="7"/>
      <c r="J17" s="7"/>
      <c r="K17" s="7"/>
      <c r="L17" s="7"/>
      <c r="M17" s="7"/>
      <c r="N17" s="7"/>
      <c r="O17" s="7"/>
      <c r="P17" s="28">
        <f t="shared" si="0"/>
        <v>540000</v>
      </c>
      <c r="Q17" s="6"/>
    </row>
    <row r="18" spans="1:17" x14ac:dyDescent="0.2">
      <c r="A18" s="2">
        <v>13</v>
      </c>
      <c r="B18" s="23" t="s">
        <v>123</v>
      </c>
      <c r="C18" s="78">
        <v>1</v>
      </c>
      <c r="D18" s="7">
        <v>135000</v>
      </c>
      <c r="E18" s="7">
        <v>135000</v>
      </c>
      <c r="F18" s="7">
        <v>135000</v>
      </c>
      <c r="G18" s="7"/>
      <c r="H18" s="7">
        <v>135000</v>
      </c>
      <c r="I18" s="7"/>
      <c r="J18" s="7"/>
      <c r="K18" s="7"/>
      <c r="L18" s="7"/>
      <c r="M18" s="7"/>
      <c r="N18" s="7"/>
      <c r="O18" s="7"/>
      <c r="P18" s="28">
        <f t="shared" si="0"/>
        <v>540000</v>
      </c>
      <c r="Q18" s="6"/>
    </row>
    <row r="19" spans="1:17" x14ac:dyDescent="0.2">
      <c r="A19" s="2">
        <v>14</v>
      </c>
      <c r="B19" s="23" t="s">
        <v>48</v>
      </c>
      <c r="C19" s="78">
        <v>1</v>
      </c>
      <c r="D19" s="7">
        <v>135000</v>
      </c>
      <c r="E19" s="7">
        <v>135000</v>
      </c>
      <c r="F19" s="7">
        <v>135000</v>
      </c>
      <c r="G19" s="7"/>
      <c r="H19" s="7">
        <v>135000</v>
      </c>
      <c r="I19" s="7"/>
      <c r="J19" s="7"/>
      <c r="K19" s="7"/>
      <c r="L19" s="7"/>
      <c r="M19" s="7"/>
      <c r="N19" s="7"/>
      <c r="O19" s="7"/>
      <c r="P19" s="28">
        <f t="shared" si="0"/>
        <v>540000</v>
      </c>
      <c r="Q19" s="6"/>
    </row>
    <row r="20" spans="1:17" x14ac:dyDescent="0.2">
      <c r="A20" s="2">
        <v>15</v>
      </c>
      <c r="B20" s="23" t="s">
        <v>49</v>
      </c>
      <c r="C20" s="78">
        <v>1</v>
      </c>
      <c r="D20" s="7">
        <v>135000</v>
      </c>
      <c r="E20" s="7">
        <v>135000</v>
      </c>
      <c r="F20" s="7">
        <v>135000</v>
      </c>
      <c r="G20" s="7"/>
      <c r="H20" s="7">
        <v>135000</v>
      </c>
      <c r="I20" s="7"/>
      <c r="J20" s="7"/>
      <c r="K20" s="7"/>
      <c r="L20" s="7"/>
      <c r="M20" s="7"/>
      <c r="N20" s="7"/>
      <c r="O20" s="7"/>
      <c r="P20" s="28">
        <f t="shared" si="0"/>
        <v>540000</v>
      </c>
      <c r="Q20" s="6"/>
    </row>
    <row r="21" spans="1:17" x14ac:dyDescent="0.2">
      <c r="A21" s="2">
        <v>16</v>
      </c>
      <c r="B21" s="23" t="s">
        <v>50</v>
      </c>
      <c r="C21" s="78">
        <v>1</v>
      </c>
      <c r="D21" s="7">
        <v>135000</v>
      </c>
      <c r="E21" s="7">
        <v>135000</v>
      </c>
      <c r="F21" s="7">
        <v>135000</v>
      </c>
      <c r="G21" s="7"/>
      <c r="H21" s="7">
        <v>135000</v>
      </c>
      <c r="I21" s="7"/>
      <c r="J21" s="7"/>
      <c r="K21" s="7"/>
      <c r="L21" s="7"/>
      <c r="M21" s="7"/>
      <c r="N21" s="7"/>
      <c r="O21" s="7"/>
      <c r="P21" s="28">
        <f t="shared" si="0"/>
        <v>540000</v>
      </c>
      <c r="Q21" s="6"/>
    </row>
    <row r="22" spans="1:17" x14ac:dyDescent="0.2">
      <c r="A22" s="2">
        <v>17</v>
      </c>
      <c r="B22" s="23" t="s">
        <v>51</v>
      </c>
      <c r="C22" s="78">
        <v>1</v>
      </c>
      <c r="D22" s="7">
        <v>135000</v>
      </c>
      <c r="E22" s="7">
        <v>135000</v>
      </c>
      <c r="F22" s="7">
        <v>135000</v>
      </c>
      <c r="G22" s="7"/>
      <c r="H22" s="7">
        <v>135000</v>
      </c>
      <c r="I22" s="7"/>
      <c r="J22" s="7"/>
      <c r="K22" s="7"/>
      <c r="L22" s="7"/>
      <c r="M22" s="7"/>
      <c r="N22" s="7"/>
      <c r="O22" s="7"/>
      <c r="P22" s="28">
        <f t="shared" si="0"/>
        <v>540000</v>
      </c>
      <c r="Q22" s="6"/>
    </row>
    <row r="23" spans="1:17" x14ac:dyDescent="0.2">
      <c r="A23" s="2">
        <v>18</v>
      </c>
      <c r="B23" s="23" t="s">
        <v>52</v>
      </c>
      <c r="C23" s="78">
        <v>1</v>
      </c>
      <c r="D23" s="7">
        <v>135000</v>
      </c>
      <c r="E23" s="7">
        <v>135000</v>
      </c>
      <c r="F23" s="7">
        <v>135000</v>
      </c>
      <c r="G23" s="7"/>
      <c r="H23" s="7">
        <v>135000</v>
      </c>
      <c r="I23" s="7"/>
      <c r="J23" s="7"/>
      <c r="K23" s="7"/>
      <c r="L23" s="7"/>
      <c r="M23" s="7"/>
      <c r="N23" s="7"/>
      <c r="O23" s="7"/>
      <c r="P23" s="28">
        <f t="shared" si="0"/>
        <v>540000</v>
      </c>
      <c r="Q23" s="6"/>
    </row>
    <row r="24" spans="1:17" x14ac:dyDescent="0.2">
      <c r="A24" s="2">
        <v>19</v>
      </c>
      <c r="B24" s="23" t="s">
        <v>53</v>
      </c>
      <c r="C24" s="78">
        <v>1</v>
      </c>
      <c r="D24" s="7">
        <v>135000</v>
      </c>
      <c r="E24" s="7">
        <v>135000</v>
      </c>
      <c r="F24" s="7">
        <v>135000</v>
      </c>
      <c r="G24" s="7"/>
      <c r="H24" s="7">
        <v>135000</v>
      </c>
      <c r="I24" s="7"/>
      <c r="J24" s="7"/>
      <c r="K24" s="7"/>
      <c r="L24" s="7"/>
      <c r="M24" s="7"/>
      <c r="N24" s="7"/>
      <c r="O24" s="7"/>
      <c r="P24" s="28">
        <f t="shared" si="0"/>
        <v>540000</v>
      </c>
      <c r="Q24" s="6"/>
    </row>
    <row r="25" spans="1:17" x14ac:dyDescent="0.2">
      <c r="A25" s="2">
        <v>20</v>
      </c>
      <c r="B25" s="23" t="s">
        <v>54</v>
      </c>
      <c r="C25" s="78">
        <v>1</v>
      </c>
      <c r="D25" s="7">
        <v>135000</v>
      </c>
      <c r="E25" s="7">
        <v>135000</v>
      </c>
      <c r="F25" s="7">
        <v>135000</v>
      </c>
      <c r="G25" s="7"/>
      <c r="H25" s="7">
        <v>135000</v>
      </c>
      <c r="I25" s="7"/>
      <c r="J25" s="7"/>
      <c r="K25" s="7"/>
      <c r="L25" s="7"/>
      <c r="M25" s="7"/>
      <c r="N25" s="7"/>
      <c r="O25" s="7"/>
      <c r="P25" s="28">
        <f t="shared" si="0"/>
        <v>540000</v>
      </c>
      <c r="Q25" s="6"/>
    </row>
    <row r="26" spans="1:17" x14ac:dyDescent="0.2">
      <c r="A26" s="2">
        <v>21</v>
      </c>
      <c r="B26" s="23" t="s">
        <v>55</v>
      </c>
      <c r="C26" s="78">
        <v>1</v>
      </c>
      <c r="D26" s="7">
        <v>135000</v>
      </c>
      <c r="E26" s="7">
        <v>135000</v>
      </c>
      <c r="F26" s="7">
        <v>135000</v>
      </c>
      <c r="G26" s="7"/>
      <c r="H26" s="7">
        <v>135000</v>
      </c>
      <c r="I26" s="7"/>
      <c r="J26" s="7"/>
      <c r="K26" s="7"/>
      <c r="L26" s="7"/>
      <c r="M26" s="7"/>
      <c r="N26" s="7"/>
      <c r="O26" s="7"/>
      <c r="P26" s="28">
        <f t="shared" si="0"/>
        <v>540000</v>
      </c>
      <c r="Q26" s="6"/>
    </row>
    <row r="27" spans="1:17" x14ac:dyDescent="0.2">
      <c r="A27" s="2">
        <v>22</v>
      </c>
      <c r="B27" s="23" t="s">
        <v>56</v>
      </c>
      <c r="C27" s="78">
        <v>1</v>
      </c>
      <c r="D27" s="7">
        <v>135000</v>
      </c>
      <c r="E27" s="7">
        <v>135000</v>
      </c>
      <c r="F27" s="7">
        <v>135000</v>
      </c>
      <c r="G27" s="7"/>
      <c r="H27" s="7">
        <v>135000</v>
      </c>
      <c r="I27" s="7"/>
      <c r="J27" s="7"/>
      <c r="K27" s="7"/>
      <c r="L27" s="7"/>
      <c r="M27" s="7"/>
      <c r="N27" s="7"/>
      <c r="O27" s="7"/>
      <c r="P27" s="28">
        <f t="shared" si="0"/>
        <v>540000</v>
      </c>
      <c r="Q27" s="6"/>
    </row>
    <row r="28" spans="1:17" x14ac:dyDescent="0.2">
      <c r="A28" s="2">
        <v>23</v>
      </c>
      <c r="B28" s="23" t="s">
        <v>57</v>
      </c>
      <c r="C28" s="78">
        <v>1</v>
      </c>
      <c r="D28" s="7">
        <v>135000</v>
      </c>
      <c r="E28" s="7">
        <v>135000</v>
      </c>
      <c r="F28" s="7">
        <v>135000</v>
      </c>
      <c r="G28" s="7"/>
      <c r="H28" s="7">
        <v>135000</v>
      </c>
      <c r="I28" s="7"/>
      <c r="J28" s="7"/>
      <c r="K28" s="7"/>
      <c r="L28" s="7"/>
      <c r="M28" s="7"/>
      <c r="N28" s="7"/>
      <c r="O28" s="7"/>
      <c r="P28" s="28">
        <f t="shared" si="0"/>
        <v>540000</v>
      </c>
      <c r="Q28" s="6"/>
    </row>
    <row r="29" spans="1:17" x14ac:dyDescent="0.2">
      <c r="A29" s="2">
        <v>24</v>
      </c>
      <c r="B29" s="23" t="s">
        <v>126</v>
      </c>
      <c r="C29" s="78">
        <v>1</v>
      </c>
      <c r="D29" s="7">
        <v>135000</v>
      </c>
      <c r="E29" s="7">
        <v>135000</v>
      </c>
      <c r="F29" s="7">
        <v>135000</v>
      </c>
      <c r="G29" s="7"/>
      <c r="H29" s="7">
        <v>135000</v>
      </c>
      <c r="I29" s="7"/>
      <c r="J29" s="7"/>
      <c r="K29" s="7"/>
      <c r="L29" s="7"/>
      <c r="M29" s="7"/>
      <c r="N29" s="7"/>
      <c r="O29" s="7"/>
      <c r="P29" s="28">
        <f t="shared" si="0"/>
        <v>540000</v>
      </c>
      <c r="Q29" s="6"/>
    </row>
    <row r="30" spans="1:17" x14ac:dyDescent="0.2">
      <c r="A30" s="2">
        <v>25</v>
      </c>
      <c r="B30" s="23" t="s">
        <v>58</v>
      </c>
      <c r="C30" s="78">
        <v>1</v>
      </c>
      <c r="D30" s="7">
        <v>135000</v>
      </c>
      <c r="E30" s="7">
        <v>135000</v>
      </c>
      <c r="F30" s="7">
        <v>135000</v>
      </c>
      <c r="G30" s="7"/>
      <c r="H30" s="7">
        <v>135000</v>
      </c>
      <c r="I30" s="7"/>
      <c r="J30" s="7"/>
      <c r="K30" s="7"/>
      <c r="L30" s="7"/>
      <c r="M30" s="7"/>
      <c r="N30" s="7"/>
      <c r="O30" s="7"/>
      <c r="P30" s="28">
        <f t="shared" si="0"/>
        <v>540000</v>
      </c>
      <c r="Q30" s="6"/>
    </row>
    <row r="31" spans="1:17" x14ac:dyDescent="0.2">
      <c r="A31" s="2">
        <v>26</v>
      </c>
      <c r="B31" s="23" t="s">
        <v>59</v>
      </c>
      <c r="C31" s="78">
        <v>1</v>
      </c>
      <c r="D31" s="7">
        <v>135000</v>
      </c>
      <c r="E31" s="7">
        <v>135000</v>
      </c>
      <c r="F31" s="7">
        <v>135000</v>
      </c>
      <c r="G31" s="7"/>
      <c r="H31" s="7">
        <v>135000</v>
      </c>
      <c r="I31" s="7"/>
      <c r="J31" s="7"/>
      <c r="K31" s="7"/>
      <c r="L31" s="7"/>
      <c r="M31" s="7"/>
      <c r="N31" s="7"/>
      <c r="O31" s="7"/>
      <c r="P31" s="28">
        <f t="shared" si="0"/>
        <v>540000</v>
      </c>
      <c r="Q31" s="6"/>
    </row>
    <row r="32" spans="1:17" x14ac:dyDescent="0.2">
      <c r="A32" s="2">
        <v>27</v>
      </c>
      <c r="B32" s="23" t="s">
        <v>60</v>
      </c>
      <c r="C32" s="78">
        <v>1</v>
      </c>
      <c r="D32" s="7">
        <v>135000</v>
      </c>
      <c r="E32" s="7">
        <v>135000</v>
      </c>
      <c r="F32" s="7">
        <v>135000</v>
      </c>
      <c r="G32" s="7"/>
      <c r="H32" s="7">
        <v>135000</v>
      </c>
      <c r="I32" s="7"/>
      <c r="J32" s="7"/>
      <c r="K32" s="7"/>
      <c r="L32" s="7"/>
      <c r="M32" s="7"/>
      <c r="N32" s="7"/>
      <c r="O32" s="7"/>
      <c r="P32" s="28">
        <f t="shared" si="0"/>
        <v>540000</v>
      </c>
      <c r="Q32" s="6"/>
    </row>
    <row r="33" spans="1:17" x14ac:dyDescent="0.2">
      <c r="A33" s="2">
        <v>28</v>
      </c>
      <c r="B33" s="25" t="s">
        <v>127</v>
      </c>
      <c r="C33" s="78">
        <v>1</v>
      </c>
      <c r="D33" s="7">
        <v>135000</v>
      </c>
      <c r="E33" s="7">
        <v>135000</v>
      </c>
      <c r="F33" s="7">
        <v>135000</v>
      </c>
      <c r="G33" s="7"/>
      <c r="H33" s="7">
        <v>135000</v>
      </c>
      <c r="I33" s="7"/>
      <c r="J33" s="7"/>
      <c r="K33" s="7"/>
      <c r="L33" s="7"/>
      <c r="M33" s="7"/>
      <c r="N33" s="7"/>
      <c r="O33" s="7"/>
      <c r="P33" s="28">
        <f t="shared" si="0"/>
        <v>540000</v>
      </c>
      <c r="Q33" s="6"/>
    </row>
    <row r="34" spans="1:17" x14ac:dyDescent="0.2">
      <c r="A34" s="2">
        <v>29</v>
      </c>
      <c r="B34" s="25" t="s">
        <v>128</v>
      </c>
      <c r="C34" s="78">
        <v>1</v>
      </c>
      <c r="D34" s="7">
        <v>135000</v>
      </c>
      <c r="E34" s="7">
        <v>135000</v>
      </c>
      <c r="F34" s="7">
        <v>135000</v>
      </c>
      <c r="G34" s="7"/>
      <c r="H34" s="7">
        <v>135000</v>
      </c>
      <c r="I34" s="7"/>
      <c r="J34" s="7"/>
      <c r="K34" s="7"/>
      <c r="L34" s="7"/>
      <c r="M34" s="7"/>
      <c r="N34" s="7"/>
      <c r="O34" s="7"/>
      <c r="P34" s="28">
        <f t="shared" si="0"/>
        <v>540000</v>
      </c>
      <c r="Q34" s="6"/>
    </row>
    <row r="35" spans="1:17" x14ac:dyDescent="0.2">
      <c r="A35" s="2">
        <v>30</v>
      </c>
      <c r="B35" s="25" t="s">
        <v>129</v>
      </c>
      <c r="C35" s="78">
        <v>1</v>
      </c>
      <c r="D35" s="7">
        <v>135000</v>
      </c>
      <c r="E35" s="7">
        <v>135000</v>
      </c>
      <c r="F35" s="7">
        <v>135000</v>
      </c>
      <c r="G35" s="7"/>
      <c r="H35" s="7">
        <v>135000</v>
      </c>
      <c r="I35" s="7"/>
      <c r="J35" s="7"/>
      <c r="K35" s="7"/>
      <c r="L35" s="7"/>
      <c r="M35" s="7"/>
      <c r="N35" s="7"/>
      <c r="O35" s="7"/>
      <c r="P35" s="28">
        <f t="shared" si="0"/>
        <v>540000</v>
      </c>
      <c r="Q35" s="6"/>
    </row>
    <row r="36" spans="1:17" x14ac:dyDescent="0.2">
      <c r="A36" s="2">
        <v>31</v>
      </c>
      <c r="B36" s="82" t="s">
        <v>130</v>
      </c>
      <c r="C36" s="40">
        <v>1</v>
      </c>
      <c r="D36" s="79">
        <v>135000</v>
      </c>
      <c r="E36" s="79">
        <v>135000</v>
      </c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80">
        <f t="shared" si="0"/>
        <v>270000</v>
      </c>
      <c r="Q36" s="6" t="s">
        <v>210</v>
      </c>
    </row>
    <row r="37" spans="1:17" x14ac:dyDescent="0.2">
      <c r="A37" s="2">
        <v>32</v>
      </c>
      <c r="B37" s="25" t="s">
        <v>131</v>
      </c>
      <c r="C37" s="78">
        <v>1</v>
      </c>
      <c r="D37" s="7">
        <v>135000</v>
      </c>
      <c r="E37" s="7">
        <v>135000</v>
      </c>
      <c r="F37" s="7">
        <v>135000</v>
      </c>
      <c r="G37" s="7"/>
      <c r="H37" s="7">
        <v>135000</v>
      </c>
      <c r="I37" s="7"/>
      <c r="J37" s="7"/>
      <c r="K37" s="7"/>
      <c r="L37" s="7"/>
      <c r="M37" s="7"/>
      <c r="N37" s="7"/>
      <c r="O37" s="7"/>
      <c r="P37" s="28">
        <f t="shared" si="0"/>
        <v>540000</v>
      </c>
      <c r="Q37" s="6"/>
    </row>
    <row r="38" spans="1:17" x14ac:dyDescent="0.2">
      <c r="A38" s="2">
        <v>33</v>
      </c>
      <c r="B38" s="23" t="s">
        <v>61</v>
      </c>
      <c r="C38" s="78">
        <v>1</v>
      </c>
      <c r="D38" s="7">
        <v>135000</v>
      </c>
      <c r="E38" s="7">
        <v>135000</v>
      </c>
      <c r="F38" s="7">
        <v>135000</v>
      </c>
      <c r="G38" s="7"/>
      <c r="H38" s="7">
        <v>135000</v>
      </c>
      <c r="I38" s="7"/>
      <c r="J38" s="7"/>
      <c r="K38" s="7"/>
      <c r="L38" s="7"/>
      <c r="M38" s="7"/>
      <c r="N38" s="7"/>
      <c r="O38" s="7"/>
      <c r="P38" s="28">
        <f t="shared" si="0"/>
        <v>540000</v>
      </c>
      <c r="Q38" s="6"/>
    </row>
    <row r="39" spans="1:17" x14ac:dyDescent="0.2">
      <c r="A39" s="2">
        <v>34</v>
      </c>
      <c r="B39" s="23" t="s">
        <v>62</v>
      </c>
      <c r="C39" s="78">
        <v>1</v>
      </c>
      <c r="D39" s="7">
        <v>135000</v>
      </c>
      <c r="E39" s="7">
        <v>135000</v>
      </c>
      <c r="F39" s="7">
        <v>135000</v>
      </c>
      <c r="G39" s="7"/>
      <c r="H39" s="7">
        <v>135000</v>
      </c>
      <c r="I39" s="7"/>
      <c r="J39" s="7"/>
      <c r="K39" s="7"/>
      <c r="L39" s="7"/>
      <c r="M39" s="7"/>
      <c r="N39" s="7"/>
      <c r="O39" s="7"/>
      <c r="P39" s="28">
        <f t="shared" si="0"/>
        <v>540000</v>
      </c>
      <c r="Q39" s="6"/>
    </row>
    <row r="40" spans="1:17" x14ac:dyDescent="0.2">
      <c r="A40" s="2">
        <v>35</v>
      </c>
      <c r="B40" s="23" t="s">
        <v>120</v>
      </c>
      <c r="C40" s="78">
        <v>1</v>
      </c>
      <c r="D40" s="7">
        <v>135000</v>
      </c>
      <c r="E40" s="7">
        <v>135000</v>
      </c>
      <c r="F40" s="7">
        <v>135000</v>
      </c>
      <c r="G40" s="7"/>
      <c r="H40" s="7">
        <v>135000</v>
      </c>
      <c r="I40" s="7"/>
      <c r="J40" s="7"/>
      <c r="K40" s="7"/>
      <c r="L40" s="7"/>
      <c r="M40" s="7"/>
      <c r="N40" s="7"/>
      <c r="O40" s="7"/>
      <c r="P40" s="28">
        <f t="shared" si="0"/>
        <v>540000</v>
      </c>
      <c r="Q40" s="6"/>
    </row>
    <row r="41" spans="1:17" x14ac:dyDescent="0.2">
      <c r="A41" s="2">
        <v>36</v>
      </c>
      <c r="B41" s="23" t="s">
        <v>30</v>
      </c>
      <c r="C41" s="78">
        <v>1</v>
      </c>
      <c r="D41" s="7">
        <v>135000</v>
      </c>
      <c r="E41" s="7">
        <v>135000</v>
      </c>
      <c r="F41" s="7">
        <v>135000</v>
      </c>
      <c r="G41" s="7"/>
      <c r="H41" s="7">
        <v>135000</v>
      </c>
      <c r="I41" s="7"/>
      <c r="J41" s="7"/>
      <c r="K41" s="7"/>
      <c r="L41" s="7"/>
      <c r="M41" s="7"/>
      <c r="N41" s="7"/>
      <c r="O41" s="7"/>
      <c r="P41" s="28">
        <f t="shared" si="0"/>
        <v>540000</v>
      </c>
      <c r="Q41" s="6"/>
    </row>
    <row r="42" spans="1:17" x14ac:dyDescent="0.2">
      <c r="A42" s="2">
        <v>37</v>
      </c>
      <c r="B42" s="23" t="s">
        <v>63</v>
      </c>
      <c r="C42" s="78">
        <v>1</v>
      </c>
      <c r="D42" s="7">
        <v>135000</v>
      </c>
      <c r="E42" s="7">
        <v>135000</v>
      </c>
      <c r="F42" s="7">
        <v>135000</v>
      </c>
      <c r="G42" s="7"/>
      <c r="H42" s="7">
        <v>135000</v>
      </c>
      <c r="I42" s="7"/>
      <c r="J42" s="7"/>
      <c r="K42" s="7"/>
      <c r="L42" s="7"/>
      <c r="M42" s="7"/>
      <c r="N42" s="7"/>
      <c r="O42" s="7"/>
      <c r="P42" s="28">
        <f t="shared" si="0"/>
        <v>540000</v>
      </c>
      <c r="Q42" s="6"/>
    </row>
    <row r="43" spans="1:17" x14ac:dyDescent="0.2">
      <c r="A43" s="2">
        <v>38</v>
      </c>
      <c r="B43" s="23" t="s">
        <v>64</v>
      </c>
      <c r="C43" s="78">
        <v>1</v>
      </c>
      <c r="D43" s="7">
        <v>135000</v>
      </c>
      <c r="E43" s="7">
        <v>135000</v>
      </c>
      <c r="F43" s="7">
        <v>135000</v>
      </c>
      <c r="G43" s="7"/>
      <c r="H43" s="7">
        <v>135000</v>
      </c>
      <c r="I43" s="7"/>
      <c r="J43" s="7"/>
      <c r="K43" s="7"/>
      <c r="L43" s="7"/>
      <c r="M43" s="7"/>
      <c r="N43" s="7"/>
      <c r="O43" s="7"/>
      <c r="P43" s="28">
        <f t="shared" si="0"/>
        <v>540000</v>
      </c>
      <c r="Q43" s="6"/>
    </row>
    <row r="44" spans="1:17" x14ac:dyDescent="0.2">
      <c r="A44" s="2">
        <v>39</v>
      </c>
      <c r="B44" s="23" t="s">
        <v>65</v>
      </c>
      <c r="C44" s="78">
        <v>1</v>
      </c>
      <c r="D44" s="7">
        <v>135000</v>
      </c>
      <c r="E44" s="7">
        <v>135000</v>
      </c>
      <c r="F44" s="7">
        <v>135000</v>
      </c>
      <c r="G44" s="7"/>
      <c r="H44" s="7">
        <v>135000</v>
      </c>
      <c r="I44" s="7"/>
      <c r="J44" s="7"/>
      <c r="K44" s="7"/>
      <c r="L44" s="7"/>
      <c r="M44" s="7"/>
      <c r="N44" s="7"/>
      <c r="O44" s="7"/>
      <c r="P44" s="28">
        <f t="shared" si="0"/>
        <v>540000</v>
      </c>
      <c r="Q44" s="6"/>
    </row>
    <row r="45" spans="1:17" x14ac:dyDescent="0.2">
      <c r="A45" s="2">
        <v>40</v>
      </c>
      <c r="B45" s="23" t="s">
        <v>66</v>
      </c>
      <c r="C45" s="78">
        <v>1</v>
      </c>
      <c r="D45" s="7">
        <v>135000</v>
      </c>
      <c r="E45" s="7">
        <v>135000</v>
      </c>
      <c r="F45" s="7">
        <v>135000</v>
      </c>
      <c r="G45" s="7"/>
      <c r="H45" s="7">
        <v>135000</v>
      </c>
      <c r="I45" s="7"/>
      <c r="J45" s="7"/>
      <c r="K45" s="7"/>
      <c r="L45" s="7"/>
      <c r="M45" s="7"/>
      <c r="N45" s="7"/>
      <c r="O45" s="7"/>
      <c r="P45" s="28">
        <f t="shared" si="0"/>
        <v>540000</v>
      </c>
      <c r="Q45" s="6"/>
    </row>
    <row r="46" spans="1:17" x14ac:dyDescent="0.2">
      <c r="A46" s="2">
        <v>41</v>
      </c>
      <c r="B46" s="23" t="s">
        <v>67</v>
      </c>
      <c r="C46" s="78">
        <v>1</v>
      </c>
      <c r="D46" s="7">
        <v>135000</v>
      </c>
      <c r="E46" s="7">
        <v>135000</v>
      </c>
      <c r="F46" s="7">
        <v>135000</v>
      </c>
      <c r="G46" s="7"/>
      <c r="H46" s="7">
        <v>135000</v>
      </c>
      <c r="I46" s="7"/>
      <c r="J46" s="7"/>
      <c r="K46" s="7"/>
      <c r="L46" s="7"/>
      <c r="M46" s="7"/>
      <c r="N46" s="7"/>
      <c r="O46" s="7"/>
      <c r="P46" s="28">
        <f t="shared" si="0"/>
        <v>540000</v>
      </c>
      <c r="Q46" s="6"/>
    </row>
    <row r="47" spans="1:17" x14ac:dyDescent="0.2">
      <c r="A47" s="2">
        <v>42</v>
      </c>
      <c r="B47" s="23" t="s">
        <v>68</v>
      </c>
      <c r="C47" s="78">
        <v>1</v>
      </c>
      <c r="D47" s="7">
        <v>135000</v>
      </c>
      <c r="E47" s="7">
        <v>135000</v>
      </c>
      <c r="F47" s="7">
        <v>135000</v>
      </c>
      <c r="G47" s="7"/>
      <c r="H47" s="7">
        <v>135000</v>
      </c>
      <c r="I47" s="7"/>
      <c r="J47" s="7"/>
      <c r="K47" s="7"/>
      <c r="L47" s="7"/>
      <c r="M47" s="7"/>
      <c r="N47" s="7"/>
      <c r="O47" s="7"/>
      <c r="P47" s="28">
        <f t="shared" si="0"/>
        <v>540000</v>
      </c>
      <c r="Q47" s="6"/>
    </row>
    <row r="48" spans="1:17" x14ac:dyDescent="0.2">
      <c r="A48" s="2">
        <v>43</v>
      </c>
      <c r="B48" s="23" t="s">
        <v>69</v>
      </c>
      <c r="C48" s="78">
        <v>1</v>
      </c>
      <c r="D48" s="7">
        <v>135000</v>
      </c>
      <c r="E48" s="7">
        <v>135000</v>
      </c>
      <c r="F48" s="7">
        <v>135000</v>
      </c>
      <c r="G48" s="7"/>
      <c r="H48" s="7">
        <v>135000</v>
      </c>
      <c r="I48" s="7"/>
      <c r="J48" s="7"/>
      <c r="K48" s="7"/>
      <c r="L48" s="7"/>
      <c r="M48" s="7"/>
      <c r="N48" s="7"/>
      <c r="O48" s="7"/>
      <c r="P48" s="28">
        <f t="shared" si="0"/>
        <v>540000</v>
      </c>
      <c r="Q48" s="6"/>
    </row>
    <row r="49" spans="1:17" x14ac:dyDescent="0.2">
      <c r="A49" s="2">
        <v>44</v>
      </c>
      <c r="B49" s="23" t="s">
        <v>70</v>
      </c>
      <c r="C49" s="78">
        <v>1</v>
      </c>
      <c r="D49" s="7">
        <v>135000</v>
      </c>
      <c r="E49" s="7">
        <v>135000</v>
      </c>
      <c r="F49" s="7">
        <v>135000</v>
      </c>
      <c r="G49" s="7"/>
      <c r="H49" s="7">
        <v>135000</v>
      </c>
      <c r="I49" s="7"/>
      <c r="J49" s="7"/>
      <c r="K49" s="7"/>
      <c r="L49" s="7"/>
      <c r="M49" s="7"/>
      <c r="N49" s="7"/>
      <c r="O49" s="7"/>
      <c r="P49" s="28">
        <f t="shared" si="0"/>
        <v>540000</v>
      </c>
      <c r="Q49" s="6"/>
    </row>
    <row r="50" spans="1:17" x14ac:dyDescent="0.2">
      <c r="A50" s="2">
        <v>45</v>
      </c>
      <c r="B50" s="23" t="s">
        <v>71</v>
      </c>
      <c r="C50" s="78">
        <v>1</v>
      </c>
      <c r="D50" s="7">
        <v>135000</v>
      </c>
      <c r="E50" s="7">
        <v>135000</v>
      </c>
      <c r="F50" s="7">
        <v>135000</v>
      </c>
      <c r="G50" s="7"/>
      <c r="H50" s="7">
        <v>135000</v>
      </c>
      <c r="I50" s="7"/>
      <c r="J50" s="7"/>
      <c r="K50" s="7"/>
      <c r="L50" s="7"/>
      <c r="M50" s="7"/>
      <c r="N50" s="7"/>
      <c r="O50" s="7"/>
      <c r="P50" s="28">
        <f t="shared" si="0"/>
        <v>540000</v>
      </c>
      <c r="Q50" s="6"/>
    </row>
    <row r="51" spans="1:17" x14ac:dyDescent="0.2">
      <c r="A51" s="2">
        <v>46</v>
      </c>
      <c r="B51" s="23" t="s">
        <v>72</v>
      </c>
      <c r="C51" s="78">
        <v>1</v>
      </c>
      <c r="D51" s="7">
        <v>135000</v>
      </c>
      <c r="E51" s="7">
        <v>135000</v>
      </c>
      <c r="F51" s="7">
        <v>135000</v>
      </c>
      <c r="G51" s="7"/>
      <c r="H51" s="7">
        <v>135000</v>
      </c>
      <c r="I51" s="7"/>
      <c r="J51" s="7"/>
      <c r="K51" s="7"/>
      <c r="L51" s="7"/>
      <c r="M51" s="7"/>
      <c r="N51" s="7"/>
      <c r="O51" s="7"/>
      <c r="P51" s="28">
        <f t="shared" si="0"/>
        <v>540000</v>
      </c>
      <c r="Q51" s="6"/>
    </row>
    <row r="52" spans="1:17" x14ac:dyDescent="0.2">
      <c r="A52" s="2">
        <v>47</v>
      </c>
      <c r="B52" s="23" t="s">
        <v>73</v>
      </c>
      <c r="C52" s="78">
        <v>1</v>
      </c>
      <c r="D52" s="7">
        <v>135000</v>
      </c>
      <c r="E52" s="7">
        <v>135000</v>
      </c>
      <c r="F52" s="7">
        <v>135000</v>
      </c>
      <c r="G52" s="7"/>
      <c r="H52" s="7">
        <v>135000</v>
      </c>
      <c r="I52" s="7"/>
      <c r="J52" s="7"/>
      <c r="K52" s="7"/>
      <c r="L52" s="7"/>
      <c r="M52" s="7"/>
      <c r="N52" s="7"/>
      <c r="O52" s="7"/>
      <c r="P52" s="28">
        <f t="shared" si="0"/>
        <v>540000</v>
      </c>
      <c r="Q52" s="6"/>
    </row>
    <row r="53" spans="1:17" x14ac:dyDescent="0.2">
      <c r="A53" s="2">
        <v>48</v>
      </c>
      <c r="B53" s="23" t="s">
        <v>132</v>
      </c>
      <c r="C53" s="78">
        <v>1</v>
      </c>
      <c r="D53" s="7">
        <v>135000</v>
      </c>
      <c r="E53" s="7">
        <v>135000</v>
      </c>
      <c r="F53" s="7">
        <v>135000</v>
      </c>
      <c r="G53" s="7"/>
      <c r="H53" s="7">
        <v>135000</v>
      </c>
      <c r="I53" s="7"/>
      <c r="J53" s="7"/>
      <c r="K53" s="7"/>
      <c r="L53" s="7"/>
      <c r="M53" s="7"/>
      <c r="N53" s="7"/>
      <c r="O53" s="7"/>
      <c r="P53" s="28">
        <f t="shared" si="0"/>
        <v>540000</v>
      </c>
      <c r="Q53" s="6"/>
    </row>
    <row r="54" spans="1:17" x14ac:dyDescent="0.2">
      <c r="A54" s="2">
        <v>49</v>
      </c>
      <c r="B54" s="23" t="s">
        <v>133</v>
      </c>
      <c r="C54" s="78">
        <v>1</v>
      </c>
      <c r="D54" s="7">
        <v>135000</v>
      </c>
      <c r="E54" s="7">
        <v>135000</v>
      </c>
      <c r="F54" s="7">
        <v>135000</v>
      </c>
      <c r="G54" s="7"/>
      <c r="H54" s="7">
        <v>135000</v>
      </c>
      <c r="I54" s="7"/>
      <c r="J54" s="7"/>
      <c r="K54" s="7"/>
      <c r="L54" s="7"/>
      <c r="M54" s="7"/>
      <c r="N54" s="7"/>
      <c r="O54" s="7"/>
      <c r="P54" s="28">
        <f t="shared" si="0"/>
        <v>540000</v>
      </c>
      <c r="Q54" s="6"/>
    </row>
    <row r="55" spans="1:17" x14ac:dyDescent="0.2">
      <c r="A55" s="2">
        <v>50</v>
      </c>
      <c r="B55" s="23" t="s">
        <v>74</v>
      </c>
      <c r="C55" s="78">
        <v>1</v>
      </c>
      <c r="D55" s="7">
        <v>135000</v>
      </c>
      <c r="E55" s="7">
        <v>135000</v>
      </c>
      <c r="F55" s="7">
        <v>135000</v>
      </c>
      <c r="G55" s="7"/>
      <c r="H55" s="7">
        <v>135000</v>
      </c>
      <c r="I55" s="7"/>
      <c r="J55" s="7"/>
      <c r="K55" s="7"/>
      <c r="L55" s="7"/>
      <c r="M55" s="7"/>
      <c r="N55" s="7"/>
      <c r="O55" s="7"/>
      <c r="P55" s="28">
        <f t="shared" si="0"/>
        <v>540000</v>
      </c>
      <c r="Q55" s="6"/>
    </row>
    <row r="56" spans="1:17" x14ac:dyDescent="0.2">
      <c r="A56" s="2">
        <v>51</v>
      </c>
      <c r="B56" s="23" t="s">
        <v>75</v>
      </c>
      <c r="C56" s="78">
        <v>1</v>
      </c>
      <c r="D56" s="7">
        <v>135000</v>
      </c>
      <c r="E56" s="7">
        <v>135000</v>
      </c>
      <c r="F56" s="7">
        <v>135000</v>
      </c>
      <c r="G56" s="7"/>
      <c r="H56" s="7">
        <v>135000</v>
      </c>
      <c r="I56" s="7"/>
      <c r="J56" s="7"/>
      <c r="K56" s="7"/>
      <c r="L56" s="7"/>
      <c r="M56" s="7"/>
      <c r="N56" s="7"/>
      <c r="O56" s="7"/>
      <c r="P56" s="28">
        <f t="shared" si="0"/>
        <v>540000</v>
      </c>
      <c r="Q56" s="6"/>
    </row>
    <row r="57" spans="1:17" x14ac:dyDescent="0.2">
      <c r="A57" s="2">
        <v>52</v>
      </c>
      <c r="B57" s="23" t="s">
        <v>76</v>
      </c>
      <c r="C57" s="78">
        <v>1</v>
      </c>
      <c r="D57" s="7">
        <v>135000</v>
      </c>
      <c r="E57" s="7">
        <v>135000</v>
      </c>
      <c r="F57" s="7">
        <v>135000</v>
      </c>
      <c r="G57" s="7"/>
      <c r="H57" s="7">
        <v>135000</v>
      </c>
      <c r="I57" s="7"/>
      <c r="J57" s="7"/>
      <c r="K57" s="7"/>
      <c r="L57" s="7"/>
      <c r="M57" s="7"/>
      <c r="N57" s="7"/>
      <c r="O57" s="7"/>
      <c r="P57" s="28">
        <f t="shared" si="0"/>
        <v>540000</v>
      </c>
      <c r="Q57" s="6"/>
    </row>
    <row r="58" spans="1:17" x14ac:dyDescent="0.2">
      <c r="A58" s="2">
        <v>53</v>
      </c>
      <c r="B58" s="23" t="s">
        <v>77</v>
      </c>
      <c r="C58" s="78">
        <v>1</v>
      </c>
      <c r="D58" s="7">
        <v>135000</v>
      </c>
      <c r="E58" s="7">
        <v>135000</v>
      </c>
      <c r="F58" s="7">
        <v>135000</v>
      </c>
      <c r="G58" s="7"/>
      <c r="H58" s="7">
        <v>135000</v>
      </c>
      <c r="I58" s="7"/>
      <c r="J58" s="7"/>
      <c r="K58" s="7"/>
      <c r="L58" s="7"/>
      <c r="M58" s="7"/>
      <c r="N58" s="7"/>
      <c r="O58" s="7"/>
      <c r="P58" s="28">
        <f t="shared" si="0"/>
        <v>540000</v>
      </c>
      <c r="Q58" s="6"/>
    </row>
    <row r="59" spans="1:17" x14ac:dyDescent="0.2">
      <c r="A59" s="2">
        <v>54</v>
      </c>
      <c r="B59" s="23" t="s">
        <v>78</v>
      </c>
      <c r="C59" s="78">
        <v>1</v>
      </c>
      <c r="D59" s="7">
        <v>135000</v>
      </c>
      <c r="E59" s="7">
        <v>135000</v>
      </c>
      <c r="F59" s="7">
        <v>135000</v>
      </c>
      <c r="G59" s="7"/>
      <c r="H59" s="7">
        <v>135000</v>
      </c>
      <c r="I59" s="7"/>
      <c r="J59" s="7"/>
      <c r="K59" s="7"/>
      <c r="L59" s="7"/>
      <c r="M59" s="7"/>
      <c r="N59" s="7"/>
      <c r="O59" s="7"/>
      <c r="P59" s="28">
        <f t="shared" si="0"/>
        <v>540000</v>
      </c>
      <c r="Q59" s="6"/>
    </row>
    <row r="60" spans="1:17" x14ac:dyDescent="0.2">
      <c r="A60" s="2">
        <v>55</v>
      </c>
      <c r="B60" s="23" t="s">
        <v>122</v>
      </c>
      <c r="C60" s="78">
        <v>1</v>
      </c>
      <c r="D60" s="7">
        <v>135000</v>
      </c>
      <c r="E60" s="7">
        <v>135000</v>
      </c>
      <c r="F60" s="7">
        <v>135000</v>
      </c>
      <c r="G60" s="7"/>
      <c r="H60" s="7">
        <v>135000</v>
      </c>
      <c r="I60" s="7"/>
      <c r="J60" s="7"/>
      <c r="K60" s="7"/>
      <c r="L60" s="7"/>
      <c r="M60" s="7"/>
      <c r="N60" s="7"/>
      <c r="O60" s="7"/>
      <c r="P60" s="28">
        <f t="shared" si="0"/>
        <v>540000</v>
      </c>
      <c r="Q60" s="6"/>
    </row>
    <row r="61" spans="1:17" x14ac:dyDescent="0.2">
      <c r="A61" s="2">
        <v>56</v>
      </c>
      <c r="B61" s="23" t="s">
        <v>79</v>
      </c>
      <c r="C61" s="78">
        <v>1</v>
      </c>
      <c r="D61" s="7">
        <v>135000</v>
      </c>
      <c r="E61" s="7">
        <v>135000</v>
      </c>
      <c r="F61" s="7">
        <v>135000</v>
      </c>
      <c r="G61" s="7"/>
      <c r="H61" s="7">
        <v>135000</v>
      </c>
      <c r="I61" s="7"/>
      <c r="J61" s="7"/>
      <c r="K61" s="7"/>
      <c r="L61" s="7"/>
      <c r="M61" s="7"/>
      <c r="N61" s="7"/>
      <c r="O61" s="7"/>
      <c r="P61" s="28">
        <f t="shared" si="0"/>
        <v>540000</v>
      </c>
      <c r="Q61" s="6"/>
    </row>
    <row r="62" spans="1:17" x14ac:dyDescent="0.2">
      <c r="A62" s="2">
        <v>57</v>
      </c>
      <c r="B62" s="23" t="s">
        <v>80</v>
      </c>
      <c r="C62" s="78">
        <v>1</v>
      </c>
      <c r="D62" s="7">
        <v>135000</v>
      </c>
      <c r="E62" s="7">
        <v>135000</v>
      </c>
      <c r="F62" s="7">
        <v>135000</v>
      </c>
      <c r="G62" s="7"/>
      <c r="H62" s="7">
        <v>135000</v>
      </c>
      <c r="I62" s="7"/>
      <c r="J62" s="7"/>
      <c r="K62" s="7"/>
      <c r="L62" s="7"/>
      <c r="M62" s="7"/>
      <c r="N62" s="7"/>
      <c r="O62" s="7"/>
      <c r="P62" s="28">
        <f t="shared" si="0"/>
        <v>540000</v>
      </c>
      <c r="Q62" s="6"/>
    </row>
    <row r="63" spans="1:17" x14ac:dyDescent="0.2">
      <c r="A63" s="2">
        <v>58</v>
      </c>
      <c r="B63" s="23" t="s">
        <v>121</v>
      </c>
      <c r="C63" s="78">
        <v>1</v>
      </c>
      <c r="D63" s="7">
        <v>135000</v>
      </c>
      <c r="E63" s="7">
        <v>135000</v>
      </c>
      <c r="F63" s="7">
        <v>135000</v>
      </c>
      <c r="G63" s="7"/>
      <c r="H63" s="7">
        <v>135000</v>
      </c>
      <c r="I63" s="7"/>
      <c r="J63" s="7"/>
      <c r="K63" s="7"/>
      <c r="L63" s="7"/>
      <c r="M63" s="7"/>
      <c r="N63" s="7"/>
      <c r="O63" s="7"/>
      <c r="P63" s="28">
        <f t="shared" ref="P63:P118" si="1">SUM(D63:O63)</f>
        <v>540000</v>
      </c>
      <c r="Q63" s="6"/>
    </row>
    <row r="64" spans="1:17" x14ac:dyDescent="0.2">
      <c r="A64" s="2">
        <v>59</v>
      </c>
      <c r="B64" s="23" t="s">
        <v>81</v>
      </c>
      <c r="C64" s="78">
        <v>1</v>
      </c>
      <c r="D64" s="7">
        <v>135000</v>
      </c>
      <c r="E64" s="7">
        <v>135000</v>
      </c>
      <c r="F64" s="7">
        <v>135000</v>
      </c>
      <c r="G64" s="7"/>
      <c r="H64" s="7">
        <v>135000</v>
      </c>
      <c r="I64" s="7"/>
      <c r="J64" s="7"/>
      <c r="K64" s="7"/>
      <c r="L64" s="7"/>
      <c r="M64" s="7"/>
      <c r="N64" s="7"/>
      <c r="O64" s="7"/>
      <c r="P64" s="28">
        <f t="shared" si="1"/>
        <v>540000</v>
      </c>
      <c r="Q64" s="6"/>
    </row>
    <row r="65" spans="1:17" x14ac:dyDescent="0.2">
      <c r="A65" s="2">
        <v>60</v>
      </c>
      <c r="B65" s="23" t="s">
        <v>82</v>
      </c>
      <c r="C65" s="78">
        <v>1</v>
      </c>
      <c r="D65" s="7">
        <v>135000</v>
      </c>
      <c r="E65" s="7">
        <v>135000</v>
      </c>
      <c r="F65" s="7">
        <v>135000</v>
      </c>
      <c r="G65" s="7"/>
      <c r="H65" s="7">
        <v>135000</v>
      </c>
      <c r="I65" s="7"/>
      <c r="J65" s="7"/>
      <c r="K65" s="7"/>
      <c r="L65" s="7"/>
      <c r="M65" s="7"/>
      <c r="N65" s="7"/>
      <c r="O65" s="7"/>
      <c r="P65" s="28">
        <f t="shared" si="1"/>
        <v>540000</v>
      </c>
      <c r="Q65" s="6"/>
    </row>
    <row r="66" spans="1:17" x14ac:dyDescent="0.2">
      <c r="A66" s="2">
        <v>61</v>
      </c>
      <c r="B66" s="23" t="s">
        <v>83</v>
      </c>
      <c r="C66" s="78">
        <v>1</v>
      </c>
      <c r="D66" s="7">
        <v>135000</v>
      </c>
      <c r="E66" s="7">
        <v>135000</v>
      </c>
      <c r="F66" s="7">
        <v>135000</v>
      </c>
      <c r="G66" s="7"/>
      <c r="H66" s="7">
        <v>135000</v>
      </c>
      <c r="I66" s="7"/>
      <c r="J66" s="7"/>
      <c r="K66" s="7"/>
      <c r="L66" s="7"/>
      <c r="M66" s="7"/>
      <c r="N66" s="7"/>
      <c r="O66" s="7"/>
      <c r="P66" s="28">
        <f t="shared" si="1"/>
        <v>540000</v>
      </c>
      <c r="Q66" s="6"/>
    </row>
    <row r="67" spans="1:17" x14ac:dyDescent="0.2">
      <c r="A67" s="2">
        <v>62</v>
      </c>
      <c r="B67" s="23" t="s">
        <v>84</v>
      </c>
      <c r="C67" s="78">
        <v>1</v>
      </c>
      <c r="D67" s="7">
        <v>135000</v>
      </c>
      <c r="E67" s="7">
        <v>135000</v>
      </c>
      <c r="F67" s="7">
        <v>135000</v>
      </c>
      <c r="G67" s="7"/>
      <c r="H67" s="7">
        <v>135000</v>
      </c>
      <c r="I67" s="7"/>
      <c r="J67" s="7"/>
      <c r="K67" s="7"/>
      <c r="L67" s="7"/>
      <c r="M67" s="7"/>
      <c r="N67" s="7"/>
      <c r="O67" s="7"/>
      <c r="P67" s="28">
        <f t="shared" si="1"/>
        <v>540000</v>
      </c>
      <c r="Q67" s="6"/>
    </row>
    <row r="68" spans="1:17" x14ac:dyDescent="0.2">
      <c r="A68" s="2">
        <v>63</v>
      </c>
      <c r="B68" s="23" t="s">
        <v>85</v>
      </c>
      <c r="C68" s="78">
        <v>1</v>
      </c>
      <c r="D68" s="7">
        <v>135000</v>
      </c>
      <c r="E68" s="7">
        <v>135000</v>
      </c>
      <c r="F68" s="7">
        <v>135000</v>
      </c>
      <c r="G68" s="7"/>
      <c r="H68" s="7">
        <v>135000</v>
      </c>
      <c r="I68" s="7"/>
      <c r="J68" s="7"/>
      <c r="K68" s="7"/>
      <c r="L68" s="7"/>
      <c r="M68" s="7"/>
      <c r="N68" s="7"/>
      <c r="O68" s="7"/>
      <c r="P68" s="28">
        <f t="shared" si="1"/>
        <v>540000</v>
      </c>
      <c r="Q68" s="6"/>
    </row>
    <row r="69" spans="1:17" x14ac:dyDescent="0.2">
      <c r="A69" s="2">
        <v>64</v>
      </c>
      <c r="B69" s="23" t="s">
        <v>86</v>
      </c>
      <c r="C69" s="78">
        <v>1</v>
      </c>
      <c r="D69" s="7">
        <v>135000</v>
      </c>
      <c r="E69" s="7">
        <v>135000</v>
      </c>
      <c r="F69" s="7">
        <v>135000</v>
      </c>
      <c r="G69" s="7"/>
      <c r="H69" s="7">
        <v>135000</v>
      </c>
      <c r="I69" s="7"/>
      <c r="J69" s="7"/>
      <c r="K69" s="7"/>
      <c r="L69" s="7"/>
      <c r="M69" s="7"/>
      <c r="N69" s="7"/>
      <c r="O69" s="7"/>
      <c r="P69" s="28">
        <f t="shared" si="1"/>
        <v>540000</v>
      </c>
      <c r="Q69" s="6"/>
    </row>
    <row r="70" spans="1:17" x14ac:dyDescent="0.2">
      <c r="A70" s="2">
        <v>65</v>
      </c>
      <c r="B70" s="23" t="s">
        <v>87</v>
      </c>
      <c r="C70" s="78">
        <v>1</v>
      </c>
      <c r="D70" s="7">
        <v>135000</v>
      </c>
      <c r="E70" s="7">
        <v>135000</v>
      </c>
      <c r="F70" s="7">
        <v>135000</v>
      </c>
      <c r="G70" s="7"/>
      <c r="H70" s="7">
        <v>135000</v>
      </c>
      <c r="I70" s="7"/>
      <c r="J70" s="7"/>
      <c r="K70" s="7"/>
      <c r="L70" s="7"/>
      <c r="M70" s="7"/>
      <c r="N70" s="7"/>
      <c r="O70" s="7"/>
      <c r="P70" s="28">
        <f t="shared" si="1"/>
        <v>540000</v>
      </c>
      <c r="Q70" s="6"/>
    </row>
    <row r="71" spans="1:17" x14ac:dyDescent="0.2">
      <c r="A71" s="2">
        <v>66</v>
      </c>
      <c r="B71" s="23" t="s">
        <v>42</v>
      </c>
      <c r="C71" s="78">
        <v>1</v>
      </c>
      <c r="D71" s="7">
        <v>135000</v>
      </c>
      <c r="E71" s="7">
        <v>135000</v>
      </c>
      <c r="F71" s="7">
        <v>135000</v>
      </c>
      <c r="G71" s="7"/>
      <c r="H71" s="7">
        <v>135000</v>
      </c>
      <c r="I71" s="7"/>
      <c r="J71" s="7"/>
      <c r="K71" s="7"/>
      <c r="L71" s="7"/>
      <c r="M71" s="7"/>
      <c r="N71" s="7"/>
      <c r="O71" s="7"/>
      <c r="P71" s="28">
        <f t="shared" si="1"/>
        <v>540000</v>
      </c>
      <c r="Q71" s="6"/>
    </row>
    <row r="72" spans="1:17" x14ac:dyDescent="0.2">
      <c r="A72" s="83">
        <v>67</v>
      </c>
      <c r="B72" s="84" t="s">
        <v>88</v>
      </c>
      <c r="C72" s="40">
        <v>2</v>
      </c>
      <c r="D72" s="79">
        <v>270000</v>
      </c>
      <c r="E72" s="79">
        <v>270000</v>
      </c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80">
        <f t="shared" si="1"/>
        <v>540000</v>
      </c>
      <c r="Q72" s="81" t="s">
        <v>210</v>
      </c>
    </row>
    <row r="73" spans="1:17" x14ac:dyDescent="0.2">
      <c r="A73" s="2">
        <v>68</v>
      </c>
      <c r="B73" s="23" t="s">
        <v>89</v>
      </c>
      <c r="C73" s="78">
        <v>1</v>
      </c>
      <c r="D73" s="7">
        <v>135000</v>
      </c>
      <c r="E73" s="7">
        <v>135000</v>
      </c>
      <c r="F73" s="7">
        <v>135000</v>
      </c>
      <c r="G73" s="7"/>
      <c r="H73" s="7">
        <v>135000</v>
      </c>
      <c r="I73" s="7"/>
      <c r="J73" s="7"/>
      <c r="K73" s="7"/>
      <c r="L73" s="7"/>
      <c r="M73" s="7"/>
      <c r="N73" s="7"/>
      <c r="O73" s="7"/>
      <c r="P73" s="28">
        <f t="shared" si="1"/>
        <v>540000</v>
      </c>
      <c r="Q73" s="6"/>
    </row>
    <row r="74" spans="1:17" x14ac:dyDescent="0.2">
      <c r="A74" s="2">
        <v>69</v>
      </c>
      <c r="B74" s="23" t="s">
        <v>27</v>
      </c>
      <c r="C74" s="78">
        <v>1</v>
      </c>
      <c r="D74" s="7">
        <v>135000</v>
      </c>
      <c r="E74" s="7"/>
      <c r="F74" s="7">
        <v>135000</v>
      </c>
      <c r="G74" s="7"/>
      <c r="H74" s="7">
        <v>135000</v>
      </c>
      <c r="I74" s="7"/>
      <c r="J74" s="7"/>
      <c r="K74" s="7"/>
      <c r="L74" s="7"/>
      <c r="M74" s="7"/>
      <c r="N74" s="7"/>
      <c r="O74" s="7"/>
      <c r="P74" s="28">
        <f t="shared" si="1"/>
        <v>405000</v>
      </c>
      <c r="Q74" s="6"/>
    </row>
    <row r="75" spans="1:17" x14ac:dyDescent="0.2">
      <c r="A75" s="2">
        <v>70</v>
      </c>
      <c r="B75" s="23" t="s">
        <v>90</v>
      </c>
      <c r="C75" s="78">
        <v>1</v>
      </c>
      <c r="D75" s="7">
        <v>135000</v>
      </c>
      <c r="E75" s="7">
        <v>135000</v>
      </c>
      <c r="F75" s="7">
        <v>135000</v>
      </c>
      <c r="G75" s="7"/>
      <c r="H75" s="7">
        <v>135000</v>
      </c>
      <c r="I75" s="7"/>
      <c r="J75" s="7"/>
      <c r="K75" s="7"/>
      <c r="L75" s="7"/>
      <c r="M75" s="7"/>
      <c r="N75" s="7"/>
      <c r="O75" s="7"/>
      <c r="P75" s="28">
        <f t="shared" si="1"/>
        <v>540000</v>
      </c>
      <c r="Q75" s="6"/>
    </row>
    <row r="76" spans="1:17" x14ac:dyDescent="0.2">
      <c r="A76" s="2">
        <v>71</v>
      </c>
      <c r="B76" s="23" t="s">
        <v>91</v>
      </c>
      <c r="C76" s="78">
        <v>1</v>
      </c>
      <c r="D76" s="7">
        <v>135000</v>
      </c>
      <c r="E76" s="7">
        <v>135000</v>
      </c>
      <c r="F76" s="7">
        <v>135000</v>
      </c>
      <c r="G76" s="7"/>
      <c r="H76" s="7">
        <v>135000</v>
      </c>
      <c r="I76" s="7"/>
      <c r="J76" s="7"/>
      <c r="K76" s="7"/>
      <c r="L76" s="7"/>
      <c r="M76" s="7"/>
      <c r="N76" s="7"/>
      <c r="O76" s="7"/>
      <c r="P76" s="28">
        <f t="shared" si="1"/>
        <v>540000</v>
      </c>
      <c r="Q76" s="6"/>
    </row>
    <row r="77" spans="1:17" x14ac:dyDescent="0.2">
      <c r="A77" s="2">
        <v>72</v>
      </c>
      <c r="B77" s="23" t="s">
        <v>92</v>
      </c>
      <c r="C77" s="78">
        <v>1</v>
      </c>
      <c r="D77" s="7">
        <v>135000</v>
      </c>
      <c r="E77" s="7">
        <v>135000</v>
      </c>
      <c r="F77" s="7">
        <v>135000</v>
      </c>
      <c r="G77" s="7"/>
      <c r="H77" s="7">
        <v>135000</v>
      </c>
      <c r="I77" s="7"/>
      <c r="J77" s="7"/>
      <c r="K77" s="7"/>
      <c r="L77" s="7"/>
      <c r="M77" s="7"/>
      <c r="N77" s="7"/>
      <c r="O77" s="7"/>
      <c r="P77" s="28">
        <f t="shared" si="1"/>
        <v>540000</v>
      </c>
      <c r="Q77" s="6"/>
    </row>
    <row r="78" spans="1:17" x14ac:dyDescent="0.2">
      <c r="A78" s="2">
        <v>73</v>
      </c>
      <c r="B78" s="23" t="s">
        <v>93</v>
      </c>
      <c r="C78" s="78">
        <v>1</v>
      </c>
      <c r="D78" s="7">
        <v>135000</v>
      </c>
      <c r="E78" s="7">
        <v>135000</v>
      </c>
      <c r="F78" s="7">
        <v>135000</v>
      </c>
      <c r="G78" s="7"/>
      <c r="H78" s="7">
        <v>135000</v>
      </c>
      <c r="I78" s="7"/>
      <c r="J78" s="7"/>
      <c r="K78" s="7"/>
      <c r="L78" s="7"/>
      <c r="M78" s="7"/>
      <c r="N78" s="7"/>
      <c r="O78" s="7"/>
      <c r="P78" s="28">
        <f t="shared" si="1"/>
        <v>540000</v>
      </c>
      <c r="Q78" s="6"/>
    </row>
    <row r="79" spans="1:17" x14ac:dyDescent="0.2">
      <c r="A79" s="2">
        <v>74</v>
      </c>
      <c r="B79" s="23" t="s">
        <v>94</v>
      </c>
      <c r="C79" s="78">
        <v>1</v>
      </c>
      <c r="D79" s="7">
        <v>135000</v>
      </c>
      <c r="E79" s="7">
        <v>135000</v>
      </c>
      <c r="F79" s="7">
        <v>135000</v>
      </c>
      <c r="G79" s="7"/>
      <c r="H79" s="7">
        <v>135000</v>
      </c>
      <c r="I79" s="7"/>
      <c r="J79" s="7"/>
      <c r="K79" s="7"/>
      <c r="L79" s="7"/>
      <c r="M79" s="7"/>
      <c r="N79" s="7"/>
      <c r="O79" s="7"/>
      <c r="P79" s="28">
        <f t="shared" si="1"/>
        <v>540000</v>
      </c>
      <c r="Q79" s="6"/>
    </row>
    <row r="80" spans="1:17" x14ac:dyDescent="0.2">
      <c r="A80" s="2">
        <v>75</v>
      </c>
      <c r="B80" s="23" t="s">
        <v>95</v>
      </c>
      <c r="C80" s="78">
        <v>1</v>
      </c>
      <c r="D80" s="7">
        <v>135000</v>
      </c>
      <c r="E80" s="7">
        <v>135000</v>
      </c>
      <c r="F80" s="7">
        <v>135000</v>
      </c>
      <c r="G80" s="7"/>
      <c r="H80" s="7">
        <v>135000</v>
      </c>
      <c r="I80" s="7"/>
      <c r="J80" s="7"/>
      <c r="K80" s="7"/>
      <c r="L80" s="7"/>
      <c r="M80" s="7"/>
      <c r="N80" s="7"/>
      <c r="O80" s="7"/>
      <c r="P80" s="28">
        <f t="shared" si="1"/>
        <v>540000</v>
      </c>
      <c r="Q80" s="6"/>
    </row>
    <row r="81" spans="1:17" x14ac:dyDescent="0.2">
      <c r="A81" s="2">
        <v>76</v>
      </c>
      <c r="B81" s="23" t="s">
        <v>96</v>
      </c>
      <c r="C81" s="78">
        <v>1</v>
      </c>
      <c r="D81" s="7">
        <v>135000</v>
      </c>
      <c r="E81" s="7">
        <v>135000</v>
      </c>
      <c r="F81" s="7">
        <v>135000</v>
      </c>
      <c r="G81" s="7"/>
      <c r="H81" s="7">
        <v>135000</v>
      </c>
      <c r="I81" s="7"/>
      <c r="J81" s="7"/>
      <c r="K81" s="7"/>
      <c r="L81" s="7"/>
      <c r="M81" s="7"/>
      <c r="N81" s="7"/>
      <c r="O81" s="7"/>
      <c r="P81" s="28">
        <f t="shared" si="1"/>
        <v>540000</v>
      </c>
      <c r="Q81" s="6"/>
    </row>
    <row r="82" spans="1:17" x14ac:dyDescent="0.2">
      <c r="A82" s="2">
        <v>77</v>
      </c>
      <c r="B82" s="23" t="s">
        <v>97</v>
      </c>
      <c r="C82" s="78">
        <v>1</v>
      </c>
      <c r="D82" s="7">
        <v>135000</v>
      </c>
      <c r="E82" s="7">
        <v>135000</v>
      </c>
      <c r="F82" s="7">
        <v>135000</v>
      </c>
      <c r="G82" s="7"/>
      <c r="H82" s="7">
        <v>135000</v>
      </c>
      <c r="I82" s="7"/>
      <c r="J82" s="7"/>
      <c r="K82" s="7"/>
      <c r="L82" s="7"/>
      <c r="M82" s="7"/>
      <c r="N82" s="7"/>
      <c r="O82" s="7"/>
      <c r="P82" s="28">
        <f t="shared" si="1"/>
        <v>540000</v>
      </c>
      <c r="Q82" s="6"/>
    </row>
    <row r="83" spans="1:17" x14ac:dyDescent="0.2">
      <c r="A83" s="2">
        <v>78</v>
      </c>
      <c r="B83" s="23" t="s">
        <v>29</v>
      </c>
      <c r="C83" s="78">
        <v>1</v>
      </c>
      <c r="D83" s="7">
        <v>135000</v>
      </c>
      <c r="E83" s="7">
        <v>135000</v>
      </c>
      <c r="F83" s="7">
        <v>135000</v>
      </c>
      <c r="G83" s="7"/>
      <c r="H83" s="7">
        <v>135000</v>
      </c>
      <c r="I83" s="7"/>
      <c r="J83" s="7"/>
      <c r="K83" s="7"/>
      <c r="L83" s="7"/>
      <c r="M83" s="7"/>
      <c r="N83" s="7"/>
      <c r="O83" s="7"/>
      <c r="P83" s="28">
        <f t="shared" si="1"/>
        <v>540000</v>
      </c>
      <c r="Q83" s="6"/>
    </row>
    <row r="84" spans="1:17" x14ac:dyDescent="0.2">
      <c r="A84" s="2">
        <v>79</v>
      </c>
      <c r="B84" s="23" t="s">
        <v>98</v>
      </c>
      <c r="C84" s="78">
        <v>1</v>
      </c>
      <c r="D84" s="7">
        <v>135000</v>
      </c>
      <c r="E84" s="7">
        <v>135000</v>
      </c>
      <c r="F84" s="7">
        <v>135000</v>
      </c>
      <c r="G84" s="7"/>
      <c r="H84" s="7">
        <v>135000</v>
      </c>
      <c r="I84" s="7"/>
      <c r="J84" s="7"/>
      <c r="K84" s="7"/>
      <c r="L84" s="7"/>
      <c r="M84" s="7"/>
      <c r="N84" s="7"/>
      <c r="O84" s="7"/>
      <c r="P84" s="28">
        <f t="shared" si="1"/>
        <v>540000</v>
      </c>
      <c r="Q84" s="6"/>
    </row>
    <row r="85" spans="1:17" x14ac:dyDescent="0.2">
      <c r="A85" s="2">
        <v>80</v>
      </c>
      <c r="B85" s="23" t="s">
        <v>99</v>
      </c>
      <c r="C85" s="78">
        <v>1</v>
      </c>
      <c r="D85" s="7">
        <v>135000</v>
      </c>
      <c r="E85" s="7">
        <v>135000</v>
      </c>
      <c r="F85" s="7">
        <v>135000</v>
      </c>
      <c r="G85" s="7"/>
      <c r="H85" s="7">
        <v>135000</v>
      </c>
      <c r="I85" s="7"/>
      <c r="J85" s="7"/>
      <c r="K85" s="7"/>
      <c r="L85" s="7"/>
      <c r="M85" s="7"/>
      <c r="N85" s="7"/>
      <c r="O85" s="7"/>
      <c r="P85" s="28">
        <f t="shared" si="1"/>
        <v>540000</v>
      </c>
      <c r="Q85" s="6"/>
    </row>
    <row r="86" spans="1:17" x14ac:dyDescent="0.2">
      <c r="A86" s="2">
        <v>81</v>
      </c>
      <c r="B86" s="23" t="s">
        <v>100</v>
      </c>
      <c r="C86" s="78">
        <v>1</v>
      </c>
      <c r="D86" s="7">
        <v>135000</v>
      </c>
      <c r="E86" s="7">
        <v>135000</v>
      </c>
      <c r="F86" s="7">
        <v>135000</v>
      </c>
      <c r="G86" s="7"/>
      <c r="H86" s="7">
        <v>135000</v>
      </c>
      <c r="I86" s="7"/>
      <c r="J86" s="7"/>
      <c r="K86" s="7"/>
      <c r="L86" s="7"/>
      <c r="M86" s="7"/>
      <c r="N86" s="7"/>
      <c r="O86" s="7"/>
      <c r="P86" s="28">
        <f t="shared" si="1"/>
        <v>540000</v>
      </c>
      <c r="Q86" s="6"/>
    </row>
    <row r="87" spans="1:17" x14ac:dyDescent="0.2">
      <c r="A87" s="2">
        <v>82</v>
      </c>
      <c r="B87" s="23" t="s">
        <v>101</v>
      </c>
      <c r="C87" s="78">
        <v>1</v>
      </c>
      <c r="D87" s="7">
        <v>135000</v>
      </c>
      <c r="E87" s="7">
        <v>135000</v>
      </c>
      <c r="F87" s="7">
        <v>135000</v>
      </c>
      <c r="G87" s="7"/>
      <c r="H87" s="7">
        <v>135000</v>
      </c>
      <c r="I87" s="7"/>
      <c r="J87" s="7"/>
      <c r="K87" s="7"/>
      <c r="L87" s="7"/>
      <c r="M87" s="7"/>
      <c r="N87" s="7"/>
      <c r="O87" s="7"/>
      <c r="P87" s="28">
        <f t="shared" si="1"/>
        <v>540000</v>
      </c>
      <c r="Q87" s="6"/>
    </row>
    <row r="88" spans="1:17" x14ac:dyDescent="0.2">
      <c r="A88" s="2">
        <v>83</v>
      </c>
      <c r="B88" s="23" t="s">
        <v>102</v>
      </c>
      <c r="C88" s="78">
        <v>1</v>
      </c>
      <c r="D88" s="7">
        <v>135000</v>
      </c>
      <c r="E88" s="7">
        <v>135000</v>
      </c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80">
        <f t="shared" si="1"/>
        <v>270000</v>
      </c>
      <c r="Q88" s="81" t="s">
        <v>209</v>
      </c>
    </row>
    <row r="89" spans="1:17" x14ac:dyDescent="0.2">
      <c r="A89" s="2">
        <v>84</v>
      </c>
      <c r="B89" s="23" t="s">
        <v>103</v>
      </c>
      <c r="C89" s="78">
        <v>1</v>
      </c>
      <c r="D89" s="7">
        <v>135000</v>
      </c>
      <c r="E89" s="7">
        <v>135000</v>
      </c>
      <c r="F89" s="7">
        <v>135000</v>
      </c>
      <c r="G89" s="7"/>
      <c r="H89" s="7">
        <v>135000</v>
      </c>
      <c r="I89" s="7"/>
      <c r="J89" s="7"/>
      <c r="K89" s="7"/>
      <c r="L89" s="7"/>
      <c r="M89" s="7"/>
      <c r="N89" s="7"/>
      <c r="O89" s="7"/>
      <c r="P89" s="28">
        <f t="shared" si="1"/>
        <v>540000</v>
      </c>
      <c r="Q89" s="6"/>
    </row>
    <row r="90" spans="1:17" x14ac:dyDescent="0.2">
      <c r="A90" s="2">
        <v>85</v>
      </c>
      <c r="B90" s="23" t="s">
        <v>104</v>
      </c>
      <c r="C90" s="78">
        <v>1</v>
      </c>
      <c r="D90" s="7">
        <v>135000</v>
      </c>
      <c r="E90" s="7">
        <v>135000</v>
      </c>
      <c r="F90" s="7">
        <v>135000</v>
      </c>
      <c r="G90" s="7"/>
      <c r="H90" s="7">
        <v>135000</v>
      </c>
      <c r="I90" s="7"/>
      <c r="J90" s="7"/>
      <c r="K90" s="7"/>
      <c r="L90" s="7"/>
      <c r="M90" s="7"/>
      <c r="N90" s="7"/>
      <c r="O90" s="7"/>
      <c r="P90" s="28">
        <f t="shared" si="1"/>
        <v>540000</v>
      </c>
      <c r="Q90" s="6"/>
    </row>
    <row r="91" spans="1:17" x14ac:dyDescent="0.2">
      <c r="A91" s="2">
        <v>86</v>
      </c>
      <c r="B91" s="23" t="s">
        <v>105</v>
      </c>
      <c r="C91" s="78">
        <v>1</v>
      </c>
      <c r="D91" s="7">
        <v>135000</v>
      </c>
      <c r="E91" s="7">
        <v>135000</v>
      </c>
      <c r="F91" s="7">
        <v>135000</v>
      </c>
      <c r="G91" s="7"/>
      <c r="H91" s="7">
        <v>135000</v>
      </c>
      <c r="I91" s="7"/>
      <c r="J91" s="7"/>
      <c r="K91" s="7"/>
      <c r="L91" s="7"/>
      <c r="M91" s="7"/>
      <c r="N91" s="7"/>
      <c r="O91" s="7"/>
      <c r="P91" s="28">
        <f t="shared" si="1"/>
        <v>540000</v>
      </c>
      <c r="Q91" s="6"/>
    </row>
    <row r="92" spans="1:17" x14ac:dyDescent="0.2">
      <c r="A92" s="2">
        <v>87</v>
      </c>
      <c r="B92" s="23" t="s">
        <v>106</v>
      </c>
      <c r="C92" s="78">
        <v>1</v>
      </c>
      <c r="D92" s="7">
        <v>135000</v>
      </c>
      <c r="E92" s="7">
        <v>135000</v>
      </c>
      <c r="F92" s="7">
        <v>135000</v>
      </c>
      <c r="G92" s="7"/>
      <c r="H92" s="7">
        <v>135000</v>
      </c>
      <c r="I92" s="7"/>
      <c r="J92" s="7"/>
      <c r="K92" s="7"/>
      <c r="L92" s="7"/>
      <c r="M92" s="7"/>
      <c r="N92" s="7"/>
      <c r="O92" s="7"/>
      <c r="P92" s="28">
        <f t="shared" si="1"/>
        <v>540000</v>
      </c>
      <c r="Q92" s="6"/>
    </row>
    <row r="93" spans="1:17" x14ac:dyDescent="0.2">
      <c r="A93" s="2">
        <v>88</v>
      </c>
      <c r="B93" s="84" t="s">
        <v>107</v>
      </c>
      <c r="C93" s="40">
        <v>1</v>
      </c>
      <c r="D93" s="79">
        <v>135000</v>
      </c>
      <c r="E93" s="79">
        <v>135000</v>
      </c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80">
        <f t="shared" si="1"/>
        <v>270000</v>
      </c>
      <c r="Q93" s="81" t="s">
        <v>211</v>
      </c>
    </row>
    <row r="94" spans="1:17" x14ac:dyDescent="0.2">
      <c r="A94" s="2">
        <v>89</v>
      </c>
      <c r="B94" s="23" t="s">
        <v>28</v>
      </c>
      <c r="C94" s="78">
        <v>1</v>
      </c>
      <c r="D94" s="7">
        <v>135000</v>
      </c>
      <c r="E94" s="7">
        <v>135000</v>
      </c>
      <c r="F94" s="7">
        <v>135000</v>
      </c>
      <c r="G94" s="7"/>
      <c r="H94" s="7">
        <v>135000</v>
      </c>
      <c r="I94" s="7"/>
      <c r="J94" s="7"/>
      <c r="K94" s="7"/>
      <c r="L94" s="7"/>
      <c r="M94" s="7"/>
      <c r="N94" s="7"/>
      <c r="O94" s="7"/>
      <c r="P94" s="28">
        <f t="shared" si="1"/>
        <v>540000</v>
      </c>
      <c r="Q94" s="6"/>
    </row>
    <row r="95" spans="1:17" x14ac:dyDescent="0.2">
      <c r="A95" s="2">
        <v>90</v>
      </c>
      <c r="B95" s="23" t="s">
        <v>134</v>
      </c>
      <c r="C95" s="78">
        <v>1</v>
      </c>
      <c r="D95" s="7">
        <v>135000</v>
      </c>
      <c r="E95" s="7">
        <v>135000</v>
      </c>
      <c r="F95" s="7">
        <v>135000</v>
      </c>
      <c r="G95" s="7"/>
      <c r="H95" s="7">
        <v>135000</v>
      </c>
      <c r="I95" s="7"/>
      <c r="J95" s="7"/>
      <c r="K95" s="7"/>
      <c r="L95" s="7"/>
      <c r="M95" s="7"/>
      <c r="N95" s="7"/>
      <c r="O95" s="7"/>
      <c r="P95" s="28">
        <f t="shared" si="1"/>
        <v>540000</v>
      </c>
      <c r="Q95" s="6"/>
    </row>
    <row r="96" spans="1:17" x14ac:dyDescent="0.2">
      <c r="A96" s="2">
        <v>91</v>
      </c>
      <c r="B96" s="23" t="s">
        <v>108</v>
      </c>
      <c r="C96" s="78">
        <v>1</v>
      </c>
      <c r="D96" s="7">
        <v>160000</v>
      </c>
      <c r="E96" s="7">
        <v>160000</v>
      </c>
      <c r="F96" s="7">
        <v>160000</v>
      </c>
      <c r="G96" s="7">
        <v>160000</v>
      </c>
      <c r="H96" s="7">
        <v>160000</v>
      </c>
      <c r="I96" s="7"/>
      <c r="J96" s="7"/>
      <c r="K96" s="7"/>
      <c r="L96" s="7"/>
      <c r="M96" s="7"/>
      <c r="N96" s="7"/>
      <c r="O96" s="7"/>
      <c r="P96" s="28">
        <f t="shared" si="1"/>
        <v>800000</v>
      </c>
      <c r="Q96" s="6"/>
    </row>
    <row r="97" spans="1:17" x14ac:dyDescent="0.2">
      <c r="A97" s="2">
        <v>92</v>
      </c>
      <c r="B97" s="23" t="s">
        <v>109</v>
      </c>
      <c r="C97" s="78">
        <v>1</v>
      </c>
      <c r="D97" s="7">
        <v>160000</v>
      </c>
      <c r="E97" s="7">
        <v>160000</v>
      </c>
      <c r="F97" s="7">
        <v>160000</v>
      </c>
      <c r="G97" s="7">
        <v>160000</v>
      </c>
      <c r="H97" s="7">
        <v>160000</v>
      </c>
      <c r="I97" s="7"/>
      <c r="J97" s="7"/>
      <c r="K97" s="7"/>
      <c r="L97" s="7"/>
      <c r="M97" s="7"/>
      <c r="N97" s="7"/>
      <c r="O97" s="7"/>
      <c r="P97" s="28">
        <f t="shared" si="1"/>
        <v>800000</v>
      </c>
      <c r="Q97" s="6"/>
    </row>
    <row r="98" spans="1:17" x14ac:dyDescent="0.2">
      <c r="A98" s="2">
        <v>93</v>
      </c>
      <c r="B98" s="23" t="s">
        <v>110</v>
      </c>
      <c r="C98" s="78">
        <v>1</v>
      </c>
      <c r="D98" s="7">
        <v>160000</v>
      </c>
      <c r="E98" s="7">
        <v>160000</v>
      </c>
      <c r="F98" s="7">
        <v>160000</v>
      </c>
      <c r="G98" s="7">
        <v>160000</v>
      </c>
      <c r="H98" s="7">
        <v>160000</v>
      </c>
      <c r="I98" s="7"/>
      <c r="J98" s="7"/>
      <c r="K98" s="7"/>
      <c r="L98" s="7"/>
      <c r="M98" s="7"/>
      <c r="N98" s="7"/>
      <c r="O98" s="7"/>
      <c r="P98" s="28">
        <f t="shared" si="1"/>
        <v>800000</v>
      </c>
      <c r="Q98" s="6"/>
    </row>
    <row r="99" spans="1:17" x14ac:dyDescent="0.2">
      <c r="A99" s="2">
        <v>94</v>
      </c>
      <c r="B99" s="23" t="s">
        <v>111</v>
      </c>
      <c r="C99" s="78">
        <v>1</v>
      </c>
      <c r="D99" s="7">
        <v>160000</v>
      </c>
      <c r="E99" s="7">
        <v>160000</v>
      </c>
      <c r="F99" s="7">
        <v>160000</v>
      </c>
      <c r="G99" s="7">
        <v>160000</v>
      </c>
      <c r="H99" s="7">
        <v>160000</v>
      </c>
      <c r="I99" s="7"/>
      <c r="J99" s="7"/>
      <c r="K99" s="7"/>
      <c r="L99" s="7"/>
      <c r="M99" s="7"/>
      <c r="N99" s="7"/>
      <c r="O99" s="7"/>
      <c r="P99" s="28">
        <f t="shared" si="1"/>
        <v>800000</v>
      </c>
      <c r="Q99" s="6"/>
    </row>
    <row r="100" spans="1:17" x14ac:dyDescent="0.2">
      <c r="A100" s="2">
        <v>95</v>
      </c>
      <c r="B100" s="23" t="s">
        <v>112</v>
      </c>
      <c r="C100" s="78">
        <v>1</v>
      </c>
      <c r="D100" s="7">
        <v>160000</v>
      </c>
      <c r="E100" s="7">
        <v>160000</v>
      </c>
      <c r="F100" s="7">
        <v>160000</v>
      </c>
      <c r="G100" s="7">
        <v>160000</v>
      </c>
      <c r="H100" s="7">
        <v>160000</v>
      </c>
      <c r="I100" s="7"/>
      <c r="J100" s="7"/>
      <c r="K100" s="7"/>
      <c r="L100" s="7"/>
      <c r="M100" s="7"/>
      <c r="N100" s="7"/>
      <c r="O100" s="7"/>
      <c r="P100" s="28">
        <f t="shared" si="1"/>
        <v>800000</v>
      </c>
      <c r="Q100" s="6"/>
    </row>
    <row r="101" spans="1:17" x14ac:dyDescent="0.2">
      <c r="A101" s="2">
        <v>96</v>
      </c>
      <c r="B101" s="23" t="s">
        <v>113</v>
      </c>
      <c r="C101" s="78">
        <v>1</v>
      </c>
      <c r="D101" s="7">
        <v>160000</v>
      </c>
      <c r="E101" s="7">
        <v>160000</v>
      </c>
      <c r="F101" s="7">
        <v>160000</v>
      </c>
      <c r="G101" s="7">
        <v>160000</v>
      </c>
      <c r="H101" s="7">
        <v>160000</v>
      </c>
      <c r="I101" s="7"/>
      <c r="J101" s="7"/>
      <c r="K101" s="7"/>
      <c r="L101" s="7"/>
      <c r="M101" s="7"/>
      <c r="N101" s="7"/>
      <c r="O101" s="7"/>
      <c r="P101" s="28">
        <f t="shared" si="1"/>
        <v>800000</v>
      </c>
      <c r="Q101" s="6"/>
    </row>
    <row r="102" spans="1:17" x14ac:dyDescent="0.2">
      <c r="A102" s="2">
        <v>97</v>
      </c>
      <c r="B102" s="23" t="s">
        <v>114</v>
      </c>
      <c r="C102" s="78">
        <v>1</v>
      </c>
      <c r="D102" s="7">
        <v>160000</v>
      </c>
      <c r="E102" s="7">
        <v>160000</v>
      </c>
      <c r="F102" s="7">
        <v>160000</v>
      </c>
      <c r="G102" s="7">
        <v>160000</v>
      </c>
      <c r="H102" s="7">
        <v>160000</v>
      </c>
      <c r="I102" s="7"/>
      <c r="J102" s="7"/>
      <c r="K102" s="7"/>
      <c r="L102" s="7"/>
      <c r="M102" s="7"/>
      <c r="N102" s="7"/>
      <c r="O102" s="7"/>
      <c r="P102" s="28">
        <f t="shared" si="1"/>
        <v>800000</v>
      </c>
      <c r="Q102" s="6"/>
    </row>
    <row r="103" spans="1:17" x14ac:dyDescent="0.2">
      <c r="A103" s="2">
        <v>98</v>
      </c>
      <c r="B103" s="23" t="s">
        <v>115</v>
      </c>
      <c r="C103" s="78">
        <v>1</v>
      </c>
      <c r="D103" s="7">
        <v>160000</v>
      </c>
      <c r="E103" s="7">
        <v>160000</v>
      </c>
      <c r="F103" s="7">
        <v>160000</v>
      </c>
      <c r="G103" s="7">
        <v>160000</v>
      </c>
      <c r="H103" s="7">
        <v>160000</v>
      </c>
      <c r="I103" s="7"/>
      <c r="J103" s="7"/>
      <c r="K103" s="7"/>
      <c r="L103" s="7"/>
      <c r="M103" s="7"/>
      <c r="N103" s="7"/>
      <c r="O103" s="7"/>
      <c r="P103" s="28">
        <f t="shared" si="1"/>
        <v>800000</v>
      </c>
      <c r="Q103" s="6"/>
    </row>
    <row r="104" spans="1:17" x14ac:dyDescent="0.2">
      <c r="A104" s="2">
        <v>99</v>
      </c>
      <c r="B104" s="23" t="s">
        <v>116</v>
      </c>
      <c r="C104" s="78">
        <v>1</v>
      </c>
      <c r="D104" s="7">
        <v>160000</v>
      </c>
      <c r="E104" s="7">
        <v>160000</v>
      </c>
      <c r="F104" s="7">
        <v>160000</v>
      </c>
      <c r="G104" s="7">
        <v>160000</v>
      </c>
      <c r="H104" s="7">
        <v>160000</v>
      </c>
      <c r="I104" s="7"/>
      <c r="J104" s="7"/>
      <c r="K104" s="7"/>
      <c r="L104" s="7"/>
      <c r="M104" s="7"/>
      <c r="N104" s="7"/>
      <c r="O104" s="7"/>
      <c r="P104" s="28">
        <f t="shared" si="1"/>
        <v>800000</v>
      </c>
      <c r="Q104" s="6"/>
    </row>
    <row r="105" spans="1:17" x14ac:dyDescent="0.2">
      <c r="A105" s="2">
        <v>100</v>
      </c>
      <c r="B105" s="23" t="s">
        <v>117</v>
      </c>
      <c r="C105" s="78">
        <v>1</v>
      </c>
      <c r="D105" s="7">
        <v>160000</v>
      </c>
      <c r="E105" s="7">
        <v>160000</v>
      </c>
      <c r="F105" s="7">
        <v>160000</v>
      </c>
      <c r="G105" s="7">
        <v>160000</v>
      </c>
      <c r="H105" s="7">
        <v>160000</v>
      </c>
      <c r="I105" s="7"/>
      <c r="J105" s="7"/>
      <c r="K105" s="7"/>
      <c r="L105" s="7"/>
      <c r="M105" s="7"/>
      <c r="N105" s="7"/>
      <c r="O105" s="7"/>
      <c r="P105" s="28">
        <f t="shared" si="1"/>
        <v>800000</v>
      </c>
      <c r="Q105" s="6"/>
    </row>
    <row r="106" spans="1:17" x14ac:dyDescent="0.2">
      <c r="A106" s="2">
        <v>101</v>
      </c>
      <c r="B106" s="23" t="s">
        <v>118</v>
      </c>
      <c r="C106" s="78">
        <v>1</v>
      </c>
      <c r="D106" s="7">
        <v>160000</v>
      </c>
      <c r="E106" s="7">
        <v>160000</v>
      </c>
      <c r="F106" s="7">
        <v>160000</v>
      </c>
      <c r="G106" s="7">
        <v>160000</v>
      </c>
      <c r="H106" s="7">
        <v>160000</v>
      </c>
      <c r="I106" s="7"/>
      <c r="J106" s="7"/>
      <c r="K106" s="7"/>
      <c r="L106" s="7"/>
      <c r="M106" s="7"/>
      <c r="N106" s="7"/>
      <c r="O106" s="7"/>
      <c r="P106" s="28">
        <f t="shared" si="1"/>
        <v>800000</v>
      </c>
      <c r="Q106" s="6"/>
    </row>
    <row r="107" spans="1:17" x14ac:dyDescent="0.2">
      <c r="A107" s="2">
        <v>102</v>
      </c>
      <c r="B107" s="84" t="s">
        <v>119</v>
      </c>
      <c r="C107" s="40">
        <v>1</v>
      </c>
      <c r="D107" s="79">
        <v>160000</v>
      </c>
      <c r="E107" s="79">
        <v>160000</v>
      </c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80">
        <f t="shared" si="1"/>
        <v>320000</v>
      </c>
      <c r="Q107" s="81" t="s">
        <v>211</v>
      </c>
    </row>
    <row r="108" spans="1:17" x14ac:dyDescent="0.2">
      <c r="A108" s="2">
        <v>103</v>
      </c>
      <c r="B108" s="29" t="s">
        <v>135</v>
      </c>
      <c r="C108" s="78">
        <v>1</v>
      </c>
      <c r="D108" s="7">
        <v>160000</v>
      </c>
      <c r="E108" s="7">
        <v>160000</v>
      </c>
      <c r="F108" s="7">
        <v>160000</v>
      </c>
      <c r="G108" s="7">
        <v>160000</v>
      </c>
      <c r="H108" s="7">
        <v>160000</v>
      </c>
      <c r="I108" s="7"/>
      <c r="J108" s="7"/>
      <c r="K108" s="7"/>
      <c r="L108" s="7"/>
      <c r="M108" s="7"/>
      <c r="N108" s="7"/>
      <c r="O108" s="7"/>
      <c r="P108" s="28">
        <f t="shared" si="1"/>
        <v>800000</v>
      </c>
      <c r="Q108" s="6"/>
    </row>
    <row r="109" spans="1:17" x14ac:dyDescent="0.2">
      <c r="A109" s="2">
        <v>104</v>
      </c>
      <c r="B109" s="29" t="s">
        <v>190</v>
      </c>
      <c r="C109" s="78">
        <v>1</v>
      </c>
      <c r="D109" s="7">
        <v>160000</v>
      </c>
      <c r="E109" s="7">
        <v>160000</v>
      </c>
      <c r="F109" s="7">
        <v>160000</v>
      </c>
      <c r="G109" s="7">
        <v>160000</v>
      </c>
      <c r="H109" s="7">
        <v>160000</v>
      </c>
      <c r="I109" s="7"/>
      <c r="J109" s="7"/>
      <c r="K109" s="7"/>
      <c r="L109" s="7"/>
      <c r="M109" s="7"/>
      <c r="N109" s="7"/>
      <c r="O109" s="7"/>
      <c r="P109" s="28">
        <f t="shared" si="1"/>
        <v>800000</v>
      </c>
      <c r="Q109" s="6"/>
    </row>
    <row r="110" spans="1:17" x14ac:dyDescent="0.2">
      <c r="A110" s="2">
        <v>105</v>
      </c>
      <c r="B110" s="29" t="s">
        <v>136</v>
      </c>
      <c r="C110" s="78">
        <v>1</v>
      </c>
      <c r="D110" s="7">
        <v>160000</v>
      </c>
      <c r="E110" s="7">
        <v>160000</v>
      </c>
      <c r="F110" s="7">
        <v>160000</v>
      </c>
      <c r="G110" s="7">
        <v>160000</v>
      </c>
      <c r="H110" s="7">
        <v>160000</v>
      </c>
      <c r="I110" s="7"/>
      <c r="J110" s="7"/>
      <c r="K110" s="7"/>
      <c r="L110" s="7"/>
      <c r="M110" s="7"/>
      <c r="N110" s="7"/>
      <c r="O110" s="7"/>
      <c r="P110" s="28">
        <f t="shared" si="1"/>
        <v>800000</v>
      </c>
      <c r="Q110" s="6"/>
    </row>
    <row r="111" spans="1:17" x14ac:dyDescent="0.2">
      <c r="A111" s="2">
        <v>106</v>
      </c>
      <c r="B111" s="29" t="s">
        <v>137</v>
      </c>
      <c r="C111" s="78">
        <v>1</v>
      </c>
      <c r="D111" s="7">
        <v>160000</v>
      </c>
      <c r="E111" s="7">
        <v>160000</v>
      </c>
      <c r="F111" s="7">
        <v>160000</v>
      </c>
      <c r="G111" s="7">
        <v>160000</v>
      </c>
      <c r="H111" s="7">
        <v>160000</v>
      </c>
      <c r="I111" s="7"/>
      <c r="J111" s="7"/>
      <c r="K111" s="7"/>
      <c r="L111" s="7"/>
      <c r="M111" s="7"/>
      <c r="N111" s="7"/>
      <c r="O111" s="7"/>
      <c r="P111" s="28">
        <f t="shared" si="1"/>
        <v>800000</v>
      </c>
      <c r="Q111" s="6"/>
    </row>
    <row r="112" spans="1:17" x14ac:dyDescent="0.2">
      <c r="A112" s="2">
        <v>107</v>
      </c>
      <c r="B112" s="29" t="s">
        <v>138</v>
      </c>
      <c r="C112" s="78">
        <v>1</v>
      </c>
      <c r="D112" s="7">
        <v>160000</v>
      </c>
      <c r="E112" s="7">
        <v>160000</v>
      </c>
      <c r="F112" s="7">
        <v>160000</v>
      </c>
      <c r="G112" s="7">
        <v>160000</v>
      </c>
      <c r="H112" s="7">
        <v>160000</v>
      </c>
      <c r="I112" s="7"/>
      <c r="J112" s="7"/>
      <c r="K112" s="7"/>
      <c r="L112" s="7"/>
      <c r="M112" s="7"/>
      <c r="N112" s="7"/>
      <c r="O112" s="7"/>
      <c r="P112" s="28">
        <f t="shared" si="1"/>
        <v>800000</v>
      </c>
      <c r="Q112" s="6"/>
    </row>
    <row r="113" spans="1:17" x14ac:dyDescent="0.2">
      <c r="A113" s="2">
        <v>108</v>
      </c>
      <c r="B113" s="29" t="s">
        <v>139</v>
      </c>
      <c r="C113" s="78">
        <v>1</v>
      </c>
      <c r="D113" s="7">
        <v>160000</v>
      </c>
      <c r="E113" s="7">
        <v>160000</v>
      </c>
      <c r="F113" s="7">
        <v>160000</v>
      </c>
      <c r="G113" s="7">
        <v>160000</v>
      </c>
      <c r="H113" s="7">
        <v>160000</v>
      </c>
      <c r="I113" s="7"/>
      <c r="J113" s="7"/>
      <c r="K113" s="7"/>
      <c r="L113" s="7"/>
      <c r="M113" s="7"/>
      <c r="N113" s="7"/>
      <c r="O113" s="7"/>
      <c r="P113" s="28">
        <f t="shared" si="1"/>
        <v>800000</v>
      </c>
      <c r="Q113" s="6"/>
    </row>
    <row r="114" spans="1:17" x14ac:dyDescent="0.2">
      <c r="A114" s="2">
        <v>109</v>
      </c>
      <c r="B114" s="29" t="s">
        <v>140</v>
      </c>
      <c r="C114" s="78">
        <v>1</v>
      </c>
      <c r="D114" s="7">
        <v>160000</v>
      </c>
      <c r="E114" s="7">
        <v>160000</v>
      </c>
      <c r="F114" s="7">
        <v>160000</v>
      </c>
      <c r="G114" s="7">
        <v>160000</v>
      </c>
      <c r="H114" s="7">
        <v>160000</v>
      </c>
      <c r="I114" s="7"/>
      <c r="J114" s="7"/>
      <c r="K114" s="7"/>
      <c r="L114" s="7"/>
      <c r="M114" s="7"/>
      <c r="N114" s="7"/>
      <c r="O114" s="7"/>
      <c r="P114" s="28">
        <f t="shared" si="1"/>
        <v>800000</v>
      </c>
      <c r="Q114" s="6"/>
    </row>
    <row r="115" spans="1:17" x14ac:dyDescent="0.2">
      <c r="A115" s="2">
        <v>110</v>
      </c>
      <c r="B115" s="29" t="s">
        <v>141</v>
      </c>
      <c r="C115" s="78">
        <v>1</v>
      </c>
      <c r="D115" s="7">
        <v>160000</v>
      </c>
      <c r="E115" s="7">
        <v>160000</v>
      </c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80">
        <f t="shared" si="1"/>
        <v>320000</v>
      </c>
      <c r="Q115" s="81" t="s">
        <v>205</v>
      </c>
    </row>
    <row r="116" spans="1:17" x14ac:dyDescent="0.2">
      <c r="A116" s="2">
        <v>111</v>
      </c>
      <c r="B116" s="29" t="s">
        <v>142</v>
      </c>
      <c r="C116" s="78">
        <v>1</v>
      </c>
      <c r="D116" s="7">
        <v>160000</v>
      </c>
      <c r="E116" s="7">
        <v>160000</v>
      </c>
      <c r="F116" s="7">
        <v>160000</v>
      </c>
      <c r="G116" s="7">
        <v>160000</v>
      </c>
      <c r="H116" s="7">
        <v>160000</v>
      </c>
      <c r="I116" s="7"/>
      <c r="J116" s="7"/>
      <c r="K116" s="7"/>
      <c r="L116" s="7"/>
      <c r="M116" s="7"/>
      <c r="N116" s="7"/>
      <c r="O116" s="7"/>
      <c r="P116" s="28">
        <f t="shared" si="1"/>
        <v>800000</v>
      </c>
      <c r="Q116" s="6"/>
    </row>
    <row r="117" spans="1:17" x14ac:dyDescent="0.2">
      <c r="A117" s="2">
        <v>112</v>
      </c>
      <c r="B117" s="85" t="s">
        <v>143</v>
      </c>
      <c r="C117" s="40">
        <v>1</v>
      </c>
      <c r="D117" s="79">
        <v>160000</v>
      </c>
      <c r="E117" s="79">
        <v>160000</v>
      </c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80">
        <f t="shared" si="1"/>
        <v>320000</v>
      </c>
      <c r="Q117" s="81" t="s">
        <v>211</v>
      </c>
    </row>
    <row r="118" spans="1:17" x14ac:dyDescent="0.2">
      <c r="A118" s="2">
        <v>113</v>
      </c>
      <c r="B118" s="29" t="s">
        <v>144</v>
      </c>
      <c r="C118" s="78">
        <v>1</v>
      </c>
      <c r="D118" s="7">
        <v>160000</v>
      </c>
      <c r="E118" s="7">
        <v>160000</v>
      </c>
      <c r="F118" s="7">
        <v>160000</v>
      </c>
      <c r="G118" s="7">
        <v>160000</v>
      </c>
      <c r="H118" s="7">
        <v>160000</v>
      </c>
      <c r="I118" s="7"/>
      <c r="J118" s="7"/>
      <c r="K118" s="7"/>
      <c r="L118" s="7"/>
      <c r="M118" s="7"/>
      <c r="N118" s="7"/>
      <c r="O118" s="7"/>
      <c r="P118" s="28">
        <f t="shared" si="1"/>
        <v>800000</v>
      </c>
      <c r="Q118" s="6"/>
    </row>
    <row r="119" spans="1:17" x14ac:dyDescent="0.2">
      <c r="A119" s="2">
        <v>114</v>
      </c>
      <c r="B119" s="29" t="s">
        <v>145</v>
      </c>
      <c r="C119" s="78">
        <v>1</v>
      </c>
      <c r="D119" s="7">
        <v>160000</v>
      </c>
      <c r="E119" s="7">
        <v>160000</v>
      </c>
      <c r="F119" s="7">
        <v>160000</v>
      </c>
      <c r="G119" s="7">
        <v>160000</v>
      </c>
      <c r="H119" s="7">
        <v>160000</v>
      </c>
      <c r="I119" s="7"/>
      <c r="J119" s="7"/>
      <c r="K119" s="7"/>
      <c r="L119" s="7"/>
      <c r="M119" s="7"/>
      <c r="N119" s="7"/>
      <c r="O119" s="7"/>
      <c r="P119" s="28">
        <f t="shared" ref="P119:P146" si="2">SUM(D119:O119)</f>
        <v>800000</v>
      </c>
      <c r="Q119" s="6"/>
    </row>
    <row r="120" spans="1:17" x14ac:dyDescent="0.2">
      <c r="A120" s="2">
        <v>115</v>
      </c>
      <c r="B120" s="29" t="s">
        <v>146</v>
      </c>
      <c r="C120" s="78">
        <v>1</v>
      </c>
      <c r="D120" s="7">
        <v>160000</v>
      </c>
      <c r="E120" s="7">
        <v>160000</v>
      </c>
      <c r="F120" s="7">
        <v>160000</v>
      </c>
      <c r="G120" s="7">
        <v>160000</v>
      </c>
      <c r="H120" s="7">
        <v>160000</v>
      </c>
      <c r="I120" s="7"/>
      <c r="J120" s="7"/>
      <c r="K120" s="7"/>
      <c r="L120" s="7"/>
      <c r="M120" s="7"/>
      <c r="N120" s="7"/>
      <c r="O120" s="7"/>
      <c r="P120" s="28">
        <f t="shared" si="2"/>
        <v>800000</v>
      </c>
      <c r="Q120" s="6"/>
    </row>
    <row r="121" spans="1:17" x14ac:dyDescent="0.2">
      <c r="A121" s="2">
        <v>116</v>
      </c>
      <c r="B121" s="29" t="s">
        <v>147</v>
      </c>
      <c r="C121" s="78">
        <v>1</v>
      </c>
      <c r="D121" s="7">
        <v>160000</v>
      </c>
      <c r="E121" s="7">
        <v>160000</v>
      </c>
      <c r="F121" s="7">
        <v>160000</v>
      </c>
      <c r="G121" s="7">
        <v>160000</v>
      </c>
      <c r="H121" s="7">
        <v>160000</v>
      </c>
      <c r="I121" s="7"/>
      <c r="J121" s="7"/>
      <c r="K121" s="7"/>
      <c r="L121" s="7"/>
      <c r="M121" s="7"/>
      <c r="N121" s="7"/>
      <c r="O121" s="7"/>
      <c r="P121" s="28">
        <f t="shared" si="2"/>
        <v>800000</v>
      </c>
      <c r="Q121" s="6"/>
    </row>
    <row r="122" spans="1:17" x14ac:dyDescent="0.2">
      <c r="A122" s="2">
        <v>117</v>
      </c>
      <c r="B122" s="29" t="s">
        <v>148</v>
      </c>
      <c r="C122" s="78">
        <v>1</v>
      </c>
      <c r="D122" s="7">
        <v>160000</v>
      </c>
      <c r="E122" s="7">
        <v>160000</v>
      </c>
      <c r="F122" s="7">
        <v>160000</v>
      </c>
      <c r="G122" s="7">
        <v>160000</v>
      </c>
      <c r="H122" s="7">
        <v>160000</v>
      </c>
      <c r="I122" s="7"/>
      <c r="J122" s="7"/>
      <c r="K122" s="7"/>
      <c r="L122" s="7"/>
      <c r="M122" s="7"/>
      <c r="N122" s="7"/>
      <c r="O122" s="7"/>
      <c r="P122" s="28">
        <f t="shared" si="2"/>
        <v>800000</v>
      </c>
      <c r="Q122" s="6"/>
    </row>
    <row r="123" spans="1:17" x14ac:dyDescent="0.2">
      <c r="A123" s="2">
        <v>118</v>
      </c>
      <c r="B123" s="29" t="s">
        <v>149</v>
      </c>
      <c r="C123" s="78">
        <v>1</v>
      </c>
      <c r="D123" s="7">
        <v>160000</v>
      </c>
      <c r="E123" s="7">
        <v>160000</v>
      </c>
      <c r="F123" s="7">
        <v>160000</v>
      </c>
      <c r="G123" s="7">
        <v>160000</v>
      </c>
      <c r="H123" s="7">
        <v>160000</v>
      </c>
      <c r="I123" s="7"/>
      <c r="J123" s="7"/>
      <c r="K123" s="7"/>
      <c r="L123" s="7"/>
      <c r="M123" s="7"/>
      <c r="N123" s="7"/>
      <c r="O123" s="7"/>
      <c r="P123" s="28">
        <f t="shared" si="2"/>
        <v>800000</v>
      </c>
      <c r="Q123" s="6"/>
    </row>
    <row r="124" spans="1:17" x14ac:dyDescent="0.2">
      <c r="A124" s="2">
        <v>119</v>
      </c>
      <c r="B124" s="29" t="s">
        <v>150</v>
      </c>
      <c r="C124" s="40">
        <v>2</v>
      </c>
      <c r="D124" s="7">
        <v>270000</v>
      </c>
      <c r="E124" s="7">
        <v>270000</v>
      </c>
      <c r="F124" s="7">
        <v>270000</v>
      </c>
      <c r="G124" s="7">
        <v>270000</v>
      </c>
      <c r="H124" s="7">
        <v>270000</v>
      </c>
      <c r="I124" s="7"/>
      <c r="J124" s="7"/>
      <c r="K124" s="7"/>
      <c r="L124" s="7"/>
      <c r="M124" s="7"/>
      <c r="N124" s="7"/>
      <c r="O124" s="7"/>
      <c r="P124" s="28">
        <f t="shared" si="2"/>
        <v>1350000</v>
      </c>
      <c r="Q124" s="6"/>
    </row>
    <row r="125" spans="1:17" x14ac:dyDescent="0.2">
      <c r="A125" s="2">
        <v>120</v>
      </c>
      <c r="B125" s="29" t="s">
        <v>151</v>
      </c>
      <c r="C125" s="78">
        <v>1</v>
      </c>
      <c r="D125" s="7">
        <v>160000</v>
      </c>
      <c r="E125" s="7">
        <v>160000</v>
      </c>
      <c r="F125" s="7">
        <v>160000</v>
      </c>
      <c r="G125" s="7">
        <v>160000</v>
      </c>
      <c r="H125" s="7">
        <v>160000</v>
      </c>
      <c r="I125" s="7"/>
      <c r="J125" s="7"/>
      <c r="K125" s="7"/>
      <c r="L125" s="7"/>
      <c r="M125" s="7"/>
      <c r="N125" s="7"/>
      <c r="O125" s="7"/>
      <c r="P125" s="28">
        <f t="shared" si="2"/>
        <v>800000</v>
      </c>
      <c r="Q125" s="6"/>
    </row>
    <row r="126" spans="1:17" x14ac:dyDescent="0.2">
      <c r="A126" s="2">
        <v>121</v>
      </c>
      <c r="B126" s="29" t="s">
        <v>152</v>
      </c>
      <c r="C126" s="78">
        <v>1</v>
      </c>
      <c r="D126" s="7">
        <v>160000</v>
      </c>
      <c r="E126" s="7">
        <v>160000</v>
      </c>
      <c r="F126" s="7">
        <v>160000</v>
      </c>
      <c r="G126" s="7">
        <v>160000</v>
      </c>
      <c r="H126" s="7">
        <v>160000</v>
      </c>
      <c r="I126" s="7"/>
      <c r="J126" s="7"/>
      <c r="K126" s="7"/>
      <c r="L126" s="7"/>
      <c r="M126" s="7"/>
      <c r="N126" s="7"/>
      <c r="O126" s="7"/>
      <c r="P126" s="28">
        <f t="shared" si="2"/>
        <v>800000</v>
      </c>
      <c r="Q126" s="6"/>
    </row>
    <row r="127" spans="1:17" x14ac:dyDescent="0.2">
      <c r="A127" s="2">
        <v>122</v>
      </c>
      <c r="B127" s="29" t="s">
        <v>153</v>
      </c>
      <c r="C127" s="78">
        <v>1</v>
      </c>
      <c r="D127" s="7">
        <v>160000</v>
      </c>
      <c r="E127" s="7">
        <v>160000</v>
      </c>
      <c r="F127" s="7">
        <v>160000</v>
      </c>
      <c r="G127" s="7">
        <v>160000</v>
      </c>
      <c r="H127" s="7">
        <v>160000</v>
      </c>
      <c r="I127" s="7"/>
      <c r="J127" s="7"/>
      <c r="K127" s="7"/>
      <c r="L127" s="7"/>
      <c r="M127" s="7"/>
      <c r="N127" s="7"/>
      <c r="O127" s="7"/>
      <c r="P127" s="28">
        <f t="shared" si="2"/>
        <v>800000</v>
      </c>
      <c r="Q127" s="6"/>
    </row>
    <row r="128" spans="1:17" x14ac:dyDescent="0.2">
      <c r="A128" s="2">
        <v>123</v>
      </c>
      <c r="B128" s="29" t="s">
        <v>154</v>
      </c>
      <c r="C128" s="78">
        <v>1</v>
      </c>
      <c r="D128" s="7">
        <v>160000</v>
      </c>
      <c r="E128" s="7">
        <v>160000</v>
      </c>
      <c r="F128" s="7">
        <v>160000</v>
      </c>
      <c r="G128" s="7">
        <v>160000</v>
      </c>
      <c r="H128" s="7">
        <v>160000</v>
      </c>
      <c r="I128" s="7"/>
      <c r="J128" s="7"/>
      <c r="K128" s="7"/>
      <c r="L128" s="7"/>
      <c r="M128" s="7"/>
      <c r="N128" s="7"/>
      <c r="O128" s="7"/>
      <c r="P128" s="28">
        <f t="shared" si="2"/>
        <v>800000</v>
      </c>
      <c r="Q128" s="6"/>
    </row>
    <row r="129" spans="1:17" x14ac:dyDescent="0.2">
      <c r="A129" s="2">
        <v>124</v>
      </c>
      <c r="B129" s="29" t="s">
        <v>155</v>
      </c>
      <c r="C129" s="78">
        <v>1</v>
      </c>
      <c r="D129" s="7">
        <v>160000</v>
      </c>
      <c r="E129" s="7">
        <v>160000</v>
      </c>
      <c r="F129" s="7">
        <v>160000</v>
      </c>
      <c r="G129" s="7">
        <v>160000</v>
      </c>
      <c r="H129" s="7">
        <v>160000</v>
      </c>
      <c r="I129" s="7"/>
      <c r="J129" s="7"/>
      <c r="K129" s="7"/>
      <c r="L129" s="7"/>
      <c r="M129" s="7"/>
      <c r="N129" s="7"/>
      <c r="O129" s="7"/>
      <c r="P129" s="28">
        <f t="shared" si="2"/>
        <v>800000</v>
      </c>
      <c r="Q129" s="6"/>
    </row>
    <row r="130" spans="1:17" x14ac:dyDescent="0.2">
      <c r="A130" s="2">
        <v>125</v>
      </c>
      <c r="B130" s="29" t="s">
        <v>156</v>
      </c>
      <c r="C130" s="78">
        <v>1</v>
      </c>
      <c r="D130" s="7">
        <v>160000</v>
      </c>
      <c r="E130" s="7">
        <v>160000</v>
      </c>
      <c r="F130" s="7">
        <v>160000</v>
      </c>
      <c r="G130" s="7">
        <v>160000</v>
      </c>
      <c r="H130" s="7">
        <v>160000</v>
      </c>
      <c r="I130" s="7"/>
      <c r="J130" s="7"/>
      <c r="K130" s="7"/>
      <c r="L130" s="7"/>
      <c r="M130" s="7"/>
      <c r="N130" s="7"/>
      <c r="O130" s="7"/>
      <c r="P130" s="28">
        <f t="shared" si="2"/>
        <v>800000</v>
      </c>
      <c r="Q130" s="6"/>
    </row>
    <row r="131" spans="1:17" x14ac:dyDescent="0.2">
      <c r="A131" s="2">
        <v>126</v>
      </c>
      <c r="B131" s="29" t="s">
        <v>157</v>
      </c>
      <c r="C131" s="78">
        <v>1</v>
      </c>
      <c r="D131" s="7">
        <v>160000</v>
      </c>
      <c r="E131" s="7">
        <v>160000</v>
      </c>
      <c r="F131" s="7">
        <v>160000</v>
      </c>
      <c r="G131" s="7">
        <v>160000</v>
      </c>
      <c r="H131" s="7">
        <v>160000</v>
      </c>
      <c r="I131" s="7"/>
      <c r="J131" s="7"/>
      <c r="K131" s="7"/>
      <c r="L131" s="7"/>
      <c r="M131" s="7"/>
      <c r="N131" s="7"/>
      <c r="O131" s="7"/>
      <c r="P131" s="28">
        <f t="shared" si="2"/>
        <v>800000</v>
      </c>
      <c r="Q131" s="6"/>
    </row>
    <row r="132" spans="1:17" x14ac:dyDescent="0.2">
      <c r="A132" s="2">
        <v>127</v>
      </c>
      <c r="B132" s="29" t="s">
        <v>202</v>
      </c>
      <c r="C132" s="78">
        <v>1</v>
      </c>
      <c r="D132" s="7">
        <v>135000</v>
      </c>
      <c r="E132" s="7">
        <v>135000</v>
      </c>
      <c r="F132" s="7">
        <v>135000</v>
      </c>
      <c r="G132" s="7"/>
      <c r="H132" s="7">
        <v>135000</v>
      </c>
      <c r="I132" s="7"/>
      <c r="J132" s="7"/>
      <c r="K132" s="7"/>
      <c r="L132" s="7"/>
      <c r="M132" s="7"/>
      <c r="N132" s="7"/>
      <c r="O132" s="7"/>
      <c r="P132" s="28">
        <f t="shared" si="2"/>
        <v>540000</v>
      </c>
      <c r="Q132" s="6"/>
    </row>
    <row r="133" spans="1:17" x14ac:dyDescent="0.2">
      <c r="A133" s="2">
        <v>128</v>
      </c>
      <c r="B133" s="29" t="s">
        <v>203</v>
      </c>
      <c r="C133" s="78">
        <v>1</v>
      </c>
      <c r="D133" s="7">
        <v>160000</v>
      </c>
      <c r="E133" s="7">
        <v>160000</v>
      </c>
      <c r="F133" s="7">
        <v>160000</v>
      </c>
      <c r="G133" s="7">
        <v>160000</v>
      </c>
      <c r="H133" s="7">
        <v>160000</v>
      </c>
      <c r="I133" s="7"/>
      <c r="J133" s="7"/>
      <c r="K133" s="7"/>
      <c r="L133" s="7"/>
      <c r="M133" s="7"/>
      <c r="N133" s="7"/>
      <c r="O133" s="7"/>
      <c r="P133" s="28">
        <f t="shared" si="2"/>
        <v>800000</v>
      </c>
      <c r="Q133" s="6"/>
    </row>
    <row r="134" spans="1:17" x14ac:dyDescent="0.2">
      <c r="A134" s="2">
        <v>129</v>
      </c>
      <c r="B134" s="29" t="s">
        <v>158</v>
      </c>
      <c r="C134" s="78">
        <v>1</v>
      </c>
      <c r="D134" s="7">
        <v>160000</v>
      </c>
      <c r="E134" s="7">
        <v>160000</v>
      </c>
      <c r="F134" s="7">
        <v>160000</v>
      </c>
      <c r="G134" s="7">
        <v>160000</v>
      </c>
      <c r="H134" s="7">
        <v>160000</v>
      </c>
      <c r="I134" s="7"/>
      <c r="J134" s="7"/>
      <c r="K134" s="7"/>
      <c r="L134" s="7"/>
      <c r="M134" s="7"/>
      <c r="N134" s="7"/>
      <c r="O134" s="7"/>
      <c r="P134" s="28">
        <f t="shared" si="2"/>
        <v>800000</v>
      </c>
      <c r="Q134" s="6"/>
    </row>
    <row r="135" spans="1:17" x14ac:dyDescent="0.2">
      <c r="A135" s="2">
        <v>130</v>
      </c>
      <c r="B135" s="29" t="s">
        <v>159</v>
      </c>
      <c r="C135" s="78">
        <v>1</v>
      </c>
      <c r="D135" s="7">
        <v>160000</v>
      </c>
      <c r="E135" s="7">
        <v>160000</v>
      </c>
      <c r="F135" s="7">
        <v>160000</v>
      </c>
      <c r="G135" s="7">
        <v>160000</v>
      </c>
      <c r="H135" s="7">
        <v>160000</v>
      </c>
      <c r="I135" s="7"/>
      <c r="J135" s="7"/>
      <c r="K135" s="7"/>
      <c r="L135" s="7"/>
      <c r="M135" s="7"/>
      <c r="N135" s="7"/>
      <c r="O135" s="7"/>
      <c r="P135" s="28">
        <f t="shared" si="2"/>
        <v>800000</v>
      </c>
      <c r="Q135" s="6"/>
    </row>
    <row r="136" spans="1:17" x14ac:dyDescent="0.2">
      <c r="A136" s="2">
        <v>131</v>
      </c>
      <c r="B136" s="29" t="s">
        <v>160</v>
      </c>
      <c r="C136" s="78">
        <v>1</v>
      </c>
      <c r="D136" s="7">
        <v>160000</v>
      </c>
      <c r="E136" s="7">
        <v>160000</v>
      </c>
      <c r="F136" s="7">
        <v>160000</v>
      </c>
      <c r="G136" s="7">
        <v>160000</v>
      </c>
      <c r="H136" s="7">
        <v>160000</v>
      </c>
      <c r="I136" s="7"/>
      <c r="J136" s="7"/>
      <c r="K136" s="7"/>
      <c r="L136" s="7"/>
      <c r="M136" s="7"/>
      <c r="N136" s="7"/>
      <c r="O136" s="7"/>
      <c r="P136" s="28">
        <f t="shared" si="2"/>
        <v>800000</v>
      </c>
      <c r="Q136" s="6"/>
    </row>
    <row r="137" spans="1:17" x14ac:dyDescent="0.2">
      <c r="A137" s="2">
        <v>132</v>
      </c>
      <c r="B137" s="29" t="s">
        <v>161</v>
      </c>
      <c r="C137" s="78">
        <v>1</v>
      </c>
      <c r="D137" s="7">
        <v>35000</v>
      </c>
      <c r="E137" s="7">
        <v>135000</v>
      </c>
      <c r="F137" s="7">
        <v>135000</v>
      </c>
      <c r="G137" s="7"/>
      <c r="H137" s="7">
        <v>135000</v>
      </c>
      <c r="I137" s="7"/>
      <c r="J137" s="7"/>
      <c r="K137" s="7"/>
      <c r="L137" s="7"/>
      <c r="M137" s="7"/>
      <c r="N137" s="7"/>
      <c r="O137" s="7"/>
      <c r="P137" s="28">
        <f t="shared" si="2"/>
        <v>440000</v>
      </c>
      <c r="Q137" s="6"/>
    </row>
    <row r="138" spans="1:17" x14ac:dyDescent="0.2">
      <c r="A138" s="2">
        <v>133</v>
      </c>
      <c r="B138" s="29" t="s">
        <v>162</v>
      </c>
      <c r="C138" s="78">
        <v>1</v>
      </c>
      <c r="D138" s="7">
        <v>160000</v>
      </c>
      <c r="E138" s="7">
        <v>160000</v>
      </c>
      <c r="F138" s="7">
        <v>160000</v>
      </c>
      <c r="G138" s="7">
        <v>160000</v>
      </c>
      <c r="H138" s="7">
        <v>160000</v>
      </c>
      <c r="I138" s="7"/>
      <c r="J138" s="7"/>
      <c r="K138" s="7"/>
      <c r="L138" s="7"/>
      <c r="M138" s="7"/>
      <c r="N138" s="7"/>
      <c r="O138" s="7"/>
      <c r="P138" s="28">
        <f t="shared" si="2"/>
        <v>800000</v>
      </c>
      <c r="Q138" s="6"/>
    </row>
    <row r="139" spans="1:17" x14ac:dyDescent="0.2">
      <c r="A139" s="2">
        <v>134</v>
      </c>
      <c r="B139" s="85" t="s">
        <v>163</v>
      </c>
      <c r="C139" s="40">
        <v>1</v>
      </c>
      <c r="D139" s="79">
        <v>160000</v>
      </c>
      <c r="E139" s="79">
        <v>160000</v>
      </c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80">
        <f t="shared" si="2"/>
        <v>320000</v>
      </c>
      <c r="Q139" s="81" t="s">
        <v>210</v>
      </c>
    </row>
    <row r="140" spans="1:17" x14ac:dyDescent="0.2">
      <c r="A140" s="2">
        <v>135</v>
      </c>
      <c r="B140" s="29" t="s">
        <v>164</v>
      </c>
      <c r="C140" s="78">
        <v>1</v>
      </c>
      <c r="D140" s="7">
        <v>160000</v>
      </c>
      <c r="E140" s="7">
        <v>160000</v>
      </c>
      <c r="F140" s="7">
        <v>160000</v>
      </c>
      <c r="G140" s="7">
        <v>160000</v>
      </c>
      <c r="H140" s="7">
        <v>160000</v>
      </c>
      <c r="I140" s="7"/>
      <c r="J140" s="7"/>
      <c r="K140" s="7"/>
      <c r="L140" s="7"/>
      <c r="M140" s="7"/>
      <c r="N140" s="7"/>
      <c r="O140" s="7"/>
      <c r="P140" s="28">
        <f t="shared" si="2"/>
        <v>800000</v>
      </c>
      <c r="Q140" s="6"/>
    </row>
    <row r="141" spans="1:17" x14ac:dyDescent="0.2">
      <c r="A141" s="2">
        <v>136</v>
      </c>
      <c r="B141" s="29" t="s">
        <v>165</v>
      </c>
      <c r="C141" s="78">
        <v>1</v>
      </c>
      <c r="D141" s="7">
        <v>160000</v>
      </c>
      <c r="E141" s="7">
        <v>160000</v>
      </c>
      <c r="F141" s="7">
        <v>160000</v>
      </c>
      <c r="G141" s="7">
        <v>160000</v>
      </c>
      <c r="H141" s="7">
        <v>160000</v>
      </c>
      <c r="I141" s="7"/>
      <c r="J141" s="7"/>
      <c r="K141" s="7"/>
      <c r="L141" s="7"/>
      <c r="M141" s="7"/>
      <c r="N141" s="7"/>
      <c r="O141" s="7"/>
      <c r="P141" s="28">
        <f t="shared" si="2"/>
        <v>800000</v>
      </c>
      <c r="Q141" s="6"/>
    </row>
    <row r="142" spans="1:17" x14ac:dyDescent="0.2">
      <c r="A142" s="2">
        <v>137</v>
      </c>
      <c r="B142" s="29" t="s">
        <v>166</v>
      </c>
      <c r="C142" s="78">
        <v>1</v>
      </c>
      <c r="D142" s="7">
        <v>160000</v>
      </c>
      <c r="E142" s="7">
        <v>160000</v>
      </c>
      <c r="F142" s="7">
        <v>160000</v>
      </c>
      <c r="G142" s="7">
        <v>160000</v>
      </c>
      <c r="H142" s="7">
        <v>160000</v>
      </c>
      <c r="I142" s="7"/>
      <c r="J142" s="7"/>
      <c r="K142" s="7"/>
      <c r="L142" s="7"/>
      <c r="M142" s="7"/>
      <c r="N142" s="7"/>
      <c r="O142" s="7"/>
      <c r="P142" s="28">
        <f t="shared" si="2"/>
        <v>800000</v>
      </c>
      <c r="Q142" s="6"/>
    </row>
    <row r="143" spans="1:17" x14ac:dyDescent="0.2">
      <c r="A143" s="2">
        <v>138</v>
      </c>
      <c r="B143" s="29" t="s">
        <v>167</v>
      </c>
      <c r="C143" s="78">
        <v>1</v>
      </c>
      <c r="D143" s="7">
        <v>160000</v>
      </c>
      <c r="E143" s="7">
        <v>160000</v>
      </c>
      <c r="F143" s="7">
        <v>160000</v>
      </c>
      <c r="G143" s="7">
        <v>160000</v>
      </c>
      <c r="H143" s="7">
        <v>160000</v>
      </c>
      <c r="I143" s="7"/>
      <c r="J143" s="7"/>
      <c r="K143" s="7"/>
      <c r="L143" s="7"/>
      <c r="M143" s="7"/>
      <c r="N143" s="7"/>
      <c r="O143" s="7"/>
      <c r="P143" s="28">
        <f t="shared" si="2"/>
        <v>800000</v>
      </c>
      <c r="Q143" s="6"/>
    </row>
    <row r="144" spans="1:17" x14ac:dyDescent="0.2">
      <c r="A144" s="2">
        <v>139</v>
      </c>
      <c r="B144" s="29" t="s">
        <v>168</v>
      </c>
      <c r="C144" s="78">
        <v>1</v>
      </c>
      <c r="D144" s="7">
        <v>160000</v>
      </c>
      <c r="E144" s="7">
        <v>160000</v>
      </c>
      <c r="F144" s="7">
        <v>160000</v>
      </c>
      <c r="G144" s="7">
        <v>160000</v>
      </c>
      <c r="H144" s="7">
        <v>160000</v>
      </c>
      <c r="I144" s="7"/>
      <c r="J144" s="7"/>
      <c r="K144" s="7"/>
      <c r="L144" s="7"/>
      <c r="M144" s="7"/>
      <c r="N144" s="7"/>
      <c r="O144" s="7"/>
      <c r="P144" s="28">
        <f t="shared" si="2"/>
        <v>800000</v>
      </c>
      <c r="Q144" s="6"/>
    </row>
    <row r="145" spans="1:17" x14ac:dyDescent="0.2">
      <c r="A145" s="2">
        <v>140</v>
      </c>
      <c r="B145" s="29" t="s">
        <v>169</v>
      </c>
      <c r="C145" s="78">
        <v>1</v>
      </c>
      <c r="D145" s="7">
        <v>160000</v>
      </c>
      <c r="E145" s="7">
        <v>160000</v>
      </c>
      <c r="F145" s="7">
        <v>160000</v>
      </c>
      <c r="G145" s="7">
        <v>160000</v>
      </c>
      <c r="H145" s="7">
        <v>160000</v>
      </c>
      <c r="I145" s="7"/>
      <c r="J145" s="7"/>
      <c r="K145" s="7"/>
      <c r="L145" s="7"/>
      <c r="M145" s="7"/>
      <c r="N145" s="7"/>
      <c r="O145" s="7"/>
      <c r="P145" s="28">
        <f t="shared" si="2"/>
        <v>800000</v>
      </c>
      <c r="Q145" s="6"/>
    </row>
    <row r="146" spans="1:17" x14ac:dyDescent="0.2">
      <c r="A146" s="2">
        <v>141</v>
      </c>
      <c r="B146" s="23" t="s">
        <v>170</v>
      </c>
      <c r="C146" s="78">
        <v>1</v>
      </c>
      <c r="D146" s="7">
        <v>160000</v>
      </c>
      <c r="E146" s="7">
        <v>160000</v>
      </c>
      <c r="F146" s="7">
        <v>160000</v>
      </c>
      <c r="G146" s="7">
        <v>160000</v>
      </c>
      <c r="H146" s="7">
        <v>160000</v>
      </c>
      <c r="I146" s="7"/>
      <c r="J146" s="7"/>
      <c r="K146" s="7"/>
      <c r="L146" s="7"/>
      <c r="M146" s="7"/>
      <c r="N146" s="7"/>
      <c r="O146" s="7"/>
      <c r="P146" s="28">
        <f t="shared" si="2"/>
        <v>800000</v>
      </c>
      <c r="Q146" s="6"/>
    </row>
    <row r="147" spans="1:17" x14ac:dyDescent="0.2">
      <c r="A147" s="2">
        <v>142</v>
      </c>
      <c r="B147" s="23" t="s">
        <v>171</v>
      </c>
      <c r="C147" s="78">
        <v>1</v>
      </c>
      <c r="D147" s="7">
        <v>160000</v>
      </c>
      <c r="E147" s="7">
        <v>160000</v>
      </c>
      <c r="F147" s="7">
        <v>160000</v>
      </c>
      <c r="G147" s="7">
        <v>160000</v>
      </c>
      <c r="H147" s="7">
        <v>160000</v>
      </c>
      <c r="I147" s="7"/>
      <c r="J147" s="7"/>
      <c r="K147" s="7"/>
      <c r="L147" s="7"/>
      <c r="M147" s="7"/>
      <c r="N147" s="7"/>
      <c r="O147" s="7"/>
      <c r="P147" s="57">
        <f>SUM(D147:O147)</f>
        <v>800000</v>
      </c>
      <c r="Q147" s="6"/>
    </row>
    <row r="148" spans="1:17" x14ac:dyDescent="0.2">
      <c r="A148" s="2">
        <v>143</v>
      </c>
      <c r="B148" s="29" t="s">
        <v>172</v>
      </c>
      <c r="C148" s="78">
        <v>1</v>
      </c>
      <c r="D148" s="7">
        <v>160000</v>
      </c>
      <c r="E148" s="7">
        <v>160000</v>
      </c>
      <c r="F148" s="7">
        <v>160000</v>
      </c>
      <c r="G148" s="7">
        <v>160000</v>
      </c>
      <c r="H148" s="7">
        <v>160000</v>
      </c>
      <c r="I148" s="7"/>
      <c r="J148" s="7"/>
      <c r="K148" s="7"/>
      <c r="L148" s="7"/>
      <c r="M148" s="7"/>
      <c r="N148" s="7"/>
      <c r="O148" s="7"/>
      <c r="P148" s="57">
        <f>SUM(D148:O148)</f>
        <v>800000</v>
      </c>
      <c r="Q148" s="6"/>
    </row>
    <row r="149" spans="1:17" x14ac:dyDescent="0.2">
      <c r="A149" s="2">
        <v>144</v>
      </c>
      <c r="B149" s="29" t="s">
        <v>173</v>
      </c>
      <c r="C149" s="78">
        <v>1</v>
      </c>
      <c r="D149" s="7">
        <v>160000</v>
      </c>
      <c r="E149" s="7">
        <v>160000</v>
      </c>
      <c r="F149" s="7">
        <v>160000</v>
      </c>
      <c r="G149" s="7">
        <v>160000</v>
      </c>
      <c r="H149" s="7">
        <v>160000</v>
      </c>
      <c r="I149" s="7"/>
      <c r="J149" s="7"/>
      <c r="K149" s="7"/>
      <c r="L149" s="7"/>
      <c r="M149" s="7"/>
      <c r="N149" s="7"/>
      <c r="O149" s="7"/>
      <c r="P149" s="57">
        <f>SUM(D149:O149)</f>
        <v>800000</v>
      </c>
      <c r="Q149" s="6"/>
    </row>
    <row r="150" spans="1:17" x14ac:dyDescent="0.2">
      <c r="A150" s="2">
        <v>145</v>
      </c>
      <c r="B150" s="29" t="s">
        <v>174</v>
      </c>
      <c r="C150" s="78">
        <v>1</v>
      </c>
      <c r="D150" s="7">
        <v>160000</v>
      </c>
      <c r="E150" s="7">
        <v>160000</v>
      </c>
      <c r="F150" s="7">
        <v>160000</v>
      </c>
      <c r="G150" s="7">
        <v>160000</v>
      </c>
      <c r="H150" s="7">
        <v>160000</v>
      </c>
      <c r="I150" s="7"/>
      <c r="J150" s="7"/>
      <c r="K150" s="7"/>
      <c r="L150" s="7"/>
      <c r="M150" s="7"/>
      <c r="N150" s="7"/>
      <c r="O150" s="7"/>
      <c r="P150" s="57">
        <f>SUM(D150:O150)</f>
        <v>800000</v>
      </c>
      <c r="Q150" s="6"/>
    </row>
    <row r="151" spans="1:17" x14ac:dyDescent="0.2">
      <c r="A151" s="2">
        <v>146</v>
      </c>
      <c r="B151" s="29" t="s">
        <v>175</v>
      </c>
      <c r="C151" s="78">
        <v>1</v>
      </c>
      <c r="D151" s="7">
        <v>160000</v>
      </c>
      <c r="E151" s="7">
        <v>160000</v>
      </c>
      <c r="F151" s="7">
        <v>160000</v>
      </c>
      <c r="G151" s="7">
        <v>160000</v>
      </c>
      <c r="H151" s="7">
        <v>160000</v>
      </c>
      <c r="I151" s="7"/>
      <c r="J151" s="7"/>
      <c r="K151" s="7"/>
      <c r="L151" s="7"/>
      <c r="M151" s="7"/>
      <c r="N151" s="7"/>
      <c r="O151" s="7"/>
      <c r="P151" s="57">
        <f t="shared" ref="P151:P158" si="3">SUM(D151:O151)</f>
        <v>800000</v>
      </c>
      <c r="Q151" s="6"/>
    </row>
    <row r="152" spans="1:17" x14ac:dyDescent="0.2">
      <c r="A152" s="2">
        <v>147</v>
      </c>
      <c r="B152" s="29" t="s">
        <v>176</v>
      </c>
      <c r="C152" s="78">
        <v>1</v>
      </c>
      <c r="D152" s="7">
        <v>160000</v>
      </c>
      <c r="E152" s="7">
        <v>160000</v>
      </c>
      <c r="F152" s="7">
        <v>160000</v>
      </c>
      <c r="G152" s="7">
        <v>160000</v>
      </c>
      <c r="H152" s="7">
        <v>160000</v>
      </c>
      <c r="I152" s="6"/>
      <c r="J152" s="6"/>
      <c r="K152" s="6"/>
      <c r="L152" s="6"/>
      <c r="M152" s="6"/>
      <c r="N152" s="6"/>
      <c r="O152" s="6"/>
      <c r="P152" s="57">
        <f t="shared" si="3"/>
        <v>800000</v>
      </c>
      <c r="Q152" s="6"/>
    </row>
    <row r="153" spans="1:17" x14ac:dyDescent="0.2">
      <c r="A153" s="2">
        <v>148</v>
      </c>
      <c r="B153" s="29" t="s">
        <v>177</v>
      </c>
      <c r="C153" s="78">
        <v>1</v>
      </c>
      <c r="D153" s="7">
        <v>160000</v>
      </c>
      <c r="E153" s="7">
        <v>160000</v>
      </c>
      <c r="F153" s="7">
        <v>160000</v>
      </c>
      <c r="G153" s="7">
        <v>160000</v>
      </c>
      <c r="H153" s="7">
        <v>160000</v>
      </c>
      <c r="I153" s="6"/>
      <c r="J153" s="6"/>
      <c r="K153" s="6"/>
      <c r="L153" s="6"/>
      <c r="M153" s="6"/>
      <c r="N153" s="6"/>
      <c r="O153" s="6"/>
      <c r="P153" s="57">
        <f t="shared" si="3"/>
        <v>800000</v>
      </c>
      <c r="Q153" s="6"/>
    </row>
    <row r="154" spans="1:17" x14ac:dyDescent="0.2">
      <c r="A154" s="2">
        <v>149</v>
      </c>
      <c r="B154" s="85" t="s">
        <v>186</v>
      </c>
      <c r="C154" s="40">
        <v>1</v>
      </c>
      <c r="D154" s="79">
        <v>135000</v>
      </c>
      <c r="E154" s="79">
        <v>135000</v>
      </c>
      <c r="F154" s="79"/>
      <c r="G154" s="79"/>
      <c r="H154" s="79"/>
      <c r="I154" s="81"/>
      <c r="J154" s="81"/>
      <c r="K154" s="81"/>
      <c r="L154" s="81"/>
      <c r="M154" s="81"/>
      <c r="N154" s="81"/>
      <c r="O154" s="81"/>
      <c r="P154" s="86">
        <f t="shared" si="3"/>
        <v>270000</v>
      </c>
      <c r="Q154" s="81" t="s">
        <v>210</v>
      </c>
    </row>
    <row r="155" spans="1:17" x14ac:dyDescent="0.2">
      <c r="A155" s="2">
        <v>150</v>
      </c>
      <c r="B155" s="6" t="s">
        <v>187</v>
      </c>
      <c r="C155" s="78">
        <v>1</v>
      </c>
      <c r="D155" s="7">
        <v>160000</v>
      </c>
      <c r="E155" s="7">
        <v>160000</v>
      </c>
      <c r="F155" s="7">
        <v>160000</v>
      </c>
      <c r="G155" s="7">
        <v>160000</v>
      </c>
      <c r="H155" s="7">
        <v>160000</v>
      </c>
      <c r="I155" s="6"/>
      <c r="J155" s="6"/>
      <c r="K155" s="6"/>
      <c r="L155" s="6"/>
      <c r="M155" s="6"/>
      <c r="N155" s="6"/>
      <c r="O155" s="6"/>
      <c r="P155" s="57">
        <f t="shared" si="3"/>
        <v>800000</v>
      </c>
      <c r="Q155" s="6"/>
    </row>
    <row r="156" spans="1:17" x14ac:dyDescent="0.2">
      <c r="A156" s="2">
        <v>151</v>
      </c>
      <c r="B156" s="6" t="s">
        <v>189</v>
      </c>
      <c r="C156" s="78">
        <v>1</v>
      </c>
      <c r="D156" s="7">
        <v>135000</v>
      </c>
      <c r="E156" s="7">
        <v>135000</v>
      </c>
      <c r="F156" s="7">
        <v>135000</v>
      </c>
      <c r="G156" s="6"/>
      <c r="H156" s="7">
        <v>135000</v>
      </c>
      <c r="I156" s="6"/>
      <c r="J156" s="6"/>
      <c r="K156" s="6"/>
      <c r="L156" s="6"/>
      <c r="M156" s="6"/>
      <c r="N156" s="6"/>
      <c r="O156" s="6"/>
      <c r="P156" s="57">
        <f t="shared" si="3"/>
        <v>540000</v>
      </c>
      <c r="Q156" s="6"/>
    </row>
    <row r="157" spans="1:17" x14ac:dyDescent="0.2">
      <c r="A157" s="2">
        <v>152</v>
      </c>
      <c r="B157" s="6" t="s">
        <v>188</v>
      </c>
      <c r="C157" s="78">
        <v>1</v>
      </c>
      <c r="D157" s="7">
        <v>135000</v>
      </c>
      <c r="E157" s="7">
        <v>135000</v>
      </c>
      <c r="F157" s="7">
        <v>135000</v>
      </c>
      <c r="G157" s="6"/>
      <c r="H157" s="7">
        <v>135000</v>
      </c>
      <c r="I157" s="6"/>
      <c r="J157" s="6"/>
      <c r="K157" s="6"/>
      <c r="L157" s="6"/>
      <c r="M157" s="6"/>
      <c r="N157" s="6"/>
      <c r="O157" s="6"/>
      <c r="P157" s="57">
        <f t="shared" si="3"/>
        <v>540000</v>
      </c>
      <c r="Q157" s="6"/>
    </row>
    <row r="158" spans="1:17" x14ac:dyDescent="0.2">
      <c r="A158" s="2">
        <v>153</v>
      </c>
      <c r="B158" s="6" t="s">
        <v>214</v>
      </c>
      <c r="C158" s="2">
        <v>1</v>
      </c>
      <c r="D158" s="6"/>
      <c r="E158" s="6"/>
      <c r="F158" s="6"/>
      <c r="G158" s="6"/>
      <c r="H158" s="7">
        <v>135000</v>
      </c>
      <c r="I158" s="6"/>
      <c r="J158" s="6"/>
      <c r="K158" s="6"/>
      <c r="L158" s="6"/>
      <c r="M158" s="6"/>
      <c r="N158" s="6"/>
      <c r="O158" s="6"/>
      <c r="P158" s="57">
        <f t="shared" si="3"/>
        <v>135000</v>
      </c>
      <c r="Q158" s="6"/>
    </row>
    <row r="162" spans="4:16" x14ac:dyDescent="0.2">
      <c r="D162" s="4">
        <f>SUM(D6:D158)</f>
        <v>22090000</v>
      </c>
      <c r="E162" s="4">
        <f t="shared" ref="E162:O162" si="4">SUM(E6:E158)</f>
        <v>22055000</v>
      </c>
      <c r="F162" s="4">
        <f t="shared" si="4"/>
        <v>20740000</v>
      </c>
      <c r="G162" s="4">
        <f t="shared" si="4"/>
        <v>8590000</v>
      </c>
      <c r="H162" s="4">
        <f t="shared" si="4"/>
        <v>20875000</v>
      </c>
      <c r="I162" s="4">
        <f t="shared" si="4"/>
        <v>0</v>
      </c>
      <c r="J162" s="4">
        <f t="shared" si="4"/>
        <v>0</v>
      </c>
      <c r="K162" s="4">
        <f t="shared" si="4"/>
        <v>0</v>
      </c>
      <c r="L162" s="4">
        <f t="shared" si="4"/>
        <v>0</v>
      </c>
      <c r="M162" s="4">
        <f t="shared" si="4"/>
        <v>0</v>
      </c>
      <c r="N162" s="4">
        <f t="shared" si="4"/>
        <v>0</v>
      </c>
      <c r="O162" s="4">
        <f t="shared" si="4"/>
        <v>0</v>
      </c>
      <c r="P162" s="4">
        <f>SUM(P6:P158)</f>
        <v>94350000</v>
      </c>
    </row>
  </sheetData>
  <mergeCells count="6">
    <mergeCell ref="Q4:Q5"/>
    <mergeCell ref="D4:O4"/>
    <mergeCell ref="P4:P5"/>
    <mergeCell ref="A4:A5"/>
    <mergeCell ref="B4:B5"/>
    <mergeCell ref="C4:C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C0E5-7DE3-43E1-957F-EE681BDE6663}">
  <dimension ref="A1:T166"/>
  <sheetViews>
    <sheetView zoomScaleNormal="100" workbookViewId="0">
      <pane xSplit="6" ySplit="7" topLeftCell="G130" activePane="bottomRight" state="frozen"/>
      <selection pane="topRight" activeCell="G1" sqref="G1"/>
      <selection pane="bottomLeft" activeCell="A8" sqref="A8"/>
      <selection pane="bottomRight" activeCell="K147" sqref="K147"/>
    </sheetView>
  </sheetViews>
  <sheetFormatPr baseColWidth="10" defaultColWidth="8.83203125" defaultRowHeight="15" x14ac:dyDescent="0.2"/>
  <cols>
    <col min="1" max="1" width="5.5" customWidth="1"/>
    <col min="2" max="2" width="31.6640625" bestFit="1" customWidth="1"/>
    <col min="3" max="6" width="2.6640625" customWidth="1"/>
    <col min="7" max="18" width="14.6640625" customWidth="1"/>
    <col min="19" max="19" width="16.6640625" customWidth="1"/>
    <col min="20" max="20" width="21.6640625" customWidth="1"/>
  </cols>
  <sheetData>
    <row r="1" spans="1:20" x14ac:dyDescent="0.2">
      <c r="C1" s="59"/>
      <c r="G1" t="s">
        <v>193</v>
      </c>
    </row>
    <row r="2" spans="1:20" x14ac:dyDescent="0.2">
      <c r="D2" s="61"/>
      <c r="G2" t="s">
        <v>194</v>
      </c>
    </row>
    <row r="3" spans="1:20" x14ac:dyDescent="0.2">
      <c r="E3" s="60"/>
      <c r="G3" t="s">
        <v>195</v>
      </c>
    </row>
    <row r="4" spans="1:20" x14ac:dyDescent="0.2">
      <c r="F4" s="62"/>
      <c r="G4" t="s">
        <v>196</v>
      </c>
    </row>
    <row r="5" spans="1:20" x14ac:dyDescent="0.2">
      <c r="A5" s="115" t="s">
        <v>20</v>
      </c>
      <c r="B5" s="115" t="s">
        <v>0</v>
      </c>
      <c r="C5" s="151" t="s">
        <v>182</v>
      </c>
      <c r="D5" s="152"/>
      <c r="E5" s="152"/>
      <c r="F5" s="153"/>
      <c r="G5" s="121" t="s">
        <v>18</v>
      </c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16" t="s">
        <v>124</v>
      </c>
    </row>
    <row r="6" spans="1:20" x14ac:dyDescent="0.2">
      <c r="A6" s="115"/>
      <c r="B6" s="115"/>
      <c r="C6" s="154"/>
      <c r="D6" s="155"/>
      <c r="E6" s="155"/>
      <c r="F6" s="156"/>
      <c r="G6" s="14" t="s">
        <v>7</v>
      </c>
      <c r="H6" s="14" t="s">
        <v>8</v>
      </c>
      <c r="I6" s="14" t="s">
        <v>9</v>
      </c>
      <c r="J6" s="14" t="s">
        <v>10</v>
      </c>
      <c r="K6" s="14" t="s">
        <v>6</v>
      </c>
      <c r="L6" s="14" t="s">
        <v>11</v>
      </c>
      <c r="M6" s="14" t="s">
        <v>12</v>
      </c>
      <c r="N6" s="14" t="s">
        <v>13</v>
      </c>
      <c r="O6" s="14" t="s">
        <v>14</v>
      </c>
      <c r="P6" s="14" t="s">
        <v>15</v>
      </c>
      <c r="Q6" s="14" t="s">
        <v>16</v>
      </c>
      <c r="R6" s="14" t="s">
        <v>17</v>
      </c>
      <c r="S6" s="116"/>
    </row>
    <row r="7" spans="1:20" ht="9.75" customHeight="1" x14ac:dyDescent="0.2">
      <c r="A7" s="74"/>
      <c r="B7" s="74"/>
      <c r="C7" s="59"/>
      <c r="D7" s="61"/>
      <c r="E7" s="60"/>
      <c r="F7" s="62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6"/>
    </row>
    <row r="8" spans="1:20" x14ac:dyDescent="0.2">
      <c r="A8" s="2">
        <v>1</v>
      </c>
      <c r="B8" s="25" t="s">
        <v>36</v>
      </c>
      <c r="C8" s="63"/>
      <c r="D8" s="64"/>
      <c r="E8" s="64"/>
      <c r="F8" s="65"/>
      <c r="G8" s="55">
        <f>'Voucher Belanja KOKA'!D6</f>
        <v>135000</v>
      </c>
      <c r="H8" s="55">
        <f>'Voucher Belanja KOKA'!E6</f>
        <v>135000</v>
      </c>
      <c r="I8" s="55">
        <f>'Voucher Belanja KOKA'!F6</f>
        <v>135000</v>
      </c>
      <c r="J8" s="55">
        <f>'Voucher Belanja KOKA'!G6</f>
        <v>0</v>
      </c>
      <c r="K8" s="55">
        <f>'Voucher Belanja KOKA'!H6</f>
        <v>135000</v>
      </c>
      <c r="L8" s="55">
        <f>'Voucher Belanja KOKA'!I6</f>
        <v>0</v>
      </c>
      <c r="M8" s="55">
        <f>'Voucher Belanja KOKA'!J6</f>
        <v>0</v>
      </c>
      <c r="N8" s="55">
        <f>'Voucher Belanja KOKA'!K6</f>
        <v>0</v>
      </c>
      <c r="O8" s="55">
        <f>'Voucher Belanja KOKA'!L6</f>
        <v>0</v>
      </c>
      <c r="P8" s="55">
        <f>'Voucher Belanja KOKA'!M6</f>
        <v>0</v>
      </c>
      <c r="Q8" s="55">
        <f>'Voucher Belanja KOKA'!N6</f>
        <v>0</v>
      </c>
      <c r="R8" s="55">
        <f>'Voucher Belanja KOKA'!O6</f>
        <v>0</v>
      </c>
      <c r="S8" s="28">
        <f>SUM(G8:R8)</f>
        <v>540000</v>
      </c>
      <c r="T8" s="4"/>
    </row>
    <row r="9" spans="1:20" x14ac:dyDescent="0.2">
      <c r="A9" s="2">
        <v>2</v>
      </c>
      <c r="B9" s="23" t="s">
        <v>37</v>
      </c>
      <c r="C9" s="66"/>
      <c r="D9" s="67"/>
      <c r="E9" s="67"/>
      <c r="F9" s="68"/>
      <c r="G9" s="55">
        <f>'Voucher Belanja KOKA'!D7</f>
        <v>135000</v>
      </c>
      <c r="H9" s="55">
        <f>'Voucher Belanja KOKA'!E7</f>
        <v>135000</v>
      </c>
      <c r="I9" s="55">
        <f>'Voucher Belanja KOKA'!F7</f>
        <v>135000</v>
      </c>
      <c r="J9" s="55">
        <f>'Voucher Belanja KOKA'!G7</f>
        <v>0</v>
      </c>
      <c r="K9" s="55">
        <f>'Voucher Belanja KOKA'!H7</f>
        <v>135000</v>
      </c>
      <c r="L9" s="55">
        <f>'Voucher Belanja KOKA'!I7</f>
        <v>0</v>
      </c>
      <c r="M9" s="55">
        <f>'Voucher Belanja KOKA'!J7</f>
        <v>0</v>
      </c>
      <c r="N9" s="55">
        <f>'Voucher Belanja KOKA'!K7</f>
        <v>0</v>
      </c>
      <c r="O9" s="55">
        <f>'Voucher Belanja KOKA'!L7</f>
        <v>0</v>
      </c>
      <c r="P9" s="55">
        <f>'Voucher Belanja KOKA'!M7</f>
        <v>0</v>
      </c>
      <c r="Q9" s="55">
        <f>'Voucher Belanja KOKA'!N7</f>
        <v>0</v>
      </c>
      <c r="R9" s="55">
        <f>'Voucher Belanja KOKA'!O7</f>
        <v>0</v>
      </c>
      <c r="S9" s="28">
        <f t="shared" ref="S9:S68" si="0">SUM(G9:R9)</f>
        <v>540000</v>
      </c>
      <c r="T9" s="4"/>
    </row>
    <row r="10" spans="1:20" x14ac:dyDescent="0.2">
      <c r="A10" s="2">
        <v>3</v>
      </c>
      <c r="B10" s="23" t="s">
        <v>38</v>
      </c>
      <c r="C10" s="66"/>
      <c r="D10" s="67"/>
      <c r="E10" s="67"/>
      <c r="F10" s="68"/>
      <c r="G10" s="55">
        <f>'Voucher Belanja KOKA'!D8</f>
        <v>135000</v>
      </c>
      <c r="H10" s="55">
        <f>'Voucher Belanja KOKA'!E8</f>
        <v>135000</v>
      </c>
      <c r="I10" s="55">
        <f>'Voucher Belanja KOKA'!F8</f>
        <v>135000</v>
      </c>
      <c r="J10" s="55">
        <f>'Voucher Belanja KOKA'!G8</f>
        <v>0</v>
      </c>
      <c r="K10" s="55">
        <f>'Voucher Belanja KOKA'!H8</f>
        <v>135000</v>
      </c>
      <c r="L10" s="55">
        <f>'Voucher Belanja KOKA'!I8</f>
        <v>0</v>
      </c>
      <c r="M10" s="55">
        <f>'Voucher Belanja KOKA'!J8</f>
        <v>0</v>
      </c>
      <c r="N10" s="55">
        <f>'Voucher Belanja KOKA'!K8</f>
        <v>0</v>
      </c>
      <c r="O10" s="55">
        <f>'Voucher Belanja KOKA'!L8</f>
        <v>0</v>
      </c>
      <c r="P10" s="55">
        <f>'Voucher Belanja KOKA'!M8</f>
        <v>0</v>
      </c>
      <c r="Q10" s="55">
        <f>'Voucher Belanja KOKA'!N8</f>
        <v>0</v>
      </c>
      <c r="R10" s="55">
        <f>'Voucher Belanja KOKA'!O8</f>
        <v>0</v>
      </c>
      <c r="S10" s="28">
        <f t="shared" si="0"/>
        <v>540000</v>
      </c>
      <c r="T10" s="4"/>
    </row>
    <row r="11" spans="1:20" x14ac:dyDescent="0.2">
      <c r="A11" s="2">
        <v>4</v>
      </c>
      <c r="B11" s="23" t="s">
        <v>39</v>
      </c>
      <c r="C11" s="66"/>
      <c r="D11" s="67"/>
      <c r="E11" s="67"/>
      <c r="F11" s="68"/>
      <c r="G11" s="55">
        <f>'Voucher Belanja KOKA'!D9</f>
        <v>135000</v>
      </c>
      <c r="H11" s="55">
        <f>'Voucher Belanja KOKA'!E9</f>
        <v>135000</v>
      </c>
      <c r="I11" s="55">
        <f>'Voucher Belanja KOKA'!F9</f>
        <v>135000</v>
      </c>
      <c r="J11" s="55">
        <f>'Voucher Belanja KOKA'!G9</f>
        <v>0</v>
      </c>
      <c r="K11" s="55">
        <f>'Voucher Belanja KOKA'!H9</f>
        <v>135000</v>
      </c>
      <c r="L11" s="55">
        <f>'Voucher Belanja KOKA'!I9</f>
        <v>0</v>
      </c>
      <c r="M11" s="55">
        <f>'Voucher Belanja KOKA'!J9</f>
        <v>0</v>
      </c>
      <c r="N11" s="55">
        <f>'Voucher Belanja KOKA'!K9</f>
        <v>0</v>
      </c>
      <c r="O11" s="55">
        <f>'Voucher Belanja KOKA'!L9</f>
        <v>0</v>
      </c>
      <c r="P11" s="55">
        <f>'Voucher Belanja KOKA'!M9</f>
        <v>0</v>
      </c>
      <c r="Q11" s="55">
        <f>'Voucher Belanja KOKA'!N9</f>
        <v>0</v>
      </c>
      <c r="R11" s="55">
        <f>'Voucher Belanja KOKA'!O9</f>
        <v>0</v>
      </c>
      <c r="S11" s="28">
        <f t="shared" si="0"/>
        <v>540000</v>
      </c>
      <c r="T11" s="4"/>
    </row>
    <row r="12" spans="1:20" x14ac:dyDescent="0.2">
      <c r="A12" s="2">
        <v>5</v>
      </c>
      <c r="B12" s="23" t="s">
        <v>40</v>
      </c>
      <c r="C12" s="66"/>
      <c r="D12" s="67"/>
      <c r="E12" s="67"/>
      <c r="F12" s="68"/>
      <c r="G12" s="55">
        <f>'Voucher Belanja KOKA'!D10</f>
        <v>135000</v>
      </c>
      <c r="H12" s="55">
        <f>'Voucher Belanja KOKA'!E10</f>
        <v>135000</v>
      </c>
      <c r="I12" s="55">
        <f>'Voucher Belanja KOKA'!F10</f>
        <v>135000</v>
      </c>
      <c r="J12" s="55">
        <f>'Voucher Belanja KOKA'!G10</f>
        <v>0</v>
      </c>
      <c r="K12" s="55">
        <f>'Voucher Belanja KOKA'!H10</f>
        <v>135000</v>
      </c>
      <c r="L12" s="55">
        <f>'Voucher Belanja KOKA'!I10</f>
        <v>0</v>
      </c>
      <c r="M12" s="55">
        <f>'Voucher Belanja KOKA'!J10</f>
        <v>0</v>
      </c>
      <c r="N12" s="55">
        <f>'Voucher Belanja KOKA'!K10</f>
        <v>0</v>
      </c>
      <c r="O12" s="55">
        <f>'Voucher Belanja KOKA'!L10</f>
        <v>0</v>
      </c>
      <c r="P12" s="55">
        <f>'Voucher Belanja KOKA'!M10</f>
        <v>0</v>
      </c>
      <c r="Q12" s="55">
        <f>'Voucher Belanja KOKA'!N10</f>
        <v>0</v>
      </c>
      <c r="R12" s="55">
        <f>'Voucher Belanja KOKA'!O10</f>
        <v>0</v>
      </c>
      <c r="S12" s="28">
        <f t="shared" si="0"/>
        <v>540000</v>
      </c>
      <c r="T12" s="4"/>
    </row>
    <row r="13" spans="1:20" x14ac:dyDescent="0.2">
      <c r="A13" s="2">
        <v>6</v>
      </c>
      <c r="B13" s="23" t="s">
        <v>41</v>
      </c>
      <c r="C13" s="66"/>
      <c r="D13" s="67"/>
      <c r="E13" s="67"/>
      <c r="F13" s="68"/>
      <c r="G13" s="55">
        <f>'Voucher Belanja KOKA'!D11</f>
        <v>135000</v>
      </c>
      <c r="H13" s="55">
        <f>'Voucher Belanja KOKA'!E11</f>
        <v>135000</v>
      </c>
      <c r="I13" s="55">
        <f>'Voucher Belanja KOKA'!F11</f>
        <v>135000</v>
      </c>
      <c r="J13" s="55">
        <f>'Voucher Belanja KOKA'!G11</f>
        <v>0</v>
      </c>
      <c r="K13" s="55">
        <f>'Voucher Belanja KOKA'!H11</f>
        <v>135000</v>
      </c>
      <c r="L13" s="55">
        <f>'Voucher Belanja KOKA'!I11</f>
        <v>0</v>
      </c>
      <c r="M13" s="55">
        <f>'Voucher Belanja KOKA'!J11</f>
        <v>0</v>
      </c>
      <c r="N13" s="55">
        <f>'Voucher Belanja KOKA'!K11</f>
        <v>0</v>
      </c>
      <c r="O13" s="55">
        <f>'Voucher Belanja KOKA'!L11</f>
        <v>0</v>
      </c>
      <c r="P13" s="55">
        <f>'Voucher Belanja KOKA'!M11</f>
        <v>0</v>
      </c>
      <c r="Q13" s="55">
        <f>'Voucher Belanja KOKA'!N11</f>
        <v>0</v>
      </c>
      <c r="R13" s="55">
        <f>'Voucher Belanja KOKA'!O11</f>
        <v>0</v>
      </c>
      <c r="S13" s="28">
        <f t="shared" si="0"/>
        <v>540000</v>
      </c>
      <c r="T13" s="4"/>
    </row>
    <row r="14" spans="1:20" x14ac:dyDescent="0.2">
      <c r="A14" s="2">
        <v>7</v>
      </c>
      <c r="B14" s="23" t="s">
        <v>42</v>
      </c>
      <c r="C14" s="66"/>
      <c r="D14" s="67"/>
      <c r="E14" s="67"/>
      <c r="F14" s="68"/>
      <c r="G14" s="55">
        <f>'Voucher Belanja KOKA'!D12</f>
        <v>135000</v>
      </c>
      <c r="H14" s="55">
        <f>'Voucher Belanja KOKA'!E12</f>
        <v>135000</v>
      </c>
      <c r="I14" s="55">
        <f>'Voucher Belanja KOKA'!F12</f>
        <v>135000</v>
      </c>
      <c r="J14" s="55">
        <f>'Voucher Belanja KOKA'!G12</f>
        <v>0</v>
      </c>
      <c r="K14" s="55">
        <f>'Voucher Belanja KOKA'!H12</f>
        <v>135000</v>
      </c>
      <c r="L14" s="55">
        <f>'Voucher Belanja KOKA'!I12</f>
        <v>0</v>
      </c>
      <c r="M14" s="55">
        <f>'Voucher Belanja KOKA'!J12</f>
        <v>0</v>
      </c>
      <c r="N14" s="55">
        <f>'Voucher Belanja KOKA'!K12</f>
        <v>0</v>
      </c>
      <c r="O14" s="55">
        <f>'Voucher Belanja KOKA'!L12</f>
        <v>0</v>
      </c>
      <c r="P14" s="55">
        <f>'Voucher Belanja KOKA'!M12</f>
        <v>0</v>
      </c>
      <c r="Q14" s="55">
        <f>'Voucher Belanja KOKA'!N12</f>
        <v>0</v>
      </c>
      <c r="R14" s="55">
        <f>'Voucher Belanja KOKA'!O12</f>
        <v>0</v>
      </c>
      <c r="S14" s="28">
        <f t="shared" si="0"/>
        <v>540000</v>
      </c>
      <c r="T14" s="4"/>
    </row>
    <row r="15" spans="1:20" x14ac:dyDescent="0.2">
      <c r="A15" s="2">
        <v>8</v>
      </c>
      <c r="B15" s="23" t="s">
        <v>43</v>
      </c>
      <c r="C15" s="66"/>
      <c r="D15" s="67"/>
      <c r="E15" s="67"/>
      <c r="F15" s="68"/>
      <c r="G15" s="55">
        <f>'Voucher Belanja KOKA'!D13</f>
        <v>135000</v>
      </c>
      <c r="H15" s="55">
        <f>'Voucher Belanja KOKA'!E13</f>
        <v>135000</v>
      </c>
      <c r="I15" s="55">
        <f>'Voucher Belanja KOKA'!F13</f>
        <v>135000</v>
      </c>
      <c r="J15" s="55">
        <f>'Voucher Belanja KOKA'!G13</f>
        <v>0</v>
      </c>
      <c r="K15" s="55">
        <f>'Voucher Belanja KOKA'!H13</f>
        <v>135000</v>
      </c>
      <c r="L15" s="55">
        <f>'Voucher Belanja KOKA'!I13</f>
        <v>0</v>
      </c>
      <c r="M15" s="55">
        <f>'Voucher Belanja KOKA'!J13</f>
        <v>0</v>
      </c>
      <c r="N15" s="55">
        <f>'Voucher Belanja KOKA'!K13</f>
        <v>0</v>
      </c>
      <c r="O15" s="55">
        <f>'Voucher Belanja KOKA'!L13</f>
        <v>0</v>
      </c>
      <c r="P15" s="55">
        <f>'Voucher Belanja KOKA'!M13</f>
        <v>0</v>
      </c>
      <c r="Q15" s="55">
        <f>'Voucher Belanja KOKA'!N13</f>
        <v>0</v>
      </c>
      <c r="R15" s="55">
        <f>'Voucher Belanja KOKA'!O13</f>
        <v>0</v>
      </c>
      <c r="S15" s="28">
        <f t="shared" si="0"/>
        <v>540000</v>
      </c>
      <c r="T15" s="4"/>
    </row>
    <row r="16" spans="1:20" x14ac:dyDescent="0.2">
      <c r="A16" s="2">
        <v>9</v>
      </c>
      <c r="B16" s="23" t="s">
        <v>44</v>
      </c>
      <c r="C16" s="66"/>
      <c r="D16" s="67"/>
      <c r="E16" s="67"/>
      <c r="F16" s="68"/>
      <c r="G16" s="55">
        <f>'Voucher Belanja KOKA'!D14</f>
        <v>135000</v>
      </c>
      <c r="H16" s="55">
        <f>'Voucher Belanja KOKA'!E14</f>
        <v>135000</v>
      </c>
      <c r="I16" s="55">
        <f>'Voucher Belanja KOKA'!F14</f>
        <v>135000</v>
      </c>
      <c r="J16" s="55">
        <f>'Voucher Belanja KOKA'!G14</f>
        <v>0</v>
      </c>
      <c r="K16" s="55">
        <f>'Voucher Belanja KOKA'!H14</f>
        <v>135000</v>
      </c>
      <c r="L16" s="55">
        <f>'Voucher Belanja KOKA'!I14</f>
        <v>0</v>
      </c>
      <c r="M16" s="55">
        <f>'Voucher Belanja KOKA'!J14</f>
        <v>0</v>
      </c>
      <c r="N16" s="55">
        <f>'Voucher Belanja KOKA'!K14</f>
        <v>0</v>
      </c>
      <c r="O16" s="55">
        <f>'Voucher Belanja KOKA'!L14</f>
        <v>0</v>
      </c>
      <c r="P16" s="55">
        <f>'Voucher Belanja KOKA'!M14</f>
        <v>0</v>
      </c>
      <c r="Q16" s="55">
        <f>'Voucher Belanja KOKA'!N14</f>
        <v>0</v>
      </c>
      <c r="R16" s="55">
        <f>'Voucher Belanja KOKA'!O14</f>
        <v>0</v>
      </c>
      <c r="S16" s="28">
        <f t="shared" si="0"/>
        <v>540000</v>
      </c>
      <c r="T16" s="4"/>
    </row>
    <row r="17" spans="1:20" x14ac:dyDescent="0.2">
      <c r="A17" s="2">
        <v>10</v>
      </c>
      <c r="B17" s="23" t="s">
        <v>45</v>
      </c>
      <c r="C17" s="66"/>
      <c r="D17" s="67"/>
      <c r="E17" s="67"/>
      <c r="F17" s="68"/>
      <c r="G17" s="55">
        <f>'Voucher Belanja KOKA'!D15</f>
        <v>135000</v>
      </c>
      <c r="H17" s="55">
        <f>'Voucher Belanja KOKA'!E15</f>
        <v>135000</v>
      </c>
      <c r="I17" s="55">
        <f>'Voucher Belanja KOKA'!F15</f>
        <v>135000</v>
      </c>
      <c r="J17" s="55">
        <f>'Voucher Belanja KOKA'!G15</f>
        <v>0</v>
      </c>
      <c r="K17" s="55">
        <f>'Voucher Belanja KOKA'!H15</f>
        <v>135000</v>
      </c>
      <c r="L17" s="55">
        <f>'Voucher Belanja KOKA'!I15</f>
        <v>0</v>
      </c>
      <c r="M17" s="55">
        <f>'Voucher Belanja KOKA'!J15</f>
        <v>0</v>
      </c>
      <c r="N17" s="55">
        <f>'Voucher Belanja KOKA'!K15</f>
        <v>0</v>
      </c>
      <c r="O17" s="55">
        <f>'Voucher Belanja KOKA'!L15</f>
        <v>0</v>
      </c>
      <c r="P17" s="55">
        <f>'Voucher Belanja KOKA'!M15</f>
        <v>0</v>
      </c>
      <c r="Q17" s="55">
        <f>'Voucher Belanja KOKA'!N15</f>
        <v>0</v>
      </c>
      <c r="R17" s="55">
        <f>'Voucher Belanja KOKA'!O15</f>
        <v>0</v>
      </c>
      <c r="S17" s="28">
        <f t="shared" si="0"/>
        <v>540000</v>
      </c>
      <c r="T17" s="4"/>
    </row>
    <row r="18" spans="1:20" x14ac:dyDescent="0.2">
      <c r="A18" s="2">
        <v>11</v>
      </c>
      <c r="B18" s="23" t="s">
        <v>46</v>
      </c>
      <c r="C18" s="66"/>
      <c r="D18" s="67"/>
      <c r="E18" s="67"/>
      <c r="F18" s="68"/>
      <c r="G18" s="55">
        <f>'Voucher Belanja KOKA'!D16</f>
        <v>135000</v>
      </c>
      <c r="H18" s="55">
        <f>'Voucher Belanja KOKA'!E16</f>
        <v>135000</v>
      </c>
      <c r="I18" s="55">
        <f>'Voucher Belanja KOKA'!F16</f>
        <v>135000</v>
      </c>
      <c r="J18" s="55">
        <f>'Voucher Belanja KOKA'!G16</f>
        <v>0</v>
      </c>
      <c r="K18" s="55">
        <f>'Voucher Belanja KOKA'!H16</f>
        <v>135000</v>
      </c>
      <c r="L18" s="55">
        <f>'Voucher Belanja KOKA'!I16</f>
        <v>0</v>
      </c>
      <c r="M18" s="55">
        <f>'Voucher Belanja KOKA'!J16</f>
        <v>0</v>
      </c>
      <c r="N18" s="55">
        <f>'Voucher Belanja KOKA'!K16</f>
        <v>0</v>
      </c>
      <c r="O18" s="55">
        <f>'Voucher Belanja KOKA'!L16</f>
        <v>0</v>
      </c>
      <c r="P18" s="55">
        <f>'Voucher Belanja KOKA'!M16</f>
        <v>0</v>
      </c>
      <c r="Q18" s="55">
        <f>'Voucher Belanja KOKA'!N16</f>
        <v>0</v>
      </c>
      <c r="R18" s="55">
        <f>'Voucher Belanja KOKA'!O16</f>
        <v>0</v>
      </c>
      <c r="S18" s="28">
        <f t="shared" si="0"/>
        <v>540000</v>
      </c>
      <c r="T18" s="4"/>
    </row>
    <row r="19" spans="1:20" x14ac:dyDescent="0.2">
      <c r="A19" s="2">
        <v>12</v>
      </c>
      <c r="B19" s="23" t="s">
        <v>47</v>
      </c>
      <c r="C19" s="66"/>
      <c r="D19" s="67"/>
      <c r="E19" s="67"/>
      <c r="F19" s="68"/>
      <c r="G19" s="55">
        <f>'Voucher Belanja KOKA'!D17</f>
        <v>135000</v>
      </c>
      <c r="H19" s="55">
        <f>'Voucher Belanja KOKA'!E17</f>
        <v>135000</v>
      </c>
      <c r="I19" s="55">
        <f>'Voucher Belanja KOKA'!F17</f>
        <v>135000</v>
      </c>
      <c r="J19" s="55">
        <f>'Voucher Belanja KOKA'!G17</f>
        <v>0</v>
      </c>
      <c r="K19" s="55">
        <f>'Voucher Belanja KOKA'!H17</f>
        <v>135000</v>
      </c>
      <c r="L19" s="55">
        <f>'Voucher Belanja KOKA'!I17</f>
        <v>0</v>
      </c>
      <c r="M19" s="55">
        <f>'Voucher Belanja KOKA'!J17</f>
        <v>0</v>
      </c>
      <c r="N19" s="55">
        <f>'Voucher Belanja KOKA'!K17</f>
        <v>0</v>
      </c>
      <c r="O19" s="55">
        <f>'Voucher Belanja KOKA'!L17</f>
        <v>0</v>
      </c>
      <c r="P19" s="55">
        <f>'Voucher Belanja KOKA'!M17</f>
        <v>0</v>
      </c>
      <c r="Q19" s="55">
        <f>'Voucher Belanja KOKA'!N17</f>
        <v>0</v>
      </c>
      <c r="R19" s="55">
        <f>'Voucher Belanja KOKA'!O17</f>
        <v>0</v>
      </c>
      <c r="S19" s="28">
        <f t="shared" si="0"/>
        <v>540000</v>
      </c>
      <c r="T19" s="4"/>
    </row>
    <row r="20" spans="1:20" x14ac:dyDescent="0.2">
      <c r="A20" s="2">
        <v>13</v>
      </c>
      <c r="B20" s="23" t="s">
        <v>123</v>
      </c>
      <c r="C20" s="66"/>
      <c r="D20" s="67"/>
      <c r="E20" s="67"/>
      <c r="F20" s="68"/>
      <c r="G20" s="55">
        <f>'Voucher Belanja KOKA'!D18</f>
        <v>135000</v>
      </c>
      <c r="H20" s="55">
        <f>'Voucher Belanja KOKA'!E18</f>
        <v>135000</v>
      </c>
      <c r="I20" s="55">
        <f>'Voucher Belanja KOKA'!F18</f>
        <v>135000</v>
      </c>
      <c r="J20" s="55">
        <f>'Voucher Belanja KOKA'!G18</f>
        <v>0</v>
      </c>
      <c r="K20" s="55">
        <f>'Voucher Belanja KOKA'!H18</f>
        <v>135000</v>
      </c>
      <c r="L20" s="55">
        <f>'Voucher Belanja KOKA'!I18</f>
        <v>0</v>
      </c>
      <c r="M20" s="55">
        <f>'Voucher Belanja KOKA'!J18</f>
        <v>0</v>
      </c>
      <c r="N20" s="55">
        <f>'Voucher Belanja KOKA'!K18</f>
        <v>0</v>
      </c>
      <c r="O20" s="55">
        <f>'Voucher Belanja KOKA'!L18</f>
        <v>0</v>
      </c>
      <c r="P20" s="55">
        <f>'Voucher Belanja KOKA'!M18</f>
        <v>0</v>
      </c>
      <c r="Q20" s="55">
        <f>'Voucher Belanja KOKA'!N18</f>
        <v>0</v>
      </c>
      <c r="R20" s="55">
        <f>'Voucher Belanja KOKA'!O18</f>
        <v>0</v>
      </c>
      <c r="S20" s="28">
        <f t="shared" si="0"/>
        <v>540000</v>
      </c>
      <c r="T20" s="4"/>
    </row>
    <row r="21" spans="1:20" x14ac:dyDescent="0.2">
      <c r="A21" s="2">
        <v>14</v>
      </c>
      <c r="B21" s="23" t="s">
        <v>48</v>
      </c>
      <c r="C21" s="66"/>
      <c r="D21" s="67"/>
      <c r="E21" s="67"/>
      <c r="F21" s="68"/>
      <c r="G21" s="55">
        <f>'Voucher Belanja KOKA'!D19</f>
        <v>135000</v>
      </c>
      <c r="H21" s="55">
        <f>'Voucher Belanja KOKA'!E19</f>
        <v>135000</v>
      </c>
      <c r="I21" s="55">
        <f>'Voucher Belanja KOKA'!F19</f>
        <v>135000</v>
      </c>
      <c r="J21" s="55">
        <f>'Voucher Belanja KOKA'!G19</f>
        <v>0</v>
      </c>
      <c r="K21" s="55">
        <f>'Voucher Belanja KOKA'!H19</f>
        <v>135000</v>
      </c>
      <c r="L21" s="55">
        <f>'Voucher Belanja KOKA'!I19</f>
        <v>0</v>
      </c>
      <c r="M21" s="55">
        <f>'Voucher Belanja KOKA'!J19</f>
        <v>0</v>
      </c>
      <c r="N21" s="55">
        <f>'Voucher Belanja KOKA'!K19</f>
        <v>0</v>
      </c>
      <c r="O21" s="55">
        <f>'Voucher Belanja KOKA'!L19</f>
        <v>0</v>
      </c>
      <c r="P21" s="55">
        <f>'Voucher Belanja KOKA'!M19</f>
        <v>0</v>
      </c>
      <c r="Q21" s="55">
        <f>'Voucher Belanja KOKA'!N19</f>
        <v>0</v>
      </c>
      <c r="R21" s="55">
        <f>'Voucher Belanja KOKA'!O19</f>
        <v>0</v>
      </c>
      <c r="S21" s="28">
        <f t="shared" si="0"/>
        <v>540000</v>
      </c>
      <c r="T21" s="4"/>
    </row>
    <row r="22" spans="1:20" x14ac:dyDescent="0.2">
      <c r="A22" s="2">
        <v>15</v>
      </c>
      <c r="B22" s="23" t="s">
        <v>49</v>
      </c>
      <c r="C22" s="66"/>
      <c r="D22" s="67"/>
      <c r="E22" s="67"/>
      <c r="F22" s="68"/>
      <c r="G22" s="55">
        <f>'Voucher Belanja KOKA'!D20</f>
        <v>135000</v>
      </c>
      <c r="H22" s="55">
        <f>'Voucher Belanja KOKA'!E20</f>
        <v>135000</v>
      </c>
      <c r="I22" s="55">
        <f>'Voucher Belanja KOKA'!F20</f>
        <v>135000</v>
      </c>
      <c r="J22" s="55">
        <f>'Voucher Belanja KOKA'!G20</f>
        <v>0</v>
      </c>
      <c r="K22" s="55">
        <f>'Voucher Belanja KOKA'!H20</f>
        <v>135000</v>
      </c>
      <c r="L22" s="55">
        <f>'Voucher Belanja KOKA'!I20</f>
        <v>0</v>
      </c>
      <c r="M22" s="55">
        <f>'Voucher Belanja KOKA'!J20</f>
        <v>0</v>
      </c>
      <c r="N22" s="55">
        <f>'Voucher Belanja KOKA'!K20</f>
        <v>0</v>
      </c>
      <c r="O22" s="55">
        <f>'Voucher Belanja KOKA'!L20</f>
        <v>0</v>
      </c>
      <c r="P22" s="55">
        <f>'Voucher Belanja KOKA'!M20</f>
        <v>0</v>
      </c>
      <c r="Q22" s="55">
        <f>'Voucher Belanja KOKA'!N20</f>
        <v>0</v>
      </c>
      <c r="R22" s="55">
        <f>'Voucher Belanja KOKA'!O20</f>
        <v>0</v>
      </c>
      <c r="S22" s="28">
        <f t="shared" si="0"/>
        <v>540000</v>
      </c>
      <c r="T22" s="4"/>
    </row>
    <row r="23" spans="1:20" x14ac:dyDescent="0.2">
      <c r="A23" s="2">
        <v>16</v>
      </c>
      <c r="B23" s="23" t="s">
        <v>50</v>
      </c>
      <c r="C23" s="66"/>
      <c r="D23" s="67"/>
      <c r="E23" s="67"/>
      <c r="F23" s="68"/>
      <c r="G23" s="55">
        <f>'Voucher Belanja KOKA'!D21</f>
        <v>135000</v>
      </c>
      <c r="H23" s="55">
        <f>'Voucher Belanja KOKA'!E21</f>
        <v>135000</v>
      </c>
      <c r="I23" s="55">
        <f>'Voucher Belanja KOKA'!F21</f>
        <v>135000</v>
      </c>
      <c r="J23" s="55">
        <f>'Voucher Belanja KOKA'!G21</f>
        <v>0</v>
      </c>
      <c r="K23" s="55">
        <f>'Voucher Belanja KOKA'!H21</f>
        <v>135000</v>
      </c>
      <c r="L23" s="55">
        <f>'Voucher Belanja KOKA'!I21</f>
        <v>0</v>
      </c>
      <c r="M23" s="55">
        <f>'Voucher Belanja KOKA'!J21</f>
        <v>0</v>
      </c>
      <c r="N23" s="55">
        <f>'Voucher Belanja KOKA'!K21</f>
        <v>0</v>
      </c>
      <c r="O23" s="55">
        <f>'Voucher Belanja KOKA'!L21</f>
        <v>0</v>
      </c>
      <c r="P23" s="55">
        <f>'Voucher Belanja KOKA'!M21</f>
        <v>0</v>
      </c>
      <c r="Q23" s="55">
        <f>'Voucher Belanja KOKA'!N21</f>
        <v>0</v>
      </c>
      <c r="R23" s="55">
        <f>'Voucher Belanja KOKA'!O21</f>
        <v>0</v>
      </c>
      <c r="S23" s="28">
        <f t="shared" si="0"/>
        <v>540000</v>
      </c>
      <c r="T23" s="4"/>
    </row>
    <row r="24" spans="1:20" x14ac:dyDescent="0.2">
      <c r="A24" s="2">
        <v>17</v>
      </c>
      <c r="B24" s="23" t="s">
        <v>51</v>
      </c>
      <c r="C24" s="66"/>
      <c r="D24" s="67"/>
      <c r="E24" s="67"/>
      <c r="F24" s="68"/>
      <c r="G24" s="55">
        <f>'Voucher Belanja KOKA'!D22</f>
        <v>135000</v>
      </c>
      <c r="H24" s="55">
        <f>'Voucher Belanja KOKA'!E22</f>
        <v>135000</v>
      </c>
      <c r="I24" s="55">
        <f>'Voucher Belanja KOKA'!F22</f>
        <v>135000</v>
      </c>
      <c r="J24" s="55">
        <f>'Voucher Belanja KOKA'!G22</f>
        <v>0</v>
      </c>
      <c r="K24" s="55">
        <f>'Voucher Belanja KOKA'!H22</f>
        <v>135000</v>
      </c>
      <c r="L24" s="55">
        <f>'Voucher Belanja KOKA'!I22</f>
        <v>0</v>
      </c>
      <c r="M24" s="55">
        <f>'Voucher Belanja KOKA'!J22</f>
        <v>0</v>
      </c>
      <c r="N24" s="55">
        <f>'Voucher Belanja KOKA'!K22</f>
        <v>0</v>
      </c>
      <c r="O24" s="55">
        <f>'Voucher Belanja KOKA'!L22</f>
        <v>0</v>
      </c>
      <c r="P24" s="55">
        <f>'Voucher Belanja KOKA'!M22</f>
        <v>0</v>
      </c>
      <c r="Q24" s="55">
        <f>'Voucher Belanja KOKA'!N22</f>
        <v>0</v>
      </c>
      <c r="R24" s="55">
        <f>'Voucher Belanja KOKA'!O22</f>
        <v>0</v>
      </c>
      <c r="S24" s="28">
        <f t="shared" si="0"/>
        <v>540000</v>
      </c>
      <c r="T24" s="4"/>
    </row>
    <row r="25" spans="1:20" x14ac:dyDescent="0.2">
      <c r="A25" s="2">
        <v>18</v>
      </c>
      <c r="B25" s="23" t="s">
        <v>52</v>
      </c>
      <c r="C25" s="66"/>
      <c r="D25" s="67"/>
      <c r="E25" s="67"/>
      <c r="F25" s="68"/>
      <c r="G25" s="55">
        <f>'Voucher Belanja KOKA'!D23</f>
        <v>135000</v>
      </c>
      <c r="H25" s="55">
        <f>'Voucher Belanja KOKA'!E23</f>
        <v>135000</v>
      </c>
      <c r="I25" s="55">
        <f>'Voucher Belanja KOKA'!F23</f>
        <v>135000</v>
      </c>
      <c r="J25" s="55">
        <f>'Voucher Belanja KOKA'!G23</f>
        <v>0</v>
      </c>
      <c r="K25" s="55">
        <f>'Voucher Belanja KOKA'!H23</f>
        <v>135000</v>
      </c>
      <c r="L25" s="55">
        <f>'Voucher Belanja KOKA'!I23</f>
        <v>0</v>
      </c>
      <c r="M25" s="55">
        <f>'Voucher Belanja KOKA'!J23</f>
        <v>0</v>
      </c>
      <c r="N25" s="55">
        <f>'Voucher Belanja KOKA'!K23</f>
        <v>0</v>
      </c>
      <c r="O25" s="55">
        <f>'Voucher Belanja KOKA'!L23</f>
        <v>0</v>
      </c>
      <c r="P25" s="55">
        <f>'Voucher Belanja KOKA'!M23</f>
        <v>0</v>
      </c>
      <c r="Q25" s="55">
        <f>'Voucher Belanja KOKA'!N23</f>
        <v>0</v>
      </c>
      <c r="R25" s="55">
        <f>'Voucher Belanja KOKA'!O23</f>
        <v>0</v>
      </c>
      <c r="S25" s="28">
        <f t="shared" si="0"/>
        <v>540000</v>
      </c>
      <c r="T25" s="4"/>
    </row>
    <row r="26" spans="1:20" x14ac:dyDescent="0.2">
      <c r="A26" s="2">
        <v>19</v>
      </c>
      <c r="B26" s="23" t="s">
        <v>53</v>
      </c>
      <c r="C26" s="66"/>
      <c r="D26" s="67"/>
      <c r="E26" s="67"/>
      <c r="F26" s="68"/>
      <c r="G26" s="55">
        <f>'Voucher Belanja KOKA'!D24</f>
        <v>135000</v>
      </c>
      <c r="H26" s="55">
        <f>'Voucher Belanja KOKA'!E24</f>
        <v>135000</v>
      </c>
      <c r="I26" s="55">
        <f>'Voucher Belanja KOKA'!F24</f>
        <v>135000</v>
      </c>
      <c r="J26" s="55">
        <f>'Voucher Belanja KOKA'!G24</f>
        <v>0</v>
      </c>
      <c r="K26" s="55">
        <f>'Voucher Belanja KOKA'!H24</f>
        <v>135000</v>
      </c>
      <c r="L26" s="55">
        <f>'Voucher Belanja KOKA'!I24</f>
        <v>0</v>
      </c>
      <c r="M26" s="55">
        <f>'Voucher Belanja KOKA'!J24</f>
        <v>0</v>
      </c>
      <c r="N26" s="55">
        <f>'Voucher Belanja KOKA'!K24</f>
        <v>0</v>
      </c>
      <c r="O26" s="55">
        <f>'Voucher Belanja KOKA'!L24</f>
        <v>0</v>
      </c>
      <c r="P26" s="55">
        <f>'Voucher Belanja KOKA'!M24</f>
        <v>0</v>
      </c>
      <c r="Q26" s="55">
        <f>'Voucher Belanja KOKA'!N24</f>
        <v>0</v>
      </c>
      <c r="R26" s="55">
        <f>'Voucher Belanja KOKA'!O24</f>
        <v>0</v>
      </c>
      <c r="S26" s="28">
        <f t="shared" si="0"/>
        <v>540000</v>
      </c>
      <c r="T26" s="4"/>
    </row>
    <row r="27" spans="1:20" x14ac:dyDescent="0.2">
      <c r="A27" s="2">
        <v>20</v>
      </c>
      <c r="B27" s="23" t="s">
        <v>54</v>
      </c>
      <c r="C27" s="66"/>
      <c r="D27" s="67"/>
      <c r="E27" s="67"/>
      <c r="F27" s="68"/>
      <c r="G27" s="55">
        <f>'Voucher Belanja KOKA'!D25</f>
        <v>135000</v>
      </c>
      <c r="H27" s="55">
        <f>'Voucher Belanja KOKA'!E25</f>
        <v>135000</v>
      </c>
      <c r="I27" s="55">
        <f>'Voucher Belanja KOKA'!F25</f>
        <v>135000</v>
      </c>
      <c r="J27" s="55">
        <f>'Voucher Belanja KOKA'!G25</f>
        <v>0</v>
      </c>
      <c r="K27" s="55">
        <f>'Voucher Belanja KOKA'!H25</f>
        <v>135000</v>
      </c>
      <c r="L27" s="55">
        <f>'Voucher Belanja KOKA'!I25</f>
        <v>0</v>
      </c>
      <c r="M27" s="55">
        <f>'Voucher Belanja KOKA'!J25</f>
        <v>0</v>
      </c>
      <c r="N27" s="55">
        <f>'Voucher Belanja KOKA'!K25</f>
        <v>0</v>
      </c>
      <c r="O27" s="55">
        <f>'Voucher Belanja KOKA'!L25</f>
        <v>0</v>
      </c>
      <c r="P27" s="55">
        <f>'Voucher Belanja KOKA'!M25</f>
        <v>0</v>
      </c>
      <c r="Q27" s="55">
        <f>'Voucher Belanja KOKA'!N25</f>
        <v>0</v>
      </c>
      <c r="R27" s="55">
        <f>'Voucher Belanja KOKA'!O25</f>
        <v>0</v>
      </c>
      <c r="S27" s="28">
        <f t="shared" si="0"/>
        <v>540000</v>
      </c>
      <c r="T27" s="4"/>
    </row>
    <row r="28" spans="1:20" x14ac:dyDescent="0.2">
      <c r="A28" s="2">
        <v>21</v>
      </c>
      <c r="B28" s="23" t="s">
        <v>55</v>
      </c>
      <c r="C28" s="66"/>
      <c r="D28" s="67"/>
      <c r="E28" s="67"/>
      <c r="F28" s="68"/>
      <c r="G28" s="55">
        <f>'Voucher Belanja KOKA'!D26</f>
        <v>135000</v>
      </c>
      <c r="H28" s="55">
        <f>'Voucher Belanja KOKA'!E26</f>
        <v>135000</v>
      </c>
      <c r="I28" s="55">
        <f>'Voucher Belanja KOKA'!F26</f>
        <v>135000</v>
      </c>
      <c r="J28" s="55">
        <f>'Voucher Belanja KOKA'!G26</f>
        <v>0</v>
      </c>
      <c r="K28" s="55">
        <f>'Voucher Belanja KOKA'!H26</f>
        <v>135000</v>
      </c>
      <c r="L28" s="55">
        <f>'Voucher Belanja KOKA'!I26</f>
        <v>0</v>
      </c>
      <c r="M28" s="55">
        <f>'Voucher Belanja KOKA'!J26</f>
        <v>0</v>
      </c>
      <c r="N28" s="55">
        <f>'Voucher Belanja KOKA'!K26</f>
        <v>0</v>
      </c>
      <c r="O28" s="55">
        <f>'Voucher Belanja KOKA'!L26</f>
        <v>0</v>
      </c>
      <c r="P28" s="55">
        <f>'Voucher Belanja KOKA'!M26</f>
        <v>0</v>
      </c>
      <c r="Q28" s="55">
        <f>'Voucher Belanja KOKA'!N26</f>
        <v>0</v>
      </c>
      <c r="R28" s="55">
        <f>'Voucher Belanja KOKA'!O26</f>
        <v>0</v>
      </c>
      <c r="S28" s="28">
        <f t="shared" si="0"/>
        <v>540000</v>
      </c>
      <c r="T28" s="4"/>
    </row>
    <row r="29" spans="1:20" x14ac:dyDescent="0.2">
      <c r="A29" s="2">
        <v>22</v>
      </c>
      <c r="B29" s="23" t="s">
        <v>56</v>
      </c>
      <c r="C29" s="66"/>
      <c r="D29" s="67"/>
      <c r="E29" s="60"/>
      <c r="F29" s="68"/>
      <c r="G29" s="55">
        <f>'Voucher Belanja KOKA'!D27+'Pinjaman Barang Primer Harian'!C7</f>
        <v>195900</v>
      </c>
      <c r="H29" s="55">
        <f>'Voucher Belanja KOKA'!E27+'Pinjaman Barang Primer Harian'!D7</f>
        <v>135000</v>
      </c>
      <c r="I29" s="55">
        <f>'Voucher Belanja KOKA'!F27+'Pinjaman Barang Primer Harian'!E7</f>
        <v>135000</v>
      </c>
      <c r="J29" s="55">
        <f>'Voucher Belanja KOKA'!G27+'Pinjaman Barang Primer Harian'!F7</f>
        <v>0</v>
      </c>
      <c r="K29" s="55">
        <f>'Voucher Belanja KOKA'!H27+'Pinjaman Barang Primer Harian'!G7</f>
        <v>135000</v>
      </c>
      <c r="L29" s="55">
        <f>'Voucher Belanja KOKA'!I27+'Pinjaman Barang Primer Harian'!H7</f>
        <v>0</v>
      </c>
      <c r="M29" s="55">
        <f>'Voucher Belanja KOKA'!J27+'Pinjaman Barang Primer Harian'!I7</f>
        <v>0</v>
      </c>
      <c r="N29" s="55">
        <f>'Voucher Belanja KOKA'!K27+'Pinjaman Barang Primer Harian'!J7</f>
        <v>0</v>
      </c>
      <c r="O29" s="55">
        <f>'Voucher Belanja KOKA'!L27+'Pinjaman Barang Primer Harian'!K7</f>
        <v>0</v>
      </c>
      <c r="P29" s="55">
        <f>'Voucher Belanja KOKA'!M27+'Pinjaman Barang Primer Harian'!L7</f>
        <v>0</v>
      </c>
      <c r="Q29" s="55">
        <f>'Voucher Belanja KOKA'!N27+'Pinjaman Barang Primer Harian'!M7</f>
        <v>0</v>
      </c>
      <c r="R29" s="55">
        <f>'Voucher Belanja KOKA'!O27+'Pinjaman Barang Primer Harian'!N7</f>
        <v>0</v>
      </c>
      <c r="S29" s="28">
        <f t="shared" si="0"/>
        <v>600900</v>
      </c>
      <c r="T29" s="4"/>
    </row>
    <row r="30" spans="1:20" x14ac:dyDescent="0.2">
      <c r="A30" s="2">
        <v>23</v>
      </c>
      <c r="B30" s="23" t="s">
        <v>57</v>
      </c>
      <c r="C30" s="66"/>
      <c r="D30" s="67"/>
      <c r="E30" s="67"/>
      <c r="F30" s="68"/>
      <c r="G30" s="55">
        <f>'Voucher Belanja KOKA'!D28</f>
        <v>135000</v>
      </c>
      <c r="H30" s="55">
        <f>'Voucher Belanja KOKA'!E28</f>
        <v>135000</v>
      </c>
      <c r="I30" s="55">
        <f>'Voucher Belanja KOKA'!F28</f>
        <v>135000</v>
      </c>
      <c r="J30" s="55">
        <f>'Voucher Belanja KOKA'!G28</f>
        <v>0</v>
      </c>
      <c r="K30" s="55">
        <f>'Voucher Belanja KOKA'!H28</f>
        <v>135000</v>
      </c>
      <c r="L30" s="55">
        <f>'Voucher Belanja KOKA'!I28</f>
        <v>0</v>
      </c>
      <c r="M30" s="55">
        <f>'Voucher Belanja KOKA'!J28</f>
        <v>0</v>
      </c>
      <c r="N30" s="55">
        <f>'Voucher Belanja KOKA'!K28</f>
        <v>0</v>
      </c>
      <c r="O30" s="55">
        <f>'Voucher Belanja KOKA'!L28</f>
        <v>0</v>
      </c>
      <c r="P30" s="55">
        <f>'Voucher Belanja KOKA'!M28</f>
        <v>0</v>
      </c>
      <c r="Q30" s="55">
        <f>'Voucher Belanja KOKA'!N28</f>
        <v>0</v>
      </c>
      <c r="R30" s="55">
        <f>'Voucher Belanja KOKA'!O28</f>
        <v>0</v>
      </c>
      <c r="S30" s="28">
        <f t="shared" si="0"/>
        <v>540000</v>
      </c>
      <c r="T30" s="4"/>
    </row>
    <row r="31" spans="1:20" x14ac:dyDescent="0.2">
      <c r="A31" s="2">
        <v>24</v>
      </c>
      <c r="B31" s="23" t="s">
        <v>126</v>
      </c>
      <c r="C31" s="66"/>
      <c r="D31" s="67"/>
      <c r="E31" s="67"/>
      <c r="F31" s="68"/>
      <c r="G31" s="55">
        <f>'Voucher Belanja KOKA'!D29</f>
        <v>135000</v>
      </c>
      <c r="H31" s="55">
        <f>'Voucher Belanja KOKA'!E29</f>
        <v>135000</v>
      </c>
      <c r="I31" s="55">
        <f>'Voucher Belanja KOKA'!F29</f>
        <v>135000</v>
      </c>
      <c r="J31" s="55">
        <f>'Voucher Belanja KOKA'!G29</f>
        <v>0</v>
      </c>
      <c r="K31" s="55">
        <f>'Voucher Belanja KOKA'!H29</f>
        <v>135000</v>
      </c>
      <c r="L31" s="55">
        <f>'Voucher Belanja KOKA'!I29</f>
        <v>0</v>
      </c>
      <c r="M31" s="55">
        <f>'Voucher Belanja KOKA'!J29</f>
        <v>0</v>
      </c>
      <c r="N31" s="55">
        <f>'Voucher Belanja KOKA'!K29</f>
        <v>0</v>
      </c>
      <c r="O31" s="55">
        <f>'Voucher Belanja KOKA'!L29</f>
        <v>0</v>
      </c>
      <c r="P31" s="55">
        <f>'Voucher Belanja KOKA'!M29</f>
        <v>0</v>
      </c>
      <c r="Q31" s="55">
        <f>'Voucher Belanja KOKA'!N29</f>
        <v>0</v>
      </c>
      <c r="R31" s="55">
        <f>'Voucher Belanja KOKA'!O29</f>
        <v>0</v>
      </c>
      <c r="S31" s="28">
        <f t="shared" si="0"/>
        <v>540000</v>
      </c>
      <c r="T31" s="4"/>
    </row>
    <row r="32" spans="1:20" x14ac:dyDescent="0.2">
      <c r="A32" s="2">
        <v>25</v>
      </c>
      <c r="B32" s="23" t="s">
        <v>58</v>
      </c>
      <c r="C32" s="66"/>
      <c r="D32" s="67"/>
      <c r="E32" s="67"/>
      <c r="F32" s="68"/>
      <c r="G32" s="55">
        <f>'Voucher Belanja KOKA'!D30</f>
        <v>135000</v>
      </c>
      <c r="H32" s="55">
        <f>'Voucher Belanja KOKA'!E30</f>
        <v>135000</v>
      </c>
      <c r="I32" s="55">
        <f>'Voucher Belanja KOKA'!F30</f>
        <v>135000</v>
      </c>
      <c r="J32" s="55">
        <f>'Voucher Belanja KOKA'!G30</f>
        <v>0</v>
      </c>
      <c r="K32" s="55">
        <f>'Voucher Belanja KOKA'!H30</f>
        <v>135000</v>
      </c>
      <c r="L32" s="55">
        <f>'Voucher Belanja KOKA'!I30</f>
        <v>0</v>
      </c>
      <c r="M32" s="55">
        <f>'Voucher Belanja KOKA'!J30</f>
        <v>0</v>
      </c>
      <c r="N32" s="55">
        <f>'Voucher Belanja KOKA'!K30</f>
        <v>0</v>
      </c>
      <c r="O32" s="55">
        <f>'Voucher Belanja KOKA'!L30</f>
        <v>0</v>
      </c>
      <c r="P32" s="55">
        <f>'Voucher Belanja KOKA'!M30</f>
        <v>0</v>
      </c>
      <c r="Q32" s="55">
        <f>'Voucher Belanja KOKA'!N30</f>
        <v>0</v>
      </c>
      <c r="R32" s="55">
        <f>'Voucher Belanja KOKA'!O30</f>
        <v>0</v>
      </c>
      <c r="S32" s="28">
        <f t="shared" si="0"/>
        <v>540000</v>
      </c>
      <c r="T32" s="4"/>
    </row>
    <row r="33" spans="1:20" x14ac:dyDescent="0.2">
      <c r="A33" s="2">
        <v>26</v>
      </c>
      <c r="B33" s="23" t="s">
        <v>59</v>
      </c>
      <c r="C33" s="66"/>
      <c r="D33" s="67"/>
      <c r="E33" s="67"/>
      <c r="F33" s="68"/>
      <c r="G33" s="55">
        <f>'Voucher Belanja KOKA'!D31</f>
        <v>135000</v>
      </c>
      <c r="H33" s="55">
        <f>'Voucher Belanja KOKA'!E31</f>
        <v>135000</v>
      </c>
      <c r="I33" s="55">
        <f>'Voucher Belanja KOKA'!F31</f>
        <v>135000</v>
      </c>
      <c r="J33" s="55">
        <f>'Voucher Belanja KOKA'!G31</f>
        <v>0</v>
      </c>
      <c r="K33" s="55">
        <f>'Voucher Belanja KOKA'!H31</f>
        <v>135000</v>
      </c>
      <c r="L33" s="55">
        <f>'Voucher Belanja KOKA'!I31</f>
        <v>0</v>
      </c>
      <c r="M33" s="55">
        <f>'Voucher Belanja KOKA'!J31</f>
        <v>0</v>
      </c>
      <c r="N33" s="55">
        <f>'Voucher Belanja KOKA'!K31</f>
        <v>0</v>
      </c>
      <c r="O33" s="55">
        <f>'Voucher Belanja KOKA'!L31</f>
        <v>0</v>
      </c>
      <c r="P33" s="55">
        <f>'Voucher Belanja KOKA'!M31</f>
        <v>0</v>
      </c>
      <c r="Q33" s="55">
        <f>'Voucher Belanja KOKA'!N31</f>
        <v>0</v>
      </c>
      <c r="R33" s="55">
        <f>'Voucher Belanja KOKA'!O31</f>
        <v>0</v>
      </c>
      <c r="S33" s="28">
        <f t="shared" si="0"/>
        <v>540000</v>
      </c>
      <c r="T33" s="4"/>
    </row>
    <row r="34" spans="1:20" x14ac:dyDescent="0.2">
      <c r="A34" s="2">
        <v>27</v>
      </c>
      <c r="B34" s="23" t="s">
        <v>60</v>
      </c>
      <c r="C34" s="66"/>
      <c r="D34" s="67"/>
      <c r="E34" s="67"/>
      <c r="F34" s="68"/>
      <c r="G34" s="55">
        <f>'Voucher Belanja KOKA'!D32</f>
        <v>135000</v>
      </c>
      <c r="H34" s="55">
        <f>'Voucher Belanja KOKA'!E32</f>
        <v>135000</v>
      </c>
      <c r="I34" s="55">
        <f>'Voucher Belanja KOKA'!F32</f>
        <v>135000</v>
      </c>
      <c r="J34" s="55">
        <f>'Voucher Belanja KOKA'!G32</f>
        <v>0</v>
      </c>
      <c r="K34" s="55">
        <f>'Voucher Belanja KOKA'!H32</f>
        <v>135000</v>
      </c>
      <c r="L34" s="55">
        <f>'Voucher Belanja KOKA'!I32</f>
        <v>0</v>
      </c>
      <c r="M34" s="55">
        <f>'Voucher Belanja KOKA'!J32</f>
        <v>0</v>
      </c>
      <c r="N34" s="55">
        <f>'Voucher Belanja KOKA'!K32</f>
        <v>0</v>
      </c>
      <c r="O34" s="55">
        <f>'Voucher Belanja KOKA'!L32</f>
        <v>0</v>
      </c>
      <c r="P34" s="55">
        <f>'Voucher Belanja KOKA'!M32</f>
        <v>0</v>
      </c>
      <c r="Q34" s="55">
        <f>'Voucher Belanja KOKA'!N32</f>
        <v>0</v>
      </c>
      <c r="R34" s="55">
        <f>'Voucher Belanja KOKA'!O32</f>
        <v>0</v>
      </c>
      <c r="S34" s="28">
        <f t="shared" si="0"/>
        <v>540000</v>
      </c>
      <c r="T34" s="4"/>
    </row>
    <row r="35" spans="1:20" x14ac:dyDescent="0.2">
      <c r="A35" s="2">
        <v>28</v>
      </c>
      <c r="B35" s="25" t="s">
        <v>127</v>
      </c>
      <c r="C35" s="69"/>
      <c r="D35" s="70"/>
      <c r="E35" s="70"/>
      <c r="F35" s="71"/>
      <c r="G35" s="55">
        <f>'Voucher Belanja KOKA'!D33</f>
        <v>135000</v>
      </c>
      <c r="H35" s="55">
        <f>'Voucher Belanja KOKA'!E33</f>
        <v>135000</v>
      </c>
      <c r="I35" s="55">
        <f>'Voucher Belanja KOKA'!F33</f>
        <v>135000</v>
      </c>
      <c r="J35" s="55">
        <f>'Voucher Belanja KOKA'!G33</f>
        <v>0</v>
      </c>
      <c r="K35" s="55">
        <f>'Voucher Belanja KOKA'!H33</f>
        <v>135000</v>
      </c>
      <c r="L35" s="55">
        <f>'Voucher Belanja KOKA'!I33</f>
        <v>0</v>
      </c>
      <c r="M35" s="55">
        <f>'Voucher Belanja KOKA'!J33</f>
        <v>0</v>
      </c>
      <c r="N35" s="55">
        <f>'Voucher Belanja KOKA'!K33</f>
        <v>0</v>
      </c>
      <c r="O35" s="55">
        <f>'Voucher Belanja KOKA'!L33</f>
        <v>0</v>
      </c>
      <c r="P35" s="55">
        <f>'Voucher Belanja KOKA'!M33</f>
        <v>0</v>
      </c>
      <c r="Q35" s="55">
        <f>'Voucher Belanja KOKA'!N33</f>
        <v>0</v>
      </c>
      <c r="R35" s="55">
        <f>'Voucher Belanja KOKA'!O33</f>
        <v>0</v>
      </c>
      <c r="S35" s="28">
        <f t="shared" si="0"/>
        <v>540000</v>
      </c>
      <c r="T35" s="4"/>
    </row>
    <row r="36" spans="1:20" x14ac:dyDescent="0.2">
      <c r="A36" s="2">
        <v>29</v>
      </c>
      <c r="B36" s="25" t="s">
        <v>128</v>
      </c>
      <c r="C36" s="69"/>
      <c r="D36" s="70"/>
      <c r="E36" s="70"/>
      <c r="F36" s="71"/>
      <c r="G36" s="55">
        <f>'Voucher Belanja KOKA'!D34</f>
        <v>135000</v>
      </c>
      <c r="H36" s="55">
        <f>'Voucher Belanja KOKA'!E34</f>
        <v>135000</v>
      </c>
      <c r="I36" s="55">
        <f>'Voucher Belanja KOKA'!F34</f>
        <v>135000</v>
      </c>
      <c r="J36" s="55">
        <f>'Voucher Belanja KOKA'!G34</f>
        <v>0</v>
      </c>
      <c r="K36" s="55">
        <f>'Voucher Belanja KOKA'!H34</f>
        <v>135000</v>
      </c>
      <c r="L36" s="55">
        <f>'Voucher Belanja KOKA'!I34</f>
        <v>0</v>
      </c>
      <c r="M36" s="55">
        <f>'Voucher Belanja KOKA'!J34</f>
        <v>0</v>
      </c>
      <c r="N36" s="55">
        <f>'Voucher Belanja KOKA'!K34</f>
        <v>0</v>
      </c>
      <c r="O36" s="55">
        <f>'Voucher Belanja KOKA'!L34</f>
        <v>0</v>
      </c>
      <c r="P36" s="55">
        <f>'Voucher Belanja KOKA'!M34</f>
        <v>0</v>
      </c>
      <c r="Q36" s="55">
        <f>'Voucher Belanja KOKA'!N34</f>
        <v>0</v>
      </c>
      <c r="R36" s="55">
        <f>'Voucher Belanja KOKA'!O34</f>
        <v>0</v>
      </c>
      <c r="S36" s="28">
        <f t="shared" si="0"/>
        <v>540000</v>
      </c>
      <c r="T36" s="4"/>
    </row>
    <row r="37" spans="1:20" x14ac:dyDescent="0.2">
      <c r="A37" s="2">
        <v>30</v>
      </c>
      <c r="B37" s="25" t="s">
        <v>129</v>
      </c>
      <c r="C37" s="69"/>
      <c r="D37" s="70"/>
      <c r="E37" s="70"/>
      <c r="F37" s="71"/>
      <c r="G37" s="55">
        <f>'Voucher Belanja KOKA'!D35</f>
        <v>135000</v>
      </c>
      <c r="H37" s="55">
        <f>'Voucher Belanja KOKA'!E35</f>
        <v>135000</v>
      </c>
      <c r="I37" s="55">
        <f>'Voucher Belanja KOKA'!F35</f>
        <v>135000</v>
      </c>
      <c r="J37" s="55">
        <f>'Voucher Belanja KOKA'!G35</f>
        <v>0</v>
      </c>
      <c r="K37" s="55">
        <f>'Voucher Belanja KOKA'!H35</f>
        <v>135000</v>
      </c>
      <c r="L37" s="55">
        <f>'Voucher Belanja KOKA'!I35</f>
        <v>0</v>
      </c>
      <c r="M37" s="55">
        <f>'Voucher Belanja KOKA'!J35</f>
        <v>0</v>
      </c>
      <c r="N37" s="55">
        <f>'Voucher Belanja KOKA'!K35</f>
        <v>0</v>
      </c>
      <c r="O37" s="55">
        <f>'Voucher Belanja KOKA'!L35</f>
        <v>0</v>
      </c>
      <c r="P37" s="55">
        <f>'Voucher Belanja KOKA'!M35</f>
        <v>0</v>
      </c>
      <c r="Q37" s="55">
        <f>'Voucher Belanja KOKA'!N35</f>
        <v>0</v>
      </c>
      <c r="R37" s="55">
        <f>'Voucher Belanja KOKA'!O35</f>
        <v>0</v>
      </c>
      <c r="S37" s="28">
        <f t="shared" si="0"/>
        <v>540000</v>
      </c>
      <c r="T37" s="4"/>
    </row>
    <row r="38" spans="1:20" x14ac:dyDescent="0.2">
      <c r="A38" s="2">
        <v>31</v>
      </c>
      <c r="B38" s="25" t="s">
        <v>130</v>
      </c>
      <c r="C38" s="69"/>
      <c r="D38" s="70"/>
      <c r="E38" s="70"/>
      <c r="F38" s="71"/>
      <c r="G38" s="55">
        <f>'Voucher Belanja KOKA'!D36</f>
        <v>135000</v>
      </c>
      <c r="H38" s="55">
        <f>'Voucher Belanja KOKA'!E36</f>
        <v>135000</v>
      </c>
      <c r="I38" s="55">
        <f>'Voucher Belanja KOKA'!F36</f>
        <v>0</v>
      </c>
      <c r="J38" s="55">
        <f>'Voucher Belanja KOKA'!G36</f>
        <v>0</v>
      </c>
      <c r="K38" s="55">
        <f>'Voucher Belanja KOKA'!H36</f>
        <v>0</v>
      </c>
      <c r="L38" s="55">
        <f>'Voucher Belanja KOKA'!I36</f>
        <v>0</v>
      </c>
      <c r="M38" s="55">
        <f>'Voucher Belanja KOKA'!J36</f>
        <v>0</v>
      </c>
      <c r="N38" s="55">
        <f>'Voucher Belanja KOKA'!K36</f>
        <v>0</v>
      </c>
      <c r="O38" s="55">
        <f>'Voucher Belanja KOKA'!L36</f>
        <v>0</v>
      </c>
      <c r="P38" s="55">
        <f>'Voucher Belanja KOKA'!M36</f>
        <v>0</v>
      </c>
      <c r="Q38" s="55">
        <f>'Voucher Belanja KOKA'!N36</f>
        <v>0</v>
      </c>
      <c r="R38" s="55">
        <f>'Voucher Belanja KOKA'!O36</f>
        <v>0</v>
      </c>
      <c r="S38" s="28">
        <f t="shared" si="0"/>
        <v>270000</v>
      </c>
      <c r="T38" s="4"/>
    </row>
    <row r="39" spans="1:20" x14ac:dyDescent="0.2">
      <c r="A39" s="2">
        <v>32</v>
      </c>
      <c r="B39" s="25" t="s">
        <v>131</v>
      </c>
      <c r="C39" s="69"/>
      <c r="D39" s="70"/>
      <c r="E39" s="70"/>
      <c r="F39" s="71"/>
      <c r="G39" s="55">
        <f>'Voucher Belanja KOKA'!D37</f>
        <v>135000</v>
      </c>
      <c r="H39" s="55">
        <f>'Voucher Belanja KOKA'!E37</f>
        <v>135000</v>
      </c>
      <c r="I39" s="55">
        <f>'Voucher Belanja KOKA'!F37</f>
        <v>135000</v>
      </c>
      <c r="J39" s="55">
        <f>'Voucher Belanja KOKA'!G37</f>
        <v>0</v>
      </c>
      <c r="K39" s="55">
        <f>'Voucher Belanja KOKA'!H37</f>
        <v>135000</v>
      </c>
      <c r="L39" s="55">
        <f>'Voucher Belanja KOKA'!I37</f>
        <v>0</v>
      </c>
      <c r="M39" s="55">
        <f>'Voucher Belanja KOKA'!J37</f>
        <v>0</v>
      </c>
      <c r="N39" s="55">
        <f>'Voucher Belanja KOKA'!K37</f>
        <v>0</v>
      </c>
      <c r="O39" s="55">
        <f>'Voucher Belanja KOKA'!L37</f>
        <v>0</v>
      </c>
      <c r="P39" s="55">
        <f>'Voucher Belanja KOKA'!M37</f>
        <v>0</v>
      </c>
      <c r="Q39" s="55">
        <f>'Voucher Belanja KOKA'!N37</f>
        <v>0</v>
      </c>
      <c r="R39" s="55">
        <f>'Voucher Belanja KOKA'!O37</f>
        <v>0</v>
      </c>
      <c r="S39" s="28">
        <f t="shared" si="0"/>
        <v>540000</v>
      </c>
      <c r="T39" s="4"/>
    </row>
    <row r="40" spans="1:20" x14ac:dyDescent="0.2">
      <c r="A40" s="2">
        <v>33</v>
      </c>
      <c r="B40" s="23" t="s">
        <v>61</v>
      </c>
      <c r="C40" s="66"/>
      <c r="D40" s="67"/>
      <c r="E40" s="67"/>
      <c r="F40" s="68"/>
      <c r="G40" s="55">
        <f>'Voucher Belanja KOKA'!D38</f>
        <v>135000</v>
      </c>
      <c r="H40" s="55">
        <f>'Voucher Belanja KOKA'!E38</f>
        <v>135000</v>
      </c>
      <c r="I40" s="55">
        <f>'Voucher Belanja KOKA'!F38</f>
        <v>135000</v>
      </c>
      <c r="J40" s="55">
        <f>'Voucher Belanja KOKA'!G38</f>
        <v>0</v>
      </c>
      <c r="K40" s="55">
        <f>'Voucher Belanja KOKA'!H38</f>
        <v>135000</v>
      </c>
      <c r="L40" s="55">
        <f>'Voucher Belanja KOKA'!I38</f>
        <v>0</v>
      </c>
      <c r="M40" s="55">
        <f>'Voucher Belanja KOKA'!J38</f>
        <v>0</v>
      </c>
      <c r="N40" s="55">
        <f>'Voucher Belanja KOKA'!K38</f>
        <v>0</v>
      </c>
      <c r="O40" s="55">
        <f>'Voucher Belanja KOKA'!L38</f>
        <v>0</v>
      </c>
      <c r="P40" s="55">
        <f>'Voucher Belanja KOKA'!M38</f>
        <v>0</v>
      </c>
      <c r="Q40" s="55">
        <f>'Voucher Belanja KOKA'!N38</f>
        <v>0</v>
      </c>
      <c r="R40" s="55">
        <f>'Voucher Belanja KOKA'!O38</f>
        <v>0</v>
      </c>
      <c r="S40" s="28">
        <f t="shared" si="0"/>
        <v>540000</v>
      </c>
      <c r="T40" s="4"/>
    </row>
    <row r="41" spans="1:20" x14ac:dyDescent="0.2">
      <c r="A41" s="2">
        <v>34</v>
      </c>
      <c r="B41" s="23" t="s">
        <v>62</v>
      </c>
      <c r="C41" s="66"/>
      <c r="D41" s="67"/>
      <c r="E41" s="67"/>
      <c r="F41" s="68"/>
      <c r="G41" s="55">
        <f>'Voucher Belanja KOKA'!D39</f>
        <v>135000</v>
      </c>
      <c r="H41" s="55">
        <f>'Voucher Belanja KOKA'!E39</f>
        <v>135000</v>
      </c>
      <c r="I41" s="55">
        <f>'Voucher Belanja KOKA'!F39</f>
        <v>135000</v>
      </c>
      <c r="J41" s="55">
        <f>'Voucher Belanja KOKA'!G39</f>
        <v>0</v>
      </c>
      <c r="K41" s="55">
        <f>'Voucher Belanja KOKA'!H39</f>
        <v>135000</v>
      </c>
      <c r="L41" s="55">
        <f>'Voucher Belanja KOKA'!I39</f>
        <v>0</v>
      </c>
      <c r="M41" s="55">
        <f>'Voucher Belanja KOKA'!J39</f>
        <v>0</v>
      </c>
      <c r="N41" s="55">
        <f>'Voucher Belanja KOKA'!K39</f>
        <v>0</v>
      </c>
      <c r="O41" s="55">
        <f>'Voucher Belanja KOKA'!L39</f>
        <v>0</v>
      </c>
      <c r="P41" s="55">
        <f>'Voucher Belanja KOKA'!M39</f>
        <v>0</v>
      </c>
      <c r="Q41" s="55">
        <f>'Voucher Belanja KOKA'!N39</f>
        <v>0</v>
      </c>
      <c r="R41" s="55">
        <f>'Voucher Belanja KOKA'!O39</f>
        <v>0</v>
      </c>
      <c r="S41" s="28">
        <f t="shared" si="0"/>
        <v>540000</v>
      </c>
      <c r="T41" s="4"/>
    </row>
    <row r="42" spans="1:20" x14ac:dyDescent="0.2">
      <c r="A42" s="2">
        <v>35</v>
      </c>
      <c r="B42" s="23" t="s">
        <v>120</v>
      </c>
      <c r="C42" s="66"/>
      <c r="D42" s="67"/>
      <c r="E42" s="67"/>
      <c r="F42" s="68"/>
      <c r="G42" s="55">
        <f>'Voucher Belanja KOKA'!D40</f>
        <v>135000</v>
      </c>
      <c r="H42" s="55">
        <f>'Voucher Belanja KOKA'!E40</f>
        <v>135000</v>
      </c>
      <c r="I42" s="55">
        <f>'Voucher Belanja KOKA'!F40</f>
        <v>135000</v>
      </c>
      <c r="J42" s="55">
        <f>'Voucher Belanja KOKA'!G40</f>
        <v>0</v>
      </c>
      <c r="K42" s="55">
        <f>'Voucher Belanja KOKA'!H40</f>
        <v>135000</v>
      </c>
      <c r="L42" s="55">
        <f>'Voucher Belanja KOKA'!I40</f>
        <v>0</v>
      </c>
      <c r="M42" s="55">
        <f>'Voucher Belanja KOKA'!J40</f>
        <v>0</v>
      </c>
      <c r="N42" s="55">
        <f>'Voucher Belanja KOKA'!K40</f>
        <v>0</v>
      </c>
      <c r="O42" s="55">
        <f>'Voucher Belanja KOKA'!L40</f>
        <v>0</v>
      </c>
      <c r="P42" s="55">
        <f>'Voucher Belanja KOKA'!M40</f>
        <v>0</v>
      </c>
      <c r="Q42" s="55">
        <f>'Voucher Belanja KOKA'!N40</f>
        <v>0</v>
      </c>
      <c r="R42" s="55">
        <f>'Voucher Belanja KOKA'!O40</f>
        <v>0</v>
      </c>
      <c r="S42" s="28">
        <f t="shared" si="0"/>
        <v>540000</v>
      </c>
      <c r="T42" s="4"/>
    </row>
    <row r="43" spans="1:20" x14ac:dyDescent="0.2">
      <c r="A43" s="2">
        <v>36</v>
      </c>
      <c r="B43" s="23" t="s">
        <v>30</v>
      </c>
      <c r="C43" s="66"/>
      <c r="D43" s="67"/>
      <c r="E43" s="67"/>
      <c r="F43" s="68"/>
      <c r="G43" s="55">
        <f>'Voucher Belanja KOKA'!D41</f>
        <v>135000</v>
      </c>
      <c r="H43" s="55">
        <f>'Voucher Belanja KOKA'!E41</f>
        <v>135000</v>
      </c>
      <c r="I43" s="55">
        <f>'Voucher Belanja KOKA'!F41</f>
        <v>135000</v>
      </c>
      <c r="J43" s="55">
        <f>'Voucher Belanja KOKA'!G41</f>
        <v>0</v>
      </c>
      <c r="K43" s="55">
        <f>'Voucher Belanja KOKA'!H41</f>
        <v>135000</v>
      </c>
      <c r="L43" s="55">
        <f>'Voucher Belanja KOKA'!I41</f>
        <v>0</v>
      </c>
      <c r="M43" s="55">
        <f>'Voucher Belanja KOKA'!J41</f>
        <v>0</v>
      </c>
      <c r="N43" s="55">
        <f>'Voucher Belanja KOKA'!K41</f>
        <v>0</v>
      </c>
      <c r="O43" s="55">
        <f>'Voucher Belanja KOKA'!L41</f>
        <v>0</v>
      </c>
      <c r="P43" s="55">
        <f>'Voucher Belanja KOKA'!M41</f>
        <v>0</v>
      </c>
      <c r="Q43" s="55">
        <f>'Voucher Belanja KOKA'!N41</f>
        <v>0</v>
      </c>
      <c r="R43" s="55">
        <f>'Voucher Belanja KOKA'!O41</f>
        <v>0</v>
      </c>
      <c r="S43" s="28">
        <f t="shared" si="0"/>
        <v>540000</v>
      </c>
      <c r="T43" s="4"/>
    </row>
    <row r="44" spans="1:20" x14ac:dyDescent="0.2">
      <c r="A44" s="2">
        <v>37</v>
      </c>
      <c r="B44" s="23" t="s">
        <v>63</v>
      </c>
      <c r="C44" s="66"/>
      <c r="D44" s="67"/>
      <c r="E44" s="67"/>
      <c r="F44" s="68"/>
      <c r="G44" s="55">
        <f>'Voucher Belanja KOKA'!D42</f>
        <v>135000</v>
      </c>
      <c r="H44" s="55">
        <f>'Voucher Belanja KOKA'!E42</f>
        <v>135000</v>
      </c>
      <c r="I44" s="55">
        <f>'Voucher Belanja KOKA'!F42+'Pinjaman Barang Primer Harian'!E11</f>
        <v>279900</v>
      </c>
      <c r="J44" s="55">
        <f>'Voucher Belanja KOKA'!G42</f>
        <v>0</v>
      </c>
      <c r="K44" s="55">
        <f>'Voucher Belanja KOKA'!H42</f>
        <v>135000</v>
      </c>
      <c r="L44" s="55">
        <f>'Voucher Belanja KOKA'!I42</f>
        <v>0</v>
      </c>
      <c r="M44" s="55">
        <f>'Voucher Belanja KOKA'!J42</f>
        <v>0</v>
      </c>
      <c r="N44" s="55">
        <f>'Voucher Belanja KOKA'!K42</f>
        <v>0</v>
      </c>
      <c r="O44" s="55">
        <f>'Voucher Belanja KOKA'!L42</f>
        <v>0</v>
      </c>
      <c r="P44" s="55">
        <f>'Voucher Belanja KOKA'!M42</f>
        <v>0</v>
      </c>
      <c r="Q44" s="55">
        <f>'Voucher Belanja KOKA'!N42</f>
        <v>0</v>
      </c>
      <c r="R44" s="55">
        <f>'Voucher Belanja KOKA'!O42</f>
        <v>0</v>
      </c>
      <c r="S44" s="28">
        <f t="shared" si="0"/>
        <v>684900</v>
      </c>
      <c r="T44" s="4"/>
    </row>
    <row r="45" spans="1:20" x14ac:dyDescent="0.2">
      <c r="A45" s="2">
        <v>38</v>
      </c>
      <c r="B45" s="23" t="s">
        <v>64</v>
      </c>
      <c r="C45" s="66"/>
      <c r="D45" s="67"/>
      <c r="E45" s="67"/>
      <c r="F45" s="68"/>
      <c r="G45" s="55">
        <f>'Voucher Belanja KOKA'!D43</f>
        <v>135000</v>
      </c>
      <c r="H45" s="55">
        <f>'Voucher Belanja KOKA'!E43</f>
        <v>135000</v>
      </c>
      <c r="I45" s="55">
        <f>'Voucher Belanja KOKA'!F43</f>
        <v>135000</v>
      </c>
      <c r="J45" s="55">
        <f>'Voucher Belanja KOKA'!G43</f>
        <v>0</v>
      </c>
      <c r="K45" s="55">
        <f>'Voucher Belanja KOKA'!H43</f>
        <v>135000</v>
      </c>
      <c r="L45" s="55">
        <f>'Voucher Belanja KOKA'!I43</f>
        <v>0</v>
      </c>
      <c r="M45" s="55">
        <f>'Voucher Belanja KOKA'!J43</f>
        <v>0</v>
      </c>
      <c r="N45" s="55">
        <f>'Voucher Belanja KOKA'!K43</f>
        <v>0</v>
      </c>
      <c r="O45" s="55">
        <f>'Voucher Belanja KOKA'!L43</f>
        <v>0</v>
      </c>
      <c r="P45" s="55">
        <f>'Voucher Belanja KOKA'!M43</f>
        <v>0</v>
      </c>
      <c r="Q45" s="55">
        <f>'Voucher Belanja KOKA'!N43</f>
        <v>0</v>
      </c>
      <c r="R45" s="55">
        <f>'Voucher Belanja KOKA'!O43</f>
        <v>0</v>
      </c>
      <c r="S45" s="28">
        <f t="shared" si="0"/>
        <v>540000</v>
      </c>
      <c r="T45" s="4"/>
    </row>
    <row r="46" spans="1:20" x14ac:dyDescent="0.2">
      <c r="A46" s="2">
        <v>39</v>
      </c>
      <c r="B46" s="23" t="s">
        <v>65</v>
      </c>
      <c r="C46" s="66"/>
      <c r="D46" s="67"/>
      <c r="E46" s="67"/>
      <c r="F46" s="68"/>
      <c r="G46" s="55">
        <f>'Voucher Belanja KOKA'!D44</f>
        <v>135000</v>
      </c>
      <c r="H46" s="55">
        <f>'Voucher Belanja KOKA'!E44</f>
        <v>135000</v>
      </c>
      <c r="I46" s="55">
        <f>'Voucher Belanja KOKA'!F44</f>
        <v>135000</v>
      </c>
      <c r="J46" s="55">
        <f>'Voucher Belanja KOKA'!G44</f>
        <v>0</v>
      </c>
      <c r="K46" s="55">
        <f>'Voucher Belanja KOKA'!H44</f>
        <v>135000</v>
      </c>
      <c r="L46" s="55">
        <f>'Voucher Belanja KOKA'!I44</f>
        <v>0</v>
      </c>
      <c r="M46" s="55">
        <f>'Voucher Belanja KOKA'!J44</f>
        <v>0</v>
      </c>
      <c r="N46" s="55">
        <f>'Voucher Belanja KOKA'!K44</f>
        <v>0</v>
      </c>
      <c r="O46" s="55">
        <f>'Voucher Belanja KOKA'!L44</f>
        <v>0</v>
      </c>
      <c r="P46" s="55">
        <f>'Voucher Belanja KOKA'!M44</f>
        <v>0</v>
      </c>
      <c r="Q46" s="55">
        <f>'Voucher Belanja KOKA'!N44</f>
        <v>0</v>
      </c>
      <c r="R46" s="55">
        <f>'Voucher Belanja KOKA'!O44</f>
        <v>0</v>
      </c>
      <c r="S46" s="28">
        <f t="shared" si="0"/>
        <v>540000</v>
      </c>
      <c r="T46" s="4"/>
    </row>
    <row r="47" spans="1:20" x14ac:dyDescent="0.2">
      <c r="A47" s="2">
        <v>40</v>
      </c>
      <c r="B47" s="23" t="s">
        <v>66</v>
      </c>
      <c r="C47" s="66"/>
      <c r="D47" s="67"/>
      <c r="E47" s="67"/>
      <c r="F47" s="68"/>
      <c r="G47" s="55">
        <f>'Voucher Belanja KOKA'!D45</f>
        <v>135000</v>
      </c>
      <c r="H47" s="55">
        <f>'Voucher Belanja KOKA'!E45</f>
        <v>135000</v>
      </c>
      <c r="I47" s="55">
        <f>'Voucher Belanja KOKA'!F45</f>
        <v>135000</v>
      </c>
      <c r="J47" s="55">
        <f>'Voucher Belanja KOKA'!G45</f>
        <v>0</v>
      </c>
      <c r="K47" s="55">
        <f>'Voucher Belanja KOKA'!H45</f>
        <v>135000</v>
      </c>
      <c r="L47" s="55">
        <f>'Voucher Belanja KOKA'!I45</f>
        <v>0</v>
      </c>
      <c r="M47" s="55">
        <f>'Voucher Belanja KOKA'!J45</f>
        <v>0</v>
      </c>
      <c r="N47" s="55">
        <f>'Voucher Belanja KOKA'!K45</f>
        <v>0</v>
      </c>
      <c r="O47" s="55">
        <f>'Voucher Belanja KOKA'!L45</f>
        <v>0</v>
      </c>
      <c r="P47" s="55">
        <f>'Voucher Belanja KOKA'!M45</f>
        <v>0</v>
      </c>
      <c r="Q47" s="55">
        <f>'Voucher Belanja KOKA'!N45</f>
        <v>0</v>
      </c>
      <c r="R47" s="55">
        <f>'Voucher Belanja KOKA'!O45</f>
        <v>0</v>
      </c>
      <c r="S47" s="28">
        <f t="shared" si="0"/>
        <v>540000</v>
      </c>
      <c r="T47" s="4"/>
    </row>
    <row r="48" spans="1:20" x14ac:dyDescent="0.2">
      <c r="A48" s="2">
        <v>41</v>
      </c>
      <c r="B48" s="23" t="s">
        <v>67</v>
      </c>
      <c r="C48" s="66"/>
      <c r="D48" s="67"/>
      <c r="E48" s="67"/>
      <c r="F48" s="68"/>
      <c r="G48" s="55">
        <f>'Voucher Belanja KOKA'!D46</f>
        <v>135000</v>
      </c>
      <c r="H48" s="55">
        <f>'Voucher Belanja KOKA'!E46</f>
        <v>135000</v>
      </c>
      <c r="I48" s="55">
        <f>'Voucher Belanja KOKA'!F46</f>
        <v>135000</v>
      </c>
      <c r="J48" s="55">
        <f>'Voucher Belanja KOKA'!G46</f>
        <v>0</v>
      </c>
      <c r="K48" s="55">
        <f>'Voucher Belanja KOKA'!H46</f>
        <v>135000</v>
      </c>
      <c r="L48" s="55">
        <f>'Voucher Belanja KOKA'!I46</f>
        <v>0</v>
      </c>
      <c r="M48" s="55">
        <f>'Voucher Belanja KOKA'!J46</f>
        <v>0</v>
      </c>
      <c r="N48" s="55">
        <f>'Voucher Belanja KOKA'!K46</f>
        <v>0</v>
      </c>
      <c r="O48" s="55">
        <f>'Voucher Belanja KOKA'!L46</f>
        <v>0</v>
      </c>
      <c r="P48" s="55">
        <f>'Voucher Belanja KOKA'!M46</f>
        <v>0</v>
      </c>
      <c r="Q48" s="55">
        <f>'Voucher Belanja KOKA'!N46</f>
        <v>0</v>
      </c>
      <c r="R48" s="55">
        <f>'Voucher Belanja KOKA'!O46</f>
        <v>0</v>
      </c>
      <c r="S48" s="28">
        <f t="shared" si="0"/>
        <v>540000</v>
      </c>
      <c r="T48" s="4"/>
    </row>
    <row r="49" spans="1:20" x14ac:dyDescent="0.2">
      <c r="A49" s="2">
        <v>42</v>
      </c>
      <c r="B49" s="23" t="s">
        <v>68</v>
      </c>
      <c r="C49" s="66"/>
      <c r="D49" s="67"/>
      <c r="E49" s="67"/>
      <c r="F49" s="68"/>
      <c r="G49" s="55">
        <f>'Voucher Belanja KOKA'!D47</f>
        <v>135000</v>
      </c>
      <c r="H49" s="55">
        <f>'Voucher Belanja KOKA'!E47</f>
        <v>135000</v>
      </c>
      <c r="I49" s="55">
        <f>'Voucher Belanja KOKA'!F47</f>
        <v>135000</v>
      </c>
      <c r="J49" s="55">
        <f>'Voucher Belanja KOKA'!G47</f>
        <v>0</v>
      </c>
      <c r="K49" s="55">
        <f>'Voucher Belanja KOKA'!H47</f>
        <v>135000</v>
      </c>
      <c r="L49" s="55">
        <f>'Voucher Belanja KOKA'!I47</f>
        <v>0</v>
      </c>
      <c r="M49" s="55">
        <f>'Voucher Belanja KOKA'!J47</f>
        <v>0</v>
      </c>
      <c r="N49" s="55">
        <f>'Voucher Belanja KOKA'!K47</f>
        <v>0</v>
      </c>
      <c r="O49" s="55">
        <f>'Voucher Belanja KOKA'!L47</f>
        <v>0</v>
      </c>
      <c r="P49" s="55">
        <f>'Voucher Belanja KOKA'!M47</f>
        <v>0</v>
      </c>
      <c r="Q49" s="55">
        <f>'Voucher Belanja KOKA'!N47</f>
        <v>0</v>
      </c>
      <c r="R49" s="55">
        <f>'Voucher Belanja KOKA'!O47</f>
        <v>0</v>
      </c>
      <c r="S49" s="28">
        <f t="shared" si="0"/>
        <v>540000</v>
      </c>
      <c r="T49" s="4"/>
    </row>
    <row r="50" spans="1:20" x14ac:dyDescent="0.2">
      <c r="A50" s="2">
        <v>43</v>
      </c>
      <c r="B50" s="23" t="s">
        <v>69</v>
      </c>
      <c r="C50" s="66"/>
      <c r="D50" s="67"/>
      <c r="E50" s="67"/>
      <c r="F50" s="68"/>
      <c r="G50" s="55">
        <f>'Voucher Belanja KOKA'!D48</f>
        <v>135000</v>
      </c>
      <c r="H50" s="55">
        <f>'Voucher Belanja KOKA'!E48</f>
        <v>135000</v>
      </c>
      <c r="I50" s="55">
        <f>'Voucher Belanja KOKA'!F48</f>
        <v>135000</v>
      </c>
      <c r="J50" s="55">
        <f>'Voucher Belanja KOKA'!G48</f>
        <v>0</v>
      </c>
      <c r="K50" s="55">
        <f>'Voucher Belanja KOKA'!H48</f>
        <v>135000</v>
      </c>
      <c r="L50" s="55">
        <f>'Voucher Belanja KOKA'!I48</f>
        <v>0</v>
      </c>
      <c r="M50" s="55">
        <f>'Voucher Belanja KOKA'!J48</f>
        <v>0</v>
      </c>
      <c r="N50" s="55">
        <f>'Voucher Belanja KOKA'!K48</f>
        <v>0</v>
      </c>
      <c r="O50" s="55">
        <f>'Voucher Belanja KOKA'!L48</f>
        <v>0</v>
      </c>
      <c r="P50" s="55">
        <f>'Voucher Belanja KOKA'!M48</f>
        <v>0</v>
      </c>
      <c r="Q50" s="55">
        <f>'Voucher Belanja KOKA'!N48</f>
        <v>0</v>
      </c>
      <c r="R50" s="55">
        <f>'Voucher Belanja KOKA'!O48</f>
        <v>0</v>
      </c>
      <c r="S50" s="28">
        <f t="shared" si="0"/>
        <v>540000</v>
      </c>
      <c r="T50" s="4"/>
    </row>
    <row r="51" spans="1:20" x14ac:dyDescent="0.2">
      <c r="A51" s="2">
        <v>44</v>
      </c>
      <c r="B51" s="23" t="s">
        <v>70</v>
      </c>
      <c r="C51" s="66"/>
      <c r="D51" s="67"/>
      <c r="E51" s="67"/>
      <c r="F51" s="68"/>
      <c r="G51" s="55">
        <f>'Voucher Belanja KOKA'!D49</f>
        <v>135000</v>
      </c>
      <c r="H51" s="55">
        <f>'Voucher Belanja KOKA'!E49</f>
        <v>135000</v>
      </c>
      <c r="I51" s="55">
        <f>'Voucher Belanja KOKA'!F49</f>
        <v>135000</v>
      </c>
      <c r="J51" s="55">
        <f>'Voucher Belanja KOKA'!G49</f>
        <v>0</v>
      </c>
      <c r="K51" s="55">
        <f>'Voucher Belanja KOKA'!H49</f>
        <v>135000</v>
      </c>
      <c r="L51" s="55">
        <f>'Voucher Belanja KOKA'!I49</f>
        <v>0</v>
      </c>
      <c r="M51" s="55">
        <f>'Voucher Belanja KOKA'!J49</f>
        <v>0</v>
      </c>
      <c r="N51" s="55">
        <f>'Voucher Belanja KOKA'!K49</f>
        <v>0</v>
      </c>
      <c r="O51" s="55">
        <f>'Voucher Belanja KOKA'!L49</f>
        <v>0</v>
      </c>
      <c r="P51" s="55">
        <f>'Voucher Belanja KOKA'!M49</f>
        <v>0</v>
      </c>
      <c r="Q51" s="55">
        <f>'Voucher Belanja KOKA'!N49</f>
        <v>0</v>
      </c>
      <c r="R51" s="55">
        <f>'Voucher Belanja KOKA'!O49</f>
        <v>0</v>
      </c>
      <c r="S51" s="28">
        <f t="shared" si="0"/>
        <v>540000</v>
      </c>
      <c r="T51" s="4"/>
    </row>
    <row r="52" spans="1:20" x14ac:dyDescent="0.2">
      <c r="A52" s="2">
        <v>45</v>
      </c>
      <c r="B52" s="23" t="s">
        <v>71</v>
      </c>
      <c r="C52" s="66"/>
      <c r="D52" s="67"/>
      <c r="E52" s="67"/>
      <c r="F52" s="68"/>
      <c r="G52" s="55">
        <f>'Voucher Belanja KOKA'!D50</f>
        <v>135000</v>
      </c>
      <c r="H52" s="55">
        <f>'Voucher Belanja KOKA'!E50</f>
        <v>135000</v>
      </c>
      <c r="I52" s="55">
        <f>'Voucher Belanja KOKA'!F50</f>
        <v>135000</v>
      </c>
      <c r="J52" s="55">
        <f>'Voucher Belanja KOKA'!G50</f>
        <v>0</v>
      </c>
      <c r="K52" s="55">
        <f>'Voucher Belanja KOKA'!H50</f>
        <v>135000</v>
      </c>
      <c r="L52" s="55">
        <f>'Voucher Belanja KOKA'!I50</f>
        <v>0</v>
      </c>
      <c r="M52" s="55">
        <f>'Voucher Belanja KOKA'!J50</f>
        <v>0</v>
      </c>
      <c r="N52" s="55">
        <f>'Voucher Belanja KOKA'!K50</f>
        <v>0</v>
      </c>
      <c r="O52" s="55">
        <f>'Voucher Belanja KOKA'!L50</f>
        <v>0</v>
      </c>
      <c r="P52" s="55">
        <f>'Voucher Belanja KOKA'!M50</f>
        <v>0</v>
      </c>
      <c r="Q52" s="55">
        <f>'Voucher Belanja KOKA'!N50</f>
        <v>0</v>
      </c>
      <c r="R52" s="55">
        <f>'Voucher Belanja KOKA'!O50</f>
        <v>0</v>
      </c>
      <c r="S52" s="28">
        <f t="shared" si="0"/>
        <v>540000</v>
      </c>
      <c r="T52" s="4"/>
    </row>
    <row r="53" spans="1:20" x14ac:dyDescent="0.2">
      <c r="A53" s="2">
        <v>46</v>
      </c>
      <c r="B53" s="23" t="s">
        <v>72</v>
      </c>
      <c r="C53" s="66"/>
      <c r="D53" s="67"/>
      <c r="E53" s="67"/>
      <c r="F53" s="68"/>
      <c r="G53" s="55">
        <f>'Voucher Belanja KOKA'!D51</f>
        <v>135000</v>
      </c>
      <c r="H53" s="55">
        <f>'Voucher Belanja KOKA'!E51</f>
        <v>135000</v>
      </c>
      <c r="I53" s="55">
        <f>'Voucher Belanja KOKA'!F51</f>
        <v>135000</v>
      </c>
      <c r="J53" s="55">
        <f>'Voucher Belanja KOKA'!G51</f>
        <v>0</v>
      </c>
      <c r="K53" s="55">
        <f>'Voucher Belanja KOKA'!H51</f>
        <v>135000</v>
      </c>
      <c r="L53" s="55">
        <f>'Voucher Belanja KOKA'!I51</f>
        <v>0</v>
      </c>
      <c r="M53" s="55">
        <f>'Voucher Belanja KOKA'!J51</f>
        <v>0</v>
      </c>
      <c r="N53" s="55">
        <f>'Voucher Belanja KOKA'!K51</f>
        <v>0</v>
      </c>
      <c r="O53" s="55">
        <f>'Voucher Belanja KOKA'!L51</f>
        <v>0</v>
      </c>
      <c r="P53" s="55">
        <f>'Voucher Belanja KOKA'!M51</f>
        <v>0</v>
      </c>
      <c r="Q53" s="55">
        <f>'Voucher Belanja KOKA'!N51</f>
        <v>0</v>
      </c>
      <c r="R53" s="55">
        <f>'Voucher Belanja KOKA'!O51</f>
        <v>0</v>
      </c>
      <c r="S53" s="28">
        <f t="shared" si="0"/>
        <v>540000</v>
      </c>
      <c r="T53" s="4"/>
    </row>
    <row r="54" spans="1:20" x14ac:dyDescent="0.2">
      <c r="A54" s="2">
        <v>47</v>
      </c>
      <c r="B54" s="23" t="s">
        <v>73</v>
      </c>
      <c r="C54" s="66"/>
      <c r="D54" s="67"/>
      <c r="E54" s="67"/>
      <c r="F54" s="68"/>
      <c r="G54" s="55">
        <f>'Voucher Belanja KOKA'!D52</f>
        <v>135000</v>
      </c>
      <c r="H54" s="55">
        <f>'Voucher Belanja KOKA'!E52</f>
        <v>135000</v>
      </c>
      <c r="I54" s="55">
        <f>'Voucher Belanja KOKA'!F52</f>
        <v>135000</v>
      </c>
      <c r="J54" s="55">
        <f>'Voucher Belanja KOKA'!G52</f>
        <v>0</v>
      </c>
      <c r="K54" s="55">
        <f>'Voucher Belanja KOKA'!H52</f>
        <v>135000</v>
      </c>
      <c r="L54" s="55">
        <f>'Voucher Belanja KOKA'!I52</f>
        <v>0</v>
      </c>
      <c r="M54" s="55">
        <f>'Voucher Belanja KOKA'!J52</f>
        <v>0</v>
      </c>
      <c r="N54" s="55">
        <f>'Voucher Belanja KOKA'!K52</f>
        <v>0</v>
      </c>
      <c r="O54" s="55">
        <f>'Voucher Belanja KOKA'!L52</f>
        <v>0</v>
      </c>
      <c r="P54" s="55">
        <f>'Voucher Belanja KOKA'!M52</f>
        <v>0</v>
      </c>
      <c r="Q54" s="55">
        <f>'Voucher Belanja KOKA'!N52</f>
        <v>0</v>
      </c>
      <c r="R54" s="55">
        <f>'Voucher Belanja KOKA'!O52</f>
        <v>0</v>
      </c>
      <c r="S54" s="28">
        <f t="shared" si="0"/>
        <v>540000</v>
      </c>
      <c r="T54" s="4"/>
    </row>
    <row r="55" spans="1:20" x14ac:dyDescent="0.2">
      <c r="A55" s="2">
        <v>48</v>
      </c>
      <c r="B55" s="23" t="s">
        <v>132</v>
      </c>
      <c r="C55" s="66"/>
      <c r="D55" s="67"/>
      <c r="E55" s="67"/>
      <c r="F55" s="68"/>
      <c r="G55" s="55">
        <f>'Voucher Belanja KOKA'!D53</f>
        <v>135000</v>
      </c>
      <c r="H55" s="55">
        <f>'Voucher Belanja KOKA'!E53</f>
        <v>135000</v>
      </c>
      <c r="I55" s="55">
        <f>'Voucher Belanja KOKA'!F53</f>
        <v>135000</v>
      </c>
      <c r="J55" s="55">
        <f>'Voucher Belanja KOKA'!G53</f>
        <v>0</v>
      </c>
      <c r="K55" s="55">
        <f>'Voucher Belanja KOKA'!H53</f>
        <v>135000</v>
      </c>
      <c r="L55" s="55">
        <f>'Voucher Belanja KOKA'!I53</f>
        <v>0</v>
      </c>
      <c r="M55" s="55">
        <f>'Voucher Belanja KOKA'!J53</f>
        <v>0</v>
      </c>
      <c r="N55" s="55">
        <f>'Voucher Belanja KOKA'!K53</f>
        <v>0</v>
      </c>
      <c r="O55" s="55">
        <f>'Voucher Belanja KOKA'!L53</f>
        <v>0</v>
      </c>
      <c r="P55" s="55">
        <f>'Voucher Belanja KOKA'!M53</f>
        <v>0</v>
      </c>
      <c r="Q55" s="55">
        <f>'Voucher Belanja KOKA'!N53</f>
        <v>0</v>
      </c>
      <c r="R55" s="55">
        <f>'Voucher Belanja KOKA'!O53</f>
        <v>0</v>
      </c>
      <c r="S55" s="28">
        <f t="shared" si="0"/>
        <v>540000</v>
      </c>
      <c r="T55" s="4"/>
    </row>
    <row r="56" spans="1:20" x14ac:dyDescent="0.2">
      <c r="A56" s="2">
        <v>49</v>
      </c>
      <c r="B56" s="23" t="s">
        <v>133</v>
      </c>
      <c r="C56" s="66"/>
      <c r="D56" s="67"/>
      <c r="E56" s="67"/>
      <c r="F56" s="68"/>
      <c r="G56" s="55">
        <f>'Voucher Belanja KOKA'!D54</f>
        <v>135000</v>
      </c>
      <c r="H56" s="55">
        <f>'Voucher Belanja KOKA'!E54</f>
        <v>135000</v>
      </c>
      <c r="I56" s="55">
        <f>'Voucher Belanja KOKA'!F54</f>
        <v>135000</v>
      </c>
      <c r="J56" s="55">
        <f>'Voucher Belanja KOKA'!G54</f>
        <v>0</v>
      </c>
      <c r="K56" s="55">
        <f>'Voucher Belanja KOKA'!H54</f>
        <v>135000</v>
      </c>
      <c r="L56" s="55">
        <f>'Voucher Belanja KOKA'!I54</f>
        <v>0</v>
      </c>
      <c r="M56" s="55">
        <f>'Voucher Belanja KOKA'!J54</f>
        <v>0</v>
      </c>
      <c r="N56" s="55">
        <f>'Voucher Belanja KOKA'!K54</f>
        <v>0</v>
      </c>
      <c r="O56" s="55">
        <f>'Voucher Belanja KOKA'!L54</f>
        <v>0</v>
      </c>
      <c r="P56" s="55">
        <f>'Voucher Belanja KOKA'!M54</f>
        <v>0</v>
      </c>
      <c r="Q56" s="55">
        <f>'Voucher Belanja KOKA'!N54</f>
        <v>0</v>
      </c>
      <c r="R56" s="55">
        <f>'Voucher Belanja KOKA'!O54</f>
        <v>0</v>
      </c>
      <c r="S56" s="28">
        <f t="shared" si="0"/>
        <v>540000</v>
      </c>
      <c r="T56" s="4"/>
    </row>
    <row r="57" spans="1:20" x14ac:dyDescent="0.2">
      <c r="A57" s="2">
        <v>50</v>
      </c>
      <c r="B57" s="23" t="s">
        <v>74</v>
      </c>
      <c r="C57" s="66"/>
      <c r="D57" s="67"/>
      <c r="E57" s="67"/>
      <c r="F57" s="68"/>
      <c r="G57" s="55">
        <f>'Voucher Belanja KOKA'!D55</f>
        <v>135000</v>
      </c>
      <c r="H57" s="55">
        <f>'Voucher Belanja KOKA'!E55</f>
        <v>135000</v>
      </c>
      <c r="I57" s="55">
        <f>'Voucher Belanja KOKA'!F55+'Pinjaman Barang Primer Harian'!E12</f>
        <v>391200</v>
      </c>
      <c r="J57" s="55">
        <f>'Voucher Belanja KOKA'!G55</f>
        <v>0</v>
      </c>
      <c r="K57" s="55">
        <f>'Voucher Belanja KOKA'!H55</f>
        <v>135000</v>
      </c>
      <c r="L57" s="55">
        <f>'Voucher Belanja KOKA'!I55</f>
        <v>0</v>
      </c>
      <c r="M57" s="55">
        <f>'Voucher Belanja KOKA'!J55</f>
        <v>0</v>
      </c>
      <c r="N57" s="55">
        <f>'Voucher Belanja KOKA'!K55</f>
        <v>0</v>
      </c>
      <c r="O57" s="55">
        <f>'Voucher Belanja KOKA'!L55</f>
        <v>0</v>
      </c>
      <c r="P57" s="55">
        <f>'Voucher Belanja KOKA'!M55</f>
        <v>0</v>
      </c>
      <c r="Q57" s="55">
        <f>'Voucher Belanja KOKA'!N55</f>
        <v>0</v>
      </c>
      <c r="R57" s="55">
        <f>'Voucher Belanja KOKA'!O55</f>
        <v>0</v>
      </c>
      <c r="S57" s="28">
        <f t="shared" si="0"/>
        <v>796200</v>
      </c>
      <c r="T57" s="4"/>
    </row>
    <row r="58" spans="1:20" x14ac:dyDescent="0.2">
      <c r="A58" s="2">
        <v>51</v>
      </c>
      <c r="B58" s="23" t="s">
        <v>75</v>
      </c>
      <c r="C58" s="66"/>
      <c r="D58" s="67"/>
      <c r="E58" s="67"/>
      <c r="F58" s="68"/>
      <c r="G58" s="55">
        <f>'Voucher Belanja KOKA'!D56</f>
        <v>135000</v>
      </c>
      <c r="H58" s="55">
        <f>'Voucher Belanja KOKA'!E56</f>
        <v>135000</v>
      </c>
      <c r="I58" s="55">
        <f>'Voucher Belanja KOKA'!F56</f>
        <v>135000</v>
      </c>
      <c r="J58" s="55">
        <f>'Voucher Belanja KOKA'!G56</f>
        <v>0</v>
      </c>
      <c r="K58" s="55">
        <f>'Voucher Belanja KOKA'!H56</f>
        <v>135000</v>
      </c>
      <c r="L58" s="55">
        <f>'Voucher Belanja KOKA'!I56</f>
        <v>0</v>
      </c>
      <c r="M58" s="55">
        <f>'Voucher Belanja KOKA'!J56</f>
        <v>0</v>
      </c>
      <c r="N58" s="55">
        <f>'Voucher Belanja KOKA'!K56</f>
        <v>0</v>
      </c>
      <c r="O58" s="55">
        <f>'Voucher Belanja KOKA'!L56</f>
        <v>0</v>
      </c>
      <c r="P58" s="55">
        <f>'Voucher Belanja KOKA'!M56</f>
        <v>0</v>
      </c>
      <c r="Q58" s="55">
        <f>'Voucher Belanja KOKA'!N56</f>
        <v>0</v>
      </c>
      <c r="R58" s="55">
        <f>'Voucher Belanja KOKA'!O56</f>
        <v>0</v>
      </c>
      <c r="S58" s="28">
        <f t="shared" si="0"/>
        <v>540000</v>
      </c>
      <c r="T58" s="4"/>
    </row>
    <row r="59" spans="1:20" x14ac:dyDescent="0.2">
      <c r="A59" s="2">
        <v>52</v>
      </c>
      <c r="B59" s="23" t="s">
        <v>76</v>
      </c>
      <c r="C59" s="66"/>
      <c r="D59" s="67"/>
      <c r="E59" s="67"/>
      <c r="F59" s="68"/>
      <c r="G59" s="55">
        <f>'Voucher Belanja KOKA'!D57</f>
        <v>135000</v>
      </c>
      <c r="H59" s="55">
        <f>'Voucher Belanja KOKA'!E57</f>
        <v>135000</v>
      </c>
      <c r="I59" s="55">
        <f>'Voucher Belanja KOKA'!F57</f>
        <v>135000</v>
      </c>
      <c r="J59" s="55">
        <f>'Voucher Belanja KOKA'!G57</f>
        <v>0</v>
      </c>
      <c r="K59" s="55">
        <f>'Voucher Belanja KOKA'!H57</f>
        <v>135000</v>
      </c>
      <c r="L59" s="55">
        <f>'Voucher Belanja KOKA'!I57</f>
        <v>0</v>
      </c>
      <c r="M59" s="55">
        <f>'Voucher Belanja KOKA'!J57</f>
        <v>0</v>
      </c>
      <c r="N59" s="55">
        <f>'Voucher Belanja KOKA'!K57</f>
        <v>0</v>
      </c>
      <c r="O59" s="55">
        <f>'Voucher Belanja KOKA'!L57</f>
        <v>0</v>
      </c>
      <c r="P59" s="55">
        <f>'Voucher Belanja KOKA'!M57</f>
        <v>0</v>
      </c>
      <c r="Q59" s="55">
        <f>'Voucher Belanja KOKA'!N57</f>
        <v>0</v>
      </c>
      <c r="R59" s="55">
        <f>'Voucher Belanja KOKA'!O57</f>
        <v>0</v>
      </c>
      <c r="S59" s="28">
        <f t="shared" si="0"/>
        <v>540000</v>
      </c>
      <c r="T59" s="4"/>
    </row>
    <row r="60" spans="1:20" x14ac:dyDescent="0.2">
      <c r="A60" s="2">
        <v>53</v>
      </c>
      <c r="B60" s="23" t="s">
        <v>77</v>
      </c>
      <c r="C60" s="66"/>
      <c r="D60" s="67"/>
      <c r="E60" s="67"/>
      <c r="F60" s="68"/>
      <c r="G60" s="55">
        <f>'Voucher Belanja KOKA'!D58</f>
        <v>135000</v>
      </c>
      <c r="H60" s="55">
        <f>'Voucher Belanja KOKA'!E58</f>
        <v>135000</v>
      </c>
      <c r="I60" s="55">
        <f>'Voucher Belanja KOKA'!F58</f>
        <v>135000</v>
      </c>
      <c r="J60" s="55">
        <f>'Voucher Belanja KOKA'!G58</f>
        <v>0</v>
      </c>
      <c r="K60" s="55">
        <f>'Voucher Belanja KOKA'!H58</f>
        <v>135000</v>
      </c>
      <c r="L60" s="55">
        <f>'Voucher Belanja KOKA'!I58</f>
        <v>0</v>
      </c>
      <c r="M60" s="55">
        <f>'Voucher Belanja KOKA'!J58</f>
        <v>0</v>
      </c>
      <c r="N60" s="55">
        <f>'Voucher Belanja KOKA'!K58</f>
        <v>0</v>
      </c>
      <c r="O60" s="55">
        <f>'Voucher Belanja KOKA'!L58</f>
        <v>0</v>
      </c>
      <c r="P60" s="55">
        <f>'Voucher Belanja KOKA'!M58</f>
        <v>0</v>
      </c>
      <c r="Q60" s="55">
        <f>'Voucher Belanja KOKA'!N58</f>
        <v>0</v>
      </c>
      <c r="R60" s="55">
        <f>'Voucher Belanja KOKA'!O58</f>
        <v>0</v>
      </c>
      <c r="S60" s="28">
        <f t="shared" si="0"/>
        <v>540000</v>
      </c>
      <c r="T60" s="4"/>
    </row>
    <row r="61" spans="1:20" x14ac:dyDescent="0.2">
      <c r="A61" s="2">
        <v>54</v>
      </c>
      <c r="B61" s="23" t="s">
        <v>78</v>
      </c>
      <c r="C61" s="66"/>
      <c r="D61" s="67"/>
      <c r="E61" s="67"/>
      <c r="F61" s="68"/>
      <c r="G61" s="55">
        <f>'Voucher Belanja KOKA'!D59</f>
        <v>135000</v>
      </c>
      <c r="H61" s="55">
        <f>'Voucher Belanja KOKA'!E59</f>
        <v>135000</v>
      </c>
      <c r="I61" s="55">
        <f>'Voucher Belanja KOKA'!F59</f>
        <v>135000</v>
      </c>
      <c r="J61" s="55">
        <f>'Voucher Belanja KOKA'!G59</f>
        <v>0</v>
      </c>
      <c r="K61" s="55">
        <f>'Voucher Belanja KOKA'!H59</f>
        <v>135000</v>
      </c>
      <c r="L61" s="55">
        <f>'Voucher Belanja KOKA'!I59</f>
        <v>0</v>
      </c>
      <c r="M61" s="55">
        <f>'Voucher Belanja KOKA'!J59</f>
        <v>0</v>
      </c>
      <c r="N61" s="55">
        <f>'Voucher Belanja KOKA'!K59</f>
        <v>0</v>
      </c>
      <c r="O61" s="55">
        <f>'Voucher Belanja KOKA'!L59</f>
        <v>0</v>
      </c>
      <c r="P61" s="55">
        <f>'Voucher Belanja KOKA'!M59</f>
        <v>0</v>
      </c>
      <c r="Q61" s="55">
        <f>'Voucher Belanja KOKA'!N59</f>
        <v>0</v>
      </c>
      <c r="R61" s="55">
        <f>'Voucher Belanja KOKA'!O59</f>
        <v>0</v>
      </c>
      <c r="S61" s="28">
        <f t="shared" si="0"/>
        <v>540000</v>
      </c>
      <c r="T61" s="4"/>
    </row>
    <row r="62" spans="1:20" x14ac:dyDescent="0.2">
      <c r="A62" s="2">
        <v>55</v>
      </c>
      <c r="B62" s="23" t="s">
        <v>122</v>
      </c>
      <c r="C62" s="66"/>
      <c r="D62" s="67"/>
      <c r="E62" s="67"/>
      <c r="F62" s="68"/>
      <c r="G62" s="55">
        <f>'Voucher Belanja KOKA'!D60</f>
        <v>135000</v>
      </c>
      <c r="H62" s="55">
        <f>'Voucher Belanja KOKA'!E60</f>
        <v>135000</v>
      </c>
      <c r="I62" s="55">
        <f>'Voucher Belanja KOKA'!F60</f>
        <v>135000</v>
      </c>
      <c r="J62" s="55">
        <f>'Voucher Belanja KOKA'!G60</f>
        <v>0</v>
      </c>
      <c r="K62" s="55">
        <f>'Voucher Belanja KOKA'!H60</f>
        <v>135000</v>
      </c>
      <c r="L62" s="55">
        <f>'Voucher Belanja KOKA'!I60</f>
        <v>0</v>
      </c>
      <c r="M62" s="55">
        <f>'Voucher Belanja KOKA'!J60</f>
        <v>0</v>
      </c>
      <c r="N62" s="55">
        <f>'Voucher Belanja KOKA'!K60</f>
        <v>0</v>
      </c>
      <c r="O62" s="55">
        <f>'Voucher Belanja KOKA'!L60</f>
        <v>0</v>
      </c>
      <c r="P62" s="55">
        <f>'Voucher Belanja KOKA'!M60</f>
        <v>0</v>
      </c>
      <c r="Q62" s="55">
        <f>'Voucher Belanja KOKA'!N60</f>
        <v>0</v>
      </c>
      <c r="R62" s="55">
        <f>'Voucher Belanja KOKA'!O60</f>
        <v>0</v>
      </c>
      <c r="S62" s="28">
        <f t="shared" si="0"/>
        <v>540000</v>
      </c>
      <c r="T62" s="4"/>
    </row>
    <row r="63" spans="1:20" x14ac:dyDescent="0.2">
      <c r="A63" s="2">
        <v>56</v>
      </c>
      <c r="B63" s="23" t="s">
        <v>79</v>
      </c>
      <c r="C63" s="66"/>
      <c r="D63" s="67"/>
      <c r="E63" s="67"/>
      <c r="F63" s="68"/>
      <c r="G63" s="55">
        <f>'Voucher Belanja KOKA'!D61</f>
        <v>135000</v>
      </c>
      <c r="H63" s="55">
        <f>'Voucher Belanja KOKA'!E61</f>
        <v>135000</v>
      </c>
      <c r="I63" s="55">
        <f>'Voucher Belanja KOKA'!F61</f>
        <v>135000</v>
      </c>
      <c r="J63" s="55">
        <f>'Voucher Belanja KOKA'!G61</f>
        <v>0</v>
      </c>
      <c r="K63" s="55">
        <f>'Voucher Belanja KOKA'!H61</f>
        <v>135000</v>
      </c>
      <c r="L63" s="55">
        <f>'Voucher Belanja KOKA'!I61</f>
        <v>0</v>
      </c>
      <c r="M63" s="55">
        <f>'Voucher Belanja KOKA'!J61</f>
        <v>0</v>
      </c>
      <c r="N63" s="55">
        <f>'Voucher Belanja KOKA'!K61</f>
        <v>0</v>
      </c>
      <c r="O63" s="55">
        <f>'Voucher Belanja KOKA'!L61</f>
        <v>0</v>
      </c>
      <c r="P63" s="55">
        <f>'Voucher Belanja KOKA'!M61</f>
        <v>0</v>
      </c>
      <c r="Q63" s="55">
        <f>'Voucher Belanja KOKA'!N61</f>
        <v>0</v>
      </c>
      <c r="R63" s="55">
        <f>'Voucher Belanja KOKA'!O61</f>
        <v>0</v>
      </c>
      <c r="S63" s="28">
        <f t="shared" si="0"/>
        <v>540000</v>
      </c>
      <c r="T63" s="4"/>
    </row>
    <row r="64" spans="1:20" x14ac:dyDescent="0.2">
      <c r="A64" s="2">
        <v>57</v>
      </c>
      <c r="B64" s="23" t="s">
        <v>80</v>
      </c>
      <c r="C64" s="66"/>
      <c r="D64" s="67"/>
      <c r="E64" s="67"/>
      <c r="F64" s="68"/>
      <c r="G64" s="55">
        <f>'Voucher Belanja KOKA'!D62</f>
        <v>135000</v>
      </c>
      <c r="H64" s="55">
        <f>'Voucher Belanja KOKA'!E62</f>
        <v>135000</v>
      </c>
      <c r="I64" s="55">
        <f>'Voucher Belanja KOKA'!F62</f>
        <v>135000</v>
      </c>
      <c r="J64" s="55">
        <f>'Voucher Belanja KOKA'!G62</f>
        <v>0</v>
      </c>
      <c r="K64" s="55">
        <f>'Voucher Belanja KOKA'!H62</f>
        <v>135000</v>
      </c>
      <c r="L64" s="55">
        <f>'Voucher Belanja KOKA'!I62</f>
        <v>0</v>
      </c>
      <c r="M64" s="55">
        <f>'Voucher Belanja KOKA'!J62</f>
        <v>0</v>
      </c>
      <c r="N64" s="55">
        <f>'Voucher Belanja KOKA'!K62</f>
        <v>0</v>
      </c>
      <c r="O64" s="55">
        <f>'Voucher Belanja KOKA'!L62</f>
        <v>0</v>
      </c>
      <c r="P64" s="55">
        <f>'Voucher Belanja KOKA'!M62</f>
        <v>0</v>
      </c>
      <c r="Q64" s="55">
        <f>'Voucher Belanja KOKA'!N62</f>
        <v>0</v>
      </c>
      <c r="R64" s="55">
        <f>'Voucher Belanja KOKA'!O62</f>
        <v>0</v>
      </c>
      <c r="S64" s="28">
        <f t="shared" si="0"/>
        <v>540000</v>
      </c>
      <c r="T64" s="4"/>
    </row>
    <row r="65" spans="1:20" x14ac:dyDescent="0.2">
      <c r="A65" s="2">
        <v>58</v>
      </c>
      <c r="B65" s="23" t="s">
        <v>121</v>
      </c>
      <c r="C65" s="66"/>
      <c r="D65" s="67"/>
      <c r="E65" s="67"/>
      <c r="F65" s="68"/>
      <c r="G65" s="55">
        <f>'Voucher Belanja KOKA'!D63</f>
        <v>135000</v>
      </c>
      <c r="H65" s="55">
        <f>'Voucher Belanja KOKA'!E63</f>
        <v>135000</v>
      </c>
      <c r="I65" s="55">
        <f>'Voucher Belanja KOKA'!F63</f>
        <v>135000</v>
      </c>
      <c r="J65" s="55">
        <f>'Voucher Belanja KOKA'!G63</f>
        <v>0</v>
      </c>
      <c r="K65" s="55">
        <f>'Voucher Belanja KOKA'!H63</f>
        <v>135000</v>
      </c>
      <c r="L65" s="55">
        <f>'Voucher Belanja KOKA'!I63</f>
        <v>0</v>
      </c>
      <c r="M65" s="55">
        <f>'Voucher Belanja KOKA'!J63</f>
        <v>0</v>
      </c>
      <c r="N65" s="55">
        <f>'Voucher Belanja KOKA'!K63</f>
        <v>0</v>
      </c>
      <c r="O65" s="55">
        <f>'Voucher Belanja KOKA'!L63</f>
        <v>0</v>
      </c>
      <c r="P65" s="55">
        <f>'Voucher Belanja KOKA'!M63</f>
        <v>0</v>
      </c>
      <c r="Q65" s="55">
        <f>'Voucher Belanja KOKA'!N63</f>
        <v>0</v>
      </c>
      <c r="R65" s="55">
        <f>'Voucher Belanja KOKA'!O63</f>
        <v>0</v>
      </c>
      <c r="S65" s="28">
        <f t="shared" si="0"/>
        <v>540000</v>
      </c>
      <c r="T65" s="4"/>
    </row>
    <row r="66" spans="1:20" x14ac:dyDescent="0.2">
      <c r="A66" s="2">
        <v>59</v>
      </c>
      <c r="B66" s="23" t="s">
        <v>81</v>
      </c>
      <c r="C66" s="66"/>
      <c r="D66" s="67"/>
      <c r="E66" s="67"/>
      <c r="F66" s="68"/>
      <c r="G66" s="55">
        <f>'Voucher Belanja KOKA'!D64</f>
        <v>135000</v>
      </c>
      <c r="H66" s="55">
        <f>'Voucher Belanja KOKA'!E64</f>
        <v>135000</v>
      </c>
      <c r="I66" s="55">
        <f>'Voucher Belanja KOKA'!F64</f>
        <v>135000</v>
      </c>
      <c r="J66" s="55">
        <f>'Voucher Belanja KOKA'!G64</f>
        <v>0</v>
      </c>
      <c r="K66" s="55">
        <f>'Voucher Belanja KOKA'!H64</f>
        <v>135000</v>
      </c>
      <c r="L66" s="55">
        <f>'Voucher Belanja KOKA'!I64</f>
        <v>0</v>
      </c>
      <c r="M66" s="55">
        <f>'Voucher Belanja KOKA'!J64</f>
        <v>0</v>
      </c>
      <c r="N66" s="55">
        <f>'Voucher Belanja KOKA'!K64</f>
        <v>0</v>
      </c>
      <c r="O66" s="55">
        <f>'Voucher Belanja KOKA'!L64</f>
        <v>0</v>
      </c>
      <c r="P66" s="55">
        <f>'Voucher Belanja KOKA'!M64</f>
        <v>0</v>
      </c>
      <c r="Q66" s="55">
        <f>'Voucher Belanja KOKA'!N64</f>
        <v>0</v>
      </c>
      <c r="R66" s="55">
        <f>'Voucher Belanja KOKA'!O64</f>
        <v>0</v>
      </c>
      <c r="S66" s="28">
        <f t="shared" si="0"/>
        <v>540000</v>
      </c>
      <c r="T66" s="4"/>
    </row>
    <row r="67" spans="1:20" x14ac:dyDescent="0.2">
      <c r="A67" s="2">
        <v>60</v>
      </c>
      <c r="B67" s="23" t="s">
        <v>82</v>
      </c>
      <c r="C67" s="66"/>
      <c r="D67" s="67"/>
      <c r="E67" s="67"/>
      <c r="F67" s="68"/>
      <c r="G67" s="55">
        <f>'Voucher Belanja KOKA'!D65</f>
        <v>135000</v>
      </c>
      <c r="H67" s="55">
        <f>'Voucher Belanja KOKA'!E65</f>
        <v>135000</v>
      </c>
      <c r="I67" s="55">
        <f>'Voucher Belanja KOKA'!F65</f>
        <v>135000</v>
      </c>
      <c r="J67" s="55">
        <f>'Voucher Belanja KOKA'!G65</f>
        <v>0</v>
      </c>
      <c r="K67" s="55">
        <f>'Voucher Belanja KOKA'!H65</f>
        <v>135000</v>
      </c>
      <c r="L67" s="55">
        <f>'Voucher Belanja KOKA'!I65</f>
        <v>0</v>
      </c>
      <c r="M67" s="55">
        <f>'Voucher Belanja KOKA'!J65</f>
        <v>0</v>
      </c>
      <c r="N67" s="55">
        <f>'Voucher Belanja KOKA'!K65</f>
        <v>0</v>
      </c>
      <c r="O67" s="55">
        <f>'Voucher Belanja KOKA'!L65</f>
        <v>0</v>
      </c>
      <c r="P67" s="55">
        <f>'Voucher Belanja KOKA'!M65</f>
        <v>0</v>
      </c>
      <c r="Q67" s="55">
        <f>'Voucher Belanja KOKA'!N65</f>
        <v>0</v>
      </c>
      <c r="R67" s="55">
        <f>'Voucher Belanja KOKA'!O65</f>
        <v>0</v>
      </c>
      <c r="S67" s="28">
        <f t="shared" si="0"/>
        <v>540000</v>
      </c>
      <c r="T67" s="4"/>
    </row>
    <row r="68" spans="1:20" x14ac:dyDescent="0.2">
      <c r="A68" s="2">
        <v>61</v>
      </c>
      <c r="B68" s="23" t="s">
        <v>83</v>
      </c>
      <c r="C68" s="66"/>
      <c r="D68" s="67"/>
      <c r="E68" s="67"/>
      <c r="F68" s="68"/>
      <c r="G68" s="55">
        <f>'Voucher Belanja KOKA'!D66</f>
        <v>135000</v>
      </c>
      <c r="H68" s="55">
        <f>'Voucher Belanja KOKA'!E66</f>
        <v>135000</v>
      </c>
      <c r="I68" s="55">
        <f>'Voucher Belanja KOKA'!F66</f>
        <v>135000</v>
      </c>
      <c r="J68" s="55">
        <f>'Voucher Belanja KOKA'!G66</f>
        <v>0</v>
      </c>
      <c r="K68" s="55">
        <f>'Voucher Belanja KOKA'!H66</f>
        <v>135000</v>
      </c>
      <c r="L68" s="55">
        <f>'Voucher Belanja KOKA'!I66</f>
        <v>0</v>
      </c>
      <c r="M68" s="55">
        <f>'Voucher Belanja KOKA'!J66</f>
        <v>0</v>
      </c>
      <c r="N68" s="55">
        <f>'Voucher Belanja KOKA'!K66</f>
        <v>0</v>
      </c>
      <c r="O68" s="55">
        <f>'Voucher Belanja KOKA'!L66</f>
        <v>0</v>
      </c>
      <c r="P68" s="55">
        <f>'Voucher Belanja KOKA'!M66</f>
        <v>0</v>
      </c>
      <c r="Q68" s="55">
        <f>'Voucher Belanja KOKA'!N66</f>
        <v>0</v>
      </c>
      <c r="R68" s="55">
        <f>'Voucher Belanja KOKA'!O66</f>
        <v>0</v>
      </c>
      <c r="S68" s="28">
        <f t="shared" si="0"/>
        <v>540000</v>
      </c>
      <c r="T68" s="4"/>
    </row>
    <row r="69" spans="1:20" x14ac:dyDescent="0.2">
      <c r="A69" s="2">
        <v>62</v>
      </c>
      <c r="B69" s="23" t="s">
        <v>84</v>
      </c>
      <c r="C69" s="66"/>
      <c r="D69" s="67"/>
      <c r="E69" s="67"/>
      <c r="F69" s="68"/>
      <c r="G69" s="55">
        <f>'Voucher Belanja KOKA'!D67</f>
        <v>135000</v>
      </c>
      <c r="H69" s="55">
        <f>'Voucher Belanja KOKA'!E67</f>
        <v>135000</v>
      </c>
      <c r="I69" s="55">
        <f>'Voucher Belanja KOKA'!F67</f>
        <v>135000</v>
      </c>
      <c r="J69" s="55">
        <f>'Voucher Belanja KOKA'!G67</f>
        <v>0</v>
      </c>
      <c r="K69" s="55">
        <f>'Voucher Belanja KOKA'!H67</f>
        <v>135000</v>
      </c>
      <c r="L69" s="55">
        <f>'Voucher Belanja KOKA'!I67</f>
        <v>0</v>
      </c>
      <c r="M69" s="55">
        <f>'Voucher Belanja KOKA'!J67</f>
        <v>0</v>
      </c>
      <c r="N69" s="55">
        <f>'Voucher Belanja KOKA'!K67</f>
        <v>0</v>
      </c>
      <c r="O69" s="55">
        <f>'Voucher Belanja KOKA'!L67</f>
        <v>0</v>
      </c>
      <c r="P69" s="55">
        <f>'Voucher Belanja KOKA'!M67</f>
        <v>0</v>
      </c>
      <c r="Q69" s="55">
        <f>'Voucher Belanja KOKA'!N67</f>
        <v>0</v>
      </c>
      <c r="R69" s="55">
        <f>'Voucher Belanja KOKA'!O67</f>
        <v>0</v>
      </c>
      <c r="S69" s="28">
        <f t="shared" ref="S69:S127" si="1">SUM(G69:R69)</f>
        <v>540000</v>
      </c>
      <c r="T69" s="4"/>
    </row>
    <row r="70" spans="1:20" x14ac:dyDescent="0.2">
      <c r="A70" s="2">
        <v>63</v>
      </c>
      <c r="B70" s="23" t="s">
        <v>85</v>
      </c>
      <c r="C70" s="66"/>
      <c r="D70" s="67"/>
      <c r="E70" s="67"/>
      <c r="F70" s="68"/>
      <c r="G70" s="55">
        <f>'Voucher Belanja KOKA'!D68</f>
        <v>135000</v>
      </c>
      <c r="H70" s="55">
        <f>'Voucher Belanja KOKA'!E68</f>
        <v>135000</v>
      </c>
      <c r="I70" s="55">
        <f>'Voucher Belanja KOKA'!F68</f>
        <v>135000</v>
      </c>
      <c r="J70" s="55">
        <f>'Voucher Belanja KOKA'!G68</f>
        <v>0</v>
      </c>
      <c r="K70" s="55">
        <f>'Voucher Belanja KOKA'!H68</f>
        <v>135000</v>
      </c>
      <c r="L70" s="55">
        <f>'Voucher Belanja KOKA'!I68</f>
        <v>0</v>
      </c>
      <c r="M70" s="55">
        <f>'Voucher Belanja KOKA'!J68</f>
        <v>0</v>
      </c>
      <c r="N70" s="55">
        <f>'Voucher Belanja KOKA'!K68</f>
        <v>0</v>
      </c>
      <c r="O70" s="55">
        <f>'Voucher Belanja KOKA'!L68</f>
        <v>0</v>
      </c>
      <c r="P70" s="55">
        <f>'Voucher Belanja KOKA'!M68</f>
        <v>0</v>
      </c>
      <c r="Q70" s="55">
        <f>'Voucher Belanja KOKA'!N68</f>
        <v>0</v>
      </c>
      <c r="R70" s="55">
        <f>'Voucher Belanja KOKA'!O68</f>
        <v>0</v>
      </c>
      <c r="S70" s="28">
        <f t="shared" si="1"/>
        <v>540000</v>
      </c>
      <c r="T70" s="4"/>
    </row>
    <row r="71" spans="1:20" x14ac:dyDescent="0.2">
      <c r="A71" s="2">
        <v>64</v>
      </c>
      <c r="B71" s="23" t="s">
        <v>86</v>
      </c>
      <c r="C71" s="66"/>
      <c r="D71" s="67"/>
      <c r="E71" s="67"/>
      <c r="F71" s="68"/>
      <c r="G71" s="55">
        <f>'Voucher Belanja KOKA'!D69</f>
        <v>135000</v>
      </c>
      <c r="H71" s="55">
        <f>'Voucher Belanja KOKA'!E69</f>
        <v>135000</v>
      </c>
      <c r="I71" s="55">
        <f>'Voucher Belanja KOKA'!F69</f>
        <v>135000</v>
      </c>
      <c r="J71" s="55">
        <f>'Voucher Belanja KOKA'!G69</f>
        <v>0</v>
      </c>
      <c r="K71" s="55">
        <f>'Voucher Belanja KOKA'!H69</f>
        <v>135000</v>
      </c>
      <c r="L71" s="55">
        <f>'Voucher Belanja KOKA'!I69</f>
        <v>0</v>
      </c>
      <c r="M71" s="55">
        <f>'Voucher Belanja KOKA'!J69</f>
        <v>0</v>
      </c>
      <c r="N71" s="55">
        <f>'Voucher Belanja KOKA'!K69</f>
        <v>0</v>
      </c>
      <c r="O71" s="55">
        <f>'Voucher Belanja KOKA'!L69</f>
        <v>0</v>
      </c>
      <c r="P71" s="55">
        <f>'Voucher Belanja KOKA'!M69</f>
        <v>0</v>
      </c>
      <c r="Q71" s="55">
        <f>'Voucher Belanja KOKA'!N69</f>
        <v>0</v>
      </c>
      <c r="R71" s="55">
        <f>'Voucher Belanja KOKA'!O69</f>
        <v>0</v>
      </c>
      <c r="S71" s="28">
        <f t="shared" si="1"/>
        <v>540000</v>
      </c>
      <c r="T71" s="4"/>
    </row>
    <row r="72" spans="1:20" x14ac:dyDescent="0.2">
      <c r="A72" s="2">
        <v>65</v>
      </c>
      <c r="B72" s="23" t="s">
        <v>87</v>
      </c>
      <c r="C72" s="66"/>
      <c r="D72" s="67"/>
      <c r="E72" s="67"/>
      <c r="F72" s="68"/>
      <c r="G72" s="55">
        <f>'Voucher Belanja KOKA'!D70</f>
        <v>135000</v>
      </c>
      <c r="H72" s="55">
        <f>'Voucher Belanja KOKA'!E70</f>
        <v>135000</v>
      </c>
      <c r="I72" s="55">
        <f>'Voucher Belanja KOKA'!F70</f>
        <v>135000</v>
      </c>
      <c r="J72" s="55">
        <f>'Voucher Belanja KOKA'!G70</f>
        <v>0</v>
      </c>
      <c r="K72" s="55">
        <f>'Voucher Belanja KOKA'!H70</f>
        <v>135000</v>
      </c>
      <c r="L72" s="55">
        <f>'Voucher Belanja KOKA'!I70</f>
        <v>0</v>
      </c>
      <c r="M72" s="55">
        <f>'Voucher Belanja KOKA'!J70</f>
        <v>0</v>
      </c>
      <c r="N72" s="55">
        <f>'Voucher Belanja KOKA'!K70</f>
        <v>0</v>
      </c>
      <c r="O72" s="55">
        <f>'Voucher Belanja KOKA'!L70</f>
        <v>0</v>
      </c>
      <c r="P72" s="55">
        <f>'Voucher Belanja KOKA'!M70</f>
        <v>0</v>
      </c>
      <c r="Q72" s="55">
        <f>'Voucher Belanja KOKA'!N70</f>
        <v>0</v>
      </c>
      <c r="R72" s="55">
        <f>'Voucher Belanja KOKA'!O70</f>
        <v>0</v>
      </c>
      <c r="S72" s="28">
        <f t="shared" si="1"/>
        <v>540000</v>
      </c>
      <c r="T72" s="4"/>
    </row>
    <row r="73" spans="1:20" x14ac:dyDescent="0.2">
      <c r="A73" s="2">
        <v>66</v>
      </c>
      <c r="B73" s="23" t="s">
        <v>42</v>
      </c>
      <c r="C73" s="66"/>
      <c r="D73" s="67"/>
      <c r="E73" s="67"/>
      <c r="F73" s="68"/>
      <c r="G73" s="55">
        <f>'Voucher Belanja KOKA'!D71</f>
        <v>135000</v>
      </c>
      <c r="H73" s="55">
        <f>'Voucher Belanja KOKA'!E71</f>
        <v>135000</v>
      </c>
      <c r="I73" s="55">
        <f>'Voucher Belanja KOKA'!F71</f>
        <v>135000</v>
      </c>
      <c r="J73" s="55">
        <f>'Voucher Belanja KOKA'!G71</f>
        <v>0</v>
      </c>
      <c r="K73" s="55">
        <f>'Voucher Belanja KOKA'!H71</f>
        <v>135000</v>
      </c>
      <c r="L73" s="55">
        <f>'Voucher Belanja KOKA'!I71</f>
        <v>0</v>
      </c>
      <c r="M73" s="55">
        <f>'Voucher Belanja KOKA'!J71</f>
        <v>0</v>
      </c>
      <c r="N73" s="55">
        <f>'Voucher Belanja KOKA'!K71</f>
        <v>0</v>
      </c>
      <c r="O73" s="55">
        <f>'Voucher Belanja KOKA'!L71</f>
        <v>0</v>
      </c>
      <c r="P73" s="55">
        <f>'Voucher Belanja KOKA'!M71</f>
        <v>0</v>
      </c>
      <c r="Q73" s="55">
        <f>'Voucher Belanja KOKA'!N71</f>
        <v>0</v>
      </c>
      <c r="R73" s="55">
        <f>'Voucher Belanja KOKA'!O71</f>
        <v>0</v>
      </c>
      <c r="S73" s="28">
        <f t="shared" si="1"/>
        <v>540000</v>
      </c>
      <c r="T73" s="4"/>
    </row>
    <row r="74" spans="1:20" x14ac:dyDescent="0.2">
      <c r="A74" s="2">
        <v>67</v>
      </c>
      <c r="B74" s="23" t="s">
        <v>88</v>
      </c>
      <c r="C74" s="66"/>
      <c r="D74" s="67"/>
      <c r="E74" s="67"/>
      <c r="F74" s="68"/>
      <c r="G74" s="55">
        <f>'Voucher Belanja KOKA'!D72</f>
        <v>270000</v>
      </c>
      <c r="H74" s="55">
        <f>'Voucher Belanja KOKA'!E72</f>
        <v>270000</v>
      </c>
      <c r="I74" s="55">
        <f>'Voucher Belanja KOKA'!F72</f>
        <v>0</v>
      </c>
      <c r="J74" s="55">
        <f>'Voucher Belanja KOKA'!G72</f>
        <v>0</v>
      </c>
      <c r="K74" s="55">
        <f>'Voucher Belanja KOKA'!H72</f>
        <v>0</v>
      </c>
      <c r="L74" s="55">
        <f>'Voucher Belanja KOKA'!I72</f>
        <v>0</v>
      </c>
      <c r="M74" s="55">
        <f>'Voucher Belanja KOKA'!J72</f>
        <v>0</v>
      </c>
      <c r="N74" s="55">
        <f>'Voucher Belanja KOKA'!K72</f>
        <v>0</v>
      </c>
      <c r="O74" s="55">
        <f>'Voucher Belanja KOKA'!L72</f>
        <v>0</v>
      </c>
      <c r="P74" s="55">
        <f>'Voucher Belanja KOKA'!M72</f>
        <v>0</v>
      </c>
      <c r="Q74" s="55">
        <f>'Voucher Belanja KOKA'!N72</f>
        <v>0</v>
      </c>
      <c r="R74" s="55">
        <f>'Voucher Belanja KOKA'!O72</f>
        <v>0</v>
      </c>
      <c r="S74" s="28">
        <f t="shared" si="1"/>
        <v>540000</v>
      </c>
      <c r="T74" s="4"/>
    </row>
    <row r="75" spans="1:20" x14ac:dyDescent="0.2">
      <c r="A75" s="2">
        <v>68</v>
      </c>
      <c r="B75" s="23" t="s">
        <v>89</v>
      </c>
      <c r="C75" s="66"/>
      <c r="D75" s="67"/>
      <c r="E75" s="67"/>
      <c r="F75" s="68"/>
      <c r="G75" s="55">
        <f>'Voucher Belanja KOKA'!D73</f>
        <v>135000</v>
      </c>
      <c r="H75" s="55">
        <f>'Voucher Belanja KOKA'!E73</f>
        <v>135000</v>
      </c>
      <c r="I75" s="55">
        <f>'Voucher Belanja KOKA'!F73</f>
        <v>135000</v>
      </c>
      <c r="J75" s="55">
        <f>'Voucher Belanja KOKA'!G73</f>
        <v>0</v>
      </c>
      <c r="K75" s="55">
        <f>'Voucher Belanja KOKA'!H73</f>
        <v>135000</v>
      </c>
      <c r="L75" s="55">
        <f>'Voucher Belanja KOKA'!I73</f>
        <v>0</v>
      </c>
      <c r="M75" s="55">
        <f>'Voucher Belanja KOKA'!J73</f>
        <v>0</v>
      </c>
      <c r="N75" s="55">
        <f>'Voucher Belanja KOKA'!K73</f>
        <v>0</v>
      </c>
      <c r="O75" s="55">
        <f>'Voucher Belanja KOKA'!L73</f>
        <v>0</v>
      </c>
      <c r="P75" s="55">
        <f>'Voucher Belanja KOKA'!M73</f>
        <v>0</v>
      </c>
      <c r="Q75" s="55">
        <f>'Voucher Belanja KOKA'!N73</f>
        <v>0</v>
      </c>
      <c r="R75" s="55">
        <f>'Voucher Belanja KOKA'!O73</f>
        <v>0</v>
      </c>
      <c r="S75" s="28">
        <f t="shared" si="1"/>
        <v>540000</v>
      </c>
      <c r="T75" s="4"/>
    </row>
    <row r="76" spans="1:20" x14ac:dyDescent="0.2">
      <c r="A76" s="2">
        <v>69</v>
      </c>
      <c r="B76" s="23" t="s">
        <v>27</v>
      </c>
      <c r="C76" s="66"/>
      <c r="D76" s="67"/>
      <c r="F76" s="68"/>
      <c r="G76" s="55">
        <f>'Voucher Belanja KOKA'!D74</f>
        <v>135000</v>
      </c>
      <c r="H76" s="55">
        <f>'Voucher Belanja KOKA'!E74</f>
        <v>0</v>
      </c>
      <c r="I76" s="55">
        <f>'Voucher Belanja KOKA'!F74</f>
        <v>135000</v>
      </c>
      <c r="J76" s="55">
        <f>'Voucher Belanja KOKA'!G74</f>
        <v>0</v>
      </c>
      <c r="K76" s="55">
        <f>'Voucher Belanja KOKA'!H74</f>
        <v>135000</v>
      </c>
      <c r="L76" s="55">
        <f>'Voucher Belanja KOKA'!I74</f>
        <v>0</v>
      </c>
      <c r="M76" s="55">
        <f>'Voucher Belanja KOKA'!J74</f>
        <v>0</v>
      </c>
      <c r="N76" s="55">
        <f>'Voucher Belanja KOKA'!K74</f>
        <v>0</v>
      </c>
      <c r="O76" s="55">
        <f>'Voucher Belanja KOKA'!L74</f>
        <v>0</v>
      </c>
      <c r="P76" s="55">
        <f>'Voucher Belanja KOKA'!M74</f>
        <v>0</v>
      </c>
      <c r="Q76" s="55">
        <f>'Voucher Belanja KOKA'!N74</f>
        <v>0</v>
      </c>
      <c r="R76" s="55">
        <f>'Voucher Belanja KOKA'!O74</f>
        <v>0</v>
      </c>
      <c r="S76" s="28">
        <f t="shared" si="1"/>
        <v>405000</v>
      </c>
      <c r="T76" s="4"/>
    </row>
    <row r="77" spans="1:20" x14ac:dyDescent="0.2">
      <c r="A77" s="2">
        <v>70</v>
      </c>
      <c r="B77" s="23" t="s">
        <v>90</v>
      </c>
      <c r="C77" s="66"/>
      <c r="D77" s="67"/>
      <c r="E77" s="67"/>
      <c r="F77" s="68"/>
      <c r="G77" s="55">
        <f>'Voucher Belanja KOKA'!D75</f>
        <v>135000</v>
      </c>
      <c r="H77" s="55">
        <f>'Voucher Belanja KOKA'!E75</f>
        <v>135000</v>
      </c>
      <c r="I77" s="55">
        <f>'Voucher Belanja KOKA'!F75</f>
        <v>135000</v>
      </c>
      <c r="J77" s="55">
        <f>'Voucher Belanja KOKA'!G75</f>
        <v>0</v>
      </c>
      <c r="K77" s="55">
        <f>'Voucher Belanja KOKA'!H75</f>
        <v>135000</v>
      </c>
      <c r="L77" s="55">
        <f>'Voucher Belanja KOKA'!I75</f>
        <v>0</v>
      </c>
      <c r="M77" s="55">
        <f>'Voucher Belanja KOKA'!J75</f>
        <v>0</v>
      </c>
      <c r="N77" s="55">
        <f>'Voucher Belanja KOKA'!K75</f>
        <v>0</v>
      </c>
      <c r="O77" s="55">
        <f>'Voucher Belanja KOKA'!L75</f>
        <v>0</v>
      </c>
      <c r="P77" s="55">
        <f>'Voucher Belanja KOKA'!M75</f>
        <v>0</v>
      </c>
      <c r="Q77" s="55">
        <f>'Voucher Belanja KOKA'!N75</f>
        <v>0</v>
      </c>
      <c r="R77" s="55">
        <f>'Voucher Belanja KOKA'!O75</f>
        <v>0</v>
      </c>
      <c r="S77" s="28">
        <f t="shared" si="1"/>
        <v>540000</v>
      </c>
      <c r="T77" s="4"/>
    </row>
    <row r="78" spans="1:20" x14ac:dyDescent="0.2">
      <c r="A78" s="2">
        <v>71</v>
      </c>
      <c r="B78" s="23" t="s">
        <v>91</v>
      </c>
      <c r="C78" s="66"/>
      <c r="D78" s="67"/>
      <c r="E78" s="67"/>
      <c r="F78" s="68"/>
      <c r="G78" s="55">
        <f>'Voucher Belanja KOKA'!D76</f>
        <v>135000</v>
      </c>
      <c r="H78" s="55">
        <f>'Voucher Belanja KOKA'!E76</f>
        <v>135000</v>
      </c>
      <c r="I78" s="55">
        <f>'Voucher Belanja KOKA'!F76</f>
        <v>135000</v>
      </c>
      <c r="J78" s="55">
        <f>'Voucher Belanja KOKA'!G76</f>
        <v>0</v>
      </c>
      <c r="K78" s="55">
        <f>'Voucher Belanja KOKA'!H76</f>
        <v>135000</v>
      </c>
      <c r="L78" s="55">
        <f>'Voucher Belanja KOKA'!I76</f>
        <v>0</v>
      </c>
      <c r="M78" s="55">
        <f>'Voucher Belanja KOKA'!J76</f>
        <v>0</v>
      </c>
      <c r="N78" s="55">
        <f>'Voucher Belanja KOKA'!K76</f>
        <v>0</v>
      </c>
      <c r="O78" s="55">
        <f>'Voucher Belanja KOKA'!L76</f>
        <v>0</v>
      </c>
      <c r="P78" s="55">
        <f>'Voucher Belanja KOKA'!M76</f>
        <v>0</v>
      </c>
      <c r="Q78" s="55">
        <f>'Voucher Belanja KOKA'!N76</f>
        <v>0</v>
      </c>
      <c r="R78" s="55">
        <f>'Voucher Belanja KOKA'!O76</f>
        <v>0</v>
      </c>
      <c r="S78" s="28">
        <f t="shared" si="1"/>
        <v>540000</v>
      </c>
      <c r="T78" s="4"/>
    </row>
    <row r="79" spans="1:20" x14ac:dyDescent="0.2">
      <c r="A79" s="2">
        <v>72</v>
      </c>
      <c r="B79" s="23" t="s">
        <v>92</v>
      </c>
      <c r="C79" s="66"/>
      <c r="D79" s="67"/>
      <c r="E79" s="67"/>
      <c r="F79" s="68"/>
      <c r="G79" s="55">
        <f>'Voucher Belanja KOKA'!D77</f>
        <v>135000</v>
      </c>
      <c r="H79" s="55">
        <f>'Voucher Belanja KOKA'!E77</f>
        <v>135000</v>
      </c>
      <c r="I79" s="55">
        <f>'Voucher Belanja KOKA'!F77</f>
        <v>135000</v>
      </c>
      <c r="J79" s="55">
        <f>'Voucher Belanja KOKA'!G77</f>
        <v>0</v>
      </c>
      <c r="K79" s="55">
        <f>'Voucher Belanja KOKA'!H77</f>
        <v>135000</v>
      </c>
      <c r="L79" s="55">
        <f>'Voucher Belanja KOKA'!I77</f>
        <v>0</v>
      </c>
      <c r="M79" s="55">
        <f>'Voucher Belanja KOKA'!J77</f>
        <v>0</v>
      </c>
      <c r="N79" s="55">
        <f>'Voucher Belanja KOKA'!K77</f>
        <v>0</v>
      </c>
      <c r="O79" s="55">
        <f>'Voucher Belanja KOKA'!L77</f>
        <v>0</v>
      </c>
      <c r="P79" s="55">
        <f>'Voucher Belanja KOKA'!M77</f>
        <v>0</v>
      </c>
      <c r="Q79" s="55">
        <f>'Voucher Belanja KOKA'!N77</f>
        <v>0</v>
      </c>
      <c r="R79" s="55">
        <f>'Voucher Belanja KOKA'!O77</f>
        <v>0</v>
      </c>
      <c r="S79" s="28">
        <f t="shared" si="1"/>
        <v>540000</v>
      </c>
      <c r="T79" s="4"/>
    </row>
    <row r="80" spans="1:20" x14ac:dyDescent="0.2">
      <c r="A80" s="2">
        <v>73</v>
      </c>
      <c r="B80" s="23" t="s">
        <v>93</v>
      </c>
      <c r="C80" s="66"/>
      <c r="D80" s="67"/>
      <c r="E80" s="67"/>
      <c r="F80" s="68"/>
      <c r="G80" s="55">
        <f>'Voucher Belanja KOKA'!D78</f>
        <v>135000</v>
      </c>
      <c r="H80" s="55">
        <f>'Voucher Belanja KOKA'!E78</f>
        <v>135000</v>
      </c>
      <c r="I80" s="55">
        <f>'Voucher Belanja KOKA'!F78</f>
        <v>135000</v>
      </c>
      <c r="J80" s="55">
        <f>'Voucher Belanja KOKA'!G78</f>
        <v>0</v>
      </c>
      <c r="K80" s="55">
        <f>'Voucher Belanja KOKA'!H78</f>
        <v>135000</v>
      </c>
      <c r="L80" s="55">
        <f>'Voucher Belanja KOKA'!I78</f>
        <v>0</v>
      </c>
      <c r="M80" s="55">
        <f>'Voucher Belanja KOKA'!J78</f>
        <v>0</v>
      </c>
      <c r="N80" s="55">
        <f>'Voucher Belanja KOKA'!K78</f>
        <v>0</v>
      </c>
      <c r="O80" s="55">
        <f>'Voucher Belanja KOKA'!L78</f>
        <v>0</v>
      </c>
      <c r="P80" s="55">
        <f>'Voucher Belanja KOKA'!M78</f>
        <v>0</v>
      </c>
      <c r="Q80" s="55">
        <f>'Voucher Belanja KOKA'!N78</f>
        <v>0</v>
      </c>
      <c r="R80" s="55">
        <f>'Voucher Belanja KOKA'!O78</f>
        <v>0</v>
      </c>
      <c r="S80" s="28">
        <f t="shared" si="1"/>
        <v>540000</v>
      </c>
      <c r="T80" s="4"/>
    </row>
    <row r="81" spans="1:20" x14ac:dyDescent="0.2">
      <c r="A81" s="2">
        <v>74</v>
      </c>
      <c r="B81" s="23" t="s">
        <v>94</v>
      </c>
      <c r="C81" s="66"/>
      <c r="D81" s="67"/>
      <c r="E81" s="67"/>
      <c r="F81" s="68"/>
      <c r="G81" s="55">
        <f>'Voucher Belanja KOKA'!D79</f>
        <v>135000</v>
      </c>
      <c r="H81" s="55">
        <f>'Voucher Belanja KOKA'!E79</f>
        <v>135000</v>
      </c>
      <c r="I81" s="55">
        <f>'Voucher Belanja KOKA'!F79</f>
        <v>135000</v>
      </c>
      <c r="J81" s="55">
        <f>'Voucher Belanja KOKA'!G79</f>
        <v>0</v>
      </c>
      <c r="K81" s="55">
        <f>'Voucher Belanja KOKA'!H79</f>
        <v>135000</v>
      </c>
      <c r="L81" s="55">
        <f>'Voucher Belanja KOKA'!I79</f>
        <v>0</v>
      </c>
      <c r="M81" s="55">
        <f>'Voucher Belanja KOKA'!J79</f>
        <v>0</v>
      </c>
      <c r="N81" s="55">
        <f>'Voucher Belanja KOKA'!K79</f>
        <v>0</v>
      </c>
      <c r="O81" s="55">
        <f>'Voucher Belanja KOKA'!L79</f>
        <v>0</v>
      </c>
      <c r="P81" s="55">
        <f>'Voucher Belanja KOKA'!M79</f>
        <v>0</v>
      </c>
      <c r="Q81" s="55">
        <f>'Voucher Belanja KOKA'!N79</f>
        <v>0</v>
      </c>
      <c r="R81" s="55">
        <f>'Voucher Belanja KOKA'!O79</f>
        <v>0</v>
      </c>
      <c r="S81" s="28">
        <f t="shared" si="1"/>
        <v>540000</v>
      </c>
      <c r="T81" s="4"/>
    </row>
    <row r="82" spans="1:20" x14ac:dyDescent="0.2">
      <c r="A82" s="2">
        <v>75</v>
      </c>
      <c r="B82" s="23" t="s">
        <v>95</v>
      </c>
      <c r="C82" s="66"/>
      <c r="D82" s="67"/>
      <c r="E82" s="67"/>
      <c r="F82" s="68"/>
      <c r="G82" s="55">
        <f>'Voucher Belanja KOKA'!D80</f>
        <v>135000</v>
      </c>
      <c r="H82" s="55">
        <f>'Voucher Belanja KOKA'!E80</f>
        <v>135000</v>
      </c>
      <c r="I82" s="55">
        <f>'Voucher Belanja KOKA'!F80</f>
        <v>135000</v>
      </c>
      <c r="J82" s="55">
        <f>'Voucher Belanja KOKA'!G80</f>
        <v>0</v>
      </c>
      <c r="K82" s="55">
        <f>'Voucher Belanja KOKA'!H80</f>
        <v>135000</v>
      </c>
      <c r="L82" s="55">
        <f>'Voucher Belanja KOKA'!I80</f>
        <v>0</v>
      </c>
      <c r="M82" s="55">
        <f>'Voucher Belanja KOKA'!J80</f>
        <v>0</v>
      </c>
      <c r="N82" s="55">
        <f>'Voucher Belanja KOKA'!K80</f>
        <v>0</v>
      </c>
      <c r="O82" s="55">
        <f>'Voucher Belanja KOKA'!L80</f>
        <v>0</v>
      </c>
      <c r="P82" s="55">
        <f>'Voucher Belanja KOKA'!M80</f>
        <v>0</v>
      </c>
      <c r="Q82" s="55">
        <f>'Voucher Belanja KOKA'!N80</f>
        <v>0</v>
      </c>
      <c r="R82" s="55">
        <f>'Voucher Belanja KOKA'!O80</f>
        <v>0</v>
      </c>
      <c r="S82" s="28">
        <f t="shared" si="1"/>
        <v>540000</v>
      </c>
      <c r="T82" s="4"/>
    </row>
    <row r="83" spans="1:20" x14ac:dyDescent="0.2">
      <c r="A83" s="2">
        <v>76</v>
      </c>
      <c r="B83" s="23" t="s">
        <v>96</v>
      </c>
      <c r="C83" s="66"/>
      <c r="D83" s="67"/>
      <c r="E83" s="67"/>
      <c r="F83" s="68"/>
      <c r="G83" s="55">
        <f>'Voucher Belanja KOKA'!D81</f>
        <v>135000</v>
      </c>
      <c r="H83" s="55">
        <f>'Voucher Belanja KOKA'!E81</f>
        <v>135000</v>
      </c>
      <c r="I83" s="55">
        <f>'Voucher Belanja KOKA'!F81</f>
        <v>135000</v>
      </c>
      <c r="J83" s="55">
        <f>'Voucher Belanja KOKA'!G81</f>
        <v>0</v>
      </c>
      <c r="K83" s="55">
        <f>'Voucher Belanja KOKA'!H81</f>
        <v>135000</v>
      </c>
      <c r="L83" s="55">
        <f>'Voucher Belanja KOKA'!I81</f>
        <v>0</v>
      </c>
      <c r="M83" s="55">
        <f>'Voucher Belanja KOKA'!J81</f>
        <v>0</v>
      </c>
      <c r="N83" s="55">
        <f>'Voucher Belanja KOKA'!K81</f>
        <v>0</v>
      </c>
      <c r="O83" s="55">
        <f>'Voucher Belanja KOKA'!L81</f>
        <v>0</v>
      </c>
      <c r="P83" s="55">
        <f>'Voucher Belanja KOKA'!M81</f>
        <v>0</v>
      </c>
      <c r="Q83" s="55">
        <f>'Voucher Belanja KOKA'!N81</f>
        <v>0</v>
      </c>
      <c r="R83" s="55">
        <f>'Voucher Belanja KOKA'!O81</f>
        <v>0</v>
      </c>
      <c r="S83" s="28">
        <f t="shared" si="1"/>
        <v>540000</v>
      </c>
      <c r="T83" s="4"/>
    </row>
    <row r="84" spans="1:20" x14ac:dyDescent="0.2">
      <c r="A84" s="2">
        <v>77</v>
      </c>
      <c r="B84" s="23" t="s">
        <v>97</v>
      </c>
      <c r="C84" s="66"/>
      <c r="D84" s="67"/>
      <c r="E84" s="67"/>
      <c r="F84" s="68"/>
      <c r="G84" s="55">
        <f>'Voucher Belanja KOKA'!D82</f>
        <v>135000</v>
      </c>
      <c r="H84" s="55">
        <f>'Voucher Belanja KOKA'!E82</f>
        <v>135000</v>
      </c>
      <c r="I84" s="55">
        <f>'Voucher Belanja KOKA'!F82</f>
        <v>135000</v>
      </c>
      <c r="J84" s="55">
        <f>'Voucher Belanja KOKA'!G82</f>
        <v>0</v>
      </c>
      <c r="K84" s="55">
        <f>'Voucher Belanja KOKA'!H82</f>
        <v>135000</v>
      </c>
      <c r="L84" s="55">
        <f>'Voucher Belanja KOKA'!I82</f>
        <v>0</v>
      </c>
      <c r="M84" s="55">
        <f>'Voucher Belanja KOKA'!J82</f>
        <v>0</v>
      </c>
      <c r="N84" s="55">
        <f>'Voucher Belanja KOKA'!K82</f>
        <v>0</v>
      </c>
      <c r="O84" s="55">
        <f>'Voucher Belanja KOKA'!L82</f>
        <v>0</v>
      </c>
      <c r="P84" s="55">
        <f>'Voucher Belanja KOKA'!M82</f>
        <v>0</v>
      </c>
      <c r="Q84" s="55">
        <f>'Voucher Belanja KOKA'!N82</f>
        <v>0</v>
      </c>
      <c r="R84" s="55">
        <f>'Voucher Belanja KOKA'!O82</f>
        <v>0</v>
      </c>
      <c r="S84" s="28">
        <f t="shared" si="1"/>
        <v>540000</v>
      </c>
      <c r="T84" s="4"/>
    </row>
    <row r="85" spans="1:20" x14ac:dyDescent="0.2">
      <c r="A85" s="2">
        <v>78</v>
      </c>
      <c r="B85" s="23" t="s">
        <v>29</v>
      </c>
      <c r="C85" s="59"/>
      <c r="D85" s="67"/>
      <c r="E85" s="67"/>
      <c r="F85" s="68"/>
      <c r="G85" s="55">
        <f>'Voucher Belanja KOKA'!D83+'Pinjaman Barang Sekunder'!K5</f>
        <v>400000</v>
      </c>
      <c r="H85" s="55">
        <f>'Voucher Belanja KOKA'!E83+'Pinjaman Barang Sekunder'!L5</f>
        <v>400000</v>
      </c>
      <c r="I85" s="55">
        <f>'Voucher Belanja KOKA'!F83+'Pinjaman Barang Sekunder'!M5</f>
        <v>400000</v>
      </c>
      <c r="J85" s="55">
        <f>'Voucher Belanja KOKA'!G83+'Pinjaman Barang Sekunder'!N5</f>
        <v>0</v>
      </c>
      <c r="K85" s="55">
        <f>'Voucher Belanja KOKA'!H83+'Pinjaman Barang Sekunder'!O5</f>
        <v>135000</v>
      </c>
      <c r="L85" s="55">
        <f>'Voucher Belanja KOKA'!I83+'Pinjaman Barang Sekunder'!P5</f>
        <v>0</v>
      </c>
      <c r="M85" s="55">
        <f>'Voucher Belanja KOKA'!J83+'Pinjaman Barang Sekunder'!Q5</f>
        <v>0</v>
      </c>
      <c r="N85" s="55">
        <f>'Voucher Belanja KOKA'!K83+'Pinjaman Barang Sekunder'!R5</f>
        <v>0</v>
      </c>
      <c r="O85" s="55">
        <f>'Voucher Belanja KOKA'!L83+'Pinjaman Barang Sekunder'!S5</f>
        <v>0</v>
      </c>
      <c r="P85" s="55">
        <f>'Voucher Belanja KOKA'!M83+'Pinjaman Barang Sekunder'!T5</f>
        <v>0</v>
      </c>
      <c r="Q85" s="55">
        <f>'Voucher Belanja KOKA'!N83+'Pinjaman Barang Sekunder'!U5</f>
        <v>0</v>
      </c>
      <c r="R85" s="55">
        <f>'Voucher Belanja KOKA'!O83+'Pinjaman Barang Sekunder'!V5</f>
        <v>0</v>
      </c>
      <c r="S85" s="28">
        <f t="shared" si="1"/>
        <v>1335000</v>
      </c>
      <c r="T85" s="4"/>
    </row>
    <row r="86" spans="1:20" x14ac:dyDescent="0.2">
      <c r="A86" s="2">
        <v>79</v>
      </c>
      <c r="B86" s="23" t="s">
        <v>98</v>
      </c>
      <c r="C86" s="66"/>
      <c r="D86" s="67"/>
      <c r="E86" s="67"/>
      <c r="F86" s="68"/>
      <c r="G86" s="55">
        <f>'Voucher Belanja KOKA'!D84</f>
        <v>135000</v>
      </c>
      <c r="H86" s="55">
        <f>'Voucher Belanja KOKA'!E84</f>
        <v>135000</v>
      </c>
      <c r="I86" s="55">
        <f>'Voucher Belanja KOKA'!F84</f>
        <v>135000</v>
      </c>
      <c r="J86" s="55">
        <f>'Voucher Belanja KOKA'!G84</f>
        <v>0</v>
      </c>
      <c r="K86" s="55">
        <f>'Voucher Belanja KOKA'!H84</f>
        <v>135000</v>
      </c>
      <c r="L86" s="55">
        <f>'Voucher Belanja KOKA'!I84</f>
        <v>0</v>
      </c>
      <c r="M86" s="55">
        <f>'Voucher Belanja KOKA'!J84</f>
        <v>0</v>
      </c>
      <c r="N86" s="55">
        <f>'Voucher Belanja KOKA'!K84</f>
        <v>0</v>
      </c>
      <c r="O86" s="55">
        <f>'Voucher Belanja KOKA'!L84</f>
        <v>0</v>
      </c>
      <c r="P86" s="55">
        <f>'Voucher Belanja KOKA'!M84</f>
        <v>0</v>
      </c>
      <c r="Q86" s="55">
        <f>'Voucher Belanja KOKA'!N84</f>
        <v>0</v>
      </c>
      <c r="R86" s="55">
        <f>'Voucher Belanja KOKA'!O84</f>
        <v>0</v>
      </c>
      <c r="S86" s="28">
        <f t="shared" si="1"/>
        <v>540000</v>
      </c>
      <c r="T86" s="4"/>
    </row>
    <row r="87" spans="1:20" x14ac:dyDescent="0.2">
      <c r="A87" s="2">
        <v>80</v>
      </c>
      <c r="B87" s="23" t="s">
        <v>99</v>
      </c>
      <c r="C87" s="66"/>
      <c r="D87" s="67"/>
      <c r="E87" s="67"/>
      <c r="F87" s="68"/>
      <c r="G87" s="55">
        <f>'Voucher Belanja KOKA'!D85</f>
        <v>135000</v>
      </c>
      <c r="H87" s="55">
        <f>'Voucher Belanja KOKA'!E85</f>
        <v>135000</v>
      </c>
      <c r="I87" s="55">
        <f>'Voucher Belanja KOKA'!F85</f>
        <v>135000</v>
      </c>
      <c r="J87" s="55">
        <f>'Voucher Belanja KOKA'!G85</f>
        <v>0</v>
      </c>
      <c r="K87" s="55">
        <f>'Voucher Belanja KOKA'!H85</f>
        <v>135000</v>
      </c>
      <c r="L87" s="55">
        <f>'Voucher Belanja KOKA'!I85</f>
        <v>0</v>
      </c>
      <c r="M87" s="55">
        <f>'Voucher Belanja KOKA'!J85</f>
        <v>0</v>
      </c>
      <c r="N87" s="55">
        <f>'Voucher Belanja KOKA'!K85</f>
        <v>0</v>
      </c>
      <c r="O87" s="55">
        <f>'Voucher Belanja KOKA'!L85</f>
        <v>0</v>
      </c>
      <c r="P87" s="55">
        <f>'Voucher Belanja KOKA'!M85</f>
        <v>0</v>
      </c>
      <c r="Q87" s="55">
        <f>'Voucher Belanja KOKA'!N85</f>
        <v>0</v>
      </c>
      <c r="R87" s="55">
        <f>'Voucher Belanja KOKA'!O85</f>
        <v>0</v>
      </c>
      <c r="S87" s="28">
        <f t="shared" si="1"/>
        <v>540000</v>
      </c>
      <c r="T87" s="4"/>
    </row>
    <row r="88" spans="1:20" x14ac:dyDescent="0.2">
      <c r="A88" s="2">
        <v>81</v>
      </c>
      <c r="B88" s="23" t="s">
        <v>100</v>
      </c>
      <c r="C88" s="66"/>
      <c r="D88" s="67"/>
      <c r="E88" s="67"/>
      <c r="F88" s="68"/>
      <c r="G88" s="55">
        <f>'Voucher Belanja KOKA'!D86</f>
        <v>135000</v>
      </c>
      <c r="H88" s="55">
        <f>'Voucher Belanja KOKA'!E86</f>
        <v>135000</v>
      </c>
      <c r="I88" s="55">
        <f>'Voucher Belanja KOKA'!F86</f>
        <v>135000</v>
      </c>
      <c r="J88" s="55">
        <f>'Voucher Belanja KOKA'!G86</f>
        <v>0</v>
      </c>
      <c r="K88" s="55">
        <f>'Voucher Belanja KOKA'!H86</f>
        <v>135000</v>
      </c>
      <c r="L88" s="55">
        <f>'Voucher Belanja KOKA'!I86</f>
        <v>0</v>
      </c>
      <c r="M88" s="55">
        <f>'Voucher Belanja KOKA'!J86</f>
        <v>0</v>
      </c>
      <c r="N88" s="55">
        <f>'Voucher Belanja KOKA'!K86</f>
        <v>0</v>
      </c>
      <c r="O88" s="55">
        <f>'Voucher Belanja KOKA'!L86</f>
        <v>0</v>
      </c>
      <c r="P88" s="55">
        <f>'Voucher Belanja KOKA'!M86</f>
        <v>0</v>
      </c>
      <c r="Q88" s="55">
        <f>'Voucher Belanja KOKA'!N86</f>
        <v>0</v>
      </c>
      <c r="R88" s="55">
        <f>'Voucher Belanja KOKA'!O86</f>
        <v>0</v>
      </c>
      <c r="S88" s="28">
        <f t="shared" si="1"/>
        <v>540000</v>
      </c>
      <c r="T88" s="4"/>
    </row>
    <row r="89" spans="1:20" x14ac:dyDescent="0.2">
      <c r="A89" s="2">
        <v>82</v>
      </c>
      <c r="B89" s="23" t="s">
        <v>101</v>
      </c>
      <c r="C89" s="66"/>
      <c r="D89" s="67"/>
      <c r="E89" s="67"/>
      <c r="F89" s="68"/>
      <c r="G89" s="55">
        <f>'Voucher Belanja KOKA'!D87</f>
        <v>135000</v>
      </c>
      <c r="H89" s="55">
        <f>'Voucher Belanja KOKA'!E87</f>
        <v>135000</v>
      </c>
      <c r="I89" s="55">
        <f>'Voucher Belanja KOKA'!F87</f>
        <v>135000</v>
      </c>
      <c r="J89" s="55">
        <f>'Voucher Belanja KOKA'!G87</f>
        <v>0</v>
      </c>
      <c r="K89" s="55">
        <f>'Voucher Belanja KOKA'!H87</f>
        <v>135000</v>
      </c>
      <c r="L89" s="55">
        <f>'Voucher Belanja KOKA'!I87</f>
        <v>0</v>
      </c>
      <c r="M89" s="55">
        <f>'Voucher Belanja KOKA'!J87</f>
        <v>0</v>
      </c>
      <c r="N89" s="55">
        <f>'Voucher Belanja KOKA'!K87</f>
        <v>0</v>
      </c>
      <c r="O89" s="55">
        <f>'Voucher Belanja KOKA'!L87</f>
        <v>0</v>
      </c>
      <c r="P89" s="55">
        <f>'Voucher Belanja KOKA'!M87</f>
        <v>0</v>
      </c>
      <c r="Q89" s="55">
        <f>'Voucher Belanja KOKA'!N87</f>
        <v>0</v>
      </c>
      <c r="R89" s="55">
        <f>'Voucher Belanja KOKA'!O87</f>
        <v>0</v>
      </c>
      <c r="S89" s="28">
        <f t="shared" si="1"/>
        <v>540000</v>
      </c>
      <c r="T89" s="4"/>
    </row>
    <row r="90" spans="1:20" x14ac:dyDescent="0.2">
      <c r="A90" s="2">
        <v>83</v>
      </c>
      <c r="B90" s="23" t="s">
        <v>102</v>
      </c>
      <c r="C90" s="66"/>
      <c r="D90" s="67"/>
      <c r="E90" s="67"/>
      <c r="F90" s="68"/>
      <c r="G90" s="55">
        <f>'Voucher Belanja KOKA'!D88</f>
        <v>135000</v>
      </c>
      <c r="H90" s="55">
        <f>'Voucher Belanja KOKA'!E88</f>
        <v>135000</v>
      </c>
      <c r="I90" s="55">
        <f>'Voucher Belanja KOKA'!F88</f>
        <v>0</v>
      </c>
      <c r="J90" s="55">
        <f>'Voucher Belanja KOKA'!G88</f>
        <v>0</v>
      </c>
      <c r="K90" s="55">
        <f>'Voucher Belanja KOKA'!H88</f>
        <v>0</v>
      </c>
      <c r="L90" s="55">
        <f>'Voucher Belanja KOKA'!I88</f>
        <v>0</v>
      </c>
      <c r="M90" s="55">
        <f>'Voucher Belanja KOKA'!J88</f>
        <v>0</v>
      </c>
      <c r="N90" s="55">
        <f>'Voucher Belanja KOKA'!K88</f>
        <v>0</v>
      </c>
      <c r="O90" s="55">
        <f>'Voucher Belanja KOKA'!L88</f>
        <v>0</v>
      </c>
      <c r="P90" s="55">
        <f>'Voucher Belanja KOKA'!M88</f>
        <v>0</v>
      </c>
      <c r="Q90" s="55">
        <f>'Voucher Belanja KOKA'!N88</f>
        <v>0</v>
      </c>
      <c r="R90" s="55">
        <f>'Voucher Belanja KOKA'!O88</f>
        <v>0</v>
      </c>
      <c r="S90" s="28">
        <f t="shared" si="1"/>
        <v>270000</v>
      </c>
      <c r="T90" s="4"/>
    </row>
    <row r="91" spans="1:20" x14ac:dyDescent="0.2">
      <c r="A91" s="2">
        <v>84</v>
      </c>
      <c r="B91" s="23" t="s">
        <v>103</v>
      </c>
      <c r="C91" s="66"/>
      <c r="D91" s="67"/>
      <c r="E91" s="67"/>
      <c r="F91" s="68"/>
      <c r="G91" s="55">
        <f>'Voucher Belanja KOKA'!D89</f>
        <v>135000</v>
      </c>
      <c r="H91" s="55">
        <f>'Voucher Belanja KOKA'!E89</f>
        <v>135000</v>
      </c>
      <c r="I91" s="55">
        <f>'Voucher Belanja KOKA'!F89</f>
        <v>135000</v>
      </c>
      <c r="J91" s="55">
        <f>'Voucher Belanja KOKA'!G89</f>
        <v>0</v>
      </c>
      <c r="K91" s="55">
        <f>'Voucher Belanja KOKA'!H89</f>
        <v>135000</v>
      </c>
      <c r="L91" s="55">
        <f>'Voucher Belanja KOKA'!I89</f>
        <v>0</v>
      </c>
      <c r="M91" s="55">
        <f>'Voucher Belanja KOKA'!J89</f>
        <v>0</v>
      </c>
      <c r="N91" s="55">
        <f>'Voucher Belanja KOKA'!K89</f>
        <v>0</v>
      </c>
      <c r="O91" s="55">
        <f>'Voucher Belanja KOKA'!L89</f>
        <v>0</v>
      </c>
      <c r="P91" s="55">
        <f>'Voucher Belanja KOKA'!M89</f>
        <v>0</v>
      </c>
      <c r="Q91" s="55">
        <f>'Voucher Belanja KOKA'!N89</f>
        <v>0</v>
      </c>
      <c r="R91" s="55">
        <f>'Voucher Belanja KOKA'!O89</f>
        <v>0</v>
      </c>
      <c r="S91" s="28">
        <f t="shared" si="1"/>
        <v>540000</v>
      </c>
      <c r="T91" s="4"/>
    </row>
    <row r="92" spans="1:20" x14ac:dyDescent="0.2">
      <c r="A92" s="2">
        <v>85</v>
      </c>
      <c r="B92" s="23" t="s">
        <v>104</v>
      </c>
      <c r="C92" s="66"/>
      <c r="D92" s="67"/>
      <c r="E92" s="60"/>
      <c r="F92" s="68"/>
      <c r="G92" s="55">
        <f>'Voucher Belanja KOKA'!D90+'Pinjaman Barang Primer Harian'!C8</f>
        <v>1012900</v>
      </c>
      <c r="H92" s="55">
        <f>'Voucher Belanja KOKA'!E90+'Pinjaman Barang Primer Harian'!D8</f>
        <v>911580</v>
      </c>
      <c r="I92" s="55">
        <f>'Voucher Belanja KOKA'!F90+'Pinjaman Barang Primer Harian'!E8</f>
        <v>135000</v>
      </c>
      <c r="J92" s="55">
        <f>'Voucher Belanja KOKA'!G90+'Pinjaman Barang Primer Harian'!F8</f>
        <v>425250</v>
      </c>
      <c r="K92" s="55">
        <f>'Voucher Belanja KOKA'!H90+'Pinjaman Barang Primer Harian'!G8</f>
        <v>341000</v>
      </c>
      <c r="L92" s="55">
        <f>'Voucher Belanja KOKA'!I90+'Pinjaman Barang Primer Harian'!H8</f>
        <v>0</v>
      </c>
      <c r="M92" s="55">
        <f>'Voucher Belanja KOKA'!J90+'Pinjaman Barang Primer Harian'!I8</f>
        <v>1003800</v>
      </c>
      <c r="N92" s="55">
        <f>'Voucher Belanja KOKA'!K90+'Pinjaman Barang Primer Harian'!J8</f>
        <v>245490</v>
      </c>
      <c r="O92" s="55">
        <f>'Voucher Belanja KOKA'!L90+'Pinjaman Barang Primer Harian'!K8</f>
        <v>0</v>
      </c>
      <c r="P92" s="55">
        <f>'Voucher Belanja KOKA'!M90+'Pinjaman Barang Primer Harian'!L8</f>
        <v>0</v>
      </c>
      <c r="Q92" s="55">
        <f>'Voucher Belanja KOKA'!N90+'Pinjaman Barang Primer Harian'!M8</f>
        <v>0</v>
      </c>
      <c r="R92" s="55">
        <f>'Voucher Belanja KOKA'!O90+'Pinjaman Barang Primer Harian'!N8</f>
        <v>0</v>
      </c>
      <c r="S92" s="28">
        <f t="shared" si="1"/>
        <v>4075020</v>
      </c>
      <c r="T92" s="4"/>
    </row>
    <row r="93" spans="1:20" x14ac:dyDescent="0.2">
      <c r="A93" s="2">
        <v>86</v>
      </c>
      <c r="B93" s="23" t="s">
        <v>105</v>
      </c>
      <c r="C93" s="66"/>
      <c r="D93" s="67"/>
      <c r="E93" s="67"/>
      <c r="F93" s="68"/>
      <c r="G93" s="55">
        <f>'Voucher Belanja KOKA'!D91</f>
        <v>135000</v>
      </c>
      <c r="H93" s="55">
        <f>'Voucher Belanja KOKA'!E91</f>
        <v>135000</v>
      </c>
      <c r="I93" s="55">
        <f>'Voucher Belanja KOKA'!F91</f>
        <v>135000</v>
      </c>
      <c r="J93" s="55">
        <f>'Voucher Belanja KOKA'!G91</f>
        <v>0</v>
      </c>
      <c r="K93" s="55">
        <f>'Voucher Belanja KOKA'!H91</f>
        <v>135000</v>
      </c>
      <c r="L93" s="55">
        <f>'Voucher Belanja KOKA'!I91</f>
        <v>0</v>
      </c>
      <c r="M93" s="55">
        <f>'Voucher Belanja KOKA'!J91</f>
        <v>0</v>
      </c>
      <c r="N93" s="55">
        <f>'Voucher Belanja KOKA'!K91</f>
        <v>0</v>
      </c>
      <c r="O93" s="55">
        <f>'Voucher Belanja KOKA'!L91</f>
        <v>0</v>
      </c>
      <c r="P93" s="55">
        <f>'Voucher Belanja KOKA'!M91</f>
        <v>0</v>
      </c>
      <c r="Q93" s="55">
        <f>'Voucher Belanja KOKA'!N91</f>
        <v>0</v>
      </c>
      <c r="R93" s="55">
        <f>'Voucher Belanja KOKA'!O91</f>
        <v>0</v>
      </c>
      <c r="S93" s="28">
        <f t="shared" si="1"/>
        <v>540000</v>
      </c>
      <c r="T93" s="4"/>
    </row>
    <row r="94" spans="1:20" x14ac:dyDescent="0.2">
      <c r="A94" s="2">
        <v>87</v>
      </c>
      <c r="B94" s="23" t="s">
        <v>106</v>
      </c>
      <c r="C94" s="66"/>
      <c r="D94" s="67"/>
      <c r="E94" s="67"/>
      <c r="F94" s="68"/>
      <c r="G94" s="55">
        <f>'Voucher Belanja KOKA'!D92</f>
        <v>135000</v>
      </c>
      <c r="H94" s="55">
        <f>'Voucher Belanja KOKA'!E92</f>
        <v>135000</v>
      </c>
      <c r="I94" s="55">
        <f>'Voucher Belanja KOKA'!F92</f>
        <v>135000</v>
      </c>
      <c r="J94" s="55">
        <f>'Voucher Belanja KOKA'!G92</f>
        <v>0</v>
      </c>
      <c r="K94" s="55">
        <f>'Voucher Belanja KOKA'!H92</f>
        <v>135000</v>
      </c>
      <c r="L94" s="55">
        <f>'Voucher Belanja KOKA'!I92</f>
        <v>0</v>
      </c>
      <c r="M94" s="55">
        <f>'Voucher Belanja KOKA'!J92</f>
        <v>0</v>
      </c>
      <c r="N94" s="55">
        <f>'Voucher Belanja KOKA'!K92</f>
        <v>0</v>
      </c>
      <c r="O94" s="55">
        <f>'Voucher Belanja KOKA'!L92</f>
        <v>0</v>
      </c>
      <c r="P94" s="55">
        <f>'Voucher Belanja KOKA'!M92</f>
        <v>0</v>
      </c>
      <c r="Q94" s="55">
        <f>'Voucher Belanja KOKA'!N92</f>
        <v>0</v>
      </c>
      <c r="R94" s="55">
        <f>'Voucher Belanja KOKA'!O92</f>
        <v>0</v>
      </c>
      <c r="S94" s="28">
        <f t="shared" si="1"/>
        <v>540000</v>
      </c>
      <c r="T94" s="4"/>
    </row>
    <row r="95" spans="1:20" x14ac:dyDescent="0.2">
      <c r="A95" s="2">
        <v>88</v>
      </c>
      <c r="B95" s="23" t="s">
        <v>107</v>
      </c>
      <c r="C95" s="66"/>
      <c r="D95" s="67"/>
      <c r="E95" s="67"/>
      <c r="F95" s="68"/>
      <c r="G95" s="55">
        <f>'Voucher Belanja KOKA'!D93</f>
        <v>135000</v>
      </c>
      <c r="H95" s="55">
        <f>'Voucher Belanja KOKA'!E93</f>
        <v>135000</v>
      </c>
      <c r="I95" s="55">
        <f>'Voucher Belanja KOKA'!F93</f>
        <v>0</v>
      </c>
      <c r="J95" s="55">
        <f>'Voucher Belanja KOKA'!G93</f>
        <v>0</v>
      </c>
      <c r="K95" s="55">
        <f>'Voucher Belanja KOKA'!H93</f>
        <v>0</v>
      </c>
      <c r="L95" s="55">
        <f>'Voucher Belanja KOKA'!I93</f>
        <v>0</v>
      </c>
      <c r="M95" s="55">
        <f>'Voucher Belanja KOKA'!J93</f>
        <v>0</v>
      </c>
      <c r="N95" s="55">
        <f>'Voucher Belanja KOKA'!K93</f>
        <v>0</v>
      </c>
      <c r="O95" s="55">
        <f>'Voucher Belanja KOKA'!L93</f>
        <v>0</v>
      </c>
      <c r="P95" s="55">
        <f>'Voucher Belanja KOKA'!M93</f>
        <v>0</v>
      </c>
      <c r="Q95" s="55">
        <f>'Voucher Belanja KOKA'!N93</f>
        <v>0</v>
      </c>
      <c r="R95" s="55">
        <f>'Voucher Belanja KOKA'!O93</f>
        <v>0</v>
      </c>
      <c r="S95" s="28">
        <f t="shared" si="1"/>
        <v>270000</v>
      </c>
      <c r="T95" s="4"/>
    </row>
    <row r="96" spans="1:20" x14ac:dyDescent="0.2">
      <c r="A96" s="2">
        <v>89</v>
      </c>
      <c r="B96" s="23" t="s">
        <v>28</v>
      </c>
      <c r="C96" s="66"/>
      <c r="D96" s="67"/>
      <c r="E96" s="67"/>
      <c r="F96" s="68"/>
      <c r="G96" s="55">
        <f>'Voucher Belanja KOKA'!D94</f>
        <v>135000</v>
      </c>
      <c r="H96" s="55">
        <f>'Voucher Belanja KOKA'!E94</f>
        <v>135000</v>
      </c>
      <c r="I96" s="55">
        <f>'Voucher Belanja KOKA'!F94</f>
        <v>135000</v>
      </c>
      <c r="J96" s="55">
        <f>'Voucher Belanja KOKA'!G94</f>
        <v>0</v>
      </c>
      <c r="K96" s="55">
        <f>'Voucher Belanja KOKA'!H94</f>
        <v>135000</v>
      </c>
      <c r="L96" s="55">
        <f>'Voucher Belanja KOKA'!I94</f>
        <v>0</v>
      </c>
      <c r="M96" s="55">
        <f>'Voucher Belanja KOKA'!J94</f>
        <v>0</v>
      </c>
      <c r="N96" s="55">
        <f>'Voucher Belanja KOKA'!K94</f>
        <v>0</v>
      </c>
      <c r="O96" s="55">
        <f>'Voucher Belanja KOKA'!L94</f>
        <v>0</v>
      </c>
      <c r="P96" s="55">
        <f>'Voucher Belanja KOKA'!M94</f>
        <v>0</v>
      </c>
      <c r="Q96" s="55">
        <f>'Voucher Belanja KOKA'!N94</f>
        <v>0</v>
      </c>
      <c r="R96" s="55">
        <f>'Voucher Belanja KOKA'!O94</f>
        <v>0</v>
      </c>
      <c r="S96" s="28">
        <f t="shared" si="1"/>
        <v>540000</v>
      </c>
      <c r="T96" s="4"/>
    </row>
    <row r="97" spans="1:20" x14ac:dyDescent="0.2">
      <c r="A97" s="2">
        <v>90</v>
      </c>
      <c r="B97" s="23" t="s">
        <v>134</v>
      </c>
      <c r="C97" s="66"/>
      <c r="D97" s="67"/>
      <c r="E97" s="67"/>
      <c r="F97" s="68"/>
      <c r="G97" s="55">
        <f>'Voucher Belanja KOKA'!D95</f>
        <v>135000</v>
      </c>
      <c r="H97" s="55">
        <f>'Voucher Belanja KOKA'!E95</f>
        <v>135000</v>
      </c>
      <c r="I97" s="55">
        <f>'Voucher Belanja KOKA'!F95</f>
        <v>135000</v>
      </c>
      <c r="J97" s="55">
        <f>'Voucher Belanja KOKA'!G95</f>
        <v>0</v>
      </c>
      <c r="K97" s="55">
        <f>'Voucher Belanja KOKA'!H95</f>
        <v>135000</v>
      </c>
      <c r="L97" s="55">
        <f>'Voucher Belanja KOKA'!I95</f>
        <v>0</v>
      </c>
      <c r="M97" s="55">
        <f>'Voucher Belanja KOKA'!J95</f>
        <v>0</v>
      </c>
      <c r="N97" s="55">
        <f>'Voucher Belanja KOKA'!K95</f>
        <v>0</v>
      </c>
      <c r="O97" s="55">
        <f>'Voucher Belanja KOKA'!L95</f>
        <v>0</v>
      </c>
      <c r="P97" s="55">
        <f>'Voucher Belanja KOKA'!M95</f>
        <v>0</v>
      </c>
      <c r="Q97" s="55">
        <f>'Voucher Belanja KOKA'!N95</f>
        <v>0</v>
      </c>
      <c r="R97" s="55">
        <f>'Voucher Belanja KOKA'!O95</f>
        <v>0</v>
      </c>
      <c r="S97" s="28">
        <f t="shared" si="1"/>
        <v>540000</v>
      </c>
      <c r="T97" s="4"/>
    </row>
    <row r="98" spans="1:20" x14ac:dyDescent="0.2">
      <c r="A98" s="2">
        <v>91</v>
      </c>
      <c r="B98" s="23" t="s">
        <v>108</v>
      </c>
      <c r="C98" s="66"/>
      <c r="D98" s="67"/>
      <c r="E98" s="67"/>
      <c r="F98" s="68"/>
      <c r="G98" s="55">
        <f>'Voucher Belanja KOKA'!D96</f>
        <v>160000</v>
      </c>
      <c r="H98" s="55">
        <f>'Voucher Belanja KOKA'!E96</f>
        <v>160000</v>
      </c>
      <c r="I98" s="55">
        <f>'Voucher Belanja KOKA'!F96</f>
        <v>160000</v>
      </c>
      <c r="J98" s="55">
        <f>'Voucher Belanja KOKA'!G96</f>
        <v>160000</v>
      </c>
      <c r="K98" s="55">
        <f>'Voucher Belanja KOKA'!H96</f>
        <v>160000</v>
      </c>
      <c r="L98" s="55">
        <f>'Voucher Belanja KOKA'!I96</f>
        <v>0</v>
      </c>
      <c r="M98" s="55">
        <f>'Voucher Belanja KOKA'!J96</f>
        <v>0</v>
      </c>
      <c r="N98" s="55">
        <f>'Voucher Belanja KOKA'!K96</f>
        <v>0</v>
      </c>
      <c r="O98" s="55">
        <f>'Voucher Belanja KOKA'!L96</f>
        <v>0</v>
      </c>
      <c r="P98" s="55">
        <f>'Voucher Belanja KOKA'!M96</f>
        <v>0</v>
      </c>
      <c r="Q98" s="55">
        <f>'Voucher Belanja KOKA'!N96</f>
        <v>0</v>
      </c>
      <c r="R98" s="55">
        <f>'Voucher Belanja KOKA'!O96</f>
        <v>0</v>
      </c>
      <c r="S98" s="28">
        <f t="shared" si="1"/>
        <v>800000</v>
      </c>
      <c r="T98" s="4"/>
    </row>
    <row r="99" spans="1:20" x14ac:dyDescent="0.2">
      <c r="A99" s="2">
        <v>92</v>
      </c>
      <c r="B99" s="23" t="s">
        <v>109</v>
      </c>
      <c r="C99" s="66"/>
      <c r="D99" s="67"/>
      <c r="E99" s="67"/>
      <c r="F99" s="68"/>
      <c r="G99" s="55">
        <f>'Voucher Belanja KOKA'!D97</f>
        <v>160000</v>
      </c>
      <c r="H99" s="55">
        <f>'Voucher Belanja KOKA'!E97</f>
        <v>160000</v>
      </c>
      <c r="I99" s="55">
        <f>'Voucher Belanja KOKA'!F97</f>
        <v>160000</v>
      </c>
      <c r="J99" s="55">
        <f>'Voucher Belanja KOKA'!G97</f>
        <v>160000</v>
      </c>
      <c r="K99" s="55">
        <f>'Voucher Belanja KOKA'!H97</f>
        <v>160000</v>
      </c>
      <c r="L99" s="55">
        <f>'Voucher Belanja KOKA'!I97</f>
        <v>0</v>
      </c>
      <c r="M99" s="55">
        <f>'Voucher Belanja KOKA'!J97</f>
        <v>0</v>
      </c>
      <c r="N99" s="55">
        <f>'Voucher Belanja KOKA'!K97</f>
        <v>0</v>
      </c>
      <c r="O99" s="55">
        <f>'Voucher Belanja KOKA'!L97</f>
        <v>0</v>
      </c>
      <c r="P99" s="55">
        <f>'Voucher Belanja KOKA'!M97</f>
        <v>0</v>
      </c>
      <c r="Q99" s="55">
        <f>'Voucher Belanja KOKA'!N97</f>
        <v>0</v>
      </c>
      <c r="R99" s="55">
        <f>'Voucher Belanja KOKA'!O97</f>
        <v>0</v>
      </c>
      <c r="S99" s="28">
        <f t="shared" si="1"/>
        <v>800000</v>
      </c>
      <c r="T99" s="4"/>
    </row>
    <row r="100" spans="1:20" x14ac:dyDescent="0.2">
      <c r="A100" s="2">
        <v>93</v>
      </c>
      <c r="B100" s="23" t="s">
        <v>110</v>
      </c>
      <c r="C100" s="66"/>
      <c r="D100" s="67"/>
      <c r="E100" s="67"/>
      <c r="F100" s="68"/>
      <c r="G100" s="55">
        <f>'Voucher Belanja KOKA'!D98</f>
        <v>160000</v>
      </c>
      <c r="H100" s="55">
        <f>'Voucher Belanja KOKA'!E98</f>
        <v>160000</v>
      </c>
      <c r="I100" s="55">
        <f>'Voucher Belanja KOKA'!F98</f>
        <v>160000</v>
      </c>
      <c r="J100" s="55">
        <f>'Voucher Belanja KOKA'!G98</f>
        <v>160000</v>
      </c>
      <c r="K100" s="55">
        <f>'Voucher Belanja KOKA'!H98</f>
        <v>160000</v>
      </c>
      <c r="L100" s="55">
        <f>'Voucher Belanja KOKA'!I98</f>
        <v>0</v>
      </c>
      <c r="M100" s="55">
        <f>'Voucher Belanja KOKA'!J98</f>
        <v>0</v>
      </c>
      <c r="N100" s="55">
        <f>'Voucher Belanja KOKA'!K98</f>
        <v>0</v>
      </c>
      <c r="O100" s="55">
        <f>'Voucher Belanja KOKA'!L98</f>
        <v>0</v>
      </c>
      <c r="P100" s="55">
        <f>'Voucher Belanja KOKA'!M98</f>
        <v>0</v>
      </c>
      <c r="Q100" s="55">
        <f>'Voucher Belanja KOKA'!N98</f>
        <v>0</v>
      </c>
      <c r="R100" s="55">
        <f>'Voucher Belanja KOKA'!O98</f>
        <v>0</v>
      </c>
      <c r="S100" s="28">
        <f t="shared" si="1"/>
        <v>800000</v>
      </c>
      <c r="T100" s="4"/>
    </row>
    <row r="101" spans="1:20" x14ac:dyDescent="0.2">
      <c r="A101" s="2">
        <v>94</v>
      </c>
      <c r="B101" s="23" t="s">
        <v>111</v>
      </c>
      <c r="C101" s="66"/>
      <c r="D101" s="67"/>
      <c r="E101" s="67"/>
      <c r="F101" s="68"/>
      <c r="G101" s="55">
        <f>'Voucher Belanja KOKA'!D99</f>
        <v>160000</v>
      </c>
      <c r="H101" s="55">
        <f>'Voucher Belanja KOKA'!E99</f>
        <v>160000</v>
      </c>
      <c r="I101" s="55">
        <f>'Voucher Belanja KOKA'!F99</f>
        <v>160000</v>
      </c>
      <c r="J101" s="55">
        <f>'Voucher Belanja KOKA'!G99</f>
        <v>160000</v>
      </c>
      <c r="K101" s="55">
        <f>'Voucher Belanja KOKA'!H99</f>
        <v>160000</v>
      </c>
      <c r="L101" s="55">
        <f>'Voucher Belanja KOKA'!I99</f>
        <v>0</v>
      </c>
      <c r="M101" s="55">
        <f>'Voucher Belanja KOKA'!J99</f>
        <v>0</v>
      </c>
      <c r="N101" s="55">
        <f>'Voucher Belanja KOKA'!K99</f>
        <v>0</v>
      </c>
      <c r="O101" s="55">
        <f>'Voucher Belanja KOKA'!L99</f>
        <v>0</v>
      </c>
      <c r="P101" s="55">
        <f>'Voucher Belanja KOKA'!M99</f>
        <v>0</v>
      </c>
      <c r="Q101" s="55">
        <f>'Voucher Belanja KOKA'!N99</f>
        <v>0</v>
      </c>
      <c r="R101" s="55">
        <f>'Voucher Belanja KOKA'!O99</f>
        <v>0</v>
      </c>
      <c r="S101" s="28">
        <f t="shared" si="1"/>
        <v>800000</v>
      </c>
      <c r="T101" s="4"/>
    </row>
    <row r="102" spans="1:20" x14ac:dyDescent="0.2">
      <c r="A102" s="2">
        <v>95</v>
      </c>
      <c r="B102" s="23" t="s">
        <v>112</v>
      </c>
      <c r="C102" s="59"/>
      <c r="D102" s="67"/>
      <c r="E102" s="67"/>
      <c r="F102" s="68"/>
      <c r="G102" s="55">
        <f>'Voucher Belanja KOKA'!D100+'Pinjaman Barang Sekunder'!K6</f>
        <v>520000</v>
      </c>
      <c r="H102" s="55">
        <f>'Voucher Belanja KOKA'!E100+'Pinjaman Barang Sekunder'!L6</f>
        <v>520000</v>
      </c>
      <c r="I102" s="55">
        <f>'Voucher Belanja KOKA'!F100+'Pinjaman Barang Sekunder'!M6</f>
        <v>520000</v>
      </c>
      <c r="J102" s="55">
        <f>'Voucher Belanja KOKA'!G100+'Pinjaman Barang Sekunder'!N6</f>
        <v>520000</v>
      </c>
      <c r="K102" s="55">
        <f>'Voucher Belanja KOKA'!H100+'Pinjaman Barang Sekunder'!O6</f>
        <v>160000</v>
      </c>
      <c r="L102" s="55">
        <f>'Voucher Belanja KOKA'!I100+'Pinjaman Barang Sekunder'!P6</f>
        <v>0</v>
      </c>
      <c r="M102" s="55">
        <f>'Voucher Belanja KOKA'!J100+'Pinjaman Barang Sekunder'!Q6</f>
        <v>0</v>
      </c>
      <c r="N102" s="55">
        <f>'Voucher Belanja KOKA'!K100+'Pinjaman Barang Sekunder'!R6</f>
        <v>0</v>
      </c>
      <c r="O102" s="55">
        <f>'Voucher Belanja KOKA'!L100+'Pinjaman Barang Sekunder'!S6</f>
        <v>0</v>
      </c>
      <c r="P102" s="55">
        <f>'Voucher Belanja KOKA'!M100+'Pinjaman Barang Sekunder'!T6</f>
        <v>0</v>
      </c>
      <c r="Q102" s="55">
        <f>'Voucher Belanja KOKA'!N100+'Pinjaman Barang Sekunder'!U6</f>
        <v>0</v>
      </c>
      <c r="R102" s="55">
        <f>'Voucher Belanja KOKA'!O100+'Pinjaman Barang Sekunder'!V6</f>
        <v>0</v>
      </c>
      <c r="S102" s="28">
        <f t="shared" si="1"/>
        <v>2240000</v>
      </c>
      <c r="T102" s="4"/>
    </row>
    <row r="103" spans="1:20" x14ac:dyDescent="0.2">
      <c r="A103" s="2">
        <v>96</v>
      </c>
      <c r="B103" s="23" t="s">
        <v>113</v>
      </c>
      <c r="C103" s="66"/>
      <c r="D103" s="67"/>
      <c r="E103" s="67"/>
      <c r="F103" s="68"/>
      <c r="G103" s="55">
        <f>'Voucher Belanja KOKA'!D101</f>
        <v>160000</v>
      </c>
      <c r="H103" s="55">
        <f>'Voucher Belanja KOKA'!E101</f>
        <v>160000</v>
      </c>
      <c r="I103" s="55">
        <f>'Voucher Belanja KOKA'!F101</f>
        <v>160000</v>
      </c>
      <c r="J103" s="55">
        <f>'Voucher Belanja KOKA'!G101</f>
        <v>160000</v>
      </c>
      <c r="K103" s="55">
        <f>'Voucher Belanja KOKA'!H101</f>
        <v>160000</v>
      </c>
      <c r="L103" s="55">
        <f>'Voucher Belanja KOKA'!I101</f>
        <v>0</v>
      </c>
      <c r="M103" s="55">
        <f>'Voucher Belanja KOKA'!J101</f>
        <v>0</v>
      </c>
      <c r="N103" s="55">
        <f>'Voucher Belanja KOKA'!K101</f>
        <v>0</v>
      </c>
      <c r="O103" s="55">
        <f>'Voucher Belanja KOKA'!L101</f>
        <v>0</v>
      </c>
      <c r="P103" s="55">
        <f>'Voucher Belanja KOKA'!M101</f>
        <v>0</v>
      </c>
      <c r="Q103" s="55">
        <f>'Voucher Belanja KOKA'!N101</f>
        <v>0</v>
      </c>
      <c r="R103" s="55">
        <f>'Voucher Belanja KOKA'!O101</f>
        <v>0</v>
      </c>
      <c r="S103" s="28">
        <f t="shared" si="1"/>
        <v>800000</v>
      </c>
      <c r="T103" s="4"/>
    </row>
    <row r="104" spans="1:20" x14ac:dyDescent="0.2">
      <c r="A104" s="2">
        <v>97</v>
      </c>
      <c r="B104" s="23" t="s">
        <v>114</v>
      </c>
      <c r="C104" s="66"/>
      <c r="D104" s="67"/>
      <c r="E104" s="67"/>
      <c r="F104" s="68"/>
      <c r="G104" s="55">
        <f>'Voucher Belanja KOKA'!D102</f>
        <v>160000</v>
      </c>
      <c r="H104" s="55">
        <f>'Voucher Belanja KOKA'!E102</f>
        <v>160000</v>
      </c>
      <c r="I104" s="55">
        <f>'Voucher Belanja KOKA'!F102</f>
        <v>160000</v>
      </c>
      <c r="J104" s="55">
        <f>'Voucher Belanja KOKA'!G102</f>
        <v>160000</v>
      </c>
      <c r="K104" s="55">
        <f>'Voucher Belanja KOKA'!H102</f>
        <v>160000</v>
      </c>
      <c r="L104" s="55">
        <f>'Voucher Belanja KOKA'!I102</f>
        <v>0</v>
      </c>
      <c r="M104" s="55">
        <f>'Voucher Belanja KOKA'!J102</f>
        <v>0</v>
      </c>
      <c r="N104" s="55">
        <f>'Voucher Belanja KOKA'!K102</f>
        <v>0</v>
      </c>
      <c r="O104" s="55">
        <f>'Voucher Belanja KOKA'!L102</f>
        <v>0</v>
      </c>
      <c r="P104" s="55">
        <f>'Voucher Belanja KOKA'!M102</f>
        <v>0</v>
      </c>
      <c r="Q104" s="55">
        <f>'Voucher Belanja KOKA'!N102</f>
        <v>0</v>
      </c>
      <c r="R104" s="55">
        <f>'Voucher Belanja KOKA'!O102</f>
        <v>0</v>
      </c>
      <c r="S104" s="28">
        <f t="shared" si="1"/>
        <v>800000</v>
      </c>
      <c r="T104" s="4"/>
    </row>
    <row r="105" spans="1:20" x14ac:dyDescent="0.2">
      <c r="A105" s="2">
        <v>98</v>
      </c>
      <c r="B105" s="23" t="s">
        <v>115</v>
      </c>
      <c r="C105" s="66"/>
      <c r="D105" s="67"/>
      <c r="E105" s="67"/>
      <c r="F105" s="68"/>
      <c r="G105" s="55">
        <f>'Voucher Belanja KOKA'!D103</f>
        <v>160000</v>
      </c>
      <c r="H105" s="55">
        <f>'Voucher Belanja KOKA'!E103</f>
        <v>160000</v>
      </c>
      <c r="I105" s="55">
        <f>'Voucher Belanja KOKA'!F103</f>
        <v>160000</v>
      </c>
      <c r="J105" s="55">
        <f>'Voucher Belanja KOKA'!G103</f>
        <v>160000</v>
      </c>
      <c r="K105" s="55">
        <f>'Voucher Belanja KOKA'!H103</f>
        <v>160000</v>
      </c>
      <c r="L105" s="55">
        <f>'Voucher Belanja KOKA'!I103</f>
        <v>0</v>
      </c>
      <c r="M105" s="55">
        <f>'Voucher Belanja KOKA'!J103</f>
        <v>0</v>
      </c>
      <c r="N105" s="55">
        <f>'Voucher Belanja KOKA'!K103</f>
        <v>0</v>
      </c>
      <c r="O105" s="55">
        <f>'Voucher Belanja KOKA'!L103</f>
        <v>0</v>
      </c>
      <c r="P105" s="55">
        <f>'Voucher Belanja KOKA'!M103</f>
        <v>0</v>
      </c>
      <c r="Q105" s="55">
        <f>'Voucher Belanja KOKA'!N103</f>
        <v>0</v>
      </c>
      <c r="R105" s="55">
        <f>'Voucher Belanja KOKA'!O103</f>
        <v>0</v>
      </c>
      <c r="S105" s="28">
        <f t="shared" si="1"/>
        <v>800000</v>
      </c>
      <c r="T105" s="4"/>
    </row>
    <row r="106" spans="1:20" x14ac:dyDescent="0.2">
      <c r="A106" s="2">
        <v>99</v>
      </c>
      <c r="B106" s="23" t="s">
        <v>116</v>
      </c>
      <c r="C106" s="66"/>
      <c r="D106" s="67"/>
      <c r="E106" s="67"/>
      <c r="F106" s="68"/>
      <c r="G106" s="55">
        <f>'Voucher Belanja KOKA'!D104</f>
        <v>160000</v>
      </c>
      <c r="H106" s="55">
        <f>'Voucher Belanja KOKA'!E104</f>
        <v>160000</v>
      </c>
      <c r="I106" s="55">
        <f>'Voucher Belanja KOKA'!F104</f>
        <v>160000</v>
      </c>
      <c r="J106" s="55">
        <f>'Voucher Belanja KOKA'!G104</f>
        <v>160000</v>
      </c>
      <c r="K106" s="55">
        <f>'Voucher Belanja KOKA'!H104</f>
        <v>160000</v>
      </c>
      <c r="L106" s="55">
        <f>'Voucher Belanja KOKA'!I104</f>
        <v>0</v>
      </c>
      <c r="M106" s="55">
        <f>'Voucher Belanja KOKA'!J104</f>
        <v>0</v>
      </c>
      <c r="N106" s="55">
        <f>'Voucher Belanja KOKA'!K104</f>
        <v>0</v>
      </c>
      <c r="O106" s="55">
        <f>'Voucher Belanja KOKA'!L104</f>
        <v>0</v>
      </c>
      <c r="P106" s="55">
        <f>'Voucher Belanja KOKA'!M104</f>
        <v>0</v>
      </c>
      <c r="Q106" s="55">
        <f>'Voucher Belanja KOKA'!N104</f>
        <v>0</v>
      </c>
      <c r="R106" s="55">
        <f>'Voucher Belanja KOKA'!O104</f>
        <v>0</v>
      </c>
      <c r="S106" s="28">
        <f t="shared" si="1"/>
        <v>800000</v>
      </c>
      <c r="T106" s="4"/>
    </row>
    <row r="107" spans="1:20" x14ac:dyDescent="0.2">
      <c r="A107" s="2">
        <v>100</v>
      </c>
      <c r="B107" s="23" t="s">
        <v>117</v>
      </c>
      <c r="C107" s="66"/>
      <c r="D107" s="67"/>
      <c r="E107" s="67"/>
      <c r="F107" s="68"/>
      <c r="G107" s="55">
        <f>'Voucher Belanja KOKA'!D105</f>
        <v>160000</v>
      </c>
      <c r="H107" s="55">
        <f>'Voucher Belanja KOKA'!E105</f>
        <v>160000</v>
      </c>
      <c r="I107" s="55">
        <f>'Voucher Belanja KOKA'!F105</f>
        <v>160000</v>
      </c>
      <c r="J107" s="55">
        <f>'Voucher Belanja KOKA'!G105</f>
        <v>160000</v>
      </c>
      <c r="K107" s="55">
        <f>'Voucher Belanja KOKA'!H105</f>
        <v>160000</v>
      </c>
      <c r="L107" s="55">
        <f>'Voucher Belanja KOKA'!I105</f>
        <v>0</v>
      </c>
      <c r="M107" s="55">
        <f>'Voucher Belanja KOKA'!J105</f>
        <v>0</v>
      </c>
      <c r="N107" s="55">
        <f>'Voucher Belanja KOKA'!K105</f>
        <v>0</v>
      </c>
      <c r="O107" s="55">
        <f>'Voucher Belanja KOKA'!L105</f>
        <v>0</v>
      </c>
      <c r="P107" s="55">
        <f>'Voucher Belanja KOKA'!M105</f>
        <v>0</v>
      </c>
      <c r="Q107" s="55">
        <f>'Voucher Belanja KOKA'!N105</f>
        <v>0</v>
      </c>
      <c r="R107" s="55">
        <f>'Voucher Belanja KOKA'!O105</f>
        <v>0</v>
      </c>
      <c r="S107" s="28">
        <f t="shared" si="1"/>
        <v>800000</v>
      </c>
      <c r="T107" s="4"/>
    </row>
    <row r="108" spans="1:20" x14ac:dyDescent="0.2">
      <c r="A108" s="2">
        <v>101</v>
      </c>
      <c r="B108" s="23" t="s">
        <v>118</v>
      </c>
      <c r="C108" s="66"/>
      <c r="D108" s="67"/>
      <c r="E108" s="67"/>
      <c r="F108" s="68"/>
      <c r="G108" s="55">
        <f>'Voucher Belanja KOKA'!D106</f>
        <v>160000</v>
      </c>
      <c r="H108" s="55">
        <f>'Voucher Belanja KOKA'!E106</f>
        <v>160000</v>
      </c>
      <c r="I108" s="55">
        <f>'Voucher Belanja KOKA'!F106</f>
        <v>160000</v>
      </c>
      <c r="J108" s="55">
        <f>'Voucher Belanja KOKA'!G106</f>
        <v>160000</v>
      </c>
      <c r="K108" s="55">
        <f>'Voucher Belanja KOKA'!H106</f>
        <v>160000</v>
      </c>
      <c r="L108" s="55">
        <f>'Voucher Belanja KOKA'!I106</f>
        <v>0</v>
      </c>
      <c r="M108" s="55">
        <f>'Voucher Belanja KOKA'!J106</f>
        <v>0</v>
      </c>
      <c r="N108" s="55">
        <f>'Voucher Belanja KOKA'!K106</f>
        <v>0</v>
      </c>
      <c r="O108" s="55">
        <f>'Voucher Belanja KOKA'!L106</f>
        <v>0</v>
      </c>
      <c r="P108" s="55">
        <f>'Voucher Belanja KOKA'!M106</f>
        <v>0</v>
      </c>
      <c r="Q108" s="55">
        <f>'Voucher Belanja KOKA'!N106</f>
        <v>0</v>
      </c>
      <c r="R108" s="55">
        <f>'Voucher Belanja KOKA'!O106</f>
        <v>0</v>
      </c>
      <c r="S108" s="28">
        <f t="shared" si="1"/>
        <v>800000</v>
      </c>
      <c r="T108" s="4"/>
    </row>
    <row r="109" spans="1:20" x14ac:dyDescent="0.2">
      <c r="A109" s="2">
        <v>102</v>
      </c>
      <c r="B109" s="23" t="s">
        <v>119</v>
      </c>
      <c r="C109" s="66"/>
      <c r="D109" s="67"/>
      <c r="E109" s="67"/>
      <c r="F109" s="68"/>
      <c r="G109" s="55">
        <f>'Voucher Belanja KOKA'!D107</f>
        <v>160000</v>
      </c>
      <c r="H109" s="55">
        <f>'Voucher Belanja KOKA'!E107</f>
        <v>160000</v>
      </c>
      <c r="I109" s="55">
        <f>'Voucher Belanja KOKA'!F107</f>
        <v>0</v>
      </c>
      <c r="J109" s="55">
        <f>'Voucher Belanja KOKA'!G107</f>
        <v>0</v>
      </c>
      <c r="K109" s="55">
        <f>'Voucher Belanja KOKA'!H107</f>
        <v>0</v>
      </c>
      <c r="L109" s="55">
        <f>'Voucher Belanja KOKA'!I107</f>
        <v>0</v>
      </c>
      <c r="M109" s="55">
        <f>'Voucher Belanja KOKA'!J107</f>
        <v>0</v>
      </c>
      <c r="N109" s="55">
        <f>'Voucher Belanja KOKA'!K107</f>
        <v>0</v>
      </c>
      <c r="O109" s="55">
        <f>'Voucher Belanja KOKA'!L107</f>
        <v>0</v>
      </c>
      <c r="P109" s="55">
        <f>'Voucher Belanja KOKA'!M107</f>
        <v>0</v>
      </c>
      <c r="Q109" s="55">
        <f>'Voucher Belanja KOKA'!N107</f>
        <v>0</v>
      </c>
      <c r="R109" s="55">
        <f>'Voucher Belanja KOKA'!O107</f>
        <v>0</v>
      </c>
      <c r="S109" s="28">
        <f t="shared" si="1"/>
        <v>320000</v>
      </c>
      <c r="T109" s="4"/>
    </row>
    <row r="110" spans="1:20" x14ac:dyDescent="0.2">
      <c r="A110" s="2">
        <v>103</v>
      </c>
      <c r="B110" s="29" t="s">
        <v>135</v>
      </c>
      <c r="C110" s="72"/>
      <c r="D110" s="58"/>
      <c r="E110" s="58"/>
      <c r="F110" s="73"/>
      <c r="G110" s="55">
        <f>'Voucher Belanja KOKA'!D108</f>
        <v>160000</v>
      </c>
      <c r="H110" s="55">
        <f>'Voucher Belanja KOKA'!E108</f>
        <v>160000</v>
      </c>
      <c r="I110" s="55">
        <f>'Voucher Belanja KOKA'!F108</f>
        <v>160000</v>
      </c>
      <c r="J110" s="55">
        <f>'Voucher Belanja KOKA'!G108</f>
        <v>160000</v>
      </c>
      <c r="K110" s="55">
        <f>'Voucher Belanja KOKA'!H108</f>
        <v>160000</v>
      </c>
      <c r="L110" s="55">
        <f>'Voucher Belanja KOKA'!I108</f>
        <v>0</v>
      </c>
      <c r="M110" s="55">
        <f>'Voucher Belanja KOKA'!J108</f>
        <v>0</v>
      </c>
      <c r="N110" s="55">
        <f>'Voucher Belanja KOKA'!K108</f>
        <v>0</v>
      </c>
      <c r="O110" s="55">
        <f>'Voucher Belanja KOKA'!L108</f>
        <v>0</v>
      </c>
      <c r="P110" s="55">
        <f>'Voucher Belanja KOKA'!M108</f>
        <v>0</v>
      </c>
      <c r="Q110" s="55">
        <f>'Voucher Belanja KOKA'!N108</f>
        <v>0</v>
      </c>
      <c r="R110" s="55">
        <f>'Voucher Belanja KOKA'!O108</f>
        <v>0</v>
      </c>
      <c r="S110" s="28">
        <f t="shared" si="1"/>
        <v>800000</v>
      </c>
      <c r="T110" s="4"/>
    </row>
    <row r="111" spans="1:20" x14ac:dyDescent="0.2">
      <c r="A111" s="2">
        <v>104</v>
      </c>
      <c r="B111" s="29" t="s">
        <v>190</v>
      </c>
      <c r="C111" s="59"/>
      <c r="D111" s="58"/>
      <c r="E111" s="58"/>
      <c r="F111" s="73"/>
      <c r="G111" s="55">
        <f>'Voucher Belanja KOKA'!D109+'Pinjaman Barang Sekunder'!K10</f>
        <v>1060000</v>
      </c>
      <c r="H111" s="55">
        <f>'Voucher Belanja KOKA'!E109+'Pinjaman Barang Sekunder'!L10</f>
        <v>1060000</v>
      </c>
      <c r="I111" s="55">
        <f>'Voucher Belanja KOKA'!F109+'Pinjaman Barang Sekunder'!M10+'Pinjaman Barang Primer Harian'!E10</f>
        <v>1947565</v>
      </c>
      <c r="J111" s="55">
        <f>'Voucher Belanja KOKA'!G109+'Pinjaman Barang Sekunder'!N10+'Pinjaman Barang Primer Harian'!F10</f>
        <v>1866400</v>
      </c>
      <c r="K111" s="55">
        <f>'Voucher Belanja KOKA'!H109+'Pinjaman Barang Sekunder'!O10</f>
        <v>160000</v>
      </c>
      <c r="L111" s="55">
        <f>'Voucher Belanja KOKA'!I109+'Pinjaman Barang Sekunder'!P10</f>
        <v>0</v>
      </c>
      <c r="M111" s="55">
        <f>'Voucher Belanja KOKA'!J109+'Pinjaman Barang Sekunder'!Q10</f>
        <v>0</v>
      </c>
      <c r="N111" s="55">
        <f>'Voucher Belanja KOKA'!K109+'Pinjaman Barang Sekunder'!R10</f>
        <v>0</v>
      </c>
      <c r="O111" s="55">
        <f>'Voucher Belanja KOKA'!L109+'Pinjaman Barang Sekunder'!S10</f>
        <v>0</v>
      </c>
      <c r="P111" s="55">
        <f>'Voucher Belanja KOKA'!M109+'Pinjaman Barang Sekunder'!T10</f>
        <v>0</v>
      </c>
      <c r="Q111" s="55">
        <f>'Voucher Belanja KOKA'!N109+'Pinjaman Barang Sekunder'!U10</f>
        <v>0</v>
      </c>
      <c r="R111" s="55">
        <f>'Voucher Belanja KOKA'!O109+'Pinjaman Barang Sekunder'!V10</f>
        <v>0</v>
      </c>
      <c r="S111" s="28">
        <f t="shared" si="1"/>
        <v>6093965</v>
      </c>
      <c r="T111" s="4"/>
    </row>
    <row r="112" spans="1:20" x14ac:dyDescent="0.2">
      <c r="A112" s="2">
        <v>105</v>
      </c>
      <c r="B112" s="29" t="s">
        <v>136</v>
      </c>
      <c r="C112" s="72"/>
      <c r="D112" s="58"/>
      <c r="E112" s="58"/>
      <c r="F112" s="73"/>
      <c r="G112" s="55">
        <f>'Voucher Belanja KOKA'!D110</f>
        <v>160000</v>
      </c>
      <c r="H112" s="55">
        <f>'Voucher Belanja KOKA'!E110</f>
        <v>160000</v>
      </c>
      <c r="I112" s="55">
        <f>'Voucher Belanja KOKA'!F110</f>
        <v>160000</v>
      </c>
      <c r="J112" s="55">
        <f>'Voucher Belanja KOKA'!G110</f>
        <v>160000</v>
      </c>
      <c r="K112" s="55">
        <f>'Voucher Belanja KOKA'!H110</f>
        <v>160000</v>
      </c>
      <c r="L112" s="55">
        <f>'Voucher Belanja KOKA'!I110</f>
        <v>0</v>
      </c>
      <c r="M112" s="55">
        <f>'Voucher Belanja KOKA'!J110</f>
        <v>0</v>
      </c>
      <c r="N112" s="55">
        <f>'Voucher Belanja KOKA'!K110</f>
        <v>0</v>
      </c>
      <c r="O112" s="55">
        <f>'Voucher Belanja KOKA'!L110</f>
        <v>0</v>
      </c>
      <c r="P112" s="55">
        <f>'Voucher Belanja KOKA'!M110</f>
        <v>0</v>
      </c>
      <c r="Q112" s="55">
        <f>'Voucher Belanja KOKA'!N110</f>
        <v>0</v>
      </c>
      <c r="R112" s="55">
        <f>'Voucher Belanja KOKA'!O110</f>
        <v>0</v>
      </c>
      <c r="S112" s="28">
        <f t="shared" si="1"/>
        <v>800000</v>
      </c>
      <c r="T112" s="4"/>
    </row>
    <row r="113" spans="1:20" x14ac:dyDescent="0.2">
      <c r="A113" s="2">
        <v>106</v>
      </c>
      <c r="B113" s="29" t="s">
        <v>137</v>
      </c>
      <c r="C113" s="72"/>
      <c r="D113" s="58"/>
      <c r="E113" s="58"/>
      <c r="F113" s="73"/>
      <c r="G113" s="55">
        <f>'Voucher Belanja KOKA'!D111</f>
        <v>160000</v>
      </c>
      <c r="H113" s="55">
        <f>'Voucher Belanja KOKA'!E111</f>
        <v>160000</v>
      </c>
      <c r="I113" s="55">
        <f>'Voucher Belanja KOKA'!F111</f>
        <v>160000</v>
      </c>
      <c r="J113" s="55">
        <f>'Voucher Belanja KOKA'!G111</f>
        <v>160000</v>
      </c>
      <c r="K113" s="55">
        <f>'Voucher Belanja KOKA'!H111</f>
        <v>160000</v>
      </c>
      <c r="L113" s="55">
        <f>'Voucher Belanja KOKA'!I111</f>
        <v>0</v>
      </c>
      <c r="M113" s="55">
        <f>'Voucher Belanja KOKA'!J111</f>
        <v>0</v>
      </c>
      <c r="N113" s="55">
        <f>'Voucher Belanja KOKA'!K111</f>
        <v>0</v>
      </c>
      <c r="O113" s="55">
        <f>'Voucher Belanja KOKA'!L111</f>
        <v>0</v>
      </c>
      <c r="P113" s="55">
        <f>'Voucher Belanja KOKA'!M111</f>
        <v>0</v>
      </c>
      <c r="Q113" s="55">
        <f>'Voucher Belanja KOKA'!N111</f>
        <v>0</v>
      </c>
      <c r="R113" s="55">
        <f>'Voucher Belanja KOKA'!O111</f>
        <v>0</v>
      </c>
      <c r="S113" s="28">
        <f t="shared" si="1"/>
        <v>800000</v>
      </c>
      <c r="T113" s="4"/>
    </row>
    <row r="114" spans="1:20" x14ac:dyDescent="0.2">
      <c r="A114" s="2">
        <v>107</v>
      </c>
      <c r="B114" s="29" t="s">
        <v>138</v>
      </c>
      <c r="C114" s="59"/>
      <c r="D114" s="58"/>
      <c r="E114" s="58"/>
      <c r="F114" s="73"/>
      <c r="G114" s="55">
        <f>'Voucher Belanja KOKA'!D112+'Pinjaman Barang Sekunder'!K11</f>
        <v>959900</v>
      </c>
      <c r="H114" s="55">
        <f>'Voucher Belanja KOKA'!E112+'Pinjaman Barang Sekunder'!L11</f>
        <v>959900</v>
      </c>
      <c r="I114" s="55">
        <f>'Voucher Belanja KOKA'!F112+'Pinjaman Barang Sekunder'!M11</f>
        <v>959900</v>
      </c>
      <c r="J114" s="55">
        <f>'Voucher Belanja KOKA'!G112+'Pinjaman Barang Sekunder'!N11+'Pinjaman Daging Event Lebaran'!P6</f>
        <v>1431566.6666666667</v>
      </c>
      <c r="K114" s="55">
        <f>'Voucher Belanja KOKA'!H112+'Pinjaman Barang Sekunder'!O11+'Pinjaman Daging Event Lebaran'!Q6</f>
        <v>1431566.6666666667</v>
      </c>
      <c r="L114" s="55">
        <f>'Voucher Belanja KOKA'!I112+'Pinjaman Barang Sekunder'!P11+'Pinjaman Daging Event Lebaran'!R6</f>
        <v>1271566.6666666667</v>
      </c>
      <c r="M114" s="55">
        <f>'Voucher Belanja KOKA'!J112+'Pinjaman Barang Sekunder'!Q11+'Pinjaman Daging Event Lebaran'!S6</f>
        <v>799900</v>
      </c>
      <c r="N114" s="55">
        <f>'Voucher Belanja KOKA'!K112+'Pinjaman Barang Sekunder'!R11+'Pinjaman Daging Event Lebaran'!T6</f>
        <v>0</v>
      </c>
      <c r="O114" s="55">
        <f>'Voucher Belanja KOKA'!L112+'Pinjaman Barang Sekunder'!S11+'Pinjaman Daging Event Lebaran'!U6</f>
        <v>0</v>
      </c>
      <c r="P114" s="55">
        <f>'Voucher Belanja KOKA'!M112+'Pinjaman Barang Sekunder'!T11+'Pinjaman Daging Event Lebaran'!V6</f>
        <v>0</v>
      </c>
      <c r="Q114" s="55">
        <f>'Voucher Belanja KOKA'!N112+'Pinjaman Barang Sekunder'!U11+'Pinjaman Daging Event Lebaran'!W6</f>
        <v>0</v>
      </c>
      <c r="R114" s="55">
        <f>'Voucher Belanja KOKA'!O112+'Pinjaman Barang Sekunder'!V11+'Pinjaman Daging Event Lebaran'!X6</f>
        <v>0</v>
      </c>
      <c r="S114" s="28">
        <f t="shared" si="1"/>
        <v>7814300.0000000009</v>
      </c>
      <c r="T114" s="4"/>
    </row>
    <row r="115" spans="1:20" x14ac:dyDescent="0.2">
      <c r="A115" s="2">
        <v>108</v>
      </c>
      <c r="B115" s="29" t="s">
        <v>139</v>
      </c>
      <c r="C115" s="72"/>
      <c r="D115" s="58"/>
      <c r="E115" s="58"/>
      <c r="F115" s="73"/>
      <c r="G115" s="55">
        <f>'Voucher Belanja KOKA'!D113</f>
        <v>160000</v>
      </c>
      <c r="H115" s="55">
        <f>'Voucher Belanja KOKA'!E113</f>
        <v>160000</v>
      </c>
      <c r="I115" s="55">
        <f>'Voucher Belanja KOKA'!F113</f>
        <v>160000</v>
      </c>
      <c r="J115" s="55">
        <f>'Voucher Belanja KOKA'!G113+'Pinjaman Daging Event Lebaran'!P11</f>
        <v>254333.33333333331</v>
      </c>
      <c r="K115" s="55">
        <f>'Voucher Belanja KOKA'!H113+'Pinjaman Daging Event Lebaran'!Q11</f>
        <v>254333.33333333331</v>
      </c>
      <c r="L115" s="55">
        <f>'Voucher Belanja KOKA'!I113+'Pinjaman Daging Event Lebaran'!R11</f>
        <v>94333.333333333328</v>
      </c>
      <c r="M115" s="55">
        <f>'Voucher Belanja KOKA'!J113+'Pinjaman Daging Event Lebaran'!S11</f>
        <v>0</v>
      </c>
      <c r="N115" s="55">
        <f>'Voucher Belanja KOKA'!K113+'Pinjaman Daging Event Lebaran'!T11</f>
        <v>0</v>
      </c>
      <c r="O115" s="55">
        <f>'Voucher Belanja KOKA'!L113+'Pinjaman Daging Event Lebaran'!U11</f>
        <v>0</v>
      </c>
      <c r="P115" s="55">
        <f>'Voucher Belanja KOKA'!M113+'Pinjaman Daging Event Lebaran'!V11</f>
        <v>0</v>
      </c>
      <c r="Q115" s="55">
        <f>'Voucher Belanja KOKA'!N113+'Pinjaman Daging Event Lebaran'!W11</f>
        <v>0</v>
      </c>
      <c r="R115" s="55">
        <f>'Voucher Belanja KOKA'!O113+'Pinjaman Daging Event Lebaran'!X11</f>
        <v>0</v>
      </c>
      <c r="S115" s="28">
        <f t="shared" si="1"/>
        <v>1082999.9999999998</v>
      </c>
      <c r="T115" s="4"/>
    </row>
    <row r="116" spans="1:20" x14ac:dyDescent="0.2">
      <c r="A116" s="2">
        <v>109</v>
      </c>
      <c r="B116" s="29" t="s">
        <v>140</v>
      </c>
      <c r="C116" s="59"/>
      <c r="D116" s="58"/>
      <c r="E116" s="58"/>
      <c r="F116" s="73"/>
      <c r="G116" s="55">
        <f>'Voucher Belanja KOKA'!D114+'Pinjaman Barang Sekunder'!K12</f>
        <v>1000000</v>
      </c>
      <c r="H116" s="55">
        <f>'Voucher Belanja KOKA'!E114+'Pinjaman Barang Sekunder'!L12</f>
        <v>1000000</v>
      </c>
      <c r="I116" s="55">
        <f>'Voucher Belanja KOKA'!F114+'Pinjaman Barang Sekunder'!M12</f>
        <v>1000000</v>
      </c>
      <c r="J116" s="55">
        <f>'Voucher Belanja KOKA'!G114+'Pinjaman Barang Sekunder'!N12+'Pinjaman Daging Event Lebaran'!P13</f>
        <v>1235833.3333333333</v>
      </c>
      <c r="K116" s="55">
        <f>'Voucher Belanja KOKA'!H114+'Pinjaman Barang Sekunder'!O12+'Pinjaman Daging Event Lebaran'!Q13</f>
        <v>1235833.3333333333</v>
      </c>
      <c r="L116" s="55">
        <f>'Voucher Belanja KOKA'!I114+'Pinjaman Barang Sekunder'!P12+'Pinjaman Daging Event Lebaran'!R13</f>
        <v>1075833.3333333333</v>
      </c>
      <c r="M116" s="55">
        <f>'Voucher Belanja KOKA'!J114+'Pinjaman Barang Sekunder'!Q12+'Pinjaman Daging Event Lebaran'!S13</f>
        <v>840000</v>
      </c>
      <c r="N116" s="55">
        <f>'Voucher Belanja KOKA'!K114+'Pinjaman Barang Sekunder'!R12+'Pinjaman Daging Event Lebaran'!T13</f>
        <v>840000</v>
      </c>
      <c r="O116" s="55">
        <f>'Voucher Belanja KOKA'!L114+'Pinjaman Barang Sekunder'!S12+'Pinjaman Daging Event Lebaran'!U13</f>
        <v>0</v>
      </c>
      <c r="P116" s="55">
        <f>'Voucher Belanja KOKA'!M114+'Pinjaman Barang Sekunder'!T12+'Pinjaman Daging Event Lebaran'!V13</f>
        <v>0</v>
      </c>
      <c r="Q116" s="55">
        <f>'Voucher Belanja KOKA'!N114+'Pinjaman Barang Sekunder'!U12+'Pinjaman Daging Event Lebaran'!W13</f>
        <v>0</v>
      </c>
      <c r="R116" s="55">
        <f>'Voucher Belanja KOKA'!O114+'Pinjaman Barang Sekunder'!V12+'Pinjaman Daging Event Lebaran'!X13</f>
        <v>0</v>
      </c>
      <c r="S116" s="28">
        <f t="shared" si="1"/>
        <v>8227499.9999999991</v>
      </c>
      <c r="T116" s="4"/>
    </row>
    <row r="117" spans="1:20" x14ac:dyDescent="0.2">
      <c r="A117" s="2">
        <v>110</v>
      </c>
      <c r="B117" s="29" t="s">
        <v>141</v>
      </c>
      <c r="C117" s="72"/>
      <c r="D117" s="58"/>
      <c r="E117" s="58"/>
      <c r="F117" s="73"/>
      <c r="G117" s="55">
        <f>'Voucher Belanja KOKA'!D115</f>
        <v>160000</v>
      </c>
      <c r="H117" s="55">
        <f>'Voucher Belanja KOKA'!E115</f>
        <v>160000</v>
      </c>
      <c r="I117" s="55">
        <f>'Voucher Belanja KOKA'!F115</f>
        <v>0</v>
      </c>
      <c r="J117" s="55">
        <f>'Voucher Belanja KOKA'!G115</f>
        <v>0</v>
      </c>
      <c r="K117" s="55">
        <f>'Voucher Belanja KOKA'!H115</f>
        <v>0</v>
      </c>
      <c r="L117" s="55">
        <f>'Voucher Belanja KOKA'!I115</f>
        <v>0</v>
      </c>
      <c r="M117" s="55">
        <f>'Voucher Belanja KOKA'!J115</f>
        <v>0</v>
      </c>
      <c r="N117" s="55">
        <f>'Voucher Belanja KOKA'!K115</f>
        <v>0</v>
      </c>
      <c r="O117" s="55">
        <f>'Voucher Belanja KOKA'!L115</f>
        <v>0</v>
      </c>
      <c r="P117" s="55">
        <f>'Voucher Belanja KOKA'!M115</f>
        <v>0</v>
      </c>
      <c r="Q117" s="55">
        <f>'Voucher Belanja KOKA'!N115</f>
        <v>0</v>
      </c>
      <c r="R117" s="55">
        <f>'Voucher Belanja KOKA'!O115</f>
        <v>0</v>
      </c>
      <c r="S117" s="28">
        <f t="shared" si="1"/>
        <v>320000</v>
      </c>
      <c r="T117" s="4"/>
    </row>
    <row r="118" spans="1:20" x14ac:dyDescent="0.2">
      <c r="A118" s="2">
        <v>111</v>
      </c>
      <c r="B118" s="29" t="s">
        <v>142</v>
      </c>
      <c r="C118" s="59"/>
      <c r="D118" s="58"/>
      <c r="E118" s="58"/>
      <c r="F118" s="73"/>
      <c r="G118" s="55">
        <f>'Voucher Belanja KOKA'!D116</f>
        <v>160000</v>
      </c>
      <c r="H118" s="55">
        <f>'Voucher Belanja KOKA'!E116</f>
        <v>160000</v>
      </c>
      <c r="I118" s="55">
        <f>'Voucher Belanja KOKA'!F116+'Pinjaman Barang Sekunder'!M14</f>
        <v>1300000</v>
      </c>
      <c r="J118" s="55">
        <f>'Voucher Belanja KOKA'!G116+'Pinjaman Daging Event Lebaran'!P15+'Pinjaman Barang Sekunder'!N14</f>
        <v>1583000</v>
      </c>
      <c r="K118" s="55">
        <f>'Voucher Belanja KOKA'!H116+'Pinjaman Daging Event Lebaran'!Q15+'Pinjaman Barang Sekunder'!O14</f>
        <v>1583000</v>
      </c>
      <c r="L118" s="55">
        <f>'Voucher Belanja KOKA'!I116+'Pinjaman Daging Event Lebaran'!R15+'Pinjaman Barang Sekunder'!P14</f>
        <v>1423000</v>
      </c>
      <c r="M118" s="55">
        <f>'Voucher Belanja KOKA'!J116+'Pinjaman Daging Event Lebaran'!S15+'Pinjaman Barang Sekunder'!Q14</f>
        <v>1140000</v>
      </c>
      <c r="N118" s="55">
        <f>'Voucher Belanja KOKA'!K116+'Pinjaman Daging Event Lebaran'!T15+'Pinjaman Barang Sekunder'!R14</f>
        <v>1140000</v>
      </c>
      <c r="O118" s="55">
        <f>'Voucher Belanja KOKA'!L116+'Pinjaman Daging Event Lebaran'!U15+'Pinjaman Barang Sekunder'!S14</f>
        <v>0</v>
      </c>
      <c r="P118" s="55">
        <f>'Voucher Belanja KOKA'!M116+'Pinjaman Daging Event Lebaran'!V15+'Pinjaman Barang Sekunder'!T14</f>
        <v>0</v>
      </c>
      <c r="Q118" s="55">
        <f>'Voucher Belanja KOKA'!N116+'Pinjaman Daging Event Lebaran'!W15+'Pinjaman Barang Sekunder'!U14</f>
        <v>0</v>
      </c>
      <c r="R118" s="55">
        <f>'Voucher Belanja KOKA'!O116+'Pinjaman Daging Event Lebaran'!X15+'Pinjaman Barang Sekunder'!V14</f>
        <v>0</v>
      </c>
      <c r="S118" s="28">
        <f t="shared" si="1"/>
        <v>8489000</v>
      </c>
      <c r="T118" s="4"/>
    </row>
    <row r="119" spans="1:20" x14ac:dyDescent="0.2">
      <c r="A119" s="2">
        <v>112</v>
      </c>
      <c r="B119" s="29" t="s">
        <v>143</v>
      </c>
      <c r="C119" s="72"/>
      <c r="D119" s="58"/>
      <c r="E119" s="58"/>
      <c r="F119" s="73"/>
      <c r="G119" s="55">
        <f>'Voucher Belanja KOKA'!D117</f>
        <v>160000</v>
      </c>
      <c r="H119" s="55">
        <f>'Voucher Belanja KOKA'!E117</f>
        <v>160000</v>
      </c>
      <c r="I119" s="55">
        <f>'Voucher Belanja KOKA'!F117</f>
        <v>0</v>
      </c>
      <c r="J119" s="55">
        <f>'Voucher Belanja KOKA'!G117</f>
        <v>0</v>
      </c>
      <c r="K119" s="55">
        <f>'Voucher Belanja KOKA'!H117</f>
        <v>0</v>
      </c>
      <c r="L119" s="55">
        <f>'Voucher Belanja KOKA'!I117</f>
        <v>0</v>
      </c>
      <c r="M119" s="55">
        <f>'Voucher Belanja KOKA'!J117</f>
        <v>0</v>
      </c>
      <c r="N119" s="55">
        <f>'Voucher Belanja KOKA'!K117</f>
        <v>0</v>
      </c>
      <c r="O119" s="55">
        <f>'Voucher Belanja KOKA'!L117</f>
        <v>0</v>
      </c>
      <c r="P119" s="55">
        <f>'Voucher Belanja KOKA'!M117</f>
        <v>0</v>
      </c>
      <c r="Q119" s="55">
        <f>'Voucher Belanja KOKA'!N117</f>
        <v>0</v>
      </c>
      <c r="R119" s="55">
        <f>'Voucher Belanja KOKA'!O117</f>
        <v>0</v>
      </c>
      <c r="S119" s="28">
        <f t="shared" si="1"/>
        <v>320000</v>
      </c>
      <c r="T119" s="4"/>
    </row>
    <row r="120" spans="1:20" x14ac:dyDescent="0.2">
      <c r="A120" s="2">
        <v>113</v>
      </c>
      <c r="B120" s="29" t="s">
        <v>144</v>
      </c>
      <c r="C120" s="72"/>
      <c r="D120" s="58"/>
      <c r="E120" s="58"/>
      <c r="F120" s="73"/>
      <c r="G120" s="55">
        <f>'Voucher Belanja KOKA'!D118</f>
        <v>160000</v>
      </c>
      <c r="H120" s="55">
        <f>'Voucher Belanja KOKA'!E118</f>
        <v>160000</v>
      </c>
      <c r="I120" s="55">
        <f>'Voucher Belanja KOKA'!F118</f>
        <v>160000</v>
      </c>
      <c r="J120" s="55">
        <f>'Voucher Belanja KOKA'!G118</f>
        <v>160000</v>
      </c>
      <c r="K120" s="55">
        <f>'Voucher Belanja KOKA'!H118</f>
        <v>160000</v>
      </c>
      <c r="L120" s="55">
        <f>'Voucher Belanja KOKA'!I118</f>
        <v>0</v>
      </c>
      <c r="M120" s="55">
        <f>'Voucher Belanja KOKA'!J118</f>
        <v>0</v>
      </c>
      <c r="N120" s="55">
        <f>'Voucher Belanja KOKA'!K118</f>
        <v>0</v>
      </c>
      <c r="O120" s="55">
        <f>'Voucher Belanja KOKA'!L118</f>
        <v>0</v>
      </c>
      <c r="P120" s="55">
        <f>'Voucher Belanja KOKA'!M118</f>
        <v>0</v>
      </c>
      <c r="Q120" s="55">
        <f>'Voucher Belanja KOKA'!N118</f>
        <v>0</v>
      </c>
      <c r="R120" s="55">
        <f>'Voucher Belanja KOKA'!O118</f>
        <v>0</v>
      </c>
      <c r="S120" s="28">
        <f t="shared" si="1"/>
        <v>800000</v>
      </c>
      <c r="T120" s="4"/>
    </row>
    <row r="121" spans="1:20" x14ac:dyDescent="0.2">
      <c r="A121" s="2">
        <v>114</v>
      </c>
      <c r="B121" s="29" t="s">
        <v>145</v>
      </c>
      <c r="C121" s="72"/>
      <c r="D121" s="58"/>
      <c r="E121" s="58"/>
      <c r="F121" s="73"/>
      <c r="G121" s="55">
        <f>'Voucher Belanja KOKA'!D119</f>
        <v>160000</v>
      </c>
      <c r="H121" s="55">
        <f>'Voucher Belanja KOKA'!E119</f>
        <v>160000</v>
      </c>
      <c r="I121" s="55">
        <f>'Voucher Belanja KOKA'!F119</f>
        <v>160000</v>
      </c>
      <c r="J121" s="55">
        <f>'Voucher Belanja KOKA'!G119</f>
        <v>160000</v>
      </c>
      <c r="K121" s="55">
        <f>'Voucher Belanja KOKA'!H119</f>
        <v>160000</v>
      </c>
      <c r="L121" s="55">
        <f>'Voucher Belanja KOKA'!I119</f>
        <v>0</v>
      </c>
      <c r="M121" s="55">
        <f>'Voucher Belanja KOKA'!J119</f>
        <v>0</v>
      </c>
      <c r="N121" s="55">
        <f>'Voucher Belanja KOKA'!K119</f>
        <v>0</v>
      </c>
      <c r="O121" s="55">
        <f>'Voucher Belanja KOKA'!L119</f>
        <v>0</v>
      </c>
      <c r="P121" s="55">
        <f>'Voucher Belanja KOKA'!M119</f>
        <v>0</v>
      </c>
      <c r="Q121" s="55">
        <f>'Voucher Belanja KOKA'!N119</f>
        <v>0</v>
      </c>
      <c r="R121" s="55">
        <f>'Voucher Belanja KOKA'!O119</f>
        <v>0</v>
      </c>
      <c r="S121" s="28">
        <f t="shared" si="1"/>
        <v>800000</v>
      </c>
      <c r="T121" s="4"/>
    </row>
    <row r="122" spans="1:20" x14ac:dyDescent="0.2">
      <c r="A122" s="2">
        <v>115</v>
      </c>
      <c r="B122" s="29" t="s">
        <v>146</v>
      </c>
      <c r="C122" s="59"/>
      <c r="D122" s="58"/>
      <c r="E122" s="58"/>
      <c r="F122" s="73"/>
      <c r="G122" s="55">
        <f>'Voucher Belanja KOKA'!D120+'Pinjaman Barang Sekunder'!K8</f>
        <v>988000</v>
      </c>
      <c r="H122" s="55">
        <f>'Voucher Belanja KOKA'!E120+'Pinjaman Barang Sekunder'!L8</f>
        <v>988000</v>
      </c>
      <c r="I122" s="55">
        <f>'Voucher Belanja KOKA'!F120+'Pinjaman Barang Sekunder'!M8</f>
        <v>988000</v>
      </c>
      <c r="J122" s="55">
        <f>'Voucher Belanja KOKA'!G120+'Pinjaman Barang Sekunder'!N8</f>
        <v>988000</v>
      </c>
      <c r="K122" s="55">
        <f>'Voucher Belanja KOKA'!H120+'Pinjaman Barang Sekunder'!O15</f>
        <v>1060000</v>
      </c>
      <c r="L122" s="55">
        <f>'Voucher Belanja KOKA'!I120+'Pinjaman Barang Sekunder'!P8</f>
        <v>0</v>
      </c>
      <c r="M122" s="55">
        <f>'Voucher Belanja KOKA'!J120+'Pinjaman Barang Sekunder'!Q8</f>
        <v>0</v>
      </c>
      <c r="N122" s="55">
        <f>'Voucher Belanja KOKA'!K120+'Pinjaman Barang Sekunder'!R8</f>
        <v>0</v>
      </c>
      <c r="O122" s="55">
        <f>'Voucher Belanja KOKA'!L120+'Pinjaman Barang Sekunder'!S8</f>
        <v>0</v>
      </c>
      <c r="P122" s="55">
        <f>'Voucher Belanja KOKA'!M120+'Pinjaman Barang Sekunder'!T8</f>
        <v>0</v>
      </c>
      <c r="Q122" s="55">
        <f>'Voucher Belanja KOKA'!N120+'Pinjaman Barang Sekunder'!U8</f>
        <v>0</v>
      </c>
      <c r="R122" s="55">
        <f>'Voucher Belanja KOKA'!O120+'Pinjaman Barang Sekunder'!V8</f>
        <v>0</v>
      </c>
      <c r="S122" s="28">
        <f t="shared" si="1"/>
        <v>5012000</v>
      </c>
      <c r="T122" s="4"/>
    </row>
    <row r="123" spans="1:20" x14ac:dyDescent="0.2">
      <c r="A123" s="2">
        <v>116</v>
      </c>
      <c r="B123" s="29" t="s">
        <v>147</v>
      </c>
      <c r="C123" s="72"/>
      <c r="D123" s="58"/>
      <c r="E123" s="58"/>
      <c r="F123" s="73"/>
      <c r="G123" s="55">
        <f>'Voucher Belanja KOKA'!D121</f>
        <v>160000</v>
      </c>
      <c r="H123" s="55">
        <f>'Voucher Belanja KOKA'!E121</f>
        <v>160000</v>
      </c>
      <c r="I123" s="55">
        <f>'Voucher Belanja KOKA'!F121</f>
        <v>160000</v>
      </c>
      <c r="J123" s="55">
        <f>'Voucher Belanja KOKA'!G121</f>
        <v>160000</v>
      </c>
      <c r="K123" s="55">
        <f>'Voucher Belanja KOKA'!H121</f>
        <v>160000</v>
      </c>
      <c r="L123" s="55">
        <f>'Voucher Belanja KOKA'!I121</f>
        <v>0</v>
      </c>
      <c r="M123" s="55">
        <f>'Voucher Belanja KOKA'!J121</f>
        <v>0</v>
      </c>
      <c r="N123" s="55">
        <f>'Voucher Belanja KOKA'!K121</f>
        <v>0</v>
      </c>
      <c r="O123" s="55">
        <f>'Voucher Belanja KOKA'!L121</f>
        <v>0</v>
      </c>
      <c r="P123" s="55">
        <f>'Voucher Belanja KOKA'!M121</f>
        <v>0</v>
      </c>
      <c r="Q123" s="55">
        <f>'Voucher Belanja KOKA'!N121</f>
        <v>0</v>
      </c>
      <c r="R123" s="55">
        <f>'Voucher Belanja KOKA'!O121</f>
        <v>0</v>
      </c>
      <c r="S123" s="28">
        <f t="shared" si="1"/>
        <v>800000</v>
      </c>
      <c r="T123" s="4"/>
    </row>
    <row r="124" spans="1:20" x14ac:dyDescent="0.2">
      <c r="A124" s="2">
        <v>117</v>
      </c>
      <c r="B124" s="29" t="s">
        <v>148</v>
      </c>
      <c r="C124" s="72"/>
      <c r="D124" s="58"/>
      <c r="E124" s="58"/>
      <c r="F124" s="73"/>
      <c r="G124" s="55">
        <f>'Voucher Belanja KOKA'!D122</f>
        <v>160000</v>
      </c>
      <c r="H124" s="55">
        <f>'Voucher Belanja KOKA'!E122</f>
        <v>160000</v>
      </c>
      <c r="I124" s="55">
        <f>'Voucher Belanja KOKA'!F122</f>
        <v>160000</v>
      </c>
      <c r="J124" s="55">
        <f>'Voucher Belanja KOKA'!G122</f>
        <v>160000</v>
      </c>
      <c r="K124" s="55">
        <f>'Voucher Belanja KOKA'!H122</f>
        <v>160000</v>
      </c>
      <c r="L124" s="55">
        <f>'Voucher Belanja KOKA'!I122</f>
        <v>0</v>
      </c>
      <c r="M124" s="55">
        <f>'Voucher Belanja KOKA'!J122</f>
        <v>0</v>
      </c>
      <c r="N124" s="55">
        <f>'Voucher Belanja KOKA'!K122</f>
        <v>0</v>
      </c>
      <c r="O124" s="55">
        <f>'Voucher Belanja KOKA'!L122</f>
        <v>0</v>
      </c>
      <c r="P124" s="55">
        <f>'Voucher Belanja KOKA'!M122</f>
        <v>0</v>
      </c>
      <c r="Q124" s="55">
        <f>'Voucher Belanja KOKA'!N122</f>
        <v>0</v>
      </c>
      <c r="R124" s="55">
        <f>'Voucher Belanja KOKA'!O122</f>
        <v>0</v>
      </c>
      <c r="S124" s="28">
        <f t="shared" si="1"/>
        <v>800000</v>
      </c>
      <c r="T124" s="4"/>
    </row>
    <row r="125" spans="1:20" x14ac:dyDescent="0.2">
      <c r="A125" s="2">
        <v>118</v>
      </c>
      <c r="B125" s="29" t="s">
        <v>149</v>
      </c>
      <c r="C125" s="72"/>
      <c r="D125" s="58"/>
      <c r="E125" s="58"/>
      <c r="F125" s="73"/>
      <c r="G125" s="55">
        <f>'Voucher Belanja KOKA'!D123</f>
        <v>160000</v>
      </c>
      <c r="H125" s="55">
        <f>'Voucher Belanja KOKA'!E123</f>
        <v>160000</v>
      </c>
      <c r="I125" s="55">
        <f>'Voucher Belanja KOKA'!F123</f>
        <v>160000</v>
      </c>
      <c r="J125" s="55">
        <f>'Voucher Belanja KOKA'!G123</f>
        <v>160000</v>
      </c>
      <c r="K125" s="55">
        <f>'Voucher Belanja KOKA'!H123</f>
        <v>160000</v>
      </c>
      <c r="L125" s="55">
        <f>'Voucher Belanja KOKA'!I123</f>
        <v>0</v>
      </c>
      <c r="M125" s="55">
        <f>'Voucher Belanja KOKA'!J123</f>
        <v>0</v>
      </c>
      <c r="N125" s="55">
        <f>'Voucher Belanja KOKA'!K123</f>
        <v>0</v>
      </c>
      <c r="O125" s="55">
        <f>'Voucher Belanja KOKA'!L123</f>
        <v>0</v>
      </c>
      <c r="P125" s="55">
        <f>'Voucher Belanja KOKA'!M123</f>
        <v>0</v>
      </c>
      <c r="Q125" s="55">
        <f>'Voucher Belanja KOKA'!N123</f>
        <v>0</v>
      </c>
      <c r="R125" s="55">
        <f>'Voucher Belanja KOKA'!O123</f>
        <v>0</v>
      </c>
      <c r="S125" s="28">
        <f t="shared" si="1"/>
        <v>800000</v>
      </c>
      <c r="T125" s="4"/>
    </row>
    <row r="126" spans="1:20" x14ac:dyDescent="0.2">
      <c r="A126" s="2">
        <v>119</v>
      </c>
      <c r="B126" s="29" t="s">
        <v>150</v>
      </c>
      <c r="C126" s="72"/>
      <c r="D126" s="58"/>
      <c r="E126" s="58"/>
      <c r="F126" s="73"/>
      <c r="G126" s="55">
        <f>'Voucher Belanja KOKA'!D124</f>
        <v>270000</v>
      </c>
      <c r="H126" s="55">
        <f>'Voucher Belanja KOKA'!E124</f>
        <v>270000</v>
      </c>
      <c r="I126" s="55">
        <f>'Voucher Belanja KOKA'!F124</f>
        <v>270000</v>
      </c>
      <c r="J126" s="55">
        <f>'Voucher Belanja KOKA'!G124</f>
        <v>270000</v>
      </c>
      <c r="K126" s="55">
        <f>'Voucher Belanja KOKA'!H124</f>
        <v>270000</v>
      </c>
      <c r="L126" s="55">
        <f>'Voucher Belanja KOKA'!I124</f>
        <v>0</v>
      </c>
      <c r="M126" s="55">
        <f>'Voucher Belanja KOKA'!J124</f>
        <v>0</v>
      </c>
      <c r="N126" s="55">
        <f>'Voucher Belanja KOKA'!K124</f>
        <v>0</v>
      </c>
      <c r="O126" s="55">
        <f>'Voucher Belanja KOKA'!L124</f>
        <v>0</v>
      </c>
      <c r="P126" s="55">
        <f>'Voucher Belanja KOKA'!M124</f>
        <v>0</v>
      </c>
      <c r="Q126" s="55">
        <f>'Voucher Belanja KOKA'!N124</f>
        <v>0</v>
      </c>
      <c r="R126" s="55">
        <f>'Voucher Belanja KOKA'!O124</f>
        <v>0</v>
      </c>
      <c r="S126" s="28">
        <f t="shared" si="1"/>
        <v>1350000</v>
      </c>
      <c r="T126" s="4"/>
    </row>
    <row r="127" spans="1:20" x14ac:dyDescent="0.2">
      <c r="A127" s="2">
        <v>120</v>
      </c>
      <c r="B127" s="29" t="s">
        <v>151</v>
      </c>
      <c r="C127" s="72"/>
      <c r="D127" s="58"/>
      <c r="E127" s="58"/>
      <c r="F127" s="73"/>
      <c r="G127" s="55">
        <f>'Voucher Belanja KOKA'!D125</f>
        <v>160000</v>
      </c>
      <c r="H127" s="55">
        <f>'Voucher Belanja KOKA'!E125</f>
        <v>160000</v>
      </c>
      <c r="I127" s="55">
        <f>'Voucher Belanja KOKA'!F125</f>
        <v>160000</v>
      </c>
      <c r="J127" s="55">
        <f>'Voucher Belanja KOKA'!G125+'Pinjaman Daging Event Lebaran'!P10</f>
        <v>678833.33333333326</v>
      </c>
      <c r="K127" s="55">
        <f>'Voucher Belanja KOKA'!H125+'Pinjaman Daging Event Lebaran'!Q10</f>
        <v>678833.33333333326</v>
      </c>
      <c r="L127" s="55">
        <f>'Voucher Belanja KOKA'!I125+'Pinjaman Daging Event Lebaran'!R10</f>
        <v>518833.33333333331</v>
      </c>
      <c r="M127" s="55">
        <f>'Voucher Belanja KOKA'!J125+'Pinjaman Daging Event Lebaran'!S10</f>
        <v>0</v>
      </c>
      <c r="N127" s="55">
        <f>'Voucher Belanja KOKA'!K125+'Pinjaman Daging Event Lebaran'!T10</f>
        <v>0</v>
      </c>
      <c r="O127" s="55">
        <f>'Voucher Belanja KOKA'!L125+'Pinjaman Daging Event Lebaran'!U10</f>
        <v>0</v>
      </c>
      <c r="P127" s="55">
        <f>'Voucher Belanja KOKA'!M125+'Pinjaman Daging Event Lebaran'!V10</f>
        <v>0</v>
      </c>
      <c r="Q127" s="55">
        <f>'Voucher Belanja KOKA'!N125+'Pinjaman Daging Event Lebaran'!W10</f>
        <v>0</v>
      </c>
      <c r="R127" s="55">
        <f>'Voucher Belanja KOKA'!O125+'Pinjaman Daging Event Lebaran'!X10</f>
        <v>0</v>
      </c>
      <c r="S127" s="28">
        <f t="shared" si="1"/>
        <v>2356500</v>
      </c>
      <c r="T127" s="4"/>
    </row>
    <row r="128" spans="1:20" x14ac:dyDescent="0.2">
      <c r="A128" s="2">
        <v>121</v>
      </c>
      <c r="B128" s="29" t="s">
        <v>152</v>
      </c>
      <c r="C128" s="72"/>
      <c r="D128" s="58"/>
      <c r="E128" s="58"/>
      <c r="F128" s="73"/>
      <c r="G128" s="55">
        <f>'Voucher Belanja KOKA'!D126</f>
        <v>160000</v>
      </c>
      <c r="H128" s="55">
        <f>'Voucher Belanja KOKA'!E126</f>
        <v>160000</v>
      </c>
      <c r="I128" s="55">
        <f>'Voucher Belanja KOKA'!F126</f>
        <v>160000</v>
      </c>
      <c r="J128" s="55">
        <f>'Voucher Belanja KOKA'!G126</f>
        <v>160000</v>
      </c>
      <c r="K128" s="55">
        <f>'Voucher Belanja KOKA'!H126</f>
        <v>160000</v>
      </c>
      <c r="L128" s="55">
        <f>'Voucher Belanja KOKA'!I126</f>
        <v>0</v>
      </c>
      <c r="M128" s="55">
        <f>'Voucher Belanja KOKA'!J126</f>
        <v>0</v>
      </c>
      <c r="N128" s="55">
        <f>'Voucher Belanja KOKA'!K126</f>
        <v>0</v>
      </c>
      <c r="O128" s="55">
        <f>'Voucher Belanja KOKA'!L126</f>
        <v>0</v>
      </c>
      <c r="P128" s="55">
        <f>'Voucher Belanja KOKA'!M126</f>
        <v>0</v>
      </c>
      <c r="Q128" s="55">
        <f>'Voucher Belanja KOKA'!N126</f>
        <v>0</v>
      </c>
      <c r="R128" s="55">
        <f>'Voucher Belanja KOKA'!O126</f>
        <v>0</v>
      </c>
      <c r="S128" s="28">
        <f t="shared" ref="S128:S160" si="2">SUM(G128:R128)</f>
        <v>800000</v>
      </c>
      <c r="T128" s="4"/>
    </row>
    <row r="129" spans="1:20" x14ac:dyDescent="0.2">
      <c r="A129" s="2">
        <v>122</v>
      </c>
      <c r="B129" s="29" t="s">
        <v>153</v>
      </c>
      <c r="C129" s="72"/>
      <c r="D129" s="58"/>
      <c r="E129" s="58"/>
      <c r="F129" s="73"/>
      <c r="G129" s="55">
        <f>'Voucher Belanja KOKA'!D127</f>
        <v>160000</v>
      </c>
      <c r="H129" s="55">
        <f>'Voucher Belanja KOKA'!E127</f>
        <v>160000</v>
      </c>
      <c r="I129" s="55">
        <f>'Voucher Belanja KOKA'!F127</f>
        <v>160000</v>
      </c>
      <c r="J129" s="55">
        <f>'Voucher Belanja KOKA'!G127</f>
        <v>160000</v>
      </c>
      <c r="K129" s="55">
        <f>'Voucher Belanja KOKA'!H127</f>
        <v>160000</v>
      </c>
      <c r="L129" s="55">
        <f>'Voucher Belanja KOKA'!I127</f>
        <v>0</v>
      </c>
      <c r="M129" s="55">
        <f>'Voucher Belanja KOKA'!J127</f>
        <v>0</v>
      </c>
      <c r="N129" s="55">
        <f>'Voucher Belanja KOKA'!K127</f>
        <v>0</v>
      </c>
      <c r="O129" s="55">
        <f>'Voucher Belanja KOKA'!L127</f>
        <v>0</v>
      </c>
      <c r="P129" s="55">
        <f>'Voucher Belanja KOKA'!M127</f>
        <v>0</v>
      </c>
      <c r="Q129" s="55">
        <f>'Voucher Belanja KOKA'!N127</f>
        <v>0</v>
      </c>
      <c r="R129" s="55">
        <f>'Voucher Belanja KOKA'!O127</f>
        <v>0</v>
      </c>
      <c r="S129" s="28">
        <f t="shared" si="2"/>
        <v>800000</v>
      </c>
      <c r="T129" s="4"/>
    </row>
    <row r="130" spans="1:20" x14ac:dyDescent="0.2">
      <c r="A130" s="2">
        <v>123</v>
      </c>
      <c r="B130" s="29" t="s">
        <v>154</v>
      </c>
      <c r="C130" s="72"/>
      <c r="D130" s="58"/>
      <c r="E130" s="58"/>
      <c r="F130" s="73"/>
      <c r="G130" s="55">
        <f>'Voucher Belanja KOKA'!D128</f>
        <v>160000</v>
      </c>
      <c r="H130" s="55">
        <f>'Voucher Belanja KOKA'!E128</f>
        <v>160000</v>
      </c>
      <c r="I130" s="55">
        <f>'Voucher Belanja KOKA'!F128</f>
        <v>160000</v>
      </c>
      <c r="J130" s="55">
        <f>'Voucher Belanja KOKA'!G128</f>
        <v>160000</v>
      </c>
      <c r="K130" s="55">
        <f>'Voucher Belanja KOKA'!H128</f>
        <v>160000</v>
      </c>
      <c r="L130" s="55">
        <f>'Voucher Belanja KOKA'!I128</f>
        <v>0</v>
      </c>
      <c r="M130" s="55">
        <f>'Voucher Belanja KOKA'!J128</f>
        <v>0</v>
      </c>
      <c r="N130" s="55">
        <f>'Voucher Belanja KOKA'!K128</f>
        <v>0</v>
      </c>
      <c r="O130" s="55">
        <f>'Voucher Belanja KOKA'!L128</f>
        <v>0</v>
      </c>
      <c r="P130" s="55">
        <f>'Voucher Belanja KOKA'!M128</f>
        <v>0</v>
      </c>
      <c r="Q130" s="55">
        <f>'Voucher Belanja KOKA'!N128</f>
        <v>0</v>
      </c>
      <c r="R130" s="55">
        <f>'Voucher Belanja KOKA'!O128</f>
        <v>0</v>
      </c>
      <c r="S130" s="28">
        <f t="shared" si="2"/>
        <v>800000</v>
      </c>
      <c r="T130" s="4"/>
    </row>
    <row r="131" spans="1:20" x14ac:dyDescent="0.2">
      <c r="A131" s="2">
        <v>124</v>
      </c>
      <c r="B131" s="29" t="s">
        <v>155</v>
      </c>
      <c r="C131" s="72"/>
      <c r="D131" s="58"/>
      <c r="E131" s="58"/>
      <c r="F131" s="73"/>
      <c r="G131" s="55">
        <f>'Voucher Belanja KOKA'!D129</f>
        <v>160000</v>
      </c>
      <c r="H131" s="55">
        <f>'Voucher Belanja KOKA'!E129</f>
        <v>160000</v>
      </c>
      <c r="I131" s="55">
        <f>'Voucher Belanja KOKA'!F129</f>
        <v>160000</v>
      </c>
      <c r="J131" s="55">
        <f>'Voucher Belanja KOKA'!G129+'Pinjaman Daging Event Lebaran'!P9</f>
        <v>249333.33333333331</v>
      </c>
      <c r="K131" s="55">
        <f>'Voucher Belanja KOKA'!H129+'Pinjaman Daging Event Lebaran'!Q9</f>
        <v>249333.33333333331</v>
      </c>
      <c r="L131" s="55">
        <f>'Voucher Belanja KOKA'!I129+'Pinjaman Daging Event Lebaran'!R9</f>
        <v>89333.333333333328</v>
      </c>
      <c r="M131" s="55">
        <f>'Voucher Belanja KOKA'!J129+'Pinjaman Daging Event Lebaran'!S9</f>
        <v>0</v>
      </c>
      <c r="N131" s="55">
        <f>'Voucher Belanja KOKA'!K129+'Pinjaman Daging Event Lebaran'!T9</f>
        <v>0</v>
      </c>
      <c r="O131" s="55">
        <f>'Voucher Belanja KOKA'!L129+'Pinjaman Daging Event Lebaran'!U9</f>
        <v>0</v>
      </c>
      <c r="P131" s="55">
        <f>'Voucher Belanja KOKA'!M129+'Pinjaman Daging Event Lebaran'!V9</f>
        <v>0</v>
      </c>
      <c r="Q131" s="55">
        <f>'Voucher Belanja KOKA'!N129+'Pinjaman Daging Event Lebaran'!W9</f>
        <v>0</v>
      </c>
      <c r="R131" s="55">
        <f>'Voucher Belanja KOKA'!O129+'Pinjaman Daging Event Lebaran'!X9</f>
        <v>0</v>
      </c>
      <c r="S131" s="28">
        <f t="shared" si="2"/>
        <v>1067999.9999999998</v>
      </c>
      <c r="T131" s="4"/>
    </row>
    <row r="132" spans="1:20" x14ac:dyDescent="0.2">
      <c r="A132" s="2">
        <v>125</v>
      </c>
      <c r="B132" s="29" t="s">
        <v>156</v>
      </c>
      <c r="C132" s="72"/>
      <c r="D132" s="58"/>
      <c r="E132" s="58"/>
      <c r="F132" s="73"/>
      <c r="G132" s="55">
        <f>'Voucher Belanja KOKA'!D130</f>
        <v>160000</v>
      </c>
      <c r="H132" s="55">
        <f>'Voucher Belanja KOKA'!E130</f>
        <v>160000</v>
      </c>
      <c r="I132" s="55">
        <f>'Voucher Belanja KOKA'!F130</f>
        <v>160000</v>
      </c>
      <c r="J132" s="55">
        <f>'Voucher Belanja KOKA'!G130</f>
        <v>160000</v>
      </c>
      <c r="K132" s="55">
        <f>'Voucher Belanja KOKA'!H130</f>
        <v>160000</v>
      </c>
      <c r="L132" s="55">
        <f>'Voucher Belanja KOKA'!I130</f>
        <v>0</v>
      </c>
      <c r="M132" s="55">
        <f>'Voucher Belanja KOKA'!J130</f>
        <v>0</v>
      </c>
      <c r="N132" s="55">
        <f>'Voucher Belanja KOKA'!K130</f>
        <v>0</v>
      </c>
      <c r="O132" s="55">
        <f>'Voucher Belanja KOKA'!L130</f>
        <v>0</v>
      </c>
      <c r="P132" s="55">
        <f>'Voucher Belanja KOKA'!M130</f>
        <v>0</v>
      </c>
      <c r="Q132" s="55">
        <f>'Voucher Belanja KOKA'!N130</f>
        <v>0</v>
      </c>
      <c r="R132" s="55">
        <f>'Voucher Belanja KOKA'!O130</f>
        <v>0</v>
      </c>
      <c r="S132" s="28">
        <f t="shared" si="2"/>
        <v>800000</v>
      </c>
      <c r="T132" s="4"/>
    </row>
    <row r="133" spans="1:20" x14ac:dyDescent="0.2">
      <c r="A133" s="2">
        <v>126</v>
      </c>
      <c r="B133" s="29" t="s">
        <v>157</v>
      </c>
      <c r="C133" s="59"/>
      <c r="D133" s="58"/>
      <c r="E133" s="58"/>
      <c r="F133" s="73"/>
      <c r="G133" s="55">
        <f>'Voucher Belanja KOKA'!D131+'Pinjaman Barang Sekunder'!K13</f>
        <v>664900</v>
      </c>
      <c r="H133" s="55">
        <f>'Voucher Belanja KOKA'!E131+'Pinjaman Barang Sekunder'!L13</f>
        <v>664900</v>
      </c>
      <c r="I133" s="55">
        <f>'Voucher Belanja KOKA'!F131+'Pinjaman Barang Sekunder'!M13</f>
        <v>664900</v>
      </c>
      <c r="J133" s="55">
        <f>'Voucher Belanja KOKA'!G131+'Pinjaman Barang Sekunder'!N13+'Pinjaman Daging Event Lebaran'!P14</f>
        <v>759233.33333333337</v>
      </c>
      <c r="K133" s="55">
        <f>'Voucher Belanja KOKA'!H131+'Pinjaman Barang Sekunder'!O13</f>
        <v>664900</v>
      </c>
      <c r="L133" s="55">
        <f>'Voucher Belanja KOKA'!I131+'Pinjaman Barang Sekunder'!P13</f>
        <v>504900</v>
      </c>
      <c r="M133" s="55">
        <f>'Voucher Belanja KOKA'!J131+'Pinjaman Barang Sekunder'!Q13</f>
        <v>504900</v>
      </c>
      <c r="N133" s="55">
        <f>'Voucher Belanja KOKA'!K131+'Pinjaman Barang Sekunder'!R13</f>
        <v>504900</v>
      </c>
      <c r="O133" s="55">
        <f>'Voucher Belanja KOKA'!L131+'Pinjaman Barang Sekunder'!S13</f>
        <v>0</v>
      </c>
      <c r="P133" s="55">
        <f>'Voucher Belanja KOKA'!M131+'Pinjaman Barang Sekunder'!T13</f>
        <v>0</v>
      </c>
      <c r="Q133" s="55">
        <f>'Voucher Belanja KOKA'!N131+'Pinjaman Barang Sekunder'!U13</f>
        <v>0</v>
      </c>
      <c r="R133" s="55">
        <f>'Voucher Belanja KOKA'!O131+'Pinjaman Barang Sekunder'!V13</f>
        <v>0</v>
      </c>
      <c r="S133" s="28">
        <f t="shared" si="2"/>
        <v>4933533.333333334</v>
      </c>
      <c r="T133" s="4"/>
    </row>
    <row r="134" spans="1:20" x14ac:dyDescent="0.2">
      <c r="A134" s="2">
        <v>127</v>
      </c>
      <c r="B134" s="29" t="s">
        <v>202</v>
      </c>
      <c r="C134" s="72"/>
      <c r="D134" s="58"/>
      <c r="E134" s="58"/>
      <c r="F134" s="73"/>
      <c r="G134" s="55">
        <f>'Voucher Belanja KOKA'!D132</f>
        <v>135000</v>
      </c>
      <c r="H134" s="55">
        <f>'Voucher Belanja KOKA'!E132</f>
        <v>135000</v>
      </c>
      <c r="I134" s="55">
        <f>'Voucher Belanja KOKA'!F132+'Pinjaman Barang Primer Harian'!E9</f>
        <v>597000</v>
      </c>
      <c r="J134" s="55">
        <f>'Voucher Belanja KOKA'!G132</f>
        <v>0</v>
      </c>
      <c r="K134" s="55">
        <f>'Voucher Belanja KOKA'!H132+'Pinjaman Daging Event Lebaran'!Q14</f>
        <v>229333.33333333331</v>
      </c>
      <c r="L134" s="55">
        <f>'Voucher Belanja KOKA'!I132+'Pinjaman Daging Event Lebaran'!R14</f>
        <v>94333.333333333328</v>
      </c>
      <c r="M134" s="55">
        <f>'Voucher Belanja KOKA'!J132+'Pinjaman Daging Event Lebaran'!S14</f>
        <v>0</v>
      </c>
      <c r="N134" s="55">
        <f>'Voucher Belanja KOKA'!K132+'Pinjaman Daging Event Lebaran'!T14</f>
        <v>0</v>
      </c>
      <c r="O134" s="55">
        <f>'Voucher Belanja KOKA'!L132+'Pinjaman Daging Event Lebaran'!U14</f>
        <v>0</v>
      </c>
      <c r="P134" s="55">
        <f>'Voucher Belanja KOKA'!M132+'Pinjaman Daging Event Lebaran'!V14</f>
        <v>0</v>
      </c>
      <c r="Q134" s="55">
        <f>'Voucher Belanja KOKA'!N132+'Pinjaman Daging Event Lebaran'!W14</f>
        <v>0</v>
      </c>
      <c r="R134" s="55">
        <f>'Voucher Belanja KOKA'!O132+'Pinjaman Daging Event Lebaran'!X14</f>
        <v>0</v>
      </c>
      <c r="S134" s="28">
        <f t="shared" si="2"/>
        <v>1190666.6666666665</v>
      </c>
      <c r="T134" s="4"/>
    </row>
    <row r="135" spans="1:20" x14ac:dyDescent="0.2">
      <c r="A135" s="2">
        <v>128</v>
      </c>
      <c r="B135" s="29" t="s">
        <v>204</v>
      </c>
      <c r="C135" s="72"/>
      <c r="D135" s="58"/>
      <c r="E135" s="58"/>
      <c r="F135" s="73"/>
      <c r="G135" s="55">
        <f>'Voucher Belanja KOKA'!D133</f>
        <v>160000</v>
      </c>
      <c r="H135" s="55">
        <f>'Voucher Belanja KOKA'!E133</f>
        <v>160000</v>
      </c>
      <c r="I135" s="55">
        <f>'Voucher Belanja KOKA'!F133</f>
        <v>160000</v>
      </c>
      <c r="J135" s="55">
        <f>'Voucher Belanja KOKA'!G133</f>
        <v>160000</v>
      </c>
      <c r="K135" s="55">
        <f>'Voucher Belanja KOKA'!H133</f>
        <v>160000</v>
      </c>
      <c r="L135" s="55">
        <f>'Voucher Belanja KOKA'!I133</f>
        <v>0</v>
      </c>
      <c r="M135" s="55">
        <f>'Voucher Belanja KOKA'!J133</f>
        <v>0</v>
      </c>
      <c r="N135" s="55">
        <f>'Voucher Belanja KOKA'!K133</f>
        <v>0</v>
      </c>
      <c r="O135" s="55">
        <f>'Voucher Belanja KOKA'!L133</f>
        <v>0</v>
      </c>
      <c r="P135" s="55">
        <f>'Voucher Belanja KOKA'!M133</f>
        <v>0</v>
      </c>
      <c r="Q135" s="55">
        <f>'Voucher Belanja KOKA'!N133</f>
        <v>0</v>
      </c>
      <c r="R135" s="55">
        <f>'Voucher Belanja KOKA'!O133</f>
        <v>0</v>
      </c>
      <c r="S135" s="28">
        <f t="shared" si="2"/>
        <v>800000</v>
      </c>
      <c r="T135" s="4"/>
    </row>
    <row r="136" spans="1:20" x14ac:dyDescent="0.2">
      <c r="A136" s="2">
        <v>129</v>
      </c>
      <c r="B136" s="29" t="s">
        <v>158</v>
      </c>
      <c r="C136" s="72"/>
      <c r="D136" s="58"/>
      <c r="E136" s="58"/>
      <c r="F136" s="73"/>
      <c r="G136" s="55">
        <f>'Voucher Belanja KOKA'!D134</f>
        <v>160000</v>
      </c>
      <c r="H136" s="55">
        <f>'Voucher Belanja KOKA'!E134</f>
        <v>160000</v>
      </c>
      <c r="I136" s="55">
        <f>'Voucher Belanja KOKA'!F134</f>
        <v>160000</v>
      </c>
      <c r="J136" s="55">
        <f>'Voucher Belanja KOKA'!G134</f>
        <v>160000</v>
      </c>
      <c r="K136" s="55">
        <f>'Voucher Belanja KOKA'!H134</f>
        <v>160000</v>
      </c>
      <c r="L136" s="55">
        <f>'Voucher Belanja KOKA'!I134</f>
        <v>0</v>
      </c>
      <c r="M136" s="55">
        <f>'Voucher Belanja KOKA'!J134</f>
        <v>0</v>
      </c>
      <c r="N136" s="55">
        <f>'Voucher Belanja KOKA'!K134</f>
        <v>0</v>
      </c>
      <c r="O136" s="55">
        <f>'Voucher Belanja KOKA'!L134</f>
        <v>0</v>
      </c>
      <c r="P136" s="55">
        <f>'Voucher Belanja KOKA'!M134</f>
        <v>0</v>
      </c>
      <c r="Q136" s="55">
        <f>'Voucher Belanja KOKA'!N134</f>
        <v>0</v>
      </c>
      <c r="R136" s="55">
        <f>'Voucher Belanja KOKA'!O134</f>
        <v>0</v>
      </c>
      <c r="S136" s="28">
        <f t="shared" si="2"/>
        <v>800000</v>
      </c>
      <c r="T136" s="4"/>
    </row>
    <row r="137" spans="1:20" x14ac:dyDescent="0.2">
      <c r="A137" s="2">
        <v>130</v>
      </c>
      <c r="B137" s="29" t="s">
        <v>159</v>
      </c>
      <c r="C137" s="59"/>
      <c r="D137" s="58"/>
      <c r="E137" s="58"/>
      <c r="F137" s="73"/>
      <c r="G137" s="55">
        <f>'Voucher Belanja KOKA'!D135</f>
        <v>160000</v>
      </c>
      <c r="H137" s="55">
        <f>'Voucher Belanja KOKA'!E135</f>
        <v>160000</v>
      </c>
      <c r="I137" s="55">
        <f>'Voucher Belanja KOKA'!F135</f>
        <v>160000</v>
      </c>
      <c r="J137" s="55">
        <f>'Voucher Belanja KOKA'!G135</f>
        <v>160000</v>
      </c>
      <c r="K137" s="55">
        <f>'Voucher Belanja KOKA'!H135</f>
        <v>160000</v>
      </c>
      <c r="L137" s="55">
        <f>'Voucher Belanja KOKA'!I135</f>
        <v>0</v>
      </c>
      <c r="M137" s="55">
        <f>'Voucher Belanja KOKA'!J135</f>
        <v>0</v>
      </c>
      <c r="N137" s="55">
        <f>'Voucher Belanja KOKA'!K135</f>
        <v>0</v>
      </c>
      <c r="O137" s="55">
        <f>'Voucher Belanja KOKA'!L135</f>
        <v>0</v>
      </c>
      <c r="P137" s="55">
        <f>'Voucher Belanja KOKA'!M135</f>
        <v>0</v>
      </c>
      <c r="Q137" s="55">
        <f>'Voucher Belanja KOKA'!N135</f>
        <v>0</v>
      </c>
      <c r="R137" s="55">
        <f>'Voucher Belanja KOKA'!O135</f>
        <v>0</v>
      </c>
      <c r="S137" s="28">
        <f t="shared" si="2"/>
        <v>800000</v>
      </c>
      <c r="T137" s="4"/>
    </row>
    <row r="138" spans="1:20" x14ac:dyDescent="0.2">
      <c r="A138" s="2">
        <v>131</v>
      </c>
      <c r="B138" s="29" t="s">
        <v>160</v>
      </c>
      <c r="C138" s="72"/>
      <c r="D138" s="58"/>
      <c r="E138" s="58"/>
      <c r="F138" s="73"/>
      <c r="G138" s="55">
        <f>'Voucher Belanja KOKA'!D136</f>
        <v>160000</v>
      </c>
      <c r="H138" s="55">
        <f>'Voucher Belanja KOKA'!E136</f>
        <v>160000</v>
      </c>
      <c r="I138" s="55">
        <f>'Voucher Belanja KOKA'!F136</f>
        <v>160000</v>
      </c>
      <c r="J138" s="55">
        <f>'Voucher Belanja KOKA'!G136</f>
        <v>160000</v>
      </c>
      <c r="K138" s="55">
        <f>'Voucher Belanja KOKA'!H136</f>
        <v>160000</v>
      </c>
      <c r="L138" s="55">
        <f>'Voucher Belanja KOKA'!I136</f>
        <v>0</v>
      </c>
      <c r="M138" s="55">
        <f>'Voucher Belanja KOKA'!J136</f>
        <v>0</v>
      </c>
      <c r="N138" s="55">
        <f>'Voucher Belanja KOKA'!K136</f>
        <v>0</v>
      </c>
      <c r="O138" s="55">
        <f>'Voucher Belanja KOKA'!L136</f>
        <v>0</v>
      </c>
      <c r="P138" s="55">
        <f>'Voucher Belanja KOKA'!M136</f>
        <v>0</v>
      </c>
      <c r="Q138" s="55">
        <f>'Voucher Belanja KOKA'!N136</f>
        <v>0</v>
      </c>
      <c r="R138" s="55">
        <f>'Voucher Belanja KOKA'!O136</f>
        <v>0</v>
      </c>
      <c r="S138" s="28">
        <f t="shared" si="2"/>
        <v>800000</v>
      </c>
      <c r="T138" s="4"/>
    </row>
    <row r="139" spans="1:20" x14ac:dyDescent="0.2">
      <c r="A139" s="2">
        <v>132</v>
      </c>
      <c r="B139" s="29" t="s">
        <v>161</v>
      </c>
      <c r="C139" s="72"/>
      <c r="D139" s="58"/>
      <c r="E139" s="58"/>
      <c r="F139" s="73"/>
      <c r="G139" s="55">
        <f>'Voucher Belanja KOKA'!D137</f>
        <v>35000</v>
      </c>
      <c r="H139" s="55">
        <f>'Voucher Belanja KOKA'!E137</f>
        <v>135000</v>
      </c>
      <c r="I139" s="55">
        <f>'Voucher Belanja KOKA'!F137</f>
        <v>135000</v>
      </c>
      <c r="J139" s="55">
        <f>'Voucher Belanja KOKA'!G137</f>
        <v>0</v>
      </c>
      <c r="K139" s="55">
        <f>'Voucher Belanja KOKA'!H137</f>
        <v>135000</v>
      </c>
      <c r="L139" s="55">
        <f>'Voucher Belanja KOKA'!I137</f>
        <v>0</v>
      </c>
      <c r="M139" s="55">
        <f>'Voucher Belanja KOKA'!J137</f>
        <v>0</v>
      </c>
      <c r="N139" s="55">
        <f>'Voucher Belanja KOKA'!K137</f>
        <v>0</v>
      </c>
      <c r="O139" s="55">
        <f>'Voucher Belanja KOKA'!L137</f>
        <v>0</v>
      </c>
      <c r="P139" s="55">
        <f>'Voucher Belanja KOKA'!M137</f>
        <v>0</v>
      </c>
      <c r="Q139" s="55">
        <f>'Voucher Belanja KOKA'!N137</f>
        <v>0</v>
      </c>
      <c r="R139" s="55">
        <f>'Voucher Belanja KOKA'!O137</f>
        <v>0</v>
      </c>
      <c r="S139" s="28">
        <f t="shared" si="2"/>
        <v>440000</v>
      </c>
      <c r="T139" s="4"/>
    </row>
    <row r="140" spans="1:20" x14ac:dyDescent="0.2">
      <c r="A140" s="2">
        <v>133</v>
      </c>
      <c r="B140" s="29" t="s">
        <v>162</v>
      </c>
      <c r="C140" s="72"/>
      <c r="D140" s="58"/>
      <c r="E140" s="58"/>
      <c r="F140" s="73"/>
      <c r="G140" s="55">
        <f>'Voucher Belanja KOKA'!D138</f>
        <v>160000</v>
      </c>
      <c r="H140" s="55">
        <f>'Voucher Belanja KOKA'!E138</f>
        <v>160000</v>
      </c>
      <c r="I140" s="55">
        <f>'Voucher Belanja KOKA'!F138</f>
        <v>160000</v>
      </c>
      <c r="J140" s="55">
        <f>'Voucher Belanja KOKA'!G138</f>
        <v>160000</v>
      </c>
      <c r="K140" s="55">
        <f>'Voucher Belanja KOKA'!H138</f>
        <v>160000</v>
      </c>
      <c r="L140" s="55">
        <f>'Voucher Belanja KOKA'!I138</f>
        <v>0</v>
      </c>
      <c r="M140" s="55">
        <f>'Voucher Belanja KOKA'!J138</f>
        <v>0</v>
      </c>
      <c r="N140" s="55">
        <f>'Voucher Belanja KOKA'!K138</f>
        <v>0</v>
      </c>
      <c r="O140" s="55">
        <f>'Voucher Belanja KOKA'!L138</f>
        <v>0</v>
      </c>
      <c r="P140" s="55">
        <f>'Voucher Belanja KOKA'!M138</f>
        <v>0</v>
      </c>
      <c r="Q140" s="55">
        <f>'Voucher Belanja KOKA'!N138</f>
        <v>0</v>
      </c>
      <c r="R140" s="55">
        <f>'Voucher Belanja KOKA'!O138</f>
        <v>0</v>
      </c>
      <c r="S140" s="28">
        <f t="shared" si="2"/>
        <v>800000</v>
      </c>
      <c r="T140" s="4"/>
    </row>
    <row r="141" spans="1:20" x14ac:dyDescent="0.2">
      <c r="A141" s="2">
        <v>134</v>
      </c>
      <c r="B141" s="29" t="s">
        <v>163</v>
      </c>
      <c r="C141" s="72"/>
      <c r="D141" s="58"/>
      <c r="E141" s="58"/>
      <c r="F141" s="73"/>
      <c r="G141" s="55">
        <f>'Voucher Belanja KOKA'!D139</f>
        <v>160000</v>
      </c>
      <c r="H141" s="55">
        <f>'Voucher Belanja KOKA'!E139</f>
        <v>160000</v>
      </c>
      <c r="I141" s="55">
        <f>'Voucher Belanja KOKA'!F139</f>
        <v>0</v>
      </c>
      <c r="J141" s="55">
        <f>'Voucher Belanja KOKA'!G139</f>
        <v>0</v>
      </c>
      <c r="K141" s="55">
        <f>'Voucher Belanja KOKA'!H139</f>
        <v>0</v>
      </c>
      <c r="L141" s="55">
        <f>'Voucher Belanja KOKA'!I139</f>
        <v>0</v>
      </c>
      <c r="M141" s="55">
        <f>'Voucher Belanja KOKA'!J139</f>
        <v>0</v>
      </c>
      <c r="N141" s="55">
        <f>'Voucher Belanja KOKA'!K139</f>
        <v>0</v>
      </c>
      <c r="O141" s="55">
        <f>'Voucher Belanja KOKA'!L139</f>
        <v>0</v>
      </c>
      <c r="P141" s="55">
        <f>'Voucher Belanja KOKA'!M139</f>
        <v>0</v>
      </c>
      <c r="Q141" s="55">
        <f>'Voucher Belanja KOKA'!N139</f>
        <v>0</v>
      </c>
      <c r="R141" s="55">
        <f>'Voucher Belanja KOKA'!O139</f>
        <v>0</v>
      </c>
      <c r="S141" s="28">
        <f t="shared" si="2"/>
        <v>320000</v>
      </c>
      <c r="T141" s="4"/>
    </row>
    <row r="142" spans="1:20" x14ac:dyDescent="0.2">
      <c r="A142" s="2">
        <v>135</v>
      </c>
      <c r="B142" s="29" t="s">
        <v>164</v>
      </c>
      <c r="C142" s="72"/>
      <c r="D142" s="58"/>
      <c r="E142" s="58"/>
      <c r="F142" s="73"/>
      <c r="G142" s="55">
        <f>'Voucher Belanja KOKA'!D140</f>
        <v>160000</v>
      </c>
      <c r="H142" s="55">
        <f>'Voucher Belanja KOKA'!E140</f>
        <v>160000</v>
      </c>
      <c r="I142" s="55">
        <f>'Voucher Belanja KOKA'!F140</f>
        <v>160000</v>
      </c>
      <c r="J142" s="55">
        <f>'Voucher Belanja KOKA'!G140+'Pinjaman Daging Event Lebaran'!P8</f>
        <v>249333.33333333331</v>
      </c>
      <c r="K142" s="55">
        <f>'Voucher Belanja KOKA'!H140+'Pinjaman Daging Event Lebaran'!Q8</f>
        <v>249333.33333333331</v>
      </c>
      <c r="L142" s="55">
        <f>'Voucher Belanja KOKA'!I140+'Pinjaman Daging Event Lebaran'!R8</f>
        <v>89333.333333333328</v>
      </c>
      <c r="M142" s="55">
        <f>'Voucher Belanja KOKA'!J140+'Pinjaman Daging Event Lebaran'!S8</f>
        <v>0</v>
      </c>
      <c r="N142" s="55">
        <f>'Voucher Belanja KOKA'!K140+'Pinjaman Daging Event Lebaran'!T8</f>
        <v>0</v>
      </c>
      <c r="O142" s="55">
        <f>'Voucher Belanja KOKA'!L140+'Pinjaman Daging Event Lebaran'!U8</f>
        <v>0</v>
      </c>
      <c r="P142" s="55">
        <f>'Voucher Belanja KOKA'!M140+'Pinjaman Daging Event Lebaran'!V8</f>
        <v>0</v>
      </c>
      <c r="Q142" s="55">
        <f>'Voucher Belanja KOKA'!N140+'Pinjaman Daging Event Lebaran'!W8</f>
        <v>0</v>
      </c>
      <c r="R142" s="55">
        <f>'Voucher Belanja KOKA'!O140+'Pinjaman Daging Event Lebaran'!X8</f>
        <v>0</v>
      </c>
      <c r="S142" s="28">
        <f t="shared" si="2"/>
        <v>1067999.9999999998</v>
      </c>
      <c r="T142" s="4"/>
    </row>
    <row r="143" spans="1:20" x14ac:dyDescent="0.2">
      <c r="A143" s="2">
        <v>136</v>
      </c>
      <c r="B143" s="29" t="s">
        <v>165</v>
      </c>
      <c r="C143" s="72"/>
      <c r="D143" s="58"/>
      <c r="E143" s="60"/>
      <c r="F143" s="73"/>
      <c r="G143" s="55">
        <f>'Voucher Belanja KOKA'!D141+'Pinjaman Barang Primer Harian'!C6</f>
        <v>800920</v>
      </c>
      <c r="H143" s="55">
        <f>'Voucher Belanja KOKA'!E141+'Pinjaman Barang Primer Harian'!D6</f>
        <v>237595</v>
      </c>
      <c r="I143" s="55">
        <f>'Voucher Belanja KOKA'!F141+'Pinjaman Barang Primer Harian'!E6</f>
        <v>237900</v>
      </c>
      <c r="J143" s="55">
        <f>'Voucher Belanja KOKA'!G141+'Pinjaman Barang Primer Harian'!F6</f>
        <v>429850</v>
      </c>
      <c r="K143" s="55">
        <f>'Voucher Belanja KOKA'!H141+'Pinjaman Barang Primer Harian'!G6</f>
        <v>322750</v>
      </c>
      <c r="L143" s="55">
        <f>'Voucher Belanja KOKA'!I141+'Pinjaman Barang Primer Harian'!H6</f>
        <v>0</v>
      </c>
      <c r="M143" s="55">
        <f>'Voucher Belanja KOKA'!J141+'Pinjaman Barang Primer Harian'!I6</f>
        <v>0</v>
      </c>
      <c r="N143" s="55">
        <f>'Voucher Belanja KOKA'!K141+'Pinjaman Barang Primer Harian'!J6</f>
        <v>413280</v>
      </c>
      <c r="O143" s="55">
        <f>'Voucher Belanja KOKA'!L141+'Pinjaman Barang Primer Harian'!K6</f>
        <v>0</v>
      </c>
      <c r="P143" s="55">
        <f>'Voucher Belanja KOKA'!M141+'Pinjaman Barang Primer Harian'!L6</f>
        <v>0</v>
      </c>
      <c r="Q143" s="55">
        <f>'Voucher Belanja KOKA'!N141+'Pinjaman Barang Primer Harian'!M6</f>
        <v>0</v>
      </c>
      <c r="R143" s="55">
        <f>'Voucher Belanja KOKA'!O141+'Pinjaman Barang Primer Harian'!N6</f>
        <v>0</v>
      </c>
      <c r="S143" s="28">
        <f t="shared" si="2"/>
        <v>2442295</v>
      </c>
      <c r="T143" s="4"/>
    </row>
    <row r="144" spans="1:20" x14ac:dyDescent="0.2">
      <c r="A144" s="2">
        <v>137</v>
      </c>
      <c r="B144" s="29" t="s">
        <v>166</v>
      </c>
      <c r="C144" s="72"/>
      <c r="D144" s="58"/>
      <c r="E144" s="58"/>
      <c r="F144" s="73"/>
      <c r="G144" s="55">
        <f>'Voucher Belanja KOKA'!D142</f>
        <v>160000</v>
      </c>
      <c r="H144" s="55">
        <f>'Voucher Belanja KOKA'!E142</f>
        <v>160000</v>
      </c>
      <c r="I144" s="55">
        <f>'Voucher Belanja KOKA'!F142</f>
        <v>160000</v>
      </c>
      <c r="J144" s="55">
        <f>'Voucher Belanja KOKA'!G142</f>
        <v>160000</v>
      </c>
      <c r="K144" s="55">
        <f>'Voucher Belanja KOKA'!H142</f>
        <v>160000</v>
      </c>
      <c r="L144" s="55">
        <f>'Voucher Belanja KOKA'!I142</f>
        <v>0</v>
      </c>
      <c r="M144" s="55">
        <f>'Voucher Belanja KOKA'!J142</f>
        <v>0</v>
      </c>
      <c r="N144" s="55">
        <f>'Voucher Belanja KOKA'!K142</f>
        <v>0</v>
      </c>
      <c r="O144" s="55">
        <f>'Voucher Belanja KOKA'!L142</f>
        <v>0</v>
      </c>
      <c r="P144" s="55">
        <f>'Voucher Belanja KOKA'!M142</f>
        <v>0</v>
      </c>
      <c r="Q144" s="55">
        <f>'Voucher Belanja KOKA'!N142</f>
        <v>0</v>
      </c>
      <c r="R144" s="55">
        <f>'Voucher Belanja KOKA'!O142</f>
        <v>0</v>
      </c>
      <c r="S144" s="28">
        <f t="shared" si="2"/>
        <v>800000</v>
      </c>
      <c r="T144" s="4"/>
    </row>
    <row r="145" spans="1:20" x14ac:dyDescent="0.2">
      <c r="A145" s="2">
        <v>138</v>
      </c>
      <c r="B145" s="29" t="s">
        <v>167</v>
      </c>
      <c r="C145" s="72"/>
      <c r="D145" s="58"/>
      <c r="E145" s="58"/>
      <c r="F145" s="73"/>
      <c r="G145" s="55">
        <f>'Voucher Belanja KOKA'!D143</f>
        <v>160000</v>
      </c>
      <c r="H145" s="55">
        <f>'Voucher Belanja KOKA'!E143</f>
        <v>160000</v>
      </c>
      <c r="I145" s="55">
        <f>'Voucher Belanja KOKA'!F143</f>
        <v>160000</v>
      </c>
      <c r="J145" s="55">
        <f>'Voucher Belanja KOKA'!G143</f>
        <v>160000</v>
      </c>
      <c r="K145" s="55">
        <f>'Voucher Belanja KOKA'!H143</f>
        <v>160000</v>
      </c>
      <c r="L145" s="55">
        <f>'Voucher Belanja KOKA'!I143</f>
        <v>0</v>
      </c>
      <c r="M145" s="55">
        <f>'Voucher Belanja KOKA'!J143</f>
        <v>0</v>
      </c>
      <c r="N145" s="55">
        <f>'Voucher Belanja KOKA'!K143</f>
        <v>0</v>
      </c>
      <c r="O145" s="55">
        <f>'Voucher Belanja KOKA'!L143</f>
        <v>0</v>
      </c>
      <c r="P145" s="55">
        <f>'Voucher Belanja KOKA'!M143</f>
        <v>0</v>
      </c>
      <c r="Q145" s="55">
        <f>'Voucher Belanja KOKA'!N143</f>
        <v>0</v>
      </c>
      <c r="R145" s="55">
        <f>'Voucher Belanja KOKA'!O143</f>
        <v>0</v>
      </c>
      <c r="S145" s="28">
        <f t="shared" si="2"/>
        <v>800000</v>
      </c>
      <c r="T145" s="4"/>
    </row>
    <row r="146" spans="1:20" x14ac:dyDescent="0.2">
      <c r="A146" s="2">
        <v>139</v>
      </c>
      <c r="B146" s="29" t="s">
        <v>168</v>
      </c>
      <c r="C146" s="72"/>
      <c r="D146" s="58"/>
      <c r="E146" s="58"/>
      <c r="F146" s="73"/>
      <c r="G146" s="55">
        <f>'Voucher Belanja KOKA'!D144</f>
        <v>160000</v>
      </c>
      <c r="H146" s="55">
        <f>'Voucher Belanja KOKA'!E144</f>
        <v>160000</v>
      </c>
      <c r="I146" s="55">
        <f>'Voucher Belanja KOKA'!F144</f>
        <v>160000</v>
      </c>
      <c r="J146" s="55">
        <f>'Voucher Belanja KOKA'!G144</f>
        <v>160000</v>
      </c>
      <c r="K146" s="55">
        <f>'Voucher Belanja KOKA'!H144</f>
        <v>160000</v>
      </c>
      <c r="L146" s="55">
        <f>'Voucher Belanja KOKA'!I144</f>
        <v>0</v>
      </c>
      <c r="M146" s="55">
        <f>'Voucher Belanja KOKA'!J144</f>
        <v>0</v>
      </c>
      <c r="N146" s="55">
        <f>'Voucher Belanja KOKA'!K144</f>
        <v>0</v>
      </c>
      <c r="O146" s="55">
        <f>'Voucher Belanja KOKA'!L144</f>
        <v>0</v>
      </c>
      <c r="P146" s="55">
        <f>'Voucher Belanja KOKA'!M144</f>
        <v>0</v>
      </c>
      <c r="Q146" s="55">
        <f>'Voucher Belanja KOKA'!N144</f>
        <v>0</v>
      </c>
      <c r="R146" s="55">
        <f>'Voucher Belanja KOKA'!O144</f>
        <v>0</v>
      </c>
      <c r="S146" s="28">
        <f t="shared" si="2"/>
        <v>800000</v>
      </c>
      <c r="T146" s="4"/>
    </row>
    <row r="147" spans="1:20" x14ac:dyDescent="0.2">
      <c r="A147" s="2">
        <v>140</v>
      </c>
      <c r="B147" s="29" t="s">
        <v>169</v>
      </c>
      <c r="C147" s="59"/>
      <c r="D147" s="58"/>
      <c r="E147" s="58"/>
      <c r="F147" s="73"/>
      <c r="G147" s="55">
        <f>'Voucher Belanja KOKA'!D145+'Pinjaman Barang Sekunder'!K9</f>
        <v>520000</v>
      </c>
      <c r="H147" s="55">
        <f>'Voucher Belanja KOKA'!E145+'Pinjaman Barang Sekunder'!L9</f>
        <v>520000</v>
      </c>
      <c r="I147" s="55">
        <f>'Voucher Belanja KOKA'!F145+'Pinjaman Barang Sekunder'!M9</f>
        <v>520000</v>
      </c>
      <c r="J147" s="55">
        <f>'Voucher Belanja KOKA'!G145+'Pinjaman Barang Sekunder'!N9+'Pinjaman Daging Event Lebaran'!P5</f>
        <v>661500</v>
      </c>
      <c r="K147" s="55">
        <f>'Voucher Belanja KOKA'!H145+'Pinjaman Barang Sekunder'!O9+'Pinjaman Daging Event Lebaran'!Q5</f>
        <v>2461500</v>
      </c>
      <c r="L147" s="55">
        <f>'Voucher Belanja KOKA'!I145+'Pinjaman Barang Sekunder'!P9+'Pinjaman Daging Event Lebaran'!R5</f>
        <v>501500</v>
      </c>
      <c r="M147" s="55">
        <f>'Voucher Belanja KOKA'!J145+'Pinjaman Barang Sekunder'!Q9+'Pinjaman Daging Event Lebaran'!S5</f>
        <v>-720000</v>
      </c>
      <c r="N147" s="55">
        <f>'Voucher Belanja KOKA'!K145+'Pinjaman Barang Sekunder'!R9+'Pinjaman Daging Event Lebaran'!T5</f>
        <v>0</v>
      </c>
      <c r="O147" s="55">
        <f>'Voucher Belanja KOKA'!L145+'Pinjaman Barang Sekunder'!S9+'Pinjaman Daging Event Lebaran'!U5</f>
        <v>0</v>
      </c>
      <c r="P147" s="55">
        <f>'Voucher Belanja KOKA'!M145+'Pinjaman Barang Sekunder'!T9+'Pinjaman Daging Event Lebaran'!V5</f>
        <v>0</v>
      </c>
      <c r="Q147" s="55">
        <f>'Voucher Belanja KOKA'!N145+'Pinjaman Barang Sekunder'!U9+'Pinjaman Daging Event Lebaran'!W5</f>
        <v>0</v>
      </c>
      <c r="R147" s="55">
        <f>'Voucher Belanja KOKA'!O145+'Pinjaman Barang Sekunder'!V9+'Pinjaman Daging Event Lebaran'!X5</f>
        <v>0</v>
      </c>
      <c r="S147" s="28">
        <f t="shared" si="2"/>
        <v>4464500</v>
      </c>
      <c r="T147" s="4"/>
    </row>
    <row r="148" spans="1:20" x14ac:dyDescent="0.2">
      <c r="A148" s="2">
        <v>141</v>
      </c>
      <c r="B148" s="23" t="s">
        <v>170</v>
      </c>
      <c r="C148" s="66"/>
      <c r="D148" s="67"/>
      <c r="E148" s="67"/>
      <c r="F148" s="68"/>
      <c r="G148" s="55">
        <f>'Voucher Belanja KOKA'!D146</f>
        <v>160000</v>
      </c>
      <c r="H148" s="55">
        <f>'Voucher Belanja KOKA'!E146</f>
        <v>160000</v>
      </c>
      <c r="I148" s="55">
        <f>'Voucher Belanja KOKA'!F146</f>
        <v>160000</v>
      </c>
      <c r="J148" s="55">
        <f>'Voucher Belanja KOKA'!G146</f>
        <v>160000</v>
      </c>
      <c r="K148" s="55">
        <f>'Voucher Belanja KOKA'!H146</f>
        <v>160000</v>
      </c>
      <c r="L148" s="55">
        <f>'Voucher Belanja KOKA'!I146</f>
        <v>0</v>
      </c>
      <c r="M148" s="55">
        <f>'Voucher Belanja KOKA'!J146</f>
        <v>0</v>
      </c>
      <c r="N148" s="55">
        <f>'Voucher Belanja KOKA'!K146</f>
        <v>0</v>
      </c>
      <c r="O148" s="55">
        <f>'Voucher Belanja KOKA'!L146</f>
        <v>0</v>
      </c>
      <c r="P148" s="55">
        <f>'Voucher Belanja KOKA'!M146</f>
        <v>0</v>
      </c>
      <c r="Q148" s="55">
        <f>'Voucher Belanja KOKA'!N146</f>
        <v>0</v>
      </c>
      <c r="R148" s="55">
        <f>'Voucher Belanja KOKA'!O146</f>
        <v>0</v>
      </c>
      <c r="S148" s="28">
        <f t="shared" si="2"/>
        <v>800000</v>
      </c>
      <c r="T148" s="4"/>
    </row>
    <row r="149" spans="1:20" x14ac:dyDescent="0.2">
      <c r="A149" s="2">
        <v>142</v>
      </c>
      <c r="B149" s="23" t="s">
        <v>171</v>
      </c>
      <c r="C149" s="66"/>
      <c r="D149" s="67"/>
      <c r="E149" s="67"/>
      <c r="F149" s="68"/>
      <c r="G149" s="55">
        <f>'Voucher Belanja KOKA'!D147</f>
        <v>160000</v>
      </c>
      <c r="H149" s="55">
        <f>'Voucher Belanja KOKA'!E147</f>
        <v>160000</v>
      </c>
      <c r="I149" s="55">
        <f>'Voucher Belanja KOKA'!F147</f>
        <v>160000</v>
      </c>
      <c r="J149" s="55">
        <f>'Voucher Belanja KOKA'!G147</f>
        <v>160000</v>
      </c>
      <c r="K149" s="55">
        <f>'Voucher Belanja KOKA'!H147</f>
        <v>160000</v>
      </c>
      <c r="L149" s="55">
        <f>'Voucher Belanja KOKA'!I147</f>
        <v>0</v>
      </c>
      <c r="M149" s="55">
        <f>'Voucher Belanja KOKA'!J147</f>
        <v>0</v>
      </c>
      <c r="N149" s="55">
        <f>'Voucher Belanja KOKA'!K147</f>
        <v>0</v>
      </c>
      <c r="O149" s="55">
        <f>'Voucher Belanja KOKA'!L147</f>
        <v>0</v>
      </c>
      <c r="P149" s="55">
        <f>'Voucher Belanja KOKA'!M147</f>
        <v>0</v>
      </c>
      <c r="Q149" s="55">
        <f>'Voucher Belanja KOKA'!N147</f>
        <v>0</v>
      </c>
      <c r="R149" s="55">
        <f>'Voucher Belanja KOKA'!O147</f>
        <v>0</v>
      </c>
      <c r="S149" s="28">
        <f t="shared" si="2"/>
        <v>800000</v>
      </c>
      <c r="T149" s="4"/>
    </row>
    <row r="150" spans="1:20" x14ac:dyDescent="0.2">
      <c r="A150" s="2">
        <v>143</v>
      </c>
      <c r="B150" s="29" t="s">
        <v>172</v>
      </c>
      <c r="C150" s="72"/>
      <c r="D150" s="58"/>
      <c r="E150" s="58"/>
      <c r="F150" s="73"/>
      <c r="G150" s="55">
        <f>'Voucher Belanja KOKA'!D148</f>
        <v>160000</v>
      </c>
      <c r="H150" s="55">
        <f>'Voucher Belanja KOKA'!E148</f>
        <v>160000</v>
      </c>
      <c r="I150" s="55">
        <f>'Voucher Belanja KOKA'!F148</f>
        <v>160000</v>
      </c>
      <c r="J150" s="55">
        <f>'Voucher Belanja KOKA'!G148</f>
        <v>160000</v>
      </c>
      <c r="K150" s="55">
        <f>'Voucher Belanja KOKA'!H148</f>
        <v>160000</v>
      </c>
      <c r="L150" s="55">
        <f>'Voucher Belanja KOKA'!I148</f>
        <v>0</v>
      </c>
      <c r="M150" s="55">
        <f>'Voucher Belanja KOKA'!J148</f>
        <v>0</v>
      </c>
      <c r="N150" s="55">
        <f>'Voucher Belanja KOKA'!K148</f>
        <v>0</v>
      </c>
      <c r="O150" s="55">
        <f>'Voucher Belanja KOKA'!L148</f>
        <v>0</v>
      </c>
      <c r="P150" s="55">
        <f>'Voucher Belanja KOKA'!M148</f>
        <v>0</v>
      </c>
      <c r="Q150" s="55">
        <f>'Voucher Belanja KOKA'!N148</f>
        <v>0</v>
      </c>
      <c r="R150" s="55">
        <f>'Voucher Belanja KOKA'!O148</f>
        <v>0</v>
      </c>
      <c r="S150" s="28">
        <f t="shared" si="2"/>
        <v>800000</v>
      </c>
      <c r="T150" s="4"/>
    </row>
    <row r="151" spans="1:20" x14ac:dyDescent="0.2">
      <c r="A151" s="2">
        <v>144</v>
      </c>
      <c r="B151" s="29" t="s">
        <v>173</v>
      </c>
      <c r="C151" s="72"/>
      <c r="D151" s="58"/>
      <c r="E151" s="58"/>
      <c r="F151" s="73"/>
      <c r="G151" s="55">
        <f>'Voucher Belanja KOKA'!D149</f>
        <v>160000</v>
      </c>
      <c r="H151" s="55">
        <f>'Voucher Belanja KOKA'!E149</f>
        <v>160000</v>
      </c>
      <c r="I151" s="55">
        <f>'Voucher Belanja KOKA'!F149</f>
        <v>160000</v>
      </c>
      <c r="J151" s="55">
        <f>'Voucher Belanja KOKA'!G149+'Pinjaman Daging Event Lebaran'!P12</f>
        <v>348666.66666666663</v>
      </c>
      <c r="K151" s="55">
        <f>'Voucher Belanja KOKA'!H149+'Pinjaman Daging Event Lebaran'!Q12</f>
        <v>348666.66666666663</v>
      </c>
      <c r="L151" s="55">
        <f>'Voucher Belanja KOKA'!I149+'Pinjaman Daging Event Lebaran'!R12</f>
        <v>188666.66666666666</v>
      </c>
      <c r="M151" s="55">
        <f>'Voucher Belanja KOKA'!J149+'Pinjaman Daging Event Lebaran'!S12</f>
        <v>0</v>
      </c>
      <c r="N151" s="55">
        <f>'Voucher Belanja KOKA'!K149+'Pinjaman Daging Event Lebaran'!T12</f>
        <v>0</v>
      </c>
      <c r="O151" s="55">
        <f>'Voucher Belanja KOKA'!L149+'Pinjaman Daging Event Lebaran'!U12</f>
        <v>0</v>
      </c>
      <c r="P151" s="55">
        <f>'Voucher Belanja KOKA'!M149+'Pinjaman Daging Event Lebaran'!V12</f>
        <v>0</v>
      </c>
      <c r="Q151" s="55">
        <f>'Voucher Belanja KOKA'!N149+'Pinjaman Daging Event Lebaran'!W12</f>
        <v>0</v>
      </c>
      <c r="R151" s="55">
        <f>'Voucher Belanja KOKA'!O149+'Pinjaman Daging Event Lebaran'!X12</f>
        <v>0</v>
      </c>
      <c r="S151" s="28">
        <f t="shared" si="2"/>
        <v>1366000</v>
      </c>
      <c r="T151" s="4"/>
    </row>
    <row r="152" spans="1:20" x14ac:dyDescent="0.2">
      <c r="A152" s="2">
        <v>145</v>
      </c>
      <c r="B152" s="29" t="s">
        <v>174</v>
      </c>
      <c r="C152" s="72"/>
      <c r="D152" s="58"/>
      <c r="E152" s="58"/>
      <c r="F152" s="73"/>
      <c r="G152" s="55">
        <f>'Voucher Belanja KOKA'!D150</f>
        <v>160000</v>
      </c>
      <c r="H152" s="55">
        <f>'Voucher Belanja KOKA'!E150</f>
        <v>160000</v>
      </c>
      <c r="I152" s="55">
        <f>'Voucher Belanja KOKA'!F150</f>
        <v>160000</v>
      </c>
      <c r="J152" s="55">
        <f>'Voucher Belanja KOKA'!G150+'Pinjaman Daging Event Lebaran'!P7</f>
        <v>301500</v>
      </c>
      <c r="K152" s="55">
        <f>'Voucher Belanja KOKA'!H150+'Pinjaman Daging Event Lebaran'!Q7</f>
        <v>301500</v>
      </c>
      <c r="L152" s="55">
        <f>'Voucher Belanja KOKA'!I150+'Pinjaman Daging Event Lebaran'!R7</f>
        <v>141500</v>
      </c>
      <c r="M152" s="55">
        <f>'Voucher Belanja KOKA'!J150+'Pinjaman Daging Event Lebaran'!S7</f>
        <v>0</v>
      </c>
      <c r="N152" s="55">
        <f>'Voucher Belanja KOKA'!K150+'Pinjaman Daging Event Lebaran'!T7</f>
        <v>0</v>
      </c>
      <c r="O152" s="55">
        <f>'Voucher Belanja KOKA'!L150+'Pinjaman Daging Event Lebaran'!U7</f>
        <v>0</v>
      </c>
      <c r="P152" s="55">
        <f>'Voucher Belanja KOKA'!M150+'Pinjaman Daging Event Lebaran'!V7</f>
        <v>0</v>
      </c>
      <c r="Q152" s="55">
        <f>'Voucher Belanja KOKA'!N150+'Pinjaman Daging Event Lebaran'!W7</f>
        <v>0</v>
      </c>
      <c r="R152" s="55">
        <f>'Voucher Belanja KOKA'!O150+'Pinjaman Daging Event Lebaran'!X7</f>
        <v>0</v>
      </c>
      <c r="S152" s="28">
        <f t="shared" si="2"/>
        <v>1224500</v>
      </c>
      <c r="T152" s="4"/>
    </row>
    <row r="153" spans="1:20" x14ac:dyDescent="0.2">
      <c r="A153" s="2">
        <v>146</v>
      </c>
      <c r="B153" s="29" t="s">
        <v>175</v>
      </c>
      <c r="C153" s="59"/>
      <c r="D153" s="58"/>
      <c r="E153" s="58"/>
      <c r="F153" s="73"/>
      <c r="G153" s="55">
        <f>'Voucher Belanja KOKA'!D151+'Pinjaman Barang Sekunder'!K7</f>
        <v>520000</v>
      </c>
      <c r="H153" s="55">
        <f>'Voucher Belanja KOKA'!E151+'Pinjaman Barang Sekunder'!L7</f>
        <v>520000</v>
      </c>
      <c r="I153" s="55">
        <f>'Voucher Belanja KOKA'!F151+'Pinjaman Barang Sekunder'!M7</f>
        <v>520000</v>
      </c>
      <c r="J153" s="55">
        <f>'Voucher Belanja KOKA'!G151+'Pinjaman Barang Sekunder'!N7</f>
        <v>160000</v>
      </c>
      <c r="K153" s="55">
        <f>'Voucher Belanja KOKA'!H151+'Pinjaman Barang Sekunder'!O7</f>
        <v>160000</v>
      </c>
      <c r="L153" s="55">
        <f>'Voucher Belanja KOKA'!I151+'Pinjaman Barang Sekunder'!P7</f>
        <v>0</v>
      </c>
      <c r="M153" s="55">
        <f>'Voucher Belanja KOKA'!J151+'Pinjaman Barang Sekunder'!Q7</f>
        <v>0</v>
      </c>
      <c r="N153" s="55">
        <f>'Voucher Belanja KOKA'!K151+'Pinjaman Barang Sekunder'!R7</f>
        <v>0</v>
      </c>
      <c r="O153" s="55">
        <f>'Voucher Belanja KOKA'!L151+'Pinjaman Barang Sekunder'!S7</f>
        <v>0</v>
      </c>
      <c r="P153" s="55">
        <f>'Voucher Belanja KOKA'!M151+'Pinjaman Barang Sekunder'!T7</f>
        <v>0</v>
      </c>
      <c r="Q153" s="55">
        <f>'Voucher Belanja KOKA'!N151+'Pinjaman Barang Sekunder'!U7</f>
        <v>0</v>
      </c>
      <c r="R153" s="55">
        <f>'Voucher Belanja KOKA'!O151+'Pinjaman Barang Sekunder'!V7</f>
        <v>0</v>
      </c>
      <c r="S153" s="28">
        <f t="shared" si="2"/>
        <v>1880000</v>
      </c>
      <c r="T153" s="4"/>
    </row>
    <row r="154" spans="1:20" x14ac:dyDescent="0.2">
      <c r="A154" s="2">
        <v>147</v>
      </c>
      <c r="B154" s="29" t="s">
        <v>176</v>
      </c>
      <c r="C154" s="72"/>
      <c r="D154" s="58"/>
      <c r="E154" s="58"/>
      <c r="F154" s="73"/>
      <c r="G154" s="55">
        <f>'Voucher Belanja KOKA'!D152</f>
        <v>160000</v>
      </c>
      <c r="H154" s="55">
        <f>'Voucher Belanja KOKA'!E152</f>
        <v>160000</v>
      </c>
      <c r="I154" s="55">
        <f>'Voucher Belanja KOKA'!F152</f>
        <v>160000</v>
      </c>
      <c r="J154" s="55">
        <f>'Voucher Belanja KOKA'!G152</f>
        <v>160000</v>
      </c>
      <c r="K154" s="55">
        <f>'Voucher Belanja KOKA'!H152</f>
        <v>160000</v>
      </c>
      <c r="L154" s="55">
        <f>'Voucher Belanja KOKA'!I152</f>
        <v>0</v>
      </c>
      <c r="M154" s="55">
        <f>'Voucher Belanja KOKA'!J152</f>
        <v>0</v>
      </c>
      <c r="N154" s="55">
        <f>'Voucher Belanja KOKA'!K152</f>
        <v>0</v>
      </c>
      <c r="O154" s="55">
        <f>'Voucher Belanja KOKA'!L152</f>
        <v>0</v>
      </c>
      <c r="P154" s="55">
        <f>'Voucher Belanja KOKA'!M152</f>
        <v>0</v>
      </c>
      <c r="Q154" s="55">
        <f>'Voucher Belanja KOKA'!N152</f>
        <v>0</v>
      </c>
      <c r="R154" s="55">
        <f>'Voucher Belanja KOKA'!O152</f>
        <v>0</v>
      </c>
      <c r="S154" s="28">
        <f t="shared" si="2"/>
        <v>800000</v>
      </c>
      <c r="T154" s="4"/>
    </row>
    <row r="155" spans="1:20" x14ac:dyDescent="0.2">
      <c r="A155" s="2">
        <v>148</v>
      </c>
      <c r="B155" s="29" t="s">
        <v>177</v>
      </c>
      <c r="C155" s="72"/>
      <c r="D155" s="58"/>
      <c r="E155" s="58"/>
      <c r="F155" s="73"/>
      <c r="G155" s="55">
        <f>'Voucher Belanja KOKA'!D153</f>
        <v>160000</v>
      </c>
      <c r="H155" s="55">
        <f>'Voucher Belanja KOKA'!E153</f>
        <v>160000</v>
      </c>
      <c r="I155" s="55">
        <f>'Voucher Belanja KOKA'!F153</f>
        <v>160000</v>
      </c>
      <c r="J155" s="55">
        <f>'Voucher Belanja KOKA'!G153</f>
        <v>160000</v>
      </c>
      <c r="K155" s="55">
        <f>'Voucher Belanja KOKA'!H153</f>
        <v>160000</v>
      </c>
      <c r="L155" s="55">
        <f>'Voucher Belanja KOKA'!I153</f>
        <v>0</v>
      </c>
      <c r="M155" s="55">
        <f>'Voucher Belanja KOKA'!J153</f>
        <v>0</v>
      </c>
      <c r="N155" s="55">
        <f>'Voucher Belanja KOKA'!K153</f>
        <v>0</v>
      </c>
      <c r="O155" s="55">
        <f>'Voucher Belanja KOKA'!L153</f>
        <v>0</v>
      </c>
      <c r="P155" s="55">
        <f>'Voucher Belanja KOKA'!M153</f>
        <v>0</v>
      </c>
      <c r="Q155" s="55">
        <f>'Voucher Belanja KOKA'!N153</f>
        <v>0</v>
      </c>
      <c r="R155" s="55">
        <f>'Voucher Belanja KOKA'!O153</f>
        <v>0</v>
      </c>
      <c r="S155" s="28">
        <f t="shared" si="2"/>
        <v>800000</v>
      </c>
      <c r="T155" s="4"/>
    </row>
    <row r="156" spans="1:20" x14ac:dyDescent="0.2">
      <c r="A156" s="2">
        <v>149</v>
      </c>
      <c r="B156" s="29" t="s">
        <v>186</v>
      </c>
      <c r="C156" s="72"/>
      <c r="D156" s="58"/>
      <c r="E156" s="58"/>
      <c r="F156" s="73"/>
      <c r="G156" s="55">
        <f>'Voucher Belanja KOKA'!D154</f>
        <v>135000</v>
      </c>
      <c r="H156" s="55">
        <f>'Voucher Belanja KOKA'!E154</f>
        <v>135000</v>
      </c>
      <c r="I156" s="55">
        <f>'Voucher Belanja KOKA'!F154</f>
        <v>0</v>
      </c>
      <c r="J156" s="55">
        <f>'Voucher Belanja KOKA'!G154</f>
        <v>0</v>
      </c>
      <c r="K156" s="55">
        <f>'Voucher Belanja KOKA'!H154</f>
        <v>0</v>
      </c>
      <c r="L156" s="55">
        <f>'Voucher Belanja KOKA'!I154</f>
        <v>0</v>
      </c>
      <c r="M156" s="55">
        <f>'Voucher Belanja KOKA'!J154</f>
        <v>0</v>
      </c>
      <c r="N156" s="55">
        <f>'Voucher Belanja KOKA'!K154</f>
        <v>0</v>
      </c>
      <c r="O156" s="55">
        <f>'Voucher Belanja KOKA'!L154</f>
        <v>0</v>
      </c>
      <c r="P156" s="55">
        <f>'Voucher Belanja KOKA'!M154</f>
        <v>0</v>
      </c>
      <c r="Q156" s="55">
        <f>'Voucher Belanja KOKA'!N154</f>
        <v>0</v>
      </c>
      <c r="R156" s="55">
        <f>'Voucher Belanja KOKA'!O154</f>
        <v>0</v>
      </c>
      <c r="S156" s="28">
        <f t="shared" si="2"/>
        <v>270000</v>
      </c>
      <c r="T156" s="4"/>
    </row>
    <row r="157" spans="1:20" x14ac:dyDescent="0.2">
      <c r="A157" s="2">
        <v>150</v>
      </c>
      <c r="B157" s="6" t="s">
        <v>187</v>
      </c>
      <c r="C157" s="58"/>
      <c r="D157" s="58"/>
      <c r="E157" s="58"/>
      <c r="F157" s="58"/>
      <c r="G157" s="55">
        <f>'Voucher Belanja KOKA'!D155</f>
        <v>160000</v>
      </c>
      <c r="H157" s="55">
        <f>'Voucher Belanja KOKA'!E155</f>
        <v>160000</v>
      </c>
      <c r="I157" s="55">
        <f>'Voucher Belanja KOKA'!F155</f>
        <v>160000</v>
      </c>
      <c r="J157" s="55">
        <f>'Voucher Belanja KOKA'!G155</f>
        <v>160000</v>
      </c>
      <c r="K157" s="55">
        <f>'Voucher Belanja KOKA'!H155</f>
        <v>160000</v>
      </c>
      <c r="L157" s="55">
        <f>'Voucher Belanja KOKA'!I155</f>
        <v>0</v>
      </c>
      <c r="M157" s="55">
        <f>'Voucher Belanja KOKA'!J155</f>
        <v>0</v>
      </c>
      <c r="N157" s="55">
        <f>'Voucher Belanja KOKA'!K155</f>
        <v>0</v>
      </c>
      <c r="O157" s="55">
        <f>'Voucher Belanja KOKA'!L155</f>
        <v>0</v>
      </c>
      <c r="P157" s="55">
        <f>'Voucher Belanja KOKA'!M155</f>
        <v>0</v>
      </c>
      <c r="Q157" s="55">
        <f>'Voucher Belanja KOKA'!N155</f>
        <v>0</v>
      </c>
      <c r="R157" s="55">
        <f>'Voucher Belanja KOKA'!O155</f>
        <v>0</v>
      </c>
      <c r="S157" s="28">
        <f t="shared" si="2"/>
        <v>800000</v>
      </c>
      <c r="T157" s="4"/>
    </row>
    <row r="158" spans="1:20" x14ac:dyDescent="0.2">
      <c r="A158" s="2">
        <v>151</v>
      </c>
      <c r="B158" s="6" t="s">
        <v>189</v>
      </c>
      <c r="C158" s="58"/>
      <c r="D158" s="58"/>
      <c r="E158" s="58"/>
      <c r="F158" s="58"/>
      <c r="G158" s="55">
        <f>'Voucher Belanja KOKA'!D156</f>
        <v>135000</v>
      </c>
      <c r="H158" s="55">
        <f>'Voucher Belanja KOKA'!E156</f>
        <v>135000</v>
      </c>
      <c r="I158" s="55">
        <f>'Voucher Belanja KOKA'!F156</f>
        <v>135000</v>
      </c>
      <c r="J158" s="55">
        <f>'Voucher Belanja KOKA'!G156</f>
        <v>0</v>
      </c>
      <c r="K158" s="55">
        <f>'Voucher Belanja KOKA'!H156</f>
        <v>135000</v>
      </c>
      <c r="L158" s="55">
        <f>'Voucher Belanja KOKA'!I156</f>
        <v>0</v>
      </c>
      <c r="M158" s="55">
        <f>'Voucher Belanja KOKA'!J156</f>
        <v>0</v>
      </c>
      <c r="N158" s="55">
        <f>'Voucher Belanja KOKA'!K156</f>
        <v>0</v>
      </c>
      <c r="O158" s="55">
        <f>'Voucher Belanja KOKA'!L156</f>
        <v>0</v>
      </c>
      <c r="P158" s="55">
        <f>'Voucher Belanja KOKA'!M156</f>
        <v>0</v>
      </c>
      <c r="Q158" s="55">
        <f>'Voucher Belanja KOKA'!N156</f>
        <v>0</v>
      </c>
      <c r="R158" s="55">
        <f>'Voucher Belanja KOKA'!O156</f>
        <v>0</v>
      </c>
      <c r="S158" s="28">
        <f t="shared" si="2"/>
        <v>540000</v>
      </c>
      <c r="T158" s="4"/>
    </row>
    <row r="159" spans="1:20" x14ac:dyDescent="0.2">
      <c r="A159" s="2">
        <v>152</v>
      </c>
      <c r="B159" s="87" t="s">
        <v>188</v>
      </c>
      <c r="C159" s="72"/>
      <c r="D159" s="58"/>
      <c r="E159" s="58"/>
      <c r="F159" s="73"/>
      <c r="G159" s="55">
        <f>'Voucher Belanja KOKA'!D157</f>
        <v>135000</v>
      </c>
      <c r="H159" s="55">
        <f>'Voucher Belanja KOKA'!E157</f>
        <v>135000</v>
      </c>
      <c r="I159" s="55">
        <f>'Voucher Belanja KOKA'!F157</f>
        <v>135000</v>
      </c>
      <c r="J159" s="55">
        <f>'Voucher Belanja KOKA'!G157</f>
        <v>0</v>
      </c>
      <c r="K159" s="55">
        <f>'Voucher Belanja KOKA'!H157</f>
        <v>135000</v>
      </c>
      <c r="L159" s="55">
        <f>'Voucher Belanja KOKA'!I157</f>
        <v>0</v>
      </c>
      <c r="M159" s="55">
        <f>'Voucher Belanja KOKA'!J157</f>
        <v>0</v>
      </c>
      <c r="N159" s="55">
        <f>'Voucher Belanja KOKA'!K157</f>
        <v>0</v>
      </c>
      <c r="O159" s="55">
        <f>'Voucher Belanja KOKA'!L157</f>
        <v>0</v>
      </c>
      <c r="P159" s="55">
        <f>'Voucher Belanja KOKA'!M157</f>
        <v>0</v>
      </c>
      <c r="Q159" s="55">
        <f>'Voucher Belanja KOKA'!N157</f>
        <v>0</v>
      </c>
      <c r="R159" s="55">
        <f>'Voucher Belanja KOKA'!O157</f>
        <v>0</v>
      </c>
      <c r="S159" s="28">
        <f t="shared" si="2"/>
        <v>540000</v>
      </c>
      <c r="T159" s="4"/>
    </row>
    <row r="160" spans="1:20" x14ac:dyDescent="0.2">
      <c r="A160" s="2">
        <v>153</v>
      </c>
      <c r="B160" s="87" t="s">
        <v>214</v>
      </c>
      <c r="C160" s="88"/>
      <c r="D160" s="89"/>
      <c r="E160" s="89"/>
      <c r="F160" s="90"/>
      <c r="G160" s="55">
        <f>'Voucher Belanja KOKA'!D158</f>
        <v>0</v>
      </c>
      <c r="H160" s="55">
        <f>'Voucher Belanja KOKA'!E158</f>
        <v>0</v>
      </c>
      <c r="I160" s="55">
        <f>'Voucher Belanja KOKA'!F158</f>
        <v>0</v>
      </c>
      <c r="J160" s="55">
        <f>'Voucher Belanja KOKA'!G158</f>
        <v>0</v>
      </c>
      <c r="K160" s="55">
        <f>'Voucher Belanja KOKA'!H158</f>
        <v>135000</v>
      </c>
      <c r="L160" s="55">
        <f>'Voucher Belanja KOKA'!I158</f>
        <v>0</v>
      </c>
      <c r="M160" s="55">
        <f>'Voucher Belanja KOKA'!J158</f>
        <v>0</v>
      </c>
      <c r="N160" s="55">
        <f>'Voucher Belanja KOKA'!K158</f>
        <v>0</v>
      </c>
      <c r="O160" s="55">
        <f>'Voucher Belanja KOKA'!L158</f>
        <v>0</v>
      </c>
      <c r="P160" s="55">
        <f>'Voucher Belanja KOKA'!M158</f>
        <v>0</v>
      </c>
      <c r="Q160" s="55">
        <f>'Voucher Belanja KOKA'!N158</f>
        <v>0</v>
      </c>
      <c r="R160" s="55">
        <f>'Voucher Belanja KOKA'!O158</f>
        <v>0</v>
      </c>
      <c r="S160" s="28">
        <f t="shared" si="2"/>
        <v>135000</v>
      </c>
      <c r="T160" s="4"/>
    </row>
    <row r="162" spans="7:19" x14ac:dyDescent="0.2">
      <c r="G162" s="31">
        <f>SUM(G8:G160)</f>
        <v>28887520</v>
      </c>
      <c r="H162" s="31">
        <f t="shared" ref="H162:R162" si="3">SUM(H8:H160)</f>
        <v>28126975</v>
      </c>
      <c r="I162" s="31">
        <f t="shared" si="3"/>
        <v>28926365</v>
      </c>
      <c r="J162" s="31">
        <f t="shared" si="3"/>
        <v>18172633.333333336</v>
      </c>
      <c r="K162" s="31">
        <f t="shared" si="3"/>
        <v>29936883.333333328</v>
      </c>
      <c r="L162" s="31">
        <f t="shared" si="3"/>
        <v>5993133.3333333321</v>
      </c>
      <c r="M162" s="31">
        <f t="shared" si="3"/>
        <v>3568600</v>
      </c>
      <c r="N162" s="31">
        <f t="shared" si="3"/>
        <v>3143670</v>
      </c>
      <c r="O162" s="31">
        <f t="shared" si="3"/>
        <v>0</v>
      </c>
      <c r="P162" s="31">
        <f t="shared" si="3"/>
        <v>0</v>
      </c>
      <c r="Q162" s="31">
        <f t="shared" si="3"/>
        <v>0</v>
      </c>
      <c r="R162" s="31">
        <f t="shared" si="3"/>
        <v>0</v>
      </c>
      <c r="S162" s="31">
        <f>SUM(S8:S160)</f>
        <v>146755780</v>
      </c>
    </row>
    <row r="166" spans="7:19" x14ac:dyDescent="0.2"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</row>
  </sheetData>
  <mergeCells count="5">
    <mergeCell ref="A5:A6"/>
    <mergeCell ref="B5:B6"/>
    <mergeCell ref="G5:R5"/>
    <mergeCell ref="S5:S6"/>
    <mergeCell ref="C5:F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Pinjaman Barang Sekunder</vt:lpstr>
      <vt:lpstr>Sheet1</vt:lpstr>
      <vt:lpstr>Jaket Touring</vt:lpstr>
      <vt:lpstr>Pinjaman Barang Primer</vt:lpstr>
      <vt:lpstr>Pinjaman Barang Primer Harian</vt:lpstr>
      <vt:lpstr>Pinjaman Daging Event Lebaran</vt:lpstr>
      <vt:lpstr>Voucher Belanja KOKA</vt:lpstr>
      <vt:lpstr>Rekapan Untuk Ikrom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amri</dc:creator>
  <cp:lastModifiedBy>abdul cahyo</cp:lastModifiedBy>
  <cp:lastPrinted>2026-07-13T08:30:20Z</cp:lastPrinted>
  <dcterms:created xsi:type="dcterms:W3CDTF">2025-05-06T08:17:54Z</dcterms:created>
  <dcterms:modified xsi:type="dcterms:W3CDTF">2026-09-03T04:52:24Z</dcterms:modified>
</cp:coreProperties>
</file>