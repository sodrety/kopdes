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7ad42cac66f58306/01. Koprasi Dharma Jaya/"/>
    </mc:Choice>
  </mc:AlternateContent>
  <xr:revisionPtr revIDLastSave="1311" documentId="13_ncr:20001_{1C98A0B3-CECA-DF48-BAD7-998E12B43A03}" xr6:coauthVersionLast="47" xr6:coauthVersionMax="47" xr10:uidLastSave="{F696E2D9-1631-7642-A151-E6C1E35ACE7A}"/>
  <bookViews>
    <workbookView xWindow="0" yWindow="660" windowWidth="29400" windowHeight="18460" activeTab="4" xr2:uid="{00000000-000D-0000-FFFF-FFFF00000000}"/>
  </bookViews>
  <sheets>
    <sheet name="00_Petunjuk" sheetId="1" r:id="rId1"/>
    <sheet name="01_Anggota" sheetId="2" r:id="rId2"/>
    <sheet name="03_Simpanan" sheetId="4" r:id="rId3"/>
    <sheet name="04_Pinjaman" sheetId="5" r:id="rId4"/>
    <sheet name="05_Angsuran" sheetId="6" r:id="rId5"/>
    <sheet name="08_Pemeriksaan" sheetId="9" r:id="rId6"/>
    <sheet name="09_Contoh_Isian" sheetId="10" r:id="rId7"/>
  </sheets>
  <definedNames>
    <definedName name="_xlnm._FilterDatabase" localSheetId="1" hidden="1">'01_Anggota'!$C$214:$G$1212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B14" i="9"/>
  <c r="B13" i="9"/>
  <c r="C49" i="5"/>
  <c r="G44" i="5"/>
  <c r="C44" i="5"/>
  <c r="G38" i="5"/>
  <c r="C38" i="5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B8" i="9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19" i="6"/>
  <c r="C19" i="6"/>
  <c r="D18" i="6"/>
  <c r="C18" i="6"/>
  <c r="D17" i="6"/>
  <c r="C17" i="6"/>
  <c r="D16" i="6"/>
  <c r="C16" i="6"/>
  <c r="C9" i="5"/>
  <c r="C8" i="5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9" i="5"/>
  <c r="G40" i="5"/>
  <c r="G41" i="5"/>
  <c r="G42" i="5"/>
  <c r="G43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B11" i="9" s="1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B12" i="9"/>
  <c r="B10" i="9"/>
  <c r="B7" i="9"/>
  <c r="B6" i="9"/>
  <c r="B5" i="9"/>
  <c r="D1004" i="6"/>
  <c r="C1004" i="6"/>
  <c r="A1004" i="6"/>
  <c r="D1003" i="6"/>
  <c r="C1003" i="6"/>
  <c r="A1003" i="6"/>
  <c r="D1002" i="6"/>
  <c r="C1002" i="6"/>
  <c r="A1002" i="6"/>
  <c r="D1001" i="6"/>
  <c r="C1001" i="6"/>
  <c r="A1001" i="6"/>
  <c r="D1000" i="6"/>
  <c r="C1000" i="6"/>
  <c r="A1000" i="6"/>
  <c r="D999" i="6"/>
  <c r="C999" i="6"/>
  <c r="A999" i="6"/>
  <c r="D998" i="6"/>
  <c r="C998" i="6"/>
  <c r="A998" i="6"/>
  <c r="D997" i="6"/>
  <c r="C997" i="6"/>
  <c r="A997" i="6"/>
  <c r="D996" i="6"/>
  <c r="C996" i="6"/>
  <c r="A996" i="6"/>
  <c r="D995" i="6"/>
  <c r="C995" i="6"/>
  <c r="A995" i="6"/>
  <c r="D994" i="6"/>
  <c r="C994" i="6"/>
  <c r="A994" i="6"/>
  <c r="D993" i="6"/>
  <c r="C993" i="6"/>
  <c r="A993" i="6"/>
  <c r="D992" i="6"/>
  <c r="C992" i="6"/>
  <c r="A992" i="6"/>
  <c r="D991" i="6"/>
  <c r="C991" i="6"/>
  <c r="A991" i="6"/>
  <c r="D990" i="6"/>
  <c r="C990" i="6"/>
  <c r="A990" i="6"/>
  <c r="D989" i="6"/>
  <c r="C989" i="6"/>
  <c r="A989" i="6"/>
  <c r="D988" i="6"/>
  <c r="C988" i="6"/>
  <c r="A988" i="6"/>
  <c r="D987" i="6"/>
  <c r="C987" i="6"/>
  <c r="A987" i="6"/>
  <c r="D986" i="6"/>
  <c r="C986" i="6"/>
  <c r="A986" i="6"/>
  <c r="D985" i="6"/>
  <c r="C985" i="6"/>
  <c r="A985" i="6"/>
  <c r="D984" i="6"/>
  <c r="C984" i="6"/>
  <c r="A984" i="6"/>
  <c r="D983" i="6"/>
  <c r="C983" i="6"/>
  <c r="A983" i="6"/>
  <c r="D982" i="6"/>
  <c r="C982" i="6"/>
  <c r="A982" i="6"/>
  <c r="D981" i="6"/>
  <c r="C981" i="6"/>
  <c r="A981" i="6"/>
  <c r="D980" i="6"/>
  <c r="C980" i="6"/>
  <c r="A980" i="6"/>
  <c r="D979" i="6"/>
  <c r="C979" i="6"/>
  <c r="A979" i="6"/>
  <c r="D978" i="6"/>
  <c r="C978" i="6"/>
  <c r="A978" i="6"/>
  <c r="D977" i="6"/>
  <c r="C977" i="6"/>
  <c r="A977" i="6"/>
  <c r="D976" i="6"/>
  <c r="C976" i="6"/>
  <c r="A976" i="6"/>
  <c r="D975" i="6"/>
  <c r="C975" i="6"/>
  <c r="A975" i="6"/>
  <c r="D974" i="6"/>
  <c r="C974" i="6"/>
  <c r="A974" i="6"/>
  <c r="D973" i="6"/>
  <c r="C973" i="6"/>
  <c r="A973" i="6"/>
  <c r="D972" i="6"/>
  <c r="C972" i="6"/>
  <c r="A972" i="6"/>
  <c r="D971" i="6"/>
  <c r="C971" i="6"/>
  <c r="A971" i="6"/>
  <c r="D970" i="6"/>
  <c r="C970" i="6"/>
  <c r="A970" i="6"/>
  <c r="D969" i="6"/>
  <c r="C969" i="6"/>
  <c r="A969" i="6"/>
  <c r="D968" i="6"/>
  <c r="C968" i="6"/>
  <c r="A968" i="6"/>
  <c r="D967" i="6"/>
  <c r="C967" i="6"/>
  <c r="A967" i="6"/>
  <c r="D966" i="6"/>
  <c r="C966" i="6"/>
  <c r="A966" i="6"/>
  <c r="D965" i="6"/>
  <c r="C965" i="6"/>
  <c r="A965" i="6"/>
  <c r="D964" i="6"/>
  <c r="C964" i="6"/>
  <c r="A964" i="6"/>
  <c r="D963" i="6"/>
  <c r="C963" i="6"/>
  <c r="A963" i="6"/>
  <c r="D962" i="6"/>
  <c r="C962" i="6"/>
  <c r="A962" i="6"/>
  <c r="D961" i="6"/>
  <c r="C961" i="6"/>
  <c r="A961" i="6"/>
  <c r="D960" i="6"/>
  <c r="C960" i="6"/>
  <c r="A960" i="6"/>
  <c r="D959" i="6"/>
  <c r="C959" i="6"/>
  <c r="A959" i="6"/>
  <c r="D958" i="6"/>
  <c r="C958" i="6"/>
  <c r="A958" i="6"/>
  <c r="D957" i="6"/>
  <c r="C957" i="6"/>
  <c r="A957" i="6"/>
  <c r="D956" i="6"/>
  <c r="C956" i="6"/>
  <c r="A956" i="6"/>
  <c r="D955" i="6"/>
  <c r="C955" i="6"/>
  <c r="A955" i="6"/>
  <c r="D954" i="6"/>
  <c r="C954" i="6"/>
  <c r="A954" i="6"/>
  <c r="D953" i="6"/>
  <c r="C953" i="6"/>
  <c r="A953" i="6"/>
  <c r="D952" i="6"/>
  <c r="C952" i="6"/>
  <c r="A952" i="6"/>
  <c r="D951" i="6"/>
  <c r="C951" i="6"/>
  <c r="A951" i="6"/>
  <c r="D950" i="6"/>
  <c r="C950" i="6"/>
  <c r="A950" i="6"/>
  <c r="D949" i="6"/>
  <c r="C949" i="6"/>
  <c r="A949" i="6"/>
  <c r="D948" i="6"/>
  <c r="C948" i="6"/>
  <c r="A948" i="6"/>
  <c r="D947" i="6"/>
  <c r="C947" i="6"/>
  <c r="A947" i="6"/>
  <c r="D946" i="6"/>
  <c r="C946" i="6"/>
  <c r="A946" i="6"/>
  <c r="D945" i="6"/>
  <c r="C945" i="6"/>
  <c r="A945" i="6"/>
  <c r="D944" i="6"/>
  <c r="C944" i="6"/>
  <c r="A944" i="6"/>
  <c r="D943" i="6"/>
  <c r="C943" i="6"/>
  <c r="A943" i="6"/>
  <c r="D942" i="6"/>
  <c r="C942" i="6"/>
  <c r="A942" i="6"/>
  <c r="D941" i="6"/>
  <c r="C941" i="6"/>
  <c r="A941" i="6"/>
  <c r="D940" i="6"/>
  <c r="C940" i="6"/>
  <c r="A940" i="6"/>
  <c r="D939" i="6"/>
  <c r="C939" i="6"/>
  <c r="A939" i="6"/>
  <c r="D938" i="6"/>
  <c r="C938" i="6"/>
  <c r="A938" i="6"/>
  <c r="D937" i="6"/>
  <c r="C937" i="6"/>
  <c r="A937" i="6"/>
  <c r="D936" i="6"/>
  <c r="C936" i="6"/>
  <c r="A936" i="6"/>
  <c r="D935" i="6"/>
  <c r="C935" i="6"/>
  <c r="A935" i="6"/>
  <c r="D934" i="6"/>
  <c r="C934" i="6"/>
  <c r="A934" i="6"/>
  <c r="D933" i="6"/>
  <c r="C933" i="6"/>
  <c r="A933" i="6"/>
  <c r="D932" i="6"/>
  <c r="C932" i="6"/>
  <c r="A932" i="6"/>
  <c r="D931" i="6"/>
  <c r="C931" i="6"/>
  <c r="A931" i="6"/>
  <c r="D930" i="6"/>
  <c r="C930" i="6"/>
  <c r="A930" i="6"/>
  <c r="D929" i="6"/>
  <c r="C929" i="6"/>
  <c r="A929" i="6"/>
  <c r="D928" i="6"/>
  <c r="C928" i="6"/>
  <c r="A928" i="6"/>
  <c r="D927" i="6"/>
  <c r="C927" i="6"/>
  <c r="A927" i="6"/>
  <c r="D926" i="6"/>
  <c r="C926" i="6"/>
  <c r="A926" i="6"/>
  <c r="D925" i="6"/>
  <c r="C925" i="6"/>
  <c r="A925" i="6"/>
  <c r="D924" i="6"/>
  <c r="C924" i="6"/>
  <c r="A924" i="6"/>
  <c r="D923" i="6"/>
  <c r="C923" i="6"/>
  <c r="A923" i="6"/>
  <c r="D922" i="6"/>
  <c r="C922" i="6"/>
  <c r="A922" i="6"/>
  <c r="D921" i="6"/>
  <c r="C921" i="6"/>
  <c r="A921" i="6"/>
  <c r="D920" i="6"/>
  <c r="C920" i="6"/>
  <c r="A920" i="6"/>
  <c r="D919" i="6"/>
  <c r="C919" i="6"/>
  <c r="A919" i="6"/>
  <c r="D918" i="6"/>
  <c r="C918" i="6"/>
  <c r="A918" i="6"/>
  <c r="D917" i="6"/>
  <c r="C917" i="6"/>
  <c r="A917" i="6"/>
  <c r="D916" i="6"/>
  <c r="C916" i="6"/>
  <c r="A916" i="6"/>
  <c r="D915" i="6"/>
  <c r="C915" i="6"/>
  <c r="A915" i="6"/>
  <c r="D914" i="6"/>
  <c r="C914" i="6"/>
  <c r="A914" i="6"/>
  <c r="D913" i="6"/>
  <c r="C913" i="6"/>
  <c r="A913" i="6"/>
  <c r="D912" i="6"/>
  <c r="C912" i="6"/>
  <c r="A912" i="6"/>
  <c r="D911" i="6"/>
  <c r="C911" i="6"/>
  <c r="A911" i="6"/>
  <c r="D910" i="6"/>
  <c r="C910" i="6"/>
  <c r="A910" i="6"/>
  <c r="D909" i="6"/>
  <c r="C909" i="6"/>
  <c r="A909" i="6"/>
  <c r="D908" i="6"/>
  <c r="C908" i="6"/>
  <c r="A908" i="6"/>
  <c r="D907" i="6"/>
  <c r="C907" i="6"/>
  <c r="A907" i="6"/>
  <c r="D906" i="6"/>
  <c r="C906" i="6"/>
  <c r="A906" i="6"/>
  <c r="D905" i="6"/>
  <c r="C905" i="6"/>
  <c r="A905" i="6"/>
  <c r="D904" i="6"/>
  <c r="C904" i="6"/>
  <c r="A904" i="6"/>
  <c r="D903" i="6"/>
  <c r="C903" i="6"/>
  <c r="A903" i="6"/>
  <c r="D902" i="6"/>
  <c r="C902" i="6"/>
  <c r="A902" i="6"/>
  <c r="D901" i="6"/>
  <c r="C901" i="6"/>
  <c r="A901" i="6"/>
  <c r="D900" i="6"/>
  <c r="C900" i="6"/>
  <c r="A900" i="6"/>
  <c r="D899" i="6"/>
  <c r="C899" i="6"/>
  <c r="A899" i="6"/>
  <c r="D898" i="6"/>
  <c r="C898" i="6"/>
  <c r="A898" i="6"/>
  <c r="D897" i="6"/>
  <c r="C897" i="6"/>
  <c r="A897" i="6"/>
  <c r="D896" i="6"/>
  <c r="C896" i="6"/>
  <c r="A896" i="6"/>
  <c r="D895" i="6"/>
  <c r="C895" i="6"/>
  <c r="A895" i="6"/>
  <c r="D894" i="6"/>
  <c r="C894" i="6"/>
  <c r="A894" i="6"/>
  <c r="D893" i="6"/>
  <c r="C893" i="6"/>
  <c r="A893" i="6"/>
  <c r="D892" i="6"/>
  <c r="C892" i="6"/>
  <c r="A892" i="6"/>
  <c r="D891" i="6"/>
  <c r="C891" i="6"/>
  <c r="A891" i="6"/>
  <c r="D890" i="6"/>
  <c r="C890" i="6"/>
  <c r="A890" i="6"/>
  <c r="D889" i="6"/>
  <c r="C889" i="6"/>
  <c r="A889" i="6"/>
  <c r="D888" i="6"/>
  <c r="C888" i="6"/>
  <c r="A888" i="6"/>
  <c r="D887" i="6"/>
  <c r="C887" i="6"/>
  <c r="A887" i="6"/>
  <c r="D886" i="6"/>
  <c r="C886" i="6"/>
  <c r="A886" i="6"/>
  <c r="D885" i="6"/>
  <c r="C885" i="6"/>
  <c r="A885" i="6"/>
  <c r="D884" i="6"/>
  <c r="C884" i="6"/>
  <c r="A884" i="6"/>
  <c r="D883" i="6"/>
  <c r="C883" i="6"/>
  <c r="A883" i="6"/>
  <c r="D882" i="6"/>
  <c r="C882" i="6"/>
  <c r="A882" i="6"/>
  <c r="D881" i="6"/>
  <c r="C881" i="6"/>
  <c r="A881" i="6"/>
  <c r="D880" i="6"/>
  <c r="C880" i="6"/>
  <c r="A880" i="6"/>
  <c r="D879" i="6"/>
  <c r="C879" i="6"/>
  <c r="A879" i="6"/>
  <c r="D878" i="6"/>
  <c r="C878" i="6"/>
  <c r="A878" i="6"/>
  <c r="D877" i="6"/>
  <c r="C877" i="6"/>
  <c r="A877" i="6"/>
  <c r="D876" i="6"/>
  <c r="C876" i="6"/>
  <c r="A876" i="6"/>
  <c r="D875" i="6"/>
  <c r="C875" i="6"/>
  <c r="A875" i="6"/>
  <c r="D874" i="6"/>
  <c r="C874" i="6"/>
  <c r="A874" i="6"/>
  <c r="D873" i="6"/>
  <c r="C873" i="6"/>
  <c r="A873" i="6"/>
  <c r="D872" i="6"/>
  <c r="C872" i="6"/>
  <c r="A872" i="6"/>
  <c r="D871" i="6"/>
  <c r="C871" i="6"/>
  <c r="A871" i="6"/>
  <c r="D870" i="6"/>
  <c r="C870" i="6"/>
  <c r="A870" i="6"/>
  <c r="D869" i="6"/>
  <c r="C869" i="6"/>
  <c r="A869" i="6"/>
  <c r="D868" i="6"/>
  <c r="C868" i="6"/>
  <c r="A868" i="6"/>
  <c r="D867" i="6"/>
  <c r="C867" i="6"/>
  <c r="A867" i="6"/>
  <c r="D866" i="6"/>
  <c r="C866" i="6"/>
  <c r="A866" i="6"/>
  <c r="D865" i="6"/>
  <c r="C865" i="6"/>
  <c r="A865" i="6"/>
  <c r="D864" i="6"/>
  <c r="C864" i="6"/>
  <c r="A864" i="6"/>
  <c r="D863" i="6"/>
  <c r="C863" i="6"/>
  <c r="A863" i="6"/>
  <c r="D862" i="6"/>
  <c r="C862" i="6"/>
  <c r="A862" i="6"/>
  <c r="D861" i="6"/>
  <c r="C861" i="6"/>
  <c r="A861" i="6"/>
  <c r="D860" i="6"/>
  <c r="C860" i="6"/>
  <c r="A860" i="6"/>
  <c r="D859" i="6"/>
  <c r="C859" i="6"/>
  <c r="A859" i="6"/>
  <c r="D858" i="6"/>
  <c r="C858" i="6"/>
  <c r="A858" i="6"/>
  <c r="D857" i="6"/>
  <c r="C857" i="6"/>
  <c r="A857" i="6"/>
  <c r="D856" i="6"/>
  <c r="C856" i="6"/>
  <c r="A856" i="6"/>
  <c r="D855" i="6"/>
  <c r="C855" i="6"/>
  <c r="A855" i="6"/>
  <c r="D854" i="6"/>
  <c r="C854" i="6"/>
  <c r="A854" i="6"/>
  <c r="D853" i="6"/>
  <c r="C853" i="6"/>
  <c r="A853" i="6"/>
  <c r="D852" i="6"/>
  <c r="C852" i="6"/>
  <c r="A852" i="6"/>
  <c r="D851" i="6"/>
  <c r="C851" i="6"/>
  <c r="A851" i="6"/>
  <c r="D850" i="6"/>
  <c r="C850" i="6"/>
  <c r="A850" i="6"/>
  <c r="D849" i="6"/>
  <c r="C849" i="6"/>
  <c r="A849" i="6"/>
  <c r="D848" i="6"/>
  <c r="C848" i="6"/>
  <c r="A848" i="6"/>
  <c r="D847" i="6"/>
  <c r="C847" i="6"/>
  <c r="A847" i="6"/>
  <c r="D846" i="6"/>
  <c r="C846" i="6"/>
  <c r="A846" i="6"/>
  <c r="D845" i="6"/>
  <c r="C845" i="6"/>
  <c r="A845" i="6"/>
  <c r="D844" i="6"/>
  <c r="C844" i="6"/>
  <c r="A844" i="6"/>
  <c r="D843" i="6"/>
  <c r="C843" i="6"/>
  <c r="A843" i="6"/>
  <c r="D842" i="6"/>
  <c r="C842" i="6"/>
  <c r="A842" i="6"/>
  <c r="D841" i="6"/>
  <c r="C841" i="6"/>
  <c r="A841" i="6"/>
  <c r="D840" i="6"/>
  <c r="C840" i="6"/>
  <c r="A840" i="6"/>
  <c r="D839" i="6"/>
  <c r="C839" i="6"/>
  <c r="A839" i="6"/>
  <c r="D838" i="6"/>
  <c r="C838" i="6"/>
  <c r="A838" i="6"/>
  <c r="D837" i="6"/>
  <c r="C837" i="6"/>
  <c r="A837" i="6"/>
  <c r="D836" i="6"/>
  <c r="C836" i="6"/>
  <c r="A836" i="6"/>
  <c r="D835" i="6"/>
  <c r="C835" i="6"/>
  <c r="A835" i="6"/>
  <c r="D834" i="6"/>
  <c r="C834" i="6"/>
  <c r="A834" i="6"/>
  <c r="D833" i="6"/>
  <c r="C833" i="6"/>
  <c r="A833" i="6"/>
  <c r="D832" i="6"/>
  <c r="C832" i="6"/>
  <c r="A832" i="6"/>
  <c r="D831" i="6"/>
  <c r="C831" i="6"/>
  <c r="A831" i="6"/>
  <c r="D830" i="6"/>
  <c r="C830" i="6"/>
  <c r="A830" i="6"/>
  <c r="D829" i="6"/>
  <c r="C829" i="6"/>
  <c r="A829" i="6"/>
  <c r="D828" i="6"/>
  <c r="C828" i="6"/>
  <c r="A828" i="6"/>
  <c r="D827" i="6"/>
  <c r="C827" i="6"/>
  <c r="A827" i="6"/>
  <c r="D826" i="6"/>
  <c r="C826" i="6"/>
  <c r="A826" i="6"/>
  <c r="D825" i="6"/>
  <c r="C825" i="6"/>
  <c r="A825" i="6"/>
  <c r="D824" i="6"/>
  <c r="C824" i="6"/>
  <c r="A824" i="6"/>
  <c r="D823" i="6"/>
  <c r="C823" i="6"/>
  <c r="A823" i="6"/>
  <c r="D822" i="6"/>
  <c r="C822" i="6"/>
  <c r="A822" i="6"/>
  <c r="D821" i="6"/>
  <c r="C821" i="6"/>
  <c r="A821" i="6"/>
  <c r="D820" i="6"/>
  <c r="C820" i="6"/>
  <c r="A820" i="6"/>
  <c r="D819" i="6"/>
  <c r="C819" i="6"/>
  <c r="A819" i="6"/>
  <c r="D818" i="6"/>
  <c r="C818" i="6"/>
  <c r="A818" i="6"/>
  <c r="D817" i="6"/>
  <c r="C817" i="6"/>
  <c r="A817" i="6"/>
  <c r="D816" i="6"/>
  <c r="C816" i="6"/>
  <c r="A816" i="6"/>
  <c r="D815" i="6"/>
  <c r="C815" i="6"/>
  <c r="A815" i="6"/>
  <c r="D814" i="6"/>
  <c r="C814" i="6"/>
  <c r="A814" i="6"/>
  <c r="D813" i="6"/>
  <c r="C813" i="6"/>
  <c r="A813" i="6"/>
  <c r="D812" i="6"/>
  <c r="C812" i="6"/>
  <c r="A812" i="6"/>
  <c r="D811" i="6"/>
  <c r="C811" i="6"/>
  <c r="A811" i="6"/>
  <c r="D810" i="6"/>
  <c r="C810" i="6"/>
  <c r="A810" i="6"/>
  <c r="D809" i="6"/>
  <c r="C809" i="6"/>
  <c r="A809" i="6"/>
  <c r="D808" i="6"/>
  <c r="C808" i="6"/>
  <c r="A808" i="6"/>
  <c r="D807" i="6"/>
  <c r="C807" i="6"/>
  <c r="A807" i="6"/>
  <c r="D806" i="6"/>
  <c r="C806" i="6"/>
  <c r="A806" i="6"/>
  <c r="D805" i="6"/>
  <c r="C805" i="6"/>
  <c r="A805" i="6"/>
  <c r="D804" i="6"/>
  <c r="C804" i="6"/>
  <c r="A804" i="6"/>
  <c r="D803" i="6"/>
  <c r="C803" i="6"/>
  <c r="A803" i="6"/>
  <c r="D802" i="6"/>
  <c r="C802" i="6"/>
  <c r="A802" i="6"/>
  <c r="D801" i="6"/>
  <c r="C801" i="6"/>
  <c r="A801" i="6"/>
  <c r="D800" i="6"/>
  <c r="C800" i="6"/>
  <c r="A800" i="6"/>
  <c r="D799" i="6"/>
  <c r="C799" i="6"/>
  <c r="A799" i="6"/>
  <c r="D798" i="6"/>
  <c r="C798" i="6"/>
  <c r="A798" i="6"/>
  <c r="D797" i="6"/>
  <c r="C797" i="6"/>
  <c r="A797" i="6"/>
  <c r="D796" i="6"/>
  <c r="C796" i="6"/>
  <c r="A796" i="6"/>
  <c r="D795" i="6"/>
  <c r="C795" i="6"/>
  <c r="A795" i="6"/>
  <c r="D794" i="6"/>
  <c r="C794" i="6"/>
  <c r="A794" i="6"/>
  <c r="D793" i="6"/>
  <c r="C793" i="6"/>
  <c r="A793" i="6"/>
  <c r="D792" i="6"/>
  <c r="C792" i="6"/>
  <c r="A792" i="6"/>
  <c r="D791" i="6"/>
  <c r="C791" i="6"/>
  <c r="A791" i="6"/>
  <c r="D790" i="6"/>
  <c r="C790" i="6"/>
  <c r="A790" i="6"/>
  <c r="D789" i="6"/>
  <c r="C789" i="6"/>
  <c r="A789" i="6"/>
  <c r="D788" i="6"/>
  <c r="C788" i="6"/>
  <c r="A788" i="6"/>
  <c r="D787" i="6"/>
  <c r="C787" i="6"/>
  <c r="A787" i="6"/>
  <c r="D786" i="6"/>
  <c r="C786" i="6"/>
  <c r="A786" i="6"/>
  <c r="D785" i="6"/>
  <c r="C785" i="6"/>
  <c r="A785" i="6"/>
  <c r="D784" i="6"/>
  <c r="C784" i="6"/>
  <c r="A784" i="6"/>
  <c r="D783" i="6"/>
  <c r="C783" i="6"/>
  <c r="A783" i="6"/>
  <c r="D782" i="6"/>
  <c r="C782" i="6"/>
  <c r="A782" i="6"/>
  <c r="D781" i="6"/>
  <c r="C781" i="6"/>
  <c r="A781" i="6"/>
  <c r="D780" i="6"/>
  <c r="C780" i="6"/>
  <c r="A780" i="6"/>
  <c r="D779" i="6"/>
  <c r="C779" i="6"/>
  <c r="A779" i="6"/>
  <c r="D778" i="6"/>
  <c r="C778" i="6"/>
  <c r="A778" i="6"/>
  <c r="D777" i="6"/>
  <c r="C777" i="6"/>
  <c r="A777" i="6"/>
  <c r="D776" i="6"/>
  <c r="C776" i="6"/>
  <c r="A776" i="6"/>
  <c r="D775" i="6"/>
  <c r="C775" i="6"/>
  <c r="A775" i="6"/>
  <c r="D774" i="6"/>
  <c r="C774" i="6"/>
  <c r="A774" i="6"/>
  <c r="D773" i="6"/>
  <c r="C773" i="6"/>
  <c r="A773" i="6"/>
  <c r="D772" i="6"/>
  <c r="C772" i="6"/>
  <c r="A772" i="6"/>
  <c r="D771" i="6"/>
  <c r="C771" i="6"/>
  <c r="A771" i="6"/>
  <c r="D770" i="6"/>
  <c r="C770" i="6"/>
  <c r="A770" i="6"/>
  <c r="D769" i="6"/>
  <c r="C769" i="6"/>
  <c r="A769" i="6"/>
  <c r="D768" i="6"/>
  <c r="C768" i="6"/>
  <c r="A768" i="6"/>
  <c r="D767" i="6"/>
  <c r="C767" i="6"/>
  <c r="A767" i="6"/>
  <c r="D766" i="6"/>
  <c r="C766" i="6"/>
  <c r="A766" i="6"/>
  <c r="D765" i="6"/>
  <c r="C765" i="6"/>
  <c r="A765" i="6"/>
  <c r="D764" i="6"/>
  <c r="C764" i="6"/>
  <c r="A764" i="6"/>
  <c r="D763" i="6"/>
  <c r="C763" i="6"/>
  <c r="A763" i="6"/>
  <c r="D762" i="6"/>
  <c r="C762" i="6"/>
  <c r="A762" i="6"/>
  <c r="D761" i="6"/>
  <c r="C761" i="6"/>
  <c r="A761" i="6"/>
  <c r="D760" i="6"/>
  <c r="C760" i="6"/>
  <c r="A760" i="6"/>
  <c r="D759" i="6"/>
  <c r="C759" i="6"/>
  <c r="A759" i="6"/>
  <c r="D758" i="6"/>
  <c r="C758" i="6"/>
  <c r="A758" i="6"/>
  <c r="D757" i="6"/>
  <c r="C757" i="6"/>
  <c r="A757" i="6"/>
  <c r="D756" i="6"/>
  <c r="C756" i="6"/>
  <c r="A756" i="6"/>
  <c r="D755" i="6"/>
  <c r="C755" i="6"/>
  <c r="A755" i="6"/>
  <c r="D754" i="6"/>
  <c r="C754" i="6"/>
  <c r="A754" i="6"/>
  <c r="D753" i="6"/>
  <c r="C753" i="6"/>
  <c r="A753" i="6"/>
  <c r="D752" i="6"/>
  <c r="C752" i="6"/>
  <c r="A752" i="6"/>
  <c r="D751" i="6"/>
  <c r="C751" i="6"/>
  <c r="A751" i="6"/>
  <c r="D750" i="6"/>
  <c r="C750" i="6"/>
  <c r="A750" i="6"/>
  <c r="D749" i="6"/>
  <c r="C749" i="6"/>
  <c r="A749" i="6"/>
  <c r="D748" i="6"/>
  <c r="C748" i="6"/>
  <c r="A748" i="6"/>
  <c r="D747" i="6"/>
  <c r="C747" i="6"/>
  <c r="A747" i="6"/>
  <c r="D746" i="6"/>
  <c r="C746" i="6"/>
  <c r="A746" i="6"/>
  <c r="D745" i="6"/>
  <c r="C745" i="6"/>
  <c r="A745" i="6"/>
  <c r="D744" i="6"/>
  <c r="C744" i="6"/>
  <c r="A744" i="6"/>
  <c r="D743" i="6"/>
  <c r="C743" i="6"/>
  <c r="A743" i="6"/>
  <c r="D742" i="6"/>
  <c r="C742" i="6"/>
  <c r="A742" i="6"/>
  <c r="D741" i="6"/>
  <c r="C741" i="6"/>
  <c r="A741" i="6"/>
  <c r="D740" i="6"/>
  <c r="C740" i="6"/>
  <c r="A740" i="6"/>
  <c r="D739" i="6"/>
  <c r="C739" i="6"/>
  <c r="A739" i="6"/>
  <c r="D738" i="6"/>
  <c r="C738" i="6"/>
  <c r="A738" i="6"/>
  <c r="D737" i="6"/>
  <c r="C737" i="6"/>
  <c r="A737" i="6"/>
  <c r="D736" i="6"/>
  <c r="C736" i="6"/>
  <c r="A736" i="6"/>
  <c r="D735" i="6"/>
  <c r="C735" i="6"/>
  <c r="A735" i="6"/>
  <c r="D734" i="6"/>
  <c r="C734" i="6"/>
  <c r="A734" i="6"/>
  <c r="D733" i="6"/>
  <c r="C733" i="6"/>
  <c r="A733" i="6"/>
  <c r="D732" i="6"/>
  <c r="C732" i="6"/>
  <c r="A732" i="6"/>
  <c r="D731" i="6"/>
  <c r="C731" i="6"/>
  <c r="A731" i="6"/>
  <c r="D730" i="6"/>
  <c r="C730" i="6"/>
  <c r="A730" i="6"/>
  <c r="D729" i="6"/>
  <c r="C729" i="6"/>
  <c r="A729" i="6"/>
  <c r="D728" i="6"/>
  <c r="C728" i="6"/>
  <c r="A728" i="6"/>
  <c r="D727" i="6"/>
  <c r="C727" i="6"/>
  <c r="A727" i="6"/>
  <c r="D726" i="6"/>
  <c r="C726" i="6"/>
  <c r="A726" i="6"/>
  <c r="D725" i="6"/>
  <c r="C725" i="6"/>
  <c r="A725" i="6"/>
  <c r="D724" i="6"/>
  <c r="C724" i="6"/>
  <c r="A724" i="6"/>
  <c r="D723" i="6"/>
  <c r="C723" i="6"/>
  <c r="A723" i="6"/>
  <c r="D722" i="6"/>
  <c r="C722" i="6"/>
  <c r="A722" i="6"/>
  <c r="D721" i="6"/>
  <c r="C721" i="6"/>
  <c r="A721" i="6"/>
  <c r="D720" i="6"/>
  <c r="C720" i="6"/>
  <c r="A720" i="6"/>
  <c r="D719" i="6"/>
  <c r="C719" i="6"/>
  <c r="A719" i="6"/>
  <c r="D718" i="6"/>
  <c r="C718" i="6"/>
  <c r="A718" i="6"/>
  <c r="D717" i="6"/>
  <c r="C717" i="6"/>
  <c r="A717" i="6"/>
  <c r="D716" i="6"/>
  <c r="C716" i="6"/>
  <c r="A716" i="6"/>
  <c r="D715" i="6"/>
  <c r="C715" i="6"/>
  <c r="A715" i="6"/>
  <c r="D714" i="6"/>
  <c r="C714" i="6"/>
  <c r="A714" i="6"/>
  <c r="D713" i="6"/>
  <c r="C713" i="6"/>
  <c r="A713" i="6"/>
  <c r="D712" i="6"/>
  <c r="C712" i="6"/>
  <c r="A712" i="6"/>
  <c r="D711" i="6"/>
  <c r="C711" i="6"/>
  <c r="A711" i="6"/>
  <c r="D710" i="6"/>
  <c r="C710" i="6"/>
  <c r="A710" i="6"/>
  <c r="D709" i="6"/>
  <c r="C709" i="6"/>
  <c r="A709" i="6"/>
  <c r="D708" i="6"/>
  <c r="C708" i="6"/>
  <c r="A708" i="6"/>
  <c r="D707" i="6"/>
  <c r="C707" i="6"/>
  <c r="A707" i="6"/>
  <c r="D706" i="6"/>
  <c r="C706" i="6"/>
  <c r="A706" i="6"/>
  <c r="D705" i="6"/>
  <c r="C705" i="6"/>
  <c r="A705" i="6"/>
  <c r="D704" i="6"/>
  <c r="C704" i="6"/>
  <c r="A704" i="6"/>
  <c r="D703" i="6"/>
  <c r="C703" i="6"/>
  <c r="A703" i="6"/>
  <c r="D702" i="6"/>
  <c r="C702" i="6"/>
  <c r="A702" i="6"/>
  <c r="D701" i="6"/>
  <c r="C701" i="6"/>
  <c r="A701" i="6"/>
  <c r="D700" i="6"/>
  <c r="C700" i="6"/>
  <c r="A700" i="6"/>
  <c r="D699" i="6"/>
  <c r="C699" i="6"/>
  <c r="A699" i="6"/>
  <c r="D698" i="6"/>
  <c r="C698" i="6"/>
  <c r="A698" i="6"/>
  <c r="D697" i="6"/>
  <c r="C697" i="6"/>
  <c r="A697" i="6"/>
  <c r="D696" i="6"/>
  <c r="C696" i="6"/>
  <c r="A696" i="6"/>
  <c r="D695" i="6"/>
  <c r="C695" i="6"/>
  <c r="A695" i="6"/>
  <c r="D694" i="6"/>
  <c r="C694" i="6"/>
  <c r="A694" i="6"/>
  <c r="D693" i="6"/>
  <c r="C693" i="6"/>
  <c r="A693" i="6"/>
  <c r="D692" i="6"/>
  <c r="C692" i="6"/>
  <c r="A692" i="6"/>
  <c r="D691" i="6"/>
  <c r="C691" i="6"/>
  <c r="A691" i="6"/>
  <c r="D690" i="6"/>
  <c r="C690" i="6"/>
  <c r="A690" i="6"/>
  <c r="D689" i="6"/>
  <c r="C689" i="6"/>
  <c r="A689" i="6"/>
  <c r="D688" i="6"/>
  <c r="C688" i="6"/>
  <c r="A688" i="6"/>
  <c r="D687" i="6"/>
  <c r="C687" i="6"/>
  <c r="A687" i="6"/>
  <c r="D686" i="6"/>
  <c r="C686" i="6"/>
  <c r="A686" i="6"/>
  <c r="D685" i="6"/>
  <c r="C685" i="6"/>
  <c r="A685" i="6"/>
  <c r="D684" i="6"/>
  <c r="C684" i="6"/>
  <c r="A684" i="6"/>
  <c r="D683" i="6"/>
  <c r="C683" i="6"/>
  <c r="A683" i="6"/>
  <c r="D682" i="6"/>
  <c r="C682" i="6"/>
  <c r="A682" i="6"/>
  <c r="D681" i="6"/>
  <c r="C681" i="6"/>
  <c r="A681" i="6"/>
  <c r="D680" i="6"/>
  <c r="C680" i="6"/>
  <c r="A680" i="6"/>
  <c r="D679" i="6"/>
  <c r="C679" i="6"/>
  <c r="A679" i="6"/>
  <c r="D678" i="6"/>
  <c r="C678" i="6"/>
  <c r="A678" i="6"/>
  <c r="D677" i="6"/>
  <c r="C677" i="6"/>
  <c r="A677" i="6"/>
  <c r="D676" i="6"/>
  <c r="C676" i="6"/>
  <c r="A676" i="6"/>
  <c r="D675" i="6"/>
  <c r="C675" i="6"/>
  <c r="A675" i="6"/>
  <c r="D674" i="6"/>
  <c r="C674" i="6"/>
  <c r="A674" i="6"/>
  <c r="D673" i="6"/>
  <c r="C673" i="6"/>
  <c r="A673" i="6"/>
  <c r="D672" i="6"/>
  <c r="C672" i="6"/>
  <c r="A672" i="6"/>
  <c r="D671" i="6"/>
  <c r="C671" i="6"/>
  <c r="A671" i="6"/>
  <c r="D670" i="6"/>
  <c r="C670" i="6"/>
  <c r="A670" i="6"/>
  <c r="D669" i="6"/>
  <c r="C669" i="6"/>
  <c r="A669" i="6"/>
  <c r="D668" i="6"/>
  <c r="C668" i="6"/>
  <c r="A668" i="6"/>
  <c r="D667" i="6"/>
  <c r="C667" i="6"/>
  <c r="A667" i="6"/>
  <c r="D666" i="6"/>
  <c r="C666" i="6"/>
  <c r="A666" i="6"/>
  <c r="D665" i="6"/>
  <c r="C665" i="6"/>
  <c r="A665" i="6"/>
  <c r="D664" i="6"/>
  <c r="C664" i="6"/>
  <c r="A664" i="6"/>
  <c r="D663" i="6"/>
  <c r="C663" i="6"/>
  <c r="A663" i="6"/>
  <c r="D662" i="6"/>
  <c r="C662" i="6"/>
  <c r="A662" i="6"/>
  <c r="D661" i="6"/>
  <c r="C661" i="6"/>
  <c r="A661" i="6"/>
  <c r="D660" i="6"/>
  <c r="C660" i="6"/>
  <c r="A660" i="6"/>
  <c r="D659" i="6"/>
  <c r="C659" i="6"/>
  <c r="A659" i="6"/>
  <c r="D658" i="6"/>
  <c r="C658" i="6"/>
  <c r="A658" i="6"/>
  <c r="D657" i="6"/>
  <c r="C657" i="6"/>
  <c r="A657" i="6"/>
  <c r="D656" i="6"/>
  <c r="C656" i="6"/>
  <c r="A656" i="6"/>
  <c r="D655" i="6"/>
  <c r="C655" i="6"/>
  <c r="A655" i="6"/>
  <c r="D654" i="6"/>
  <c r="C654" i="6"/>
  <c r="A654" i="6"/>
  <c r="D653" i="6"/>
  <c r="C653" i="6"/>
  <c r="A653" i="6"/>
  <c r="D652" i="6"/>
  <c r="C652" i="6"/>
  <c r="A652" i="6"/>
  <c r="D651" i="6"/>
  <c r="C651" i="6"/>
  <c r="A651" i="6"/>
  <c r="D650" i="6"/>
  <c r="C650" i="6"/>
  <c r="A650" i="6"/>
  <c r="D649" i="6"/>
  <c r="C649" i="6"/>
  <c r="A649" i="6"/>
  <c r="D648" i="6"/>
  <c r="C648" i="6"/>
  <c r="A648" i="6"/>
  <c r="D647" i="6"/>
  <c r="C647" i="6"/>
  <c r="A647" i="6"/>
  <c r="D646" i="6"/>
  <c r="C646" i="6"/>
  <c r="A646" i="6"/>
  <c r="D645" i="6"/>
  <c r="C645" i="6"/>
  <c r="A645" i="6"/>
  <c r="D644" i="6"/>
  <c r="C644" i="6"/>
  <c r="A644" i="6"/>
  <c r="D643" i="6"/>
  <c r="C643" i="6"/>
  <c r="A643" i="6"/>
  <c r="D642" i="6"/>
  <c r="C642" i="6"/>
  <c r="A642" i="6"/>
  <c r="D641" i="6"/>
  <c r="C641" i="6"/>
  <c r="A641" i="6"/>
  <c r="D640" i="6"/>
  <c r="C640" i="6"/>
  <c r="A640" i="6"/>
  <c r="D639" i="6"/>
  <c r="C639" i="6"/>
  <c r="A639" i="6"/>
  <c r="D638" i="6"/>
  <c r="C638" i="6"/>
  <c r="A638" i="6"/>
  <c r="D637" i="6"/>
  <c r="C637" i="6"/>
  <c r="A637" i="6"/>
  <c r="D636" i="6"/>
  <c r="C636" i="6"/>
  <c r="A636" i="6"/>
  <c r="D635" i="6"/>
  <c r="C635" i="6"/>
  <c r="A635" i="6"/>
  <c r="D634" i="6"/>
  <c r="C634" i="6"/>
  <c r="A634" i="6"/>
  <c r="D633" i="6"/>
  <c r="C633" i="6"/>
  <c r="A633" i="6"/>
  <c r="D632" i="6"/>
  <c r="C632" i="6"/>
  <c r="A632" i="6"/>
  <c r="D631" i="6"/>
  <c r="C631" i="6"/>
  <c r="A631" i="6"/>
  <c r="D630" i="6"/>
  <c r="C630" i="6"/>
  <c r="A630" i="6"/>
  <c r="D629" i="6"/>
  <c r="C629" i="6"/>
  <c r="A629" i="6"/>
  <c r="D628" i="6"/>
  <c r="C628" i="6"/>
  <c r="A628" i="6"/>
  <c r="D627" i="6"/>
  <c r="C627" i="6"/>
  <c r="A627" i="6"/>
  <c r="D626" i="6"/>
  <c r="C626" i="6"/>
  <c r="A626" i="6"/>
  <c r="D625" i="6"/>
  <c r="C625" i="6"/>
  <c r="A625" i="6"/>
  <c r="D624" i="6"/>
  <c r="C624" i="6"/>
  <c r="A624" i="6"/>
  <c r="D623" i="6"/>
  <c r="C623" i="6"/>
  <c r="A623" i="6"/>
  <c r="D622" i="6"/>
  <c r="C622" i="6"/>
  <c r="A622" i="6"/>
  <c r="D621" i="6"/>
  <c r="C621" i="6"/>
  <c r="A621" i="6"/>
  <c r="D620" i="6"/>
  <c r="C620" i="6"/>
  <c r="A620" i="6"/>
  <c r="D619" i="6"/>
  <c r="C619" i="6"/>
  <c r="A619" i="6"/>
  <c r="D618" i="6"/>
  <c r="C618" i="6"/>
  <c r="A618" i="6"/>
  <c r="D617" i="6"/>
  <c r="C617" i="6"/>
  <c r="A617" i="6"/>
  <c r="D616" i="6"/>
  <c r="C616" i="6"/>
  <c r="A616" i="6"/>
  <c r="D615" i="6"/>
  <c r="C615" i="6"/>
  <c r="A615" i="6"/>
  <c r="D614" i="6"/>
  <c r="C614" i="6"/>
  <c r="A614" i="6"/>
  <c r="D613" i="6"/>
  <c r="C613" i="6"/>
  <c r="A613" i="6"/>
  <c r="D612" i="6"/>
  <c r="C612" i="6"/>
  <c r="A612" i="6"/>
  <c r="D611" i="6"/>
  <c r="C611" i="6"/>
  <c r="A611" i="6"/>
  <c r="D610" i="6"/>
  <c r="C610" i="6"/>
  <c r="A610" i="6"/>
  <c r="D609" i="6"/>
  <c r="C609" i="6"/>
  <c r="A609" i="6"/>
  <c r="D608" i="6"/>
  <c r="C608" i="6"/>
  <c r="A608" i="6"/>
  <c r="D607" i="6"/>
  <c r="C607" i="6"/>
  <c r="A607" i="6"/>
  <c r="D606" i="6"/>
  <c r="C606" i="6"/>
  <c r="A606" i="6"/>
  <c r="D605" i="6"/>
  <c r="C605" i="6"/>
  <c r="A605" i="6"/>
  <c r="D604" i="6"/>
  <c r="C604" i="6"/>
  <c r="A604" i="6"/>
  <c r="D603" i="6"/>
  <c r="C603" i="6"/>
  <c r="A603" i="6"/>
  <c r="D602" i="6"/>
  <c r="C602" i="6"/>
  <c r="A602" i="6"/>
  <c r="D601" i="6"/>
  <c r="C601" i="6"/>
  <c r="A601" i="6"/>
  <c r="D600" i="6"/>
  <c r="C600" i="6"/>
  <c r="A600" i="6"/>
  <c r="D599" i="6"/>
  <c r="C599" i="6"/>
  <c r="A599" i="6"/>
  <c r="D598" i="6"/>
  <c r="C598" i="6"/>
  <c r="A598" i="6"/>
  <c r="D597" i="6"/>
  <c r="C597" i="6"/>
  <c r="A597" i="6"/>
  <c r="D596" i="6"/>
  <c r="C596" i="6"/>
  <c r="A596" i="6"/>
  <c r="D595" i="6"/>
  <c r="C595" i="6"/>
  <c r="A595" i="6"/>
  <c r="D594" i="6"/>
  <c r="C594" i="6"/>
  <c r="A594" i="6"/>
  <c r="D593" i="6"/>
  <c r="C593" i="6"/>
  <c r="A593" i="6"/>
  <c r="D592" i="6"/>
  <c r="C592" i="6"/>
  <c r="A592" i="6"/>
  <c r="D591" i="6"/>
  <c r="C591" i="6"/>
  <c r="A591" i="6"/>
  <c r="D590" i="6"/>
  <c r="C590" i="6"/>
  <c r="A590" i="6"/>
  <c r="D589" i="6"/>
  <c r="C589" i="6"/>
  <c r="A589" i="6"/>
  <c r="D588" i="6"/>
  <c r="C588" i="6"/>
  <c r="A588" i="6"/>
  <c r="D587" i="6"/>
  <c r="C587" i="6"/>
  <c r="A587" i="6"/>
  <c r="D586" i="6"/>
  <c r="C586" i="6"/>
  <c r="A586" i="6"/>
  <c r="D585" i="6"/>
  <c r="C585" i="6"/>
  <c r="A585" i="6"/>
  <c r="D584" i="6"/>
  <c r="C584" i="6"/>
  <c r="A584" i="6"/>
  <c r="D583" i="6"/>
  <c r="C583" i="6"/>
  <c r="A583" i="6"/>
  <c r="D582" i="6"/>
  <c r="C582" i="6"/>
  <c r="A582" i="6"/>
  <c r="D581" i="6"/>
  <c r="C581" i="6"/>
  <c r="A581" i="6"/>
  <c r="D580" i="6"/>
  <c r="C580" i="6"/>
  <c r="A580" i="6"/>
  <c r="D579" i="6"/>
  <c r="C579" i="6"/>
  <c r="A579" i="6"/>
  <c r="D578" i="6"/>
  <c r="C578" i="6"/>
  <c r="A578" i="6"/>
  <c r="D577" i="6"/>
  <c r="C577" i="6"/>
  <c r="A577" i="6"/>
  <c r="D576" i="6"/>
  <c r="C576" i="6"/>
  <c r="A576" i="6"/>
  <c r="D575" i="6"/>
  <c r="C575" i="6"/>
  <c r="A575" i="6"/>
  <c r="D574" i="6"/>
  <c r="C574" i="6"/>
  <c r="A574" i="6"/>
  <c r="D573" i="6"/>
  <c r="C573" i="6"/>
  <c r="A573" i="6"/>
  <c r="D572" i="6"/>
  <c r="C572" i="6"/>
  <c r="A572" i="6"/>
  <c r="D571" i="6"/>
  <c r="C571" i="6"/>
  <c r="A571" i="6"/>
  <c r="D570" i="6"/>
  <c r="C570" i="6"/>
  <c r="A570" i="6"/>
  <c r="D569" i="6"/>
  <c r="C569" i="6"/>
  <c r="A569" i="6"/>
  <c r="D568" i="6"/>
  <c r="C568" i="6"/>
  <c r="A568" i="6"/>
  <c r="D567" i="6"/>
  <c r="C567" i="6"/>
  <c r="A567" i="6"/>
  <c r="D566" i="6"/>
  <c r="C566" i="6"/>
  <c r="A566" i="6"/>
  <c r="D565" i="6"/>
  <c r="C565" i="6"/>
  <c r="A565" i="6"/>
  <c r="D564" i="6"/>
  <c r="C564" i="6"/>
  <c r="A564" i="6"/>
  <c r="D563" i="6"/>
  <c r="C563" i="6"/>
  <c r="A563" i="6"/>
  <c r="D562" i="6"/>
  <c r="C562" i="6"/>
  <c r="A562" i="6"/>
  <c r="D561" i="6"/>
  <c r="C561" i="6"/>
  <c r="A561" i="6"/>
  <c r="D560" i="6"/>
  <c r="C560" i="6"/>
  <c r="A560" i="6"/>
  <c r="D559" i="6"/>
  <c r="C559" i="6"/>
  <c r="A559" i="6"/>
  <c r="D558" i="6"/>
  <c r="C558" i="6"/>
  <c r="A558" i="6"/>
  <c r="D557" i="6"/>
  <c r="C557" i="6"/>
  <c r="A557" i="6"/>
  <c r="D556" i="6"/>
  <c r="C556" i="6"/>
  <c r="A556" i="6"/>
  <c r="D555" i="6"/>
  <c r="C555" i="6"/>
  <c r="A555" i="6"/>
  <c r="D554" i="6"/>
  <c r="C554" i="6"/>
  <c r="A554" i="6"/>
  <c r="D553" i="6"/>
  <c r="C553" i="6"/>
  <c r="A553" i="6"/>
  <c r="D552" i="6"/>
  <c r="C552" i="6"/>
  <c r="A552" i="6"/>
  <c r="D551" i="6"/>
  <c r="C551" i="6"/>
  <c r="A551" i="6"/>
  <c r="D550" i="6"/>
  <c r="C550" i="6"/>
  <c r="A550" i="6"/>
  <c r="D549" i="6"/>
  <c r="C549" i="6"/>
  <c r="A549" i="6"/>
  <c r="D548" i="6"/>
  <c r="C548" i="6"/>
  <c r="A548" i="6"/>
  <c r="D547" i="6"/>
  <c r="C547" i="6"/>
  <c r="A547" i="6"/>
  <c r="D546" i="6"/>
  <c r="C546" i="6"/>
  <c r="A546" i="6"/>
  <c r="D545" i="6"/>
  <c r="C545" i="6"/>
  <c r="A545" i="6"/>
  <c r="D544" i="6"/>
  <c r="C544" i="6"/>
  <c r="A544" i="6"/>
  <c r="D543" i="6"/>
  <c r="C543" i="6"/>
  <c r="A543" i="6"/>
  <c r="D542" i="6"/>
  <c r="C542" i="6"/>
  <c r="A542" i="6"/>
  <c r="D541" i="6"/>
  <c r="C541" i="6"/>
  <c r="A541" i="6"/>
  <c r="D540" i="6"/>
  <c r="C540" i="6"/>
  <c r="A540" i="6"/>
  <c r="D539" i="6"/>
  <c r="C539" i="6"/>
  <c r="A539" i="6"/>
  <c r="D538" i="6"/>
  <c r="C538" i="6"/>
  <c r="A538" i="6"/>
  <c r="D537" i="6"/>
  <c r="C537" i="6"/>
  <c r="A537" i="6"/>
  <c r="D536" i="6"/>
  <c r="C536" i="6"/>
  <c r="A536" i="6"/>
  <c r="D535" i="6"/>
  <c r="C535" i="6"/>
  <c r="A535" i="6"/>
  <c r="D534" i="6"/>
  <c r="C534" i="6"/>
  <c r="A534" i="6"/>
  <c r="D533" i="6"/>
  <c r="C533" i="6"/>
  <c r="A533" i="6"/>
  <c r="D532" i="6"/>
  <c r="C532" i="6"/>
  <c r="A532" i="6"/>
  <c r="D531" i="6"/>
  <c r="C531" i="6"/>
  <c r="A531" i="6"/>
  <c r="D530" i="6"/>
  <c r="C530" i="6"/>
  <c r="A530" i="6"/>
  <c r="D529" i="6"/>
  <c r="C529" i="6"/>
  <c r="A529" i="6"/>
  <c r="D528" i="6"/>
  <c r="C528" i="6"/>
  <c r="A528" i="6"/>
  <c r="D527" i="6"/>
  <c r="C527" i="6"/>
  <c r="A527" i="6"/>
  <c r="D526" i="6"/>
  <c r="C526" i="6"/>
  <c r="A526" i="6"/>
  <c r="D525" i="6"/>
  <c r="C525" i="6"/>
  <c r="A525" i="6"/>
  <c r="D524" i="6"/>
  <c r="C524" i="6"/>
  <c r="A524" i="6"/>
  <c r="D523" i="6"/>
  <c r="C523" i="6"/>
  <c r="A523" i="6"/>
  <c r="D522" i="6"/>
  <c r="C522" i="6"/>
  <c r="A522" i="6"/>
  <c r="D521" i="6"/>
  <c r="C521" i="6"/>
  <c r="A521" i="6"/>
  <c r="D520" i="6"/>
  <c r="C520" i="6"/>
  <c r="A520" i="6"/>
  <c r="D519" i="6"/>
  <c r="C519" i="6"/>
  <c r="A519" i="6"/>
  <c r="D518" i="6"/>
  <c r="C518" i="6"/>
  <c r="A518" i="6"/>
  <c r="D517" i="6"/>
  <c r="C517" i="6"/>
  <c r="A517" i="6"/>
  <c r="D516" i="6"/>
  <c r="C516" i="6"/>
  <c r="A516" i="6"/>
  <c r="D515" i="6"/>
  <c r="C515" i="6"/>
  <c r="A515" i="6"/>
  <c r="D514" i="6"/>
  <c r="C514" i="6"/>
  <c r="A514" i="6"/>
  <c r="D513" i="6"/>
  <c r="C513" i="6"/>
  <c r="A513" i="6"/>
  <c r="C512" i="6"/>
  <c r="A512" i="6"/>
  <c r="D511" i="6"/>
  <c r="C511" i="6"/>
  <c r="A511" i="6"/>
  <c r="D510" i="6"/>
  <c r="C510" i="6"/>
  <c r="A510" i="6"/>
  <c r="D509" i="6"/>
  <c r="C509" i="6"/>
  <c r="A509" i="6"/>
  <c r="D508" i="6"/>
  <c r="C508" i="6"/>
  <c r="A508" i="6"/>
  <c r="D507" i="6"/>
  <c r="C507" i="6"/>
  <c r="A507" i="6"/>
  <c r="D506" i="6"/>
  <c r="C506" i="6"/>
  <c r="A506" i="6"/>
  <c r="D505" i="6"/>
  <c r="C505" i="6"/>
  <c r="A505" i="6"/>
  <c r="D504" i="6"/>
  <c r="C504" i="6"/>
  <c r="A504" i="6"/>
  <c r="D503" i="6"/>
  <c r="C503" i="6"/>
  <c r="A503" i="6"/>
  <c r="D502" i="6"/>
  <c r="C502" i="6"/>
  <c r="A502" i="6"/>
  <c r="D501" i="6"/>
  <c r="C501" i="6"/>
  <c r="A501" i="6"/>
  <c r="D500" i="6"/>
  <c r="C500" i="6"/>
  <c r="A500" i="6"/>
  <c r="D499" i="6"/>
  <c r="C499" i="6"/>
  <c r="A499" i="6"/>
  <c r="D498" i="6"/>
  <c r="C498" i="6"/>
  <c r="A498" i="6"/>
  <c r="D497" i="6"/>
  <c r="C497" i="6"/>
  <c r="A497" i="6"/>
  <c r="D496" i="6"/>
  <c r="C496" i="6"/>
  <c r="A496" i="6"/>
  <c r="D495" i="6"/>
  <c r="C495" i="6"/>
  <c r="A495" i="6"/>
  <c r="D494" i="6"/>
  <c r="C494" i="6"/>
  <c r="A494" i="6"/>
  <c r="D493" i="6"/>
  <c r="C493" i="6"/>
  <c r="A493" i="6"/>
  <c r="D492" i="6"/>
  <c r="C492" i="6"/>
  <c r="A492" i="6"/>
  <c r="D491" i="6"/>
  <c r="C491" i="6"/>
  <c r="A491" i="6"/>
  <c r="D490" i="6"/>
  <c r="C490" i="6"/>
  <c r="A490" i="6"/>
  <c r="D489" i="6"/>
  <c r="C489" i="6"/>
  <c r="A489" i="6"/>
  <c r="D488" i="6"/>
  <c r="C488" i="6"/>
  <c r="A488" i="6"/>
  <c r="D487" i="6"/>
  <c r="C487" i="6"/>
  <c r="A487" i="6"/>
  <c r="D486" i="6"/>
  <c r="C486" i="6"/>
  <c r="A486" i="6"/>
  <c r="D485" i="6"/>
  <c r="C485" i="6"/>
  <c r="A485" i="6"/>
  <c r="D484" i="6"/>
  <c r="C484" i="6"/>
  <c r="A484" i="6"/>
  <c r="D483" i="6"/>
  <c r="C483" i="6"/>
  <c r="A483" i="6"/>
  <c r="D482" i="6"/>
  <c r="C482" i="6"/>
  <c r="A482" i="6"/>
  <c r="D481" i="6"/>
  <c r="C481" i="6"/>
  <c r="A481" i="6"/>
  <c r="D480" i="6"/>
  <c r="C480" i="6"/>
  <c r="A480" i="6"/>
  <c r="D479" i="6"/>
  <c r="C479" i="6"/>
  <c r="A479" i="6"/>
  <c r="D478" i="6"/>
  <c r="C478" i="6"/>
  <c r="A478" i="6"/>
  <c r="D477" i="6"/>
  <c r="C477" i="6"/>
  <c r="A477" i="6"/>
  <c r="D476" i="6"/>
  <c r="C476" i="6"/>
  <c r="A476" i="6"/>
  <c r="D475" i="6"/>
  <c r="C475" i="6"/>
  <c r="A475" i="6"/>
  <c r="D474" i="6"/>
  <c r="C474" i="6"/>
  <c r="A474" i="6"/>
  <c r="D473" i="6"/>
  <c r="C473" i="6"/>
  <c r="A473" i="6"/>
  <c r="D472" i="6"/>
  <c r="C472" i="6"/>
  <c r="A472" i="6"/>
  <c r="D471" i="6"/>
  <c r="C471" i="6"/>
  <c r="A471" i="6"/>
  <c r="D470" i="6"/>
  <c r="C470" i="6"/>
  <c r="A470" i="6"/>
  <c r="D469" i="6"/>
  <c r="C469" i="6"/>
  <c r="A469" i="6"/>
  <c r="D468" i="6"/>
  <c r="C468" i="6"/>
  <c r="A468" i="6"/>
  <c r="D467" i="6"/>
  <c r="C467" i="6"/>
  <c r="A467" i="6"/>
  <c r="D466" i="6"/>
  <c r="C466" i="6"/>
  <c r="A466" i="6"/>
  <c r="D465" i="6"/>
  <c r="C465" i="6"/>
  <c r="A465" i="6"/>
  <c r="D464" i="6"/>
  <c r="C464" i="6"/>
  <c r="A464" i="6"/>
  <c r="D463" i="6"/>
  <c r="C463" i="6"/>
  <c r="A463" i="6"/>
  <c r="D462" i="6"/>
  <c r="C462" i="6"/>
  <c r="A462" i="6"/>
  <c r="D461" i="6"/>
  <c r="C461" i="6"/>
  <c r="A461" i="6"/>
  <c r="D460" i="6"/>
  <c r="C460" i="6"/>
  <c r="A460" i="6"/>
  <c r="D459" i="6"/>
  <c r="C459" i="6"/>
  <c r="A459" i="6"/>
  <c r="D458" i="6"/>
  <c r="C458" i="6"/>
  <c r="A458" i="6"/>
  <c r="D457" i="6"/>
  <c r="C457" i="6"/>
  <c r="A457" i="6"/>
  <c r="D456" i="6"/>
  <c r="C456" i="6"/>
  <c r="A456" i="6"/>
  <c r="D455" i="6"/>
  <c r="C455" i="6"/>
  <c r="A455" i="6"/>
  <c r="D454" i="6"/>
  <c r="C454" i="6"/>
  <c r="A454" i="6"/>
  <c r="D453" i="6"/>
  <c r="C453" i="6"/>
  <c r="A453" i="6"/>
  <c r="D452" i="6"/>
  <c r="C452" i="6"/>
  <c r="A452" i="6"/>
  <c r="D451" i="6"/>
  <c r="C451" i="6"/>
  <c r="A451" i="6"/>
  <c r="D450" i="6"/>
  <c r="C450" i="6"/>
  <c r="A450" i="6"/>
  <c r="D449" i="6"/>
  <c r="C449" i="6"/>
  <c r="A449" i="6"/>
  <c r="D448" i="6"/>
  <c r="C448" i="6"/>
  <c r="A448" i="6"/>
  <c r="D447" i="6"/>
  <c r="C447" i="6"/>
  <c r="A447" i="6"/>
  <c r="D446" i="6"/>
  <c r="C446" i="6"/>
  <c r="A446" i="6"/>
  <c r="D445" i="6"/>
  <c r="C445" i="6"/>
  <c r="A445" i="6"/>
  <c r="D444" i="6"/>
  <c r="C444" i="6"/>
  <c r="A444" i="6"/>
  <c r="D443" i="6"/>
  <c r="C443" i="6"/>
  <c r="A443" i="6"/>
  <c r="D442" i="6"/>
  <c r="C442" i="6"/>
  <c r="A442" i="6"/>
  <c r="D441" i="6"/>
  <c r="C441" i="6"/>
  <c r="A441" i="6"/>
  <c r="D440" i="6"/>
  <c r="C440" i="6"/>
  <c r="A440" i="6"/>
  <c r="D439" i="6"/>
  <c r="C439" i="6"/>
  <c r="A439" i="6"/>
  <c r="D438" i="6"/>
  <c r="C438" i="6"/>
  <c r="A438" i="6"/>
  <c r="D437" i="6"/>
  <c r="C437" i="6"/>
  <c r="A437" i="6"/>
  <c r="D436" i="6"/>
  <c r="C436" i="6"/>
  <c r="A436" i="6"/>
  <c r="D435" i="6"/>
  <c r="C435" i="6"/>
  <c r="A435" i="6"/>
  <c r="D434" i="6"/>
  <c r="C434" i="6"/>
  <c r="A434" i="6"/>
  <c r="D433" i="6"/>
  <c r="C433" i="6"/>
  <c r="A433" i="6"/>
  <c r="D432" i="6"/>
  <c r="C432" i="6"/>
  <c r="A432" i="6"/>
  <c r="D431" i="6"/>
  <c r="C431" i="6"/>
  <c r="A431" i="6"/>
  <c r="D430" i="6"/>
  <c r="C430" i="6"/>
  <c r="A430" i="6"/>
  <c r="D429" i="6"/>
  <c r="C429" i="6"/>
  <c r="A429" i="6"/>
  <c r="D428" i="6"/>
  <c r="C428" i="6"/>
  <c r="A428" i="6"/>
  <c r="D427" i="6"/>
  <c r="C427" i="6"/>
  <c r="A427" i="6"/>
  <c r="D426" i="6"/>
  <c r="C426" i="6"/>
  <c r="A426" i="6"/>
  <c r="D425" i="6"/>
  <c r="C425" i="6"/>
  <c r="A425" i="6"/>
  <c r="D424" i="6"/>
  <c r="C424" i="6"/>
  <c r="A424" i="6"/>
  <c r="D423" i="6"/>
  <c r="C423" i="6"/>
  <c r="A423" i="6"/>
  <c r="D422" i="6"/>
  <c r="C422" i="6"/>
  <c r="A422" i="6"/>
  <c r="C421" i="6"/>
  <c r="A421" i="6"/>
  <c r="D420" i="6"/>
  <c r="C420" i="6"/>
  <c r="A420" i="6"/>
  <c r="D419" i="6"/>
  <c r="C419" i="6"/>
  <c r="A419" i="6"/>
  <c r="D418" i="6"/>
  <c r="C418" i="6"/>
  <c r="A418" i="6"/>
  <c r="D417" i="6"/>
  <c r="C417" i="6"/>
  <c r="A417" i="6"/>
  <c r="D416" i="6"/>
  <c r="C416" i="6"/>
  <c r="A416" i="6"/>
  <c r="D415" i="6"/>
  <c r="C415" i="6"/>
  <c r="A415" i="6"/>
  <c r="D414" i="6"/>
  <c r="C414" i="6"/>
  <c r="A414" i="6"/>
  <c r="D413" i="6"/>
  <c r="C413" i="6"/>
  <c r="A413" i="6"/>
  <c r="D412" i="6"/>
  <c r="C412" i="6"/>
  <c r="A412" i="6"/>
  <c r="D411" i="6"/>
  <c r="C411" i="6"/>
  <c r="A411" i="6"/>
  <c r="D410" i="6"/>
  <c r="C410" i="6"/>
  <c r="A410" i="6"/>
  <c r="D409" i="6"/>
  <c r="C409" i="6"/>
  <c r="A409" i="6"/>
  <c r="D408" i="6"/>
  <c r="C408" i="6"/>
  <c r="A408" i="6"/>
  <c r="D407" i="6"/>
  <c r="C407" i="6"/>
  <c r="A407" i="6"/>
  <c r="D406" i="6"/>
  <c r="C406" i="6"/>
  <c r="A406" i="6"/>
  <c r="D405" i="6"/>
  <c r="C405" i="6"/>
  <c r="A405" i="6"/>
  <c r="D404" i="6"/>
  <c r="C404" i="6"/>
  <c r="A404" i="6"/>
  <c r="D403" i="6"/>
  <c r="C403" i="6"/>
  <c r="A403" i="6"/>
  <c r="D402" i="6"/>
  <c r="C402" i="6"/>
  <c r="A402" i="6"/>
  <c r="D401" i="6"/>
  <c r="C401" i="6"/>
  <c r="A401" i="6"/>
  <c r="D400" i="6"/>
  <c r="C400" i="6"/>
  <c r="A400" i="6"/>
  <c r="D399" i="6"/>
  <c r="C399" i="6"/>
  <c r="A399" i="6"/>
  <c r="C398" i="6"/>
  <c r="A398" i="6"/>
  <c r="D397" i="6"/>
  <c r="C397" i="6"/>
  <c r="A397" i="6"/>
  <c r="D396" i="6"/>
  <c r="C396" i="6"/>
  <c r="A396" i="6"/>
  <c r="D395" i="6"/>
  <c r="C395" i="6"/>
  <c r="A395" i="6"/>
  <c r="D394" i="6"/>
  <c r="C394" i="6"/>
  <c r="A394" i="6"/>
  <c r="D393" i="6"/>
  <c r="C393" i="6"/>
  <c r="A393" i="6"/>
  <c r="D392" i="6"/>
  <c r="C392" i="6"/>
  <c r="A392" i="6"/>
  <c r="D391" i="6"/>
  <c r="C391" i="6"/>
  <c r="A391" i="6"/>
  <c r="D390" i="6"/>
  <c r="C390" i="6"/>
  <c r="A390" i="6"/>
  <c r="D389" i="6"/>
  <c r="C389" i="6"/>
  <c r="A389" i="6"/>
  <c r="D388" i="6"/>
  <c r="C388" i="6"/>
  <c r="A388" i="6"/>
  <c r="D387" i="6"/>
  <c r="C387" i="6"/>
  <c r="A387" i="6"/>
  <c r="D386" i="6"/>
  <c r="C386" i="6"/>
  <c r="A386" i="6"/>
  <c r="D385" i="6"/>
  <c r="C385" i="6"/>
  <c r="A385" i="6"/>
  <c r="D384" i="6"/>
  <c r="C384" i="6"/>
  <c r="A384" i="6"/>
  <c r="D383" i="6"/>
  <c r="C383" i="6"/>
  <c r="A383" i="6"/>
  <c r="D382" i="6"/>
  <c r="C382" i="6"/>
  <c r="A382" i="6"/>
  <c r="D381" i="6"/>
  <c r="C381" i="6"/>
  <c r="A381" i="6"/>
  <c r="D380" i="6"/>
  <c r="C380" i="6"/>
  <c r="A380" i="6"/>
  <c r="D379" i="6"/>
  <c r="C379" i="6"/>
  <c r="A379" i="6"/>
  <c r="D378" i="6"/>
  <c r="C378" i="6"/>
  <c r="A378" i="6"/>
  <c r="D377" i="6"/>
  <c r="C377" i="6"/>
  <c r="A377" i="6"/>
  <c r="D376" i="6"/>
  <c r="C376" i="6"/>
  <c r="A376" i="6"/>
  <c r="D375" i="6"/>
  <c r="C375" i="6"/>
  <c r="A375" i="6"/>
  <c r="D374" i="6"/>
  <c r="C374" i="6"/>
  <c r="A374" i="6"/>
  <c r="D373" i="6"/>
  <c r="C373" i="6"/>
  <c r="A373" i="6"/>
  <c r="D372" i="6"/>
  <c r="C372" i="6"/>
  <c r="A372" i="6"/>
  <c r="D371" i="6"/>
  <c r="C371" i="6"/>
  <c r="A371" i="6"/>
  <c r="D370" i="6"/>
  <c r="C370" i="6"/>
  <c r="A370" i="6"/>
  <c r="D369" i="6"/>
  <c r="C369" i="6"/>
  <c r="A369" i="6"/>
  <c r="C368" i="6"/>
  <c r="A368" i="6"/>
  <c r="D367" i="6"/>
  <c r="C367" i="6"/>
  <c r="A367" i="6"/>
  <c r="D366" i="6"/>
  <c r="C366" i="6"/>
  <c r="A366" i="6"/>
  <c r="D365" i="6"/>
  <c r="C365" i="6"/>
  <c r="A365" i="6"/>
  <c r="D364" i="6"/>
  <c r="C364" i="6"/>
  <c r="A364" i="6"/>
  <c r="D363" i="6"/>
  <c r="C363" i="6"/>
  <c r="A363" i="6"/>
  <c r="D362" i="6"/>
  <c r="C362" i="6"/>
  <c r="A362" i="6"/>
  <c r="D361" i="6"/>
  <c r="C361" i="6"/>
  <c r="A361" i="6"/>
  <c r="D360" i="6"/>
  <c r="C360" i="6"/>
  <c r="A360" i="6"/>
  <c r="D359" i="6"/>
  <c r="C359" i="6"/>
  <c r="A359" i="6"/>
  <c r="D358" i="6"/>
  <c r="C358" i="6"/>
  <c r="A358" i="6"/>
  <c r="D357" i="6"/>
  <c r="C357" i="6"/>
  <c r="A357" i="6"/>
  <c r="D356" i="6"/>
  <c r="C356" i="6"/>
  <c r="A356" i="6"/>
  <c r="D355" i="6"/>
  <c r="C355" i="6"/>
  <c r="A355" i="6"/>
  <c r="D354" i="6"/>
  <c r="C354" i="6"/>
  <c r="A354" i="6"/>
  <c r="D353" i="6"/>
  <c r="C353" i="6"/>
  <c r="A353" i="6"/>
  <c r="D352" i="6"/>
  <c r="C352" i="6"/>
  <c r="A352" i="6"/>
  <c r="D351" i="6"/>
  <c r="C351" i="6"/>
  <c r="A351" i="6"/>
  <c r="D350" i="6"/>
  <c r="C350" i="6"/>
  <c r="A350" i="6"/>
  <c r="D349" i="6"/>
  <c r="C349" i="6"/>
  <c r="A349" i="6"/>
  <c r="D348" i="6"/>
  <c r="C348" i="6"/>
  <c r="A348" i="6"/>
  <c r="D347" i="6"/>
  <c r="C347" i="6"/>
  <c r="A347" i="6"/>
  <c r="D346" i="6"/>
  <c r="C346" i="6"/>
  <c r="A346" i="6"/>
  <c r="D345" i="6"/>
  <c r="C345" i="6"/>
  <c r="A345" i="6"/>
  <c r="D344" i="6"/>
  <c r="C344" i="6"/>
  <c r="A344" i="6"/>
  <c r="D343" i="6"/>
  <c r="C343" i="6"/>
  <c r="A343" i="6"/>
  <c r="D342" i="6"/>
  <c r="C342" i="6"/>
  <c r="A342" i="6"/>
  <c r="D341" i="6"/>
  <c r="C341" i="6"/>
  <c r="A341" i="6"/>
  <c r="D340" i="6"/>
  <c r="C340" i="6"/>
  <c r="A340" i="6"/>
  <c r="D339" i="6"/>
  <c r="C339" i="6"/>
  <c r="A339" i="6"/>
  <c r="D338" i="6"/>
  <c r="C338" i="6"/>
  <c r="A338" i="6"/>
  <c r="D337" i="6"/>
  <c r="C337" i="6"/>
  <c r="A337" i="6"/>
  <c r="D336" i="6"/>
  <c r="C336" i="6"/>
  <c r="A336" i="6"/>
  <c r="D335" i="6"/>
  <c r="C335" i="6"/>
  <c r="A335" i="6"/>
  <c r="D334" i="6"/>
  <c r="C334" i="6"/>
  <c r="A334" i="6"/>
  <c r="D333" i="6"/>
  <c r="C333" i="6"/>
  <c r="A333" i="6"/>
  <c r="D332" i="6"/>
  <c r="C332" i="6"/>
  <c r="A332" i="6"/>
  <c r="D331" i="6"/>
  <c r="C331" i="6"/>
  <c r="A331" i="6"/>
  <c r="D330" i="6"/>
  <c r="C330" i="6"/>
  <c r="A330" i="6"/>
  <c r="D329" i="6"/>
  <c r="C329" i="6"/>
  <c r="A329" i="6"/>
  <c r="D328" i="6"/>
  <c r="C328" i="6"/>
  <c r="A328" i="6"/>
  <c r="D327" i="6"/>
  <c r="C327" i="6"/>
  <c r="A327" i="6"/>
  <c r="D326" i="6"/>
  <c r="C326" i="6"/>
  <c r="A326" i="6"/>
  <c r="D325" i="6"/>
  <c r="C325" i="6"/>
  <c r="A325" i="6"/>
  <c r="D324" i="6"/>
  <c r="C324" i="6"/>
  <c r="A324" i="6"/>
  <c r="D323" i="6"/>
  <c r="C323" i="6"/>
  <c r="A323" i="6"/>
  <c r="D322" i="6"/>
  <c r="C322" i="6"/>
  <c r="A322" i="6"/>
  <c r="D321" i="6"/>
  <c r="C321" i="6"/>
  <c r="A321" i="6"/>
  <c r="D320" i="6"/>
  <c r="C320" i="6"/>
  <c r="A320" i="6"/>
  <c r="D319" i="6"/>
  <c r="C319" i="6"/>
  <c r="A319" i="6"/>
  <c r="D318" i="6"/>
  <c r="C318" i="6"/>
  <c r="A318" i="6"/>
  <c r="D317" i="6"/>
  <c r="C317" i="6"/>
  <c r="A317" i="6"/>
  <c r="D316" i="6"/>
  <c r="C316" i="6"/>
  <c r="A316" i="6"/>
  <c r="D315" i="6"/>
  <c r="C315" i="6"/>
  <c r="A315" i="6"/>
  <c r="D314" i="6"/>
  <c r="C314" i="6"/>
  <c r="A314" i="6"/>
  <c r="D313" i="6"/>
  <c r="C313" i="6"/>
  <c r="A313" i="6"/>
  <c r="D312" i="6"/>
  <c r="C312" i="6"/>
  <c r="A312" i="6"/>
  <c r="D311" i="6"/>
  <c r="C311" i="6"/>
  <c r="A311" i="6"/>
  <c r="D310" i="6"/>
  <c r="C310" i="6"/>
  <c r="A310" i="6"/>
  <c r="D309" i="6"/>
  <c r="C309" i="6"/>
  <c r="A309" i="6"/>
  <c r="D308" i="6"/>
  <c r="C308" i="6"/>
  <c r="A308" i="6"/>
  <c r="D307" i="6"/>
  <c r="C307" i="6"/>
  <c r="A307" i="6"/>
  <c r="D306" i="6"/>
  <c r="C306" i="6"/>
  <c r="A306" i="6"/>
  <c r="D305" i="6"/>
  <c r="C305" i="6"/>
  <c r="A305" i="6"/>
  <c r="D304" i="6"/>
  <c r="C304" i="6"/>
  <c r="A304" i="6"/>
  <c r="D303" i="6"/>
  <c r="C303" i="6"/>
  <c r="A303" i="6"/>
  <c r="D302" i="6"/>
  <c r="C302" i="6"/>
  <c r="A302" i="6"/>
  <c r="D301" i="6"/>
  <c r="C301" i="6"/>
  <c r="A301" i="6"/>
  <c r="D300" i="6"/>
  <c r="C300" i="6"/>
  <c r="A300" i="6"/>
  <c r="D299" i="6"/>
  <c r="C299" i="6"/>
  <c r="A299" i="6"/>
  <c r="D298" i="6"/>
  <c r="C298" i="6"/>
  <c r="A298" i="6"/>
  <c r="D297" i="6"/>
  <c r="C297" i="6"/>
  <c r="A297" i="6"/>
  <c r="D296" i="6"/>
  <c r="C296" i="6"/>
  <c r="A296" i="6"/>
  <c r="D295" i="6"/>
  <c r="C295" i="6"/>
  <c r="A295" i="6"/>
  <c r="D294" i="6"/>
  <c r="C294" i="6"/>
  <c r="A294" i="6"/>
  <c r="D293" i="6"/>
  <c r="C293" i="6"/>
  <c r="A293" i="6"/>
  <c r="D292" i="6"/>
  <c r="C292" i="6"/>
  <c r="A292" i="6"/>
  <c r="D291" i="6"/>
  <c r="C291" i="6"/>
  <c r="A291" i="6"/>
  <c r="D290" i="6"/>
  <c r="C290" i="6"/>
  <c r="A290" i="6"/>
  <c r="D289" i="6"/>
  <c r="C289" i="6"/>
  <c r="A289" i="6"/>
  <c r="D288" i="6"/>
  <c r="C288" i="6"/>
  <c r="A288" i="6"/>
  <c r="D287" i="6"/>
  <c r="C287" i="6"/>
  <c r="A287" i="6"/>
  <c r="D286" i="6"/>
  <c r="C286" i="6"/>
  <c r="A286" i="6"/>
  <c r="D285" i="6"/>
  <c r="C285" i="6"/>
  <c r="A285" i="6"/>
  <c r="D284" i="6"/>
  <c r="C284" i="6"/>
  <c r="A284" i="6"/>
  <c r="D283" i="6"/>
  <c r="C283" i="6"/>
  <c r="A283" i="6"/>
  <c r="D282" i="6"/>
  <c r="C282" i="6"/>
  <c r="A282" i="6"/>
  <c r="D281" i="6"/>
  <c r="C281" i="6"/>
  <c r="A281" i="6"/>
  <c r="D280" i="6"/>
  <c r="C280" i="6"/>
  <c r="A280" i="6"/>
  <c r="D279" i="6"/>
  <c r="C279" i="6"/>
  <c r="A279" i="6"/>
  <c r="D278" i="6"/>
  <c r="C278" i="6"/>
  <c r="A278" i="6"/>
  <c r="D277" i="6"/>
  <c r="C277" i="6"/>
  <c r="A277" i="6"/>
  <c r="D276" i="6"/>
  <c r="C276" i="6"/>
  <c r="A276" i="6"/>
  <c r="D275" i="6"/>
  <c r="C275" i="6"/>
  <c r="A275" i="6"/>
  <c r="D274" i="6"/>
  <c r="C274" i="6"/>
  <c r="A274" i="6"/>
  <c r="D273" i="6"/>
  <c r="C273" i="6"/>
  <c r="A273" i="6"/>
  <c r="D272" i="6"/>
  <c r="C272" i="6"/>
  <c r="A272" i="6"/>
  <c r="D271" i="6"/>
  <c r="C271" i="6"/>
  <c r="A271" i="6"/>
  <c r="D270" i="6"/>
  <c r="C270" i="6"/>
  <c r="A270" i="6"/>
  <c r="D269" i="6"/>
  <c r="C269" i="6"/>
  <c r="A269" i="6"/>
  <c r="D268" i="6"/>
  <c r="C268" i="6"/>
  <c r="A268" i="6"/>
  <c r="D267" i="6"/>
  <c r="C267" i="6"/>
  <c r="A267" i="6"/>
  <c r="D266" i="6"/>
  <c r="C266" i="6"/>
  <c r="A266" i="6"/>
  <c r="D265" i="6"/>
  <c r="C265" i="6"/>
  <c r="A265" i="6"/>
  <c r="D264" i="6"/>
  <c r="C264" i="6"/>
  <c r="A264" i="6"/>
  <c r="D263" i="6"/>
  <c r="C263" i="6"/>
  <c r="A263" i="6"/>
  <c r="D262" i="6"/>
  <c r="C262" i="6"/>
  <c r="A262" i="6"/>
  <c r="D261" i="6"/>
  <c r="C261" i="6"/>
  <c r="A261" i="6"/>
  <c r="D260" i="6"/>
  <c r="C260" i="6"/>
  <c r="A260" i="6"/>
  <c r="D259" i="6"/>
  <c r="C259" i="6"/>
  <c r="A259" i="6"/>
  <c r="D258" i="6"/>
  <c r="C258" i="6"/>
  <c r="A258" i="6"/>
  <c r="D257" i="6"/>
  <c r="C257" i="6"/>
  <c r="A257" i="6"/>
  <c r="D256" i="6"/>
  <c r="C256" i="6"/>
  <c r="A256" i="6"/>
  <c r="D255" i="6"/>
  <c r="C255" i="6"/>
  <c r="A255" i="6"/>
  <c r="D254" i="6"/>
  <c r="C254" i="6"/>
  <c r="A254" i="6"/>
  <c r="D253" i="6"/>
  <c r="C253" i="6"/>
  <c r="A253" i="6"/>
  <c r="D252" i="6"/>
  <c r="C252" i="6"/>
  <c r="A252" i="6"/>
  <c r="D251" i="6"/>
  <c r="C251" i="6"/>
  <c r="A251" i="6"/>
  <c r="D250" i="6"/>
  <c r="C250" i="6"/>
  <c r="A250" i="6"/>
  <c r="D249" i="6"/>
  <c r="C249" i="6"/>
  <c r="A249" i="6"/>
  <c r="D248" i="6"/>
  <c r="C248" i="6"/>
  <c r="A248" i="6"/>
  <c r="D247" i="6"/>
  <c r="C247" i="6"/>
  <c r="A247" i="6"/>
  <c r="D246" i="6"/>
  <c r="C246" i="6"/>
  <c r="A246" i="6"/>
  <c r="D245" i="6"/>
  <c r="C245" i="6"/>
  <c r="A245" i="6"/>
  <c r="D244" i="6"/>
  <c r="C244" i="6"/>
  <c r="A244" i="6"/>
  <c r="D243" i="6"/>
  <c r="C243" i="6"/>
  <c r="A243" i="6"/>
  <c r="D242" i="6"/>
  <c r="C242" i="6"/>
  <c r="A242" i="6"/>
  <c r="D241" i="6"/>
  <c r="C241" i="6"/>
  <c r="A241" i="6"/>
  <c r="D240" i="6"/>
  <c r="C240" i="6"/>
  <c r="A240" i="6"/>
  <c r="D239" i="6"/>
  <c r="C239" i="6"/>
  <c r="A239" i="6"/>
  <c r="D238" i="6"/>
  <c r="C238" i="6"/>
  <c r="A238" i="6"/>
  <c r="D237" i="6"/>
  <c r="C237" i="6"/>
  <c r="A237" i="6"/>
  <c r="D236" i="6"/>
  <c r="C236" i="6"/>
  <c r="A236" i="6"/>
  <c r="D235" i="6"/>
  <c r="C235" i="6"/>
  <c r="A235" i="6"/>
  <c r="D234" i="6"/>
  <c r="C234" i="6"/>
  <c r="A234" i="6"/>
  <c r="D233" i="6"/>
  <c r="C233" i="6"/>
  <c r="A233" i="6"/>
  <c r="D232" i="6"/>
  <c r="C232" i="6"/>
  <c r="A232" i="6"/>
  <c r="D231" i="6"/>
  <c r="C231" i="6"/>
  <c r="A231" i="6"/>
  <c r="D230" i="6"/>
  <c r="C230" i="6"/>
  <c r="A230" i="6"/>
  <c r="D229" i="6"/>
  <c r="C229" i="6"/>
  <c r="A229" i="6"/>
  <c r="D228" i="6"/>
  <c r="C228" i="6"/>
  <c r="A228" i="6"/>
  <c r="D227" i="6"/>
  <c r="C227" i="6"/>
  <c r="A227" i="6"/>
  <c r="D226" i="6"/>
  <c r="C226" i="6"/>
  <c r="A226" i="6"/>
  <c r="D225" i="6"/>
  <c r="C225" i="6"/>
  <c r="A225" i="6"/>
  <c r="D224" i="6"/>
  <c r="C224" i="6"/>
  <c r="A224" i="6"/>
  <c r="D223" i="6"/>
  <c r="C223" i="6"/>
  <c r="A223" i="6"/>
  <c r="D222" i="6"/>
  <c r="C222" i="6"/>
  <c r="A222" i="6"/>
  <c r="D221" i="6"/>
  <c r="C221" i="6"/>
  <c r="A221" i="6"/>
  <c r="D220" i="6"/>
  <c r="C220" i="6"/>
  <c r="A220" i="6"/>
  <c r="D219" i="6"/>
  <c r="C219" i="6"/>
  <c r="A219" i="6"/>
  <c r="D218" i="6"/>
  <c r="C218" i="6"/>
  <c r="A218" i="6"/>
  <c r="D217" i="6"/>
  <c r="C217" i="6"/>
  <c r="A217" i="6"/>
  <c r="D216" i="6"/>
  <c r="C216" i="6"/>
  <c r="A216" i="6"/>
  <c r="D215" i="6"/>
  <c r="C215" i="6"/>
  <c r="A215" i="6"/>
  <c r="D214" i="6"/>
  <c r="C214" i="6"/>
  <c r="A214" i="6"/>
  <c r="D213" i="6"/>
  <c r="C213" i="6"/>
  <c r="A213" i="6"/>
  <c r="D212" i="6"/>
  <c r="C212" i="6"/>
  <c r="A212" i="6"/>
  <c r="D211" i="6"/>
  <c r="C211" i="6"/>
  <c r="A211" i="6"/>
  <c r="D210" i="6"/>
  <c r="C210" i="6"/>
  <c r="A210" i="6"/>
  <c r="D209" i="6"/>
  <c r="C209" i="6"/>
  <c r="A209" i="6"/>
  <c r="D208" i="6"/>
  <c r="C208" i="6"/>
  <c r="A208" i="6"/>
  <c r="D207" i="6"/>
  <c r="C207" i="6"/>
  <c r="A207" i="6"/>
  <c r="D206" i="6"/>
  <c r="C206" i="6"/>
  <c r="A206" i="6"/>
  <c r="D205" i="6"/>
  <c r="C205" i="6"/>
  <c r="A205" i="6"/>
  <c r="D204" i="6"/>
  <c r="C204" i="6"/>
  <c r="A204" i="6"/>
  <c r="D203" i="6"/>
  <c r="C203" i="6"/>
  <c r="A203" i="6"/>
  <c r="D202" i="6"/>
  <c r="C202" i="6"/>
  <c r="A202" i="6"/>
  <c r="D201" i="6"/>
  <c r="C201" i="6"/>
  <c r="A201" i="6"/>
  <c r="D200" i="6"/>
  <c r="C200" i="6"/>
  <c r="A200" i="6"/>
  <c r="D199" i="6"/>
  <c r="C199" i="6"/>
  <c r="A199" i="6"/>
  <c r="D198" i="6"/>
  <c r="C198" i="6"/>
  <c r="A198" i="6"/>
  <c r="D197" i="6"/>
  <c r="C197" i="6"/>
  <c r="A197" i="6"/>
  <c r="D196" i="6"/>
  <c r="C196" i="6"/>
  <c r="A196" i="6"/>
  <c r="D195" i="6"/>
  <c r="C195" i="6"/>
  <c r="A195" i="6"/>
  <c r="D194" i="6"/>
  <c r="C194" i="6"/>
  <c r="A194" i="6"/>
  <c r="D193" i="6"/>
  <c r="C193" i="6"/>
  <c r="A193" i="6"/>
  <c r="D192" i="6"/>
  <c r="C192" i="6"/>
  <c r="A192" i="6"/>
  <c r="D191" i="6"/>
  <c r="C191" i="6"/>
  <c r="A191" i="6"/>
  <c r="D190" i="6"/>
  <c r="C190" i="6"/>
  <c r="A190" i="6"/>
  <c r="D189" i="6"/>
  <c r="C189" i="6"/>
  <c r="A189" i="6"/>
  <c r="D188" i="6"/>
  <c r="C188" i="6"/>
  <c r="A188" i="6"/>
  <c r="D187" i="6"/>
  <c r="C187" i="6"/>
  <c r="A187" i="6"/>
  <c r="D186" i="6"/>
  <c r="C186" i="6"/>
  <c r="A186" i="6"/>
  <c r="D185" i="6"/>
  <c r="C185" i="6"/>
  <c r="A185" i="6"/>
  <c r="D184" i="6"/>
  <c r="C184" i="6"/>
  <c r="A184" i="6"/>
  <c r="D183" i="6"/>
  <c r="C183" i="6"/>
  <c r="A183" i="6"/>
  <c r="D182" i="6"/>
  <c r="C182" i="6"/>
  <c r="A182" i="6"/>
  <c r="D181" i="6"/>
  <c r="C181" i="6"/>
  <c r="A181" i="6"/>
  <c r="D180" i="6"/>
  <c r="C180" i="6"/>
  <c r="A180" i="6"/>
  <c r="D179" i="6"/>
  <c r="C179" i="6"/>
  <c r="A179" i="6"/>
  <c r="D178" i="6"/>
  <c r="C178" i="6"/>
  <c r="A178" i="6"/>
  <c r="D177" i="6"/>
  <c r="C177" i="6"/>
  <c r="A177" i="6"/>
  <c r="D176" i="6"/>
  <c r="C176" i="6"/>
  <c r="A176" i="6"/>
  <c r="D175" i="6"/>
  <c r="C175" i="6"/>
  <c r="A175" i="6"/>
  <c r="D174" i="6"/>
  <c r="C174" i="6"/>
  <c r="A174" i="6"/>
  <c r="D173" i="6"/>
  <c r="C173" i="6"/>
  <c r="A173" i="6"/>
  <c r="D172" i="6"/>
  <c r="C172" i="6"/>
  <c r="A172" i="6"/>
  <c r="D171" i="6"/>
  <c r="C171" i="6"/>
  <c r="A171" i="6"/>
  <c r="D170" i="6"/>
  <c r="C170" i="6"/>
  <c r="A170" i="6"/>
  <c r="D169" i="6"/>
  <c r="C169" i="6"/>
  <c r="A169" i="6"/>
  <c r="D168" i="6"/>
  <c r="C168" i="6"/>
  <c r="A168" i="6"/>
  <c r="D167" i="6"/>
  <c r="C167" i="6"/>
  <c r="A167" i="6"/>
  <c r="D166" i="6"/>
  <c r="C166" i="6"/>
  <c r="A166" i="6"/>
  <c r="D165" i="6"/>
  <c r="C165" i="6"/>
  <c r="A165" i="6"/>
  <c r="D164" i="6"/>
  <c r="C164" i="6"/>
  <c r="A164" i="6"/>
  <c r="D163" i="6"/>
  <c r="C163" i="6"/>
  <c r="A163" i="6"/>
  <c r="D162" i="6"/>
  <c r="C162" i="6"/>
  <c r="A162" i="6"/>
  <c r="D161" i="6"/>
  <c r="C161" i="6"/>
  <c r="A161" i="6"/>
  <c r="D160" i="6"/>
  <c r="C160" i="6"/>
  <c r="A160" i="6"/>
  <c r="D159" i="6"/>
  <c r="C159" i="6"/>
  <c r="A159" i="6"/>
  <c r="D158" i="6"/>
  <c r="C158" i="6"/>
  <c r="A158" i="6"/>
  <c r="D157" i="6"/>
  <c r="C157" i="6"/>
  <c r="A157" i="6"/>
  <c r="D156" i="6"/>
  <c r="C156" i="6"/>
  <c r="A156" i="6"/>
  <c r="D155" i="6"/>
  <c r="C155" i="6"/>
  <c r="A155" i="6"/>
  <c r="D154" i="6"/>
  <c r="C154" i="6"/>
  <c r="A154" i="6"/>
  <c r="D153" i="6"/>
  <c r="C153" i="6"/>
  <c r="A153" i="6"/>
  <c r="D152" i="6"/>
  <c r="C152" i="6"/>
  <c r="A152" i="6"/>
  <c r="D151" i="6"/>
  <c r="C151" i="6"/>
  <c r="A151" i="6"/>
  <c r="D150" i="6"/>
  <c r="C150" i="6"/>
  <c r="A150" i="6"/>
  <c r="D149" i="6"/>
  <c r="C149" i="6"/>
  <c r="A149" i="6"/>
  <c r="D148" i="6"/>
  <c r="C148" i="6"/>
  <c r="A148" i="6"/>
  <c r="D147" i="6"/>
  <c r="C147" i="6"/>
  <c r="A147" i="6"/>
  <c r="D146" i="6"/>
  <c r="C146" i="6"/>
  <c r="A146" i="6"/>
  <c r="D145" i="6"/>
  <c r="C145" i="6"/>
  <c r="A145" i="6"/>
  <c r="D144" i="6"/>
  <c r="C144" i="6"/>
  <c r="A144" i="6"/>
  <c r="D143" i="6"/>
  <c r="C143" i="6"/>
  <c r="A143" i="6"/>
  <c r="D142" i="6"/>
  <c r="C142" i="6"/>
  <c r="A142" i="6"/>
  <c r="D141" i="6"/>
  <c r="C141" i="6"/>
  <c r="A141" i="6"/>
  <c r="D140" i="6"/>
  <c r="C140" i="6"/>
  <c r="A140" i="6"/>
  <c r="D139" i="6"/>
  <c r="C139" i="6"/>
  <c r="A139" i="6"/>
  <c r="D138" i="6"/>
  <c r="C138" i="6"/>
  <c r="A138" i="6"/>
  <c r="D137" i="6"/>
  <c r="C137" i="6"/>
  <c r="A137" i="6"/>
  <c r="D136" i="6"/>
  <c r="C136" i="6"/>
  <c r="A136" i="6"/>
  <c r="D135" i="6"/>
  <c r="C135" i="6"/>
  <c r="A135" i="6"/>
  <c r="D134" i="6"/>
  <c r="C134" i="6"/>
  <c r="A134" i="6"/>
  <c r="D133" i="6"/>
  <c r="C133" i="6"/>
  <c r="A133" i="6"/>
  <c r="D132" i="6"/>
  <c r="C132" i="6"/>
  <c r="A132" i="6"/>
  <c r="D131" i="6"/>
  <c r="C131" i="6"/>
  <c r="A131" i="6"/>
  <c r="D130" i="6"/>
  <c r="C130" i="6"/>
  <c r="A130" i="6"/>
  <c r="D129" i="6"/>
  <c r="C129" i="6"/>
  <c r="A129" i="6"/>
  <c r="D128" i="6"/>
  <c r="C128" i="6"/>
  <c r="A128" i="6"/>
  <c r="D127" i="6"/>
  <c r="C127" i="6"/>
  <c r="A127" i="6"/>
  <c r="D126" i="6"/>
  <c r="C126" i="6"/>
  <c r="A126" i="6"/>
  <c r="D125" i="6"/>
  <c r="C125" i="6"/>
  <c r="A125" i="6"/>
  <c r="D124" i="6"/>
  <c r="C124" i="6"/>
  <c r="A124" i="6"/>
  <c r="D123" i="6"/>
  <c r="C123" i="6"/>
  <c r="A123" i="6"/>
  <c r="D122" i="6"/>
  <c r="C122" i="6"/>
  <c r="A122" i="6"/>
  <c r="D121" i="6"/>
  <c r="C121" i="6"/>
  <c r="A121" i="6"/>
  <c r="D120" i="6"/>
  <c r="C120" i="6"/>
  <c r="A120" i="6"/>
  <c r="D119" i="6"/>
  <c r="C119" i="6"/>
  <c r="A119" i="6"/>
  <c r="D118" i="6"/>
  <c r="C118" i="6"/>
  <c r="A118" i="6"/>
  <c r="D117" i="6"/>
  <c r="C117" i="6"/>
  <c r="A117" i="6"/>
  <c r="D116" i="6"/>
  <c r="C116" i="6"/>
  <c r="A116" i="6"/>
  <c r="D115" i="6"/>
  <c r="C115" i="6"/>
  <c r="A115" i="6"/>
  <c r="D114" i="6"/>
  <c r="C114" i="6"/>
  <c r="A114" i="6"/>
  <c r="D113" i="6"/>
  <c r="C113" i="6"/>
  <c r="A113" i="6"/>
  <c r="D112" i="6"/>
  <c r="C112" i="6"/>
  <c r="A112" i="6"/>
  <c r="D111" i="6"/>
  <c r="C111" i="6"/>
  <c r="A111" i="6"/>
  <c r="D110" i="6"/>
  <c r="C110" i="6"/>
  <c r="A110" i="6"/>
  <c r="D109" i="6"/>
  <c r="C109" i="6"/>
  <c r="A109" i="6"/>
  <c r="D108" i="6"/>
  <c r="C108" i="6"/>
  <c r="A108" i="6"/>
  <c r="D107" i="6"/>
  <c r="C107" i="6"/>
  <c r="A107" i="6"/>
  <c r="D106" i="6"/>
  <c r="C106" i="6"/>
  <c r="A106" i="6"/>
  <c r="D105" i="6"/>
  <c r="C105" i="6"/>
  <c r="A105" i="6"/>
  <c r="D104" i="6"/>
  <c r="C104" i="6"/>
  <c r="A104" i="6"/>
  <c r="D103" i="6"/>
  <c r="C103" i="6"/>
  <c r="A103" i="6"/>
  <c r="D102" i="6"/>
  <c r="C102" i="6"/>
  <c r="A102" i="6"/>
  <c r="D101" i="6"/>
  <c r="C101" i="6"/>
  <c r="A101" i="6"/>
  <c r="D100" i="6"/>
  <c r="C100" i="6"/>
  <c r="A100" i="6"/>
  <c r="D99" i="6"/>
  <c r="C99" i="6"/>
  <c r="A99" i="6"/>
  <c r="D98" i="6"/>
  <c r="C98" i="6"/>
  <c r="A98" i="6"/>
  <c r="D97" i="6"/>
  <c r="C97" i="6"/>
  <c r="A97" i="6"/>
  <c r="D96" i="6"/>
  <c r="C96" i="6"/>
  <c r="A96" i="6"/>
  <c r="D95" i="6"/>
  <c r="C95" i="6"/>
  <c r="A95" i="6"/>
  <c r="D94" i="6"/>
  <c r="C94" i="6"/>
  <c r="A94" i="6"/>
  <c r="D93" i="6"/>
  <c r="C93" i="6"/>
  <c r="A93" i="6"/>
  <c r="D92" i="6"/>
  <c r="C92" i="6"/>
  <c r="A92" i="6"/>
  <c r="D91" i="6"/>
  <c r="C91" i="6"/>
  <c r="A91" i="6"/>
  <c r="D90" i="6"/>
  <c r="C90" i="6"/>
  <c r="A90" i="6"/>
  <c r="D89" i="6"/>
  <c r="C89" i="6"/>
  <c r="A89" i="6"/>
  <c r="D88" i="6"/>
  <c r="C88" i="6"/>
  <c r="A88" i="6"/>
  <c r="D87" i="6"/>
  <c r="C87" i="6"/>
  <c r="A87" i="6"/>
  <c r="D86" i="6"/>
  <c r="C86" i="6"/>
  <c r="A86" i="6"/>
  <c r="D85" i="6"/>
  <c r="C85" i="6"/>
  <c r="A85" i="6"/>
  <c r="D84" i="6"/>
  <c r="C84" i="6"/>
  <c r="A84" i="6"/>
  <c r="D83" i="6"/>
  <c r="C83" i="6"/>
  <c r="A83" i="6"/>
  <c r="D82" i="6"/>
  <c r="C82" i="6"/>
  <c r="A82" i="6"/>
  <c r="D81" i="6"/>
  <c r="C81" i="6"/>
  <c r="A81" i="6"/>
  <c r="D80" i="6"/>
  <c r="C80" i="6"/>
  <c r="A80" i="6"/>
  <c r="D79" i="6"/>
  <c r="C79" i="6"/>
  <c r="A79" i="6"/>
  <c r="D78" i="6"/>
  <c r="C78" i="6"/>
  <c r="A78" i="6"/>
  <c r="D77" i="6"/>
  <c r="C77" i="6"/>
  <c r="A77" i="6"/>
  <c r="D76" i="6"/>
  <c r="C76" i="6"/>
  <c r="A76" i="6"/>
  <c r="D75" i="6"/>
  <c r="C75" i="6"/>
  <c r="A75" i="6"/>
  <c r="D74" i="6"/>
  <c r="C74" i="6"/>
  <c r="A74" i="6"/>
  <c r="D73" i="6"/>
  <c r="C73" i="6"/>
  <c r="A73" i="6"/>
  <c r="D72" i="6"/>
  <c r="C72" i="6"/>
  <c r="A72" i="6"/>
  <c r="D71" i="6"/>
  <c r="C71" i="6"/>
  <c r="A71" i="6"/>
  <c r="D70" i="6"/>
  <c r="C70" i="6"/>
  <c r="A70" i="6"/>
  <c r="D69" i="6"/>
  <c r="C69" i="6"/>
  <c r="A69" i="6"/>
  <c r="D68" i="6"/>
  <c r="C68" i="6"/>
  <c r="A68" i="6"/>
  <c r="D67" i="6"/>
  <c r="C67" i="6"/>
  <c r="A67" i="6"/>
  <c r="D66" i="6"/>
  <c r="C66" i="6"/>
  <c r="A66" i="6"/>
  <c r="D65" i="6"/>
  <c r="C65" i="6"/>
  <c r="A65" i="6"/>
  <c r="D64" i="6"/>
  <c r="C64" i="6"/>
  <c r="A64" i="6"/>
  <c r="D63" i="6"/>
  <c r="C63" i="6"/>
  <c r="A63" i="6"/>
  <c r="D62" i="6"/>
  <c r="C62" i="6"/>
  <c r="A62" i="6"/>
  <c r="D61" i="6"/>
  <c r="C61" i="6"/>
  <c r="A61" i="6"/>
  <c r="D60" i="6"/>
  <c r="C60" i="6"/>
  <c r="A60" i="6"/>
  <c r="D59" i="6"/>
  <c r="C59" i="6"/>
  <c r="A59" i="6"/>
  <c r="C58" i="6"/>
  <c r="A58" i="6"/>
  <c r="D57" i="6"/>
  <c r="C57" i="6"/>
  <c r="A57" i="6"/>
  <c r="D56" i="6"/>
  <c r="C56" i="6"/>
  <c r="A56" i="6"/>
  <c r="D55" i="6"/>
  <c r="C55" i="6"/>
  <c r="A55" i="6"/>
  <c r="D54" i="6"/>
  <c r="C54" i="6"/>
  <c r="A54" i="6"/>
  <c r="D53" i="6"/>
  <c r="C53" i="6"/>
  <c r="A53" i="6"/>
  <c r="D52" i="6"/>
  <c r="C52" i="6"/>
  <c r="A52" i="6"/>
  <c r="D51" i="6"/>
  <c r="C51" i="6"/>
  <c r="A51" i="6"/>
  <c r="D50" i="6"/>
  <c r="C50" i="6"/>
  <c r="A50" i="6"/>
  <c r="D49" i="6"/>
  <c r="C49" i="6"/>
  <c r="A49" i="6"/>
  <c r="D48" i="6"/>
  <c r="C48" i="6"/>
  <c r="A48" i="6"/>
  <c r="D47" i="6"/>
  <c r="C47" i="6"/>
  <c r="A47" i="6"/>
  <c r="D46" i="6"/>
  <c r="C46" i="6"/>
  <c r="A46" i="6"/>
  <c r="D45" i="6"/>
  <c r="C45" i="6"/>
  <c r="A45" i="6"/>
  <c r="D44" i="6"/>
  <c r="C44" i="6"/>
  <c r="A44" i="6"/>
  <c r="D43" i="6"/>
  <c r="C43" i="6"/>
  <c r="A43" i="6"/>
  <c r="D42" i="6"/>
  <c r="C42" i="6"/>
  <c r="A42" i="6"/>
  <c r="D41" i="6"/>
  <c r="C41" i="6"/>
  <c r="A41" i="6"/>
  <c r="D40" i="6"/>
  <c r="C40" i="6"/>
  <c r="A40" i="6"/>
  <c r="D39" i="6"/>
  <c r="C39" i="6"/>
  <c r="A39" i="6"/>
  <c r="D38" i="6"/>
  <c r="C38" i="6"/>
  <c r="A38" i="6"/>
  <c r="D37" i="6"/>
  <c r="C37" i="6"/>
  <c r="A37" i="6"/>
  <c r="D36" i="6"/>
  <c r="C36" i="6"/>
  <c r="A36" i="6"/>
  <c r="D35" i="6"/>
  <c r="C35" i="6"/>
  <c r="A35" i="6"/>
  <c r="D34" i="6"/>
  <c r="C34" i="6"/>
  <c r="A34" i="6"/>
  <c r="D33" i="6"/>
  <c r="C33" i="6"/>
  <c r="A33" i="6"/>
  <c r="D32" i="6"/>
  <c r="C32" i="6"/>
  <c r="A32" i="6"/>
  <c r="D31" i="6"/>
  <c r="C31" i="6"/>
  <c r="A31" i="6"/>
  <c r="D30" i="6"/>
  <c r="C30" i="6"/>
  <c r="A30" i="6"/>
  <c r="A29" i="6"/>
  <c r="A28" i="6"/>
  <c r="A27" i="6"/>
  <c r="A26" i="6"/>
  <c r="A25" i="6"/>
  <c r="A24" i="6"/>
  <c r="A23" i="6"/>
  <c r="D22" i="6"/>
  <c r="C22" i="6"/>
  <c r="A22" i="6"/>
  <c r="D21" i="6"/>
  <c r="C21" i="6"/>
  <c r="A21" i="6"/>
  <c r="D20" i="6"/>
  <c r="C20" i="6"/>
  <c r="A20" i="6"/>
  <c r="A19" i="6"/>
  <c r="A18" i="6"/>
  <c r="A17" i="6"/>
  <c r="A16" i="6"/>
  <c r="D15" i="6"/>
  <c r="C15" i="6"/>
  <c r="A15" i="6"/>
  <c r="D14" i="6"/>
  <c r="C14" i="6"/>
  <c r="A14" i="6"/>
  <c r="A13" i="6"/>
  <c r="A12" i="6"/>
  <c r="A11" i="6"/>
  <c r="A10" i="6"/>
  <c r="A9" i="6"/>
  <c r="A8" i="6"/>
  <c r="A7" i="6"/>
  <c r="A6" i="6"/>
  <c r="D5" i="6"/>
  <c r="C5" i="6"/>
  <c r="A5" i="6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D512" i="6" s="1"/>
  <c r="C78" i="5"/>
  <c r="C77" i="5"/>
  <c r="C76" i="5"/>
  <c r="C75" i="5"/>
  <c r="C74" i="5"/>
  <c r="C73" i="5"/>
  <c r="C72" i="5"/>
  <c r="C71" i="5"/>
  <c r="C70" i="5"/>
  <c r="C69" i="5"/>
  <c r="C68" i="5"/>
  <c r="C67" i="5"/>
  <c r="D421" i="6" s="1"/>
  <c r="C66" i="5"/>
  <c r="C65" i="5"/>
  <c r="D398" i="6" s="1"/>
  <c r="C64" i="5"/>
  <c r="C63" i="5"/>
  <c r="C62" i="5"/>
  <c r="D368" i="6" s="1"/>
  <c r="C61" i="5"/>
  <c r="C60" i="5"/>
  <c r="C59" i="5"/>
  <c r="C58" i="5"/>
  <c r="C57" i="5"/>
  <c r="C56" i="5"/>
  <c r="C55" i="5"/>
  <c r="C54" i="5"/>
  <c r="C53" i="5"/>
  <c r="C52" i="5"/>
  <c r="C51" i="5"/>
  <c r="C50" i="5"/>
  <c r="C48" i="5"/>
  <c r="C47" i="5"/>
  <c r="C46" i="5"/>
  <c r="C45" i="5"/>
  <c r="C43" i="5"/>
  <c r="C42" i="5"/>
  <c r="C41" i="5"/>
  <c r="C40" i="5"/>
  <c r="C39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D58" i="6" s="1"/>
  <c r="C14" i="5"/>
  <c r="C13" i="5"/>
  <c r="C12" i="5"/>
  <c r="C11" i="5"/>
  <c r="C10" i="5"/>
  <c r="C7" i="5"/>
  <c r="C6" i="5"/>
  <c r="C5" i="5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5" i="2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B9" i="9" l="1"/>
</calcChain>
</file>

<file path=xl/sharedStrings.xml><?xml version="1.0" encoding="utf-8"?>
<sst xmlns="http://schemas.openxmlformats.org/spreadsheetml/2006/main" count="5264" uniqueCount="821">
  <si>
    <t>Petunjuk pengisian data</t>
  </si>
  <si>
    <t>Isi sel berwarna kuning. Jangan mengubah judul kolom.</t>
  </si>
  <si>
    <t>Tanda * = wajib diisi. Kolom otomatis berwarna biru muda. Di Simpanan, isi angka pada jenis yang tersedia.</t>
  </si>
  <si>
    <t>Urutan</t>
  </si>
  <si>
    <t>Yang dilakukan</t>
  </si>
  <si>
    <t/>
  </si>
  <si>
    <t>1</t>
  </si>
  <si>
    <t>Isi 01_Anggota terlebih dahulu. Satu orang cukup satu baris.</t>
  </si>
  <si>
    <t>2</t>
  </si>
  <si>
    <t>Jika nama/NPP dari file lama berbeda, isi 02_Pencocokan_Nama.</t>
  </si>
  <si>
    <t>3</t>
  </si>
  <si>
    <t>Isi 03_Simpanan satu baris untuk setiap anggota. Isi nilai KHUSUS, MANASUKA, WAJIB, dan SHU pada kolom masing-masing.</t>
  </si>
  <si>
    <t>4</t>
  </si>
  <si>
    <t>Isi 04_Pinjaman satu baris untuk setiap pinjaman. Buat nomor pinjaman yang unik.</t>
  </si>
  <si>
    <t>5</t>
  </si>
  <si>
    <t>Isi 05_Angsuran dan pastikan setiap angsuran punya satu nomor pinjaman.</t>
  </si>
  <si>
    <t>6</t>
  </si>
  <si>
    <t>Gunakan 06_Pengecualian untuk data yang memang tidak boleh masuk.</t>
  </si>
  <si>
    <t>7</t>
  </si>
  <si>
    <t>Lihat 09_Contoh_Isian, isi kolom bertanda *, pilih nama dari daftar jika tersedia, jawab 07_Pertanyaan, lalu periksa 08_Pemeriksaan.</t>
  </si>
  <si>
    <t>Warna</t>
  </si>
  <si>
    <t>Arti</t>
  </si>
  <si>
    <t>Contoh</t>
  </si>
  <si>
    <t>Kuning</t>
  </si>
  <si>
    <t>Tempat yang perlu diisi atau diperbaiki</t>
  </si>
  <si>
    <t>Nama, NPP, tanggal, jumlah</t>
  </si>
  <si>
    <t>Biru tua</t>
  </si>
  <si>
    <t>Judul kolom; jangan diubah</t>
  </si>
  <si>
    <t>Nama Lengkap</t>
  </si>
  <si>
    <t>Hijau / merah</t>
  </si>
  <si>
    <t>Hasil pemeriksaan</t>
  </si>
  <si>
    <t>0 = tidak ada masalah; angka &gt; 0 = perlu dicek</t>
  </si>
  <si>
    <t>Aturan penting</t>
  </si>
  <si>
    <t>NPP</t>
  </si>
  <si>
    <t>Simpan NPP sebagai teks agar angka 0 di depan tidak hilang. NPP PHL yang bukan angka harus dibuat unik dan tidak boleh kosong.</t>
  </si>
  <si>
    <t>Tanggal</t>
  </si>
  <si>
    <t>Gunakan format YYYY-MM-DD. Jika tanggal bergabung kosong, gunakan 2026-09-07 dan tulis 'tanggal sementara' di catatan.</t>
  </si>
  <si>
    <t>Jumlah</t>
  </si>
  <si>
    <t>Isi angka Rupiah utuh tanpa pembulatan. Contoh: 1500000, bukan Rp1.500.000 dan bukan 1.500.000,50.</t>
  </si>
  <si>
    <t>Simpanan</t>
  </si>
  <si>
    <t>Satu baris Simpanan = satu anggota. Isi angka pada kolom KHUSUS, MANASUKA, WAJIB, dan SHU. Kosong atau 0 berarti tidak ada nilai.</t>
  </si>
  <si>
    <t>Pinjaman</t>
  </si>
  <si>
    <t>Pokok, admin, total kewajiban, lama cicilan, tanggal cair, dan status harus berasal dari sumber atau keputusan yang disetujui.</t>
  </si>
  <si>
    <t>Angsuran</t>
  </si>
  <si>
    <t>Satu angsuran harus menunjuk ke satu nomor pinjaman. Jangan memakai nomor baris sebagai nomor pinjaman.</t>
  </si>
  <si>
    <t>Anggota aktif</t>
  </si>
  <si>
    <t>Anggota Aktif, Baru, dan PHL dapat dibuatkan akun. Anggota Purna Bakti tetap dicatat untuk sejarah, tetapi tidak dibuatkan akun.</t>
  </si>
  <si>
    <t>Pengecualian</t>
  </si>
  <si>
    <t>Catat data yang sengaja tidak dimasukkan di 06_Pengecualian, lengkap dengan alasan dan persetujuan.</t>
  </si>
  <si>
    <t>Sumber</t>
  </si>
  <si>
    <t>Asal Sheet dan Baris Asal adalah catatan audit untuk pencocokan atau pengecualian. Tidak perlu diisi di Simpanan dan Angsuran.</t>
  </si>
  <si>
    <t>Pemeriksaan</t>
  </si>
  <si>
    <t>Sebelum dikirim, angka merah harus menjadi 0 atau sudah memiliki keputusan tertulis.</t>
  </si>
  <si>
    <t>Daftar anggota</t>
  </si>
  <si>
    <t>Satu orang satu baris. Anggota aktif dan tidak aktif tetap dicatat jika punya sejarah transaksi.</t>
  </si>
  <si>
    <t>No (otomatis)</t>
  </si>
  <si>
    <t>NPP Koperasi *</t>
  </si>
  <si>
    <t>NPP Lama</t>
  </si>
  <si>
    <t>Nama Lengkap *</t>
  </si>
  <si>
    <t>Status *</t>
  </si>
  <si>
    <t>Jenis Anggota</t>
  </si>
  <si>
    <t>Tanggal Bergabung *</t>
  </si>
  <si>
    <t>Area</t>
  </si>
  <si>
    <t>No. HP</t>
  </si>
  <si>
    <t>Alamat</t>
  </si>
  <si>
    <t>Keputusan Identitas *</t>
  </si>
  <si>
    <t>Masukkan? *</t>
  </si>
  <si>
    <t>Catatan</t>
  </si>
  <si>
    <t>Data simpanan</t>
  </si>
  <si>
    <t>Satu baris untuk satu anggota. Isi angka pada jenis simpanan yang tersedia. Kosong atau 0 berarti tidak ada nilai.</t>
  </si>
  <si>
    <t>Nama Anggota *</t>
  </si>
  <si>
    <t>NPP (otomatis)</t>
  </si>
  <si>
    <t>KHUSUS (Rp)</t>
  </si>
  <si>
    <t>MANASUKA (Rp)</t>
  </si>
  <si>
    <t>WAJIB (Rp)</t>
  </si>
  <si>
    <t>SHU (Rp)</t>
  </si>
  <si>
    <t>Data pinjaman</t>
  </si>
  <si>
    <t>Satu baris untuk setiap pinjaman. Buat Nomor Pinjaman yang unik agar angsuran dapat disambungkan.</t>
  </si>
  <si>
    <t>No Pinjaman *</t>
  </si>
  <si>
    <t>Jenis Pinjaman *</t>
  </si>
  <si>
    <t>Pokok (Rp) *</t>
  </si>
  <si>
    <t>Admin (Rp)</t>
  </si>
  <si>
    <t>Total Kewajiban (Rp) *</t>
  </si>
  <si>
    <t>Lama Cicilan (Bulan) *</t>
  </si>
  <si>
    <t>Tanggal Cair *</t>
  </si>
  <si>
    <t>Data angsuran</t>
  </si>
  <si>
    <t>Satu baris untuk setiap pembayaran. Pilih No Pinjaman dari daftar.</t>
  </si>
  <si>
    <t>No Angsuran (otomatis)</t>
  </si>
  <si>
    <t>Nama Anggota (otomatis)</t>
  </si>
  <si>
    <t>Tanggal *</t>
  </si>
  <si>
    <t>Jumlah (Rp) *</t>
  </si>
  <si>
    <t>Pemeriksaan kelengkapan</t>
  </si>
  <si>
    <t>Angka merah menunjukkan data yang masih perlu diisi atau diputuskan.</t>
  </si>
  <si>
    <t>Yang diperiksa</t>
  </si>
  <si>
    <t>Artinya</t>
  </si>
  <si>
    <t>Yang harus dilakukan</t>
  </si>
  <si>
    <t>Anggota tanpa NPP</t>
  </si>
  <si>
    <t>Identitas belum lengkap</t>
  </si>
  <si>
    <t>Lengkapi 01_Anggota</t>
  </si>
  <si>
    <t>Anggota tanpa tanggal bergabung</t>
  </si>
  <si>
    <t>Tanggal wajib diisi</t>
  </si>
  <si>
    <t>Isi tanggal atau gunakan 2026-09-07</t>
  </si>
  <si>
    <t>Identitas anggota belum disetujui</t>
  </si>
  <si>
    <t>Nama/NPP belum dipastikan</t>
  </si>
  <si>
    <t>Setujui atau keluarkan</t>
  </si>
  <si>
    <t>Simpanan tanpa nama</t>
  </si>
  <si>
    <t>Ada nilai simpanan tetapi belum tersambung</t>
  </si>
  <si>
    <t>Pilih nama dari daftar</t>
  </si>
  <si>
    <t>Simpanan tanpa NPP</t>
  </si>
  <si>
    <t>Nama simpanan belum punya NPP</t>
  </si>
  <si>
    <t>Periksa 01_Anggota</t>
  </si>
  <si>
    <t>Pinjaman tanpa nomor atau nama</t>
  </si>
  <si>
    <t>Pinjaman belum tersambung</t>
  </si>
  <si>
    <t>Isi nomor dan pilih nama</t>
  </si>
  <si>
    <t>Pinjaman tanpa pokok atau lama cicilan</t>
  </si>
  <si>
    <t>Nilai pinjaman belum lengkap</t>
  </si>
  <si>
    <t>Lengkapi angka</t>
  </si>
  <si>
    <t>Pinjaman tanpa tanggal cair</t>
  </si>
  <si>
    <t>Jadwal belum dapat dibuat</t>
  </si>
  <si>
    <t>Lengkapi tanggal</t>
  </si>
  <si>
    <t>Angsuran tanpa No Pinjaman</t>
  </si>
  <si>
    <t>Angsuran belum tersambung</t>
  </si>
  <si>
    <t>Pilih No Pinjaman</t>
  </si>
  <si>
    <t>Angsuran tanpa tanggal atau jumlah</t>
  </si>
  <si>
    <t>Data angsuran belum lengkap</t>
  </si>
  <si>
    <t>Isi tanggal dan jumlah</t>
  </si>
  <si>
    <t>Contoh pengisian</t>
  </si>
  <si>
    <t>Semua baris di tab ini hanya contoh. Jangan kirim atau masukkan baris contoh sebagai data sebenarnya.</t>
  </si>
  <si>
    <t>Cara memakai: ikuti susunan kolomnya, ganti isi contoh dengan data asli, lalu hapus tab ini sebelum workbook dikirim.</t>
  </si>
  <si>
    <t>Contoh 01_Anggota</t>
  </si>
  <si>
    <t>No</t>
  </si>
  <si>
    <t>NPP Koperasi</t>
  </si>
  <si>
    <t>Status</t>
  </si>
  <si>
    <t>Tanggal Bergabung</t>
  </si>
  <si>
    <t>Keputusan Identitas</t>
  </si>
  <si>
    <t>Masukkan?</t>
  </si>
  <si>
    <t>00555</t>
  </si>
  <si>
    <t>00444</t>
  </si>
  <si>
    <t>Budi Santoso</t>
  </si>
  <si>
    <t>Aktif</t>
  </si>
  <si>
    <t>Pegawai</t>
  </si>
  <si>
    <t>Cakung</t>
  </si>
  <si>
    <t>081234567890</t>
  </si>
  <si>
    <t>Alamat contoh</t>
  </si>
  <si>
    <t>Setuju</t>
  </si>
  <si>
    <t>Tidak</t>
  </si>
  <si>
    <t>CONTOH - HAPUS BARIS INI</t>
  </si>
  <si>
    <t>Contoh 02_Pencocokan_Nama</t>
  </si>
  <si>
    <t>Nama dari File Asal</t>
  </si>
  <si>
    <t>NPP dari File Asal</t>
  </si>
  <si>
    <t>Nama yang Benar</t>
  </si>
  <si>
    <t>NPP yang Dipakai</t>
  </si>
  <si>
    <t>Keputusan</t>
  </si>
  <si>
    <t>Asal Sheet</t>
  </si>
  <si>
    <t>Baris Asal</t>
  </si>
  <si>
    <t>Budi Sntoso</t>
  </si>
  <si>
    <t>Nama typo diperbaiki</t>
  </si>
  <si>
    <t>Master Anggota</t>
  </si>
  <si>
    <t>Contoh 03_Simpanan</t>
  </si>
  <si>
    <t>Nama Anggota</t>
  </si>
  <si>
    <t>Contoh 04_Pinjaman</t>
  </si>
  <si>
    <t>No Pinjaman</t>
  </si>
  <si>
    <t>Jenis Pinjaman</t>
  </si>
  <si>
    <t>Pokok (Rp)</t>
  </si>
  <si>
    <t>Total Kewajiban (Rp)</t>
  </si>
  <si>
    <t>Lama Cicilan (Bulan)</t>
  </si>
  <si>
    <t>Tanggal Cair</t>
  </si>
  <si>
    <t>PINJ-0001</t>
  </si>
  <si>
    <t>Reguler</t>
  </si>
  <si>
    <t>Berjalan</t>
  </si>
  <si>
    <t>Ya</t>
  </si>
  <si>
    <t>Contoh 05_Angsuran</t>
  </si>
  <si>
    <t>No Angsuran</t>
  </si>
  <si>
    <t>Jumlah (Rp)</t>
  </si>
  <si>
    <t>Metode</t>
  </si>
  <si>
    <t>3. Cicilan</t>
  </si>
  <si>
    <t>Contoh 06_Pengecualian</t>
  </si>
  <si>
    <t>Baris</t>
  </si>
  <si>
    <t>Jenis Data</t>
  </si>
  <si>
    <t>Nama</t>
  </si>
  <si>
    <t>Nilai Asli</t>
  </si>
  <si>
    <t>Alasan</t>
  </si>
  <si>
    <t>Disetujui Oleh</t>
  </si>
  <si>
    <t>Tanggal Persetujuan</t>
  </si>
  <si>
    <t>Detail Simpanan</t>
  </si>
  <si>
    <t>Nama Tidak Dikenal</t>
  </si>
  <si>
    <t>0</t>
  </si>
  <si>
    <t>Rp 20.000</t>
  </si>
  <si>
    <t>Nama tidak ditemukan di daftar anggota</t>
  </si>
  <si>
    <t>Admin</t>
  </si>
  <si>
    <t>Tetap disimpan sebagai catatan</t>
  </si>
  <si>
    <t>Contoh 07_Pertanyaan</t>
  </si>
  <si>
    <t>Topik</t>
  </si>
  <si>
    <t>Pertanyaan</t>
  </si>
  <si>
    <t>Jawaban</t>
  </si>
  <si>
    <t>Identitas</t>
  </si>
  <si>
    <t>Nama dari file asal cocok dengan anggota siapa?</t>
  </si>
  <si>
    <t>Budi Santoso, NPP 00555</t>
  </si>
  <si>
    <t>Sudah Dijawab</t>
  </si>
  <si>
    <t>Contoh jawaban</t>
  </si>
  <si>
    <t>Abdul Cahyo Nugroho</t>
  </si>
  <si>
    <t>Ahmad Fauzi - 00549</t>
  </si>
  <si>
    <t>Andrian Fadly</t>
  </si>
  <si>
    <t>Andung Juanda</t>
  </si>
  <si>
    <t>Anwari</t>
  </si>
  <si>
    <t>Ardiansyah</t>
  </si>
  <si>
    <t>Budi Laksono</t>
  </si>
  <si>
    <t>Dadi Muhamad Mulyadi</t>
  </si>
  <si>
    <t>Dara Maulida</t>
  </si>
  <si>
    <t>Dedy Kurniawan</t>
  </si>
  <si>
    <t>Dewi Kartini</t>
  </si>
  <si>
    <t>Diki Firmansyah</t>
  </si>
  <si>
    <t>Eka Yanuar Santosa</t>
  </si>
  <si>
    <t>Ferika Pujiyanti</t>
  </si>
  <si>
    <t>Gunawan</t>
  </si>
  <si>
    <t>Alfian Noor</t>
  </si>
  <si>
    <t>Hendra</t>
  </si>
  <si>
    <t>Heni Triandini</t>
  </si>
  <si>
    <t>Heru Purboyo</t>
  </si>
  <si>
    <t>Heru Sri Margono</t>
  </si>
  <si>
    <t>Indra Suwanda</t>
  </si>
  <si>
    <t>Ir. Djoko Maryono</t>
  </si>
  <si>
    <t>Ir. Okto Hendri Fahlefi</t>
  </si>
  <si>
    <t>Ismail</t>
  </si>
  <si>
    <t>Iwan Setiawan</t>
  </si>
  <si>
    <t>Jumadi</t>
  </si>
  <si>
    <t xml:space="preserve">Jaka Darsono, SE. </t>
  </si>
  <si>
    <t>Margono - 00281</t>
  </si>
  <si>
    <t>Margono QQ Rista - 00281</t>
  </si>
  <si>
    <t>Margono - 00368</t>
  </si>
  <si>
    <t>Minan Khusnaeni</t>
  </si>
  <si>
    <t>Mohammad Rizki</t>
  </si>
  <si>
    <t>Muhammad Dzil Ikram Jani</t>
  </si>
  <si>
    <t>Muhammad Irham</t>
  </si>
  <si>
    <t>Muhammad Khoirullah</t>
  </si>
  <si>
    <t>Rahmat Zaeni</t>
  </si>
  <si>
    <t>Riana Merry Natalia</t>
  </si>
  <si>
    <t>Riana Merry Natalia QQ Lasman</t>
  </si>
  <si>
    <t>Rico Septa Saputra</t>
  </si>
  <si>
    <t>Rosmiati</t>
  </si>
  <si>
    <t>Sudadi</t>
  </si>
  <si>
    <t>Sugiarto</t>
  </si>
  <si>
    <t>Toni</t>
  </si>
  <si>
    <t>Umayah</t>
  </si>
  <si>
    <t>Wawan Satriawan</t>
  </si>
  <si>
    <t>Wiyan Eko Supriyanto</t>
  </si>
  <si>
    <t>Sri Wahyuningsih</t>
  </si>
  <si>
    <t>Indra Jaya Nugraha Putra</t>
  </si>
  <si>
    <t>Dehur</t>
  </si>
  <si>
    <t>Yonatan Banobe</t>
  </si>
  <si>
    <t>Tri Indriyani</t>
  </si>
  <si>
    <t>Widodo</t>
  </si>
  <si>
    <t>Septi Priawandra</t>
  </si>
  <si>
    <t>Faisal Amri</t>
  </si>
  <si>
    <t>Ferry Firmanto</t>
  </si>
  <si>
    <t>Marhasan</t>
  </si>
  <si>
    <t>Rudiansyah</t>
  </si>
  <si>
    <t>Arsim</t>
  </si>
  <si>
    <t>Arief Indrawan</t>
  </si>
  <si>
    <t>Lita Ayu Rosida</t>
  </si>
  <si>
    <t>Fellix Stephen Willa</t>
  </si>
  <si>
    <t>Ahmad Zaid Mahfudi</t>
  </si>
  <si>
    <t>Tirto Bayu Saputro</t>
  </si>
  <si>
    <t>Arno Nugroho</t>
  </si>
  <si>
    <t>Afan Wahyu Syafii</t>
  </si>
  <si>
    <t>Mumuh Mulyawan</t>
  </si>
  <si>
    <t>Agung Pambudi</t>
  </si>
  <si>
    <t>Ari Wibowo - 00533</t>
  </si>
  <si>
    <t>Bayu Adithya Permana</t>
  </si>
  <si>
    <t>Eddy Sukaryan</t>
  </si>
  <si>
    <t>Eko Junaidi</t>
  </si>
  <si>
    <t>Gede Arnawa</t>
  </si>
  <si>
    <t>Herman</t>
  </si>
  <si>
    <t>I Gede Mustika</t>
  </si>
  <si>
    <t>I Made Mustada</t>
  </si>
  <si>
    <t>Idris Rusmianto</t>
  </si>
  <si>
    <t>Ketut Wijaya</t>
  </si>
  <si>
    <t>Komang Astrawan</t>
  </si>
  <si>
    <t>Novita</t>
  </si>
  <si>
    <t>Nurpendi</t>
  </si>
  <si>
    <t>Nyoman Artawan</t>
  </si>
  <si>
    <t>Parsono</t>
  </si>
  <si>
    <t>Ramli</t>
  </si>
  <si>
    <t>Ridwan</t>
  </si>
  <si>
    <t>Rizki Munardi</t>
  </si>
  <si>
    <t>Sunardi - 00376</t>
  </si>
  <si>
    <t>Sigit Hartanto</t>
  </si>
  <si>
    <t>Slamet</t>
  </si>
  <si>
    <t>Sobri</t>
  </si>
  <si>
    <t>Sri Hartoyo</t>
  </si>
  <si>
    <t>Sugiyatwoko</t>
  </si>
  <si>
    <t>Sutrisno</t>
  </si>
  <si>
    <t>Suwarno</t>
  </si>
  <si>
    <t>Suwitno</t>
  </si>
  <si>
    <t>Taufiqurrahman</t>
  </si>
  <si>
    <t>Tiolenta Martiana</t>
  </si>
  <si>
    <t>Sartono</t>
  </si>
  <si>
    <t>Marwanto</t>
  </si>
  <si>
    <t>Kadek Sudarsana</t>
  </si>
  <si>
    <t>Dian Suanto</t>
  </si>
  <si>
    <t>Darsim</t>
  </si>
  <si>
    <t>Jaimin</t>
  </si>
  <si>
    <t>Hesby Aga Ardila Nugroho</t>
  </si>
  <si>
    <t>Gede Suparta</t>
  </si>
  <si>
    <t>Jais Hartono</t>
  </si>
  <si>
    <t>Repki Ariyanto</t>
  </si>
  <si>
    <t>Anton Efendi</t>
  </si>
  <si>
    <t>Jafar Dwiyanto</t>
  </si>
  <si>
    <t>Khairun Nisa</t>
  </si>
  <si>
    <t>Didi Rahmat</t>
  </si>
  <si>
    <t>Rio Candra</t>
  </si>
  <si>
    <t>Suci Nurkhasanah</t>
  </si>
  <si>
    <t>Sumihar H. Tambunan</t>
  </si>
  <si>
    <t>Sudari</t>
  </si>
  <si>
    <t>Muhammad Topan</t>
  </si>
  <si>
    <t xml:space="preserve">Citra Meiliana Rahmaliyanti </t>
  </si>
  <si>
    <t>Akbar Fadhil</t>
  </si>
  <si>
    <t>Ngadiono</t>
  </si>
  <si>
    <t>Muhammad Agustiyadi</t>
  </si>
  <si>
    <t>Ade Kurnia</t>
  </si>
  <si>
    <t>Amir Suroto</t>
  </si>
  <si>
    <t>Ari Wibowo - 00579</t>
  </si>
  <si>
    <t>Iskandar Sulestiyanto</t>
  </si>
  <si>
    <t>Tri Iswahyudi</t>
  </si>
  <si>
    <t>Allan Louby Van Houten</t>
  </si>
  <si>
    <t>Widi Kurnianto</t>
  </si>
  <si>
    <t>Ahmat Saifudin</t>
  </si>
  <si>
    <t>Putu Dharma Santika</t>
  </si>
  <si>
    <t>Ahmad Jamaludin</t>
  </si>
  <si>
    <t>Jamsari</t>
  </si>
  <si>
    <t>Nowo Susiyanto</t>
  </si>
  <si>
    <t>Rohaedi</t>
  </si>
  <si>
    <t>Satino</t>
  </si>
  <si>
    <t>Turut</t>
  </si>
  <si>
    <t>Winardoyo</t>
  </si>
  <si>
    <t>Suratman</t>
  </si>
  <si>
    <t>Keren</t>
  </si>
  <si>
    <t>Andri Kurniawan</t>
  </si>
  <si>
    <t>Herda</t>
  </si>
  <si>
    <t>Andri Kurniawan qq Rizka Merdiawati</t>
  </si>
  <si>
    <t>Rwandha Sutedira</t>
  </si>
  <si>
    <t>Mutiyah Nur Aftilani</t>
  </si>
  <si>
    <t>Mohamad Firdaus</t>
  </si>
  <si>
    <t>Ahmad Fauzi - 01743</t>
  </si>
  <si>
    <t>Muhammad Ade Faizal</t>
  </si>
  <si>
    <t>Taufik Hidayat</t>
  </si>
  <si>
    <t>Clarissa Dini</t>
  </si>
  <si>
    <t>Rian Alandy</t>
  </si>
  <si>
    <t>Ria Banita Krisdayanti</t>
  </si>
  <si>
    <t>Toro Riyadi</t>
  </si>
  <si>
    <t>Ady Sucipto</t>
  </si>
  <si>
    <t>Erfan Faulana</t>
  </si>
  <si>
    <t>Syarif Hidayatulloh</t>
  </si>
  <si>
    <t>Neri Handayani</t>
  </si>
  <si>
    <t>Bahtiar Rifai</t>
  </si>
  <si>
    <t>Agus Tomi</t>
  </si>
  <si>
    <t>Willi Prayetno</t>
  </si>
  <si>
    <t>Aan Supriyatin</t>
  </si>
  <si>
    <t>Faqih Zakaria</t>
  </si>
  <si>
    <t>Andi Yanto</t>
  </si>
  <si>
    <t>Bayu Ayudya Permana</t>
  </si>
  <si>
    <t>Qomara Duha</t>
  </si>
  <si>
    <t>Hermansyah</t>
  </si>
  <si>
    <t>Andi Prayitno</t>
  </si>
  <si>
    <t>Ibrahim</t>
  </si>
  <si>
    <t>A. Rafik</t>
  </si>
  <si>
    <t>Romansyah</t>
  </si>
  <si>
    <t>Asta</t>
  </si>
  <si>
    <t>Rina Oktaviani</t>
  </si>
  <si>
    <t>Dendi Adiansyah</t>
  </si>
  <si>
    <t>Dimas Fajar Wijaya</t>
  </si>
  <si>
    <t>ROBERT LAKBURLAWAI</t>
  </si>
  <si>
    <t>ALVIN AVRIALDY</t>
  </si>
  <si>
    <t>Fitriya Hariyani</t>
  </si>
  <si>
    <t>Fajar Bintara</t>
  </si>
  <si>
    <t>Washadi</t>
  </si>
  <si>
    <t>Siswanto</t>
  </si>
  <si>
    <t>Rujito</t>
  </si>
  <si>
    <t>Tatang</t>
  </si>
  <si>
    <t>Yadi Supriyadi (Diver)</t>
  </si>
  <si>
    <t>Achmad Ikang Zulkarnain</t>
  </si>
  <si>
    <t>Bagus Iqbal Juardi</t>
  </si>
  <si>
    <t>Rafli Baihaqqi Rianto</t>
  </si>
  <si>
    <t>Suryadi</t>
  </si>
  <si>
    <t>Puniko</t>
  </si>
  <si>
    <t>Ahmad Gopur</t>
  </si>
  <si>
    <t>Erina Fitriani</t>
  </si>
  <si>
    <t>Zalu Febri Lesmana</t>
  </si>
  <si>
    <t>Anisa Juniyanti</t>
  </si>
  <si>
    <t>Andika</t>
  </si>
  <si>
    <t>Dede Slamet Supriyanto</t>
  </si>
  <si>
    <t>Adam Bakhtiar</t>
  </si>
  <si>
    <t>Agung</t>
  </si>
  <si>
    <t>Aep Saefudin</t>
  </si>
  <si>
    <t>Eko Fitriyanto</t>
  </si>
  <si>
    <t>Irham Eko Setiyono</t>
  </si>
  <si>
    <t>Darsono</t>
  </si>
  <si>
    <t>M. Kurniawan</t>
  </si>
  <si>
    <t>Ahmad Arif</t>
  </si>
  <si>
    <t>Ahmad Fauzi - 01756</t>
  </si>
  <si>
    <t>Elvin Noversya</t>
  </si>
  <si>
    <t>Donald Freddy Simanjuntak</t>
  </si>
  <si>
    <t>Aris Aptin Permana</t>
  </si>
  <si>
    <t>Nabila Nandra Putri</t>
  </si>
  <si>
    <t>Riska Fahraeni</t>
  </si>
  <si>
    <t>Maria Sara Intan Permata Sari</t>
  </si>
  <si>
    <t>Deni</t>
  </si>
  <si>
    <t>Haryadi</t>
  </si>
  <si>
    <t>Edo Pratama Saputra</t>
  </si>
  <si>
    <t>Purna Bakti 2026</t>
  </si>
  <si>
    <t>PHL</t>
  </si>
  <si>
    <t>Baru</t>
  </si>
  <si>
    <t>00553</t>
  </si>
  <si>
    <t>00549</t>
  </si>
  <si>
    <t>00546</t>
  </si>
  <si>
    <t>00511</t>
  </si>
  <si>
    <t>00340</t>
  </si>
  <si>
    <t>00519</t>
  </si>
  <si>
    <t>00325</t>
  </si>
  <si>
    <t>00543</t>
  </si>
  <si>
    <t>00540</t>
  </si>
  <si>
    <t>00539</t>
  </si>
  <si>
    <t>00518</t>
  </si>
  <si>
    <t>00490</t>
  </si>
  <si>
    <t>00496</t>
  </si>
  <si>
    <t>00517</t>
  </si>
  <si>
    <t>00552</t>
  </si>
  <si>
    <t>00541</t>
  </si>
  <si>
    <t>00537</t>
  </si>
  <si>
    <t>00322</t>
  </si>
  <si>
    <t>00547</t>
  </si>
  <si>
    <t>00554</t>
  </si>
  <si>
    <t>00363</t>
  </si>
  <si>
    <t>00396</t>
  </si>
  <si>
    <t>00387</t>
  </si>
  <si>
    <t>00508</t>
  </si>
  <si>
    <t>00351</t>
  </si>
  <si>
    <t>00281</t>
  </si>
  <si>
    <t>00368</t>
  </si>
  <si>
    <t>00401</t>
  </si>
  <si>
    <t>00551</t>
  </si>
  <si>
    <t>00521</t>
  </si>
  <si>
    <t>00557</t>
  </si>
  <si>
    <t>00580</t>
  </si>
  <si>
    <t>00317</t>
  </si>
  <si>
    <t>00497</t>
  </si>
  <si>
    <t>00544</t>
  </si>
  <si>
    <t>00485</t>
  </si>
  <si>
    <t>00343</t>
  </si>
  <si>
    <t>00293</t>
  </si>
  <si>
    <t>00527</t>
  </si>
  <si>
    <t>00362</t>
  </si>
  <si>
    <t>00548</t>
  </si>
  <si>
    <t>00499</t>
  </si>
  <si>
    <t>00633</t>
  </si>
  <si>
    <t>00642</t>
  </si>
  <si>
    <t>K637</t>
  </si>
  <si>
    <t>00560</t>
  </si>
  <si>
    <t>00584</t>
  </si>
  <si>
    <t>00583</t>
  </si>
  <si>
    <t>00556</t>
  </si>
  <si>
    <t>00563</t>
  </si>
  <si>
    <t>00568</t>
  </si>
  <si>
    <t>00569</t>
  </si>
  <si>
    <t>00566</t>
  </si>
  <si>
    <t>00577</t>
  </si>
  <si>
    <t>00581</t>
  </si>
  <si>
    <t>00565</t>
  </si>
  <si>
    <t>00567</t>
  </si>
  <si>
    <t>00593</t>
  </si>
  <si>
    <t>00588</t>
  </si>
  <si>
    <t>00582</t>
  </si>
  <si>
    <t>00596</t>
  </si>
  <si>
    <t>00535</t>
  </si>
  <si>
    <t>00533</t>
  </si>
  <si>
    <t>00498</t>
  </si>
  <si>
    <t>00327</t>
  </si>
  <si>
    <t>00520</t>
  </si>
  <si>
    <t>00512</t>
  </si>
  <si>
    <t>00534</t>
  </si>
  <si>
    <t>00525</t>
  </si>
  <si>
    <t>00328</t>
  </si>
  <si>
    <t>00529</t>
  </si>
  <si>
    <t>00514</t>
  </si>
  <si>
    <t>00531</t>
  </si>
  <si>
    <t>00542</t>
  </si>
  <si>
    <t>00516</t>
  </si>
  <si>
    <t>00523</t>
  </si>
  <si>
    <t>00513</t>
  </si>
  <si>
    <t>00526</t>
  </si>
  <si>
    <t>00530</t>
  </si>
  <si>
    <t>00532</t>
  </si>
  <si>
    <t>00376</t>
  </si>
  <si>
    <t>00302</t>
  </si>
  <si>
    <t>00337</t>
  </si>
  <si>
    <t>00524</t>
  </si>
  <si>
    <t>00390</t>
  </si>
  <si>
    <t>00528</t>
  </si>
  <si>
    <t>00509</t>
  </si>
  <si>
    <t>00515</t>
  </si>
  <si>
    <t>00558</t>
  </si>
  <si>
    <t>00564</t>
  </si>
  <si>
    <t>K879</t>
  </si>
  <si>
    <t>K598</t>
  </si>
  <si>
    <t>00574</t>
  </si>
  <si>
    <t>K1563</t>
  </si>
  <si>
    <t>00585</t>
  </si>
  <si>
    <t>00611</t>
  </si>
  <si>
    <t>00614</t>
  </si>
  <si>
    <t>K936</t>
  </si>
  <si>
    <t>00589</t>
  </si>
  <si>
    <t>00591</t>
  </si>
  <si>
    <t>K1612</t>
  </si>
  <si>
    <t>00602</t>
  </si>
  <si>
    <t>K944</t>
  </si>
  <si>
    <t>K1610</t>
  </si>
  <si>
    <t>00621</t>
  </si>
  <si>
    <t>K1602</t>
  </si>
  <si>
    <t>00587</t>
  </si>
  <si>
    <t>K945</t>
  </si>
  <si>
    <t>K1581</t>
  </si>
  <si>
    <t>K1663</t>
  </si>
  <si>
    <t>K539</t>
  </si>
  <si>
    <t>00579</t>
  </si>
  <si>
    <t>K1609</t>
  </si>
  <si>
    <t>00626</t>
  </si>
  <si>
    <t>00608</t>
  </si>
  <si>
    <t>K1677</t>
  </si>
  <si>
    <t>K1562</t>
  </si>
  <si>
    <t>00369</t>
  </si>
  <si>
    <t>00371</t>
  </si>
  <si>
    <t>00311</t>
  </si>
  <si>
    <t>00339</t>
  </si>
  <si>
    <t>00372</t>
  </si>
  <si>
    <t>00334</t>
  </si>
  <si>
    <t>00370</t>
  </si>
  <si>
    <t>K884</t>
  </si>
  <si>
    <t>00570</t>
  </si>
  <si>
    <t>00576</t>
  </si>
  <si>
    <t>00578</t>
  </si>
  <si>
    <t>00545</t>
  </si>
  <si>
    <t>00629</t>
  </si>
  <si>
    <t>K1691</t>
  </si>
  <si>
    <t>K1757</t>
  </si>
  <si>
    <t>K1715</t>
  </si>
  <si>
    <t>K1666</t>
  </si>
  <si>
    <t>00610</t>
  </si>
  <si>
    <t>00637</t>
  </si>
  <si>
    <t>00638</t>
  </si>
  <si>
    <t>00616</t>
  </si>
  <si>
    <t>K1744</t>
  </si>
  <si>
    <t>00613</t>
  </si>
  <si>
    <t>K1725</t>
  </si>
  <si>
    <t>00628</t>
  </si>
  <si>
    <t>K1754</t>
  </si>
  <si>
    <t>K1751</t>
  </si>
  <si>
    <t>K1753</t>
  </si>
  <si>
    <t>K1752</t>
  </si>
  <si>
    <t>K1749</t>
  </si>
  <si>
    <t>00623</t>
  </si>
  <si>
    <t>K1733</t>
  </si>
  <si>
    <t>K1735</t>
  </si>
  <si>
    <t>K1789</t>
  </si>
  <si>
    <t>K1790</t>
  </si>
  <si>
    <t>K1778</t>
  </si>
  <si>
    <t>K1734</t>
  </si>
  <si>
    <t>K1742</t>
  </si>
  <si>
    <t>K1745</t>
  </si>
  <si>
    <t>K1718</t>
  </si>
  <si>
    <t>K1813</t>
  </si>
  <si>
    <t>K1611</t>
  </si>
  <si>
    <t>K1756</t>
  </si>
  <si>
    <t>00643</t>
  </si>
  <si>
    <t>K924</t>
  </si>
  <si>
    <t>00575</t>
  </si>
  <si>
    <t>00601</t>
  </si>
  <si>
    <t>00609</t>
  </si>
  <si>
    <t>00634</t>
  </si>
  <si>
    <t>00345</t>
  </si>
  <si>
    <t>00360</t>
  </si>
  <si>
    <t>00571</t>
  </si>
  <si>
    <t>00288</t>
  </si>
  <si>
    <t>00607</t>
  </si>
  <si>
    <t>K1608</t>
  </si>
  <si>
    <t>K1777</t>
  </si>
  <si>
    <t>Nasabah</t>
  </si>
  <si>
    <t>PKWT</t>
  </si>
  <si>
    <t>Pulogadung</t>
  </si>
  <si>
    <t>Kapuk</t>
  </si>
  <si>
    <t>Serang</t>
  </si>
  <si>
    <t>KKSUK-000001</t>
  </si>
  <si>
    <t>KKSUK-000002</t>
  </si>
  <si>
    <t>KKSUK-000003</t>
  </si>
  <si>
    <t>KKSUK-000004</t>
  </si>
  <si>
    <t>KKSUK-000005</t>
  </si>
  <si>
    <t>KKSUK-000006</t>
  </si>
  <si>
    <t>KKSUK-000007</t>
  </si>
  <si>
    <t>KKSUK-000008</t>
  </si>
  <si>
    <t>KKSUK-000009</t>
  </si>
  <si>
    <t>KKSUK-000010</t>
  </si>
  <si>
    <t>KKSUK-000011</t>
  </si>
  <si>
    <t>KKSUK-000012</t>
  </si>
  <si>
    <t>KKSUK-000013</t>
  </si>
  <si>
    <t>KKSUK-000014</t>
  </si>
  <si>
    <t>KKSUK-000015</t>
  </si>
  <si>
    <t>KKSUK-000016</t>
  </si>
  <si>
    <t>KKSUK-000017</t>
  </si>
  <si>
    <t>KKSUK-000018</t>
  </si>
  <si>
    <t>KKSUK-000019</t>
  </si>
  <si>
    <t>KKSUK-000020</t>
  </si>
  <si>
    <t>KKSUK-000021</t>
  </si>
  <si>
    <t>KKSUK-000022</t>
  </si>
  <si>
    <t>KKSUK-000023</t>
  </si>
  <si>
    <t>KKSUK-000024</t>
  </si>
  <si>
    <t>KKSUK-000025</t>
  </si>
  <si>
    <t>KKSUK-000026</t>
  </si>
  <si>
    <t>KKSUK-000027</t>
  </si>
  <si>
    <t>KKSUK-000028</t>
  </si>
  <si>
    <t>KKSUK-000029</t>
  </si>
  <si>
    <t>KKSUK-000030</t>
  </si>
  <si>
    <t>KKSUK-000031</t>
  </si>
  <si>
    <t>KKSUK-000032</t>
  </si>
  <si>
    <t>KKSUK-000033</t>
  </si>
  <si>
    <t>KKSUK-000034</t>
  </si>
  <si>
    <t>KKSUK-000035</t>
  </si>
  <si>
    <t>KKSUK-000036</t>
  </si>
  <si>
    <t>KKSUK-000037</t>
  </si>
  <si>
    <t>KKSUK-000038</t>
  </si>
  <si>
    <t>KKSUK-000039</t>
  </si>
  <si>
    <t>KKSUK-000040</t>
  </si>
  <si>
    <t>KKSUK-000041</t>
  </si>
  <si>
    <t>KKSUK-000042</t>
  </si>
  <si>
    <t>KKSUK-000043</t>
  </si>
  <si>
    <t>KKSUK-000044</t>
  </si>
  <si>
    <t>KKSUK-000045</t>
  </si>
  <si>
    <t>KKSUK-000046</t>
  </si>
  <si>
    <t>KKSUK-000047</t>
  </si>
  <si>
    <t>KKSUK-000048</t>
  </si>
  <si>
    <t>KKSUK-000049</t>
  </si>
  <si>
    <t>KKSUK-000050</t>
  </si>
  <si>
    <t>KKSUK-000051</t>
  </si>
  <si>
    <t>KKSUK-000052</t>
  </si>
  <si>
    <t>KKSUK-000053</t>
  </si>
  <si>
    <t>KKSUK-000054</t>
  </si>
  <si>
    <t>KKSUK-000055</t>
  </si>
  <si>
    <t>KKSUK-000056</t>
  </si>
  <si>
    <t>KKSUK-000057</t>
  </si>
  <si>
    <t>KKSUK-000058</t>
  </si>
  <si>
    <t>KKSUK-000059</t>
  </si>
  <si>
    <t>KKSUK-000060</t>
  </si>
  <si>
    <t>KKSUK-000061</t>
  </si>
  <si>
    <t>KKSUK-000062</t>
  </si>
  <si>
    <t>KKSUK-000063</t>
  </si>
  <si>
    <t>KKSUK-000064</t>
  </si>
  <si>
    <t>KKSUK-000065</t>
  </si>
  <si>
    <t>KKSUK-000066</t>
  </si>
  <si>
    <t>KKSUK-000067</t>
  </si>
  <si>
    <t>KKSUK-000068</t>
  </si>
  <si>
    <t>KKSUK-000069</t>
  </si>
  <si>
    <t>KKSUK-000070</t>
  </si>
  <si>
    <t>KKSUK-000071</t>
  </si>
  <si>
    <t>KKSUK-000072</t>
  </si>
  <si>
    <t>KKSUK-000073</t>
  </si>
  <si>
    <t>KKSUK-000074</t>
  </si>
  <si>
    <t>KKSUK-000075</t>
  </si>
  <si>
    <t>KKSUK-000076</t>
  </si>
  <si>
    <t>KKSUK-000077</t>
  </si>
  <si>
    <t>KKSUK-000078</t>
  </si>
  <si>
    <t>KKSUK-000079</t>
  </si>
  <si>
    <t>KKSUK-000080</t>
  </si>
  <si>
    <t>KKSUK-000081</t>
  </si>
  <si>
    <t>KKSUK-000082</t>
  </si>
  <si>
    <t>KKSUK-000083</t>
  </si>
  <si>
    <t>KKSUK-000084</t>
  </si>
  <si>
    <t>KKSUK-000085</t>
  </si>
  <si>
    <t>KKSUK-000086</t>
  </si>
  <si>
    <t>KKSUK-000087</t>
  </si>
  <si>
    <t>KKSUK-000088</t>
  </si>
  <si>
    <t>KKSUK-000089</t>
  </si>
  <si>
    <t>KKSUK-000090</t>
  </si>
  <si>
    <t>KKSUK-000091</t>
  </si>
  <si>
    <t>KKSUK-000092</t>
  </si>
  <si>
    <t>KKSUK-000093</t>
  </si>
  <si>
    <t>KKSUK-000094</t>
  </si>
  <si>
    <t>KKSUK-000095</t>
  </si>
  <si>
    <t>KKSUK-000096</t>
  </si>
  <si>
    <t>KKSUK-000097</t>
  </si>
  <si>
    <t>KKSUK-000098</t>
  </si>
  <si>
    <t>KKSUK-000099</t>
  </si>
  <si>
    <t>KKSUK-000100</t>
  </si>
  <si>
    <t>KKSUK-000101</t>
  </si>
  <si>
    <t>KKSUK-000102</t>
  </si>
  <si>
    <t>KKSUK-000103</t>
  </si>
  <si>
    <t>KKSUK-000104</t>
  </si>
  <si>
    <t>KKSUK-000105</t>
  </si>
  <si>
    <t>KKSUK-000106</t>
  </si>
  <si>
    <t>KKSUK-000107</t>
  </si>
  <si>
    <t>KKSUK-000108</t>
  </si>
  <si>
    <t>KKSUK-000109</t>
  </si>
  <si>
    <t>KKSUK-000110</t>
  </si>
  <si>
    <t>KKSUK-000111</t>
  </si>
  <si>
    <t>KKSUK-000112</t>
  </si>
  <si>
    <t>KKSUK-000113</t>
  </si>
  <si>
    <t>KKSUK-000114</t>
  </si>
  <si>
    <t>KKSUK-000115</t>
  </si>
  <si>
    <t>KKSUK-000116</t>
  </si>
  <si>
    <t>KKSUK-000117</t>
  </si>
  <si>
    <t>KKSUK-000118</t>
  </si>
  <si>
    <t>KKSUK-000119</t>
  </si>
  <si>
    <t>KKSUK-000120</t>
  </si>
  <si>
    <t>KKSUK-000121</t>
  </si>
  <si>
    <t>KKSUK-000122</t>
  </si>
  <si>
    <t>KKSUK-000123</t>
  </si>
  <si>
    <t>KKSUK-000124</t>
  </si>
  <si>
    <t>KKSUK-000125</t>
  </si>
  <si>
    <t>KKSUK-000126</t>
  </si>
  <si>
    <t>KKSUK-000127</t>
  </si>
  <si>
    <t>KKSUK-000128</t>
  </si>
  <si>
    <t>KKSUK-000129</t>
  </si>
  <si>
    <t>KKSUK-000130</t>
  </si>
  <si>
    <t>KKSUK-000131</t>
  </si>
  <si>
    <t>KKSUK-000132</t>
  </si>
  <si>
    <t>KKSUK-000133</t>
  </si>
  <si>
    <t>KKSUK-000134</t>
  </si>
  <si>
    <t>KKSUK-000135</t>
  </si>
  <si>
    <t>KKSUK-000136</t>
  </si>
  <si>
    <t>KKSUK-000137</t>
  </si>
  <si>
    <t>KKSUK-000138</t>
  </si>
  <si>
    <t>KKSUK-000139</t>
  </si>
  <si>
    <t>KKSUK-000140</t>
  </si>
  <si>
    <t>KKSUK-000141</t>
  </si>
  <si>
    <t>KKSUK-000142</t>
  </si>
  <si>
    <t>KKSUK-000143</t>
  </si>
  <si>
    <t>KKSUK-000144</t>
  </si>
  <si>
    <t>KKSUK-000145</t>
  </si>
  <si>
    <t>KKSUK-000146</t>
  </si>
  <si>
    <t>KKSUK-000147</t>
  </si>
  <si>
    <t>KKSUK-000148</t>
  </si>
  <si>
    <t>KKSUK-000149</t>
  </si>
  <si>
    <t>KKSUK-000150</t>
  </si>
  <si>
    <t>KKSUK-000151</t>
  </si>
  <si>
    <t>KKSUK-000152</t>
  </si>
  <si>
    <t>KKSUK-000153</t>
  </si>
  <si>
    <t>KKSUK-000154</t>
  </si>
  <si>
    <t>KKSUK-000155</t>
  </si>
  <si>
    <t>KKSUK-000156</t>
  </si>
  <si>
    <t>KKSUK-000157</t>
  </si>
  <si>
    <t>KKSUK-000158</t>
  </si>
  <si>
    <t>KKSUK-000159</t>
  </si>
  <si>
    <t>KKSUK-000160</t>
  </si>
  <si>
    <t>KKSUK-000161</t>
  </si>
  <si>
    <t>KKSUK-000162</t>
  </si>
  <si>
    <t>KKSUK-000163</t>
  </si>
  <si>
    <t>KKSUK-000164</t>
  </si>
  <si>
    <t>KKSUK-000165</t>
  </si>
  <si>
    <t>KKSUK-000166</t>
  </si>
  <si>
    <t>KKSUK-000167</t>
  </si>
  <si>
    <t>KKSUK-000168</t>
  </si>
  <si>
    <t>KKSUK-000169</t>
  </si>
  <si>
    <t>KKSUK-000170</t>
  </si>
  <si>
    <t>KKSUK-000171</t>
  </si>
  <si>
    <t>KKSUK-000172</t>
  </si>
  <si>
    <t>KKSUK-000173</t>
  </si>
  <si>
    <t>KKSUK-000174</t>
  </si>
  <si>
    <t>KKSUK-000175</t>
  </si>
  <si>
    <t>KKSUK-000176</t>
  </si>
  <si>
    <t>KKSUK-000177</t>
  </si>
  <si>
    <t>KKSUK-000178</t>
  </si>
  <si>
    <t>KKSUK-000179</t>
  </si>
  <si>
    <t>KKSUK-000180</t>
  </si>
  <si>
    <t>KKSUK-000181</t>
  </si>
  <si>
    <t>KKSUK-000182</t>
  </si>
  <si>
    <t>KKSUK-000183</t>
  </si>
  <si>
    <t>KKSUK-000184</t>
  </si>
  <si>
    <t>KKSUK-000185</t>
  </si>
  <si>
    <t>KKSUK-000186</t>
  </si>
  <si>
    <t>KKSUK-000187</t>
  </si>
  <si>
    <t>KKSUK-000188</t>
  </si>
  <si>
    <t>KKSUK-000189</t>
  </si>
  <si>
    <t>KKSUK-000190</t>
  </si>
  <si>
    <t>KKSUK-000191</t>
  </si>
  <si>
    <t>KKSUK-000192</t>
  </si>
  <si>
    <t>KKSUK-000193</t>
  </si>
  <si>
    <t>KKSUK-000194</t>
  </si>
  <si>
    <t>KKSUK-000195</t>
  </si>
  <si>
    <t>KKSUK-000196</t>
  </si>
  <si>
    <t>KKSUK-000197</t>
  </si>
  <si>
    <t>KKSUK-000198</t>
  </si>
  <si>
    <t>KKSUK-000199</t>
  </si>
  <si>
    <t>KKSUK-000200</t>
  </si>
  <si>
    <t>KKSUK-000201</t>
  </si>
  <si>
    <t>KKSUK-000202</t>
  </si>
  <si>
    <t>KKSUK-000203</t>
  </si>
  <si>
    <t>KKSUK-000204</t>
  </si>
  <si>
    <t>KKSUK-000205</t>
  </si>
  <si>
    <t>KKSUK-000206</t>
  </si>
  <si>
    <t>KKSUK-000207</t>
  </si>
  <si>
    <t>KKSUK-000208</t>
  </si>
  <si>
    <t>KKSUK-000209</t>
  </si>
  <si>
    <t>Lunas</t>
  </si>
  <si>
    <t>Pelunasan Karena Topup</t>
  </si>
  <si>
    <t>Kurang bayar masih dipotong cicilan yg lama</t>
  </si>
  <si>
    <t>00. Saldo Akhir 2025</t>
  </si>
  <si>
    <t>01. Jan 2026</t>
  </si>
  <si>
    <t>02. Feb 2026</t>
  </si>
  <si>
    <t>03. Mar 2026</t>
  </si>
  <si>
    <t>04. Apr 2026</t>
  </si>
  <si>
    <t>05. Mei 2026</t>
  </si>
  <si>
    <t>06. Jun 2026</t>
  </si>
  <si>
    <t>07. Jul 2026</t>
  </si>
  <si>
    <t>08. Agu 2026</t>
  </si>
  <si>
    <t>09. Sep 2026</t>
  </si>
  <si>
    <t>Didi Tarmudi</t>
  </si>
  <si>
    <t>12. Des 2025</t>
  </si>
  <si>
    <t>Pengembalian dana karena ybs melakukan penangguhan</t>
  </si>
  <si>
    <t>Dana dikembalikan belum waktunya potong</t>
  </si>
  <si>
    <t>Pensiun</t>
  </si>
  <si>
    <t>Pengembalian dana karena sudah lunas</t>
  </si>
  <si>
    <t>Dipotong saat Pensiun</t>
  </si>
  <si>
    <t>Cicilan kurang nanti dilunasi saat cicilan paling akhir</t>
  </si>
  <si>
    <t>Penangguhan Cicilan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</si>
</sst>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m/d/yyyy;@"/>
  </numFmts>
  <fonts count="15">
    <font>
      <sz val="11"/>
      <name val="Carlito"/>
      <charset val="134"/>
    </font>
    <font>
      <b/>
      <sz val="16"/>
      <color rgb="FF1F4E78"/>
      <name val="Arial"/>
      <family val="2"/>
    </font>
    <font>
      <i/>
      <sz val="10"/>
      <color rgb="FF7F1D1D"/>
      <name val="Arial"/>
      <family val="2"/>
    </font>
    <font>
      <sz val="10"/>
      <name val="Arial"/>
      <family val="2"/>
    </font>
    <font>
      <b/>
      <sz val="10"/>
      <color rgb="FF1F4E78"/>
      <name val="Arial"/>
      <family val="2"/>
    </font>
    <font>
      <b/>
      <sz val="10"/>
      <color rgb="FFFFFFFF"/>
      <name val="Arial"/>
      <family val="2"/>
    </font>
    <font>
      <i/>
      <sz val="10"/>
      <color rgb="FF374151"/>
      <name val="Arial"/>
      <family val="2"/>
    </font>
    <font>
      <sz val="10"/>
      <color rgb="FF1F2937"/>
      <name val="Arial"/>
      <family val="2"/>
    </font>
    <font>
      <i/>
      <sz val="10"/>
      <color rgb="FF4B5563"/>
      <name val="Arial"/>
      <family val="2"/>
    </font>
    <font>
      <b/>
      <sz val="10"/>
      <name val="Arial"/>
      <family val="2"/>
    </font>
    <font>
      <b/>
      <sz val="14"/>
      <color rgb="FF1F4E78"/>
      <name val="Arial"/>
      <family val="2"/>
    </font>
    <font>
      <i/>
      <sz val="10"/>
      <color rgb="FF6B7280"/>
      <name val="Arial"/>
      <family val="2"/>
    </font>
    <font>
      <i/>
      <sz val="10"/>
      <color rgb="FF1F2937"/>
      <name val="Arial"/>
      <family val="2"/>
    </font>
    <font>
      <sz val="11"/>
      <color rgb="FFFFFFFF"/>
      <name val="Carlito"/>
      <charset val="134"/>
    </font>
    <font>
      <sz val="8"/>
      <name val="Carlito"/>
      <charset val="134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8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E2F3"/>
      </bottom>
      <diagonal/>
    </border>
    <border>
      <left style="thin">
        <color rgb="FFFFFFFF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FFFFFF"/>
      </right>
      <top style="thin">
        <color rgb="FFD9E2F3"/>
      </top>
      <bottom style="thin">
        <color rgb="FFD9E2F3"/>
      </bottom>
      <diagonal/>
    </border>
    <border>
      <left style="thin">
        <color rgb="FFFFFFFF"/>
      </left>
      <right/>
      <top style="thin">
        <color rgb="FFD9E2F3"/>
      </top>
      <bottom style="thin">
        <color rgb="FFFFFFFF"/>
      </bottom>
      <diagonal/>
    </border>
    <border>
      <left/>
      <right/>
      <top style="thin">
        <color rgb="FFD9E2F3"/>
      </top>
      <bottom style="thin">
        <color rgb="FFFFFFFF"/>
      </bottom>
      <diagonal/>
    </border>
    <border>
      <left/>
      <right style="thin">
        <color rgb="FFFFFFFF"/>
      </right>
      <top style="thin">
        <color rgb="FFD9E2F3"/>
      </top>
      <bottom style="thin">
        <color rgb="FFFFFFF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top" wrapText="1"/>
    </xf>
    <xf numFmtId="164" fontId="6" fillId="4" borderId="2" xfId="0" applyNumberFormat="1" applyFont="1" applyFill="1" applyBorder="1" applyAlignment="1">
      <alignment vertical="top" wrapText="1"/>
    </xf>
    <xf numFmtId="0" fontId="7" fillId="0" borderId="2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5" borderId="2" xfId="0" applyFont="1" applyFill="1" applyBorder="1"/>
    <xf numFmtId="3" fontId="7" fillId="5" borderId="2" xfId="0" applyNumberFormat="1" applyFont="1" applyFill="1" applyBorder="1"/>
    <xf numFmtId="1" fontId="7" fillId="5" borderId="2" xfId="0" applyNumberFormat="1" applyFont="1" applyFill="1" applyBorder="1"/>
    <xf numFmtId="164" fontId="7" fillId="5" borderId="2" xfId="0" applyNumberFormat="1" applyFont="1" applyFill="1" applyBorder="1"/>
    <xf numFmtId="0" fontId="8" fillId="0" borderId="0" xfId="0" applyFont="1"/>
    <xf numFmtId="0" fontId="3" fillId="0" borderId="2" xfId="0" applyFont="1" applyBorder="1" applyAlignment="1">
      <alignment vertical="top" wrapText="1"/>
    </xf>
    <xf numFmtId="1" fontId="9" fillId="5" borderId="2" xfId="0" applyNumberFormat="1" applyFont="1" applyFill="1" applyBorder="1" applyAlignment="1">
      <alignment horizontal="center" vertical="top" wrapText="1"/>
    </xf>
    <xf numFmtId="0" fontId="10" fillId="0" borderId="0" xfId="0" applyFont="1"/>
    <xf numFmtId="0" fontId="7" fillId="0" borderId="0" xfId="0" applyFont="1"/>
    <xf numFmtId="0" fontId="11" fillId="0" borderId="0" xfId="0" applyFont="1"/>
    <xf numFmtId="0" fontId="12" fillId="6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164" fontId="7" fillId="5" borderId="2" xfId="0" applyNumberFormat="1" applyFont="1" applyFill="1" applyBorder="1" applyAlignment="1">
      <alignment vertical="center"/>
    </xf>
    <xf numFmtId="3" fontId="7" fillId="5" borderId="2" xfId="0" applyNumberFormat="1" applyFont="1" applyFill="1" applyBorder="1" applyAlignment="1">
      <alignment vertical="center"/>
    </xf>
    <xf numFmtId="1" fontId="7" fillId="5" borderId="2" xfId="0" applyNumberFormat="1" applyFont="1" applyFill="1" applyBorder="1" applyAlignment="1">
      <alignment vertical="center"/>
    </xf>
    <xf numFmtId="0" fontId="4" fillId="0" borderId="0" xfId="0" applyFont="1"/>
    <xf numFmtId="0" fontId="5" fillId="3" borderId="3" xfId="0" applyFont="1" applyFill="1" applyBorder="1" applyAlignment="1">
      <alignment horizontal="center" vertical="center" wrapText="1"/>
    </xf>
    <xf numFmtId="0" fontId="13" fillId="3" borderId="0" xfId="0" applyFont="1" applyFill="1"/>
    <xf numFmtId="0" fontId="12" fillId="6" borderId="4" xfId="0" applyFont="1" applyFill="1" applyBorder="1" applyAlignment="1">
      <alignment vertical="top" wrapText="1"/>
    </xf>
    <xf numFmtId="0" fontId="7" fillId="5" borderId="5" xfId="0" applyFont="1" applyFill="1" applyBorder="1" applyAlignment="1">
      <alignment vertical="top" wrapText="1"/>
    </xf>
    <xf numFmtId="164" fontId="7" fillId="5" borderId="5" xfId="0" applyNumberFormat="1" applyFont="1" applyFill="1" applyBorder="1" applyAlignment="1">
      <alignment vertical="top" wrapText="1"/>
    </xf>
    <xf numFmtId="0" fontId="7" fillId="5" borderId="6" xfId="0" applyFont="1" applyFill="1" applyBorder="1" applyAlignment="1">
      <alignment vertical="top" wrapText="1"/>
    </xf>
    <xf numFmtId="0" fontId="12" fillId="6" borderId="7" xfId="0" applyFont="1" applyFill="1" applyBorder="1" applyAlignment="1">
      <alignment vertical="top" wrapText="1"/>
    </xf>
    <xf numFmtId="0" fontId="7" fillId="5" borderId="8" xfId="0" applyFont="1" applyFill="1" applyBorder="1" applyAlignment="1">
      <alignment vertical="top" wrapText="1"/>
    </xf>
    <xf numFmtId="164" fontId="7" fillId="5" borderId="8" xfId="0" applyNumberFormat="1" applyFont="1" applyFill="1" applyBorder="1" applyAlignment="1">
      <alignment vertical="top" wrapText="1"/>
    </xf>
    <xf numFmtId="0" fontId="7" fillId="5" borderId="9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wrapText="1"/>
    </xf>
    <xf numFmtId="165" fontId="7" fillId="5" borderId="2" xfId="0" applyNumberFormat="1" applyFont="1" applyFill="1" applyBorder="1" applyAlignment="1">
      <alignment vertical="center"/>
    </xf>
    <xf numFmtId="1" fontId="0" fillId="5" borderId="2" xfId="0" applyNumberFormat="1" applyFill="1" applyBorder="1" applyAlignment="1">
      <alignment horizontal="center" vertical="top" wrapText="1"/>
    </xf>
  </cellXfs>
  <cellStyles count="1">
    <cellStyle name="Normal" xfId="0" builtinId="0"/>
  </cellStyles>
  <dxfs count="30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numFmt numFmtId="165" formatCode="m/d/yyyy;@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numFmt numFmtId="3" formatCode="#,##0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numFmt numFmtId="3" formatCode="#,##0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numFmt numFmtId="3" formatCode="#,##0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numFmt numFmtId="3" formatCode="#,##0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D9E2F3"/>
        </top>
        <bottom style="thin">
          <color rgb="FFD9E2F3"/>
        </bottom>
        <vertical/>
        <horizontal/>
      </border>
    </dxf>
    <dxf>
      <numFmt numFmtId="3" formatCode="#,##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ggotaTable" displayName="AnggotaTable" ref="A4:M213" totalsRowShown="0">
  <tableColumns count="13">
    <tableColumn id="1" xr3:uid="{00000000-0010-0000-0000-000001000000}" name="No">
      <calculatedColumnFormula>IF(D5="","",ROW()-4)</calculatedColumnFormula>
    </tableColumn>
    <tableColumn id="2" xr3:uid="{00000000-0010-0000-0000-000002000000}" name="NPP Koperasi"/>
    <tableColumn id="3" xr3:uid="{00000000-0010-0000-0000-000003000000}" name="NPP Lama"/>
    <tableColumn id="4" xr3:uid="{00000000-0010-0000-0000-000004000000}" name="Nama Lengkap"/>
    <tableColumn id="5" xr3:uid="{00000000-0010-0000-0000-000005000000}" name="Status" dataDxfId="11"/>
    <tableColumn id="6" xr3:uid="{00000000-0010-0000-0000-000006000000}" name="Jenis Anggota" dataDxfId="10"/>
    <tableColumn id="7" xr3:uid="{00000000-0010-0000-0000-000007000000}" name="Tanggal Bergabung"/>
    <tableColumn id="8" xr3:uid="{00000000-0010-0000-0000-000008000000}" name="Area"/>
    <tableColumn id="9" xr3:uid="{00000000-0010-0000-0000-000009000000}" name="No. HP"/>
    <tableColumn id="10" xr3:uid="{00000000-0010-0000-0000-00000A000000}" name="Alamat"/>
    <tableColumn id="11" xr3:uid="{00000000-0010-0000-0000-00000B000000}" name="Keputusan Identitas"/>
    <tableColumn id="12" xr3:uid="{00000000-0010-0000-0000-00000C000000}" name="Masukkan?"/>
    <tableColumn id="13" xr3:uid="{00000000-0010-0000-0000-00000D000000}" name="Catat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SimpananTable" displayName="SimpananTable" ref="A4:I1739" totalsRowShown="0">
  <autoFilter ref="A4:I1739" xr:uid="{00000000-0009-0000-0100-00000B000000}"/>
  <tableColumns count="9">
    <tableColumn id="1" xr3:uid="{00000000-0010-0000-0100-000001000000}" name="No (otomatis)">
      <calculatedColumnFormula>IF(B5="","",ROW()-4)</calculatedColumnFormula>
    </tableColumn>
    <tableColumn id="2" xr3:uid="{00000000-0010-0000-0100-000002000000}" name="Nama Anggota *" dataDxfId="9"/>
    <tableColumn id="3" xr3:uid="{00000000-0010-0000-0100-000003000000}" name="NPP (otomatis)" dataDxfId="8">
      <calculatedColumnFormula>IF(B5="","",IF(COUNTIF('01_Anggota'!$D$5:$D$1212,B5)=0,"NAMA TIDAK DITEMUKAN",INDEX('01_Anggota'!$B$5:$B$1212,MATCH(B5,'01_Anggota'!$D$5:$D$1212,0))))</calculatedColumnFormula>
    </tableColumn>
    <tableColumn id="4" xr3:uid="{00000000-0010-0000-0100-000004000000}" name="KHUSUS (Rp)" dataDxfId="7"/>
    <tableColumn id="5" xr3:uid="{00000000-0010-0000-0100-000005000000}" name="MANASUKA (Rp)" dataDxfId="6"/>
    <tableColumn id="6" xr3:uid="{00000000-0010-0000-0100-000006000000}" name="WAJIB (Rp)" dataDxfId="5"/>
    <tableColumn id="7" xr3:uid="{00000000-0010-0000-0100-000007000000}" name="SHU (Rp)" dataDxfId="4"/>
    <tableColumn id="9" xr3:uid="{00000000-0010-0000-0100-000009000000}" name="Tanggal" dataDxfId="3"/>
    <tableColumn id="8" xr3:uid="{00000000-0010-0000-0100-000008000000}" name="Catatan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PinjamanTable" displayName="PinjamanTable" ref="A4:K1004" totalsRowShown="0">
  <autoFilter ref="A4:K1004" xr:uid="{00000000-0009-0000-0100-00000C000000}"/>
  <tableColumns count="11">
    <tableColumn id="1" xr3:uid="{00000000-0010-0000-0200-000001000000}" name="No Pinjaman *"/>
    <tableColumn id="2" xr3:uid="{00000000-0010-0000-0200-000002000000}" name="Nama Anggota *"/>
    <tableColumn id="3" xr3:uid="{00000000-0010-0000-0200-000003000000}" name="NPP (otomatis)">
      <calculatedColumnFormula>IF(B5="","",IF(COUNTIF('01_Anggota'!$D$5:$D$1212,B5)=0,"NAMA TIDAK DITEMUKAN",INDEX('01_Anggota'!$B$5:$B$1212,MATCH(B5,'01_Anggota'!$D$5:$D$1212,0))))</calculatedColumnFormula>
    </tableColumn>
    <tableColumn id="4" xr3:uid="{00000000-0010-0000-0200-000004000000}" name="Jenis Pinjaman *"/>
    <tableColumn id="5" xr3:uid="{00000000-0010-0000-0200-000005000000}" name="Pokok (Rp) *"/>
    <tableColumn id="6" xr3:uid="{00000000-0010-0000-0200-000006000000}" name="Admin (Rp)"/>
    <tableColumn id="7" xr3:uid="{00000000-0010-0000-0200-000007000000}" name="Total Kewajiban (Rp) *" dataDxfId="12">
      <calculatedColumnFormula>PinjamanTable[[#This Row],[Pokok (Rp) *]]+PinjamanTable[[#This Row],[Admin (Rp)]]</calculatedColumnFormula>
    </tableColumn>
    <tableColumn id="8" xr3:uid="{00000000-0010-0000-0200-000008000000}" name="Lama Cicilan (Bulan) *"/>
    <tableColumn id="9" xr3:uid="{00000000-0010-0000-0200-000009000000}" name="Tanggal Cair *"/>
    <tableColumn id="10" xr3:uid="{00000000-0010-0000-0200-00000A000000}" name="Status *"/>
    <tableColumn id="12" xr3:uid="{00000000-0010-0000-0200-00000C000000}" name="Catat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AngsuranTable" displayName="AngsuranTable" ref="A4:G1004" totalsRowShown="0">
  <autoFilter ref="A4:G1004" xr:uid="{00000000-0009-0000-0100-00000D000000}"/>
  <tableColumns count="7">
    <tableColumn id="1" xr3:uid="{00000000-0010-0000-0300-000001000000}" name="No Angsuran (otomatis)">
      <calculatedColumnFormula>IF(B5="","",ROW()-4)</calculatedColumnFormula>
    </tableColumn>
    <tableColumn id="2" xr3:uid="{00000000-0010-0000-0300-000002000000}" name="No Pinjaman *"/>
    <tableColumn id="3" xr3:uid="{00000000-0010-0000-0300-000003000000}" name="Nama Anggota (otomatis)">
      <calculatedColumnFormula>IF(B5="","",IF(COUNTIF('04_Pinjaman'!$A$5:$A$1004,B5)=0,"NO PINJAMAN TIDAK DITEMUKAN",INDEX('04_Pinjaman'!$B$5:$B$1004,MATCH(B5,'04_Pinjaman'!$A$5:$A$1004,0))))</calculatedColumnFormula>
    </tableColumn>
    <tableColumn id="4" xr3:uid="{00000000-0010-0000-0300-000004000000}" name="NPP (otomatis)">
      <calculatedColumnFormula>IF(B5="","",IF(COUNTIF('04_Pinjaman'!$A$5:$A$1004,B5)=0,"NPP TIDAK DITEMUKAN",INDEX('04_Pinjaman'!$C$5:$C$1004,MATCH(B5,'04_Pinjaman'!$A$5:$A$1004,0))))</calculatedColumnFormula>
    </tableColumn>
    <tableColumn id="5" xr3:uid="{00000000-0010-0000-0300-000005000000}" name="Tanggal *"/>
    <tableColumn id="6" xr3:uid="{00000000-0010-0000-0300-000006000000}" name="Jumlah (Rp) *"/>
    <tableColumn id="8" xr3:uid="{00000000-0010-0000-0300-000008000000}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workbookViewId="0">
      <pane ySplit="2" topLeftCell="A3" activePane="bottomLeft" state="frozen"/>
      <selection pane="bottomLeft"/>
    </sheetView>
  </sheetViews>
  <sheetFormatPr baseColWidth="10" defaultColWidth="9" defaultRowHeight="14"/>
  <cols>
    <col min="1" max="1" width="18" customWidth="1"/>
    <col min="2" max="2" width="95" customWidth="1"/>
    <col min="3" max="6" width="18" customWidth="1"/>
  </cols>
  <sheetData>
    <row r="1" spans="1:6" ht="26" customHeight="1">
      <c r="A1" s="25" t="s">
        <v>0</v>
      </c>
      <c r="B1" s="25"/>
      <c r="C1" s="25"/>
      <c r="D1" s="25"/>
      <c r="E1" s="25"/>
      <c r="F1" s="25"/>
    </row>
    <row r="2" spans="1:6" ht="25" customHeight="1">
      <c r="A2" s="14" t="s">
        <v>1</v>
      </c>
      <c r="B2" s="14"/>
      <c r="C2" s="14"/>
      <c r="D2" s="14"/>
      <c r="E2" s="14"/>
      <c r="F2" s="14"/>
    </row>
    <row r="3" spans="1:6" ht="25" customHeight="1">
      <c r="A3" s="14" t="s">
        <v>2</v>
      </c>
      <c r="B3" s="14"/>
      <c r="C3" s="14"/>
      <c r="D3" s="14"/>
      <c r="E3" s="14"/>
      <c r="F3" s="14"/>
    </row>
    <row r="4" spans="1:6" ht="21" customHeight="1">
      <c r="A4" s="5" t="s">
        <v>3</v>
      </c>
      <c r="B4" s="36" t="s">
        <v>4</v>
      </c>
      <c r="C4" s="3" t="s">
        <v>5</v>
      </c>
      <c r="D4" s="3" t="s">
        <v>5</v>
      </c>
      <c r="E4" s="3" t="s">
        <v>5</v>
      </c>
      <c r="F4" s="3" t="s">
        <v>5</v>
      </c>
    </row>
    <row r="5" spans="1:6" ht="21" customHeight="1">
      <c r="A5" s="37" t="s">
        <v>6</v>
      </c>
      <c r="B5" s="38" t="s">
        <v>7</v>
      </c>
      <c r="C5" s="39"/>
      <c r="D5" s="39"/>
      <c r="E5" s="39"/>
      <c r="F5" s="39"/>
    </row>
    <row r="6" spans="1:6" ht="21" customHeight="1">
      <c r="A6" s="37" t="s">
        <v>8</v>
      </c>
      <c r="B6" s="38" t="s">
        <v>9</v>
      </c>
      <c r="C6" s="39"/>
      <c r="D6" s="39"/>
      <c r="E6" s="39"/>
      <c r="F6" s="39"/>
    </row>
    <row r="7" spans="1:6" ht="21" customHeight="1">
      <c r="A7" s="37" t="s">
        <v>10</v>
      </c>
      <c r="B7" s="38" t="s">
        <v>11</v>
      </c>
      <c r="C7" s="39"/>
      <c r="D7" s="39"/>
      <c r="E7" s="39"/>
      <c r="F7" s="39"/>
    </row>
    <row r="8" spans="1:6" ht="21" customHeight="1">
      <c r="A8" s="37" t="s">
        <v>12</v>
      </c>
      <c r="B8" s="38" t="s">
        <v>13</v>
      </c>
      <c r="C8" s="39"/>
      <c r="D8" s="39"/>
      <c r="E8" s="39"/>
      <c r="F8" s="39"/>
    </row>
    <row r="9" spans="1:6" ht="21" customHeight="1">
      <c r="A9" s="37" t="s">
        <v>14</v>
      </c>
      <c r="B9" s="38" t="s">
        <v>15</v>
      </c>
      <c r="C9" s="39"/>
      <c r="D9" s="39"/>
      <c r="E9" s="39"/>
      <c r="F9" s="39"/>
    </row>
    <row r="10" spans="1:6" ht="21" customHeight="1">
      <c r="A10" s="37" t="s">
        <v>16</v>
      </c>
      <c r="B10" s="38" t="s">
        <v>17</v>
      </c>
      <c r="C10" s="39"/>
      <c r="D10" s="39"/>
      <c r="E10" s="39"/>
      <c r="F10" s="39"/>
    </row>
    <row r="11" spans="1:6" ht="21" customHeight="1">
      <c r="A11" s="37" t="s">
        <v>18</v>
      </c>
      <c r="B11" s="38" t="s">
        <v>19</v>
      </c>
      <c r="C11" s="39"/>
      <c r="D11" s="39"/>
      <c r="E11" s="39"/>
      <c r="F11" s="39"/>
    </row>
    <row r="12" spans="1:6" ht="21" customHeight="1">
      <c r="A12" s="3"/>
      <c r="B12" s="3"/>
      <c r="C12" s="3"/>
      <c r="D12" s="3"/>
      <c r="E12" s="3"/>
      <c r="F12" s="3"/>
    </row>
    <row r="13" spans="1:6" ht="21" customHeight="1">
      <c r="A13" s="5" t="s">
        <v>20</v>
      </c>
      <c r="B13" s="36" t="s">
        <v>21</v>
      </c>
      <c r="C13" s="5" t="s">
        <v>22</v>
      </c>
      <c r="D13" s="3"/>
      <c r="E13" s="3"/>
      <c r="F13" s="3"/>
    </row>
    <row r="14" spans="1:6" ht="21" customHeight="1">
      <c r="A14" s="40" t="s">
        <v>23</v>
      </c>
      <c r="B14" s="3" t="s">
        <v>24</v>
      </c>
      <c r="C14" s="41" t="s">
        <v>25</v>
      </c>
      <c r="D14" s="3"/>
      <c r="E14" s="3"/>
      <c r="F14" s="3"/>
    </row>
    <row r="15" spans="1:6" ht="21" customHeight="1">
      <c r="A15" s="40" t="s">
        <v>26</v>
      </c>
      <c r="B15" s="3" t="s">
        <v>27</v>
      </c>
      <c r="C15" s="41" t="s">
        <v>28</v>
      </c>
      <c r="D15" s="3"/>
      <c r="E15" s="3"/>
      <c r="F15" s="3"/>
    </row>
    <row r="16" spans="1:6" ht="21" customHeight="1">
      <c r="A16" s="40" t="s">
        <v>29</v>
      </c>
      <c r="B16" s="3" t="s">
        <v>30</v>
      </c>
      <c r="C16" s="41" t="s">
        <v>31</v>
      </c>
      <c r="D16" s="3"/>
      <c r="E16" s="3"/>
      <c r="F16" s="3"/>
    </row>
    <row r="17" spans="1:6" ht="21" customHeight="1">
      <c r="A17" s="3"/>
      <c r="B17" s="3"/>
      <c r="C17" s="3"/>
      <c r="D17" s="3"/>
      <c r="E17" s="3"/>
      <c r="F17" s="3"/>
    </row>
    <row r="18" spans="1:6" ht="21" customHeight="1">
      <c r="A18" s="4" t="s">
        <v>32</v>
      </c>
      <c r="B18" s="4" t="s">
        <v>5</v>
      </c>
      <c r="C18" s="4" t="s">
        <v>5</v>
      </c>
      <c r="D18" s="4" t="s">
        <v>5</v>
      </c>
      <c r="E18" s="4" t="s">
        <v>5</v>
      </c>
      <c r="F18" s="4" t="s">
        <v>5</v>
      </c>
    </row>
    <row r="19" spans="1:6" ht="21" customHeight="1">
      <c r="A19" s="25" t="s">
        <v>33</v>
      </c>
      <c r="B19" s="38" t="s">
        <v>34</v>
      </c>
      <c r="C19" s="39" t="s">
        <v>5</v>
      </c>
      <c r="D19" s="39" t="s">
        <v>5</v>
      </c>
      <c r="E19" s="39" t="s">
        <v>5</v>
      </c>
      <c r="F19" s="39" t="s">
        <v>5</v>
      </c>
    </row>
    <row r="20" spans="1:6" ht="21" customHeight="1">
      <c r="A20" s="25" t="s">
        <v>35</v>
      </c>
      <c r="B20" s="38" t="s">
        <v>36</v>
      </c>
      <c r="C20" s="39" t="s">
        <v>5</v>
      </c>
      <c r="D20" s="39" t="s">
        <v>5</v>
      </c>
      <c r="E20" s="39" t="s">
        <v>5</v>
      </c>
      <c r="F20" s="39" t="s">
        <v>5</v>
      </c>
    </row>
    <row r="21" spans="1:6" ht="21" customHeight="1">
      <c r="A21" s="25" t="s">
        <v>37</v>
      </c>
      <c r="B21" s="38" t="s">
        <v>38</v>
      </c>
      <c r="C21" s="39" t="s">
        <v>5</v>
      </c>
      <c r="D21" s="39" t="s">
        <v>5</v>
      </c>
      <c r="E21" s="39" t="s">
        <v>5</v>
      </c>
      <c r="F21" s="39" t="s">
        <v>5</v>
      </c>
    </row>
    <row r="22" spans="1:6" ht="21" customHeight="1">
      <c r="A22" s="25" t="s">
        <v>39</v>
      </c>
      <c r="B22" s="38" t="s">
        <v>40</v>
      </c>
      <c r="C22" s="39" t="s">
        <v>5</v>
      </c>
      <c r="D22" s="39" t="s">
        <v>5</v>
      </c>
      <c r="E22" s="39" t="s">
        <v>5</v>
      </c>
      <c r="F22" s="39" t="s">
        <v>5</v>
      </c>
    </row>
    <row r="23" spans="1:6" ht="21" customHeight="1">
      <c r="A23" s="25" t="s">
        <v>41</v>
      </c>
      <c r="B23" s="38" t="s">
        <v>42</v>
      </c>
      <c r="C23" s="39" t="s">
        <v>5</v>
      </c>
      <c r="D23" s="39" t="s">
        <v>5</v>
      </c>
      <c r="E23" s="39" t="s">
        <v>5</v>
      </c>
      <c r="F23" s="39" t="s">
        <v>5</v>
      </c>
    </row>
    <row r="24" spans="1:6" ht="21" customHeight="1">
      <c r="A24" s="25" t="s">
        <v>43</v>
      </c>
      <c r="B24" s="38" t="s">
        <v>44</v>
      </c>
      <c r="C24" s="39" t="s">
        <v>5</v>
      </c>
      <c r="D24" s="39" t="s">
        <v>5</v>
      </c>
      <c r="E24" s="39" t="s">
        <v>5</v>
      </c>
      <c r="F24" s="39" t="s">
        <v>5</v>
      </c>
    </row>
    <row r="25" spans="1:6" ht="21" customHeight="1">
      <c r="A25" s="25" t="s">
        <v>45</v>
      </c>
      <c r="B25" s="38" t="s">
        <v>46</v>
      </c>
      <c r="C25" s="39" t="s">
        <v>5</v>
      </c>
      <c r="D25" s="39" t="s">
        <v>5</v>
      </c>
      <c r="E25" s="39" t="s">
        <v>5</v>
      </c>
      <c r="F25" s="39" t="s">
        <v>5</v>
      </c>
    </row>
    <row r="26" spans="1:6" ht="21" customHeight="1">
      <c r="A26" s="25" t="s">
        <v>47</v>
      </c>
      <c r="B26" s="38" t="s">
        <v>48</v>
      </c>
      <c r="C26" s="39" t="s">
        <v>5</v>
      </c>
      <c r="D26" s="39" t="s">
        <v>5</v>
      </c>
      <c r="E26" s="39" t="s">
        <v>5</v>
      </c>
      <c r="F26" s="39" t="s">
        <v>5</v>
      </c>
    </row>
    <row r="27" spans="1:6" ht="21" customHeight="1">
      <c r="A27" s="25" t="s">
        <v>49</v>
      </c>
      <c r="B27" s="38" t="s">
        <v>50</v>
      </c>
      <c r="C27" s="39" t="s">
        <v>5</v>
      </c>
      <c r="D27" s="39" t="s">
        <v>5</v>
      </c>
      <c r="E27" s="39" t="s">
        <v>5</v>
      </c>
      <c r="F27" s="39" t="s">
        <v>5</v>
      </c>
    </row>
    <row r="28" spans="1:6" ht="21" customHeight="1">
      <c r="A28" s="25" t="s">
        <v>51</v>
      </c>
      <c r="B28" s="38" t="s">
        <v>52</v>
      </c>
      <c r="C28" s="39" t="s">
        <v>5</v>
      </c>
      <c r="D28" s="39" t="s">
        <v>5</v>
      </c>
      <c r="E28" s="39" t="s">
        <v>5</v>
      </c>
      <c r="F28" s="3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12"/>
  <sheetViews>
    <sheetView showGridLines="0" workbookViewId="0">
      <pane ySplit="4" topLeftCell="A95" activePane="bottomLeft" state="frozen"/>
      <selection pane="bottomLeft" activeCell="D114" sqref="D114"/>
    </sheetView>
  </sheetViews>
  <sheetFormatPr baseColWidth="10" defaultColWidth="9" defaultRowHeight="14"/>
  <cols>
    <col min="1" max="1" width="8" customWidth="1"/>
    <col min="2" max="2" width="18" customWidth="1"/>
    <col min="3" max="3" width="16" customWidth="1"/>
    <col min="4" max="4" width="30" customWidth="1"/>
    <col min="5" max="5" width="16" customWidth="1"/>
    <col min="6" max="6" width="20" customWidth="1"/>
    <col min="7" max="9" width="18" customWidth="1"/>
    <col min="10" max="10" width="30" customWidth="1"/>
    <col min="11" max="11" width="22" customWidth="1"/>
    <col min="12" max="12" width="14" customWidth="1"/>
    <col min="13" max="13" width="44" customWidth="1"/>
  </cols>
  <sheetData>
    <row r="1" spans="1:26" ht="24" customHeight="1">
      <c r="A1" s="25" t="s">
        <v>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26" ht="22" customHeight="1">
      <c r="A2" s="14" t="s">
        <v>54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ht="36" customHeight="1">
      <c r="A4" s="26" t="s">
        <v>55</v>
      </c>
      <c r="B4" s="26" t="s">
        <v>56</v>
      </c>
      <c r="C4" s="26" t="s">
        <v>57</v>
      </c>
      <c r="D4" s="26" t="s">
        <v>58</v>
      </c>
      <c r="E4" s="26" t="s">
        <v>59</v>
      </c>
      <c r="F4" s="26" t="s">
        <v>60</v>
      </c>
      <c r="G4" s="26" t="s">
        <v>61</v>
      </c>
      <c r="H4" s="26" t="s">
        <v>62</v>
      </c>
      <c r="I4" s="26" t="s">
        <v>63</v>
      </c>
      <c r="J4" s="26" t="s">
        <v>64</v>
      </c>
      <c r="K4" s="26" t="s">
        <v>65</v>
      </c>
      <c r="L4" s="26" t="s">
        <v>66</v>
      </c>
      <c r="M4" s="26" t="s">
        <v>67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>
      <c r="A5" s="28">
        <f t="shared" ref="A5:A276" si="0">IF(D5="","",ROW()-4)</f>
        <v>1</v>
      </c>
      <c r="B5" s="29" t="s">
        <v>590</v>
      </c>
      <c r="C5" s="29" t="s">
        <v>412</v>
      </c>
      <c r="D5" s="29" t="s">
        <v>200</v>
      </c>
      <c r="E5" s="29" t="s">
        <v>139</v>
      </c>
      <c r="F5" s="29" t="s">
        <v>140</v>
      </c>
      <c r="G5" s="30"/>
      <c r="H5" s="29" t="s">
        <v>141</v>
      </c>
      <c r="I5" s="29"/>
      <c r="J5" s="29"/>
      <c r="K5" s="29"/>
      <c r="L5" s="29"/>
      <c r="M5" s="31"/>
    </row>
    <row r="6" spans="1:26">
      <c r="A6" s="28">
        <f t="shared" ref="A6:A69" si="1">IF(D6="","",ROW()-4)</f>
        <v>2</v>
      </c>
      <c r="B6" s="29" t="s">
        <v>591</v>
      </c>
      <c r="C6" s="29" t="s">
        <v>413</v>
      </c>
      <c r="D6" s="29" t="s">
        <v>201</v>
      </c>
      <c r="E6" s="29" t="s">
        <v>139</v>
      </c>
      <c r="F6" s="29" t="s">
        <v>140</v>
      </c>
      <c r="G6" s="30"/>
      <c r="H6" s="29" t="s">
        <v>141</v>
      </c>
      <c r="I6" s="29"/>
      <c r="J6" s="29"/>
      <c r="K6" s="29"/>
      <c r="L6" s="29"/>
      <c r="M6" s="31"/>
    </row>
    <row r="7" spans="1:26">
      <c r="A7" s="28">
        <f t="shared" si="1"/>
        <v>3</v>
      </c>
      <c r="B7" s="29" t="s">
        <v>592</v>
      </c>
      <c r="C7" s="29" t="s">
        <v>414</v>
      </c>
      <c r="D7" s="29" t="s">
        <v>202</v>
      </c>
      <c r="E7" s="29" t="s">
        <v>139</v>
      </c>
      <c r="F7" s="29" t="s">
        <v>140</v>
      </c>
      <c r="G7" s="30"/>
      <c r="H7" s="29" t="s">
        <v>141</v>
      </c>
      <c r="I7" s="29"/>
      <c r="J7" s="29"/>
      <c r="K7" s="29"/>
      <c r="L7" s="29"/>
      <c r="M7" s="31"/>
    </row>
    <row r="8" spans="1:26">
      <c r="A8" s="28">
        <f t="shared" si="1"/>
        <v>4</v>
      </c>
      <c r="B8" s="29" t="s">
        <v>593</v>
      </c>
      <c r="C8" s="29" t="s">
        <v>415</v>
      </c>
      <c r="D8" s="29" t="s">
        <v>203</v>
      </c>
      <c r="E8" s="29" t="s">
        <v>139</v>
      </c>
      <c r="F8" s="29" t="s">
        <v>140</v>
      </c>
      <c r="G8" s="30"/>
      <c r="H8" s="29" t="s">
        <v>141</v>
      </c>
      <c r="I8" s="29"/>
      <c r="J8" s="29"/>
      <c r="K8" s="29"/>
      <c r="L8" s="29"/>
      <c r="M8" s="31"/>
    </row>
    <row r="9" spans="1:26">
      <c r="A9" s="28">
        <f t="shared" si="1"/>
        <v>5</v>
      </c>
      <c r="B9" s="29" t="s">
        <v>594</v>
      </c>
      <c r="C9" s="29" t="s">
        <v>416</v>
      </c>
      <c r="D9" s="29" t="s">
        <v>204</v>
      </c>
      <c r="E9" s="29" t="s">
        <v>139</v>
      </c>
      <c r="F9" s="29" t="s">
        <v>140</v>
      </c>
      <c r="G9" s="30"/>
      <c r="H9" s="29" t="s">
        <v>141</v>
      </c>
      <c r="I9" s="29"/>
      <c r="J9" s="29"/>
      <c r="K9" s="29"/>
      <c r="L9" s="29"/>
      <c r="M9" s="31"/>
    </row>
    <row r="10" spans="1:26">
      <c r="A10" s="28">
        <f t="shared" si="1"/>
        <v>6</v>
      </c>
      <c r="B10" s="29" t="s">
        <v>595</v>
      </c>
      <c r="C10" s="29" t="s">
        <v>578</v>
      </c>
      <c r="D10" s="29" t="s">
        <v>205</v>
      </c>
      <c r="E10" s="29" t="s">
        <v>409</v>
      </c>
      <c r="F10" s="29" t="s">
        <v>140</v>
      </c>
      <c r="G10" s="30"/>
      <c r="H10" s="29" t="s">
        <v>141</v>
      </c>
      <c r="I10" s="29"/>
      <c r="J10" s="29"/>
      <c r="K10" s="29"/>
      <c r="L10" s="29"/>
      <c r="M10" s="31"/>
    </row>
    <row r="11" spans="1:26">
      <c r="A11" s="28">
        <f t="shared" si="1"/>
        <v>7</v>
      </c>
      <c r="B11" s="29" t="s">
        <v>596</v>
      </c>
      <c r="C11" s="29" t="s">
        <v>417</v>
      </c>
      <c r="D11" s="29" t="s">
        <v>206</v>
      </c>
      <c r="E11" s="29" t="s">
        <v>139</v>
      </c>
      <c r="F11" s="29" t="s">
        <v>140</v>
      </c>
      <c r="G11" s="30"/>
      <c r="H11" s="29" t="s">
        <v>141</v>
      </c>
      <c r="I11" s="29"/>
      <c r="J11" s="29"/>
      <c r="K11" s="29"/>
      <c r="L11" s="29"/>
      <c r="M11" s="31"/>
    </row>
    <row r="12" spans="1:26">
      <c r="A12" s="28">
        <f t="shared" si="1"/>
        <v>8</v>
      </c>
      <c r="B12" s="29" t="s">
        <v>597</v>
      </c>
      <c r="C12" s="29" t="s">
        <v>418</v>
      </c>
      <c r="D12" s="29" t="s">
        <v>207</v>
      </c>
      <c r="E12" s="29" t="s">
        <v>139</v>
      </c>
      <c r="F12" s="29" t="s">
        <v>140</v>
      </c>
      <c r="G12" s="30"/>
      <c r="H12" s="29" t="s">
        <v>587</v>
      </c>
      <c r="I12" s="29"/>
      <c r="J12" s="29"/>
      <c r="K12" s="29"/>
      <c r="L12" s="29"/>
      <c r="M12" s="31"/>
    </row>
    <row r="13" spans="1:26">
      <c r="A13" s="28">
        <f t="shared" si="1"/>
        <v>9</v>
      </c>
      <c r="B13" s="29" t="s">
        <v>598</v>
      </c>
      <c r="C13" s="29" t="s">
        <v>419</v>
      </c>
      <c r="D13" s="29" t="s">
        <v>208</v>
      </c>
      <c r="E13" s="29" t="s">
        <v>139</v>
      </c>
      <c r="F13" s="29" t="s">
        <v>140</v>
      </c>
      <c r="G13" s="30"/>
      <c r="H13" s="29" t="s">
        <v>141</v>
      </c>
      <c r="I13" s="29"/>
      <c r="J13" s="29"/>
      <c r="K13" s="29"/>
      <c r="L13" s="29"/>
      <c r="M13" s="31"/>
    </row>
    <row r="14" spans="1:26">
      <c r="A14" s="28">
        <f t="shared" si="1"/>
        <v>10</v>
      </c>
      <c r="B14" s="29" t="s">
        <v>599</v>
      </c>
      <c r="C14" s="29" t="s">
        <v>420</v>
      </c>
      <c r="D14" s="29" t="s">
        <v>209</v>
      </c>
      <c r="E14" s="29" t="s">
        <v>139</v>
      </c>
      <c r="F14" s="29" t="s">
        <v>140</v>
      </c>
      <c r="G14" s="30"/>
      <c r="H14" s="29" t="s">
        <v>141</v>
      </c>
      <c r="I14" s="29"/>
      <c r="J14" s="29"/>
      <c r="K14" s="29"/>
      <c r="L14" s="29"/>
      <c r="M14" s="31"/>
    </row>
    <row r="15" spans="1:26">
      <c r="A15" s="28">
        <f t="shared" si="1"/>
        <v>11</v>
      </c>
      <c r="B15" s="29" t="s">
        <v>600</v>
      </c>
      <c r="C15" s="29" t="s">
        <v>421</v>
      </c>
      <c r="D15" s="29" t="s">
        <v>210</v>
      </c>
      <c r="E15" s="29" t="s">
        <v>139</v>
      </c>
      <c r="F15" s="29" t="s">
        <v>140</v>
      </c>
      <c r="G15" s="30"/>
      <c r="H15" s="29" t="s">
        <v>141</v>
      </c>
      <c r="I15" s="29"/>
      <c r="J15" s="29"/>
      <c r="K15" s="29"/>
      <c r="L15" s="29"/>
      <c r="M15" s="31"/>
    </row>
    <row r="16" spans="1:26">
      <c r="A16" s="28">
        <f t="shared" si="1"/>
        <v>12</v>
      </c>
      <c r="B16" s="29" t="s">
        <v>601</v>
      </c>
      <c r="C16" s="29" t="s">
        <v>422</v>
      </c>
      <c r="D16" s="29" t="s">
        <v>211</v>
      </c>
      <c r="E16" s="29" t="s">
        <v>139</v>
      </c>
      <c r="F16" s="29" t="s">
        <v>140</v>
      </c>
      <c r="G16" s="30"/>
      <c r="H16" s="29" t="s">
        <v>141</v>
      </c>
      <c r="I16" s="29"/>
      <c r="J16" s="29"/>
      <c r="K16" s="29"/>
      <c r="L16" s="29"/>
      <c r="M16" s="31"/>
    </row>
    <row r="17" spans="1:13">
      <c r="A17" s="28">
        <f t="shared" si="1"/>
        <v>13</v>
      </c>
      <c r="B17" s="29" t="s">
        <v>602</v>
      </c>
      <c r="C17" s="29" t="s">
        <v>423</v>
      </c>
      <c r="D17" s="29" t="s">
        <v>212</v>
      </c>
      <c r="E17" s="29" t="s">
        <v>139</v>
      </c>
      <c r="F17" s="29" t="s">
        <v>140</v>
      </c>
      <c r="G17" s="30"/>
      <c r="H17" s="29" t="s">
        <v>141</v>
      </c>
      <c r="I17" s="29"/>
      <c r="J17" s="29"/>
      <c r="K17" s="29"/>
      <c r="L17" s="29"/>
      <c r="M17" s="31"/>
    </row>
    <row r="18" spans="1:13">
      <c r="A18" s="28">
        <f t="shared" si="1"/>
        <v>14</v>
      </c>
      <c r="B18" s="29" t="s">
        <v>603</v>
      </c>
      <c r="C18" s="29" t="s">
        <v>424</v>
      </c>
      <c r="D18" s="29" t="s">
        <v>213</v>
      </c>
      <c r="E18" s="29" t="s">
        <v>139</v>
      </c>
      <c r="F18" s="29" t="s">
        <v>140</v>
      </c>
      <c r="G18" s="30"/>
      <c r="H18" s="29" t="s">
        <v>141</v>
      </c>
      <c r="I18" s="29"/>
      <c r="J18" s="29"/>
      <c r="K18" s="29"/>
      <c r="L18" s="29"/>
      <c r="M18" s="31"/>
    </row>
    <row r="19" spans="1:13">
      <c r="A19" s="28">
        <f t="shared" si="1"/>
        <v>15</v>
      </c>
      <c r="B19" s="29" t="s">
        <v>604</v>
      </c>
      <c r="C19" s="29" t="s">
        <v>425</v>
      </c>
      <c r="D19" s="29" t="s">
        <v>214</v>
      </c>
      <c r="E19" s="29" t="s">
        <v>139</v>
      </c>
      <c r="F19" s="29" t="s">
        <v>140</v>
      </c>
      <c r="G19" s="30"/>
      <c r="H19" s="29" t="s">
        <v>141</v>
      </c>
      <c r="I19" s="29"/>
      <c r="J19" s="29"/>
      <c r="K19" s="29"/>
      <c r="L19" s="29"/>
      <c r="M19" s="31"/>
    </row>
    <row r="20" spans="1:13">
      <c r="A20" s="28">
        <f t="shared" si="1"/>
        <v>16</v>
      </c>
      <c r="B20" s="29" t="s">
        <v>605</v>
      </c>
      <c r="C20" s="29" t="s">
        <v>426</v>
      </c>
      <c r="D20" s="29" t="s">
        <v>215</v>
      </c>
      <c r="E20" s="29" t="s">
        <v>139</v>
      </c>
      <c r="F20" s="29" t="s">
        <v>140</v>
      </c>
      <c r="G20" s="30"/>
      <c r="H20" s="29" t="s">
        <v>141</v>
      </c>
      <c r="I20" s="29"/>
      <c r="J20" s="29"/>
      <c r="K20" s="29"/>
      <c r="L20" s="29"/>
      <c r="M20" s="31"/>
    </row>
    <row r="21" spans="1:13">
      <c r="A21" s="28">
        <f t="shared" si="1"/>
        <v>17</v>
      </c>
      <c r="B21" s="29" t="s">
        <v>606</v>
      </c>
      <c r="C21" s="29" t="s">
        <v>427</v>
      </c>
      <c r="D21" s="29" t="s">
        <v>216</v>
      </c>
      <c r="E21" s="29" t="s">
        <v>139</v>
      </c>
      <c r="F21" s="29" t="s">
        <v>140</v>
      </c>
      <c r="G21" s="30"/>
      <c r="H21" s="29" t="s">
        <v>141</v>
      </c>
      <c r="I21" s="29"/>
      <c r="J21" s="29"/>
      <c r="K21" s="29"/>
      <c r="L21" s="29"/>
      <c r="M21" s="31"/>
    </row>
    <row r="22" spans="1:13">
      <c r="A22" s="28">
        <f t="shared" si="1"/>
        <v>18</v>
      </c>
      <c r="B22" s="29" t="s">
        <v>607</v>
      </c>
      <c r="C22" s="29" t="s">
        <v>428</v>
      </c>
      <c r="D22" s="29" t="s">
        <v>217</v>
      </c>
      <c r="E22" s="29" t="s">
        <v>139</v>
      </c>
      <c r="F22" s="29" t="s">
        <v>140</v>
      </c>
      <c r="G22" s="30"/>
      <c r="H22" s="29" t="s">
        <v>141</v>
      </c>
      <c r="I22" s="29"/>
      <c r="J22" s="29"/>
      <c r="K22" s="29"/>
      <c r="L22" s="29"/>
      <c r="M22" s="31"/>
    </row>
    <row r="23" spans="1:13">
      <c r="A23" s="28">
        <f t="shared" si="1"/>
        <v>19</v>
      </c>
      <c r="B23" s="29" t="s">
        <v>608</v>
      </c>
      <c r="C23" s="29" t="s">
        <v>429</v>
      </c>
      <c r="D23" s="29" t="s">
        <v>218</v>
      </c>
      <c r="E23" s="29" t="s">
        <v>139</v>
      </c>
      <c r="F23" s="29" t="s">
        <v>140</v>
      </c>
      <c r="G23" s="30"/>
      <c r="H23" s="29" t="s">
        <v>141</v>
      </c>
      <c r="I23" s="29"/>
      <c r="J23" s="29"/>
      <c r="K23" s="29"/>
      <c r="L23" s="29"/>
      <c r="M23" s="31"/>
    </row>
    <row r="24" spans="1:13">
      <c r="A24" s="28">
        <f t="shared" si="1"/>
        <v>20</v>
      </c>
      <c r="B24" s="29" t="s">
        <v>609</v>
      </c>
      <c r="C24" s="29" t="s">
        <v>430</v>
      </c>
      <c r="D24" s="29" t="s">
        <v>219</v>
      </c>
      <c r="E24" s="29" t="s">
        <v>139</v>
      </c>
      <c r="F24" s="29" t="s">
        <v>140</v>
      </c>
      <c r="G24" s="30"/>
      <c r="H24" s="29" t="s">
        <v>141</v>
      </c>
      <c r="I24" s="29"/>
      <c r="J24" s="29"/>
      <c r="K24" s="29"/>
      <c r="L24" s="29"/>
      <c r="M24" s="31"/>
    </row>
    <row r="25" spans="1:13">
      <c r="A25" s="28">
        <f t="shared" si="1"/>
        <v>21</v>
      </c>
      <c r="B25" s="29" t="s">
        <v>610</v>
      </c>
      <c r="C25" s="29" t="s">
        <v>431</v>
      </c>
      <c r="D25" s="29" t="s">
        <v>220</v>
      </c>
      <c r="E25" s="29" t="s">
        <v>139</v>
      </c>
      <c r="F25" s="29" t="s">
        <v>140</v>
      </c>
      <c r="G25" s="30"/>
      <c r="H25" s="29" t="s">
        <v>141</v>
      </c>
      <c r="I25" s="29"/>
      <c r="J25" s="29"/>
      <c r="K25" s="29"/>
      <c r="L25" s="29"/>
      <c r="M25" s="31"/>
    </row>
    <row r="26" spans="1:13">
      <c r="A26" s="28">
        <f t="shared" si="1"/>
        <v>22</v>
      </c>
      <c r="B26" s="29" t="s">
        <v>611</v>
      </c>
      <c r="C26" s="29" t="s">
        <v>432</v>
      </c>
      <c r="D26" s="29" t="s">
        <v>221</v>
      </c>
      <c r="E26" s="29" t="s">
        <v>139</v>
      </c>
      <c r="F26" s="29" t="s">
        <v>140</v>
      </c>
      <c r="G26" s="30"/>
      <c r="H26" s="29" t="s">
        <v>141</v>
      </c>
      <c r="I26" s="29"/>
      <c r="J26" s="29"/>
      <c r="K26" s="29"/>
      <c r="L26" s="29"/>
      <c r="M26" s="31"/>
    </row>
    <row r="27" spans="1:13">
      <c r="A27" s="28">
        <f t="shared" si="1"/>
        <v>23</v>
      </c>
      <c r="B27" s="29" t="s">
        <v>612</v>
      </c>
      <c r="C27" s="29" t="s">
        <v>433</v>
      </c>
      <c r="D27" s="29" t="s">
        <v>222</v>
      </c>
      <c r="E27" s="29" t="s">
        <v>139</v>
      </c>
      <c r="F27" s="29" t="s">
        <v>140</v>
      </c>
      <c r="G27" s="30"/>
      <c r="H27" s="29" t="s">
        <v>141</v>
      </c>
      <c r="I27" s="29"/>
      <c r="J27" s="29"/>
      <c r="K27" s="29"/>
      <c r="L27" s="29"/>
      <c r="M27" s="31"/>
    </row>
    <row r="28" spans="1:13">
      <c r="A28" s="28">
        <f t="shared" si="1"/>
        <v>24</v>
      </c>
      <c r="B28" s="29" t="s">
        <v>613</v>
      </c>
      <c r="C28" s="29" t="s">
        <v>434</v>
      </c>
      <c r="D28" s="29" t="s">
        <v>223</v>
      </c>
      <c r="E28" s="29" t="s">
        <v>139</v>
      </c>
      <c r="F28" s="29" t="s">
        <v>140</v>
      </c>
      <c r="G28" s="30"/>
      <c r="H28" s="29" t="s">
        <v>141</v>
      </c>
      <c r="I28" s="29"/>
      <c r="J28" s="29"/>
      <c r="K28" s="29"/>
      <c r="L28" s="29"/>
      <c r="M28" s="31"/>
    </row>
    <row r="29" spans="1:13">
      <c r="A29" s="28">
        <f t="shared" si="1"/>
        <v>25</v>
      </c>
      <c r="B29" s="29" t="s">
        <v>614</v>
      </c>
      <c r="C29" s="29" t="s">
        <v>435</v>
      </c>
      <c r="D29" s="29" t="s">
        <v>224</v>
      </c>
      <c r="E29" s="29" t="s">
        <v>139</v>
      </c>
      <c r="F29" s="29" t="s">
        <v>140</v>
      </c>
      <c r="G29" s="30"/>
      <c r="H29" s="29" t="s">
        <v>141</v>
      </c>
      <c r="I29" s="29"/>
      <c r="J29" s="29"/>
      <c r="K29" s="29"/>
      <c r="L29" s="29"/>
      <c r="M29" s="31"/>
    </row>
    <row r="30" spans="1:13">
      <c r="A30" s="28">
        <f t="shared" si="1"/>
        <v>26</v>
      </c>
      <c r="B30" s="29" t="s">
        <v>615</v>
      </c>
      <c r="C30" s="29" t="s">
        <v>436</v>
      </c>
      <c r="D30" s="29" t="s">
        <v>225</v>
      </c>
      <c r="E30" s="29" t="s">
        <v>139</v>
      </c>
      <c r="F30" s="29" t="s">
        <v>140</v>
      </c>
      <c r="G30" s="30"/>
      <c r="H30" s="29" t="s">
        <v>587</v>
      </c>
      <c r="I30" s="29"/>
      <c r="J30" s="29"/>
      <c r="K30" s="29"/>
      <c r="L30" s="29"/>
      <c r="M30" s="31"/>
    </row>
    <row r="31" spans="1:13">
      <c r="A31" s="28">
        <f t="shared" si="1"/>
        <v>27</v>
      </c>
      <c r="B31" s="29" t="s">
        <v>616</v>
      </c>
      <c r="C31" s="29" t="s">
        <v>579</v>
      </c>
      <c r="D31" s="29" t="s">
        <v>226</v>
      </c>
      <c r="E31" s="29" t="s">
        <v>409</v>
      </c>
      <c r="F31" s="29" t="s">
        <v>140</v>
      </c>
      <c r="G31" s="30"/>
      <c r="H31" s="29" t="s">
        <v>141</v>
      </c>
      <c r="I31" s="29"/>
      <c r="J31" s="29"/>
      <c r="K31" s="29"/>
      <c r="L31" s="29"/>
      <c r="M31" s="31"/>
    </row>
    <row r="32" spans="1:13">
      <c r="A32" s="28">
        <f t="shared" si="1"/>
        <v>28</v>
      </c>
      <c r="B32" s="29" t="s">
        <v>617</v>
      </c>
      <c r="C32" s="29" t="s">
        <v>437</v>
      </c>
      <c r="D32" s="29" t="s">
        <v>227</v>
      </c>
      <c r="E32" s="29" t="s">
        <v>139</v>
      </c>
      <c r="F32" s="29" t="s">
        <v>140</v>
      </c>
      <c r="G32" s="30"/>
      <c r="H32" s="29" t="s">
        <v>141</v>
      </c>
      <c r="I32" s="29"/>
      <c r="J32" s="29"/>
      <c r="K32" s="29"/>
      <c r="L32" s="29"/>
      <c r="M32" s="31"/>
    </row>
    <row r="33" spans="1:13">
      <c r="A33" s="28">
        <f t="shared" si="1"/>
        <v>29</v>
      </c>
      <c r="B33" s="29" t="s">
        <v>618</v>
      </c>
      <c r="C33" s="29" t="s">
        <v>437</v>
      </c>
      <c r="D33" s="29" t="s">
        <v>228</v>
      </c>
      <c r="E33" s="29" t="s">
        <v>409</v>
      </c>
      <c r="F33" s="29" t="s">
        <v>140</v>
      </c>
      <c r="G33" s="30"/>
      <c r="H33" s="29" t="s">
        <v>141</v>
      </c>
      <c r="I33" s="29"/>
      <c r="J33" s="29"/>
      <c r="K33" s="29"/>
      <c r="L33" s="29"/>
      <c r="M33" s="31"/>
    </row>
    <row r="34" spans="1:13">
      <c r="A34" s="28">
        <f t="shared" si="1"/>
        <v>30</v>
      </c>
      <c r="B34" s="29" t="s">
        <v>619</v>
      </c>
      <c r="C34" s="29" t="s">
        <v>438</v>
      </c>
      <c r="D34" s="29" t="s">
        <v>229</v>
      </c>
      <c r="E34" s="29" t="s">
        <v>139</v>
      </c>
      <c r="F34" s="29" t="s">
        <v>140</v>
      </c>
      <c r="G34" s="30"/>
      <c r="H34" s="29" t="s">
        <v>141</v>
      </c>
      <c r="I34" s="29"/>
      <c r="J34" s="29"/>
      <c r="K34" s="29"/>
      <c r="L34" s="29"/>
      <c r="M34" s="31"/>
    </row>
    <row r="35" spans="1:13">
      <c r="A35" s="28">
        <f t="shared" si="1"/>
        <v>31</v>
      </c>
      <c r="B35" s="29" t="s">
        <v>620</v>
      </c>
      <c r="C35" s="29" t="s">
        <v>439</v>
      </c>
      <c r="D35" s="29" t="s">
        <v>230</v>
      </c>
      <c r="E35" s="29" t="s">
        <v>139</v>
      </c>
      <c r="F35" s="29" t="s">
        <v>140</v>
      </c>
      <c r="G35" s="30"/>
      <c r="H35" s="29" t="s">
        <v>141</v>
      </c>
      <c r="I35" s="29"/>
      <c r="J35" s="29"/>
      <c r="K35" s="29"/>
      <c r="L35" s="29"/>
      <c r="M35" s="31"/>
    </row>
    <row r="36" spans="1:13">
      <c r="A36" s="28">
        <f t="shared" si="1"/>
        <v>32</v>
      </c>
      <c r="B36" s="29" t="s">
        <v>621</v>
      </c>
      <c r="C36" s="29" t="s">
        <v>440</v>
      </c>
      <c r="D36" s="29" t="s">
        <v>231</v>
      </c>
      <c r="E36" s="29" t="s">
        <v>139</v>
      </c>
      <c r="F36" s="29" t="s">
        <v>140</v>
      </c>
      <c r="G36" s="30"/>
      <c r="H36" s="29" t="s">
        <v>141</v>
      </c>
      <c r="I36" s="29"/>
      <c r="J36" s="29"/>
      <c r="K36" s="29"/>
      <c r="L36" s="29"/>
      <c r="M36" s="31"/>
    </row>
    <row r="37" spans="1:13">
      <c r="A37" s="28">
        <f t="shared" si="1"/>
        <v>33</v>
      </c>
      <c r="B37" s="29" t="s">
        <v>622</v>
      </c>
      <c r="C37" s="29" t="s">
        <v>441</v>
      </c>
      <c r="D37" s="29" t="s">
        <v>232</v>
      </c>
      <c r="E37" s="29" t="s">
        <v>139</v>
      </c>
      <c r="F37" s="29" t="s">
        <v>140</v>
      </c>
      <c r="G37" s="30"/>
      <c r="H37" s="29" t="s">
        <v>141</v>
      </c>
      <c r="I37" s="29"/>
      <c r="J37" s="29"/>
      <c r="K37" s="29"/>
      <c r="L37" s="29"/>
      <c r="M37" s="31"/>
    </row>
    <row r="38" spans="1:13">
      <c r="A38" s="28">
        <f t="shared" si="1"/>
        <v>34</v>
      </c>
      <c r="B38" s="29" t="s">
        <v>623</v>
      </c>
      <c r="C38" s="29" t="s">
        <v>442</v>
      </c>
      <c r="D38" s="29" t="s">
        <v>233</v>
      </c>
      <c r="E38" s="29" t="s">
        <v>139</v>
      </c>
      <c r="F38" s="29" t="s">
        <v>140</v>
      </c>
      <c r="G38" s="30"/>
      <c r="H38" s="29" t="s">
        <v>141</v>
      </c>
      <c r="I38" s="29"/>
      <c r="J38" s="29"/>
      <c r="K38" s="29"/>
      <c r="L38" s="29"/>
      <c r="M38" s="31"/>
    </row>
    <row r="39" spans="1:13">
      <c r="A39" s="28">
        <f t="shared" si="1"/>
        <v>35</v>
      </c>
      <c r="B39" s="29" t="s">
        <v>624</v>
      </c>
      <c r="C39" s="29" t="s">
        <v>443</v>
      </c>
      <c r="D39" s="29" t="s">
        <v>234</v>
      </c>
      <c r="E39" s="29" t="s">
        <v>139</v>
      </c>
      <c r="F39" s="29" t="s">
        <v>140</v>
      </c>
      <c r="G39" s="30"/>
      <c r="H39" s="29" t="s">
        <v>141</v>
      </c>
      <c r="I39" s="29"/>
      <c r="J39" s="29"/>
      <c r="K39" s="29"/>
      <c r="L39" s="29"/>
      <c r="M39" s="31"/>
    </row>
    <row r="40" spans="1:13">
      <c r="A40" s="28">
        <f t="shared" si="1"/>
        <v>36</v>
      </c>
      <c r="B40" s="29" t="s">
        <v>625</v>
      </c>
      <c r="C40" s="29" t="s">
        <v>444</v>
      </c>
      <c r="D40" s="29" t="s">
        <v>235</v>
      </c>
      <c r="E40" s="29" t="s">
        <v>139</v>
      </c>
      <c r="F40" s="29" t="s">
        <v>140</v>
      </c>
      <c r="G40" s="30"/>
      <c r="H40" s="29" t="s">
        <v>587</v>
      </c>
      <c r="I40" s="29"/>
      <c r="J40" s="29"/>
      <c r="K40" s="29"/>
      <c r="L40" s="29"/>
      <c r="M40" s="31"/>
    </row>
    <row r="41" spans="1:13">
      <c r="A41" s="28">
        <f t="shared" si="1"/>
        <v>37</v>
      </c>
      <c r="B41" s="29" t="s">
        <v>626</v>
      </c>
      <c r="C41" s="29" t="s">
        <v>445</v>
      </c>
      <c r="D41" s="29" t="s">
        <v>236</v>
      </c>
      <c r="E41" s="29" t="s">
        <v>139</v>
      </c>
      <c r="F41" s="29" t="s">
        <v>140</v>
      </c>
      <c r="G41" s="30"/>
      <c r="H41" s="29" t="s">
        <v>141</v>
      </c>
      <c r="I41" s="29"/>
      <c r="J41" s="29"/>
      <c r="K41" s="29"/>
      <c r="L41" s="29"/>
      <c r="M41" s="31"/>
    </row>
    <row r="42" spans="1:13">
      <c r="A42" s="28">
        <f t="shared" si="1"/>
        <v>38</v>
      </c>
      <c r="B42" s="29" t="s">
        <v>627</v>
      </c>
      <c r="C42" s="29">
        <v>0</v>
      </c>
      <c r="D42" s="29" t="s">
        <v>237</v>
      </c>
      <c r="E42" s="29" t="s">
        <v>139</v>
      </c>
      <c r="F42" s="29" t="s">
        <v>140</v>
      </c>
      <c r="G42" s="30"/>
      <c r="H42" s="29" t="s">
        <v>141</v>
      </c>
      <c r="I42" s="29"/>
      <c r="J42" s="29"/>
      <c r="K42" s="29"/>
      <c r="L42" s="29"/>
      <c r="M42" s="31"/>
    </row>
    <row r="43" spans="1:13">
      <c r="A43" s="28">
        <f t="shared" si="1"/>
        <v>39</v>
      </c>
      <c r="B43" s="29" t="s">
        <v>628</v>
      </c>
      <c r="C43" s="29" t="s">
        <v>446</v>
      </c>
      <c r="D43" s="29" t="s">
        <v>238</v>
      </c>
      <c r="E43" s="29" t="s">
        <v>139</v>
      </c>
      <c r="F43" s="29" t="s">
        <v>140</v>
      </c>
      <c r="G43" s="30"/>
      <c r="H43" s="29" t="s">
        <v>141</v>
      </c>
      <c r="I43" s="29"/>
      <c r="J43" s="29"/>
      <c r="K43" s="29"/>
      <c r="L43" s="29"/>
      <c r="M43" s="31"/>
    </row>
    <row r="44" spans="1:13">
      <c r="A44" s="28">
        <f t="shared" si="1"/>
        <v>40</v>
      </c>
      <c r="B44" s="29" t="s">
        <v>629</v>
      </c>
      <c r="C44" s="29" t="s">
        <v>447</v>
      </c>
      <c r="D44" s="29" t="s">
        <v>239</v>
      </c>
      <c r="E44" s="29" t="s">
        <v>139</v>
      </c>
      <c r="F44" s="29" t="s">
        <v>140</v>
      </c>
      <c r="G44" s="30"/>
      <c r="H44" s="29" t="s">
        <v>141</v>
      </c>
      <c r="I44" s="29"/>
      <c r="J44" s="29"/>
      <c r="K44" s="29"/>
      <c r="L44" s="29"/>
      <c r="M44" s="31"/>
    </row>
    <row r="45" spans="1:13">
      <c r="A45" s="28">
        <f t="shared" si="1"/>
        <v>41</v>
      </c>
      <c r="B45" s="29" t="s">
        <v>630</v>
      </c>
      <c r="C45" s="29" t="s">
        <v>448</v>
      </c>
      <c r="D45" s="29" t="s">
        <v>240</v>
      </c>
      <c r="E45" s="29" t="s">
        <v>139</v>
      </c>
      <c r="F45" s="29" t="s">
        <v>140</v>
      </c>
      <c r="G45" s="30"/>
      <c r="H45" s="29" t="s">
        <v>141</v>
      </c>
      <c r="I45" s="29"/>
      <c r="J45" s="29"/>
      <c r="K45" s="29"/>
      <c r="L45" s="29"/>
      <c r="M45" s="31"/>
    </row>
    <row r="46" spans="1:13">
      <c r="A46" s="28">
        <f t="shared" si="1"/>
        <v>42</v>
      </c>
      <c r="B46" s="29" t="s">
        <v>631</v>
      </c>
      <c r="C46" s="29" t="s">
        <v>449</v>
      </c>
      <c r="D46" s="29" t="s">
        <v>241</v>
      </c>
      <c r="E46" s="29" t="s">
        <v>139</v>
      </c>
      <c r="F46" s="29" t="s">
        <v>140</v>
      </c>
      <c r="G46" s="30"/>
      <c r="H46" s="29" t="s">
        <v>141</v>
      </c>
      <c r="I46" s="29"/>
      <c r="J46" s="29"/>
      <c r="K46" s="29"/>
      <c r="L46" s="29"/>
      <c r="M46" s="31"/>
    </row>
    <row r="47" spans="1:13">
      <c r="A47" s="28">
        <f t="shared" si="1"/>
        <v>43</v>
      </c>
      <c r="B47" s="29" t="s">
        <v>632</v>
      </c>
      <c r="C47" s="29" t="s">
        <v>450</v>
      </c>
      <c r="D47" s="29" t="s">
        <v>242</v>
      </c>
      <c r="E47" s="29" t="s">
        <v>139</v>
      </c>
      <c r="F47" s="29" t="s">
        <v>140</v>
      </c>
      <c r="G47" s="30"/>
      <c r="H47" s="29" t="s">
        <v>141</v>
      </c>
      <c r="I47" s="29"/>
      <c r="J47" s="29"/>
      <c r="K47" s="29"/>
      <c r="L47" s="29"/>
      <c r="M47" s="31"/>
    </row>
    <row r="48" spans="1:13">
      <c r="A48" s="28">
        <f t="shared" si="1"/>
        <v>44</v>
      </c>
      <c r="B48" s="29" t="s">
        <v>633</v>
      </c>
      <c r="C48" s="29" t="s">
        <v>451</v>
      </c>
      <c r="D48" s="29" t="s">
        <v>243</v>
      </c>
      <c r="E48" s="29" t="s">
        <v>139</v>
      </c>
      <c r="F48" s="29" t="s">
        <v>140</v>
      </c>
      <c r="G48" s="30"/>
      <c r="H48" s="29" t="s">
        <v>141</v>
      </c>
      <c r="I48" s="29"/>
      <c r="J48" s="29"/>
      <c r="K48" s="29"/>
      <c r="L48" s="29"/>
      <c r="M48" s="31"/>
    </row>
    <row r="49" spans="1:13">
      <c r="A49" s="28">
        <f t="shared" si="1"/>
        <v>45</v>
      </c>
      <c r="B49" s="29" t="s">
        <v>634</v>
      </c>
      <c r="C49" s="29" t="s">
        <v>452</v>
      </c>
      <c r="D49" s="29" t="s">
        <v>244</v>
      </c>
      <c r="E49" s="29" t="s">
        <v>139</v>
      </c>
      <c r="F49" s="29" t="s">
        <v>140</v>
      </c>
      <c r="G49" s="30"/>
      <c r="H49" s="29" t="s">
        <v>141</v>
      </c>
      <c r="I49" s="29"/>
      <c r="J49" s="29"/>
      <c r="K49" s="29"/>
      <c r="L49" s="29"/>
      <c r="M49" s="31"/>
    </row>
    <row r="50" spans="1:13">
      <c r="A50" s="28">
        <f t="shared" si="1"/>
        <v>46</v>
      </c>
      <c r="B50" s="29" t="s">
        <v>635</v>
      </c>
      <c r="C50" s="29" t="s">
        <v>453</v>
      </c>
      <c r="D50" s="29" t="s">
        <v>245</v>
      </c>
      <c r="E50" s="29" t="s">
        <v>139</v>
      </c>
      <c r="F50" s="29" t="s">
        <v>140</v>
      </c>
      <c r="G50" s="30"/>
      <c r="H50" s="29" t="s">
        <v>141</v>
      </c>
      <c r="I50" s="29"/>
      <c r="J50" s="29"/>
      <c r="K50" s="29"/>
      <c r="L50" s="29"/>
      <c r="M50" s="31"/>
    </row>
    <row r="51" spans="1:13">
      <c r="A51" s="28">
        <f t="shared" si="1"/>
        <v>47</v>
      </c>
      <c r="B51" s="29" t="s">
        <v>636</v>
      </c>
      <c r="C51" s="29" t="s">
        <v>454</v>
      </c>
      <c r="D51" s="29" t="s">
        <v>246</v>
      </c>
      <c r="E51" s="29" t="s">
        <v>139</v>
      </c>
      <c r="F51" s="29" t="s">
        <v>140</v>
      </c>
      <c r="G51" s="30"/>
      <c r="H51" s="29" t="s">
        <v>141</v>
      </c>
      <c r="I51" s="29"/>
      <c r="J51" s="29"/>
      <c r="K51" s="29"/>
      <c r="L51" s="29"/>
      <c r="M51" s="31"/>
    </row>
    <row r="52" spans="1:13">
      <c r="A52" s="28">
        <f t="shared" si="1"/>
        <v>48</v>
      </c>
      <c r="B52" s="29" t="s">
        <v>637</v>
      </c>
      <c r="C52" s="29" t="s">
        <v>580</v>
      </c>
      <c r="D52" s="29" t="s">
        <v>247</v>
      </c>
      <c r="E52" s="29" t="s">
        <v>409</v>
      </c>
      <c r="F52" s="29" t="s">
        <v>140</v>
      </c>
      <c r="G52" s="30"/>
      <c r="H52" s="29" t="s">
        <v>141</v>
      </c>
      <c r="I52" s="29"/>
      <c r="J52" s="29"/>
      <c r="K52" s="29"/>
      <c r="L52" s="29"/>
      <c r="M52" s="31"/>
    </row>
    <row r="53" spans="1:13">
      <c r="A53" s="28">
        <f t="shared" si="1"/>
        <v>49</v>
      </c>
      <c r="B53" s="29" t="s">
        <v>638</v>
      </c>
      <c r="C53" s="29" t="s">
        <v>455</v>
      </c>
      <c r="D53" s="29" t="s">
        <v>248</v>
      </c>
      <c r="E53" s="29" t="s">
        <v>139</v>
      </c>
      <c r="F53" s="29" t="s">
        <v>140</v>
      </c>
      <c r="G53" s="30"/>
      <c r="H53" s="29" t="s">
        <v>141</v>
      </c>
      <c r="I53" s="29"/>
      <c r="J53" s="29"/>
      <c r="K53" s="29"/>
      <c r="L53" s="29"/>
      <c r="M53" s="31"/>
    </row>
    <row r="54" spans="1:13">
      <c r="A54" s="28">
        <f t="shared" si="1"/>
        <v>50</v>
      </c>
      <c r="B54" s="29" t="s">
        <v>639</v>
      </c>
      <c r="C54" s="29" t="s">
        <v>456</v>
      </c>
      <c r="D54" s="29" t="s">
        <v>249</v>
      </c>
      <c r="E54" s="29" t="s">
        <v>139</v>
      </c>
      <c r="F54" s="29" t="s">
        <v>586</v>
      </c>
      <c r="G54" s="30"/>
      <c r="H54" s="29" t="s">
        <v>141</v>
      </c>
      <c r="I54" s="29"/>
      <c r="J54" s="29"/>
      <c r="K54" s="29"/>
      <c r="L54" s="29"/>
      <c r="M54" s="31"/>
    </row>
    <row r="55" spans="1:13">
      <c r="A55" s="28">
        <f t="shared" si="1"/>
        <v>51</v>
      </c>
      <c r="B55" s="29" t="s">
        <v>640</v>
      </c>
      <c r="C55" s="29" t="s">
        <v>457</v>
      </c>
      <c r="D55" s="29" t="s">
        <v>250</v>
      </c>
      <c r="E55" s="29" t="s">
        <v>139</v>
      </c>
      <c r="F55" s="29" t="s">
        <v>140</v>
      </c>
      <c r="G55" s="30"/>
      <c r="H55" s="29" t="s">
        <v>141</v>
      </c>
      <c r="I55" s="29"/>
      <c r="J55" s="29"/>
      <c r="K55" s="29"/>
      <c r="L55" s="29"/>
      <c r="M55" s="31"/>
    </row>
    <row r="56" spans="1:13">
      <c r="A56" s="28">
        <f t="shared" si="1"/>
        <v>52</v>
      </c>
      <c r="B56" s="29" t="s">
        <v>641</v>
      </c>
      <c r="C56" s="29" t="s">
        <v>458</v>
      </c>
      <c r="D56" s="29" t="s">
        <v>251</v>
      </c>
      <c r="E56" s="29" t="s">
        <v>139</v>
      </c>
      <c r="F56" s="29" t="s">
        <v>140</v>
      </c>
      <c r="G56" s="30"/>
      <c r="H56" s="29" t="s">
        <v>141</v>
      </c>
      <c r="I56" s="29"/>
      <c r="J56" s="29"/>
      <c r="K56" s="29"/>
      <c r="L56" s="29"/>
      <c r="M56" s="31"/>
    </row>
    <row r="57" spans="1:13">
      <c r="A57" s="28">
        <f t="shared" si="1"/>
        <v>53</v>
      </c>
      <c r="B57" s="29" t="s">
        <v>642</v>
      </c>
      <c r="C57" s="29" t="s">
        <v>459</v>
      </c>
      <c r="D57" s="29" t="s">
        <v>252</v>
      </c>
      <c r="E57" s="29" t="s">
        <v>139</v>
      </c>
      <c r="F57" s="29" t="s">
        <v>140</v>
      </c>
      <c r="G57" s="30"/>
      <c r="H57" s="29" t="s">
        <v>141</v>
      </c>
      <c r="I57" s="29"/>
      <c r="J57" s="29"/>
      <c r="K57" s="29"/>
      <c r="L57" s="29"/>
      <c r="M57" s="31"/>
    </row>
    <row r="58" spans="1:13">
      <c r="A58" s="28">
        <f t="shared" si="1"/>
        <v>54</v>
      </c>
      <c r="B58" s="29" t="s">
        <v>643</v>
      </c>
      <c r="C58" s="29" t="s">
        <v>460</v>
      </c>
      <c r="D58" s="29" t="s">
        <v>253</v>
      </c>
      <c r="E58" s="29" t="s">
        <v>139</v>
      </c>
      <c r="F58" s="29" t="s">
        <v>140</v>
      </c>
      <c r="G58" s="30"/>
      <c r="H58" s="29" t="s">
        <v>141</v>
      </c>
      <c r="I58" s="29"/>
      <c r="J58" s="29"/>
      <c r="K58" s="29"/>
      <c r="L58" s="29"/>
      <c r="M58" s="31"/>
    </row>
    <row r="59" spans="1:13">
      <c r="A59" s="28">
        <f t="shared" si="1"/>
        <v>55</v>
      </c>
      <c r="B59" s="29" t="s">
        <v>644</v>
      </c>
      <c r="C59" s="29" t="s">
        <v>461</v>
      </c>
      <c r="D59" s="29" t="s">
        <v>254</v>
      </c>
      <c r="E59" s="29" t="s">
        <v>139</v>
      </c>
      <c r="F59" s="29" t="s">
        <v>140</v>
      </c>
      <c r="G59" s="30"/>
      <c r="H59" s="29" t="s">
        <v>141</v>
      </c>
      <c r="I59" s="29"/>
      <c r="J59" s="29"/>
      <c r="K59" s="29"/>
      <c r="L59" s="29"/>
      <c r="M59" s="31"/>
    </row>
    <row r="60" spans="1:13">
      <c r="A60" s="28">
        <f t="shared" si="1"/>
        <v>56</v>
      </c>
      <c r="B60" s="29" t="s">
        <v>645</v>
      </c>
      <c r="C60" s="29" t="s">
        <v>462</v>
      </c>
      <c r="D60" s="29" t="s">
        <v>255</v>
      </c>
      <c r="E60" s="29" t="s">
        <v>139</v>
      </c>
      <c r="F60" s="29" t="s">
        <v>140</v>
      </c>
      <c r="G60" s="30"/>
      <c r="H60" s="29" t="s">
        <v>141</v>
      </c>
      <c r="I60" s="29"/>
      <c r="J60" s="29"/>
      <c r="K60" s="29"/>
      <c r="L60" s="29"/>
      <c r="M60" s="31"/>
    </row>
    <row r="61" spans="1:13">
      <c r="A61" s="28">
        <f t="shared" si="1"/>
        <v>57</v>
      </c>
      <c r="B61" s="29" t="s">
        <v>646</v>
      </c>
      <c r="C61" s="29" t="s">
        <v>463</v>
      </c>
      <c r="D61" s="29" t="s">
        <v>256</v>
      </c>
      <c r="E61" s="29" t="s">
        <v>139</v>
      </c>
      <c r="F61" s="29" t="s">
        <v>140</v>
      </c>
      <c r="G61" s="30"/>
      <c r="H61" s="29" t="s">
        <v>141</v>
      </c>
      <c r="I61" s="29"/>
      <c r="J61" s="29"/>
      <c r="K61" s="29"/>
      <c r="L61" s="29"/>
      <c r="M61" s="31"/>
    </row>
    <row r="62" spans="1:13">
      <c r="A62" s="28">
        <f t="shared" si="1"/>
        <v>58</v>
      </c>
      <c r="B62" s="29" t="s">
        <v>647</v>
      </c>
      <c r="C62" s="29" t="s">
        <v>464</v>
      </c>
      <c r="D62" s="29" t="s">
        <v>257</v>
      </c>
      <c r="E62" s="29" t="s">
        <v>139</v>
      </c>
      <c r="F62" s="29" t="s">
        <v>140</v>
      </c>
      <c r="G62" s="30"/>
      <c r="H62" s="29" t="s">
        <v>141</v>
      </c>
      <c r="I62" s="29"/>
      <c r="J62" s="29"/>
      <c r="K62" s="29"/>
      <c r="L62" s="29"/>
      <c r="M62" s="31"/>
    </row>
    <row r="63" spans="1:13">
      <c r="A63" s="28">
        <f t="shared" si="1"/>
        <v>59</v>
      </c>
      <c r="B63" s="29" t="s">
        <v>648</v>
      </c>
      <c r="C63" s="29" t="s">
        <v>465</v>
      </c>
      <c r="D63" s="29" t="s">
        <v>258</v>
      </c>
      <c r="E63" s="29" t="s">
        <v>139</v>
      </c>
      <c r="F63" s="29" t="s">
        <v>140</v>
      </c>
      <c r="G63" s="30"/>
      <c r="H63" s="29" t="s">
        <v>141</v>
      </c>
      <c r="I63" s="29"/>
      <c r="J63" s="29"/>
      <c r="K63" s="29"/>
      <c r="L63" s="29"/>
      <c r="M63" s="31"/>
    </row>
    <row r="64" spans="1:13">
      <c r="A64" s="28">
        <f t="shared" si="1"/>
        <v>60</v>
      </c>
      <c r="B64" s="29" t="s">
        <v>649</v>
      </c>
      <c r="C64" s="29" t="s">
        <v>466</v>
      </c>
      <c r="D64" s="29" t="s">
        <v>259</v>
      </c>
      <c r="E64" s="29" t="s">
        <v>409</v>
      </c>
      <c r="F64" s="29" t="s">
        <v>140</v>
      </c>
      <c r="G64" s="30"/>
      <c r="H64" s="29" t="s">
        <v>141</v>
      </c>
      <c r="I64" s="29"/>
      <c r="J64" s="29"/>
      <c r="K64" s="29"/>
      <c r="L64" s="29"/>
      <c r="M64" s="31"/>
    </row>
    <row r="65" spans="1:13">
      <c r="A65" s="28">
        <f t="shared" si="1"/>
        <v>61</v>
      </c>
      <c r="B65" s="29" t="s">
        <v>650</v>
      </c>
      <c r="C65" s="29" t="s">
        <v>467</v>
      </c>
      <c r="D65" s="29" t="s">
        <v>260</v>
      </c>
      <c r="E65" s="29" t="s">
        <v>139</v>
      </c>
      <c r="F65" s="29" t="s">
        <v>140</v>
      </c>
      <c r="G65" s="30"/>
      <c r="H65" s="29" t="s">
        <v>141</v>
      </c>
      <c r="I65" s="29"/>
      <c r="J65" s="29"/>
      <c r="K65" s="29"/>
      <c r="L65" s="29"/>
      <c r="M65" s="31"/>
    </row>
    <row r="66" spans="1:13">
      <c r="A66" s="28">
        <f t="shared" si="1"/>
        <v>62</v>
      </c>
      <c r="B66" s="29" t="s">
        <v>651</v>
      </c>
      <c r="C66" s="29" t="s">
        <v>468</v>
      </c>
      <c r="D66" s="29" t="s">
        <v>261</v>
      </c>
      <c r="E66" s="29" t="s">
        <v>139</v>
      </c>
      <c r="F66" s="29" t="s">
        <v>140</v>
      </c>
      <c r="G66" s="30"/>
      <c r="H66" s="29" t="s">
        <v>141</v>
      </c>
      <c r="I66" s="29"/>
      <c r="J66" s="29"/>
      <c r="K66" s="29"/>
      <c r="L66" s="29"/>
      <c r="M66" s="31"/>
    </row>
    <row r="67" spans="1:13">
      <c r="A67" s="28">
        <f t="shared" si="1"/>
        <v>63</v>
      </c>
      <c r="B67" s="29" t="s">
        <v>652</v>
      </c>
      <c r="C67" s="29" t="s">
        <v>469</v>
      </c>
      <c r="D67" s="29" t="s">
        <v>262</v>
      </c>
      <c r="E67" s="29" t="s">
        <v>139</v>
      </c>
      <c r="F67" s="29" t="s">
        <v>140</v>
      </c>
      <c r="G67" s="30"/>
      <c r="H67" s="29" t="s">
        <v>141</v>
      </c>
      <c r="I67" s="29"/>
      <c r="J67" s="29"/>
      <c r="K67" s="29"/>
      <c r="L67" s="29"/>
      <c r="M67" s="31"/>
    </row>
    <row r="68" spans="1:13">
      <c r="A68" s="28">
        <f t="shared" si="1"/>
        <v>64</v>
      </c>
      <c r="B68" s="29" t="s">
        <v>653</v>
      </c>
      <c r="C68" s="29" t="s">
        <v>470</v>
      </c>
      <c r="D68" s="29" t="s">
        <v>263</v>
      </c>
      <c r="E68" s="29" t="s">
        <v>139</v>
      </c>
      <c r="F68" s="29" t="s">
        <v>140</v>
      </c>
      <c r="G68" s="30"/>
      <c r="H68" s="29" t="s">
        <v>141</v>
      </c>
      <c r="I68" s="29"/>
      <c r="J68" s="29"/>
      <c r="K68" s="29"/>
      <c r="L68" s="29"/>
      <c r="M68" s="31"/>
    </row>
    <row r="69" spans="1:13">
      <c r="A69" s="28">
        <f t="shared" si="1"/>
        <v>65</v>
      </c>
      <c r="B69" s="29" t="s">
        <v>654</v>
      </c>
      <c r="C69" s="29" t="s">
        <v>471</v>
      </c>
      <c r="D69" s="29" t="s">
        <v>264</v>
      </c>
      <c r="E69" s="29" t="s">
        <v>139</v>
      </c>
      <c r="F69" s="29" t="s">
        <v>140</v>
      </c>
      <c r="G69" s="30"/>
      <c r="H69" s="29" t="s">
        <v>141</v>
      </c>
      <c r="I69" s="29"/>
      <c r="J69" s="29"/>
      <c r="K69" s="29"/>
      <c r="L69" s="29"/>
      <c r="M69" s="31"/>
    </row>
    <row r="70" spans="1:13">
      <c r="A70" s="28">
        <f t="shared" ref="A70:A133" si="2">IF(D70="","",ROW()-4)</f>
        <v>66</v>
      </c>
      <c r="B70" s="29" t="s">
        <v>655</v>
      </c>
      <c r="C70" s="29" t="s">
        <v>472</v>
      </c>
      <c r="D70" s="29" t="s">
        <v>265</v>
      </c>
      <c r="E70" s="29" t="s">
        <v>139</v>
      </c>
      <c r="F70" s="29" t="s">
        <v>140</v>
      </c>
      <c r="G70" s="30"/>
      <c r="H70" s="29" t="s">
        <v>141</v>
      </c>
      <c r="I70" s="29"/>
      <c r="J70" s="29"/>
      <c r="K70" s="29"/>
      <c r="L70" s="29"/>
      <c r="M70" s="31"/>
    </row>
    <row r="71" spans="1:13">
      <c r="A71" s="28">
        <f t="shared" si="2"/>
        <v>67</v>
      </c>
      <c r="B71" s="29" t="s">
        <v>656</v>
      </c>
      <c r="C71" s="29" t="s">
        <v>473</v>
      </c>
      <c r="D71" s="29" t="s">
        <v>266</v>
      </c>
      <c r="E71" s="29" t="s">
        <v>139</v>
      </c>
      <c r="F71" s="29" t="s">
        <v>140</v>
      </c>
      <c r="G71" s="30"/>
      <c r="H71" s="29" t="s">
        <v>141</v>
      </c>
      <c r="I71" s="29"/>
      <c r="J71" s="29"/>
      <c r="K71" s="29"/>
      <c r="L71" s="29"/>
      <c r="M71" s="31"/>
    </row>
    <row r="72" spans="1:13">
      <c r="A72" s="28">
        <f t="shared" si="2"/>
        <v>68</v>
      </c>
      <c r="B72" s="29" t="s">
        <v>657</v>
      </c>
      <c r="C72" s="29" t="s">
        <v>474</v>
      </c>
      <c r="D72" s="29" t="s">
        <v>267</v>
      </c>
      <c r="E72" s="29" t="s">
        <v>139</v>
      </c>
      <c r="F72" s="29" t="s">
        <v>140</v>
      </c>
      <c r="G72" s="30"/>
      <c r="H72" s="29" t="s">
        <v>588</v>
      </c>
      <c r="I72" s="29"/>
      <c r="J72" s="29"/>
      <c r="K72" s="29"/>
      <c r="L72" s="29"/>
      <c r="M72" s="31"/>
    </row>
    <row r="73" spans="1:13">
      <c r="A73" s="28">
        <f t="shared" si="2"/>
        <v>69</v>
      </c>
      <c r="B73" s="29" t="s">
        <v>658</v>
      </c>
      <c r="C73" s="29" t="s">
        <v>475</v>
      </c>
      <c r="D73" s="29" t="s">
        <v>268</v>
      </c>
      <c r="E73" s="29" t="s">
        <v>139</v>
      </c>
      <c r="F73" s="29" t="s">
        <v>140</v>
      </c>
      <c r="G73" s="30"/>
      <c r="H73" s="29" t="s">
        <v>588</v>
      </c>
      <c r="I73" s="29"/>
      <c r="J73" s="29"/>
      <c r="K73" s="29"/>
      <c r="L73" s="29"/>
      <c r="M73" s="31"/>
    </row>
    <row r="74" spans="1:13">
      <c r="A74" s="28">
        <f t="shared" si="2"/>
        <v>70</v>
      </c>
      <c r="B74" s="29" t="s">
        <v>659</v>
      </c>
      <c r="C74" s="29" t="s">
        <v>476</v>
      </c>
      <c r="D74" s="29" t="s">
        <v>269</v>
      </c>
      <c r="E74" s="29" t="s">
        <v>139</v>
      </c>
      <c r="F74" s="29" t="s">
        <v>140</v>
      </c>
      <c r="G74" s="30"/>
      <c r="H74" s="29" t="s">
        <v>588</v>
      </c>
      <c r="I74" s="29"/>
      <c r="J74" s="29"/>
      <c r="K74" s="29"/>
      <c r="L74" s="29"/>
      <c r="M74" s="31"/>
    </row>
    <row r="75" spans="1:13">
      <c r="A75" s="28">
        <f t="shared" si="2"/>
        <v>71</v>
      </c>
      <c r="B75" s="29" t="s">
        <v>660</v>
      </c>
      <c r="C75" s="29" t="s">
        <v>477</v>
      </c>
      <c r="D75" s="29" t="s">
        <v>270</v>
      </c>
      <c r="E75" s="29" t="s">
        <v>139</v>
      </c>
      <c r="F75" s="29" t="s">
        <v>140</v>
      </c>
      <c r="G75" s="30"/>
      <c r="H75" s="29" t="s">
        <v>588</v>
      </c>
      <c r="I75" s="29"/>
      <c r="J75" s="29"/>
      <c r="K75" s="29"/>
      <c r="L75" s="29"/>
      <c r="M75" s="31"/>
    </row>
    <row r="76" spans="1:13">
      <c r="A76" s="28">
        <f t="shared" si="2"/>
        <v>72</v>
      </c>
      <c r="B76" s="29" t="s">
        <v>661</v>
      </c>
      <c r="C76" s="29" t="s">
        <v>478</v>
      </c>
      <c r="D76" s="29" t="s">
        <v>271</v>
      </c>
      <c r="E76" s="29" t="s">
        <v>139</v>
      </c>
      <c r="F76" s="29" t="s">
        <v>140</v>
      </c>
      <c r="G76" s="30"/>
      <c r="H76" s="29" t="s">
        <v>588</v>
      </c>
      <c r="I76" s="29"/>
      <c r="J76" s="29"/>
      <c r="K76" s="29"/>
      <c r="L76" s="29"/>
      <c r="M76" s="31"/>
    </row>
    <row r="77" spans="1:13">
      <c r="A77" s="28">
        <f t="shared" si="2"/>
        <v>73</v>
      </c>
      <c r="B77" s="29" t="s">
        <v>662</v>
      </c>
      <c r="C77" s="29" t="s">
        <v>479</v>
      </c>
      <c r="D77" s="29" t="s">
        <v>272</v>
      </c>
      <c r="E77" s="29" t="s">
        <v>139</v>
      </c>
      <c r="F77" s="29" t="s">
        <v>140</v>
      </c>
      <c r="G77" s="30"/>
      <c r="H77" s="29" t="s">
        <v>588</v>
      </c>
      <c r="I77" s="29"/>
      <c r="J77" s="29"/>
      <c r="K77" s="29"/>
      <c r="L77" s="29"/>
      <c r="M77" s="31"/>
    </row>
    <row r="78" spans="1:13">
      <c r="A78" s="28">
        <f t="shared" si="2"/>
        <v>74</v>
      </c>
      <c r="B78" s="29" t="s">
        <v>663</v>
      </c>
      <c r="C78" s="29" t="s">
        <v>480</v>
      </c>
      <c r="D78" s="29" t="s">
        <v>273</v>
      </c>
      <c r="E78" s="29" t="s">
        <v>139</v>
      </c>
      <c r="F78" s="29" t="s">
        <v>140</v>
      </c>
      <c r="G78" s="30"/>
      <c r="H78" s="29" t="s">
        <v>588</v>
      </c>
      <c r="I78" s="29"/>
      <c r="J78" s="29"/>
      <c r="K78" s="29"/>
      <c r="L78" s="29"/>
      <c r="M78" s="31"/>
    </row>
    <row r="79" spans="1:13">
      <c r="A79" s="28">
        <f t="shared" si="2"/>
        <v>75</v>
      </c>
      <c r="B79" s="29" t="s">
        <v>664</v>
      </c>
      <c r="C79" s="29" t="s">
        <v>481</v>
      </c>
      <c r="D79" s="29" t="s">
        <v>274</v>
      </c>
      <c r="E79" s="29" t="s">
        <v>139</v>
      </c>
      <c r="F79" s="29" t="s">
        <v>140</v>
      </c>
      <c r="G79" s="30"/>
      <c r="H79" s="29" t="s">
        <v>588</v>
      </c>
      <c r="I79" s="29"/>
      <c r="J79" s="29"/>
      <c r="K79" s="29"/>
      <c r="L79" s="29"/>
      <c r="M79" s="31"/>
    </row>
    <row r="80" spans="1:13">
      <c r="A80" s="28">
        <f t="shared" si="2"/>
        <v>76</v>
      </c>
      <c r="B80" s="29" t="s">
        <v>665</v>
      </c>
      <c r="C80" s="29" t="s">
        <v>482</v>
      </c>
      <c r="D80" s="29" t="s">
        <v>275</v>
      </c>
      <c r="E80" s="29" t="s">
        <v>139</v>
      </c>
      <c r="F80" s="29" t="s">
        <v>140</v>
      </c>
      <c r="G80" s="30"/>
      <c r="H80" s="29" t="s">
        <v>588</v>
      </c>
      <c r="I80" s="29"/>
      <c r="J80" s="29"/>
      <c r="K80" s="29"/>
      <c r="L80" s="29"/>
      <c r="M80" s="31"/>
    </row>
    <row r="81" spans="1:13">
      <c r="A81" s="28">
        <f t="shared" si="2"/>
        <v>77</v>
      </c>
      <c r="B81" s="29" t="s">
        <v>666</v>
      </c>
      <c r="C81" s="29" t="s">
        <v>483</v>
      </c>
      <c r="D81" s="29" t="s">
        <v>276</v>
      </c>
      <c r="E81" s="29" t="s">
        <v>139</v>
      </c>
      <c r="F81" s="29" t="s">
        <v>140</v>
      </c>
      <c r="G81" s="30"/>
      <c r="H81" s="29" t="s">
        <v>588</v>
      </c>
      <c r="I81" s="29"/>
      <c r="J81" s="29"/>
      <c r="K81" s="29"/>
      <c r="L81" s="29"/>
      <c r="M81" s="31"/>
    </row>
    <row r="82" spans="1:13">
      <c r="A82" s="28">
        <f t="shared" si="2"/>
        <v>78</v>
      </c>
      <c r="B82" s="29" t="s">
        <v>667</v>
      </c>
      <c r="C82" s="29" t="s">
        <v>484</v>
      </c>
      <c r="D82" s="29" t="s">
        <v>277</v>
      </c>
      <c r="E82" s="29" t="s">
        <v>139</v>
      </c>
      <c r="F82" s="29" t="s">
        <v>140</v>
      </c>
      <c r="G82" s="30"/>
      <c r="H82" s="29" t="s">
        <v>588</v>
      </c>
      <c r="I82" s="29"/>
      <c r="J82" s="29"/>
      <c r="K82" s="29"/>
      <c r="L82" s="29"/>
      <c r="M82" s="31"/>
    </row>
    <row r="83" spans="1:13">
      <c r="A83" s="28">
        <f t="shared" si="2"/>
        <v>79</v>
      </c>
      <c r="B83" s="29" t="s">
        <v>668</v>
      </c>
      <c r="C83" s="29" t="s">
        <v>485</v>
      </c>
      <c r="D83" s="29" t="s">
        <v>278</v>
      </c>
      <c r="E83" s="29" t="s">
        <v>139</v>
      </c>
      <c r="F83" s="29" t="s">
        <v>140</v>
      </c>
      <c r="G83" s="30"/>
      <c r="H83" s="29" t="s">
        <v>588</v>
      </c>
      <c r="I83" s="29"/>
      <c r="J83" s="29"/>
      <c r="K83" s="29"/>
      <c r="L83" s="29"/>
      <c r="M83" s="31"/>
    </row>
    <row r="84" spans="1:13">
      <c r="A84" s="28">
        <f t="shared" si="2"/>
        <v>80</v>
      </c>
      <c r="B84" s="29" t="s">
        <v>669</v>
      </c>
      <c r="C84" s="29" t="s">
        <v>486</v>
      </c>
      <c r="D84" s="29" t="s">
        <v>279</v>
      </c>
      <c r="E84" s="29" t="s">
        <v>139</v>
      </c>
      <c r="F84" s="29" t="s">
        <v>140</v>
      </c>
      <c r="G84" s="30"/>
      <c r="H84" s="29" t="s">
        <v>588</v>
      </c>
      <c r="I84" s="29"/>
      <c r="J84" s="29"/>
      <c r="K84" s="29"/>
      <c r="L84" s="29"/>
      <c r="M84" s="31"/>
    </row>
    <row r="85" spans="1:13">
      <c r="A85" s="28">
        <f t="shared" si="2"/>
        <v>81</v>
      </c>
      <c r="B85" s="29" t="s">
        <v>670</v>
      </c>
      <c r="C85" s="29" t="s">
        <v>487</v>
      </c>
      <c r="D85" s="29" t="s">
        <v>280</v>
      </c>
      <c r="E85" s="29" t="s">
        <v>139</v>
      </c>
      <c r="F85" s="29" t="s">
        <v>140</v>
      </c>
      <c r="G85" s="30"/>
      <c r="H85" s="29" t="s">
        <v>588</v>
      </c>
      <c r="I85" s="29"/>
      <c r="J85" s="29"/>
      <c r="K85" s="29"/>
      <c r="L85" s="29"/>
      <c r="M85" s="31"/>
    </row>
    <row r="86" spans="1:13">
      <c r="A86" s="28">
        <f t="shared" si="2"/>
        <v>82</v>
      </c>
      <c r="B86" s="29" t="s">
        <v>671</v>
      </c>
      <c r="C86" s="29" t="s">
        <v>488</v>
      </c>
      <c r="D86" s="29" t="s">
        <v>281</v>
      </c>
      <c r="E86" s="29" t="s">
        <v>139</v>
      </c>
      <c r="F86" s="29" t="s">
        <v>140</v>
      </c>
      <c r="G86" s="30"/>
      <c r="H86" s="29" t="s">
        <v>588</v>
      </c>
      <c r="I86" s="29"/>
      <c r="J86" s="29"/>
      <c r="K86" s="29"/>
      <c r="L86" s="29"/>
      <c r="M86" s="31"/>
    </row>
    <row r="87" spans="1:13">
      <c r="A87" s="28">
        <f t="shared" si="2"/>
        <v>83</v>
      </c>
      <c r="B87" s="29" t="s">
        <v>672</v>
      </c>
      <c r="C87" s="29" t="s">
        <v>489</v>
      </c>
      <c r="D87" s="29" t="s">
        <v>282</v>
      </c>
      <c r="E87" s="29" t="s">
        <v>139</v>
      </c>
      <c r="F87" s="29" t="s">
        <v>140</v>
      </c>
      <c r="G87" s="30"/>
      <c r="H87" s="29" t="s">
        <v>588</v>
      </c>
      <c r="I87" s="29"/>
      <c r="J87" s="29"/>
      <c r="K87" s="29"/>
      <c r="L87" s="29"/>
      <c r="M87" s="31"/>
    </row>
    <row r="88" spans="1:13">
      <c r="A88" s="28">
        <f t="shared" si="2"/>
        <v>84</v>
      </c>
      <c r="B88" s="29" t="s">
        <v>673</v>
      </c>
      <c r="C88" s="29" t="s">
        <v>490</v>
      </c>
      <c r="D88" s="29" t="s">
        <v>283</v>
      </c>
      <c r="E88" s="29" t="s">
        <v>139</v>
      </c>
      <c r="F88" s="29" t="s">
        <v>140</v>
      </c>
      <c r="G88" s="30"/>
      <c r="H88" s="29" t="s">
        <v>588</v>
      </c>
      <c r="I88" s="29"/>
      <c r="J88" s="29"/>
      <c r="K88" s="29"/>
      <c r="L88" s="29"/>
      <c r="M88" s="31"/>
    </row>
    <row r="89" spans="1:13">
      <c r="A89" s="28">
        <f t="shared" si="2"/>
        <v>85</v>
      </c>
      <c r="B89" s="29" t="s">
        <v>674</v>
      </c>
      <c r="C89" s="29" t="s">
        <v>491</v>
      </c>
      <c r="D89" s="29" t="s">
        <v>284</v>
      </c>
      <c r="E89" s="29" t="s">
        <v>139</v>
      </c>
      <c r="F89" s="29" t="s">
        <v>140</v>
      </c>
      <c r="G89" s="30"/>
      <c r="H89" s="29" t="s">
        <v>588</v>
      </c>
      <c r="I89" s="29"/>
      <c r="J89" s="29"/>
      <c r="K89" s="29"/>
      <c r="L89" s="29"/>
      <c r="M89" s="31"/>
    </row>
    <row r="90" spans="1:13">
      <c r="A90" s="28">
        <f t="shared" si="2"/>
        <v>86</v>
      </c>
      <c r="B90" s="29" t="s">
        <v>675</v>
      </c>
      <c r="C90" s="29" t="s">
        <v>492</v>
      </c>
      <c r="D90" s="29" t="s">
        <v>285</v>
      </c>
      <c r="E90" s="29" t="s">
        <v>139</v>
      </c>
      <c r="F90" s="29" t="s">
        <v>140</v>
      </c>
      <c r="G90" s="30"/>
      <c r="H90" s="29" t="s">
        <v>588</v>
      </c>
      <c r="I90" s="29"/>
      <c r="J90" s="29"/>
      <c r="K90" s="29"/>
      <c r="L90" s="29"/>
      <c r="M90" s="31"/>
    </row>
    <row r="91" spans="1:13">
      <c r="A91" s="28">
        <f t="shared" si="2"/>
        <v>87</v>
      </c>
      <c r="B91" s="29" t="s">
        <v>676</v>
      </c>
      <c r="C91" s="29" t="s">
        <v>493</v>
      </c>
      <c r="D91" s="29" t="s">
        <v>286</v>
      </c>
      <c r="E91" s="29" t="s">
        <v>139</v>
      </c>
      <c r="F91" s="29" t="s">
        <v>140</v>
      </c>
      <c r="G91" s="30"/>
      <c r="H91" s="29" t="s">
        <v>588</v>
      </c>
      <c r="I91" s="29"/>
      <c r="J91" s="29"/>
      <c r="K91" s="29"/>
      <c r="L91" s="29"/>
      <c r="M91" s="31"/>
    </row>
    <row r="92" spans="1:13">
      <c r="A92" s="28">
        <f t="shared" si="2"/>
        <v>88</v>
      </c>
      <c r="B92" s="29" t="s">
        <v>677</v>
      </c>
      <c r="C92" s="29" t="s">
        <v>494</v>
      </c>
      <c r="D92" s="29" t="s">
        <v>287</v>
      </c>
      <c r="E92" s="29" t="s">
        <v>139</v>
      </c>
      <c r="F92" s="29" t="s">
        <v>140</v>
      </c>
      <c r="G92" s="30"/>
      <c r="H92" s="29" t="s">
        <v>588</v>
      </c>
      <c r="I92" s="29"/>
      <c r="J92" s="29"/>
      <c r="K92" s="29"/>
      <c r="L92" s="29"/>
      <c r="M92" s="31"/>
    </row>
    <row r="93" spans="1:13">
      <c r="A93" s="28">
        <f t="shared" si="2"/>
        <v>89</v>
      </c>
      <c r="B93" s="29" t="s">
        <v>678</v>
      </c>
      <c r="C93" s="29" t="s">
        <v>495</v>
      </c>
      <c r="D93" s="29" t="s">
        <v>288</v>
      </c>
      <c r="E93" s="29" t="s">
        <v>139</v>
      </c>
      <c r="F93" s="29" t="s">
        <v>140</v>
      </c>
      <c r="G93" s="30"/>
      <c r="H93" s="29" t="s">
        <v>588</v>
      </c>
      <c r="I93" s="29"/>
      <c r="J93" s="29"/>
      <c r="K93" s="29"/>
      <c r="L93" s="29"/>
      <c r="M93" s="31"/>
    </row>
    <row r="94" spans="1:13">
      <c r="A94" s="28">
        <f t="shared" si="2"/>
        <v>90</v>
      </c>
      <c r="B94" s="29" t="s">
        <v>679</v>
      </c>
      <c r="C94" s="29" t="s">
        <v>581</v>
      </c>
      <c r="D94" s="29" t="s">
        <v>289</v>
      </c>
      <c r="E94" s="29" t="s">
        <v>409</v>
      </c>
      <c r="F94" s="29" t="s">
        <v>140</v>
      </c>
      <c r="G94" s="30"/>
      <c r="H94" s="29" t="s">
        <v>588</v>
      </c>
      <c r="I94" s="29"/>
      <c r="J94" s="29"/>
      <c r="K94" s="29"/>
      <c r="L94" s="29"/>
      <c r="M94" s="31"/>
    </row>
    <row r="95" spans="1:13">
      <c r="A95" s="28">
        <f t="shared" si="2"/>
        <v>91</v>
      </c>
      <c r="B95" s="29" t="s">
        <v>680</v>
      </c>
      <c r="C95" s="29" t="s">
        <v>496</v>
      </c>
      <c r="D95" s="29" t="s">
        <v>290</v>
      </c>
      <c r="E95" s="29" t="s">
        <v>139</v>
      </c>
      <c r="F95" s="29" t="s">
        <v>140</v>
      </c>
      <c r="G95" s="30"/>
      <c r="H95" s="29" t="s">
        <v>588</v>
      </c>
      <c r="I95" s="29"/>
      <c r="J95" s="29"/>
      <c r="K95" s="29"/>
      <c r="L95" s="29"/>
      <c r="M95" s="31"/>
    </row>
    <row r="96" spans="1:13">
      <c r="A96" s="28">
        <f t="shared" si="2"/>
        <v>92</v>
      </c>
      <c r="B96" s="29" t="s">
        <v>681</v>
      </c>
      <c r="C96" s="29" t="s">
        <v>497</v>
      </c>
      <c r="D96" s="29" t="s">
        <v>291</v>
      </c>
      <c r="E96" s="29" t="s">
        <v>139</v>
      </c>
      <c r="F96" s="29" t="s">
        <v>140</v>
      </c>
      <c r="G96" s="30"/>
      <c r="H96" s="29" t="s">
        <v>588</v>
      </c>
      <c r="I96" s="29"/>
      <c r="J96" s="29"/>
      <c r="K96" s="29"/>
      <c r="L96" s="29"/>
      <c r="M96" s="31"/>
    </row>
    <row r="97" spans="1:13">
      <c r="A97" s="28">
        <f t="shared" si="2"/>
        <v>93</v>
      </c>
      <c r="B97" s="29" t="s">
        <v>682</v>
      </c>
      <c r="C97" s="29" t="s">
        <v>498</v>
      </c>
      <c r="D97" s="29" t="s">
        <v>292</v>
      </c>
      <c r="E97" s="29" t="s">
        <v>139</v>
      </c>
      <c r="F97" s="29" t="s">
        <v>140</v>
      </c>
      <c r="G97" s="30"/>
      <c r="H97" s="29" t="s">
        <v>588</v>
      </c>
      <c r="I97" s="29"/>
      <c r="J97" s="29"/>
      <c r="K97" s="29"/>
      <c r="L97" s="29"/>
      <c r="M97" s="31"/>
    </row>
    <row r="98" spans="1:13">
      <c r="A98" s="28">
        <f t="shared" si="2"/>
        <v>94</v>
      </c>
      <c r="B98" s="29" t="s">
        <v>683</v>
      </c>
      <c r="C98" s="29" t="s">
        <v>499</v>
      </c>
      <c r="D98" s="29" t="s">
        <v>293</v>
      </c>
      <c r="E98" s="29" t="s">
        <v>139</v>
      </c>
      <c r="F98" s="29" t="s">
        <v>140</v>
      </c>
      <c r="G98" s="30"/>
      <c r="H98" s="29" t="s">
        <v>588</v>
      </c>
      <c r="I98" s="29"/>
      <c r="J98" s="29"/>
      <c r="K98" s="29"/>
      <c r="L98" s="29"/>
      <c r="M98" s="31"/>
    </row>
    <row r="99" spans="1:13">
      <c r="A99" s="28">
        <f t="shared" si="2"/>
        <v>95</v>
      </c>
      <c r="B99" s="29" t="s">
        <v>684</v>
      </c>
      <c r="C99" s="29" t="s">
        <v>500</v>
      </c>
      <c r="D99" s="29" t="s">
        <v>294</v>
      </c>
      <c r="E99" s="29" t="s">
        <v>139</v>
      </c>
      <c r="F99" s="29" t="s">
        <v>140</v>
      </c>
      <c r="G99" s="30"/>
      <c r="H99" s="29" t="s">
        <v>141</v>
      </c>
      <c r="I99" s="29"/>
      <c r="J99" s="29"/>
      <c r="K99" s="29"/>
      <c r="L99" s="29"/>
      <c r="M99" s="31"/>
    </row>
    <row r="100" spans="1:13">
      <c r="A100" s="28">
        <f t="shared" si="2"/>
        <v>96</v>
      </c>
      <c r="B100" s="29" t="s">
        <v>685</v>
      </c>
      <c r="C100" s="29" t="s">
        <v>501</v>
      </c>
      <c r="D100" s="29" t="s">
        <v>295</v>
      </c>
      <c r="E100" s="29" t="s">
        <v>139</v>
      </c>
      <c r="F100" s="29" t="s">
        <v>140</v>
      </c>
      <c r="G100" s="30"/>
      <c r="H100" s="29" t="s">
        <v>141</v>
      </c>
      <c r="I100" s="29"/>
      <c r="J100" s="29"/>
      <c r="K100" s="29"/>
      <c r="L100" s="29"/>
      <c r="M100" s="31"/>
    </row>
    <row r="101" spans="1:13">
      <c r="A101" s="28">
        <f t="shared" si="2"/>
        <v>97</v>
      </c>
      <c r="B101" s="29" t="s">
        <v>686</v>
      </c>
      <c r="C101" s="29" t="s">
        <v>502</v>
      </c>
      <c r="D101" s="29" t="s">
        <v>296</v>
      </c>
      <c r="E101" s="29" t="s">
        <v>139</v>
      </c>
      <c r="F101" s="29" t="s">
        <v>586</v>
      </c>
      <c r="G101" s="30"/>
      <c r="H101" s="29" t="s">
        <v>588</v>
      </c>
      <c r="I101" s="29"/>
      <c r="J101" s="29"/>
      <c r="K101" s="29"/>
      <c r="L101" s="29"/>
      <c r="M101" s="31"/>
    </row>
    <row r="102" spans="1:13">
      <c r="A102" s="28">
        <f t="shared" si="2"/>
        <v>98</v>
      </c>
      <c r="B102" s="29" t="s">
        <v>687</v>
      </c>
      <c r="C102" s="29">
        <v>0</v>
      </c>
      <c r="D102" s="29" t="s">
        <v>297</v>
      </c>
      <c r="E102" s="29" t="s">
        <v>139</v>
      </c>
      <c r="F102" s="29" t="s">
        <v>410</v>
      </c>
      <c r="G102" s="30"/>
      <c r="H102" s="29" t="s">
        <v>588</v>
      </c>
      <c r="I102" s="29"/>
      <c r="J102" s="29"/>
      <c r="K102" s="29"/>
      <c r="L102" s="29"/>
      <c r="M102" s="31"/>
    </row>
    <row r="103" spans="1:13">
      <c r="A103" s="28">
        <f t="shared" si="2"/>
        <v>99</v>
      </c>
      <c r="B103" s="29" t="s">
        <v>688</v>
      </c>
      <c r="C103" s="29" t="s">
        <v>503</v>
      </c>
      <c r="D103" s="29" t="s">
        <v>298</v>
      </c>
      <c r="E103" s="29" t="s">
        <v>139</v>
      </c>
      <c r="F103" s="29" t="s">
        <v>586</v>
      </c>
      <c r="G103" s="30"/>
      <c r="H103" s="29" t="s">
        <v>588</v>
      </c>
      <c r="I103" s="29"/>
      <c r="J103" s="29"/>
      <c r="K103" s="29"/>
      <c r="L103" s="29"/>
      <c r="M103" s="31"/>
    </row>
    <row r="104" spans="1:13">
      <c r="A104" s="28">
        <f t="shared" si="2"/>
        <v>100</v>
      </c>
      <c r="B104" s="29" t="s">
        <v>689</v>
      </c>
      <c r="C104" s="29" t="s">
        <v>504</v>
      </c>
      <c r="D104" s="29" t="s">
        <v>299</v>
      </c>
      <c r="E104" s="29" t="s">
        <v>139</v>
      </c>
      <c r="F104" s="29" t="s">
        <v>140</v>
      </c>
      <c r="G104" s="30"/>
      <c r="H104" s="29" t="s">
        <v>588</v>
      </c>
      <c r="I104" s="29"/>
      <c r="J104" s="29"/>
      <c r="K104" s="29"/>
      <c r="L104" s="29"/>
      <c r="M104" s="31"/>
    </row>
    <row r="105" spans="1:13">
      <c r="A105" s="28">
        <f t="shared" si="2"/>
        <v>101</v>
      </c>
      <c r="B105" s="29" t="s">
        <v>690</v>
      </c>
      <c r="C105" s="29">
        <v>0</v>
      </c>
      <c r="D105" s="29" t="s">
        <v>300</v>
      </c>
      <c r="E105" s="29" t="s">
        <v>409</v>
      </c>
      <c r="F105" s="29" t="s">
        <v>140</v>
      </c>
      <c r="G105" s="30"/>
      <c r="H105" s="29" t="s">
        <v>588</v>
      </c>
      <c r="I105" s="29"/>
      <c r="J105" s="29"/>
      <c r="K105" s="29"/>
      <c r="L105" s="29"/>
      <c r="M105" s="31"/>
    </row>
    <row r="106" spans="1:13">
      <c r="A106" s="28">
        <f t="shared" si="2"/>
        <v>102</v>
      </c>
      <c r="B106" s="29" t="s">
        <v>691</v>
      </c>
      <c r="C106" s="29">
        <v>0</v>
      </c>
      <c r="D106" s="29" t="s">
        <v>301</v>
      </c>
      <c r="E106" s="29" t="s">
        <v>139</v>
      </c>
      <c r="F106" s="29" t="s">
        <v>410</v>
      </c>
      <c r="G106" s="30"/>
      <c r="H106" s="29" t="s">
        <v>588</v>
      </c>
      <c r="I106" s="29"/>
      <c r="J106" s="29"/>
      <c r="K106" s="29"/>
      <c r="L106" s="29"/>
      <c r="M106" s="31"/>
    </row>
    <row r="107" spans="1:13">
      <c r="A107" s="28">
        <f t="shared" si="2"/>
        <v>103</v>
      </c>
      <c r="B107" s="29" t="s">
        <v>692</v>
      </c>
      <c r="C107" s="29" t="s">
        <v>505</v>
      </c>
      <c r="D107" s="29" t="s">
        <v>302</v>
      </c>
      <c r="E107" s="29" t="s">
        <v>409</v>
      </c>
      <c r="F107" s="29" t="s">
        <v>586</v>
      </c>
      <c r="G107" s="30"/>
      <c r="H107" s="29" t="s">
        <v>588</v>
      </c>
      <c r="I107" s="29"/>
      <c r="J107" s="29"/>
      <c r="K107" s="29"/>
      <c r="L107" s="29"/>
      <c r="M107" s="31"/>
    </row>
    <row r="108" spans="1:13">
      <c r="A108" s="28">
        <f t="shared" si="2"/>
        <v>104</v>
      </c>
      <c r="B108" s="29" t="s">
        <v>693</v>
      </c>
      <c r="C108" s="29" t="s">
        <v>506</v>
      </c>
      <c r="D108" s="29" t="s">
        <v>303</v>
      </c>
      <c r="E108" s="29" t="s">
        <v>139</v>
      </c>
      <c r="F108" s="29" t="s">
        <v>140</v>
      </c>
      <c r="G108" s="30"/>
      <c r="H108" s="29" t="s">
        <v>588</v>
      </c>
      <c r="I108" s="29"/>
      <c r="J108" s="29"/>
      <c r="K108" s="29"/>
      <c r="L108" s="29"/>
      <c r="M108" s="31"/>
    </row>
    <row r="109" spans="1:13">
      <c r="A109" s="28">
        <f t="shared" si="2"/>
        <v>105</v>
      </c>
      <c r="B109" s="29" t="s">
        <v>694</v>
      </c>
      <c r="C109" s="29">
        <v>0</v>
      </c>
      <c r="D109" s="29" t="s">
        <v>304</v>
      </c>
      <c r="E109" s="29" t="s">
        <v>139</v>
      </c>
      <c r="F109" s="29" t="s">
        <v>410</v>
      </c>
      <c r="G109" s="30"/>
      <c r="H109" s="29" t="s">
        <v>588</v>
      </c>
      <c r="I109" s="29"/>
      <c r="J109" s="29"/>
      <c r="K109" s="29"/>
      <c r="L109" s="29"/>
      <c r="M109" s="31"/>
    </row>
    <row r="110" spans="1:13">
      <c r="A110" s="28">
        <f t="shared" si="2"/>
        <v>106</v>
      </c>
      <c r="B110" s="29" t="s">
        <v>695</v>
      </c>
      <c r="C110" s="29" t="s">
        <v>507</v>
      </c>
      <c r="D110" s="29" t="s">
        <v>305</v>
      </c>
      <c r="E110" s="29" t="s">
        <v>139</v>
      </c>
      <c r="F110" s="29" t="s">
        <v>140</v>
      </c>
      <c r="G110" s="30"/>
      <c r="H110" s="29" t="s">
        <v>141</v>
      </c>
      <c r="I110" s="29"/>
      <c r="J110" s="29"/>
      <c r="K110" s="29"/>
      <c r="L110" s="29"/>
      <c r="M110" s="31"/>
    </row>
    <row r="111" spans="1:13">
      <c r="A111" s="28">
        <f t="shared" si="2"/>
        <v>107</v>
      </c>
      <c r="B111" s="29" t="s">
        <v>696</v>
      </c>
      <c r="C111" s="29" t="s">
        <v>508</v>
      </c>
      <c r="D111" s="29" t="s">
        <v>306</v>
      </c>
      <c r="E111" s="29" t="s">
        <v>139</v>
      </c>
      <c r="F111" s="29" t="s">
        <v>140</v>
      </c>
      <c r="G111" s="30"/>
      <c r="H111" s="29" t="s">
        <v>141</v>
      </c>
      <c r="I111" s="29"/>
      <c r="J111" s="29"/>
      <c r="K111" s="29"/>
      <c r="L111" s="29"/>
      <c r="M111" s="31"/>
    </row>
    <row r="112" spans="1:13">
      <c r="A112" s="28">
        <f t="shared" si="2"/>
        <v>108</v>
      </c>
      <c r="B112" s="29" t="s">
        <v>697</v>
      </c>
      <c r="C112" s="29" t="s">
        <v>509</v>
      </c>
      <c r="D112" s="29" t="s">
        <v>307</v>
      </c>
      <c r="E112" s="29" t="s">
        <v>139</v>
      </c>
      <c r="F112" s="29" t="s">
        <v>586</v>
      </c>
      <c r="G112" s="30"/>
      <c r="H112" s="29" t="s">
        <v>588</v>
      </c>
      <c r="I112" s="29"/>
      <c r="J112" s="29"/>
      <c r="K112" s="29"/>
      <c r="L112" s="29"/>
      <c r="M112" s="31"/>
    </row>
    <row r="113" spans="1:13">
      <c r="A113" s="28">
        <f t="shared" si="2"/>
        <v>109</v>
      </c>
      <c r="B113" s="29" t="s">
        <v>698</v>
      </c>
      <c r="C113" s="29" t="s">
        <v>510</v>
      </c>
      <c r="D113" s="29" t="s">
        <v>308</v>
      </c>
      <c r="E113" s="29" t="s">
        <v>139</v>
      </c>
      <c r="F113" s="29" t="s">
        <v>140</v>
      </c>
      <c r="G113" s="30"/>
      <c r="H113" s="29" t="s">
        <v>141</v>
      </c>
      <c r="I113" s="29"/>
      <c r="J113" s="29"/>
      <c r="K113" s="29"/>
      <c r="L113" s="29"/>
      <c r="M113" s="31"/>
    </row>
    <row r="114" spans="1:13">
      <c r="A114" s="28">
        <f t="shared" si="2"/>
        <v>110</v>
      </c>
      <c r="B114" s="29" t="s">
        <v>699</v>
      </c>
      <c r="C114" s="29" t="s">
        <v>511</v>
      </c>
      <c r="D114" s="29" t="s">
        <v>309</v>
      </c>
      <c r="E114" s="29" t="s">
        <v>139</v>
      </c>
      <c r="F114" s="29" t="s">
        <v>140</v>
      </c>
      <c r="G114" s="30"/>
      <c r="H114" s="29" t="s">
        <v>141</v>
      </c>
      <c r="I114" s="29"/>
      <c r="J114" s="29"/>
      <c r="K114" s="29"/>
      <c r="L114" s="29"/>
      <c r="M114" s="31"/>
    </row>
    <row r="115" spans="1:13">
      <c r="A115" s="28">
        <f t="shared" si="2"/>
        <v>111</v>
      </c>
      <c r="B115" s="29" t="s">
        <v>700</v>
      </c>
      <c r="C115" s="29" t="s">
        <v>512</v>
      </c>
      <c r="D115" s="29" t="s">
        <v>310</v>
      </c>
      <c r="E115" s="29" t="s">
        <v>139</v>
      </c>
      <c r="F115" s="29" t="s">
        <v>586</v>
      </c>
      <c r="G115" s="30"/>
      <c r="H115" s="29" t="s">
        <v>141</v>
      </c>
      <c r="I115" s="29"/>
      <c r="J115" s="29"/>
      <c r="K115" s="29"/>
      <c r="L115" s="29"/>
      <c r="M115" s="31"/>
    </row>
    <row r="116" spans="1:13">
      <c r="A116" s="28">
        <f t="shared" si="2"/>
        <v>112</v>
      </c>
      <c r="B116" s="29" t="s">
        <v>701</v>
      </c>
      <c r="C116" s="29" t="s">
        <v>513</v>
      </c>
      <c r="D116" s="29" t="s">
        <v>311</v>
      </c>
      <c r="E116" s="29" t="s">
        <v>139</v>
      </c>
      <c r="F116" s="29" t="s">
        <v>140</v>
      </c>
      <c r="G116" s="30"/>
      <c r="H116" s="29" t="s">
        <v>141</v>
      </c>
      <c r="I116" s="29"/>
      <c r="J116" s="29"/>
      <c r="K116" s="29"/>
      <c r="L116" s="29"/>
      <c r="M116" s="31"/>
    </row>
    <row r="117" spans="1:13">
      <c r="A117" s="28">
        <f t="shared" si="2"/>
        <v>113</v>
      </c>
      <c r="B117" s="29" t="s">
        <v>702</v>
      </c>
      <c r="C117" s="29" t="s">
        <v>514</v>
      </c>
      <c r="D117" s="29" t="s">
        <v>312</v>
      </c>
      <c r="E117" s="29" t="s">
        <v>139</v>
      </c>
      <c r="F117" s="29" t="s">
        <v>586</v>
      </c>
      <c r="G117" s="30"/>
      <c r="H117" s="29" t="s">
        <v>588</v>
      </c>
      <c r="I117" s="29"/>
      <c r="J117" s="29"/>
      <c r="K117" s="29"/>
      <c r="L117" s="29"/>
      <c r="M117" s="31"/>
    </row>
    <row r="118" spans="1:13">
      <c r="A118" s="28">
        <f t="shared" si="2"/>
        <v>114</v>
      </c>
      <c r="B118" s="29" t="s">
        <v>703</v>
      </c>
      <c r="C118" s="29" t="s">
        <v>515</v>
      </c>
      <c r="D118" s="29" t="s">
        <v>313</v>
      </c>
      <c r="E118" s="29" t="s">
        <v>139</v>
      </c>
      <c r="F118" s="29" t="s">
        <v>586</v>
      </c>
      <c r="G118" s="30"/>
      <c r="H118" s="29" t="s">
        <v>141</v>
      </c>
      <c r="I118" s="29"/>
      <c r="J118" s="29"/>
      <c r="K118" s="29"/>
      <c r="L118" s="29"/>
      <c r="M118" s="31"/>
    </row>
    <row r="119" spans="1:13">
      <c r="A119" s="28">
        <f t="shared" si="2"/>
        <v>115</v>
      </c>
      <c r="B119" s="29" t="s">
        <v>704</v>
      </c>
      <c r="C119" s="29" t="s">
        <v>516</v>
      </c>
      <c r="D119" s="29" t="s">
        <v>314</v>
      </c>
      <c r="E119" s="29" t="s">
        <v>139</v>
      </c>
      <c r="F119" s="29" t="s">
        <v>140</v>
      </c>
      <c r="G119" s="30"/>
      <c r="H119" s="29" t="s">
        <v>141</v>
      </c>
      <c r="I119" s="29"/>
      <c r="J119" s="29"/>
      <c r="K119" s="29"/>
      <c r="L119" s="29"/>
      <c r="M119" s="31"/>
    </row>
    <row r="120" spans="1:13">
      <c r="A120" s="28">
        <f t="shared" si="2"/>
        <v>116</v>
      </c>
      <c r="B120" s="29" t="s">
        <v>705</v>
      </c>
      <c r="C120" s="29" t="s">
        <v>517</v>
      </c>
      <c r="D120" s="29" t="s">
        <v>315</v>
      </c>
      <c r="E120" s="29" t="s">
        <v>139</v>
      </c>
      <c r="F120" s="29" t="s">
        <v>586</v>
      </c>
      <c r="G120" s="30"/>
      <c r="H120" s="29" t="s">
        <v>141</v>
      </c>
      <c r="I120" s="29"/>
      <c r="J120" s="29"/>
      <c r="K120" s="29"/>
      <c r="L120" s="29"/>
      <c r="M120" s="31"/>
    </row>
    <row r="121" spans="1:13">
      <c r="A121" s="28">
        <f t="shared" si="2"/>
        <v>117</v>
      </c>
      <c r="B121" s="29" t="s">
        <v>706</v>
      </c>
      <c r="C121" s="29" t="s">
        <v>518</v>
      </c>
      <c r="D121" s="29" t="s">
        <v>316</v>
      </c>
      <c r="E121" s="29" t="s">
        <v>409</v>
      </c>
      <c r="F121" s="29" t="s">
        <v>140</v>
      </c>
      <c r="G121" s="30"/>
      <c r="H121" s="29" t="s">
        <v>141</v>
      </c>
      <c r="I121" s="29"/>
      <c r="J121" s="29"/>
      <c r="K121" s="29"/>
      <c r="L121" s="29"/>
      <c r="M121" s="31"/>
    </row>
    <row r="122" spans="1:13">
      <c r="A122" s="28">
        <f t="shared" si="2"/>
        <v>118</v>
      </c>
      <c r="B122" s="29" t="s">
        <v>707</v>
      </c>
      <c r="C122" s="29" t="s">
        <v>519</v>
      </c>
      <c r="D122" s="29" t="s">
        <v>317</v>
      </c>
      <c r="E122" s="29" t="s">
        <v>139</v>
      </c>
      <c r="F122" s="29" t="s">
        <v>586</v>
      </c>
      <c r="G122" s="30"/>
      <c r="H122" s="29" t="s">
        <v>588</v>
      </c>
      <c r="I122" s="29"/>
      <c r="J122" s="29"/>
      <c r="K122" s="29"/>
      <c r="L122" s="29"/>
      <c r="M122" s="31"/>
    </row>
    <row r="123" spans="1:13">
      <c r="A123" s="28">
        <f t="shared" si="2"/>
        <v>119</v>
      </c>
      <c r="B123" s="29" t="s">
        <v>708</v>
      </c>
      <c r="C123" s="29" t="s">
        <v>520</v>
      </c>
      <c r="D123" s="29" t="s">
        <v>318</v>
      </c>
      <c r="E123" s="29" t="s">
        <v>139</v>
      </c>
      <c r="F123" s="29" t="s">
        <v>586</v>
      </c>
      <c r="G123" s="30"/>
      <c r="H123" s="29" t="s">
        <v>588</v>
      </c>
      <c r="I123" s="29"/>
      <c r="J123" s="29"/>
      <c r="K123" s="29"/>
      <c r="L123" s="29"/>
      <c r="M123" s="31"/>
    </row>
    <row r="124" spans="1:13">
      <c r="A124" s="28">
        <f t="shared" si="2"/>
        <v>120</v>
      </c>
      <c r="B124" s="29" t="s">
        <v>709</v>
      </c>
      <c r="C124" s="29" t="s">
        <v>521</v>
      </c>
      <c r="D124" s="29" t="s">
        <v>319</v>
      </c>
      <c r="E124" s="29" t="s">
        <v>139</v>
      </c>
      <c r="F124" s="29" t="s">
        <v>586</v>
      </c>
      <c r="G124" s="30"/>
      <c r="H124" s="29" t="s">
        <v>587</v>
      </c>
      <c r="I124" s="29"/>
      <c r="J124" s="29"/>
      <c r="K124" s="29"/>
      <c r="L124" s="29"/>
      <c r="M124" s="31"/>
    </row>
    <row r="125" spans="1:13">
      <c r="A125" s="28">
        <f t="shared" si="2"/>
        <v>121</v>
      </c>
      <c r="B125" s="29" t="s">
        <v>710</v>
      </c>
      <c r="C125" s="29" t="s">
        <v>522</v>
      </c>
      <c r="D125" s="29" t="s">
        <v>320</v>
      </c>
      <c r="E125" s="29" t="s">
        <v>139</v>
      </c>
      <c r="F125" s="29" t="s">
        <v>586</v>
      </c>
      <c r="G125" s="30"/>
      <c r="H125" s="29" t="s">
        <v>587</v>
      </c>
      <c r="I125" s="29"/>
      <c r="J125" s="29"/>
      <c r="K125" s="29"/>
      <c r="L125" s="29"/>
      <c r="M125" s="31"/>
    </row>
    <row r="126" spans="1:13">
      <c r="A126" s="28">
        <f t="shared" si="2"/>
        <v>122</v>
      </c>
      <c r="B126" s="29" t="s">
        <v>711</v>
      </c>
      <c r="C126" s="29" t="s">
        <v>523</v>
      </c>
      <c r="D126" s="29" t="s">
        <v>321</v>
      </c>
      <c r="E126" s="29" t="s">
        <v>139</v>
      </c>
      <c r="F126" s="29" t="s">
        <v>140</v>
      </c>
      <c r="G126" s="30"/>
      <c r="H126" s="29" t="s">
        <v>588</v>
      </c>
      <c r="I126" s="29"/>
      <c r="J126" s="29"/>
      <c r="K126" s="29"/>
      <c r="L126" s="29"/>
      <c r="M126" s="31"/>
    </row>
    <row r="127" spans="1:13">
      <c r="A127" s="28">
        <f t="shared" si="2"/>
        <v>123</v>
      </c>
      <c r="B127" s="29" t="s">
        <v>712</v>
      </c>
      <c r="C127" s="29" t="s">
        <v>524</v>
      </c>
      <c r="D127" s="29" t="s">
        <v>322</v>
      </c>
      <c r="E127" s="29" t="s">
        <v>139</v>
      </c>
      <c r="F127" s="29" t="s">
        <v>586</v>
      </c>
      <c r="G127" s="30"/>
      <c r="H127" s="29" t="s">
        <v>141</v>
      </c>
      <c r="I127" s="29"/>
      <c r="J127" s="29"/>
      <c r="K127" s="29"/>
      <c r="L127" s="29"/>
      <c r="M127" s="31"/>
    </row>
    <row r="128" spans="1:13">
      <c r="A128" s="28">
        <f t="shared" si="2"/>
        <v>124</v>
      </c>
      <c r="B128" s="29" t="s">
        <v>713</v>
      </c>
      <c r="C128" s="29" t="s">
        <v>525</v>
      </c>
      <c r="D128" s="29" t="s">
        <v>323</v>
      </c>
      <c r="E128" s="29" t="s">
        <v>139</v>
      </c>
      <c r="F128" s="29" t="s">
        <v>140</v>
      </c>
      <c r="G128" s="30"/>
      <c r="H128" s="29" t="s">
        <v>141</v>
      </c>
      <c r="I128" s="29"/>
      <c r="J128" s="29"/>
      <c r="K128" s="29"/>
      <c r="L128" s="29"/>
      <c r="M128" s="31"/>
    </row>
    <row r="129" spans="1:13">
      <c r="A129" s="28">
        <f t="shared" si="2"/>
        <v>125</v>
      </c>
      <c r="B129" s="29" t="s">
        <v>714</v>
      </c>
      <c r="C129" s="29" t="s">
        <v>582</v>
      </c>
      <c r="D129" s="29" t="s">
        <v>324</v>
      </c>
      <c r="E129" s="29" t="s">
        <v>409</v>
      </c>
      <c r="F129" s="29" t="s">
        <v>140</v>
      </c>
      <c r="G129" s="30"/>
      <c r="H129" s="29" t="s">
        <v>141</v>
      </c>
      <c r="I129" s="29"/>
      <c r="J129" s="29"/>
      <c r="K129" s="29"/>
      <c r="L129" s="29"/>
      <c r="M129" s="31"/>
    </row>
    <row r="130" spans="1:13">
      <c r="A130" s="28">
        <f t="shared" si="2"/>
        <v>126</v>
      </c>
      <c r="B130" s="29" t="s">
        <v>715</v>
      </c>
      <c r="C130" s="29" t="s">
        <v>526</v>
      </c>
      <c r="D130" s="29" t="s">
        <v>325</v>
      </c>
      <c r="E130" s="29" t="s">
        <v>139</v>
      </c>
      <c r="F130" s="29" t="s">
        <v>140</v>
      </c>
      <c r="G130" s="30"/>
      <c r="H130" s="29" t="s">
        <v>141</v>
      </c>
      <c r="I130" s="29"/>
      <c r="J130" s="29"/>
      <c r="K130" s="29"/>
      <c r="L130" s="29"/>
      <c r="M130" s="31"/>
    </row>
    <row r="131" spans="1:13">
      <c r="A131" s="28">
        <f t="shared" si="2"/>
        <v>127</v>
      </c>
      <c r="B131" s="29" t="s">
        <v>716</v>
      </c>
      <c r="C131" s="29" t="s">
        <v>527</v>
      </c>
      <c r="D131" s="29" t="s">
        <v>326</v>
      </c>
      <c r="E131" s="29" t="s">
        <v>139</v>
      </c>
      <c r="F131" s="29" t="s">
        <v>586</v>
      </c>
      <c r="G131" s="30"/>
      <c r="H131" s="29" t="s">
        <v>141</v>
      </c>
      <c r="I131" s="29"/>
      <c r="J131" s="29"/>
      <c r="K131" s="29"/>
      <c r="L131" s="29"/>
      <c r="M131" s="31"/>
    </row>
    <row r="132" spans="1:13">
      <c r="A132" s="28">
        <f t="shared" si="2"/>
        <v>128</v>
      </c>
      <c r="B132" s="29" t="s">
        <v>717</v>
      </c>
      <c r="C132" s="29" t="s">
        <v>528</v>
      </c>
      <c r="D132" s="29" t="s">
        <v>327</v>
      </c>
      <c r="E132" s="29" t="s">
        <v>139</v>
      </c>
      <c r="F132" s="29" t="s">
        <v>586</v>
      </c>
      <c r="G132" s="30"/>
      <c r="H132" s="29" t="s">
        <v>588</v>
      </c>
      <c r="I132" s="29"/>
      <c r="J132" s="29"/>
      <c r="K132" s="29"/>
      <c r="L132" s="29"/>
      <c r="M132" s="31"/>
    </row>
    <row r="133" spans="1:13">
      <c r="A133" s="28">
        <f t="shared" si="2"/>
        <v>129</v>
      </c>
      <c r="B133" s="29" t="s">
        <v>718</v>
      </c>
      <c r="C133" s="29" t="s">
        <v>529</v>
      </c>
      <c r="D133" s="29" t="s">
        <v>328</v>
      </c>
      <c r="E133" s="29" t="s">
        <v>139</v>
      </c>
      <c r="F133" s="29" t="s">
        <v>140</v>
      </c>
      <c r="G133" s="30"/>
      <c r="H133" s="29" t="s">
        <v>587</v>
      </c>
      <c r="I133" s="29"/>
      <c r="J133" s="29"/>
      <c r="K133" s="29"/>
      <c r="L133" s="29"/>
      <c r="M133" s="31"/>
    </row>
    <row r="134" spans="1:13">
      <c r="A134" s="28">
        <f t="shared" ref="A134:A197" si="3">IF(D134="","",ROW()-4)</f>
        <v>130</v>
      </c>
      <c r="B134" s="29" t="s">
        <v>719</v>
      </c>
      <c r="C134" s="29" t="s">
        <v>530</v>
      </c>
      <c r="D134" s="29" t="s">
        <v>329</v>
      </c>
      <c r="E134" s="29" t="s">
        <v>139</v>
      </c>
      <c r="F134" s="29" t="s">
        <v>140</v>
      </c>
      <c r="G134" s="30"/>
      <c r="H134" s="29" t="s">
        <v>141</v>
      </c>
      <c r="I134" s="29"/>
      <c r="J134" s="29"/>
      <c r="K134" s="29"/>
      <c r="L134" s="29"/>
      <c r="M134" s="31"/>
    </row>
    <row r="135" spans="1:13">
      <c r="A135" s="28">
        <f t="shared" si="3"/>
        <v>131</v>
      </c>
      <c r="B135" s="29" t="s">
        <v>720</v>
      </c>
      <c r="C135" s="29" t="s">
        <v>531</v>
      </c>
      <c r="D135" s="29" t="s">
        <v>330</v>
      </c>
      <c r="E135" s="29" t="s">
        <v>139</v>
      </c>
      <c r="F135" s="29" t="s">
        <v>140</v>
      </c>
      <c r="G135" s="30"/>
      <c r="H135" s="29" t="s">
        <v>141</v>
      </c>
      <c r="I135" s="29"/>
      <c r="J135" s="29"/>
      <c r="K135" s="29"/>
      <c r="L135" s="29"/>
      <c r="M135" s="31"/>
    </row>
    <row r="136" spans="1:13">
      <c r="A136" s="28">
        <f t="shared" si="3"/>
        <v>132</v>
      </c>
      <c r="B136" s="29" t="s">
        <v>721</v>
      </c>
      <c r="C136" s="29" t="s">
        <v>532</v>
      </c>
      <c r="D136" s="29" t="s">
        <v>331</v>
      </c>
      <c r="E136" s="29" t="s">
        <v>139</v>
      </c>
      <c r="F136" s="29" t="s">
        <v>140</v>
      </c>
      <c r="G136" s="30"/>
      <c r="H136" s="29" t="s">
        <v>587</v>
      </c>
      <c r="I136" s="29"/>
      <c r="J136" s="29"/>
      <c r="K136" s="29"/>
      <c r="L136" s="29"/>
      <c r="M136" s="31"/>
    </row>
    <row r="137" spans="1:13">
      <c r="A137" s="28">
        <f t="shared" si="3"/>
        <v>133</v>
      </c>
      <c r="B137" s="29" t="s">
        <v>722</v>
      </c>
      <c r="C137" s="29" t="s">
        <v>533</v>
      </c>
      <c r="D137" s="29" t="s">
        <v>332</v>
      </c>
      <c r="E137" s="29" t="s">
        <v>139</v>
      </c>
      <c r="F137" s="29" t="s">
        <v>140</v>
      </c>
      <c r="G137" s="30"/>
      <c r="H137" s="29" t="s">
        <v>589</v>
      </c>
      <c r="I137" s="29"/>
      <c r="J137" s="29"/>
      <c r="K137" s="29"/>
      <c r="L137" s="29"/>
      <c r="M137" s="31"/>
    </row>
    <row r="138" spans="1:13">
      <c r="A138" s="28">
        <f t="shared" si="3"/>
        <v>134</v>
      </c>
      <c r="B138" s="29" t="s">
        <v>723</v>
      </c>
      <c r="C138" s="29" t="s">
        <v>534</v>
      </c>
      <c r="D138" s="29" t="s">
        <v>333</v>
      </c>
      <c r="E138" s="29" t="s">
        <v>139</v>
      </c>
      <c r="F138" s="29" t="s">
        <v>140</v>
      </c>
      <c r="G138" s="30"/>
      <c r="H138" s="29" t="s">
        <v>587</v>
      </c>
      <c r="I138" s="29"/>
      <c r="J138" s="29"/>
      <c r="K138" s="29"/>
      <c r="L138" s="29"/>
      <c r="M138" s="31"/>
    </row>
    <row r="139" spans="1:13">
      <c r="A139" s="28">
        <f t="shared" si="3"/>
        <v>135</v>
      </c>
      <c r="B139" s="29" t="s">
        <v>724</v>
      </c>
      <c r="C139" s="29" t="s">
        <v>535</v>
      </c>
      <c r="D139" s="29" t="s">
        <v>334</v>
      </c>
      <c r="E139" s="29" t="s">
        <v>139</v>
      </c>
      <c r="F139" s="29" t="s">
        <v>140</v>
      </c>
      <c r="G139" s="30"/>
      <c r="H139" s="29" t="s">
        <v>587</v>
      </c>
      <c r="I139" s="29"/>
      <c r="J139" s="29"/>
      <c r="K139" s="29"/>
      <c r="L139" s="29"/>
      <c r="M139" s="31"/>
    </row>
    <row r="140" spans="1:13">
      <c r="A140" s="28">
        <f t="shared" si="3"/>
        <v>136</v>
      </c>
      <c r="B140" s="29" t="s">
        <v>725</v>
      </c>
      <c r="C140" s="29" t="s">
        <v>536</v>
      </c>
      <c r="D140" s="29" t="s">
        <v>335</v>
      </c>
      <c r="E140" s="29" t="s">
        <v>139</v>
      </c>
      <c r="F140" s="29" t="s">
        <v>586</v>
      </c>
      <c r="G140" s="30"/>
      <c r="H140" s="29" t="s">
        <v>587</v>
      </c>
      <c r="I140" s="29"/>
      <c r="J140" s="29"/>
      <c r="K140" s="29"/>
      <c r="L140" s="29"/>
      <c r="M140" s="31"/>
    </row>
    <row r="141" spans="1:13">
      <c r="A141" s="28">
        <f t="shared" si="3"/>
        <v>137</v>
      </c>
      <c r="B141" s="29" t="s">
        <v>726</v>
      </c>
      <c r="C141" s="29" t="s">
        <v>537</v>
      </c>
      <c r="D141" s="29" t="s">
        <v>336</v>
      </c>
      <c r="E141" s="29" t="s">
        <v>139</v>
      </c>
      <c r="F141" s="29" t="s">
        <v>140</v>
      </c>
      <c r="G141" s="30"/>
      <c r="H141" s="29" t="s">
        <v>141</v>
      </c>
      <c r="I141" s="29"/>
      <c r="J141" s="29"/>
      <c r="K141" s="29"/>
      <c r="L141" s="29"/>
      <c r="M141" s="31"/>
    </row>
    <row r="142" spans="1:13">
      <c r="A142" s="28">
        <f t="shared" si="3"/>
        <v>138</v>
      </c>
      <c r="B142" s="29" t="s">
        <v>727</v>
      </c>
      <c r="C142" s="29" t="s">
        <v>538</v>
      </c>
      <c r="D142" s="29" t="s">
        <v>337</v>
      </c>
      <c r="E142" s="29" t="s">
        <v>139</v>
      </c>
      <c r="F142" s="29" t="s">
        <v>140</v>
      </c>
      <c r="G142" s="30"/>
      <c r="H142" s="29" t="s">
        <v>587</v>
      </c>
      <c r="I142" s="29"/>
      <c r="J142" s="29"/>
      <c r="K142" s="29"/>
      <c r="L142" s="29"/>
      <c r="M142" s="31"/>
    </row>
    <row r="143" spans="1:13">
      <c r="A143" s="28">
        <f t="shared" si="3"/>
        <v>139</v>
      </c>
      <c r="B143" s="29" t="s">
        <v>728</v>
      </c>
      <c r="C143" s="29" t="s">
        <v>539</v>
      </c>
      <c r="D143" s="29" t="s">
        <v>338</v>
      </c>
      <c r="E143" s="29" t="s">
        <v>139</v>
      </c>
      <c r="F143" s="29" t="s">
        <v>140</v>
      </c>
      <c r="G143" s="30"/>
      <c r="H143" s="29" t="s">
        <v>141</v>
      </c>
      <c r="I143" s="29"/>
      <c r="J143" s="29"/>
      <c r="K143" s="29"/>
      <c r="L143" s="29"/>
      <c r="M143" s="31"/>
    </row>
    <row r="144" spans="1:13" ht="28">
      <c r="A144" s="28">
        <f t="shared" si="3"/>
        <v>140</v>
      </c>
      <c r="B144" s="29" t="s">
        <v>729</v>
      </c>
      <c r="C144" s="29">
        <v>0</v>
      </c>
      <c r="D144" s="29" t="s">
        <v>339</v>
      </c>
      <c r="E144" s="29" t="s">
        <v>139</v>
      </c>
      <c r="F144" s="29" t="s">
        <v>140</v>
      </c>
      <c r="G144" s="30"/>
      <c r="H144" s="29" t="s">
        <v>587</v>
      </c>
      <c r="I144" s="29"/>
      <c r="J144" s="29"/>
      <c r="K144" s="29"/>
      <c r="L144" s="29"/>
      <c r="M144" s="31"/>
    </row>
    <row r="145" spans="1:13">
      <c r="A145" s="28">
        <f t="shared" si="3"/>
        <v>141</v>
      </c>
      <c r="B145" s="29" t="s">
        <v>730</v>
      </c>
      <c r="C145" s="29" t="s">
        <v>540</v>
      </c>
      <c r="D145" s="29" t="s">
        <v>340</v>
      </c>
      <c r="E145" s="29" t="s">
        <v>139</v>
      </c>
      <c r="F145" s="29" t="s">
        <v>140</v>
      </c>
      <c r="G145" s="30"/>
      <c r="H145" s="29" t="s">
        <v>141</v>
      </c>
      <c r="I145" s="29"/>
      <c r="J145" s="29"/>
      <c r="K145" s="29"/>
      <c r="L145" s="29"/>
      <c r="M145" s="31"/>
    </row>
    <row r="146" spans="1:13">
      <c r="A146" s="28">
        <f t="shared" si="3"/>
        <v>142</v>
      </c>
      <c r="B146" s="29" t="s">
        <v>731</v>
      </c>
      <c r="C146" s="29" t="s">
        <v>541</v>
      </c>
      <c r="D146" s="29" t="s">
        <v>341</v>
      </c>
      <c r="E146" s="29" t="s">
        <v>139</v>
      </c>
      <c r="F146" s="29" t="s">
        <v>140</v>
      </c>
      <c r="G146" s="30">
        <v>45526</v>
      </c>
      <c r="H146" s="29" t="s">
        <v>141</v>
      </c>
      <c r="I146" s="29"/>
      <c r="J146" s="29"/>
      <c r="K146" s="29"/>
      <c r="L146" s="29"/>
      <c r="M146" s="31"/>
    </row>
    <row r="147" spans="1:13">
      <c r="A147" s="28">
        <f t="shared" si="3"/>
        <v>143</v>
      </c>
      <c r="B147" s="29" t="s">
        <v>732</v>
      </c>
      <c r="C147" s="29" t="s">
        <v>542</v>
      </c>
      <c r="D147" s="29" t="s">
        <v>342</v>
      </c>
      <c r="E147" s="29" t="s">
        <v>139</v>
      </c>
      <c r="F147" s="29" t="s">
        <v>586</v>
      </c>
      <c r="G147" s="30">
        <v>45523</v>
      </c>
      <c r="H147" s="29" t="s">
        <v>141</v>
      </c>
      <c r="I147" s="29"/>
      <c r="J147" s="29"/>
      <c r="K147" s="29"/>
      <c r="L147" s="29"/>
      <c r="M147" s="31"/>
    </row>
    <row r="148" spans="1:13">
      <c r="A148" s="28">
        <f t="shared" si="3"/>
        <v>144</v>
      </c>
      <c r="B148" s="29" t="s">
        <v>733</v>
      </c>
      <c r="C148" s="29" t="s">
        <v>543</v>
      </c>
      <c r="D148" s="29" t="s">
        <v>343</v>
      </c>
      <c r="E148" s="29" t="s">
        <v>139</v>
      </c>
      <c r="F148" s="29" t="s">
        <v>586</v>
      </c>
      <c r="G148" s="30">
        <v>45538</v>
      </c>
      <c r="H148" s="29" t="s">
        <v>587</v>
      </c>
      <c r="I148" s="29"/>
      <c r="J148" s="29"/>
      <c r="K148" s="29"/>
      <c r="L148" s="29"/>
      <c r="M148" s="31"/>
    </row>
    <row r="149" spans="1:13">
      <c r="A149" s="28">
        <f t="shared" si="3"/>
        <v>145</v>
      </c>
      <c r="B149" s="29" t="s">
        <v>734</v>
      </c>
      <c r="C149" s="29" t="s">
        <v>544</v>
      </c>
      <c r="D149" s="29" t="s">
        <v>344</v>
      </c>
      <c r="E149" s="29" t="s">
        <v>139</v>
      </c>
      <c r="F149" s="29" t="s">
        <v>586</v>
      </c>
      <c r="G149" s="30">
        <v>45589</v>
      </c>
      <c r="H149" s="29" t="s">
        <v>141</v>
      </c>
      <c r="I149" s="29"/>
      <c r="J149" s="29"/>
      <c r="K149" s="29"/>
      <c r="L149" s="29"/>
      <c r="M149" s="31"/>
    </row>
    <row r="150" spans="1:13">
      <c r="A150" s="28">
        <f t="shared" si="3"/>
        <v>146</v>
      </c>
      <c r="B150" s="29" t="s">
        <v>735</v>
      </c>
      <c r="C150" s="29" t="s">
        <v>545</v>
      </c>
      <c r="D150" s="29" t="s">
        <v>345</v>
      </c>
      <c r="E150" s="29" t="s">
        <v>139</v>
      </c>
      <c r="F150" s="29" t="s">
        <v>586</v>
      </c>
      <c r="G150" s="30">
        <v>45588</v>
      </c>
      <c r="H150" s="29" t="s">
        <v>141</v>
      </c>
      <c r="I150" s="29"/>
      <c r="J150" s="29"/>
      <c r="K150" s="29"/>
      <c r="L150" s="29"/>
      <c r="M150" s="31"/>
    </row>
    <row r="151" spans="1:13">
      <c r="A151" s="28">
        <f t="shared" si="3"/>
        <v>147</v>
      </c>
      <c r="B151" s="29" t="s">
        <v>736</v>
      </c>
      <c r="C151" s="29" t="s">
        <v>546</v>
      </c>
      <c r="D151" s="29" t="s">
        <v>346</v>
      </c>
      <c r="E151" s="29" t="s">
        <v>139</v>
      </c>
      <c r="F151" s="29" t="s">
        <v>140</v>
      </c>
      <c r="G151" s="30">
        <v>45595</v>
      </c>
      <c r="H151" s="29" t="s">
        <v>141</v>
      </c>
      <c r="I151" s="29"/>
      <c r="J151" s="29"/>
      <c r="K151" s="29"/>
      <c r="L151" s="29"/>
      <c r="M151" s="31"/>
    </row>
    <row r="152" spans="1:13">
      <c r="A152" s="28">
        <f t="shared" si="3"/>
        <v>148</v>
      </c>
      <c r="B152" s="29" t="s">
        <v>737</v>
      </c>
      <c r="C152" s="29" t="s">
        <v>583</v>
      </c>
      <c r="D152" s="29" t="s">
        <v>347</v>
      </c>
      <c r="E152" s="29" t="s">
        <v>409</v>
      </c>
      <c r="F152" s="29" t="s">
        <v>586</v>
      </c>
      <c r="G152" s="30">
        <v>45576</v>
      </c>
      <c r="H152" s="29" t="s">
        <v>141</v>
      </c>
      <c r="I152" s="29"/>
      <c r="J152" s="29"/>
      <c r="K152" s="29"/>
      <c r="L152" s="29"/>
      <c r="M152" s="31"/>
    </row>
    <row r="153" spans="1:13">
      <c r="A153" s="28">
        <f t="shared" si="3"/>
        <v>149</v>
      </c>
      <c r="B153" s="29" t="s">
        <v>738</v>
      </c>
      <c r="C153" s="29" t="s">
        <v>547</v>
      </c>
      <c r="D153" s="29" t="s">
        <v>348</v>
      </c>
      <c r="E153" s="29" t="s">
        <v>139</v>
      </c>
      <c r="F153" s="29" t="s">
        <v>140</v>
      </c>
      <c r="G153" s="30">
        <v>45701</v>
      </c>
      <c r="H153" s="29" t="s">
        <v>141</v>
      </c>
      <c r="I153" s="29"/>
      <c r="J153" s="29"/>
      <c r="K153" s="29"/>
      <c r="L153" s="29"/>
      <c r="M153" s="31"/>
    </row>
    <row r="154" spans="1:13">
      <c r="A154" s="28">
        <f t="shared" si="3"/>
        <v>150</v>
      </c>
      <c r="B154" s="29" t="s">
        <v>739</v>
      </c>
      <c r="C154" s="29" t="s">
        <v>548</v>
      </c>
      <c r="D154" s="29" t="s">
        <v>349</v>
      </c>
      <c r="E154" s="29" t="s">
        <v>139</v>
      </c>
      <c r="F154" s="29" t="s">
        <v>140</v>
      </c>
      <c r="G154" s="30">
        <v>45707</v>
      </c>
      <c r="H154" s="29" t="s">
        <v>141</v>
      </c>
      <c r="I154" s="29"/>
      <c r="J154" s="29"/>
      <c r="K154" s="29"/>
      <c r="L154" s="29"/>
      <c r="M154" s="31"/>
    </row>
    <row r="155" spans="1:13">
      <c r="A155" s="28">
        <f t="shared" si="3"/>
        <v>151</v>
      </c>
      <c r="B155" s="29" t="s">
        <v>740</v>
      </c>
      <c r="C155" s="29" t="s">
        <v>549</v>
      </c>
      <c r="D155" s="29" t="s">
        <v>350</v>
      </c>
      <c r="E155" s="29" t="s">
        <v>139</v>
      </c>
      <c r="F155" s="29" t="s">
        <v>140</v>
      </c>
      <c r="G155" s="30">
        <v>45707</v>
      </c>
      <c r="H155" s="29" t="s">
        <v>141</v>
      </c>
      <c r="I155" s="29"/>
      <c r="J155" s="29"/>
      <c r="K155" s="29"/>
      <c r="L155" s="29"/>
      <c r="M155" s="31"/>
    </row>
    <row r="156" spans="1:13">
      <c r="A156" s="28">
        <f t="shared" si="3"/>
        <v>152</v>
      </c>
      <c r="B156" s="29" t="s">
        <v>741</v>
      </c>
      <c r="C156" s="29" t="s">
        <v>550</v>
      </c>
      <c r="D156" s="29" t="s">
        <v>351</v>
      </c>
      <c r="E156" s="29" t="s">
        <v>139</v>
      </c>
      <c r="F156" s="29" t="s">
        <v>586</v>
      </c>
      <c r="G156" s="30">
        <v>45713</v>
      </c>
      <c r="H156" s="29" t="s">
        <v>141</v>
      </c>
      <c r="I156" s="29"/>
      <c r="J156" s="29"/>
      <c r="K156" s="29"/>
      <c r="L156" s="29"/>
      <c r="M156" s="31"/>
    </row>
    <row r="157" spans="1:13">
      <c r="A157" s="28">
        <f t="shared" si="3"/>
        <v>153</v>
      </c>
      <c r="B157" s="29" t="s">
        <v>742</v>
      </c>
      <c r="C157" s="29" t="s">
        <v>551</v>
      </c>
      <c r="D157" s="29" t="s">
        <v>352</v>
      </c>
      <c r="E157" s="29" t="s">
        <v>139</v>
      </c>
      <c r="F157" s="29" t="s">
        <v>140</v>
      </c>
      <c r="G157" s="30">
        <v>45713</v>
      </c>
      <c r="H157" s="29" t="s">
        <v>141</v>
      </c>
      <c r="I157" s="29"/>
      <c r="J157" s="29"/>
      <c r="K157" s="29"/>
      <c r="L157" s="29"/>
      <c r="M157" s="31"/>
    </row>
    <row r="158" spans="1:13">
      <c r="A158" s="28">
        <f t="shared" si="3"/>
        <v>154</v>
      </c>
      <c r="B158" s="29" t="s">
        <v>743</v>
      </c>
      <c r="C158" s="29" t="s">
        <v>552</v>
      </c>
      <c r="D158" s="29" t="s">
        <v>353</v>
      </c>
      <c r="E158" s="29" t="s">
        <v>139</v>
      </c>
      <c r="F158" s="29" t="s">
        <v>586</v>
      </c>
      <c r="G158" s="30">
        <v>45713</v>
      </c>
      <c r="H158" s="29" t="s">
        <v>141</v>
      </c>
      <c r="I158" s="29"/>
      <c r="J158" s="29"/>
      <c r="K158" s="29"/>
      <c r="L158" s="29"/>
      <c r="M158" s="31"/>
    </row>
    <row r="159" spans="1:13">
      <c r="A159" s="28">
        <f t="shared" si="3"/>
        <v>155</v>
      </c>
      <c r="B159" s="29" t="s">
        <v>744</v>
      </c>
      <c r="C159" s="29" t="s">
        <v>553</v>
      </c>
      <c r="D159" s="29" t="s">
        <v>354</v>
      </c>
      <c r="E159" s="29" t="s">
        <v>139</v>
      </c>
      <c r="F159" s="29" t="s">
        <v>140</v>
      </c>
      <c r="G159" s="30">
        <v>45713</v>
      </c>
      <c r="H159" s="29" t="s">
        <v>141</v>
      </c>
      <c r="I159" s="29"/>
      <c r="J159" s="29"/>
      <c r="K159" s="29"/>
      <c r="L159" s="29"/>
      <c r="M159" s="31"/>
    </row>
    <row r="160" spans="1:13">
      <c r="A160" s="28">
        <f t="shared" si="3"/>
        <v>156</v>
      </c>
      <c r="B160" s="29" t="s">
        <v>745</v>
      </c>
      <c r="C160" s="29" t="s">
        <v>554</v>
      </c>
      <c r="D160" s="29" t="s">
        <v>355</v>
      </c>
      <c r="E160" s="29" t="s">
        <v>139</v>
      </c>
      <c r="F160" s="29" t="s">
        <v>586</v>
      </c>
      <c r="G160" s="30">
        <v>45693</v>
      </c>
      <c r="H160" s="29" t="s">
        <v>141</v>
      </c>
      <c r="I160" s="29"/>
      <c r="J160" s="29"/>
      <c r="K160" s="29"/>
      <c r="L160" s="29"/>
      <c r="M160" s="31"/>
    </row>
    <row r="161" spans="1:13">
      <c r="A161" s="28">
        <f t="shared" si="3"/>
        <v>157</v>
      </c>
      <c r="B161" s="29" t="s">
        <v>746</v>
      </c>
      <c r="C161" s="29" t="s">
        <v>555</v>
      </c>
      <c r="D161" s="29" t="s">
        <v>356</v>
      </c>
      <c r="E161" s="29" t="s">
        <v>139</v>
      </c>
      <c r="F161" s="29" t="s">
        <v>586</v>
      </c>
      <c r="G161" s="30">
        <v>45693</v>
      </c>
      <c r="H161" s="29" t="s">
        <v>141</v>
      </c>
      <c r="I161" s="29"/>
      <c r="J161" s="29"/>
      <c r="K161" s="29"/>
      <c r="L161" s="29"/>
      <c r="M161" s="31"/>
    </row>
    <row r="162" spans="1:13">
      <c r="A162" s="28">
        <f t="shared" si="3"/>
        <v>158</v>
      </c>
      <c r="B162" s="29" t="s">
        <v>747</v>
      </c>
      <c r="C162" s="29" t="s">
        <v>556</v>
      </c>
      <c r="D162" s="29" t="s">
        <v>357</v>
      </c>
      <c r="E162" s="29" t="s">
        <v>139</v>
      </c>
      <c r="F162" s="29" t="s">
        <v>586</v>
      </c>
      <c r="G162" s="30">
        <v>45693</v>
      </c>
      <c r="H162" s="29" t="s">
        <v>141</v>
      </c>
      <c r="I162" s="29"/>
      <c r="J162" s="29"/>
      <c r="K162" s="29"/>
      <c r="L162" s="29"/>
      <c r="M162" s="31"/>
    </row>
    <row r="163" spans="1:13">
      <c r="A163" s="28">
        <f t="shared" si="3"/>
        <v>159</v>
      </c>
      <c r="B163" s="29" t="s">
        <v>748</v>
      </c>
      <c r="C163" s="29" t="s">
        <v>557</v>
      </c>
      <c r="D163" s="29" t="s">
        <v>358</v>
      </c>
      <c r="E163" s="29" t="s">
        <v>139</v>
      </c>
      <c r="F163" s="29" t="s">
        <v>586</v>
      </c>
      <c r="G163" s="30">
        <v>45693</v>
      </c>
      <c r="H163" s="29" t="s">
        <v>141</v>
      </c>
      <c r="I163" s="29"/>
      <c r="J163" s="29"/>
      <c r="K163" s="29"/>
      <c r="L163" s="29"/>
      <c r="M163" s="31"/>
    </row>
    <row r="164" spans="1:13">
      <c r="A164" s="28">
        <f t="shared" si="3"/>
        <v>160</v>
      </c>
      <c r="B164" s="29" t="s">
        <v>749</v>
      </c>
      <c r="C164" s="29" t="s">
        <v>558</v>
      </c>
      <c r="D164" s="29" t="s">
        <v>359</v>
      </c>
      <c r="E164" s="29" t="s">
        <v>139</v>
      </c>
      <c r="F164" s="29" t="s">
        <v>586</v>
      </c>
      <c r="G164" s="30">
        <v>45692</v>
      </c>
      <c r="H164" s="29" t="s">
        <v>141</v>
      </c>
      <c r="I164" s="29"/>
      <c r="J164" s="29"/>
      <c r="K164" s="29"/>
      <c r="L164" s="29"/>
      <c r="M164" s="31"/>
    </row>
    <row r="165" spans="1:13">
      <c r="A165" s="28">
        <f t="shared" si="3"/>
        <v>161</v>
      </c>
      <c r="B165" s="29" t="s">
        <v>750</v>
      </c>
      <c r="C165" s="29" t="s">
        <v>559</v>
      </c>
      <c r="D165" s="29" t="s">
        <v>360</v>
      </c>
      <c r="E165" s="29" t="s">
        <v>139</v>
      </c>
      <c r="F165" s="29" t="s">
        <v>140</v>
      </c>
      <c r="G165" s="30">
        <v>45838</v>
      </c>
      <c r="H165" s="29" t="s">
        <v>141</v>
      </c>
      <c r="I165" s="29"/>
      <c r="J165" s="29"/>
      <c r="K165" s="29"/>
      <c r="L165" s="29"/>
      <c r="M165" s="31"/>
    </row>
    <row r="166" spans="1:13">
      <c r="A166" s="28">
        <f t="shared" si="3"/>
        <v>162</v>
      </c>
      <c r="B166" s="29" t="s">
        <v>751</v>
      </c>
      <c r="C166" s="29" t="s">
        <v>584</v>
      </c>
      <c r="D166" s="29" t="s">
        <v>361</v>
      </c>
      <c r="E166" s="29" t="s">
        <v>409</v>
      </c>
      <c r="F166" s="29" t="s">
        <v>586</v>
      </c>
      <c r="G166" s="30"/>
      <c r="H166" s="29" t="s">
        <v>588</v>
      </c>
      <c r="I166" s="29"/>
      <c r="J166" s="29"/>
      <c r="K166" s="29"/>
      <c r="L166" s="29"/>
      <c r="M166" s="31"/>
    </row>
    <row r="167" spans="1:13">
      <c r="A167" s="28">
        <f t="shared" si="3"/>
        <v>163</v>
      </c>
      <c r="B167" s="29" t="s">
        <v>752</v>
      </c>
      <c r="C167" s="29" t="s">
        <v>560</v>
      </c>
      <c r="D167" s="29" t="s">
        <v>362</v>
      </c>
      <c r="E167" s="29" t="s">
        <v>139</v>
      </c>
      <c r="F167" s="29" t="s">
        <v>586</v>
      </c>
      <c r="G167" s="30"/>
      <c r="H167" s="29" t="s">
        <v>141</v>
      </c>
      <c r="I167" s="29"/>
      <c r="J167" s="29"/>
      <c r="K167" s="29"/>
      <c r="L167" s="29"/>
      <c r="M167" s="31"/>
    </row>
    <row r="168" spans="1:13">
      <c r="A168" s="28">
        <f t="shared" si="3"/>
        <v>164</v>
      </c>
      <c r="B168" s="29" t="s">
        <v>753</v>
      </c>
      <c r="C168" s="29" t="s">
        <v>561</v>
      </c>
      <c r="D168" s="29" t="s">
        <v>363</v>
      </c>
      <c r="E168" s="29" t="s">
        <v>139</v>
      </c>
      <c r="F168" s="29" t="s">
        <v>586</v>
      </c>
      <c r="G168" s="30"/>
      <c r="H168" s="29" t="s">
        <v>587</v>
      </c>
      <c r="I168" s="29"/>
      <c r="J168" s="29"/>
      <c r="K168" s="29"/>
      <c r="L168" s="29"/>
      <c r="M168" s="31"/>
    </row>
    <row r="169" spans="1:13">
      <c r="A169" s="28">
        <f t="shared" si="3"/>
        <v>165</v>
      </c>
      <c r="B169" s="29" t="s">
        <v>754</v>
      </c>
      <c r="C169" s="29" t="s">
        <v>562</v>
      </c>
      <c r="D169" s="29" t="s">
        <v>364</v>
      </c>
      <c r="E169" s="29" t="s">
        <v>139</v>
      </c>
      <c r="F169" s="29" t="s">
        <v>586</v>
      </c>
      <c r="G169" s="30"/>
      <c r="H169" s="29" t="s">
        <v>588</v>
      </c>
      <c r="I169" s="29"/>
      <c r="J169" s="29"/>
      <c r="K169" s="29"/>
      <c r="L169" s="29"/>
      <c r="M169" s="31"/>
    </row>
    <row r="170" spans="1:13">
      <c r="A170" s="28">
        <f t="shared" si="3"/>
        <v>166</v>
      </c>
      <c r="B170" s="29" t="s">
        <v>755</v>
      </c>
      <c r="C170" s="29" t="s">
        <v>563</v>
      </c>
      <c r="D170" s="29" t="s">
        <v>365</v>
      </c>
      <c r="E170" s="29" t="s">
        <v>139</v>
      </c>
      <c r="F170" s="29" t="s">
        <v>586</v>
      </c>
      <c r="G170" s="30"/>
      <c r="H170" s="29" t="s">
        <v>588</v>
      </c>
      <c r="I170" s="29"/>
      <c r="J170" s="29"/>
      <c r="K170" s="29"/>
      <c r="L170" s="29"/>
      <c r="M170" s="31"/>
    </row>
    <row r="171" spans="1:13">
      <c r="A171" s="28">
        <f t="shared" si="3"/>
        <v>167</v>
      </c>
      <c r="B171" s="29" t="s">
        <v>756</v>
      </c>
      <c r="C171" s="29" t="s">
        <v>564</v>
      </c>
      <c r="D171" s="29" t="s">
        <v>366</v>
      </c>
      <c r="E171" s="29" t="s">
        <v>139</v>
      </c>
      <c r="F171" s="29" t="s">
        <v>586</v>
      </c>
      <c r="G171" s="30"/>
      <c r="H171" s="29" t="s">
        <v>587</v>
      </c>
      <c r="I171" s="29"/>
      <c r="J171" s="29"/>
      <c r="K171" s="29"/>
      <c r="L171" s="29"/>
      <c r="M171" s="31"/>
    </row>
    <row r="172" spans="1:13">
      <c r="A172" s="28">
        <f t="shared" si="3"/>
        <v>168</v>
      </c>
      <c r="B172" s="29" t="s">
        <v>757</v>
      </c>
      <c r="C172" s="29" t="s">
        <v>565</v>
      </c>
      <c r="D172" s="29" t="s">
        <v>367</v>
      </c>
      <c r="E172" s="29" t="s">
        <v>139</v>
      </c>
      <c r="F172" s="29" t="s">
        <v>586</v>
      </c>
      <c r="G172" s="30"/>
      <c r="H172" s="29" t="s">
        <v>141</v>
      </c>
      <c r="I172" s="29"/>
      <c r="J172" s="29"/>
      <c r="K172" s="29"/>
      <c r="L172" s="29"/>
      <c r="M172" s="31"/>
    </row>
    <row r="173" spans="1:13">
      <c r="A173" s="28">
        <f t="shared" si="3"/>
        <v>169</v>
      </c>
      <c r="B173" s="29" t="s">
        <v>758</v>
      </c>
      <c r="C173" s="29" t="s">
        <v>566</v>
      </c>
      <c r="D173" s="29" t="s">
        <v>368</v>
      </c>
      <c r="E173" s="29" t="s">
        <v>139</v>
      </c>
      <c r="F173" s="29" t="s">
        <v>586</v>
      </c>
      <c r="G173" s="30"/>
      <c r="H173" s="29" t="s">
        <v>141</v>
      </c>
      <c r="I173" s="29"/>
      <c r="J173" s="29"/>
      <c r="K173" s="29"/>
      <c r="L173" s="29"/>
      <c r="M173" s="31"/>
    </row>
    <row r="174" spans="1:13">
      <c r="A174" s="28">
        <f t="shared" si="3"/>
        <v>170</v>
      </c>
      <c r="B174" s="29" t="s">
        <v>759</v>
      </c>
      <c r="C174" s="29" t="s">
        <v>567</v>
      </c>
      <c r="D174" s="29" t="s">
        <v>369</v>
      </c>
      <c r="E174" s="29" t="s">
        <v>139</v>
      </c>
      <c r="F174" s="29" t="s">
        <v>586</v>
      </c>
      <c r="G174" s="30"/>
      <c r="H174" s="29" t="s">
        <v>588</v>
      </c>
      <c r="I174" s="29"/>
      <c r="J174" s="29"/>
      <c r="K174" s="29"/>
      <c r="L174" s="29"/>
      <c r="M174" s="31"/>
    </row>
    <row r="175" spans="1:13">
      <c r="A175" s="28">
        <f t="shared" si="3"/>
        <v>171</v>
      </c>
      <c r="B175" s="29" t="s">
        <v>760</v>
      </c>
      <c r="C175" s="29" t="s">
        <v>568</v>
      </c>
      <c r="D175" s="29" t="s">
        <v>370</v>
      </c>
      <c r="E175" s="29" t="s">
        <v>139</v>
      </c>
      <c r="F175" s="29" t="s">
        <v>586</v>
      </c>
      <c r="G175" s="30"/>
      <c r="H175" s="29" t="s">
        <v>141</v>
      </c>
      <c r="I175" s="29"/>
      <c r="J175" s="29"/>
      <c r="K175" s="29"/>
      <c r="L175" s="29"/>
      <c r="M175" s="31"/>
    </row>
    <row r="176" spans="1:13">
      <c r="A176" s="28">
        <f t="shared" si="3"/>
        <v>172</v>
      </c>
      <c r="B176" s="29" t="s">
        <v>761</v>
      </c>
      <c r="C176" s="29">
        <v>0</v>
      </c>
      <c r="D176" s="29" t="s">
        <v>371</v>
      </c>
      <c r="E176" s="29" t="s">
        <v>139</v>
      </c>
      <c r="F176" s="29" t="s">
        <v>410</v>
      </c>
      <c r="G176" s="30"/>
      <c r="H176" s="29" t="s">
        <v>588</v>
      </c>
      <c r="I176" s="29"/>
      <c r="J176" s="29"/>
      <c r="K176" s="29"/>
      <c r="L176" s="29"/>
      <c r="M176" s="31"/>
    </row>
    <row r="177" spans="1:13">
      <c r="A177" s="28">
        <f t="shared" si="3"/>
        <v>173</v>
      </c>
      <c r="B177" s="29" t="s">
        <v>762</v>
      </c>
      <c r="C177" s="29">
        <v>0</v>
      </c>
      <c r="D177" s="29" t="s">
        <v>372</v>
      </c>
      <c r="E177" s="29" t="s">
        <v>139</v>
      </c>
      <c r="F177" s="29" t="s">
        <v>410</v>
      </c>
      <c r="G177" s="30"/>
      <c r="H177" s="29" t="s">
        <v>588</v>
      </c>
      <c r="I177" s="29"/>
      <c r="J177" s="29"/>
      <c r="K177" s="29"/>
      <c r="L177" s="29"/>
      <c r="M177" s="31"/>
    </row>
    <row r="178" spans="1:13">
      <c r="A178" s="28">
        <f t="shared" si="3"/>
        <v>174</v>
      </c>
      <c r="B178" s="29" t="s">
        <v>763</v>
      </c>
      <c r="C178" s="29">
        <v>0</v>
      </c>
      <c r="D178" s="29" t="s">
        <v>373</v>
      </c>
      <c r="E178" s="29" t="s">
        <v>139</v>
      </c>
      <c r="F178" s="29" t="s">
        <v>585</v>
      </c>
      <c r="G178" s="30"/>
      <c r="H178" s="29" t="s">
        <v>587</v>
      </c>
      <c r="I178" s="29"/>
      <c r="J178" s="29"/>
      <c r="K178" s="29"/>
      <c r="L178" s="29"/>
      <c r="M178" s="31"/>
    </row>
    <row r="179" spans="1:13">
      <c r="A179" s="28">
        <f t="shared" si="3"/>
        <v>175</v>
      </c>
      <c r="B179" s="29" t="s">
        <v>764</v>
      </c>
      <c r="C179" s="29">
        <v>0</v>
      </c>
      <c r="D179" s="29" t="s">
        <v>374</v>
      </c>
      <c r="E179" s="29" t="s">
        <v>409</v>
      </c>
      <c r="F179" s="29" t="s">
        <v>585</v>
      </c>
      <c r="G179" s="30"/>
      <c r="H179" s="29" t="s">
        <v>587</v>
      </c>
      <c r="I179" s="29"/>
      <c r="J179" s="29"/>
      <c r="K179" s="29"/>
      <c r="L179" s="29"/>
      <c r="M179" s="31"/>
    </row>
    <row r="180" spans="1:13">
      <c r="A180" s="28">
        <f t="shared" si="3"/>
        <v>176</v>
      </c>
      <c r="B180" s="29" t="s">
        <v>765</v>
      </c>
      <c r="C180" s="29" t="s">
        <v>569</v>
      </c>
      <c r="D180" s="29" t="s">
        <v>375</v>
      </c>
      <c r="E180" s="29" t="s">
        <v>139</v>
      </c>
      <c r="F180" s="29" t="s">
        <v>586</v>
      </c>
      <c r="G180" s="30">
        <v>45884</v>
      </c>
      <c r="H180" s="29" t="s">
        <v>141</v>
      </c>
      <c r="I180" s="29"/>
      <c r="J180" s="29"/>
      <c r="K180" s="29"/>
      <c r="L180" s="29"/>
      <c r="M180" s="31"/>
    </row>
    <row r="181" spans="1:13">
      <c r="A181" s="28">
        <f t="shared" si="3"/>
        <v>177</v>
      </c>
      <c r="B181" s="29" t="s">
        <v>766</v>
      </c>
      <c r="C181" s="29">
        <v>0</v>
      </c>
      <c r="D181" s="29" t="s">
        <v>376</v>
      </c>
      <c r="E181" s="29" t="s">
        <v>139</v>
      </c>
      <c r="F181" s="29" t="s">
        <v>410</v>
      </c>
      <c r="G181" s="30"/>
      <c r="H181" s="29" t="s">
        <v>588</v>
      </c>
      <c r="I181" s="29"/>
      <c r="J181" s="29"/>
      <c r="K181" s="29"/>
      <c r="L181" s="29"/>
      <c r="M181" s="31"/>
    </row>
    <row r="182" spans="1:13">
      <c r="A182" s="28">
        <f t="shared" si="3"/>
        <v>178</v>
      </c>
      <c r="B182" s="29" t="s">
        <v>767</v>
      </c>
      <c r="C182" s="29">
        <v>0</v>
      </c>
      <c r="D182" s="29" t="s">
        <v>377</v>
      </c>
      <c r="E182" s="29" t="s">
        <v>139</v>
      </c>
      <c r="F182" s="29" t="s">
        <v>410</v>
      </c>
      <c r="G182" s="30"/>
      <c r="H182" s="29" t="s">
        <v>141</v>
      </c>
      <c r="I182" s="29"/>
      <c r="J182" s="29"/>
      <c r="K182" s="29"/>
      <c r="L182" s="29"/>
      <c r="M182" s="31"/>
    </row>
    <row r="183" spans="1:13">
      <c r="A183" s="28">
        <f t="shared" si="3"/>
        <v>179</v>
      </c>
      <c r="B183" s="29" t="s">
        <v>768</v>
      </c>
      <c r="C183" s="29">
        <v>0</v>
      </c>
      <c r="D183" s="29" t="s">
        <v>378</v>
      </c>
      <c r="E183" s="29" t="s">
        <v>409</v>
      </c>
      <c r="F183" s="29" t="s">
        <v>410</v>
      </c>
      <c r="G183" s="30"/>
      <c r="H183" s="29" t="s">
        <v>141</v>
      </c>
      <c r="I183" s="29"/>
      <c r="J183" s="29"/>
      <c r="K183" s="29"/>
      <c r="L183" s="29"/>
      <c r="M183" s="31"/>
    </row>
    <row r="184" spans="1:13">
      <c r="A184" s="28">
        <f t="shared" si="3"/>
        <v>180</v>
      </c>
      <c r="B184" s="29" t="s">
        <v>769</v>
      </c>
      <c r="C184" s="29">
        <v>0</v>
      </c>
      <c r="D184" s="29" t="s">
        <v>379</v>
      </c>
      <c r="E184" s="29" t="s">
        <v>139</v>
      </c>
      <c r="F184" s="29" t="s">
        <v>410</v>
      </c>
      <c r="G184" s="30">
        <v>45717</v>
      </c>
      <c r="H184" s="29" t="s">
        <v>141</v>
      </c>
      <c r="I184" s="29"/>
      <c r="J184" s="29"/>
      <c r="K184" s="29"/>
      <c r="L184" s="29"/>
      <c r="M184" s="31"/>
    </row>
    <row r="185" spans="1:13">
      <c r="A185" s="28">
        <f t="shared" si="3"/>
        <v>181</v>
      </c>
      <c r="B185" s="29" t="s">
        <v>770</v>
      </c>
      <c r="C185" s="29">
        <v>0</v>
      </c>
      <c r="D185" s="29" t="s">
        <v>380</v>
      </c>
      <c r="E185" s="29" t="s">
        <v>139</v>
      </c>
      <c r="F185" s="29" t="s">
        <v>410</v>
      </c>
      <c r="G185" s="30">
        <v>45717</v>
      </c>
      <c r="H185" s="29" t="s">
        <v>141</v>
      </c>
      <c r="I185" s="29"/>
      <c r="J185" s="29"/>
      <c r="K185" s="29"/>
      <c r="L185" s="29"/>
      <c r="M185" s="31"/>
    </row>
    <row r="186" spans="1:13">
      <c r="A186" s="28">
        <f t="shared" si="3"/>
        <v>182</v>
      </c>
      <c r="B186" s="29" t="s">
        <v>771</v>
      </c>
      <c r="C186" s="29">
        <v>0</v>
      </c>
      <c r="D186" s="29" t="s">
        <v>381</v>
      </c>
      <c r="E186" s="29" t="s">
        <v>139</v>
      </c>
      <c r="F186" s="29" t="s">
        <v>410</v>
      </c>
      <c r="G186" s="30">
        <v>45717</v>
      </c>
      <c r="H186" s="29" t="s">
        <v>141</v>
      </c>
      <c r="I186" s="29"/>
      <c r="J186" s="29"/>
      <c r="K186" s="29"/>
      <c r="L186" s="29"/>
      <c r="M186" s="31"/>
    </row>
    <row r="187" spans="1:13">
      <c r="A187" s="28">
        <f t="shared" si="3"/>
        <v>183</v>
      </c>
      <c r="B187" s="29" t="s">
        <v>772</v>
      </c>
      <c r="C187" s="29">
        <v>0</v>
      </c>
      <c r="D187" s="29" t="s">
        <v>382</v>
      </c>
      <c r="E187" s="29" t="s">
        <v>139</v>
      </c>
      <c r="F187" s="29" t="s">
        <v>410</v>
      </c>
      <c r="G187" s="30">
        <v>45717</v>
      </c>
      <c r="H187" s="29" t="s">
        <v>141</v>
      </c>
      <c r="I187" s="29"/>
      <c r="J187" s="29"/>
      <c r="K187" s="29"/>
      <c r="L187" s="29"/>
      <c r="M187" s="31"/>
    </row>
    <row r="188" spans="1:13">
      <c r="A188" s="28">
        <f t="shared" si="3"/>
        <v>184</v>
      </c>
      <c r="B188" s="29" t="s">
        <v>773</v>
      </c>
      <c r="C188" s="29">
        <v>0</v>
      </c>
      <c r="D188" s="29" t="s">
        <v>383</v>
      </c>
      <c r="E188" s="29" t="s">
        <v>139</v>
      </c>
      <c r="F188" s="29" t="s">
        <v>410</v>
      </c>
      <c r="G188" s="30">
        <v>45717</v>
      </c>
      <c r="H188" s="29" t="s">
        <v>141</v>
      </c>
      <c r="I188" s="29"/>
      <c r="J188" s="29"/>
      <c r="K188" s="29"/>
      <c r="L188" s="29"/>
      <c r="M188" s="31"/>
    </row>
    <row r="189" spans="1:13">
      <c r="A189" s="28">
        <f t="shared" si="3"/>
        <v>185</v>
      </c>
      <c r="B189" s="29" t="s">
        <v>774</v>
      </c>
      <c r="C189" s="29">
        <v>0</v>
      </c>
      <c r="D189" s="29" t="s">
        <v>384</v>
      </c>
      <c r="E189" s="29" t="s">
        <v>139</v>
      </c>
      <c r="F189" s="29" t="s">
        <v>410</v>
      </c>
      <c r="G189" s="30">
        <v>45717</v>
      </c>
      <c r="H189" s="29" t="s">
        <v>141</v>
      </c>
      <c r="I189" s="29"/>
      <c r="J189" s="29"/>
      <c r="K189" s="29"/>
      <c r="L189" s="29"/>
      <c r="M189" s="31"/>
    </row>
    <row r="190" spans="1:13">
      <c r="A190" s="28">
        <f t="shared" si="3"/>
        <v>186</v>
      </c>
      <c r="B190" s="29" t="s">
        <v>775</v>
      </c>
      <c r="C190" s="29">
        <v>0</v>
      </c>
      <c r="D190" s="29" t="s">
        <v>385</v>
      </c>
      <c r="E190" s="29" t="s">
        <v>139</v>
      </c>
      <c r="F190" s="29" t="s">
        <v>410</v>
      </c>
      <c r="G190" s="30">
        <v>45717</v>
      </c>
      <c r="H190" s="29" t="s">
        <v>141</v>
      </c>
      <c r="I190" s="29"/>
      <c r="J190" s="29"/>
      <c r="K190" s="29"/>
      <c r="L190" s="29"/>
      <c r="M190" s="31"/>
    </row>
    <row r="191" spans="1:13">
      <c r="A191" s="28">
        <f t="shared" si="3"/>
        <v>187</v>
      </c>
      <c r="B191" s="29" t="s">
        <v>776</v>
      </c>
      <c r="C191" s="29">
        <v>0</v>
      </c>
      <c r="D191" s="29" t="s">
        <v>386</v>
      </c>
      <c r="E191" s="29" t="s">
        <v>139</v>
      </c>
      <c r="F191" s="29" t="s">
        <v>410</v>
      </c>
      <c r="G191" s="30">
        <v>45717</v>
      </c>
      <c r="H191" s="29" t="s">
        <v>141</v>
      </c>
      <c r="I191" s="29"/>
      <c r="J191" s="29"/>
      <c r="K191" s="29"/>
      <c r="L191" s="29"/>
      <c r="M191" s="31"/>
    </row>
    <row r="192" spans="1:13">
      <c r="A192" s="28">
        <f t="shared" si="3"/>
        <v>188</v>
      </c>
      <c r="B192" s="29" t="s">
        <v>777</v>
      </c>
      <c r="C192" s="29" t="s">
        <v>570</v>
      </c>
      <c r="D192" s="29" t="s">
        <v>387</v>
      </c>
      <c r="E192" s="29" t="s">
        <v>139</v>
      </c>
      <c r="F192" s="29" t="s">
        <v>586</v>
      </c>
      <c r="G192" s="30">
        <v>45955</v>
      </c>
      <c r="H192" s="29" t="s">
        <v>141</v>
      </c>
      <c r="I192" s="29"/>
      <c r="J192" s="29"/>
      <c r="K192" s="29"/>
      <c r="L192" s="29"/>
      <c r="M192" s="31"/>
    </row>
    <row r="193" spans="1:13">
      <c r="A193" s="28">
        <f t="shared" si="3"/>
        <v>189</v>
      </c>
      <c r="B193" s="29" t="s">
        <v>778</v>
      </c>
      <c r="C193" s="29">
        <v>0</v>
      </c>
      <c r="D193" s="29" t="s">
        <v>388</v>
      </c>
      <c r="E193" s="29" t="s">
        <v>139</v>
      </c>
      <c r="F193" s="29" t="s">
        <v>410</v>
      </c>
      <c r="G193" s="30">
        <v>45717</v>
      </c>
      <c r="H193" s="29" t="s">
        <v>141</v>
      </c>
      <c r="I193" s="29"/>
      <c r="J193" s="29"/>
      <c r="K193" s="29"/>
      <c r="L193" s="29"/>
      <c r="M193" s="31"/>
    </row>
    <row r="194" spans="1:13">
      <c r="A194" s="28">
        <f t="shared" si="3"/>
        <v>190</v>
      </c>
      <c r="B194" s="29" t="s">
        <v>779</v>
      </c>
      <c r="C194" s="29">
        <v>0</v>
      </c>
      <c r="D194" s="29" t="s">
        <v>389</v>
      </c>
      <c r="E194" s="29" t="s">
        <v>139</v>
      </c>
      <c r="F194" s="29" t="s">
        <v>410</v>
      </c>
      <c r="G194" s="30">
        <v>45717</v>
      </c>
      <c r="H194" s="29" t="s">
        <v>141</v>
      </c>
      <c r="I194" s="29"/>
      <c r="J194" s="29"/>
      <c r="K194" s="29"/>
      <c r="L194" s="29"/>
      <c r="M194" s="31"/>
    </row>
    <row r="195" spans="1:13">
      <c r="A195" s="28">
        <f t="shared" si="3"/>
        <v>191</v>
      </c>
      <c r="B195" s="29" t="s">
        <v>780</v>
      </c>
      <c r="C195" s="29">
        <v>0</v>
      </c>
      <c r="D195" s="29" t="s">
        <v>390</v>
      </c>
      <c r="E195" s="29" t="s">
        <v>139</v>
      </c>
      <c r="F195" s="29" t="s">
        <v>410</v>
      </c>
      <c r="G195" s="30">
        <v>45717</v>
      </c>
      <c r="H195" s="29" t="s">
        <v>141</v>
      </c>
      <c r="I195" s="29"/>
      <c r="J195" s="29"/>
      <c r="K195" s="29"/>
      <c r="L195" s="29"/>
      <c r="M195" s="31"/>
    </row>
    <row r="196" spans="1:13">
      <c r="A196" s="28">
        <f t="shared" si="3"/>
        <v>192</v>
      </c>
      <c r="B196" s="29" t="s">
        <v>781</v>
      </c>
      <c r="C196" s="29">
        <v>0</v>
      </c>
      <c r="D196" s="29" t="s">
        <v>391</v>
      </c>
      <c r="E196" s="29" t="s">
        <v>139</v>
      </c>
      <c r="F196" s="29" t="s">
        <v>410</v>
      </c>
      <c r="G196" s="30">
        <v>45717</v>
      </c>
      <c r="H196" s="29" t="s">
        <v>141</v>
      </c>
      <c r="I196" s="29"/>
      <c r="J196" s="29"/>
      <c r="K196" s="29"/>
      <c r="L196" s="29"/>
      <c r="M196" s="31"/>
    </row>
    <row r="197" spans="1:13">
      <c r="A197" s="28">
        <f t="shared" si="3"/>
        <v>193</v>
      </c>
      <c r="B197" s="29" t="s">
        <v>782</v>
      </c>
      <c r="C197" s="29">
        <v>0</v>
      </c>
      <c r="D197" s="29" t="s">
        <v>392</v>
      </c>
      <c r="E197" s="29" t="s">
        <v>139</v>
      </c>
      <c r="F197" s="29" t="s">
        <v>410</v>
      </c>
      <c r="G197" s="30">
        <v>45717</v>
      </c>
      <c r="H197" s="29" t="s">
        <v>141</v>
      </c>
      <c r="I197" s="29"/>
      <c r="J197" s="29"/>
      <c r="K197" s="29"/>
      <c r="L197" s="29"/>
      <c r="M197" s="31"/>
    </row>
    <row r="198" spans="1:13">
      <c r="A198" s="28">
        <f t="shared" ref="A198:A213" si="4">IF(D198="","",ROW()-4)</f>
        <v>194</v>
      </c>
      <c r="B198" s="29" t="s">
        <v>783</v>
      </c>
      <c r="C198" s="29">
        <v>0</v>
      </c>
      <c r="D198" s="29" t="s">
        <v>393</v>
      </c>
      <c r="E198" s="29" t="s">
        <v>139</v>
      </c>
      <c r="F198" s="29" t="s">
        <v>410</v>
      </c>
      <c r="G198" s="30">
        <v>45717</v>
      </c>
      <c r="H198" s="29" t="s">
        <v>141</v>
      </c>
      <c r="I198" s="29"/>
      <c r="J198" s="29"/>
      <c r="K198" s="29"/>
      <c r="L198" s="29"/>
      <c r="M198" s="31"/>
    </row>
    <row r="199" spans="1:13">
      <c r="A199" s="28">
        <f t="shared" si="4"/>
        <v>195</v>
      </c>
      <c r="B199" s="29" t="s">
        <v>784</v>
      </c>
      <c r="C199" s="29">
        <v>0</v>
      </c>
      <c r="D199" s="29" t="s">
        <v>394</v>
      </c>
      <c r="E199" s="29" t="s">
        <v>139</v>
      </c>
      <c r="F199" s="29" t="s">
        <v>410</v>
      </c>
      <c r="G199" s="30">
        <v>45717</v>
      </c>
      <c r="H199" s="29" t="s">
        <v>141</v>
      </c>
      <c r="I199" s="29"/>
      <c r="J199" s="29"/>
      <c r="K199" s="29"/>
      <c r="L199" s="29"/>
      <c r="M199" s="31"/>
    </row>
    <row r="200" spans="1:13">
      <c r="A200" s="28">
        <f t="shared" si="4"/>
        <v>196</v>
      </c>
      <c r="B200" s="29" t="s">
        <v>785</v>
      </c>
      <c r="C200" s="29">
        <v>0</v>
      </c>
      <c r="D200" s="29" t="s">
        <v>395</v>
      </c>
      <c r="E200" s="29" t="s">
        <v>139</v>
      </c>
      <c r="F200" s="29" t="s">
        <v>410</v>
      </c>
      <c r="G200" s="30">
        <v>45717</v>
      </c>
      <c r="H200" s="29" t="s">
        <v>141</v>
      </c>
      <c r="I200" s="29"/>
      <c r="J200" s="29"/>
      <c r="K200" s="29"/>
      <c r="L200" s="29"/>
      <c r="M200" s="31"/>
    </row>
    <row r="201" spans="1:13">
      <c r="A201" s="28">
        <f t="shared" si="4"/>
        <v>197</v>
      </c>
      <c r="B201" s="29" t="s">
        <v>786</v>
      </c>
      <c r="C201" s="29">
        <v>0</v>
      </c>
      <c r="D201" s="29" t="s">
        <v>396</v>
      </c>
      <c r="E201" s="29" t="s">
        <v>139</v>
      </c>
      <c r="F201" s="29" t="s">
        <v>410</v>
      </c>
      <c r="G201" s="30">
        <v>45717</v>
      </c>
      <c r="H201" s="29" t="s">
        <v>141</v>
      </c>
      <c r="I201" s="29"/>
      <c r="J201" s="29"/>
      <c r="K201" s="29"/>
      <c r="L201" s="29"/>
      <c r="M201" s="31"/>
    </row>
    <row r="202" spans="1:13">
      <c r="A202" s="28">
        <f t="shared" si="4"/>
        <v>198</v>
      </c>
      <c r="B202" s="29" t="s">
        <v>787</v>
      </c>
      <c r="C202" s="29">
        <v>0</v>
      </c>
      <c r="D202" s="29" t="s">
        <v>397</v>
      </c>
      <c r="E202" s="29" t="s">
        <v>139</v>
      </c>
      <c r="F202" s="29" t="s">
        <v>410</v>
      </c>
      <c r="G202" s="30">
        <v>45717</v>
      </c>
      <c r="H202" s="29" t="s">
        <v>141</v>
      </c>
      <c r="I202" s="29"/>
      <c r="J202" s="29"/>
      <c r="K202" s="29"/>
      <c r="L202" s="29"/>
      <c r="M202" s="31"/>
    </row>
    <row r="203" spans="1:13">
      <c r="A203" s="28">
        <f t="shared" si="4"/>
        <v>199</v>
      </c>
      <c r="B203" s="29" t="s">
        <v>788</v>
      </c>
      <c r="C203" s="29">
        <v>0</v>
      </c>
      <c r="D203" s="29" t="s">
        <v>398</v>
      </c>
      <c r="E203" s="29" t="s">
        <v>139</v>
      </c>
      <c r="F203" s="29" t="s">
        <v>410</v>
      </c>
      <c r="G203" s="30">
        <v>45717</v>
      </c>
      <c r="H203" s="29" t="s">
        <v>141</v>
      </c>
      <c r="I203" s="29"/>
      <c r="J203" s="29"/>
      <c r="K203" s="29"/>
      <c r="L203" s="29"/>
      <c r="M203" s="31"/>
    </row>
    <row r="204" spans="1:13">
      <c r="A204" s="28">
        <f t="shared" si="4"/>
        <v>200</v>
      </c>
      <c r="B204" s="29" t="s">
        <v>789</v>
      </c>
      <c r="C204" s="29" t="s">
        <v>571</v>
      </c>
      <c r="D204" s="29" t="s">
        <v>399</v>
      </c>
      <c r="E204" s="29" t="s">
        <v>139</v>
      </c>
      <c r="F204" s="29" t="s">
        <v>586</v>
      </c>
      <c r="G204" s="30">
        <v>46228</v>
      </c>
      <c r="H204" s="29" t="s">
        <v>141</v>
      </c>
      <c r="I204" s="29"/>
      <c r="J204" s="29"/>
      <c r="K204" s="29"/>
      <c r="L204" s="29"/>
      <c r="M204" s="31"/>
    </row>
    <row r="205" spans="1:13">
      <c r="A205" s="28">
        <f t="shared" si="4"/>
        <v>201</v>
      </c>
      <c r="B205" s="29" t="s">
        <v>790</v>
      </c>
      <c r="C205" s="29" t="s">
        <v>572</v>
      </c>
      <c r="D205" s="29" t="s">
        <v>400</v>
      </c>
      <c r="E205" s="29" t="s">
        <v>139</v>
      </c>
      <c r="F205" s="29" t="s">
        <v>140</v>
      </c>
      <c r="G205" s="30">
        <v>46198</v>
      </c>
      <c r="H205" s="29" t="s">
        <v>141</v>
      </c>
      <c r="I205" s="29"/>
      <c r="J205" s="29"/>
      <c r="K205" s="29"/>
      <c r="L205" s="29"/>
      <c r="M205" s="31"/>
    </row>
    <row r="206" spans="1:13">
      <c r="A206" s="28">
        <f t="shared" si="4"/>
        <v>202</v>
      </c>
      <c r="B206" s="29" t="s">
        <v>791</v>
      </c>
      <c r="C206" s="29" t="s">
        <v>573</v>
      </c>
      <c r="D206" s="29" t="s">
        <v>401</v>
      </c>
      <c r="E206" s="29" t="s">
        <v>139</v>
      </c>
      <c r="F206" s="29" t="s">
        <v>586</v>
      </c>
      <c r="G206" s="30">
        <v>46198</v>
      </c>
      <c r="H206" s="29" t="s">
        <v>141</v>
      </c>
      <c r="I206" s="29"/>
      <c r="J206" s="29"/>
      <c r="K206" s="29"/>
      <c r="L206" s="29"/>
      <c r="M206" s="31"/>
    </row>
    <row r="207" spans="1:13">
      <c r="A207" s="28">
        <f t="shared" si="4"/>
        <v>203</v>
      </c>
      <c r="B207" s="29" t="s">
        <v>792</v>
      </c>
      <c r="C207" s="29" t="s">
        <v>574</v>
      </c>
      <c r="D207" s="29" t="s">
        <v>402</v>
      </c>
      <c r="E207" s="29" t="s">
        <v>139</v>
      </c>
      <c r="F207" s="29" t="s">
        <v>140</v>
      </c>
      <c r="G207" s="30">
        <v>46228</v>
      </c>
      <c r="H207" s="29" t="s">
        <v>141</v>
      </c>
      <c r="I207" s="29"/>
      <c r="J207" s="29"/>
      <c r="K207" s="29"/>
      <c r="L207" s="29"/>
      <c r="M207" s="31"/>
    </row>
    <row r="208" spans="1:13">
      <c r="A208" s="28">
        <f t="shared" si="4"/>
        <v>204</v>
      </c>
      <c r="B208" s="29" t="s">
        <v>793</v>
      </c>
      <c r="C208" s="29" t="s">
        <v>575</v>
      </c>
      <c r="D208" s="29" t="s">
        <v>403</v>
      </c>
      <c r="E208" s="29" t="s">
        <v>139</v>
      </c>
      <c r="F208" s="29" t="s">
        <v>140</v>
      </c>
      <c r="G208" s="30">
        <v>46228</v>
      </c>
      <c r="H208" s="29" t="s">
        <v>141</v>
      </c>
      <c r="I208" s="29"/>
      <c r="J208" s="29"/>
      <c r="K208" s="29"/>
      <c r="L208" s="29"/>
      <c r="M208" s="31"/>
    </row>
    <row r="209" spans="1:13">
      <c r="A209" s="28">
        <f t="shared" si="4"/>
        <v>205</v>
      </c>
      <c r="B209" s="29" t="s">
        <v>794</v>
      </c>
      <c r="C209" s="29" t="s">
        <v>576</v>
      </c>
      <c r="D209" s="29" t="s">
        <v>404</v>
      </c>
      <c r="E209" s="29" t="s">
        <v>139</v>
      </c>
      <c r="F209" s="29" t="s">
        <v>140</v>
      </c>
      <c r="G209" s="30">
        <v>46228</v>
      </c>
      <c r="H209" s="29" t="s">
        <v>141</v>
      </c>
      <c r="I209" s="29"/>
      <c r="J209" s="29"/>
      <c r="K209" s="29"/>
      <c r="L209" s="29"/>
      <c r="M209" s="31"/>
    </row>
    <row r="210" spans="1:13">
      <c r="A210" s="28">
        <f t="shared" si="4"/>
        <v>206</v>
      </c>
      <c r="B210" s="29" t="s">
        <v>795</v>
      </c>
      <c r="C210" s="29" t="s">
        <v>577</v>
      </c>
      <c r="D210" s="29" t="s">
        <v>405</v>
      </c>
      <c r="E210" s="29" t="s">
        <v>139</v>
      </c>
      <c r="F210" s="29" t="s">
        <v>140</v>
      </c>
      <c r="G210" s="30">
        <v>46228</v>
      </c>
      <c r="H210" s="29" t="s">
        <v>141</v>
      </c>
      <c r="I210" s="29"/>
      <c r="J210" s="29"/>
      <c r="K210" s="29"/>
      <c r="L210" s="29"/>
      <c r="M210" s="31"/>
    </row>
    <row r="211" spans="1:13">
      <c r="A211" s="28">
        <f t="shared" si="4"/>
        <v>207</v>
      </c>
      <c r="B211" s="29" t="s">
        <v>796</v>
      </c>
      <c r="C211" s="29">
        <v>0</v>
      </c>
      <c r="D211" s="29" t="s">
        <v>406</v>
      </c>
      <c r="E211" s="29" t="s">
        <v>139</v>
      </c>
      <c r="F211" s="29" t="s">
        <v>585</v>
      </c>
      <c r="G211" s="30">
        <v>46259</v>
      </c>
      <c r="H211" s="29" t="s">
        <v>141</v>
      </c>
      <c r="I211" s="29"/>
      <c r="J211" s="29"/>
      <c r="K211" s="29"/>
      <c r="L211" s="29"/>
      <c r="M211" s="31"/>
    </row>
    <row r="212" spans="1:13">
      <c r="A212" s="28">
        <f t="shared" si="4"/>
        <v>208</v>
      </c>
      <c r="B212" s="29" t="s">
        <v>797</v>
      </c>
      <c r="C212" s="29" t="s">
        <v>550</v>
      </c>
      <c r="D212" s="29" t="s">
        <v>407</v>
      </c>
      <c r="E212" s="29" t="s">
        <v>411</v>
      </c>
      <c r="F212" s="29" t="s">
        <v>586</v>
      </c>
      <c r="G212" s="30">
        <v>46290</v>
      </c>
      <c r="H212" s="29" t="s">
        <v>141</v>
      </c>
      <c r="I212" s="29"/>
      <c r="J212" s="29"/>
      <c r="K212" s="29"/>
      <c r="L212" s="29"/>
      <c r="M212" s="31"/>
    </row>
    <row r="213" spans="1:13">
      <c r="A213" s="28">
        <f t="shared" si="4"/>
        <v>209</v>
      </c>
      <c r="B213" s="29" t="s">
        <v>798</v>
      </c>
      <c r="C213" s="29" t="s">
        <v>545</v>
      </c>
      <c r="D213" s="29" t="s">
        <v>408</v>
      </c>
      <c r="E213" s="29" t="s">
        <v>411</v>
      </c>
      <c r="F213" s="29" t="s">
        <v>586</v>
      </c>
      <c r="G213" s="30">
        <v>46290</v>
      </c>
      <c r="H213" s="29" t="s">
        <v>141</v>
      </c>
      <c r="I213" s="29"/>
      <c r="J213" s="29"/>
      <c r="K213" s="29"/>
      <c r="L213" s="29"/>
      <c r="M213" s="31"/>
    </row>
    <row r="214" spans="1:13">
      <c r="A214" s="28" t="str">
        <f t="shared" si="0"/>
        <v/>
      </c>
      <c r="B214" s="29"/>
      <c r="C214" s="29"/>
      <c r="D214" s="29"/>
      <c r="E214" s="29"/>
      <c r="F214" s="29"/>
      <c r="G214" s="30"/>
      <c r="H214" s="29"/>
      <c r="I214" s="29"/>
      <c r="J214" s="29"/>
      <c r="K214" s="29"/>
      <c r="L214" s="29"/>
      <c r="M214" s="31"/>
    </row>
    <row r="215" spans="1:13">
      <c r="A215" s="28" t="str">
        <f t="shared" si="0"/>
        <v/>
      </c>
      <c r="B215" s="29"/>
      <c r="C215" s="29"/>
      <c r="D215" s="29"/>
      <c r="E215" s="29"/>
      <c r="F215" s="29"/>
      <c r="G215" s="30"/>
      <c r="H215" s="29"/>
      <c r="I215" s="29"/>
      <c r="J215" s="29"/>
      <c r="K215" s="29"/>
      <c r="L215" s="29"/>
      <c r="M215" s="31"/>
    </row>
    <row r="216" spans="1:13">
      <c r="A216" s="28" t="str">
        <f t="shared" si="0"/>
        <v/>
      </c>
      <c r="B216" s="29"/>
      <c r="C216" s="29"/>
      <c r="D216" s="29"/>
      <c r="E216" s="29"/>
      <c r="F216" s="29"/>
      <c r="G216" s="30"/>
      <c r="H216" s="29"/>
      <c r="I216" s="29"/>
      <c r="J216" s="29"/>
      <c r="K216" s="29"/>
      <c r="L216" s="29"/>
      <c r="M216" s="31"/>
    </row>
    <row r="217" spans="1:13">
      <c r="A217" s="28" t="str">
        <f t="shared" si="0"/>
        <v/>
      </c>
      <c r="B217" s="29"/>
      <c r="C217" s="29"/>
      <c r="D217" s="29"/>
      <c r="E217" s="29"/>
      <c r="F217" s="29"/>
      <c r="G217" s="30"/>
      <c r="H217" s="29"/>
      <c r="I217" s="29"/>
      <c r="J217" s="29"/>
      <c r="K217" s="29"/>
      <c r="L217" s="29"/>
      <c r="M217" s="31"/>
    </row>
    <row r="218" spans="1:13">
      <c r="A218" s="28" t="str">
        <f t="shared" si="0"/>
        <v/>
      </c>
      <c r="B218" s="29"/>
      <c r="C218" s="29"/>
      <c r="D218" s="29"/>
      <c r="E218" s="29"/>
      <c r="F218" s="29"/>
      <c r="G218" s="30"/>
      <c r="H218" s="29"/>
      <c r="I218" s="29"/>
      <c r="J218" s="29"/>
      <c r="K218" s="29"/>
      <c r="L218" s="29"/>
      <c r="M218" s="31"/>
    </row>
    <row r="219" spans="1:13">
      <c r="A219" s="28" t="str">
        <f t="shared" si="0"/>
        <v/>
      </c>
      <c r="B219" s="29"/>
      <c r="C219" s="29"/>
      <c r="D219" s="29"/>
      <c r="E219" s="29"/>
      <c r="F219" s="29"/>
      <c r="G219" s="30"/>
      <c r="H219" s="29"/>
      <c r="I219" s="29"/>
      <c r="J219" s="29"/>
      <c r="K219" s="29"/>
      <c r="L219" s="29"/>
      <c r="M219" s="31"/>
    </row>
    <row r="220" spans="1:13">
      <c r="A220" s="28" t="str">
        <f t="shared" si="0"/>
        <v/>
      </c>
      <c r="B220" s="29"/>
      <c r="C220" s="29"/>
      <c r="D220" s="29"/>
      <c r="E220" s="29"/>
      <c r="F220" s="29"/>
      <c r="G220" s="30"/>
      <c r="H220" s="29"/>
      <c r="I220" s="29"/>
      <c r="J220" s="29"/>
      <c r="K220" s="29"/>
      <c r="L220" s="29"/>
      <c r="M220" s="31"/>
    </row>
    <row r="221" spans="1:13">
      <c r="A221" s="28" t="str">
        <f t="shared" si="0"/>
        <v/>
      </c>
      <c r="B221" s="29"/>
      <c r="C221" s="29"/>
      <c r="D221" s="29"/>
      <c r="E221" s="29"/>
      <c r="F221" s="29"/>
      <c r="G221" s="30"/>
      <c r="H221" s="29"/>
      <c r="I221" s="29"/>
      <c r="J221" s="29"/>
      <c r="K221" s="29"/>
      <c r="L221" s="29"/>
      <c r="M221" s="31"/>
    </row>
    <row r="222" spans="1:13">
      <c r="A222" s="28" t="str">
        <f t="shared" si="0"/>
        <v/>
      </c>
      <c r="B222" s="29"/>
      <c r="C222" s="29"/>
      <c r="D222" s="29"/>
      <c r="E222" s="29"/>
      <c r="F222" s="29"/>
      <c r="G222" s="30"/>
      <c r="H222" s="29"/>
      <c r="I222" s="29"/>
      <c r="J222" s="29"/>
      <c r="K222" s="29"/>
      <c r="L222" s="29"/>
      <c r="M222" s="31"/>
    </row>
    <row r="223" spans="1:13">
      <c r="A223" s="28" t="str">
        <f t="shared" si="0"/>
        <v/>
      </c>
      <c r="B223" s="29"/>
      <c r="C223" s="29"/>
      <c r="D223" s="29"/>
      <c r="E223" s="29"/>
      <c r="F223" s="29"/>
      <c r="G223" s="30"/>
      <c r="H223" s="29"/>
      <c r="I223" s="29"/>
      <c r="J223" s="29"/>
      <c r="K223" s="29"/>
      <c r="L223" s="29"/>
      <c r="M223" s="31"/>
    </row>
    <row r="224" spans="1:13">
      <c r="A224" s="28" t="str">
        <f t="shared" si="0"/>
        <v/>
      </c>
      <c r="B224" s="29"/>
      <c r="C224" s="29"/>
      <c r="D224" s="29"/>
      <c r="E224" s="29"/>
      <c r="F224" s="29"/>
      <c r="G224" s="30"/>
      <c r="H224" s="29"/>
      <c r="I224" s="29"/>
      <c r="J224" s="29"/>
      <c r="K224" s="29"/>
      <c r="L224" s="29"/>
      <c r="M224" s="31"/>
    </row>
    <row r="225" spans="1:13">
      <c r="A225" s="28" t="str">
        <f t="shared" si="0"/>
        <v/>
      </c>
      <c r="B225" s="29"/>
      <c r="C225" s="29"/>
      <c r="D225" s="29"/>
      <c r="E225" s="29"/>
      <c r="F225" s="29"/>
      <c r="G225" s="30"/>
      <c r="H225" s="29"/>
      <c r="I225" s="29"/>
      <c r="J225" s="29"/>
      <c r="K225" s="29"/>
      <c r="L225" s="29"/>
      <c r="M225" s="31"/>
    </row>
    <row r="226" spans="1:13">
      <c r="A226" s="28" t="str">
        <f t="shared" si="0"/>
        <v/>
      </c>
      <c r="B226" s="29"/>
      <c r="C226" s="29"/>
      <c r="D226" s="29"/>
      <c r="E226" s="29"/>
      <c r="F226" s="29"/>
      <c r="G226" s="30"/>
      <c r="H226" s="29"/>
      <c r="I226" s="29"/>
      <c r="J226" s="29"/>
      <c r="K226" s="29"/>
      <c r="L226" s="29"/>
      <c r="M226" s="31"/>
    </row>
    <row r="227" spans="1:13">
      <c r="A227" s="28" t="str">
        <f t="shared" si="0"/>
        <v/>
      </c>
      <c r="B227" s="29"/>
      <c r="C227" s="29"/>
      <c r="D227" s="29"/>
      <c r="E227" s="29"/>
      <c r="F227" s="29"/>
      <c r="G227" s="30"/>
      <c r="H227" s="29"/>
      <c r="I227" s="29"/>
      <c r="J227" s="29"/>
      <c r="K227" s="29"/>
      <c r="L227" s="29"/>
      <c r="M227" s="31"/>
    </row>
    <row r="228" spans="1:13">
      <c r="A228" s="28" t="str">
        <f t="shared" si="0"/>
        <v/>
      </c>
      <c r="B228" s="29"/>
      <c r="C228" s="29"/>
      <c r="D228" s="29"/>
      <c r="E228" s="29"/>
      <c r="F228" s="29"/>
      <c r="G228" s="30"/>
      <c r="H228" s="29"/>
      <c r="I228" s="29"/>
      <c r="J228" s="29"/>
      <c r="K228" s="29"/>
      <c r="L228" s="29"/>
      <c r="M228" s="31"/>
    </row>
    <row r="229" spans="1:13">
      <c r="A229" s="28" t="str">
        <f t="shared" si="0"/>
        <v/>
      </c>
      <c r="B229" s="29"/>
      <c r="C229" s="29"/>
      <c r="D229" s="29"/>
      <c r="E229" s="29"/>
      <c r="F229" s="29"/>
      <c r="G229" s="30"/>
      <c r="H229" s="29"/>
      <c r="I229" s="29"/>
      <c r="J229" s="29"/>
      <c r="K229" s="29"/>
      <c r="L229" s="29"/>
      <c r="M229" s="31"/>
    </row>
    <row r="230" spans="1:13">
      <c r="A230" s="28" t="str">
        <f t="shared" si="0"/>
        <v/>
      </c>
      <c r="B230" s="29"/>
      <c r="C230" s="29"/>
      <c r="D230" s="29"/>
      <c r="E230" s="29"/>
      <c r="F230" s="29"/>
      <c r="G230" s="30"/>
      <c r="H230" s="29"/>
      <c r="I230" s="29"/>
      <c r="J230" s="29"/>
      <c r="K230" s="29"/>
      <c r="L230" s="29"/>
      <c r="M230" s="31"/>
    </row>
    <row r="231" spans="1:13">
      <c r="A231" s="28" t="str">
        <f t="shared" si="0"/>
        <v/>
      </c>
      <c r="B231" s="29"/>
      <c r="C231" s="29"/>
      <c r="D231" s="29"/>
      <c r="E231" s="29"/>
      <c r="F231" s="29"/>
      <c r="G231" s="30"/>
      <c r="H231" s="29"/>
      <c r="I231" s="29"/>
      <c r="J231" s="29"/>
      <c r="K231" s="29"/>
      <c r="L231" s="29"/>
      <c r="M231" s="31"/>
    </row>
    <row r="232" spans="1:13">
      <c r="A232" s="28" t="str">
        <f t="shared" si="0"/>
        <v/>
      </c>
      <c r="B232" s="29"/>
      <c r="C232" s="29"/>
      <c r="D232" s="29"/>
      <c r="E232" s="29"/>
      <c r="F232" s="29"/>
      <c r="G232" s="30"/>
      <c r="H232" s="29"/>
      <c r="I232" s="29"/>
      <c r="J232" s="29"/>
      <c r="K232" s="29"/>
      <c r="L232" s="29"/>
      <c r="M232" s="31"/>
    </row>
    <row r="233" spans="1:13">
      <c r="A233" s="28" t="str">
        <f t="shared" si="0"/>
        <v/>
      </c>
      <c r="B233" s="29"/>
      <c r="C233" s="29"/>
      <c r="D233" s="29"/>
      <c r="E233" s="29"/>
      <c r="F233" s="29"/>
      <c r="G233" s="30"/>
      <c r="H233" s="29"/>
      <c r="I233" s="29"/>
      <c r="J233" s="29"/>
      <c r="K233" s="29"/>
      <c r="L233" s="29"/>
      <c r="M233" s="31"/>
    </row>
    <row r="234" spans="1:13">
      <c r="A234" s="28" t="str">
        <f t="shared" si="0"/>
        <v/>
      </c>
      <c r="B234" s="29"/>
      <c r="C234" s="29"/>
      <c r="D234" s="29"/>
      <c r="E234" s="29"/>
      <c r="F234" s="29"/>
      <c r="G234" s="30"/>
      <c r="H234" s="29"/>
      <c r="I234" s="29"/>
      <c r="J234" s="29"/>
      <c r="K234" s="29"/>
      <c r="L234" s="29"/>
      <c r="M234" s="31"/>
    </row>
    <row r="235" spans="1:13">
      <c r="A235" s="28" t="str">
        <f t="shared" si="0"/>
        <v/>
      </c>
      <c r="B235" s="29"/>
      <c r="C235" s="29"/>
      <c r="D235" s="29"/>
      <c r="E235" s="29"/>
      <c r="F235" s="29"/>
      <c r="G235" s="30"/>
      <c r="H235" s="29"/>
      <c r="I235" s="29"/>
      <c r="J235" s="29"/>
      <c r="K235" s="29"/>
      <c r="L235" s="29"/>
      <c r="M235" s="31"/>
    </row>
    <row r="236" spans="1:13">
      <c r="A236" s="28" t="str">
        <f t="shared" si="0"/>
        <v/>
      </c>
      <c r="B236" s="29"/>
      <c r="C236" s="29"/>
      <c r="D236" s="29"/>
      <c r="E236" s="29"/>
      <c r="F236" s="29"/>
      <c r="G236" s="30"/>
      <c r="H236" s="29"/>
      <c r="I236" s="29"/>
      <c r="J236" s="29"/>
      <c r="K236" s="29"/>
      <c r="L236" s="29"/>
      <c r="M236" s="31"/>
    </row>
    <row r="237" spans="1:13">
      <c r="A237" s="28" t="str">
        <f t="shared" si="0"/>
        <v/>
      </c>
      <c r="B237" s="29"/>
      <c r="C237" s="29"/>
      <c r="D237" s="29"/>
      <c r="E237" s="29"/>
      <c r="F237" s="29"/>
      <c r="G237" s="30"/>
      <c r="H237" s="29"/>
      <c r="I237" s="29"/>
      <c r="J237" s="29"/>
      <c r="K237" s="29"/>
      <c r="L237" s="29"/>
      <c r="M237" s="31"/>
    </row>
    <row r="238" spans="1:13">
      <c r="A238" s="28" t="str">
        <f t="shared" si="0"/>
        <v/>
      </c>
      <c r="B238" s="29"/>
      <c r="C238" s="29"/>
      <c r="D238" s="29"/>
      <c r="E238" s="29"/>
      <c r="F238" s="29"/>
      <c r="G238" s="30"/>
      <c r="H238" s="29"/>
      <c r="I238" s="29"/>
      <c r="J238" s="29"/>
      <c r="K238" s="29"/>
      <c r="L238" s="29"/>
      <c r="M238" s="31"/>
    </row>
    <row r="239" spans="1:13">
      <c r="A239" s="28" t="str">
        <f t="shared" si="0"/>
        <v/>
      </c>
      <c r="B239" s="29"/>
      <c r="C239" s="29"/>
      <c r="D239" s="29"/>
      <c r="E239" s="29"/>
      <c r="F239" s="29"/>
      <c r="G239" s="30"/>
      <c r="H239" s="29"/>
      <c r="I239" s="29"/>
      <c r="J239" s="29"/>
      <c r="K239" s="29"/>
      <c r="L239" s="29"/>
      <c r="M239" s="31"/>
    </row>
    <row r="240" spans="1:13">
      <c r="A240" s="28" t="str">
        <f t="shared" si="0"/>
        <v/>
      </c>
      <c r="B240" s="29"/>
      <c r="C240" s="29"/>
      <c r="D240" s="29"/>
      <c r="E240" s="29"/>
      <c r="F240" s="29"/>
      <c r="G240" s="30"/>
      <c r="H240" s="29"/>
      <c r="I240" s="29"/>
      <c r="J240" s="29"/>
      <c r="K240" s="29"/>
      <c r="L240" s="29"/>
      <c r="M240" s="31"/>
    </row>
    <row r="241" spans="1:13">
      <c r="A241" s="28" t="str">
        <f t="shared" si="0"/>
        <v/>
      </c>
      <c r="B241" s="29"/>
      <c r="C241" s="29"/>
      <c r="D241" s="29"/>
      <c r="E241" s="29"/>
      <c r="F241" s="29"/>
      <c r="G241" s="30"/>
      <c r="H241" s="29"/>
      <c r="I241" s="29"/>
      <c r="J241" s="29"/>
      <c r="K241" s="29"/>
      <c r="L241" s="29"/>
      <c r="M241" s="31"/>
    </row>
    <row r="242" spans="1:13">
      <c r="A242" s="28" t="str">
        <f t="shared" si="0"/>
        <v/>
      </c>
      <c r="B242" s="29"/>
      <c r="C242" s="29"/>
      <c r="D242" s="29"/>
      <c r="E242" s="29"/>
      <c r="F242" s="29"/>
      <c r="G242" s="30"/>
      <c r="H242" s="29"/>
      <c r="I242" s="29"/>
      <c r="J242" s="29"/>
      <c r="K242" s="29"/>
      <c r="L242" s="29"/>
      <c r="M242" s="31"/>
    </row>
    <row r="243" spans="1:13">
      <c r="A243" s="28" t="str">
        <f t="shared" si="0"/>
        <v/>
      </c>
      <c r="B243" s="29"/>
      <c r="C243" s="29"/>
      <c r="D243" s="29"/>
      <c r="E243" s="29"/>
      <c r="F243" s="29"/>
      <c r="G243" s="30"/>
      <c r="H243" s="29"/>
      <c r="I243" s="29"/>
      <c r="J243" s="29"/>
      <c r="K243" s="29"/>
      <c r="L243" s="29"/>
      <c r="M243" s="31"/>
    </row>
    <row r="244" spans="1:13">
      <c r="A244" s="28" t="str">
        <f t="shared" si="0"/>
        <v/>
      </c>
      <c r="B244" s="29"/>
      <c r="C244" s="29"/>
      <c r="D244" s="29"/>
      <c r="E244" s="29"/>
      <c r="F244" s="29"/>
      <c r="G244" s="30"/>
      <c r="H244" s="29"/>
      <c r="I244" s="29"/>
      <c r="J244" s="29"/>
      <c r="K244" s="29"/>
      <c r="L244" s="29"/>
      <c r="M244" s="31"/>
    </row>
    <row r="245" spans="1:13">
      <c r="A245" s="28" t="str">
        <f t="shared" si="0"/>
        <v/>
      </c>
      <c r="B245" s="29"/>
      <c r="C245" s="29"/>
      <c r="D245" s="29"/>
      <c r="E245" s="29"/>
      <c r="F245" s="29"/>
      <c r="G245" s="30"/>
      <c r="H245" s="29"/>
      <c r="I245" s="29"/>
      <c r="J245" s="29"/>
      <c r="K245" s="29"/>
      <c r="L245" s="29"/>
      <c r="M245" s="31"/>
    </row>
    <row r="246" spans="1:13">
      <c r="A246" s="28" t="str">
        <f t="shared" si="0"/>
        <v/>
      </c>
      <c r="B246" s="29"/>
      <c r="C246" s="29"/>
      <c r="D246" s="29"/>
      <c r="E246" s="29"/>
      <c r="F246" s="29"/>
      <c r="G246" s="30"/>
      <c r="H246" s="29"/>
      <c r="I246" s="29"/>
      <c r="J246" s="29"/>
      <c r="K246" s="29"/>
      <c r="L246" s="29"/>
      <c r="M246" s="31"/>
    </row>
    <row r="247" spans="1:13">
      <c r="A247" s="28" t="str">
        <f t="shared" si="0"/>
        <v/>
      </c>
      <c r="B247" s="29"/>
      <c r="C247" s="29"/>
      <c r="D247" s="29"/>
      <c r="E247" s="29"/>
      <c r="F247" s="29"/>
      <c r="G247" s="30"/>
      <c r="H247" s="29"/>
      <c r="I247" s="29"/>
      <c r="J247" s="29"/>
      <c r="K247" s="29"/>
      <c r="L247" s="29"/>
      <c r="M247" s="31"/>
    </row>
    <row r="248" spans="1:13">
      <c r="A248" s="28" t="str">
        <f t="shared" si="0"/>
        <v/>
      </c>
      <c r="B248" s="29"/>
      <c r="C248" s="29"/>
      <c r="D248" s="29"/>
      <c r="E248" s="29"/>
      <c r="F248" s="29"/>
      <c r="G248" s="30"/>
      <c r="H248" s="29"/>
      <c r="I248" s="29"/>
      <c r="J248" s="29"/>
      <c r="K248" s="29"/>
      <c r="L248" s="29"/>
      <c r="M248" s="31"/>
    </row>
    <row r="249" spans="1:13">
      <c r="A249" s="28" t="str">
        <f t="shared" si="0"/>
        <v/>
      </c>
      <c r="B249" s="29"/>
      <c r="C249" s="29"/>
      <c r="D249" s="29"/>
      <c r="E249" s="29"/>
      <c r="F249" s="29"/>
      <c r="G249" s="30"/>
      <c r="H249" s="29"/>
      <c r="I249" s="29"/>
      <c r="J249" s="29"/>
      <c r="K249" s="29"/>
      <c r="L249" s="29"/>
      <c r="M249" s="31"/>
    </row>
    <row r="250" spans="1:13">
      <c r="A250" s="28" t="str">
        <f t="shared" si="0"/>
        <v/>
      </c>
      <c r="B250" s="29"/>
      <c r="C250" s="29"/>
      <c r="D250" s="29"/>
      <c r="E250" s="29"/>
      <c r="F250" s="29"/>
      <c r="G250" s="30"/>
      <c r="H250" s="29"/>
      <c r="I250" s="29"/>
      <c r="J250" s="29"/>
      <c r="K250" s="29"/>
      <c r="L250" s="29"/>
      <c r="M250" s="31"/>
    </row>
    <row r="251" spans="1:13">
      <c r="A251" s="28" t="str">
        <f t="shared" si="0"/>
        <v/>
      </c>
      <c r="B251" s="29"/>
      <c r="C251" s="29"/>
      <c r="D251" s="29"/>
      <c r="E251" s="29"/>
      <c r="F251" s="29"/>
      <c r="G251" s="30"/>
      <c r="H251" s="29"/>
      <c r="I251" s="29"/>
      <c r="J251" s="29"/>
      <c r="K251" s="29"/>
      <c r="L251" s="29"/>
      <c r="M251" s="31"/>
    </row>
    <row r="252" spans="1:13">
      <c r="A252" s="28" t="str">
        <f t="shared" si="0"/>
        <v/>
      </c>
      <c r="B252" s="29"/>
      <c r="C252" s="29"/>
      <c r="D252" s="29"/>
      <c r="E252" s="29"/>
      <c r="F252" s="29"/>
      <c r="G252" s="30"/>
      <c r="H252" s="29"/>
      <c r="I252" s="29"/>
      <c r="J252" s="29"/>
      <c r="K252" s="29"/>
      <c r="L252" s="29"/>
      <c r="M252" s="31"/>
    </row>
    <row r="253" spans="1:13">
      <c r="A253" s="28" t="str">
        <f t="shared" si="0"/>
        <v/>
      </c>
      <c r="B253" s="29"/>
      <c r="C253" s="29"/>
      <c r="D253" s="29"/>
      <c r="E253" s="29"/>
      <c r="F253" s="29"/>
      <c r="G253" s="30"/>
      <c r="H253" s="29"/>
      <c r="I253" s="29"/>
      <c r="J253" s="29"/>
      <c r="K253" s="29"/>
      <c r="L253" s="29"/>
      <c r="M253" s="31"/>
    </row>
    <row r="254" spans="1:13">
      <c r="A254" s="28" t="str">
        <f t="shared" si="0"/>
        <v/>
      </c>
      <c r="B254" s="29"/>
      <c r="C254" s="29"/>
      <c r="D254" s="29"/>
      <c r="E254" s="29"/>
      <c r="F254" s="29"/>
      <c r="G254" s="30"/>
      <c r="H254" s="29"/>
      <c r="I254" s="29"/>
      <c r="J254" s="29"/>
      <c r="K254" s="29"/>
      <c r="L254" s="29"/>
      <c r="M254" s="31"/>
    </row>
    <row r="255" spans="1:13">
      <c r="A255" s="28" t="str">
        <f t="shared" si="0"/>
        <v/>
      </c>
      <c r="B255" s="29"/>
      <c r="C255" s="29"/>
      <c r="D255" s="29"/>
      <c r="E255" s="29"/>
      <c r="F255" s="29"/>
      <c r="G255" s="30"/>
      <c r="H255" s="29"/>
      <c r="I255" s="29"/>
      <c r="J255" s="29"/>
      <c r="K255" s="29"/>
      <c r="L255" s="29"/>
      <c r="M255" s="31"/>
    </row>
    <row r="256" spans="1:13">
      <c r="A256" s="28" t="str">
        <f t="shared" si="0"/>
        <v/>
      </c>
      <c r="B256" s="29"/>
      <c r="C256" s="29"/>
      <c r="D256" s="29"/>
      <c r="E256" s="29"/>
      <c r="F256" s="29"/>
      <c r="G256" s="30"/>
      <c r="H256" s="29"/>
      <c r="I256" s="29"/>
      <c r="J256" s="29"/>
      <c r="K256" s="29"/>
      <c r="L256" s="29"/>
      <c r="M256" s="31"/>
    </row>
    <row r="257" spans="1:13">
      <c r="A257" s="28" t="str">
        <f t="shared" si="0"/>
        <v/>
      </c>
      <c r="B257" s="29"/>
      <c r="C257" s="29"/>
      <c r="D257" s="29"/>
      <c r="E257" s="29"/>
      <c r="F257" s="29"/>
      <c r="G257" s="30"/>
      <c r="H257" s="29"/>
      <c r="I257" s="29"/>
      <c r="J257" s="29"/>
      <c r="K257" s="29"/>
      <c r="L257" s="29"/>
      <c r="M257" s="31"/>
    </row>
    <row r="258" spans="1:13">
      <c r="A258" s="28" t="str">
        <f t="shared" si="0"/>
        <v/>
      </c>
      <c r="B258" s="29"/>
      <c r="C258" s="29"/>
      <c r="D258" s="29"/>
      <c r="E258" s="29"/>
      <c r="F258" s="29"/>
      <c r="G258" s="30"/>
      <c r="H258" s="29"/>
      <c r="I258" s="29"/>
      <c r="J258" s="29"/>
      <c r="K258" s="29"/>
      <c r="L258" s="29"/>
      <c r="M258" s="31"/>
    </row>
    <row r="259" spans="1:13">
      <c r="A259" s="28" t="str">
        <f t="shared" si="0"/>
        <v/>
      </c>
      <c r="B259" s="29"/>
      <c r="C259" s="29"/>
      <c r="D259" s="29"/>
      <c r="E259" s="29"/>
      <c r="F259" s="29"/>
      <c r="G259" s="30"/>
      <c r="H259" s="29"/>
      <c r="I259" s="29"/>
      <c r="J259" s="29"/>
      <c r="K259" s="29"/>
      <c r="L259" s="29"/>
      <c r="M259" s="31"/>
    </row>
    <row r="260" spans="1:13">
      <c r="A260" s="28" t="str">
        <f t="shared" si="0"/>
        <v/>
      </c>
      <c r="B260" s="29"/>
      <c r="C260" s="29"/>
      <c r="D260" s="29"/>
      <c r="E260" s="29"/>
      <c r="F260" s="29"/>
      <c r="G260" s="30"/>
      <c r="H260" s="29"/>
      <c r="I260" s="29"/>
      <c r="J260" s="29"/>
      <c r="K260" s="29"/>
      <c r="L260" s="29"/>
      <c r="M260" s="31"/>
    </row>
    <row r="261" spans="1:13">
      <c r="A261" s="28" t="str">
        <f t="shared" si="0"/>
        <v/>
      </c>
      <c r="B261" s="29"/>
      <c r="C261" s="29"/>
      <c r="D261" s="29"/>
      <c r="E261" s="29"/>
      <c r="F261" s="29"/>
      <c r="G261" s="30"/>
      <c r="H261" s="29"/>
      <c r="I261" s="29"/>
      <c r="J261" s="29"/>
      <c r="K261" s="29"/>
      <c r="L261" s="29"/>
      <c r="M261" s="31"/>
    </row>
    <row r="262" spans="1:13">
      <c r="A262" s="28" t="str">
        <f t="shared" si="0"/>
        <v/>
      </c>
      <c r="B262" s="29"/>
      <c r="C262" s="29"/>
      <c r="D262" s="29"/>
      <c r="E262" s="29"/>
      <c r="F262" s="29"/>
      <c r="G262" s="30"/>
      <c r="H262" s="29"/>
      <c r="I262" s="29"/>
      <c r="J262" s="29"/>
      <c r="K262" s="29"/>
      <c r="L262" s="29"/>
      <c r="M262" s="31"/>
    </row>
    <row r="263" spans="1:13">
      <c r="A263" s="28" t="str">
        <f t="shared" si="0"/>
        <v/>
      </c>
      <c r="B263" s="29"/>
      <c r="C263" s="29"/>
      <c r="D263" s="29"/>
      <c r="E263" s="29"/>
      <c r="F263" s="29"/>
      <c r="G263" s="30"/>
      <c r="H263" s="29"/>
      <c r="I263" s="29"/>
      <c r="J263" s="29"/>
      <c r="K263" s="29"/>
      <c r="L263" s="29"/>
      <c r="M263" s="31"/>
    </row>
    <row r="264" spans="1:13">
      <c r="A264" s="28" t="str">
        <f t="shared" si="0"/>
        <v/>
      </c>
      <c r="B264" s="29"/>
      <c r="C264" s="29"/>
      <c r="D264" s="29"/>
      <c r="E264" s="29"/>
      <c r="F264" s="29"/>
      <c r="G264" s="30"/>
      <c r="H264" s="29"/>
      <c r="I264" s="29"/>
      <c r="J264" s="29"/>
      <c r="K264" s="29"/>
      <c r="L264" s="29"/>
      <c r="M264" s="31"/>
    </row>
    <row r="265" spans="1:13">
      <c r="A265" s="28" t="str">
        <f t="shared" si="0"/>
        <v/>
      </c>
      <c r="B265" s="29"/>
      <c r="C265" s="29"/>
      <c r="D265" s="29"/>
      <c r="E265" s="29"/>
      <c r="F265" s="29"/>
      <c r="G265" s="30"/>
      <c r="H265" s="29"/>
      <c r="I265" s="29"/>
      <c r="J265" s="29"/>
      <c r="K265" s="29"/>
      <c r="L265" s="29"/>
      <c r="M265" s="31"/>
    </row>
    <row r="266" spans="1:13">
      <c r="A266" s="28" t="str">
        <f t="shared" si="0"/>
        <v/>
      </c>
      <c r="B266" s="29"/>
      <c r="C266" s="29"/>
      <c r="D266" s="29"/>
      <c r="E266" s="29"/>
      <c r="F266" s="29"/>
      <c r="G266" s="30"/>
      <c r="H266" s="29"/>
      <c r="I266" s="29"/>
      <c r="J266" s="29"/>
      <c r="K266" s="29"/>
      <c r="L266" s="29"/>
      <c r="M266" s="31"/>
    </row>
    <row r="267" spans="1:13">
      <c r="A267" s="28" t="str">
        <f t="shared" si="0"/>
        <v/>
      </c>
      <c r="B267" s="29"/>
      <c r="C267" s="29"/>
      <c r="D267" s="29"/>
      <c r="E267" s="29"/>
      <c r="F267" s="29"/>
      <c r="G267" s="30"/>
      <c r="H267" s="29"/>
      <c r="I267" s="29"/>
      <c r="J267" s="29"/>
      <c r="K267" s="29"/>
      <c r="L267" s="29"/>
      <c r="M267" s="31"/>
    </row>
    <row r="268" spans="1:13">
      <c r="A268" s="28" t="str">
        <f t="shared" si="0"/>
        <v/>
      </c>
      <c r="B268" s="29"/>
      <c r="C268" s="29"/>
      <c r="D268" s="29"/>
      <c r="E268" s="29"/>
      <c r="F268" s="29"/>
      <c r="G268" s="30"/>
      <c r="H268" s="29"/>
      <c r="I268" s="29"/>
      <c r="J268" s="29"/>
      <c r="K268" s="29"/>
      <c r="L268" s="29"/>
      <c r="M268" s="31"/>
    </row>
    <row r="269" spans="1:13">
      <c r="A269" s="28" t="str">
        <f t="shared" si="0"/>
        <v/>
      </c>
      <c r="B269" s="29"/>
      <c r="C269" s="29"/>
      <c r="D269" s="29"/>
      <c r="E269" s="29"/>
      <c r="F269" s="29"/>
      <c r="G269" s="30"/>
      <c r="H269" s="29"/>
      <c r="I269" s="29"/>
      <c r="J269" s="29"/>
      <c r="K269" s="29"/>
      <c r="L269" s="29"/>
      <c r="M269" s="31"/>
    </row>
    <row r="270" spans="1:13">
      <c r="A270" s="28" t="str">
        <f t="shared" si="0"/>
        <v/>
      </c>
      <c r="B270" s="29"/>
      <c r="C270" s="29"/>
      <c r="D270" s="29"/>
      <c r="E270" s="29"/>
      <c r="F270" s="29"/>
      <c r="G270" s="30"/>
      <c r="H270" s="29"/>
      <c r="I270" s="29"/>
      <c r="J270" s="29"/>
      <c r="K270" s="29"/>
      <c r="L270" s="29"/>
      <c r="M270" s="31"/>
    </row>
    <row r="271" spans="1:13">
      <c r="A271" s="28" t="str">
        <f t="shared" si="0"/>
        <v/>
      </c>
      <c r="B271" s="29"/>
      <c r="C271" s="29"/>
      <c r="D271" s="29"/>
      <c r="E271" s="29"/>
      <c r="F271" s="29"/>
      <c r="G271" s="30"/>
      <c r="H271" s="29"/>
      <c r="I271" s="29"/>
      <c r="J271" s="29"/>
      <c r="K271" s="29"/>
      <c r="L271" s="29"/>
      <c r="M271" s="31"/>
    </row>
    <row r="272" spans="1:13">
      <c r="A272" s="28" t="str">
        <f t="shared" si="0"/>
        <v/>
      </c>
      <c r="B272" s="29"/>
      <c r="C272" s="29"/>
      <c r="D272" s="29"/>
      <c r="E272" s="29"/>
      <c r="F272" s="29"/>
      <c r="G272" s="30"/>
      <c r="H272" s="29"/>
      <c r="I272" s="29"/>
      <c r="J272" s="29"/>
      <c r="K272" s="29"/>
      <c r="L272" s="29"/>
      <c r="M272" s="31"/>
    </row>
    <row r="273" spans="1:13">
      <c r="A273" s="28" t="str">
        <f t="shared" si="0"/>
        <v/>
      </c>
      <c r="B273" s="29"/>
      <c r="C273" s="29"/>
      <c r="D273" s="29"/>
      <c r="E273" s="29"/>
      <c r="F273" s="29"/>
      <c r="G273" s="30"/>
      <c r="H273" s="29"/>
      <c r="I273" s="29"/>
      <c r="J273" s="29"/>
      <c r="K273" s="29"/>
      <c r="L273" s="29"/>
      <c r="M273" s="31"/>
    </row>
    <row r="274" spans="1:13">
      <c r="A274" s="28" t="str">
        <f t="shared" si="0"/>
        <v/>
      </c>
      <c r="B274" s="29"/>
      <c r="C274" s="29"/>
      <c r="D274" s="29"/>
      <c r="E274" s="29"/>
      <c r="F274" s="29"/>
      <c r="G274" s="30"/>
      <c r="H274" s="29"/>
      <c r="I274" s="29"/>
      <c r="J274" s="29"/>
      <c r="K274" s="29"/>
      <c r="L274" s="29"/>
      <c r="M274" s="31"/>
    </row>
    <row r="275" spans="1:13">
      <c r="A275" s="28" t="str">
        <f t="shared" si="0"/>
        <v/>
      </c>
      <c r="B275" s="29"/>
      <c r="C275" s="29"/>
      <c r="D275" s="29"/>
      <c r="E275" s="29"/>
      <c r="F275" s="29"/>
      <c r="G275" s="30"/>
      <c r="H275" s="29"/>
      <c r="I275" s="29"/>
      <c r="J275" s="29"/>
      <c r="K275" s="29"/>
      <c r="L275" s="29"/>
      <c r="M275" s="31"/>
    </row>
    <row r="276" spans="1:13">
      <c r="A276" s="28" t="str">
        <f t="shared" si="0"/>
        <v/>
      </c>
      <c r="B276" s="29"/>
      <c r="C276" s="29"/>
      <c r="D276" s="29"/>
      <c r="E276" s="29"/>
      <c r="F276" s="29"/>
      <c r="G276" s="30"/>
      <c r="H276" s="29"/>
      <c r="I276" s="29"/>
      <c r="J276" s="29"/>
      <c r="K276" s="29"/>
      <c r="L276" s="29"/>
      <c r="M276" s="31"/>
    </row>
    <row r="277" spans="1:13">
      <c r="A277" s="28" t="str">
        <f t="shared" ref="A277:A340" si="5">IF(D277="","",ROW()-4)</f>
        <v/>
      </c>
      <c r="B277" s="29"/>
      <c r="C277" s="29"/>
      <c r="D277" s="29"/>
      <c r="E277" s="29"/>
      <c r="F277" s="29"/>
      <c r="G277" s="30"/>
      <c r="H277" s="29"/>
      <c r="I277" s="29"/>
      <c r="J277" s="29"/>
      <c r="K277" s="29"/>
      <c r="L277" s="29"/>
      <c r="M277" s="31"/>
    </row>
    <row r="278" spans="1:13">
      <c r="A278" s="28" t="str">
        <f t="shared" si="5"/>
        <v/>
      </c>
      <c r="B278" s="29"/>
      <c r="C278" s="29"/>
      <c r="D278" s="29"/>
      <c r="E278" s="29"/>
      <c r="F278" s="29"/>
      <c r="G278" s="30"/>
      <c r="H278" s="29"/>
      <c r="I278" s="29"/>
      <c r="J278" s="29"/>
      <c r="K278" s="29"/>
      <c r="L278" s="29"/>
      <c r="M278" s="31"/>
    </row>
    <row r="279" spans="1:13">
      <c r="A279" s="28" t="str">
        <f t="shared" si="5"/>
        <v/>
      </c>
      <c r="B279" s="29"/>
      <c r="C279" s="29"/>
      <c r="D279" s="29"/>
      <c r="E279" s="29"/>
      <c r="F279" s="29"/>
      <c r="G279" s="30"/>
      <c r="H279" s="29"/>
      <c r="I279" s="29"/>
      <c r="J279" s="29"/>
      <c r="K279" s="29"/>
      <c r="L279" s="29"/>
      <c r="M279" s="31"/>
    </row>
    <row r="280" spans="1:13">
      <c r="A280" s="28" t="str">
        <f t="shared" si="5"/>
        <v/>
      </c>
      <c r="B280" s="29"/>
      <c r="C280" s="29"/>
      <c r="D280" s="29"/>
      <c r="E280" s="29"/>
      <c r="F280" s="29"/>
      <c r="G280" s="30"/>
      <c r="H280" s="29"/>
      <c r="I280" s="29"/>
      <c r="J280" s="29"/>
      <c r="K280" s="29"/>
      <c r="L280" s="29"/>
      <c r="M280" s="31"/>
    </row>
    <row r="281" spans="1:13">
      <c r="A281" s="28" t="str">
        <f t="shared" si="5"/>
        <v/>
      </c>
      <c r="B281" s="29"/>
      <c r="C281" s="29"/>
      <c r="D281" s="29"/>
      <c r="E281" s="29"/>
      <c r="F281" s="29"/>
      <c r="G281" s="30"/>
      <c r="H281" s="29"/>
      <c r="I281" s="29"/>
      <c r="J281" s="29"/>
      <c r="K281" s="29"/>
      <c r="L281" s="29"/>
      <c r="M281" s="31"/>
    </row>
    <row r="282" spans="1:13">
      <c r="A282" s="28" t="str">
        <f t="shared" si="5"/>
        <v/>
      </c>
      <c r="B282" s="29"/>
      <c r="C282" s="29"/>
      <c r="D282" s="29"/>
      <c r="E282" s="29"/>
      <c r="F282" s="29"/>
      <c r="G282" s="30"/>
      <c r="H282" s="29"/>
      <c r="I282" s="29"/>
      <c r="J282" s="29"/>
      <c r="K282" s="29"/>
      <c r="L282" s="29"/>
      <c r="M282" s="31"/>
    </row>
    <row r="283" spans="1:13">
      <c r="A283" s="28" t="str">
        <f t="shared" si="5"/>
        <v/>
      </c>
      <c r="B283" s="29"/>
      <c r="C283" s="29"/>
      <c r="D283" s="29"/>
      <c r="E283" s="29"/>
      <c r="F283" s="29"/>
      <c r="G283" s="30"/>
      <c r="H283" s="29"/>
      <c r="I283" s="29"/>
      <c r="J283" s="29"/>
      <c r="K283" s="29"/>
      <c r="L283" s="29"/>
      <c r="M283" s="31"/>
    </row>
    <row r="284" spans="1:13">
      <c r="A284" s="28" t="str">
        <f t="shared" si="5"/>
        <v/>
      </c>
      <c r="B284" s="29"/>
      <c r="C284" s="29"/>
      <c r="D284" s="29"/>
      <c r="E284" s="29"/>
      <c r="F284" s="29"/>
      <c r="G284" s="30"/>
      <c r="H284" s="29"/>
      <c r="I284" s="29"/>
      <c r="J284" s="29"/>
      <c r="K284" s="29"/>
      <c r="L284" s="29"/>
      <c r="M284" s="31"/>
    </row>
    <row r="285" spans="1:13">
      <c r="A285" s="28" t="str">
        <f t="shared" si="5"/>
        <v/>
      </c>
      <c r="B285" s="29"/>
      <c r="C285" s="29"/>
      <c r="D285" s="29"/>
      <c r="E285" s="29"/>
      <c r="F285" s="29"/>
      <c r="G285" s="30"/>
      <c r="H285" s="29"/>
      <c r="I285" s="29"/>
      <c r="J285" s="29"/>
      <c r="K285" s="29"/>
      <c r="L285" s="29"/>
      <c r="M285" s="31"/>
    </row>
    <row r="286" spans="1:13">
      <c r="A286" s="28" t="str">
        <f t="shared" si="5"/>
        <v/>
      </c>
      <c r="B286" s="29"/>
      <c r="C286" s="29"/>
      <c r="D286" s="29"/>
      <c r="E286" s="29"/>
      <c r="F286" s="29"/>
      <c r="G286" s="30"/>
      <c r="H286" s="29"/>
      <c r="I286" s="29"/>
      <c r="J286" s="29"/>
      <c r="K286" s="29"/>
      <c r="L286" s="29"/>
      <c r="M286" s="31"/>
    </row>
    <row r="287" spans="1:13">
      <c r="A287" s="28" t="str">
        <f t="shared" si="5"/>
        <v/>
      </c>
      <c r="B287" s="29"/>
      <c r="C287" s="29"/>
      <c r="D287" s="29"/>
      <c r="E287" s="29"/>
      <c r="F287" s="29"/>
      <c r="G287" s="30"/>
      <c r="H287" s="29"/>
      <c r="I287" s="29"/>
      <c r="J287" s="29"/>
      <c r="K287" s="29"/>
      <c r="L287" s="29"/>
      <c r="M287" s="31"/>
    </row>
    <row r="288" spans="1:13">
      <c r="A288" s="28" t="str">
        <f t="shared" si="5"/>
        <v/>
      </c>
      <c r="B288" s="29"/>
      <c r="C288" s="29"/>
      <c r="D288" s="29"/>
      <c r="E288" s="29"/>
      <c r="F288" s="29"/>
      <c r="G288" s="30"/>
      <c r="H288" s="29"/>
      <c r="I288" s="29"/>
      <c r="J288" s="29"/>
      <c r="K288" s="29"/>
      <c r="L288" s="29"/>
      <c r="M288" s="31"/>
    </row>
    <row r="289" spans="1:13">
      <c r="A289" s="28" t="str">
        <f t="shared" si="5"/>
        <v/>
      </c>
      <c r="B289" s="29"/>
      <c r="C289" s="29"/>
      <c r="D289" s="29"/>
      <c r="E289" s="29"/>
      <c r="F289" s="29"/>
      <c r="G289" s="30"/>
      <c r="H289" s="29"/>
      <c r="I289" s="29"/>
      <c r="J289" s="29"/>
      <c r="K289" s="29"/>
      <c r="L289" s="29"/>
      <c r="M289" s="31"/>
    </row>
    <row r="290" spans="1:13">
      <c r="A290" s="28" t="str">
        <f t="shared" si="5"/>
        <v/>
      </c>
      <c r="B290" s="29"/>
      <c r="C290" s="29"/>
      <c r="D290" s="29"/>
      <c r="E290" s="29"/>
      <c r="F290" s="29"/>
      <c r="G290" s="30"/>
      <c r="H290" s="29"/>
      <c r="I290" s="29"/>
      <c r="J290" s="29"/>
      <c r="K290" s="29"/>
      <c r="L290" s="29"/>
      <c r="M290" s="31"/>
    </row>
    <row r="291" spans="1:13">
      <c r="A291" s="28" t="str">
        <f t="shared" si="5"/>
        <v/>
      </c>
      <c r="B291" s="29"/>
      <c r="C291" s="29"/>
      <c r="D291" s="29"/>
      <c r="E291" s="29"/>
      <c r="F291" s="29"/>
      <c r="G291" s="30"/>
      <c r="H291" s="29"/>
      <c r="I291" s="29"/>
      <c r="J291" s="29"/>
      <c r="K291" s="29"/>
      <c r="L291" s="29"/>
      <c r="M291" s="31"/>
    </row>
    <row r="292" spans="1:13">
      <c r="A292" s="28" t="str">
        <f t="shared" si="5"/>
        <v/>
      </c>
      <c r="B292" s="29"/>
      <c r="C292" s="29"/>
      <c r="D292" s="29"/>
      <c r="E292" s="29"/>
      <c r="F292" s="29"/>
      <c r="G292" s="30"/>
      <c r="H292" s="29"/>
      <c r="I292" s="29"/>
      <c r="J292" s="29"/>
      <c r="K292" s="29"/>
      <c r="L292" s="29"/>
      <c r="M292" s="31"/>
    </row>
    <row r="293" spans="1:13">
      <c r="A293" s="28" t="str">
        <f t="shared" si="5"/>
        <v/>
      </c>
      <c r="B293" s="29"/>
      <c r="C293" s="29"/>
      <c r="D293" s="29"/>
      <c r="E293" s="29"/>
      <c r="F293" s="29"/>
      <c r="G293" s="30"/>
      <c r="H293" s="29"/>
      <c r="I293" s="29"/>
      <c r="J293" s="29"/>
      <c r="K293" s="29"/>
      <c r="L293" s="29"/>
      <c r="M293" s="31"/>
    </row>
    <row r="294" spans="1:13">
      <c r="A294" s="28" t="str">
        <f t="shared" si="5"/>
        <v/>
      </c>
      <c r="B294" s="29"/>
      <c r="C294" s="29"/>
      <c r="D294" s="29"/>
      <c r="E294" s="29"/>
      <c r="F294" s="29"/>
      <c r="G294" s="30"/>
      <c r="H294" s="29"/>
      <c r="I294" s="29"/>
      <c r="J294" s="29"/>
      <c r="K294" s="29"/>
      <c r="L294" s="29"/>
      <c r="M294" s="31"/>
    </row>
    <row r="295" spans="1:13">
      <c r="A295" s="28" t="str">
        <f t="shared" si="5"/>
        <v/>
      </c>
      <c r="B295" s="29"/>
      <c r="C295" s="29"/>
      <c r="D295" s="29"/>
      <c r="E295" s="29"/>
      <c r="F295" s="29"/>
      <c r="G295" s="30"/>
      <c r="H295" s="29"/>
      <c r="I295" s="29"/>
      <c r="J295" s="29"/>
      <c r="K295" s="29"/>
      <c r="L295" s="29"/>
      <c r="M295" s="31"/>
    </row>
    <row r="296" spans="1:13">
      <c r="A296" s="28" t="str">
        <f t="shared" si="5"/>
        <v/>
      </c>
      <c r="B296" s="29"/>
      <c r="C296" s="29"/>
      <c r="D296" s="29"/>
      <c r="E296" s="29"/>
      <c r="F296" s="29"/>
      <c r="G296" s="30"/>
      <c r="H296" s="29"/>
      <c r="I296" s="29"/>
      <c r="J296" s="29"/>
      <c r="K296" s="29"/>
      <c r="L296" s="29"/>
      <c r="M296" s="31"/>
    </row>
    <row r="297" spans="1:13">
      <c r="A297" s="28" t="str">
        <f t="shared" si="5"/>
        <v/>
      </c>
      <c r="B297" s="29"/>
      <c r="C297" s="29"/>
      <c r="D297" s="29"/>
      <c r="E297" s="29"/>
      <c r="F297" s="29"/>
      <c r="G297" s="30"/>
      <c r="H297" s="29"/>
      <c r="I297" s="29"/>
      <c r="J297" s="29"/>
      <c r="K297" s="29"/>
      <c r="L297" s="29"/>
      <c r="M297" s="31"/>
    </row>
    <row r="298" spans="1:13">
      <c r="A298" s="28" t="str">
        <f t="shared" si="5"/>
        <v/>
      </c>
      <c r="B298" s="29"/>
      <c r="C298" s="29"/>
      <c r="D298" s="29"/>
      <c r="E298" s="29"/>
      <c r="F298" s="29"/>
      <c r="G298" s="30"/>
      <c r="H298" s="29"/>
      <c r="I298" s="29"/>
      <c r="J298" s="29"/>
      <c r="K298" s="29"/>
      <c r="L298" s="29"/>
      <c r="M298" s="31"/>
    </row>
    <row r="299" spans="1:13">
      <c r="A299" s="28" t="str">
        <f t="shared" si="5"/>
        <v/>
      </c>
      <c r="B299" s="29"/>
      <c r="C299" s="29"/>
      <c r="D299" s="29"/>
      <c r="E299" s="29"/>
      <c r="F299" s="29"/>
      <c r="G299" s="30"/>
      <c r="H299" s="29"/>
      <c r="I299" s="29"/>
      <c r="J299" s="29"/>
      <c r="K299" s="29"/>
      <c r="L299" s="29"/>
      <c r="M299" s="31"/>
    </row>
    <row r="300" spans="1:13">
      <c r="A300" s="28" t="str">
        <f t="shared" si="5"/>
        <v/>
      </c>
      <c r="B300" s="29"/>
      <c r="C300" s="29"/>
      <c r="D300" s="29"/>
      <c r="E300" s="29"/>
      <c r="F300" s="29"/>
      <c r="G300" s="30"/>
      <c r="H300" s="29"/>
      <c r="I300" s="29"/>
      <c r="J300" s="29"/>
      <c r="K300" s="29"/>
      <c r="L300" s="29"/>
      <c r="M300" s="31"/>
    </row>
    <row r="301" spans="1:13">
      <c r="A301" s="28" t="str">
        <f t="shared" si="5"/>
        <v/>
      </c>
      <c r="B301" s="29"/>
      <c r="C301" s="29"/>
      <c r="D301" s="29"/>
      <c r="E301" s="29"/>
      <c r="F301" s="29"/>
      <c r="G301" s="30"/>
      <c r="H301" s="29"/>
      <c r="I301" s="29"/>
      <c r="J301" s="29"/>
      <c r="K301" s="29"/>
      <c r="L301" s="29"/>
      <c r="M301" s="31"/>
    </row>
    <row r="302" spans="1:13">
      <c r="A302" s="28" t="str">
        <f t="shared" si="5"/>
        <v/>
      </c>
      <c r="B302" s="29"/>
      <c r="C302" s="29"/>
      <c r="D302" s="29"/>
      <c r="E302" s="29"/>
      <c r="F302" s="29"/>
      <c r="G302" s="30"/>
      <c r="H302" s="29"/>
      <c r="I302" s="29"/>
      <c r="J302" s="29"/>
      <c r="K302" s="29"/>
      <c r="L302" s="29"/>
      <c r="M302" s="31"/>
    </row>
    <row r="303" spans="1:13">
      <c r="A303" s="28" t="str">
        <f t="shared" si="5"/>
        <v/>
      </c>
      <c r="B303" s="29"/>
      <c r="C303" s="29"/>
      <c r="D303" s="29"/>
      <c r="E303" s="29"/>
      <c r="F303" s="29"/>
      <c r="G303" s="30"/>
      <c r="H303" s="29"/>
      <c r="I303" s="29"/>
      <c r="J303" s="29"/>
      <c r="K303" s="29"/>
      <c r="L303" s="29"/>
      <c r="M303" s="31"/>
    </row>
    <row r="304" spans="1:13">
      <c r="A304" s="28" t="str">
        <f t="shared" si="5"/>
        <v/>
      </c>
      <c r="B304" s="29"/>
      <c r="C304" s="29"/>
      <c r="D304" s="29"/>
      <c r="E304" s="29"/>
      <c r="F304" s="29"/>
      <c r="G304" s="30"/>
      <c r="H304" s="29"/>
      <c r="I304" s="29"/>
      <c r="J304" s="29"/>
      <c r="K304" s="29"/>
      <c r="L304" s="29"/>
      <c r="M304" s="31"/>
    </row>
    <row r="305" spans="1:13">
      <c r="A305" s="28" t="str">
        <f t="shared" si="5"/>
        <v/>
      </c>
      <c r="B305" s="29"/>
      <c r="C305" s="29"/>
      <c r="D305" s="29"/>
      <c r="E305" s="29"/>
      <c r="F305" s="29"/>
      <c r="G305" s="30"/>
      <c r="H305" s="29"/>
      <c r="I305" s="29"/>
      <c r="J305" s="29"/>
      <c r="K305" s="29"/>
      <c r="L305" s="29"/>
      <c r="M305" s="31"/>
    </row>
    <row r="306" spans="1:13">
      <c r="A306" s="28" t="str">
        <f t="shared" si="5"/>
        <v/>
      </c>
      <c r="B306" s="29"/>
      <c r="C306" s="29"/>
      <c r="D306" s="29"/>
      <c r="E306" s="29"/>
      <c r="F306" s="29"/>
      <c r="G306" s="30"/>
      <c r="H306" s="29"/>
      <c r="I306" s="29"/>
      <c r="J306" s="29"/>
      <c r="K306" s="29"/>
      <c r="L306" s="29"/>
      <c r="M306" s="31"/>
    </row>
    <row r="307" spans="1:13">
      <c r="A307" s="28" t="str">
        <f t="shared" si="5"/>
        <v/>
      </c>
      <c r="B307" s="29"/>
      <c r="C307" s="29"/>
      <c r="D307" s="29"/>
      <c r="E307" s="29"/>
      <c r="F307" s="29"/>
      <c r="G307" s="30"/>
      <c r="H307" s="29"/>
      <c r="I307" s="29"/>
      <c r="J307" s="29"/>
      <c r="K307" s="29"/>
      <c r="L307" s="29"/>
      <c r="M307" s="31"/>
    </row>
    <row r="308" spans="1:13">
      <c r="A308" s="28" t="str">
        <f t="shared" si="5"/>
        <v/>
      </c>
      <c r="B308" s="29"/>
      <c r="C308" s="29"/>
      <c r="D308" s="29"/>
      <c r="E308" s="29"/>
      <c r="F308" s="29"/>
      <c r="G308" s="30"/>
      <c r="H308" s="29"/>
      <c r="I308" s="29"/>
      <c r="J308" s="29"/>
      <c r="K308" s="29"/>
      <c r="L308" s="29"/>
      <c r="M308" s="31"/>
    </row>
    <row r="309" spans="1:13">
      <c r="A309" s="28" t="str">
        <f t="shared" si="5"/>
        <v/>
      </c>
      <c r="B309" s="29"/>
      <c r="C309" s="29"/>
      <c r="D309" s="29"/>
      <c r="E309" s="29"/>
      <c r="F309" s="29"/>
      <c r="G309" s="30"/>
      <c r="H309" s="29"/>
      <c r="I309" s="29"/>
      <c r="J309" s="29"/>
      <c r="K309" s="29"/>
      <c r="L309" s="29"/>
      <c r="M309" s="31"/>
    </row>
    <row r="310" spans="1:13">
      <c r="A310" s="28" t="str">
        <f t="shared" si="5"/>
        <v/>
      </c>
      <c r="B310" s="29"/>
      <c r="C310" s="29"/>
      <c r="D310" s="29"/>
      <c r="E310" s="29"/>
      <c r="F310" s="29"/>
      <c r="G310" s="30"/>
      <c r="H310" s="29"/>
      <c r="I310" s="29"/>
      <c r="J310" s="29"/>
      <c r="K310" s="29"/>
      <c r="L310" s="29"/>
      <c r="M310" s="31"/>
    </row>
    <row r="311" spans="1:13">
      <c r="A311" s="28" t="str">
        <f t="shared" si="5"/>
        <v/>
      </c>
      <c r="B311" s="29"/>
      <c r="C311" s="29"/>
      <c r="D311" s="29"/>
      <c r="E311" s="29"/>
      <c r="F311" s="29"/>
      <c r="G311" s="30"/>
      <c r="H311" s="29"/>
      <c r="I311" s="29"/>
      <c r="J311" s="29"/>
      <c r="K311" s="29"/>
      <c r="L311" s="29"/>
      <c r="M311" s="31"/>
    </row>
    <row r="312" spans="1:13">
      <c r="A312" s="28" t="str">
        <f t="shared" si="5"/>
        <v/>
      </c>
      <c r="B312" s="29"/>
      <c r="C312" s="29"/>
      <c r="D312" s="29"/>
      <c r="E312" s="29"/>
      <c r="F312" s="29"/>
      <c r="G312" s="30"/>
      <c r="H312" s="29"/>
      <c r="I312" s="29"/>
      <c r="J312" s="29"/>
      <c r="K312" s="29"/>
      <c r="L312" s="29"/>
      <c r="M312" s="31"/>
    </row>
    <row r="313" spans="1:13">
      <c r="A313" s="28" t="str">
        <f t="shared" si="5"/>
        <v/>
      </c>
      <c r="B313" s="29"/>
      <c r="C313" s="29"/>
      <c r="D313" s="29"/>
      <c r="E313" s="29"/>
      <c r="F313" s="29"/>
      <c r="G313" s="30"/>
      <c r="H313" s="29"/>
      <c r="I313" s="29"/>
      <c r="J313" s="29"/>
      <c r="K313" s="29"/>
      <c r="L313" s="29"/>
      <c r="M313" s="31"/>
    </row>
    <row r="314" spans="1:13">
      <c r="A314" s="28" t="str">
        <f t="shared" si="5"/>
        <v/>
      </c>
      <c r="B314" s="29"/>
      <c r="C314" s="29"/>
      <c r="D314" s="29"/>
      <c r="E314" s="29"/>
      <c r="F314" s="29"/>
      <c r="G314" s="30"/>
      <c r="H314" s="29"/>
      <c r="I314" s="29"/>
      <c r="J314" s="29"/>
      <c r="K314" s="29"/>
      <c r="L314" s="29"/>
      <c r="M314" s="31"/>
    </row>
    <row r="315" spans="1:13">
      <c r="A315" s="28" t="str">
        <f t="shared" si="5"/>
        <v/>
      </c>
      <c r="B315" s="29"/>
      <c r="C315" s="29"/>
      <c r="D315" s="29"/>
      <c r="E315" s="29"/>
      <c r="F315" s="29"/>
      <c r="G315" s="30"/>
      <c r="H315" s="29"/>
      <c r="I315" s="29"/>
      <c r="J315" s="29"/>
      <c r="K315" s="29"/>
      <c r="L315" s="29"/>
      <c r="M315" s="31"/>
    </row>
    <row r="316" spans="1:13">
      <c r="A316" s="28" t="str">
        <f t="shared" si="5"/>
        <v/>
      </c>
      <c r="B316" s="29"/>
      <c r="C316" s="29"/>
      <c r="D316" s="29"/>
      <c r="E316" s="29"/>
      <c r="F316" s="29"/>
      <c r="G316" s="30"/>
      <c r="H316" s="29"/>
      <c r="I316" s="29"/>
      <c r="J316" s="29"/>
      <c r="K316" s="29"/>
      <c r="L316" s="29"/>
      <c r="M316" s="31"/>
    </row>
    <row r="317" spans="1:13">
      <c r="A317" s="28" t="str">
        <f t="shared" si="5"/>
        <v/>
      </c>
      <c r="B317" s="29"/>
      <c r="C317" s="29"/>
      <c r="D317" s="29"/>
      <c r="E317" s="29"/>
      <c r="F317" s="29"/>
      <c r="G317" s="30"/>
      <c r="H317" s="29"/>
      <c r="I317" s="29"/>
      <c r="J317" s="29"/>
      <c r="K317" s="29"/>
      <c r="L317" s="29"/>
      <c r="M317" s="31"/>
    </row>
    <row r="318" spans="1:13">
      <c r="A318" s="28" t="str">
        <f t="shared" si="5"/>
        <v/>
      </c>
      <c r="B318" s="29"/>
      <c r="C318" s="29"/>
      <c r="D318" s="29"/>
      <c r="E318" s="29"/>
      <c r="F318" s="29"/>
      <c r="G318" s="30"/>
      <c r="H318" s="29"/>
      <c r="I318" s="29"/>
      <c r="J318" s="29"/>
      <c r="K318" s="29"/>
      <c r="L318" s="29"/>
      <c r="M318" s="31"/>
    </row>
    <row r="319" spans="1:13">
      <c r="A319" s="28" t="str">
        <f t="shared" si="5"/>
        <v/>
      </c>
      <c r="B319" s="29"/>
      <c r="C319" s="29"/>
      <c r="D319" s="29"/>
      <c r="E319" s="29"/>
      <c r="F319" s="29"/>
      <c r="G319" s="30"/>
      <c r="H319" s="29"/>
      <c r="I319" s="29"/>
      <c r="J319" s="29"/>
      <c r="K319" s="29"/>
      <c r="L319" s="29"/>
      <c r="M319" s="31"/>
    </row>
    <row r="320" spans="1:13">
      <c r="A320" s="28" t="str">
        <f t="shared" si="5"/>
        <v/>
      </c>
      <c r="B320" s="29"/>
      <c r="C320" s="29"/>
      <c r="D320" s="29"/>
      <c r="E320" s="29"/>
      <c r="F320" s="29"/>
      <c r="G320" s="30"/>
      <c r="H320" s="29"/>
      <c r="I320" s="29"/>
      <c r="J320" s="29"/>
      <c r="K320" s="29"/>
      <c r="L320" s="29"/>
      <c r="M320" s="31"/>
    </row>
    <row r="321" spans="1:13">
      <c r="A321" s="28" t="str">
        <f t="shared" si="5"/>
        <v/>
      </c>
      <c r="B321" s="29"/>
      <c r="C321" s="29"/>
      <c r="D321" s="29"/>
      <c r="E321" s="29"/>
      <c r="F321" s="29"/>
      <c r="G321" s="30"/>
      <c r="H321" s="29"/>
      <c r="I321" s="29"/>
      <c r="J321" s="29"/>
      <c r="K321" s="29"/>
      <c r="L321" s="29"/>
      <c r="M321" s="31"/>
    </row>
    <row r="322" spans="1:13">
      <c r="A322" s="28" t="str">
        <f t="shared" si="5"/>
        <v/>
      </c>
      <c r="B322" s="29"/>
      <c r="C322" s="29"/>
      <c r="D322" s="29"/>
      <c r="E322" s="29"/>
      <c r="F322" s="29"/>
      <c r="G322" s="30"/>
      <c r="H322" s="29"/>
      <c r="I322" s="29"/>
      <c r="J322" s="29"/>
      <c r="K322" s="29"/>
      <c r="L322" s="29"/>
      <c r="M322" s="31"/>
    </row>
    <row r="323" spans="1:13">
      <c r="A323" s="28" t="str">
        <f t="shared" si="5"/>
        <v/>
      </c>
      <c r="B323" s="29"/>
      <c r="C323" s="29"/>
      <c r="D323" s="29"/>
      <c r="E323" s="29"/>
      <c r="F323" s="29"/>
      <c r="G323" s="30"/>
      <c r="H323" s="29"/>
      <c r="I323" s="29"/>
      <c r="J323" s="29"/>
      <c r="K323" s="29"/>
      <c r="L323" s="29"/>
      <c r="M323" s="31"/>
    </row>
    <row r="324" spans="1:13">
      <c r="A324" s="28" t="str">
        <f t="shared" si="5"/>
        <v/>
      </c>
      <c r="B324" s="29"/>
      <c r="C324" s="29"/>
      <c r="D324" s="29"/>
      <c r="E324" s="29"/>
      <c r="F324" s="29"/>
      <c r="G324" s="30"/>
      <c r="H324" s="29"/>
      <c r="I324" s="29"/>
      <c r="J324" s="29"/>
      <c r="K324" s="29"/>
      <c r="L324" s="29"/>
      <c r="M324" s="31"/>
    </row>
    <row r="325" spans="1:13">
      <c r="A325" s="28" t="str">
        <f t="shared" si="5"/>
        <v/>
      </c>
      <c r="B325" s="29"/>
      <c r="C325" s="29"/>
      <c r="D325" s="29"/>
      <c r="E325" s="29"/>
      <c r="F325" s="29"/>
      <c r="G325" s="30"/>
      <c r="H325" s="29"/>
      <c r="I325" s="29"/>
      <c r="J325" s="29"/>
      <c r="K325" s="29"/>
      <c r="L325" s="29"/>
      <c r="M325" s="31"/>
    </row>
    <row r="326" spans="1:13">
      <c r="A326" s="28" t="str">
        <f t="shared" si="5"/>
        <v/>
      </c>
      <c r="B326" s="29"/>
      <c r="C326" s="29"/>
      <c r="D326" s="29"/>
      <c r="E326" s="29"/>
      <c r="F326" s="29"/>
      <c r="G326" s="30"/>
      <c r="H326" s="29"/>
      <c r="I326" s="29"/>
      <c r="J326" s="29"/>
      <c r="K326" s="29"/>
      <c r="L326" s="29"/>
      <c r="M326" s="31"/>
    </row>
    <row r="327" spans="1:13">
      <c r="A327" s="28" t="str">
        <f t="shared" si="5"/>
        <v/>
      </c>
      <c r="B327" s="29"/>
      <c r="C327" s="29"/>
      <c r="D327" s="29"/>
      <c r="E327" s="29"/>
      <c r="F327" s="29"/>
      <c r="G327" s="30"/>
      <c r="H327" s="29"/>
      <c r="I327" s="29"/>
      <c r="J327" s="29"/>
      <c r="K327" s="29"/>
      <c r="L327" s="29"/>
      <c r="M327" s="31"/>
    </row>
    <row r="328" spans="1:13">
      <c r="A328" s="28" t="str">
        <f t="shared" si="5"/>
        <v/>
      </c>
      <c r="B328" s="29"/>
      <c r="C328" s="29"/>
      <c r="D328" s="29"/>
      <c r="E328" s="29"/>
      <c r="F328" s="29"/>
      <c r="G328" s="30"/>
      <c r="H328" s="29"/>
      <c r="I328" s="29"/>
      <c r="J328" s="29"/>
      <c r="K328" s="29"/>
      <c r="L328" s="29"/>
      <c r="M328" s="31"/>
    </row>
    <row r="329" spans="1:13">
      <c r="A329" s="28" t="str">
        <f t="shared" si="5"/>
        <v/>
      </c>
      <c r="B329" s="29"/>
      <c r="C329" s="29"/>
      <c r="D329" s="29"/>
      <c r="E329" s="29"/>
      <c r="F329" s="29"/>
      <c r="G329" s="30"/>
      <c r="H329" s="29"/>
      <c r="I329" s="29"/>
      <c r="J329" s="29"/>
      <c r="K329" s="29"/>
      <c r="L329" s="29"/>
      <c r="M329" s="31"/>
    </row>
    <row r="330" spans="1:13">
      <c r="A330" s="28" t="str">
        <f t="shared" si="5"/>
        <v/>
      </c>
      <c r="B330" s="29"/>
      <c r="C330" s="29"/>
      <c r="D330" s="29"/>
      <c r="E330" s="29"/>
      <c r="F330" s="29"/>
      <c r="G330" s="30"/>
      <c r="H330" s="29"/>
      <c r="I330" s="29"/>
      <c r="J330" s="29"/>
      <c r="K330" s="29"/>
      <c r="L330" s="29"/>
      <c r="M330" s="31"/>
    </row>
    <row r="331" spans="1:13">
      <c r="A331" s="28" t="str">
        <f t="shared" si="5"/>
        <v/>
      </c>
      <c r="B331" s="29"/>
      <c r="C331" s="29"/>
      <c r="D331" s="29"/>
      <c r="E331" s="29"/>
      <c r="F331" s="29"/>
      <c r="G331" s="30"/>
      <c r="H331" s="29"/>
      <c r="I331" s="29"/>
      <c r="J331" s="29"/>
      <c r="K331" s="29"/>
      <c r="L331" s="29"/>
      <c r="M331" s="31"/>
    </row>
    <row r="332" spans="1:13">
      <c r="A332" s="28" t="str">
        <f t="shared" si="5"/>
        <v/>
      </c>
      <c r="B332" s="29"/>
      <c r="C332" s="29"/>
      <c r="D332" s="29"/>
      <c r="E332" s="29"/>
      <c r="F332" s="29"/>
      <c r="G332" s="30"/>
      <c r="H332" s="29"/>
      <c r="I332" s="29"/>
      <c r="J332" s="29"/>
      <c r="K332" s="29"/>
      <c r="L332" s="29"/>
      <c r="M332" s="31"/>
    </row>
    <row r="333" spans="1:13">
      <c r="A333" s="28" t="str">
        <f t="shared" si="5"/>
        <v/>
      </c>
      <c r="B333" s="29"/>
      <c r="C333" s="29"/>
      <c r="D333" s="29"/>
      <c r="E333" s="29"/>
      <c r="F333" s="29"/>
      <c r="G333" s="30"/>
      <c r="H333" s="29"/>
      <c r="I333" s="29"/>
      <c r="J333" s="29"/>
      <c r="K333" s="29"/>
      <c r="L333" s="29"/>
      <c r="M333" s="31"/>
    </row>
    <row r="334" spans="1:13">
      <c r="A334" s="28" t="str">
        <f t="shared" si="5"/>
        <v/>
      </c>
      <c r="B334" s="29"/>
      <c r="C334" s="29"/>
      <c r="D334" s="29"/>
      <c r="E334" s="29"/>
      <c r="F334" s="29"/>
      <c r="G334" s="30"/>
      <c r="H334" s="29"/>
      <c r="I334" s="29"/>
      <c r="J334" s="29"/>
      <c r="K334" s="29"/>
      <c r="L334" s="29"/>
      <c r="M334" s="31"/>
    </row>
    <row r="335" spans="1:13">
      <c r="A335" s="28" t="str">
        <f t="shared" si="5"/>
        <v/>
      </c>
      <c r="B335" s="29"/>
      <c r="C335" s="29"/>
      <c r="D335" s="29"/>
      <c r="E335" s="29"/>
      <c r="F335" s="29"/>
      <c r="G335" s="30"/>
      <c r="H335" s="29"/>
      <c r="I335" s="29"/>
      <c r="J335" s="29"/>
      <c r="K335" s="29"/>
      <c r="L335" s="29"/>
      <c r="M335" s="31"/>
    </row>
    <row r="336" spans="1:13">
      <c r="A336" s="28" t="str">
        <f t="shared" si="5"/>
        <v/>
      </c>
      <c r="B336" s="29"/>
      <c r="C336" s="29"/>
      <c r="D336" s="29"/>
      <c r="E336" s="29"/>
      <c r="F336" s="29"/>
      <c r="G336" s="30"/>
      <c r="H336" s="29"/>
      <c r="I336" s="29"/>
      <c r="J336" s="29"/>
      <c r="K336" s="29"/>
      <c r="L336" s="29"/>
      <c r="M336" s="31"/>
    </row>
    <row r="337" spans="1:13">
      <c r="A337" s="28" t="str">
        <f t="shared" si="5"/>
        <v/>
      </c>
      <c r="B337" s="29"/>
      <c r="C337" s="29"/>
      <c r="D337" s="29"/>
      <c r="E337" s="29"/>
      <c r="F337" s="29"/>
      <c r="G337" s="30"/>
      <c r="H337" s="29"/>
      <c r="I337" s="29"/>
      <c r="J337" s="29"/>
      <c r="K337" s="29"/>
      <c r="L337" s="29"/>
      <c r="M337" s="31"/>
    </row>
    <row r="338" spans="1:13">
      <c r="A338" s="28" t="str">
        <f t="shared" si="5"/>
        <v/>
      </c>
      <c r="B338" s="29"/>
      <c r="C338" s="29"/>
      <c r="D338" s="29"/>
      <c r="E338" s="29"/>
      <c r="F338" s="29"/>
      <c r="G338" s="30"/>
      <c r="H338" s="29"/>
      <c r="I338" s="29"/>
      <c r="J338" s="29"/>
      <c r="K338" s="29"/>
      <c r="L338" s="29"/>
      <c r="M338" s="31"/>
    </row>
    <row r="339" spans="1:13">
      <c r="A339" s="28" t="str">
        <f t="shared" si="5"/>
        <v/>
      </c>
      <c r="B339" s="29"/>
      <c r="C339" s="29"/>
      <c r="D339" s="29"/>
      <c r="E339" s="29"/>
      <c r="F339" s="29"/>
      <c r="G339" s="30"/>
      <c r="H339" s="29"/>
      <c r="I339" s="29"/>
      <c r="J339" s="29"/>
      <c r="K339" s="29"/>
      <c r="L339" s="29"/>
      <c r="M339" s="31"/>
    </row>
    <row r="340" spans="1:13">
      <c r="A340" s="28" t="str">
        <f t="shared" si="5"/>
        <v/>
      </c>
      <c r="B340" s="29"/>
      <c r="C340" s="29"/>
      <c r="D340" s="29"/>
      <c r="E340" s="29"/>
      <c r="F340" s="29"/>
      <c r="G340" s="30"/>
      <c r="H340" s="29"/>
      <c r="I340" s="29"/>
      <c r="J340" s="29"/>
      <c r="K340" s="29"/>
      <c r="L340" s="29"/>
      <c r="M340" s="31"/>
    </row>
    <row r="341" spans="1:13">
      <c r="A341" s="28" t="str">
        <f t="shared" ref="A341:A404" si="6">IF(D341="","",ROW()-4)</f>
        <v/>
      </c>
      <c r="B341" s="29"/>
      <c r="C341" s="29"/>
      <c r="D341" s="29"/>
      <c r="E341" s="29"/>
      <c r="F341" s="29"/>
      <c r="G341" s="30"/>
      <c r="H341" s="29"/>
      <c r="I341" s="29"/>
      <c r="J341" s="29"/>
      <c r="K341" s="29"/>
      <c r="L341" s="29"/>
      <c r="M341" s="31"/>
    </row>
    <row r="342" spans="1:13">
      <c r="A342" s="28" t="str">
        <f t="shared" si="6"/>
        <v/>
      </c>
      <c r="B342" s="29"/>
      <c r="C342" s="29"/>
      <c r="D342" s="29"/>
      <c r="E342" s="29"/>
      <c r="F342" s="29"/>
      <c r="G342" s="30"/>
      <c r="H342" s="29"/>
      <c r="I342" s="29"/>
      <c r="J342" s="29"/>
      <c r="K342" s="29"/>
      <c r="L342" s="29"/>
      <c r="M342" s="31"/>
    </row>
    <row r="343" spans="1:13">
      <c r="A343" s="28" t="str">
        <f t="shared" si="6"/>
        <v/>
      </c>
      <c r="B343" s="29"/>
      <c r="C343" s="29"/>
      <c r="D343" s="29"/>
      <c r="E343" s="29"/>
      <c r="F343" s="29"/>
      <c r="G343" s="30"/>
      <c r="H343" s="29"/>
      <c r="I343" s="29"/>
      <c r="J343" s="29"/>
      <c r="K343" s="29"/>
      <c r="L343" s="29"/>
      <c r="M343" s="31"/>
    </row>
    <row r="344" spans="1:13">
      <c r="A344" s="28" t="str">
        <f t="shared" si="6"/>
        <v/>
      </c>
      <c r="B344" s="29"/>
      <c r="C344" s="29"/>
      <c r="D344" s="29"/>
      <c r="E344" s="29"/>
      <c r="F344" s="29"/>
      <c r="G344" s="30"/>
      <c r="H344" s="29"/>
      <c r="I344" s="29"/>
      <c r="J344" s="29"/>
      <c r="K344" s="29"/>
      <c r="L344" s="29"/>
      <c r="M344" s="31"/>
    </row>
    <row r="345" spans="1:13">
      <c r="A345" s="28" t="str">
        <f t="shared" si="6"/>
        <v/>
      </c>
      <c r="B345" s="29"/>
      <c r="C345" s="29"/>
      <c r="D345" s="29"/>
      <c r="E345" s="29"/>
      <c r="F345" s="29"/>
      <c r="G345" s="30"/>
      <c r="H345" s="29"/>
      <c r="I345" s="29"/>
      <c r="J345" s="29"/>
      <c r="K345" s="29"/>
      <c r="L345" s="29"/>
      <c r="M345" s="31"/>
    </row>
    <row r="346" spans="1:13">
      <c r="A346" s="28" t="str">
        <f t="shared" si="6"/>
        <v/>
      </c>
      <c r="B346" s="29"/>
      <c r="C346" s="29"/>
      <c r="D346" s="29"/>
      <c r="E346" s="29"/>
      <c r="F346" s="29"/>
      <c r="G346" s="30"/>
      <c r="H346" s="29"/>
      <c r="I346" s="29"/>
      <c r="J346" s="29"/>
      <c r="K346" s="29"/>
      <c r="L346" s="29"/>
      <c r="M346" s="31"/>
    </row>
    <row r="347" spans="1:13">
      <c r="A347" s="28" t="str">
        <f t="shared" si="6"/>
        <v/>
      </c>
      <c r="B347" s="29"/>
      <c r="C347" s="29"/>
      <c r="D347" s="29"/>
      <c r="E347" s="29"/>
      <c r="F347" s="29"/>
      <c r="G347" s="30"/>
      <c r="H347" s="29"/>
      <c r="I347" s="29"/>
      <c r="J347" s="29"/>
      <c r="K347" s="29"/>
      <c r="L347" s="29"/>
      <c r="M347" s="31"/>
    </row>
    <row r="348" spans="1:13">
      <c r="A348" s="28" t="str">
        <f t="shared" si="6"/>
        <v/>
      </c>
      <c r="B348" s="29"/>
      <c r="C348" s="29"/>
      <c r="D348" s="29"/>
      <c r="E348" s="29"/>
      <c r="F348" s="29"/>
      <c r="G348" s="30"/>
      <c r="H348" s="29"/>
      <c r="I348" s="29"/>
      <c r="J348" s="29"/>
      <c r="K348" s="29"/>
      <c r="L348" s="29"/>
      <c r="M348" s="31"/>
    </row>
    <row r="349" spans="1:13">
      <c r="A349" s="28" t="str">
        <f t="shared" si="6"/>
        <v/>
      </c>
      <c r="B349" s="29"/>
      <c r="C349" s="29"/>
      <c r="D349" s="29"/>
      <c r="E349" s="29"/>
      <c r="F349" s="29"/>
      <c r="G349" s="30"/>
      <c r="H349" s="29"/>
      <c r="I349" s="29"/>
      <c r="J349" s="29"/>
      <c r="K349" s="29"/>
      <c r="L349" s="29"/>
      <c r="M349" s="31"/>
    </row>
    <row r="350" spans="1:13">
      <c r="A350" s="28" t="str">
        <f t="shared" si="6"/>
        <v/>
      </c>
      <c r="B350" s="29"/>
      <c r="C350" s="29"/>
      <c r="D350" s="29"/>
      <c r="E350" s="29"/>
      <c r="F350" s="29"/>
      <c r="G350" s="30"/>
      <c r="H350" s="29"/>
      <c r="I350" s="29"/>
      <c r="J350" s="29"/>
      <c r="K350" s="29"/>
      <c r="L350" s="29"/>
      <c r="M350" s="31"/>
    </row>
    <row r="351" spans="1:13">
      <c r="A351" s="28" t="str">
        <f t="shared" si="6"/>
        <v/>
      </c>
      <c r="B351" s="29"/>
      <c r="C351" s="29"/>
      <c r="D351" s="29"/>
      <c r="E351" s="29"/>
      <c r="F351" s="29"/>
      <c r="G351" s="30"/>
      <c r="H351" s="29"/>
      <c r="I351" s="29"/>
      <c r="J351" s="29"/>
      <c r="K351" s="29"/>
      <c r="L351" s="29"/>
      <c r="M351" s="31"/>
    </row>
    <row r="352" spans="1:13">
      <c r="A352" s="28" t="str">
        <f t="shared" si="6"/>
        <v/>
      </c>
      <c r="B352" s="29"/>
      <c r="C352" s="29"/>
      <c r="D352" s="29"/>
      <c r="E352" s="29"/>
      <c r="F352" s="29"/>
      <c r="G352" s="30"/>
      <c r="H352" s="29"/>
      <c r="I352" s="29"/>
      <c r="J352" s="29"/>
      <c r="K352" s="29"/>
      <c r="L352" s="29"/>
      <c r="M352" s="31"/>
    </row>
    <row r="353" spans="1:13">
      <c r="A353" s="28" t="str">
        <f t="shared" si="6"/>
        <v/>
      </c>
      <c r="B353" s="29"/>
      <c r="C353" s="29"/>
      <c r="D353" s="29"/>
      <c r="E353" s="29"/>
      <c r="F353" s="29"/>
      <c r="G353" s="30"/>
      <c r="H353" s="29"/>
      <c r="I353" s="29"/>
      <c r="J353" s="29"/>
      <c r="K353" s="29"/>
      <c r="L353" s="29"/>
      <c r="M353" s="31"/>
    </row>
    <row r="354" spans="1:13">
      <c r="A354" s="28" t="str">
        <f t="shared" si="6"/>
        <v/>
      </c>
      <c r="B354" s="29"/>
      <c r="C354" s="29"/>
      <c r="D354" s="29"/>
      <c r="E354" s="29"/>
      <c r="F354" s="29"/>
      <c r="G354" s="30"/>
      <c r="H354" s="29"/>
      <c r="I354" s="29"/>
      <c r="J354" s="29"/>
      <c r="K354" s="29"/>
      <c r="L354" s="29"/>
      <c r="M354" s="31"/>
    </row>
    <row r="355" spans="1:13">
      <c r="A355" s="28" t="str">
        <f t="shared" si="6"/>
        <v/>
      </c>
      <c r="B355" s="29"/>
      <c r="C355" s="29"/>
      <c r="D355" s="29"/>
      <c r="E355" s="29"/>
      <c r="F355" s="29"/>
      <c r="G355" s="30"/>
      <c r="H355" s="29"/>
      <c r="I355" s="29"/>
      <c r="J355" s="29"/>
      <c r="K355" s="29"/>
      <c r="L355" s="29"/>
      <c r="M355" s="31"/>
    </row>
    <row r="356" spans="1:13">
      <c r="A356" s="28" t="str">
        <f t="shared" si="6"/>
        <v/>
      </c>
      <c r="B356" s="29"/>
      <c r="C356" s="29"/>
      <c r="D356" s="29"/>
      <c r="E356" s="29"/>
      <c r="F356" s="29"/>
      <c r="G356" s="30"/>
      <c r="H356" s="29"/>
      <c r="I356" s="29"/>
      <c r="J356" s="29"/>
      <c r="K356" s="29"/>
      <c r="L356" s="29"/>
      <c r="M356" s="31"/>
    </row>
    <row r="357" spans="1:13">
      <c r="A357" s="28" t="str">
        <f t="shared" si="6"/>
        <v/>
      </c>
      <c r="B357" s="29"/>
      <c r="C357" s="29"/>
      <c r="D357" s="29"/>
      <c r="E357" s="29"/>
      <c r="F357" s="29"/>
      <c r="G357" s="30"/>
      <c r="H357" s="29"/>
      <c r="I357" s="29"/>
      <c r="J357" s="29"/>
      <c r="K357" s="29"/>
      <c r="L357" s="29"/>
      <c r="M357" s="31"/>
    </row>
    <row r="358" spans="1:13">
      <c r="A358" s="28" t="str">
        <f t="shared" si="6"/>
        <v/>
      </c>
      <c r="B358" s="29"/>
      <c r="C358" s="29"/>
      <c r="D358" s="29"/>
      <c r="E358" s="29"/>
      <c r="F358" s="29"/>
      <c r="G358" s="30"/>
      <c r="H358" s="29"/>
      <c r="I358" s="29"/>
      <c r="J358" s="29"/>
      <c r="K358" s="29"/>
      <c r="L358" s="29"/>
      <c r="M358" s="31"/>
    </row>
    <row r="359" spans="1:13">
      <c r="A359" s="28" t="str">
        <f t="shared" si="6"/>
        <v/>
      </c>
      <c r="B359" s="29"/>
      <c r="C359" s="29"/>
      <c r="D359" s="29"/>
      <c r="E359" s="29"/>
      <c r="F359" s="29"/>
      <c r="G359" s="30"/>
      <c r="H359" s="29"/>
      <c r="I359" s="29"/>
      <c r="J359" s="29"/>
      <c r="K359" s="29"/>
      <c r="L359" s="29"/>
      <c r="M359" s="31"/>
    </row>
    <row r="360" spans="1:13">
      <c r="A360" s="28" t="str">
        <f t="shared" si="6"/>
        <v/>
      </c>
      <c r="B360" s="29"/>
      <c r="C360" s="29"/>
      <c r="D360" s="29"/>
      <c r="E360" s="29"/>
      <c r="F360" s="29"/>
      <c r="G360" s="30"/>
      <c r="H360" s="29"/>
      <c r="I360" s="29"/>
      <c r="J360" s="29"/>
      <c r="K360" s="29"/>
      <c r="L360" s="29"/>
      <c r="M360" s="31"/>
    </row>
    <row r="361" spans="1:13">
      <c r="A361" s="28" t="str">
        <f t="shared" si="6"/>
        <v/>
      </c>
      <c r="B361" s="29"/>
      <c r="C361" s="29"/>
      <c r="D361" s="29"/>
      <c r="E361" s="29"/>
      <c r="F361" s="29"/>
      <c r="G361" s="30"/>
      <c r="H361" s="29"/>
      <c r="I361" s="29"/>
      <c r="J361" s="29"/>
      <c r="K361" s="29"/>
      <c r="L361" s="29"/>
      <c r="M361" s="31"/>
    </row>
    <row r="362" spans="1:13">
      <c r="A362" s="28" t="str">
        <f t="shared" si="6"/>
        <v/>
      </c>
      <c r="B362" s="29"/>
      <c r="C362" s="29"/>
      <c r="D362" s="29"/>
      <c r="E362" s="29"/>
      <c r="F362" s="29"/>
      <c r="G362" s="30"/>
      <c r="H362" s="29"/>
      <c r="I362" s="29"/>
      <c r="J362" s="29"/>
      <c r="K362" s="29"/>
      <c r="L362" s="29"/>
      <c r="M362" s="31"/>
    </row>
    <row r="363" spans="1:13">
      <c r="A363" s="28" t="str">
        <f t="shared" si="6"/>
        <v/>
      </c>
      <c r="B363" s="29"/>
      <c r="C363" s="29"/>
      <c r="D363" s="29"/>
      <c r="E363" s="29"/>
      <c r="F363" s="29"/>
      <c r="G363" s="30"/>
      <c r="H363" s="29"/>
      <c r="I363" s="29"/>
      <c r="J363" s="29"/>
      <c r="K363" s="29"/>
      <c r="L363" s="29"/>
      <c r="M363" s="31"/>
    </row>
    <row r="364" spans="1:13">
      <c r="A364" s="28" t="str">
        <f t="shared" si="6"/>
        <v/>
      </c>
      <c r="B364" s="29"/>
      <c r="C364" s="29"/>
      <c r="D364" s="29"/>
      <c r="E364" s="29"/>
      <c r="F364" s="29"/>
      <c r="G364" s="30"/>
      <c r="H364" s="29"/>
      <c r="I364" s="29"/>
      <c r="J364" s="29"/>
      <c r="K364" s="29"/>
      <c r="L364" s="29"/>
      <c r="M364" s="31"/>
    </row>
    <row r="365" spans="1:13">
      <c r="A365" s="28" t="str">
        <f t="shared" si="6"/>
        <v/>
      </c>
      <c r="B365" s="29"/>
      <c r="C365" s="29"/>
      <c r="D365" s="29"/>
      <c r="E365" s="29"/>
      <c r="F365" s="29"/>
      <c r="G365" s="30"/>
      <c r="H365" s="29"/>
      <c r="I365" s="29"/>
      <c r="J365" s="29"/>
      <c r="K365" s="29"/>
      <c r="L365" s="29"/>
      <c r="M365" s="31"/>
    </row>
    <row r="366" spans="1:13">
      <c r="A366" s="28" t="str">
        <f t="shared" si="6"/>
        <v/>
      </c>
      <c r="B366" s="29"/>
      <c r="C366" s="29"/>
      <c r="D366" s="29"/>
      <c r="E366" s="29"/>
      <c r="F366" s="29"/>
      <c r="G366" s="30"/>
      <c r="H366" s="29"/>
      <c r="I366" s="29"/>
      <c r="J366" s="29"/>
      <c r="K366" s="29"/>
      <c r="L366" s="29"/>
      <c r="M366" s="31"/>
    </row>
    <row r="367" spans="1:13">
      <c r="A367" s="28" t="str">
        <f t="shared" si="6"/>
        <v/>
      </c>
      <c r="B367" s="29"/>
      <c r="C367" s="29"/>
      <c r="D367" s="29"/>
      <c r="E367" s="29"/>
      <c r="F367" s="29"/>
      <c r="G367" s="30"/>
      <c r="H367" s="29"/>
      <c r="I367" s="29"/>
      <c r="J367" s="29"/>
      <c r="K367" s="29"/>
      <c r="L367" s="29"/>
      <c r="M367" s="31"/>
    </row>
    <row r="368" spans="1:13">
      <c r="A368" s="28" t="str">
        <f t="shared" si="6"/>
        <v/>
      </c>
      <c r="B368" s="29"/>
      <c r="C368" s="29"/>
      <c r="D368" s="29"/>
      <c r="E368" s="29"/>
      <c r="F368" s="29"/>
      <c r="G368" s="30"/>
      <c r="H368" s="29"/>
      <c r="I368" s="29"/>
      <c r="J368" s="29"/>
      <c r="K368" s="29"/>
      <c r="L368" s="29"/>
      <c r="M368" s="31"/>
    </row>
    <row r="369" spans="1:13">
      <c r="A369" s="28" t="str">
        <f t="shared" si="6"/>
        <v/>
      </c>
      <c r="B369" s="29"/>
      <c r="C369" s="29"/>
      <c r="D369" s="29"/>
      <c r="E369" s="29"/>
      <c r="F369" s="29"/>
      <c r="G369" s="30"/>
      <c r="H369" s="29"/>
      <c r="I369" s="29"/>
      <c r="J369" s="29"/>
      <c r="K369" s="29"/>
      <c r="L369" s="29"/>
      <c r="M369" s="31"/>
    </row>
    <row r="370" spans="1:13">
      <c r="A370" s="28" t="str">
        <f t="shared" si="6"/>
        <v/>
      </c>
      <c r="B370" s="29"/>
      <c r="C370" s="29"/>
      <c r="D370" s="29"/>
      <c r="E370" s="29"/>
      <c r="F370" s="29"/>
      <c r="G370" s="30"/>
      <c r="H370" s="29"/>
      <c r="I370" s="29"/>
      <c r="J370" s="29"/>
      <c r="K370" s="29"/>
      <c r="L370" s="29"/>
      <c r="M370" s="31"/>
    </row>
    <row r="371" spans="1:13">
      <c r="A371" s="28" t="str">
        <f t="shared" si="6"/>
        <v/>
      </c>
      <c r="B371" s="29"/>
      <c r="C371" s="29"/>
      <c r="D371" s="29"/>
      <c r="E371" s="29"/>
      <c r="F371" s="29"/>
      <c r="G371" s="30"/>
      <c r="H371" s="29"/>
      <c r="I371" s="29"/>
      <c r="J371" s="29"/>
      <c r="K371" s="29"/>
      <c r="L371" s="29"/>
      <c r="M371" s="31"/>
    </row>
    <row r="372" spans="1:13">
      <c r="A372" s="28" t="str">
        <f t="shared" si="6"/>
        <v/>
      </c>
      <c r="B372" s="29"/>
      <c r="C372" s="29"/>
      <c r="D372" s="29"/>
      <c r="E372" s="29"/>
      <c r="F372" s="29"/>
      <c r="G372" s="30"/>
      <c r="H372" s="29"/>
      <c r="I372" s="29"/>
      <c r="J372" s="29"/>
      <c r="K372" s="29"/>
      <c r="L372" s="29"/>
      <c r="M372" s="31"/>
    </row>
    <row r="373" spans="1:13">
      <c r="A373" s="28" t="str">
        <f t="shared" si="6"/>
        <v/>
      </c>
      <c r="B373" s="29"/>
      <c r="C373" s="29"/>
      <c r="D373" s="29"/>
      <c r="E373" s="29"/>
      <c r="F373" s="29"/>
      <c r="G373" s="30"/>
      <c r="H373" s="29"/>
      <c r="I373" s="29"/>
      <c r="J373" s="29"/>
      <c r="K373" s="29"/>
      <c r="L373" s="29"/>
      <c r="M373" s="31"/>
    </row>
    <row r="374" spans="1:13">
      <c r="A374" s="28" t="str">
        <f t="shared" si="6"/>
        <v/>
      </c>
      <c r="B374" s="29"/>
      <c r="C374" s="29"/>
      <c r="D374" s="29"/>
      <c r="E374" s="29"/>
      <c r="F374" s="29"/>
      <c r="G374" s="30"/>
      <c r="H374" s="29"/>
      <c r="I374" s="29"/>
      <c r="J374" s="29"/>
      <c r="K374" s="29"/>
      <c r="L374" s="29"/>
      <c r="M374" s="31"/>
    </row>
    <row r="375" spans="1:13">
      <c r="A375" s="28" t="str">
        <f t="shared" si="6"/>
        <v/>
      </c>
      <c r="B375" s="29"/>
      <c r="C375" s="29"/>
      <c r="D375" s="29"/>
      <c r="E375" s="29"/>
      <c r="F375" s="29"/>
      <c r="G375" s="30"/>
      <c r="H375" s="29"/>
      <c r="I375" s="29"/>
      <c r="J375" s="29"/>
      <c r="K375" s="29"/>
      <c r="L375" s="29"/>
      <c r="M375" s="31"/>
    </row>
    <row r="376" spans="1:13">
      <c r="A376" s="28" t="str">
        <f t="shared" si="6"/>
        <v/>
      </c>
      <c r="B376" s="29"/>
      <c r="C376" s="29"/>
      <c r="D376" s="29"/>
      <c r="E376" s="29"/>
      <c r="F376" s="29"/>
      <c r="G376" s="30"/>
      <c r="H376" s="29"/>
      <c r="I376" s="29"/>
      <c r="J376" s="29"/>
      <c r="K376" s="29"/>
      <c r="L376" s="29"/>
      <c r="M376" s="31"/>
    </row>
    <row r="377" spans="1:13">
      <c r="A377" s="28" t="str">
        <f t="shared" si="6"/>
        <v/>
      </c>
      <c r="B377" s="29"/>
      <c r="C377" s="29"/>
      <c r="D377" s="29"/>
      <c r="E377" s="29"/>
      <c r="F377" s="29"/>
      <c r="G377" s="30"/>
      <c r="H377" s="29"/>
      <c r="I377" s="29"/>
      <c r="J377" s="29"/>
      <c r="K377" s="29"/>
      <c r="L377" s="29"/>
      <c r="M377" s="31"/>
    </row>
    <row r="378" spans="1:13">
      <c r="A378" s="28" t="str">
        <f t="shared" si="6"/>
        <v/>
      </c>
      <c r="B378" s="29"/>
      <c r="C378" s="29"/>
      <c r="D378" s="29"/>
      <c r="E378" s="29"/>
      <c r="F378" s="29"/>
      <c r="G378" s="30"/>
      <c r="H378" s="29"/>
      <c r="I378" s="29"/>
      <c r="J378" s="29"/>
      <c r="K378" s="29"/>
      <c r="L378" s="29"/>
      <c r="M378" s="31"/>
    </row>
    <row r="379" spans="1:13">
      <c r="A379" s="28" t="str">
        <f t="shared" si="6"/>
        <v/>
      </c>
      <c r="B379" s="29"/>
      <c r="C379" s="29"/>
      <c r="D379" s="29"/>
      <c r="E379" s="29"/>
      <c r="F379" s="29"/>
      <c r="G379" s="30"/>
      <c r="H379" s="29"/>
      <c r="I379" s="29"/>
      <c r="J379" s="29"/>
      <c r="K379" s="29"/>
      <c r="L379" s="29"/>
      <c r="M379" s="31"/>
    </row>
    <row r="380" spans="1:13">
      <c r="A380" s="28" t="str">
        <f t="shared" si="6"/>
        <v/>
      </c>
      <c r="B380" s="29"/>
      <c r="C380" s="29"/>
      <c r="D380" s="29"/>
      <c r="E380" s="29"/>
      <c r="F380" s="29"/>
      <c r="G380" s="30"/>
      <c r="H380" s="29"/>
      <c r="I380" s="29"/>
      <c r="J380" s="29"/>
      <c r="K380" s="29"/>
      <c r="L380" s="29"/>
      <c r="M380" s="31"/>
    </row>
    <row r="381" spans="1:13">
      <c r="A381" s="28" t="str">
        <f t="shared" si="6"/>
        <v/>
      </c>
      <c r="B381" s="29"/>
      <c r="C381" s="29"/>
      <c r="D381" s="29"/>
      <c r="E381" s="29"/>
      <c r="F381" s="29"/>
      <c r="G381" s="30"/>
      <c r="H381" s="29"/>
      <c r="I381" s="29"/>
      <c r="J381" s="29"/>
      <c r="K381" s="29"/>
      <c r="L381" s="29"/>
      <c r="M381" s="31"/>
    </row>
    <row r="382" spans="1:13">
      <c r="A382" s="28" t="str">
        <f t="shared" si="6"/>
        <v/>
      </c>
      <c r="B382" s="29"/>
      <c r="C382" s="29"/>
      <c r="D382" s="29"/>
      <c r="E382" s="29"/>
      <c r="F382" s="29"/>
      <c r="G382" s="30"/>
      <c r="H382" s="29"/>
      <c r="I382" s="29"/>
      <c r="J382" s="29"/>
      <c r="K382" s="29"/>
      <c r="L382" s="29"/>
      <c r="M382" s="31"/>
    </row>
    <row r="383" spans="1:13">
      <c r="A383" s="28" t="str">
        <f t="shared" si="6"/>
        <v/>
      </c>
      <c r="B383" s="29"/>
      <c r="C383" s="29"/>
      <c r="D383" s="29"/>
      <c r="E383" s="29"/>
      <c r="F383" s="29"/>
      <c r="G383" s="30"/>
      <c r="H383" s="29"/>
      <c r="I383" s="29"/>
      <c r="J383" s="29"/>
      <c r="K383" s="29"/>
      <c r="L383" s="29"/>
      <c r="M383" s="31"/>
    </row>
    <row r="384" spans="1:13">
      <c r="A384" s="28" t="str">
        <f t="shared" si="6"/>
        <v/>
      </c>
      <c r="B384" s="29"/>
      <c r="C384" s="29"/>
      <c r="D384" s="29"/>
      <c r="E384" s="29"/>
      <c r="F384" s="29"/>
      <c r="G384" s="30"/>
      <c r="H384" s="29"/>
      <c r="I384" s="29"/>
      <c r="J384" s="29"/>
      <c r="K384" s="29"/>
      <c r="L384" s="29"/>
      <c r="M384" s="31"/>
    </row>
    <row r="385" spans="1:13">
      <c r="A385" s="28" t="str">
        <f t="shared" si="6"/>
        <v/>
      </c>
      <c r="B385" s="29"/>
      <c r="C385" s="29"/>
      <c r="D385" s="29"/>
      <c r="E385" s="29"/>
      <c r="F385" s="29"/>
      <c r="G385" s="30"/>
      <c r="H385" s="29"/>
      <c r="I385" s="29"/>
      <c r="J385" s="29"/>
      <c r="K385" s="29"/>
      <c r="L385" s="29"/>
      <c r="M385" s="31"/>
    </row>
    <row r="386" spans="1:13">
      <c r="A386" s="28" t="str">
        <f t="shared" si="6"/>
        <v/>
      </c>
      <c r="B386" s="29"/>
      <c r="C386" s="29"/>
      <c r="D386" s="29"/>
      <c r="E386" s="29"/>
      <c r="F386" s="29"/>
      <c r="G386" s="30"/>
      <c r="H386" s="29"/>
      <c r="I386" s="29"/>
      <c r="J386" s="29"/>
      <c r="K386" s="29"/>
      <c r="L386" s="29"/>
      <c r="M386" s="31"/>
    </row>
    <row r="387" spans="1:13">
      <c r="A387" s="28" t="str">
        <f t="shared" si="6"/>
        <v/>
      </c>
      <c r="B387" s="29"/>
      <c r="C387" s="29"/>
      <c r="D387" s="29"/>
      <c r="E387" s="29"/>
      <c r="F387" s="29"/>
      <c r="G387" s="30"/>
      <c r="H387" s="29"/>
      <c r="I387" s="29"/>
      <c r="J387" s="29"/>
      <c r="K387" s="29"/>
      <c r="L387" s="29"/>
      <c r="M387" s="31"/>
    </row>
    <row r="388" spans="1:13">
      <c r="A388" s="28" t="str">
        <f t="shared" si="6"/>
        <v/>
      </c>
      <c r="B388" s="29"/>
      <c r="C388" s="29"/>
      <c r="D388" s="29"/>
      <c r="E388" s="29"/>
      <c r="F388" s="29"/>
      <c r="G388" s="30"/>
      <c r="H388" s="29"/>
      <c r="I388" s="29"/>
      <c r="J388" s="29"/>
      <c r="K388" s="29"/>
      <c r="L388" s="29"/>
      <c r="M388" s="31"/>
    </row>
    <row r="389" spans="1:13">
      <c r="A389" s="28" t="str">
        <f t="shared" si="6"/>
        <v/>
      </c>
      <c r="B389" s="29"/>
      <c r="C389" s="29"/>
      <c r="D389" s="29"/>
      <c r="E389" s="29"/>
      <c r="F389" s="29"/>
      <c r="G389" s="30"/>
      <c r="H389" s="29"/>
      <c r="I389" s="29"/>
      <c r="J389" s="29"/>
      <c r="K389" s="29"/>
      <c r="L389" s="29"/>
      <c r="M389" s="31"/>
    </row>
    <row r="390" spans="1:13">
      <c r="A390" s="28" t="str">
        <f t="shared" si="6"/>
        <v/>
      </c>
      <c r="B390" s="29"/>
      <c r="C390" s="29"/>
      <c r="D390" s="29"/>
      <c r="E390" s="29"/>
      <c r="F390" s="29"/>
      <c r="G390" s="30"/>
      <c r="H390" s="29"/>
      <c r="I390" s="29"/>
      <c r="J390" s="29"/>
      <c r="K390" s="29"/>
      <c r="L390" s="29"/>
      <c r="M390" s="31"/>
    </row>
    <row r="391" spans="1:13">
      <c r="A391" s="28" t="str">
        <f t="shared" si="6"/>
        <v/>
      </c>
      <c r="B391" s="29"/>
      <c r="C391" s="29"/>
      <c r="D391" s="29"/>
      <c r="E391" s="29"/>
      <c r="F391" s="29"/>
      <c r="G391" s="30"/>
      <c r="H391" s="29"/>
      <c r="I391" s="29"/>
      <c r="J391" s="29"/>
      <c r="K391" s="29"/>
      <c r="L391" s="29"/>
      <c r="M391" s="31"/>
    </row>
    <row r="392" spans="1:13">
      <c r="A392" s="28" t="str">
        <f t="shared" si="6"/>
        <v/>
      </c>
      <c r="B392" s="29"/>
      <c r="C392" s="29"/>
      <c r="D392" s="29"/>
      <c r="E392" s="29"/>
      <c r="F392" s="29"/>
      <c r="G392" s="30"/>
      <c r="H392" s="29"/>
      <c r="I392" s="29"/>
      <c r="J392" s="29"/>
      <c r="K392" s="29"/>
      <c r="L392" s="29"/>
      <c r="M392" s="31"/>
    </row>
    <row r="393" spans="1:13">
      <c r="A393" s="28" t="str">
        <f t="shared" si="6"/>
        <v/>
      </c>
      <c r="B393" s="29"/>
      <c r="C393" s="29"/>
      <c r="D393" s="29"/>
      <c r="E393" s="29"/>
      <c r="F393" s="29"/>
      <c r="G393" s="30"/>
      <c r="H393" s="29"/>
      <c r="I393" s="29"/>
      <c r="J393" s="29"/>
      <c r="K393" s="29"/>
      <c r="L393" s="29"/>
      <c r="M393" s="31"/>
    </row>
    <row r="394" spans="1:13">
      <c r="A394" s="28" t="str">
        <f t="shared" si="6"/>
        <v/>
      </c>
      <c r="B394" s="29"/>
      <c r="C394" s="29"/>
      <c r="D394" s="29"/>
      <c r="E394" s="29"/>
      <c r="F394" s="29"/>
      <c r="G394" s="30"/>
      <c r="H394" s="29"/>
      <c r="I394" s="29"/>
      <c r="J394" s="29"/>
      <c r="K394" s="29"/>
      <c r="L394" s="29"/>
      <c r="M394" s="31"/>
    </row>
    <row r="395" spans="1:13">
      <c r="A395" s="28" t="str">
        <f t="shared" si="6"/>
        <v/>
      </c>
      <c r="B395" s="29"/>
      <c r="C395" s="29"/>
      <c r="D395" s="29"/>
      <c r="E395" s="29"/>
      <c r="F395" s="29"/>
      <c r="G395" s="30"/>
      <c r="H395" s="29"/>
      <c r="I395" s="29"/>
      <c r="J395" s="29"/>
      <c r="K395" s="29"/>
      <c r="L395" s="29"/>
      <c r="M395" s="31"/>
    </row>
    <row r="396" spans="1:13">
      <c r="A396" s="28" t="str">
        <f t="shared" si="6"/>
        <v/>
      </c>
      <c r="B396" s="29"/>
      <c r="C396" s="29"/>
      <c r="D396" s="29"/>
      <c r="E396" s="29"/>
      <c r="F396" s="29"/>
      <c r="G396" s="30"/>
      <c r="H396" s="29"/>
      <c r="I396" s="29"/>
      <c r="J396" s="29"/>
      <c r="K396" s="29"/>
      <c r="L396" s="29"/>
      <c r="M396" s="31"/>
    </row>
    <row r="397" spans="1:13">
      <c r="A397" s="28" t="str">
        <f t="shared" si="6"/>
        <v/>
      </c>
      <c r="B397" s="29"/>
      <c r="C397" s="29"/>
      <c r="D397" s="29"/>
      <c r="E397" s="29"/>
      <c r="F397" s="29"/>
      <c r="G397" s="30"/>
      <c r="H397" s="29"/>
      <c r="I397" s="29"/>
      <c r="J397" s="29"/>
      <c r="K397" s="29"/>
      <c r="L397" s="29"/>
      <c r="M397" s="31"/>
    </row>
    <row r="398" spans="1:13">
      <c r="A398" s="28" t="str">
        <f t="shared" si="6"/>
        <v/>
      </c>
      <c r="B398" s="29"/>
      <c r="C398" s="29"/>
      <c r="D398" s="29"/>
      <c r="E398" s="29"/>
      <c r="F398" s="29"/>
      <c r="G398" s="30"/>
      <c r="H398" s="29"/>
      <c r="I398" s="29"/>
      <c r="J398" s="29"/>
      <c r="K398" s="29"/>
      <c r="L398" s="29"/>
      <c r="M398" s="31"/>
    </row>
    <row r="399" spans="1:13">
      <c r="A399" s="28" t="str">
        <f t="shared" si="6"/>
        <v/>
      </c>
      <c r="B399" s="29"/>
      <c r="C399" s="29"/>
      <c r="D399" s="29"/>
      <c r="E399" s="29"/>
      <c r="F399" s="29"/>
      <c r="G399" s="30"/>
      <c r="H399" s="29"/>
      <c r="I399" s="29"/>
      <c r="J399" s="29"/>
      <c r="K399" s="29"/>
      <c r="L399" s="29"/>
      <c r="M399" s="31"/>
    </row>
    <row r="400" spans="1:13">
      <c r="A400" s="28" t="str">
        <f t="shared" si="6"/>
        <v/>
      </c>
      <c r="B400" s="29"/>
      <c r="C400" s="29"/>
      <c r="D400" s="29"/>
      <c r="E400" s="29"/>
      <c r="F400" s="29"/>
      <c r="G400" s="30"/>
      <c r="H400" s="29"/>
      <c r="I400" s="29"/>
      <c r="J400" s="29"/>
      <c r="K400" s="29"/>
      <c r="L400" s="29"/>
      <c r="M400" s="31"/>
    </row>
    <row r="401" spans="1:13">
      <c r="A401" s="28" t="str">
        <f t="shared" si="6"/>
        <v/>
      </c>
      <c r="B401" s="29"/>
      <c r="C401" s="29"/>
      <c r="D401" s="29"/>
      <c r="E401" s="29"/>
      <c r="F401" s="29"/>
      <c r="G401" s="30"/>
      <c r="H401" s="29"/>
      <c r="I401" s="29"/>
      <c r="J401" s="29"/>
      <c r="K401" s="29"/>
      <c r="L401" s="29"/>
      <c r="M401" s="31"/>
    </row>
    <row r="402" spans="1:13">
      <c r="A402" s="28" t="str">
        <f t="shared" si="6"/>
        <v/>
      </c>
      <c r="B402" s="29"/>
      <c r="C402" s="29"/>
      <c r="D402" s="29"/>
      <c r="E402" s="29"/>
      <c r="F402" s="29"/>
      <c r="G402" s="30"/>
      <c r="H402" s="29"/>
      <c r="I402" s="29"/>
      <c r="J402" s="29"/>
      <c r="K402" s="29"/>
      <c r="L402" s="29"/>
      <c r="M402" s="31"/>
    </row>
    <row r="403" spans="1:13">
      <c r="A403" s="28" t="str">
        <f t="shared" si="6"/>
        <v/>
      </c>
      <c r="B403" s="29"/>
      <c r="C403" s="29"/>
      <c r="D403" s="29"/>
      <c r="E403" s="29"/>
      <c r="F403" s="29"/>
      <c r="G403" s="30"/>
      <c r="H403" s="29"/>
      <c r="I403" s="29"/>
      <c r="J403" s="29"/>
      <c r="K403" s="29"/>
      <c r="L403" s="29"/>
      <c r="M403" s="31"/>
    </row>
    <row r="404" spans="1:13">
      <c r="A404" s="28" t="str">
        <f t="shared" si="6"/>
        <v/>
      </c>
      <c r="B404" s="29"/>
      <c r="C404" s="29"/>
      <c r="D404" s="29"/>
      <c r="E404" s="29"/>
      <c r="F404" s="29"/>
      <c r="G404" s="30"/>
      <c r="H404" s="29"/>
      <c r="I404" s="29"/>
      <c r="J404" s="29"/>
      <c r="K404" s="29"/>
      <c r="L404" s="29"/>
      <c r="M404" s="31"/>
    </row>
    <row r="405" spans="1:13">
      <c r="A405" s="28" t="str">
        <f t="shared" ref="A405:A468" si="7">IF(D405="","",ROW()-4)</f>
        <v/>
      </c>
      <c r="B405" s="29"/>
      <c r="C405" s="29"/>
      <c r="D405" s="29"/>
      <c r="E405" s="29"/>
      <c r="F405" s="29"/>
      <c r="G405" s="30"/>
      <c r="H405" s="29"/>
      <c r="I405" s="29"/>
      <c r="J405" s="29"/>
      <c r="K405" s="29"/>
      <c r="L405" s="29"/>
      <c r="M405" s="31"/>
    </row>
    <row r="406" spans="1:13">
      <c r="A406" s="28" t="str">
        <f t="shared" si="7"/>
        <v/>
      </c>
      <c r="B406" s="29"/>
      <c r="C406" s="29"/>
      <c r="D406" s="29"/>
      <c r="E406" s="29"/>
      <c r="F406" s="29"/>
      <c r="G406" s="30"/>
      <c r="H406" s="29"/>
      <c r="I406" s="29"/>
      <c r="J406" s="29"/>
      <c r="K406" s="29"/>
      <c r="L406" s="29"/>
      <c r="M406" s="31"/>
    </row>
    <row r="407" spans="1:13">
      <c r="A407" s="28" t="str">
        <f t="shared" si="7"/>
        <v/>
      </c>
      <c r="B407" s="29"/>
      <c r="C407" s="29"/>
      <c r="D407" s="29"/>
      <c r="E407" s="29"/>
      <c r="F407" s="29"/>
      <c r="G407" s="30"/>
      <c r="H407" s="29"/>
      <c r="I407" s="29"/>
      <c r="J407" s="29"/>
      <c r="K407" s="29"/>
      <c r="L407" s="29"/>
      <c r="M407" s="31"/>
    </row>
    <row r="408" spans="1:13">
      <c r="A408" s="28" t="str">
        <f t="shared" si="7"/>
        <v/>
      </c>
      <c r="B408" s="29"/>
      <c r="C408" s="29"/>
      <c r="D408" s="29"/>
      <c r="E408" s="29"/>
      <c r="F408" s="29"/>
      <c r="G408" s="30"/>
      <c r="H408" s="29"/>
      <c r="I408" s="29"/>
      <c r="J408" s="29"/>
      <c r="K408" s="29"/>
      <c r="L408" s="29"/>
      <c r="M408" s="31"/>
    </row>
    <row r="409" spans="1:13">
      <c r="A409" s="28" t="str">
        <f t="shared" si="7"/>
        <v/>
      </c>
      <c r="B409" s="29"/>
      <c r="C409" s="29"/>
      <c r="D409" s="29"/>
      <c r="E409" s="29"/>
      <c r="F409" s="29"/>
      <c r="G409" s="30"/>
      <c r="H409" s="29"/>
      <c r="I409" s="29"/>
      <c r="J409" s="29"/>
      <c r="K409" s="29"/>
      <c r="L409" s="29"/>
      <c r="M409" s="31"/>
    </row>
    <row r="410" spans="1:13">
      <c r="A410" s="28" t="str">
        <f t="shared" si="7"/>
        <v/>
      </c>
      <c r="B410" s="29"/>
      <c r="C410" s="29"/>
      <c r="D410" s="29"/>
      <c r="E410" s="29"/>
      <c r="F410" s="29"/>
      <c r="G410" s="30"/>
      <c r="H410" s="29"/>
      <c r="I410" s="29"/>
      <c r="J410" s="29"/>
      <c r="K410" s="29"/>
      <c r="L410" s="29"/>
      <c r="M410" s="31"/>
    </row>
    <row r="411" spans="1:13">
      <c r="A411" s="28" t="str">
        <f t="shared" si="7"/>
        <v/>
      </c>
      <c r="B411" s="29"/>
      <c r="C411" s="29"/>
      <c r="D411" s="29"/>
      <c r="E411" s="29"/>
      <c r="F411" s="29"/>
      <c r="G411" s="30"/>
      <c r="H411" s="29"/>
      <c r="I411" s="29"/>
      <c r="J411" s="29"/>
      <c r="K411" s="29"/>
      <c r="L411" s="29"/>
      <c r="M411" s="31"/>
    </row>
    <row r="412" spans="1:13">
      <c r="A412" s="28" t="str">
        <f t="shared" si="7"/>
        <v/>
      </c>
      <c r="B412" s="29"/>
      <c r="C412" s="29"/>
      <c r="D412" s="29"/>
      <c r="E412" s="29"/>
      <c r="F412" s="29"/>
      <c r="G412" s="30"/>
      <c r="H412" s="29"/>
      <c r="I412" s="29"/>
      <c r="J412" s="29"/>
      <c r="K412" s="29"/>
      <c r="L412" s="29"/>
      <c r="M412" s="31"/>
    </row>
    <row r="413" spans="1:13">
      <c r="A413" s="28" t="str">
        <f t="shared" si="7"/>
        <v/>
      </c>
      <c r="B413" s="29"/>
      <c r="C413" s="29"/>
      <c r="D413" s="29"/>
      <c r="E413" s="29"/>
      <c r="F413" s="29"/>
      <c r="G413" s="30"/>
      <c r="H413" s="29"/>
      <c r="I413" s="29"/>
      <c r="J413" s="29"/>
      <c r="K413" s="29"/>
      <c r="L413" s="29"/>
      <c r="M413" s="31"/>
    </row>
    <row r="414" spans="1:13">
      <c r="A414" s="28" t="str">
        <f t="shared" si="7"/>
        <v/>
      </c>
      <c r="B414" s="29"/>
      <c r="C414" s="29"/>
      <c r="D414" s="29"/>
      <c r="E414" s="29"/>
      <c r="F414" s="29"/>
      <c r="G414" s="30"/>
      <c r="H414" s="29"/>
      <c r="I414" s="29"/>
      <c r="J414" s="29"/>
      <c r="K414" s="29"/>
      <c r="L414" s="29"/>
      <c r="M414" s="31"/>
    </row>
    <row r="415" spans="1:13">
      <c r="A415" s="28" t="str">
        <f t="shared" si="7"/>
        <v/>
      </c>
      <c r="B415" s="29"/>
      <c r="C415" s="29"/>
      <c r="D415" s="29"/>
      <c r="E415" s="29"/>
      <c r="F415" s="29"/>
      <c r="G415" s="30"/>
      <c r="H415" s="29"/>
      <c r="I415" s="29"/>
      <c r="J415" s="29"/>
      <c r="K415" s="29"/>
      <c r="L415" s="29"/>
      <c r="M415" s="31"/>
    </row>
    <row r="416" spans="1:13">
      <c r="A416" s="28" t="str">
        <f t="shared" si="7"/>
        <v/>
      </c>
      <c r="B416" s="29"/>
      <c r="C416" s="29"/>
      <c r="D416" s="29"/>
      <c r="E416" s="29"/>
      <c r="F416" s="29"/>
      <c r="G416" s="30"/>
      <c r="H416" s="29"/>
      <c r="I416" s="29"/>
      <c r="J416" s="29"/>
      <c r="K416" s="29"/>
      <c r="L416" s="29"/>
      <c r="M416" s="31"/>
    </row>
    <row r="417" spans="1:13">
      <c r="A417" s="28" t="str">
        <f t="shared" si="7"/>
        <v/>
      </c>
      <c r="B417" s="29"/>
      <c r="C417" s="29"/>
      <c r="D417" s="29"/>
      <c r="E417" s="29"/>
      <c r="F417" s="29"/>
      <c r="G417" s="30"/>
      <c r="H417" s="29"/>
      <c r="I417" s="29"/>
      <c r="J417" s="29"/>
      <c r="K417" s="29"/>
      <c r="L417" s="29"/>
      <c r="M417" s="31"/>
    </row>
    <row r="418" spans="1:13">
      <c r="A418" s="28" t="str">
        <f t="shared" si="7"/>
        <v/>
      </c>
      <c r="B418" s="29"/>
      <c r="C418" s="29"/>
      <c r="D418" s="29"/>
      <c r="E418" s="29"/>
      <c r="F418" s="29"/>
      <c r="G418" s="30"/>
      <c r="H418" s="29"/>
      <c r="I418" s="29"/>
      <c r="J418" s="29"/>
      <c r="K418" s="29"/>
      <c r="L418" s="29"/>
      <c r="M418" s="31"/>
    </row>
    <row r="419" spans="1:13">
      <c r="A419" s="28" t="str">
        <f t="shared" si="7"/>
        <v/>
      </c>
      <c r="B419" s="29"/>
      <c r="C419" s="29"/>
      <c r="D419" s="29"/>
      <c r="E419" s="29"/>
      <c r="F419" s="29"/>
      <c r="G419" s="30"/>
      <c r="H419" s="29"/>
      <c r="I419" s="29"/>
      <c r="J419" s="29"/>
      <c r="K419" s="29"/>
      <c r="L419" s="29"/>
      <c r="M419" s="31"/>
    </row>
    <row r="420" spans="1:13">
      <c r="A420" s="28" t="str">
        <f t="shared" si="7"/>
        <v/>
      </c>
      <c r="B420" s="29"/>
      <c r="C420" s="29"/>
      <c r="D420" s="29"/>
      <c r="E420" s="29"/>
      <c r="F420" s="29"/>
      <c r="G420" s="30"/>
      <c r="H420" s="29"/>
      <c r="I420" s="29"/>
      <c r="J420" s="29"/>
      <c r="K420" s="29"/>
      <c r="L420" s="29"/>
      <c r="M420" s="31"/>
    </row>
    <row r="421" spans="1:13">
      <c r="A421" s="28" t="str">
        <f t="shared" si="7"/>
        <v/>
      </c>
      <c r="B421" s="29"/>
      <c r="C421" s="29"/>
      <c r="D421" s="29"/>
      <c r="E421" s="29"/>
      <c r="F421" s="29"/>
      <c r="G421" s="30"/>
      <c r="H421" s="29"/>
      <c r="I421" s="29"/>
      <c r="J421" s="29"/>
      <c r="K421" s="29"/>
      <c r="L421" s="29"/>
      <c r="M421" s="31"/>
    </row>
    <row r="422" spans="1:13">
      <c r="A422" s="28" t="str">
        <f t="shared" si="7"/>
        <v/>
      </c>
      <c r="B422" s="29"/>
      <c r="C422" s="29"/>
      <c r="D422" s="29"/>
      <c r="E422" s="29"/>
      <c r="F422" s="29"/>
      <c r="G422" s="30"/>
      <c r="H422" s="29"/>
      <c r="I422" s="29"/>
      <c r="J422" s="29"/>
      <c r="K422" s="29"/>
      <c r="L422" s="29"/>
      <c r="M422" s="31"/>
    </row>
    <row r="423" spans="1:13">
      <c r="A423" s="28" t="str">
        <f t="shared" si="7"/>
        <v/>
      </c>
      <c r="B423" s="29"/>
      <c r="C423" s="29"/>
      <c r="D423" s="29"/>
      <c r="E423" s="29"/>
      <c r="F423" s="29"/>
      <c r="G423" s="30"/>
      <c r="H423" s="29"/>
      <c r="I423" s="29"/>
      <c r="J423" s="29"/>
      <c r="K423" s="29"/>
      <c r="L423" s="29"/>
      <c r="M423" s="31"/>
    </row>
    <row r="424" spans="1:13">
      <c r="A424" s="28" t="str">
        <f t="shared" si="7"/>
        <v/>
      </c>
      <c r="B424" s="29"/>
      <c r="C424" s="29"/>
      <c r="D424" s="29"/>
      <c r="E424" s="29"/>
      <c r="F424" s="29"/>
      <c r="G424" s="30"/>
      <c r="H424" s="29"/>
      <c r="I424" s="29"/>
      <c r="J424" s="29"/>
      <c r="K424" s="29"/>
      <c r="L424" s="29"/>
      <c r="M424" s="31"/>
    </row>
    <row r="425" spans="1:13">
      <c r="A425" s="28" t="str">
        <f t="shared" si="7"/>
        <v/>
      </c>
      <c r="B425" s="29"/>
      <c r="C425" s="29"/>
      <c r="D425" s="29"/>
      <c r="E425" s="29"/>
      <c r="F425" s="29"/>
      <c r="G425" s="30"/>
      <c r="H425" s="29"/>
      <c r="I425" s="29"/>
      <c r="J425" s="29"/>
      <c r="K425" s="29"/>
      <c r="L425" s="29"/>
      <c r="M425" s="31"/>
    </row>
    <row r="426" spans="1:13">
      <c r="A426" s="28" t="str">
        <f t="shared" si="7"/>
        <v/>
      </c>
      <c r="B426" s="29"/>
      <c r="C426" s="29"/>
      <c r="D426" s="29"/>
      <c r="E426" s="29"/>
      <c r="F426" s="29"/>
      <c r="G426" s="30"/>
      <c r="H426" s="29"/>
      <c r="I426" s="29"/>
      <c r="J426" s="29"/>
      <c r="K426" s="29"/>
      <c r="L426" s="29"/>
      <c r="M426" s="31"/>
    </row>
    <row r="427" spans="1:13">
      <c r="A427" s="28" t="str">
        <f t="shared" si="7"/>
        <v/>
      </c>
      <c r="B427" s="29"/>
      <c r="C427" s="29"/>
      <c r="D427" s="29"/>
      <c r="E427" s="29"/>
      <c r="F427" s="29"/>
      <c r="G427" s="30"/>
      <c r="H427" s="29"/>
      <c r="I427" s="29"/>
      <c r="J427" s="29"/>
      <c r="K427" s="29"/>
      <c r="L427" s="29"/>
      <c r="M427" s="31"/>
    </row>
    <row r="428" spans="1:13">
      <c r="A428" s="28" t="str">
        <f t="shared" si="7"/>
        <v/>
      </c>
      <c r="B428" s="29"/>
      <c r="C428" s="29"/>
      <c r="D428" s="29"/>
      <c r="E428" s="29"/>
      <c r="F428" s="29"/>
      <c r="G428" s="30"/>
      <c r="H428" s="29"/>
      <c r="I428" s="29"/>
      <c r="J428" s="29"/>
      <c r="K428" s="29"/>
      <c r="L428" s="29"/>
      <c r="M428" s="31"/>
    </row>
    <row r="429" spans="1:13">
      <c r="A429" s="28" t="str">
        <f t="shared" si="7"/>
        <v/>
      </c>
      <c r="B429" s="29"/>
      <c r="C429" s="29"/>
      <c r="D429" s="29"/>
      <c r="E429" s="29"/>
      <c r="F429" s="29"/>
      <c r="G429" s="30"/>
      <c r="H429" s="29"/>
      <c r="I429" s="29"/>
      <c r="J429" s="29"/>
      <c r="K429" s="29"/>
      <c r="L429" s="29"/>
      <c r="M429" s="31"/>
    </row>
    <row r="430" spans="1:13">
      <c r="A430" s="28" t="str">
        <f t="shared" si="7"/>
        <v/>
      </c>
      <c r="B430" s="29"/>
      <c r="C430" s="29"/>
      <c r="D430" s="29"/>
      <c r="E430" s="29"/>
      <c r="F430" s="29"/>
      <c r="G430" s="30"/>
      <c r="H430" s="29"/>
      <c r="I430" s="29"/>
      <c r="J430" s="29"/>
      <c r="K430" s="29"/>
      <c r="L430" s="29"/>
      <c r="M430" s="31"/>
    </row>
    <row r="431" spans="1:13">
      <c r="A431" s="28" t="str">
        <f t="shared" si="7"/>
        <v/>
      </c>
      <c r="B431" s="29"/>
      <c r="C431" s="29"/>
      <c r="D431" s="29"/>
      <c r="E431" s="29"/>
      <c r="F431" s="29"/>
      <c r="G431" s="30"/>
      <c r="H431" s="29"/>
      <c r="I431" s="29"/>
      <c r="J431" s="29"/>
      <c r="K431" s="29"/>
      <c r="L431" s="29"/>
      <c r="M431" s="31"/>
    </row>
    <row r="432" spans="1:13">
      <c r="A432" s="28" t="str">
        <f t="shared" si="7"/>
        <v/>
      </c>
      <c r="B432" s="29"/>
      <c r="C432" s="29"/>
      <c r="D432" s="29"/>
      <c r="E432" s="29"/>
      <c r="F432" s="29"/>
      <c r="G432" s="30"/>
      <c r="H432" s="29"/>
      <c r="I432" s="29"/>
      <c r="J432" s="29"/>
      <c r="K432" s="29"/>
      <c r="L432" s="29"/>
      <c r="M432" s="31"/>
    </row>
    <row r="433" spans="1:13">
      <c r="A433" s="28" t="str">
        <f t="shared" si="7"/>
        <v/>
      </c>
      <c r="B433" s="29"/>
      <c r="C433" s="29"/>
      <c r="D433" s="29"/>
      <c r="E433" s="29"/>
      <c r="F433" s="29"/>
      <c r="G433" s="30"/>
      <c r="H433" s="29"/>
      <c r="I433" s="29"/>
      <c r="J433" s="29"/>
      <c r="K433" s="29"/>
      <c r="L433" s="29"/>
      <c r="M433" s="31"/>
    </row>
    <row r="434" spans="1:13">
      <c r="A434" s="28" t="str">
        <f t="shared" si="7"/>
        <v/>
      </c>
      <c r="B434" s="29"/>
      <c r="C434" s="29"/>
      <c r="D434" s="29"/>
      <c r="E434" s="29"/>
      <c r="F434" s="29"/>
      <c r="G434" s="30"/>
      <c r="H434" s="29"/>
      <c r="I434" s="29"/>
      <c r="J434" s="29"/>
      <c r="K434" s="29"/>
      <c r="L434" s="29"/>
      <c r="M434" s="31"/>
    </row>
    <row r="435" spans="1:13">
      <c r="A435" s="28" t="str">
        <f t="shared" si="7"/>
        <v/>
      </c>
      <c r="B435" s="29"/>
      <c r="C435" s="29"/>
      <c r="D435" s="29"/>
      <c r="E435" s="29"/>
      <c r="F435" s="29"/>
      <c r="G435" s="30"/>
      <c r="H435" s="29"/>
      <c r="I435" s="29"/>
      <c r="J435" s="29"/>
      <c r="K435" s="29"/>
      <c r="L435" s="29"/>
      <c r="M435" s="31"/>
    </row>
    <row r="436" spans="1:13">
      <c r="A436" s="28" t="str">
        <f t="shared" si="7"/>
        <v/>
      </c>
      <c r="B436" s="29"/>
      <c r="C436" s="29"/>
      <c r="D436" s="29"/>
      <c r="E436" s="29"/>
      <c r="F436" s="29"/>
      <c r="G436" s="30"/>
      <c r="H436" s="29"/>
      <c r="I436" s="29"/>
      <c r="J436" s="29"/>
      <c r="K436" s="29"/>
      <c r="L436" s="29"/>
      <c r="M436" s="31"/>
    </row>
    <row r="437" spans="1:13">
      <c r="A437" s="28" t="str">
        <f t="shared" si="7"/>
        <v/>
      </c>
      <c r="B437" s="29"/>
      <c r="C437" s="29"/>
      <c r="D437" s="29"/>
      <c r="E437" s="29"/>
      <c r="F437" s="29"/>
      <c r="G437" s="30"/>
      <c r="H437" s="29"/>
      <c r="I437" s="29"/>
      <c r="J437" s="29"/>
      <c r="K437" s="29"/>
      <c r="L437" s="29"/>
      <c r="M437" s="31"/>
    </row>
    <row r="438" spans="1:13">
      <c r="A438" s="28" t="str">
        <f t="shared" si="7"/>
        <v/>
      </c>
      <c r="B438" s="29"/>
      <c r="C438" s="29"/>
      <c r="D438" s="29"/>
      <c r="E438" s="29"/>
      <c r="F438" s="29"/>
      <c r="G438" s="30"/>
      <c r="H438" s="29"/>
      <c r="I438" s="29"/>
      <c r="J438" s="29"/>
      <c r="K438" s="29"/>
      <c r="L438" s="29"/>
      <c r="M438" s="31"/>
    </row>
    <row r="439" spans="1:13">
      <c r="A439" s="28" t="str">
        <f t="shared" si="7"/>
        <v/>
      </c>
      <c r="B439" s="29"/>
      <c r="C439" s="29"/>
      <c r="D439" s="29"/>
      <c r="E439" s="29"/>
      <c r="F439" s="29"/>
      <c r="G439" s="30"/>
      <c r="H439" s="29"/>
      <c r="I439" s="29"/>
      <c r="J439" s="29"/>
      <c r="K439" s="29"/>
      <c r="L439" s="29"/>
      <c r="M439" s="31"/>
    </row>
    <row r="440" spans="1:13">
      <c r="A440" s="28" t="str">
        <f t="shared" si="7"/>
        <v/>
      </c>
      <c r="B440" s="29"/>
      <c r="C440" s="29"/>
      <c r="D440" s="29"/>
      <c r="E440" s="29"/>
      <c r="F440" s="29"/>
      <c r="G440" s="30"/>
      <c r="H440" s="29"/>
      <c r="I440" s="29"/>
      <c r="J440" s="29"/>
      <c r="K440" s="29"/>
      <c r="L440" s="29"/>
      <c r="M440" s="31"/>
    </row>
    <row r="441" spans="1:13">
      <c r="A441" s="28" t="str">
        <f t="shared" si="7"/>
        <v/>
      </c>
      <c r="B441" s="29"/>
      <c r="C441" s="29"/>
      <c r="D441" s="29"/>
      <c r="E441" s="29"/>
      <c r="F441" s="29"/>
      <c r="G441" s="30"/>
      <c r="H441" s="29"/>
      <c r="I441" s="29"/>
      <c r="J441" s="29"/>
      <c r="K441" s="29"/>
      <c r="L441" s="29"/>
      <c r="M441" s="31"/>
    </row>
    <row r="442" spans="1:13">
      <c r="A442" s="28" t="str">
        <f t="shared" si="7"/>
        <v/>
      </c>
      <c r="B442" s="29"/>
      <c r="C442" s="29"/>
      <c r="D442" s="29"/>
      <c r="E442" s="29"/>
      <c r="F442" s="29"/>
      <c r="G442" s="30"/>
      <c r="H442" s="29"/>
      <c r="I442" s="29"/>
      <c r="J442" s="29"/>
      <c r="K442" s="29"/>
      <c r="L442" s="29"/>
      <c r="M442" s="31"/>
    </row>
    <row r="443" spans="1:13">
      <c r="A443" s="28" t="str">
        <f t="shared" si="7"/>
        <v/>
      </c>
      <c r="B443" s="29"/>
      <c r="C443" s="29"/>
      <c r="D443" s="29"/>
      <c r="E443" s="29"/>
      <c r="F443" s="29"/>
      <c r="G443" s="30"/>
      <c r="H443" s="29"/>
      <c r="I443" s="29"/>
      <c r="J443" s="29"/>
      <c r="K443" s="29"/>
      <c r="L443" s="29"/>
      <c r="M443" s="31"/>
    </row>
    <row r="444" spans="1:13">
      <c r="A444" s="28" t="str">
        <f t="shared" si="7"/>
        <v/>
      </c>
      <c r="B444" s="29"/>
      <c r="C444" s="29"/>
      <c r="D444" s="29"/>
      <c r="E444" s="29"/>
      <c r="F444" s="29"/>
      <c r="G444" s="30"/>
      <c r="H444" s="29"/>
      <c r="I444" s="29"/>
      <c r="J444" s="29"/>
      <c r="K444" s="29"/>
      <c r="L444" s="29"/>
      <c r="M444" s="31"/>
    </row>
    <row r="445" spans="1:13">
      <c r="A445" s="28" t="str">
        <f t="shared" si="7"/>
        <v/>
      </c>
      <c r="B445" s="29"/>
      <c r="C445" s="29"/>
      <c r="D445" s="29"/>
      <c r="E445" s="29"/>
      <c r="F445" s="29"/>
      <c r="G445" s="30"/>
      <c r="H445" s="29"/>
      <c r="I445" s="29"/>
      <c r="J445" s="29"/>
      <c r="K445" s="29"/>
      <c r="L445" s="29"/>
      <c r="M445" s="31"/>
    </row>
    <row r="446" spans="1:13">
      <c r="A446" s="28" t="str">
        <f t="shared" si="7"/>
        <v/>
      </c>
      <c r="B446" s="29"/>
      <c r="C446" s="29"/>
      <c r="D446" s="29"/>
      <c r="E446" s="29"/>
      <c r="F446" s="29"/>
      <c r="G446" s="30"/>
      <c r="H446" s="29"/>
      <c r="I446" s="29"/>
      <c r="J446" s="29"/>
      <c r="K446" s="29"/>
      <c r="L446" s="29"/>
      <c r="M446" s="31"/>
    </row>
    <row r="447" spans="1:13">
      <c r="A447" s="28" t="str">
        <f t="shared" si="7"/>
        <v/>
      </c>
      <c r="B447" s="29"/>
      <c r="C447" s="29"/>
      <c r="D447" s="29"/>
      <c r="E447" s="29"/>
      <c r="F447" s="29"/>
      <c r="G447" s="30"/>
      <c r="H447" s="29"/>
      <c r="I447" s="29"/>
      <c r="J447" s="29"/>
      <c r="K447" s="29"/>
      <c r="L447" s="29"/>
      <c r="M447" s="31"/>
    </row>
    <row r="448" spans="1:13">
      <c r="A448" s="28" t="str">
        <f t="shared" si="7"/>
        <v/>
      </c>
      <c r="B448" s="29"/>
      <c r="C448" s="29"/>
      <c r="D448" s="29"/>
      <c r="E448" s="29"/>
      <c r="F448" s="29"/>
      <c r="G448" s="30"/>
      <c r="H448" s="29"/>
      <c r="I448" s="29"/>
      <c r="J448" s="29"/>
      <c r="K448" s="29"/>
      <c r="L448" s="29"/>
      <c r="M448" s="31"/>
    </row>
    <row r="449" spans="1:13">
      <c r="A449" s="28" t="str">
        <f t="shared" si="7"/>
        <v/>
      </c>
      <c r="B449" s="29"/>
      <c r="C449" s="29"/>
      <c r="D449" s="29"/>
      <c r="E449" s="29"/>
      <c r="F449" s="29"/>
      <c r="G449" s="30"/>
      <c r="H449" s="29"/>
      <c r="I449" s="29"/>
      <c r="J449" s="29"/>
      <c r="K449" s="29"/>
      <c r="L449" s="29"/>
      <c r="M449" s="31"/>
    </row>
    <row r="450" spans="1:13">
      <c r="A450" s="28" t="str">
        <f t="shared" si="7"/>
        <v/>
      </c>
      <c r="B450" s="29"/>
      <c r="C450" s="29"/>
      <c r="D450" s="29"/>
      <c r="E450" s="29"/>
      <c r="F450" s="29"/>
      <c r="G450" s="30"/>
      <c r="H450" s="29"/>
      <c r="I450" s="29"/>
      <c r="J450" s="29"/>
      <c r="K450" s="29"/>
      <c r="L450" s="29"/>
      <c r="M450" s="31"/>
    </row>
    <row r="451" spans="1:13">
      <c r="A451" s="28" t="str">
        <f t="shared" si="7"/>
        <v/>
      </c>
      <c r="B451" s="29"/>
      <c r="C451" s="29"/>
      <c r="D451" s="29"/>
      <c r="E451" s="29"/>
      <c r="F451" s="29"/>
      <c r="G451" s="30"/>
      <c r="H451" s="29"/>
      <c r="I451" s="29"/>
      <c r="J451" s="29"/>
      <c r="K451" s="29"/>
      <c r="L451" s="29"/>
      <c r="M451" s="31"/>
    </row>
    <row r="452" spans="1:13">
      <c r="A452" s="28" t="str">
        <f t="shared" si="7"/>
        <v/>
      </c>
      <c r="B452" s="29"/>
      <c r="C452" s="29"/>
      <c r="D452" s="29"/>
      <c r="E452" s="29"/>
      <c r="F452" s="29"/>
      <c r="G452" s="30"/>
      <c r="H452" s="29"/>
      <c r="I452" s="29"/>
      <c r="J452" s="29"/>
      <c r="K452" s="29"/>
      <c r="L452" s="29"/>
      <c r="M452" s="31"/>
    </row>
    <row r="453" spans="1:13">
      <c r="A453" s="28" t="str">
        <f t="shared" si="7"/>
        <v/>
      </c>
      <c r="B453" s="29"/>
      <c r="C453" s="29"/>
      <c r="D453" s="29"/>
      <c r="E453" s="29"/>
      <c r="F453" s="29"/>
      <c r="G453" s="30"/>
      <c r="H453" s="29"/>
      <c r="I453" s="29"/>
      <c r="J453" s="29"/>
      <c r="K453" s="29"/>
      <c r="L453" s="29"/>
      <c r="M453" s="31"/>
    </row>
    <row r="454" spans="1:13">
      <c r="A454" s="28" t="str">
        <f t="shared" si="7"/>
        <v/>
      </c>
      <c r="B454" s="29"/>
      <c r="C454" s="29"/>
      <c r="D454" s="29"/>
      <c r="E454" s="29"/>
      <c r="F454" s="29"/>
      <c r="G454" s="30"/>
      <c r="H454" s="29"/>
      <c r="I454" s="29"/>
      <c r="J454" s="29"/>
      <c r="K454" s="29"/>
      <c r="L454" s="29"/>
      <c r="M454" s="31"/>
    </row>
    <row r="455" spans="1:13">
      <c r="A455" s="28" t="str">
        <f t="shared" si="7"/>
        <v/>
      </c>
      <c r="B455" s="29"/>
      <c r="C455" s="29"/>
      <c r="D455" s="29"/>
      <c r="E455" s="29"/>
      <c r="F455" s="29"/>
      <c r="G455" s="30"/>
      <c r="H455" s="29"/>
      <c r="I455" s="29"/>
      <c r="J455" s="29"/>
      <c r="K455" s="29"/>
      <c r="L455" s="29"/>
      <c r="M455" s="31"/>
    </row>
    <row r="456" spans="1:13">
      <c r="A456" s="28" t="str">
        <f t="shared" si="7"/>
        <v/>
      </c>
      <c r="B456" s="29"/>
      <c r="C456" s="29"/>
      <c r="D456" s="29"/>
      <c r="E456" s="29"/>
      <c r="F456" s="29"/>
      <c r="G456" s="30"/>
      <c r="H456" s="29"/>
      <c r="I456" s="29"/>
      <c r="J456" s="29"/>
      <c r="K456" s="29"/>
      <c r="L456" s="29"/>
      <c r="M456" s="31"/>
    </row>
    <row r="457" spans="1:13">
      <c r="A457" s="28" t="str">
        <f t="shared" si="7"/>
        <v/>
      </c>
      <c r="B457" s="29"/>
      <c r="C457" s="29"/>
      <c r="D457" s="29"/>
      <c r="E457" s="29"/>
      <c r="F457" s="29"/>
      <c r="G457" s="30"/>
      <c r="H457" s="29"/>
      <c r="I457" s="29"/>
      <c r="J457" s="29"/>
      <c r="K457" s="29"/>
      <c r="L457" s="29"/>
      <c r="M457" s="31"/>
    </row>
    <row r="458" spans="1:13">
      <c r="A458" s="28" t="str">
        <f t="shared" si="7"/>
        <v/>
      </c>
      <c r="B458" s="29"/>
      <c r="C458" s="29"/>
      <c r="D458" s="29"/>
      <c r="E458" s="29"/>
      <c r="F458" s="29"/>
      <c r="G458" s="30"/>
      <c r="H458" s="29"/>
      <c r="I458" s="29"/>
      <c r="J458" s="29"/>
      <c r="K458" s="29"/>
      <c r="L458" s="29"/>
      <c r="M458" s="31"/>
    </row>
    <row r="459" spans="1:13">
      <c r="A459" s="28" t="str">
        <f t="shared" si="7"/>
        <v/>
      </c>
      <c r="B459" s="29"/>
      <c r="C459" s="29"/>
      <c r="D459" s="29"/>
      <c r="E459" s="29"/>
      <c r="F459" s="29"/>
      <c r="G459" s="30"/>
      <c r="H459" s="29"/>
      <c r="I459" s="29"/>
      <c r="J459" s="29"/>
      <c r="K459" s="29"/>
      <c r="L459" s="29"/>
      <c r="M459" s="31"/>
    </row>
    <row r="460" spans="1:13">
      <c r="A460" s="28" t="str">
        <f t="shared" si="7"/>
        <v/>
      </c>
      <c r="B460" s="29"/>
      <c r="C460" s="29"/>
      <c r="D460" s="29"/>
      <c r="E460" s="29"/>
      <c r="F460" s="29"/>
      <c r="G460" s="30"/>
      <c r="H460" s="29"/>
      <c r="I460" s="29"/>
      <c r="J460" s="29"/>
      <c r="K460" s="29"/>
      <c r="L460" s="29"/>
      <c r="M460" s="31"/>
    </row>
    <row r="461" spans="1:13">
      <c r="A461" s="28" t="str">
        <f t="shared" si="7"/>
        <v/>
      </c>
      <c r="B461" s="29"/>
      <c r="C461" s="29"/>
      <c r="D461" s="29"/>
      <c r="E461" s="29"/>
      <c r="F461" s="29"/>
      <c r="G461" s="30"/>
      <c r="H461" s="29"/>
      <c r="I461" s="29"/>
      <c r="J461" s="29"/>
      <c r="K461" s="29"/>
      <c r="L461" s="29"/>
      <c r="M461" s="31"/>
    </row>
    <row r="462" spans="1:13">
      <c r="A462" s="28" t="str">
        <f t="shared" si="7"/>
        <v/>
      </c>
      <c r="B462" s="29"/>
      <c r="C462" s="29"/>
      <c r="D462" s="29"/>
      <c r="E462" s="29"/>
      <c r="F462" s="29"/>
      <c r="G462" s="30"/>
      <c r="H462" s="29"/>
      <c r="I462" s="29"/>
      <c r="J462" s="29"/>
      <c r="K462" s="29"/>
      <c r="L462" s="29"/>
      <c r="M462" s="31"/>
    </row>
    <row r="463" spans="1:13">
      <c r="A463" s="28" t="str">
        <f t="shared" si="7"/>
        <v/>
      </c>
      <c r="B463" s="29"/>
      <c r="C463" s="29"/>
      <c r="D463" s="29"/>
      <c r="E463" s="29"/>
      <c r="F463" s="29"/>
      <c r="G463" s="30"/>
      <c r="H463" s="29"/>
      <c r="I463" s="29"/>
      <c r="J463" s="29"/>
      <c r="K463" s="29"/>
      <c r="L463" s="29"/>
      <c r="M463" s="31"/>
    </row>
    <row r="464" spans="1:13">
      <c r="A464" s="28" t="str">
        <f t="shared" si="7"/>
        <v/>
      </c>
      <c r="B464" s="29"/>
      <c r="C464" s="29"/>
      <c r="D464" s="29"/>
      <c r="E464" s="29"/>
      <c r="F464" s="29"/>
      <c r="G464" s="30"/>
      <c r="H464" s="29"/>
      <c r="I464" s="29"/>
      <c r="J464" s="29"/>
      <c r="K464" s="29"/>
      <c r="L464" s="29"/>
      <c r="M464" s="31"/>
    </row>
    <row r="465" spans="1:13">
      <c r="A465" s="28" t="str">
        <f t="shared" si="7"/>
        <v/>
      </c>
      <c r="B465" s="29"/>
      <c r="C465" s="29"/>
      <c r="D465" s="29"/>
      <c r="E465" s="29"/>
      <c r="F465" s="29"/>
      <c r="G465" s="30"/>
      <c r="H465" s="29"/>
      <c r="I465" s="29"/>
      <c r="J465" s="29"/>
      <c r="K465" s="29"/>
      <c r="L465" s="29"/>
      <c r="M465" s="31"/>
    </row>
    <row r="466" spans="1:13">
      <c r="A466" s="28" t="str">
        <f t="shared" si="7"/>
        <v/>
      </c>
      <c r="B466" s="29"/>
      <c r="C466" s="29"/>
      <c r="D466" s="29"/>
      <c r="E466" s="29"/>
      <c r="F466" s="29"/>
      <c r="G466" s="30"/>
      <c r="H466" s="29"/>
      <c r="I466" s="29"/>
      <c r="J466" s="29"/>
      <c r="K466" s="29"/>
      <c r="L466" s="29"/>
      <c r="M466" s="31"/>
    </row>
    <row r="467" spans="1:13">
      <c r="A467" s="28" t="str">
        <f t="shared" si="7"/>
        <v/>
      </c>
      <c r="B467" s="29"/>
      <c r="C467" s="29"/>
      <c r="D467" s="29"/>
      <c r="E467" s="29"/>
      <c r="F467" s="29"/>
      <c r="G467" s="30"/>
      <c r="H467" s="29"/>
      <c r="I467" s="29"/>
      <c r="J467" s="29"/>
      <c r="K467" s="29"/>
      <c r="L467" s="29"/>
      <c r="M467" s="31"/>
    </row>
    <row r="468" spans="1:13">
      <c r="A468" s="28" t="str">
        <f t="shared" si="7"/>
        <v/>
      </c>
      <c r="B468" s="29"/>
      <c r="C468" s="29"/>
      <c r="D468" s="29"/>
      <c r="E468" s="29"/>
      <c r="F468" s="29"/>
      <c r="G468" s="30"/>
      <c r="H468" s="29"/>
      <c r="I468" s="29"/>
      <c r="J468" s="29"/>
      <c r="K468" s="29"/>
      <c r="L468" s="29"/>
      <c r="M468" s="31"/>
    </row>
    <row r="469" spans="1:13">
      <c r="A469" s="28" t="str">
        <f t="shared" ref="A469:A532" si="8">IF(D469="","",ROW()-4)</f>
        <v/>
      </c>
      <c r="B469" s="29"/>
      <c r="C469" s="29"/>
      <c r="D469" s="29"/>
      <c r="E469" s="29"/>
      <c r="F469" s="29"/>
      <c r="G469" s="30"/>
      <c r="H469" s="29"/>
      <c r="I469" s="29"/>
      <c r="J469" s="29"/>
      <c r="K469" s="29"/>
      <c r="L469" s="29"/>
      <c r="M469" s="31"/>
    </row>
    <row r="470" spans="1:13">
      <c r="A470" s="28" t="str">
        <f t="shared" si="8"/>
        <v/>
      </c>
      <c r="B470" s="29"/>
      <c r="C470" s="29"/>
      <c r="D470" s="29"/>
      <c r="E470" s="29"/>
      <c r="F470" s="29"/>
      <c r="G470" s="30"/>
      <c r="H470" s="29"/>
      <c r="I470" s="29"/>
      <c r="J470" s="29"/>
      <c r="K470" s="29"/>
      <c r="L470" s="29"/>
      <c r="M470" s="31"/>
    </row>
    <row r="471" spans="1:13">
      <c r="A471" s="28" t="str">
        <f t="shared" si="8"/>
        <v/>
      </c>
      <c r="B471" s="29"/>
      <c r="C471" s="29"/>
      <c r="D471" s="29"/>
      <c r="E471" s="29"/>
      <c r="F471" s="29"/>
      <c r="G471" s="30"/>
      <c r="H471" s="29"/>
      <c r="I471" s="29"/>
      <c r="J471" s="29"/>
      <c r="K471" s="29"/>
      <c r="L471" s="29"/>
      <c r="M471" s="31"/>
    </row>
    <row r="472" spans="1:13">
      <c r="A472" s="28" t="str">
        <f t="shared" si="8"/>
        <v/>
      </c>
      <c r="B472" s="29"/>
      <c r="C472" s="29"/>
      <c r="D472" s="29"/>
      <c r="E472" s="29"/>
      <c r="F472" s="29"/>
      <c r="G472" s="30"/>
      <c r="H472" s="29"/>
      <c r="I472" s="29"/>
      <c r="J472" s="29"/>
      <c r="K472" s="29"/>
      <c r="L472" s="29"/>
      <c r="M472" s="31"/>
    </row>
    <row r="473" spans="1:13">
      <c r="A473" s="28" t="str">
        <f t="shared" si="8"/>
        <v/>
      </c>
      <c r="B473" s="29"/>
      <c r="C473" s="29"/>
      <c r="D473" s="29"/>
      <c r="E473" s="29"/>
      <c r="F473" s="29"/>
      <c r="G473" s="30"/>
      <c r="H473" s="29"/>
      <c r="I473" s="29"/>
      <c r="J473" s="29"/>
      <c r="K473" s="29"/>
      <c r="L473" s="29"/>
      <c r="M473" s="31"/>
    </row>
    <row r="474" spans="1:13">
      <c r="A474" s="28" t="str">
        <f t="shared" si="8"/>
        <v/>
      </c>
      <c r="B474" s="29"/>
      <c r="C474" s="29"/>
      <c r="D474" s="29"/>
      <c r="E474" s="29"/>
      <c r="F474" s="29"/>
      <c r="G474" s="30"/>
      <c r="H474" s="29"/>
      <c r="I474" s="29"/>
      <c r="J474" s="29"/>
      <c r="K474" s="29"/>
      <c r="L474" s="29"/>
      <c r="M474" s="31"/>
    </row>
    <row r="475" spans="1:13">
      <c r="A475" s="28" t="str">
        <f t="shared" si="8"/>
        <v/>
      </c>
      <c r="B475" s="29"/>
      <c r="C475" s="29"/>
      <c r="D475" s="29"/>
      <c r="E475" s="29"/>
      <c r="F475" s="29"/>
      <c r="G475" s="30"/>
      <c r="H475" s="29"/>
      <c r="I475" s="29"/>
      <c r="J475" s="29"/>
      <c r="K475" s="29"/>
      <c r="L475" s="29"/>
      <c r="M475" s="31"/>
    </row>
    <row r="476" spans="1:13">
      <c r="A476" s="28" t="str">
        <f t="shared" si="8"/>
        <v/>
      </c>
      <c r="B476" s="29"/>
      <c r="C476" s="29"/>
      <c r="D476" s="29"/>
      <c r="E476" s="29"/>
      <c r="F476" s="29"/>
      <c r="G476" s="30"/>
      <c r="H476" s="29"/>
      <c r="I476" s="29"/>
      <c r="J476" s="29"/>
      <c r="K476" s="29"/>
      <c r="L476" s="29"/>
      <c r="M476" s="31"/>
    </row>
    <row r="477" spans="1:13">
      <c r="A477" s="28" t="str">
        <f t="shared" si="8"/>
        <v/>
      </c>
      <c r="B477" s="29"/>
      <c r="C477" s="29"/>
      <c r="D477" s="29"/>
      <c r="E477" s="29"/>
      <c r="F477" s="29"/>
      <c r="G477" s="30"/>
      <c r="H477" s="29"/>
      <c r="I477" s="29"/>
      <c r="J477" s="29"/>
      <c r="K477" s="29"/>
      <c r="L477" s="29"/>
      <c r="M477" s="31"/>
    </row>
    <row r="478" spans="1:13">
      <c r="A478" s="28" t="str">
        <f t="shared" si="8"/>
        <v/>
      </c>
      <c r="B478" s="29"/>
      <c r="C478" s="29"/>
      <c r="D478" s="29"/>
      <c r="E478" s="29"/>
      <c r="F478" s="29"/>
      <c r="G478" s="30"/>
      <c r="H478" s="29"/>
      <c r="I478" s="29"/>
      <c r="J478" s="29"/>
      <c r="K478" s="29"/>
      <c r="L478" s="29"/>
      <c r="M478" s="31"/>
    </row>
    <row r="479" spans="1:13">
      <c r="A479" s="28" t="str">
        <f t="shared" si="8"/>
        <v/>
      </c>
      <c r="B479" s="29"/>
      <c r="C479" s="29"/>
      <c r="D479" s="29"/>
      <c r="E479" s="29"/>
      <c r="F479" s="29"/>
      <c r="G479" s="30"/>
      <c r="H479" s="29"/>
      <c r="I479" s="29"/>
      <c r="J479" s="29"/>
      <c r="K479" s="29"/>
      <c r="L479" s="29"/>
      <c r="M479" s="31"/>
    </row>
    <row r="480" spans="1:13">
      <c r="A480" s="28" t="str">
        <f t="shared" si="8"/>
        <v/>
      </c>
      <c r="B480" s="29"/>
      <c r="C480" s="29"/>
      <c r="D480" s="29"/>
      <c r="E480" s="29"/>
      <c r="F480" s="29"/>
      <c r="G480" s="30"/>
      <c r="H480" s="29"/>
      <c r="I480" s="29"/>
      <c r="J480" s="29"/>
      <c r="K480" s="29"/>
      <c r="L480" s="29"/>
      <c r="M480" s="31"/>
    </row>
    <row r="481" spans="1:13">
      <c r="A481" s="28" t="str">
        <f t="shared" si="8"/>
        <v/>
      </c>
      <c r="B481" s="29"/>
      <c r="C481" s="29"/>
      <c r="D481" s="29"/>
      <c r="E481" s="29"/>
      <c r="F481" s="29"/>
      <c r="G481" s="30"/>
      <c r="H481" s="29"/>
      <c r="I481" s="29"/>
      <c r="J481" s="29"/>
      <c r="K481" s="29"/>
      <c r="L481" s="29"/>
      <c r="M481" s="31"/>
    </row>
    <row r="482" spans="1:13">
      <c r="A482" s="28" t="str">
        <f t="shared" si="8"/>
        <v/>
      </c>
      <c r="B482" s="29"/>
      <c r="C482" s="29"/>
      <c r="D482" s="29"/>
      <c r="E482" s="29"/>
      <c r="F482" s="29"/>
      <c r="G482" s="30"/>
      <c r="H482" s="29"/>
      <c r="I482" s="29"/>
      <c r="J482" s="29"/>
      <c r="K482" s="29"/>
      <c r="L482" s="29"/>
      <c r="M482" s="31"/>
    </row>
    <row r="483" spans="1:13">
      <c r="A483" s="28" t="str">
        <f t="shared" si="8"/>
        <v/>
      </c>
      <c r="B483" s="29"/>
      <c r="C483" s="29"/>
      <c r="D483" s="29"/>
      <c r="E483" s="29"/>
      <c r="F483" s="29"/>
      <c r="G483" s="30"/>
      <c r="H483" s="29"/>
      <c r="I483" s="29"/>
      <c r="J483" s="29"/>
      <c r="K483" s="29"/>
      <c r="L483" s="29"/>
      <c r="M483" s="31"/>
    </row>
    <row r="484" spans="1:13">
      <c r="A484" s="28" t="str">
        <f t="shared" si="8"/>
        <v/>
      </c>
      <c r="B484" s="29"/>
      <c r="C484" s="29"/>
      <c r="D484" s="29"/>
      <c r="E484" s="29"/>
      <c r="F484" s="29"/>
      <c r="G484" s="30"/>
      <c r="H484" s="29"/>
      <c r="I484" s="29"/>
      <c r="J484" s="29"/>
      <c r="K484" s="29"/>
      <c r="L484" s="29"/>
      <c r="M484" s="31"/>
    </row>
    <row r="485" spans="1:13">
      <c r="A485" s="28" t="str">
        <f t="shared" si="8"/>
        <v/>
      </c>
      <c r="B485" s="29"/>
      <c r="C485" s="29"/>
      <c r="D485" s="29"/>
      <c r="E485" s="29"/>
      <c r="F485" s="29"/>
      <c r="G485" s="30"/>
      <c r="H485" s="29"/>
      <c r="I485" s="29"/>
      <c r="J485" s="29"/>
      <c r="K485" s="29"/>
      <c r="L485" s="29"/>
      <c r="M485" s="31"/>
    </row>
    <row r="486" spans="1:13">
      <c r="A486" s="28" t="str">
        <f t="shared" si="8"/>
        <v/>
      </c>
      <c r="B486" s="29"/>
      <c r="C486" s="29"/>
      <c r="D486" s="29"/>
      <c r="E486" s="29"/>
      <c r="F486" s="29"/>
      <c r="G486" s="30"/>
      <c r="H486" s="29"/>
      <c r="I486" s="29"/>
      <c r="J486" s="29"/>
      <c r="K486" s="29"/>
      <c r="L486" s="29"/>
      <c r="M486" s="31"/>
    </row>
    <row r="487" spans="1:13">
      <c r="A487" s="28" t="str">
        <f t="shared" si="8"/>
        <v/>
      </c>
      <c r="B487" s="29"/>
      <c r="C487" s="29"/>
      <c r="D487" s="29"/>
      <c r="E487" s="29"/>
      <c r="F487" s="29"/>
      <c r="G487" s="30"/>
      <c r="H487" s="29"/>
      <c r="I487" s="29"/>
      <c r="J487" s="29"/>
      <c r="K487" s="29"/>
      <c r="L487" s="29"/>
      <c r="M487" s="31"/>
    </row>
    <row r="488" spans="1:13">
      <c r="A488" s="28" t="str">
        <f t="shared" si="8"/>
        <v/>
      </c>
      <c r="B488" s="29"/>
      <c r="C488" s="29"/>
      <c r="D488" s="29"/>
      <c r="E488" s="29"/>
      <c r="F488" s="29"/>
      <c r="G488" s="30"/>
      <c r="H488" s="29"/>
      <c r="I488" s="29"/>
      <c r="J488" s="29"/>
      <c r="K488" s="29"/>
      <c r="L488" s="29"/>
      <c r="M488" s="31"/>
    </row>
    <row r="489" spans="1:13">
      <c r="A489" s="28" t="str">
        <f t="shared" si="8"/>
        <v/>
      </c>
      <c r="B489" s="29"/>
      <c r="C489" s="29"/>
      <c r="D489" s="29"/>
      <c r="E489" s="29"/>
      <c r="F489" s="29"/>
      <c r="G489" s="30"/>
      <c r="H489" s="29"/>
      <c r="I489" s="29"/>
      <c r="J489" s="29"/>
      <c r="K489" s="29"/>
      <c r="L489" s="29"/>
      <c r="M489" s="31"/>
    </row>
    <row r="490" spans="1:13">
      <c r="A490" s="28" t="str">
        <f t="shared" si="8"/>
        <v/>
      </c>
      <c r="B490" s="29"/>
      <c r="C490" s="29"/>
      <c r="D490" s="29"/>
      <c r="E490" s="29"/>
      <c r="F490" s="29"/>
      <c r="G490" s="30"/>
      <c r="H490" s="29"/>
      <c r="I490" s="29"/>
      <c r="J490" s="29"/>
      <c r="K490" s="29"/>
      <c r="L490" s="29"/>
      <c r="M490" s="31"/>
    </row>
    <row r="491" spans="1:13">
      <c r="A491" s="28" t="str">
        <f t="shared" si="8"/>
        <v/>
      </c>
      <c r="B491" s="29"/>
      <c r="C491" s="29"/>
      <c r="D491" s="29"/>
      <c r="E491" s="29"/>
      <c r="F491" s="29"/>
      <c r="G491" s="30"/>
      <c r="H491" s="29"/>
      <c r="I491" s="29"/>
      <c r="J491" s="29"/>
      <c r="K491" s="29"/>
      <c r="L491" s="29"/>
      <c r="M491" s="31"/>
    </row>
    <row r="492" spans="1:13">
      <c r="A492" s="28" t="str">
        <f t="shared" si="8"/>
        <v/>
      </c>
      <c r="B492" s="29"/>
      <c r="C492" s="29"/>
      <c r="D492" s="29"/>
      <c r="E492" s="29"/>
      <c r="F492" s="29"/>
      <c r="G492" s="30"/>
      <c r="H492" s="29"/>
      <c r="I492" s="29"/>
      <c r="J492" s="29"/>
      <c r="K492" s="29"/>
      <c r="L492" s="29"/>
      <c r="M492" s="31"/>
    </row>
    <row r="493" spans="1:13">
      <c r="A493" s="28" t="str">
        <f t="shared" si="8"/>
        <v/>
      </c>
      <c r="B493" s="29"/>
      <c r="C493" s="29"/>
      <c r="D493" s="29"/>
      <c r="E493" s="29"/>
      <c r="F493" s="29"/>
      <c r="G493" s="30"/>
      <c r="H493" s="29"/>
      <c r="I493" s="29"/>
      <c r="J493" s="29"/>
      <c r="K493" s="29"/>
      <c r="L493" s="29"/>
      <c r="M493" s="31"/>
    </row>
    <row r="494" spans="1:13">
      <c r="A494" s="28" t="str">
        <f t="shared" si="8"/>
        <v/>
      </c>
      <c r="B494" s="29"/>
      <c r="C494" s="29"/>
      <c r="D494" s="29"/>
      <c r="E494" s="29"/>
      <c r="F494" s="29"/>
      <c r="G494" s="30"/>
      <c r="H494" s="29"/>
      <c r="I494" s="29"/>
      <c r="J494" s="29"/>
      <c r="K494" s="29"/>
      <c r="L494" s="29"/>
      <c r="M494" s="31"/>
    </row>
    <row r="495" spans="1:13">
      <c r="A495" s="28" t="str">
        <f t="shared" si="8"/>
        <v/>
      </c>
      <c r="B495" s="29"/>
      <c r="C495" s="29"/>
      <c r="D495" s="29"/>
      <c r="E495" s="29"/>
      <c r="F495" s="29"/>
      <c r="G495" s="30"/>
      <c r="H495" s="29"/>
      <c r="I495" s="29"/>
      <c r="J495" s="29"/>
      <c r="K495" s="29"/>
      <c r="L495" s="29"/>
      <c r="M495" s="31"/>
    </row>
    <row r="496" spans="1:13">
      <c r="A496" s="28" t="str">
        <f t="shared" si="8"/>
        <v/>
      </c>
      <c r="B496" s="29"/>
      <c r="C496" s="29"/>
      <c r="D496" s="29"/>
      <c r="E496" s="29"/>
      <c r="F496" s="29"/>
      <c r="G496" s="30"/>
      <c r="H496" s="29"/>
      <c r="I496" s="29"/>
      <c r="J496" s="29"/>
      <c r="K496" s="29"/>
      <c r="L496" s="29"/>
      <c r="M496" s="31"/>
    </row>
    <row r="497" spans="1:13">
      <c r="A497" s="28" t="str">
        <f t="shared" si="8"/>
        <v/>
      </c>
      <c r="B497" s="29"/>
      <c r="C497" s="29"/>
      <c r="D497" s="29"/>
      <c r="E497" s="29"/>
      <c r="F497" s="29"/>
      <c r="G497" s="30"/>
      <c r="H497" s="29"/>
      <c r="I497" s="29"/>
      <c r="J497" s="29"/>
      <c r="K497" s="29"/>
      <c r="L497" s="29"/>
      <c r="M497" s="31"/>
    </row>
    <row r="498" spans="1:13">
      <c r="A498" s="28" t="str">
        <f t="shared" si="8"/>
        <v/>
      </c>
      <c r="B498" s="29"/>
      <c r="C498" s="29"/>
      <c r="D498" s="29"/>
      <c r="E498" s="29"/>
      <c r="F498" s="29"/>
      <c r="G498" s="30"/>
      <c r="H498" s="29"/>
      <c r="I498" s="29"/>
      <c r="J498" s="29"/>
      <c r="K498" s="29"/>
      <c r="L498" s="29"/>
      <c r="M498" s="31"/>
    </row>
    <row r="499" spans="1:13">
      <c r="A499" s="28" t="str">
        <f t="shared" si="8"/>
        <v/>
      </c>
      <c r="B499" s="29"/>
      <c r="C499" s="29"/>
      <c r="D499" s="29"/>
      <c r="E499" s="29"/>
      <c r="F499" s="29"/>
      <c r="G499" s="30"/>
      <c r="H499" s="29"/>
      <c r="I499" s="29"/>
      <c r="J499" s="29"/>
      <c r="K499" s="29"/>
      <c r="L499" s="29"/>
      <c r="M499" s="31"/>
    </row>
    <row r="500" spans="1:13">
      <c r="A500" s="28" t="str">
        <f t="shared" si="8"/>
        <v/>
      </c>
      <c r="B500" s="29"/>
      <c r="C500" s="29"/>
      <c r="D500" s="29"/>
      <c r="E500" s="29"/>
      <c r="F500" s="29"/>
      <c r="G500" s="30"/>
      <c r="H500" s="29"/>
      <c r="I500" s="29"/>
      <c r="J500" s="29"/>
      <c r="K500" s="29"/>
      <c r="L500" s="29"/>
      <c r="M500" s="31"/>
    </row>
    <row r="501" spans="1:13">
      <c r="A501" s="28" t="str">
        <f t="shared" si="8"/>
        <v/>
      </c>
      <c r="B501" s="29"/>
      <c r="C501" s="29"/>
      <c r="D501" s="29"/>
      <c r="E501" s="29"/>
      <c r="F501" s="29"/>
      <c r="G501" s="30"/>
      <c r="H501" s="29"/>
      <c r="I501" s="29"/>
      <c r="J501" s="29"/>
      <c r="K501" s="29"/>
      <c r="L501" s="29"/>
      <c r="M501" s="31"/>
    </row>
    <row r="502" spans="1:13">
      <c r="A502" s="28" t="str">
        <f t="shared" si="8"/>
        <v/>
      </c>
      <c r="B502" s="29"/>
      <c r="C502" s="29"/>
      <c r="D502" s="29"/>
      <c r="E502" s="29"/>
      <c r="F502" s="29"/>
      <c r="G502" s="30"/>
      <c r="H502" s="29"/>
      <c r="I502" s="29"/>
      <c r="J502" s="29"/>
      <c r="K502" s="29"/>
      <c r="L502" s="29"/>
      <c r="M502" s="31"/>
    </row>
    <row r="503" spans="1:13">
      <c r="A503" s="28" t="str">
        <f t="shared" si="8"/>
        <v/>
      </c>
      <c r="B503" s="29"/>
      <c r="C503" s="29"/>
      <c r="D503" s="29"/>
      <c r="E503" s="29"/>
      <c r="F503" s="29"/>
      <c r="G503" s="30"/>
      <c r="H503" s="29"/>
      <c r="I503" s="29"/>
      <c r="J503" s="29"/>
      <c r="K503" s="29"/>
      <c r="L503" s="29"/>
      <c r="M503" s="31"/>
    </row>
    <row r="504" spans="1:13">
      <c r="A504" s="28" t="str">
        <f t="shared" si="8"/>
        <v/>
      </c>
      <c r="B504" s="29"/>
      <c r="C504" s="29"/>
      <c r="D504" s="29"/>
      <c r="E504" s="29"/>
      <c r="F504" s="29"/>
      <c r="G504" s="30"/>
      <c r="H504" s="29"/>
      <c r="I504" s="29"/>
      <c r="J504" s="29"/>
      <c r="K504" s="29"/>
      <c r="L504" s="29"/>
      <c r="M504" s="31"/>
    </row>
    <row r="505" spans="1:13">
      <c r="A505" s="28" t="str">
        <f t="shared" si="8"/>
        <v/>
      </c>
      <c r="B505" s="29"/>
      <c r="C505" s="29"/>
      <c r="D505" s="29"/>
      <c r="E505" s="29"/>
      <c r="F505" s="29"/>
      <c r="G505" s="30"/>
      <c r="H505" s="29"/>
      <c r="I505" s="29"/>
      <c r="J505" s="29"/>
      <c r="K505" s="29"/>
      <c r="L505" s="29"/>
      <c r="M505" s="31"/>
    </row>
    <row r="506" spans="1:13">
      <c r="A506" s="28" t="str">
        <f t="shared" si="8"/>
        <v/>
      </c>
      <c r="B506" s="29"/>
      <c r="C506" s="29"/>
      <c r="D506" s="29"/>
      <c r="E506" s="29"/>
      <c r="F506" s="29"/>
      <c r="G506" s="30"/>
      <c r="H506" s="29"/>
      <c r="I506" s="29"/>
      <c r="J506" s="29"/>
      <c r="K506" s="29"/>
      <c r="L506" s="29"/>
      <c r="M506" s="31"/>
    </row>
    <row r="507" spans="1:13">
      <c r="A507" s="28" t="str">
        <f t="shared" si="8"/>
        <v/>
      </c>
      <c r="B507" s="29"/>
      <c r="C507" s="29"/>
      <c r="D507" s="29"/>
      <c r="E507" s="29"/>
      <c r="F507" s="29"/>
      <c r="G507" s="30"/>
      <c r="H507" s="29"/>
      <c r="I507" s="29"/>
      <c r="J507" s="29"/>
      <c r="K507" s="29"/>
      <c r="L507" s="29"/>
      <c r="M507" s="31"/>
    </row>
    <row r="508" spans="1:13">
      <c r="A508" s="28" t="str">
        <f t="shared" si="8"/>
        <v/>
      </c>
      <c r="B508" s="29"/>
      <c r="C508" s="29"/>
      <c r="D508" s="29"/>
      <c r="E508" s="29"/>
      <c r="F508" s="29"/>
      <c r="G508" s="30"/>
      <c r="H508" s="29"/>
      <c r="I508" s="29"/>
      <c r="J508" s="29"/>
      <c r="K508" s="29"/>
      <c r="L508" s="29"/>
      <c r="M508" s="31"/>
    </row>
    <row r="509" spans="1:13">
      <c r="A509" s="28" t="str">
        <f t="shared" si="8"/>
        <v/>
      </c>
      <c r="B509" s="29"/>
      <c r="C509" s="29"/>
      <c r="D509" s="29"/>
      <c r="E509" s="29"/>
      <c r="F509" s="29"/>
      <c r="G509" s="30"/>
      <c r="H509" s="29"/>
      <c r="I509" s="29"/>
      <c r="J509" s="29"/>
      <c r="K509" s="29"/>
      <c r="L509" s="29"/>
      <c r="M509" s="31"/>
    </row>
    <row r="510" spans="1:13">
      <c r="A510" s="28" t="str">
        <f t="shared" si="8"/>
        <v/>
      </c>
      <c r="B510" s="29"/>
      <c r="C510" s="29"/>
      <c r="D510" s="29"/>
      <c r="E510" s="29"/>
      <c r="F510" s="29"/>
      <c r="G510" s="30"/>
      <c r="H510" s="29"/>
      <c r="I510" s="29"/>
      <c r="J510" s="29"/>
      <c r="K510" s="29"/>
      <c r="L510" s="29"/>
      <c r="M510" s="31"/>
    </row>
    <row r="511" spans="1:13">
      <c r="A511" s="28" t="str">
        <f t="shared" si="8"/>
        <v/>
      </c>
      <c r="B511" s="29"/>
      <c r="C511" s="29"/>
      <c r="D511" s="29"/>
      <c r="E511" s="29"/>
      <c r="F511" s="29"/>
      <c r="G511" s="30"/>
      <c r="H511" s="29"/>
      <c r="I511" s="29"/>
      <c r="J511" s="29"/>
      <c r="K511" s="29"/>
      <c r="L511" s="29"/>
      <c r="M511" s="31"/>
    </row>
    <row r="512" spans="1:13">
      <c r="A512" s="28" t="str">
        <f t="shared" si="8"/>
        <v/>
      </c>
      <c r="B512" s="29"/>
      <c r="C512" s="29"/>
      <c r="D512" s="29"/>
      <c r="E512" s="29"/>
      <c r="F512" s="29"/>
      <c r="G512" s="30"/>
      <c r="H512" s="29"/>
      <c r="I512" s="29"/>
      <c r="J512" s="29"/>
      <c r="K512" s="29"/>
      <c r="L512" s="29"/>
      <c r="M512" s="31"/>
    </row>
    <row r="513" spans="1:13">
      <c r="A513" s="28" t="str">
        <f t="shared" si="8"/>
        <v/>
      </c>
      <c r="B513" s="29"/>
      <c r="C513" s="29"/>
      <c r="D513" s="29"/>
      <c r="E513" s="29"/>
      <c r="F513" s="29"/>
      <c r="G513" s="30"/>
      <c r="H513" s="29"/>
      <c r="I513" s="29"/>
      <c r="J513" s="29"/>
      <c r="K513" s="29"/>
      <c r="L513" s="29"/>
      <c r="M513" s="31"/>
    </row>
    <row r="514" spans="1:13">
      <c r="A514" s="28" t="str">
        <f t="shared" si="8"/>
        <v/>
      </c>
      <c r="B514" s="29"/>
      <c r="C514" s="29"/>
      <c r="D514" s="29"/>
      <c r="E514" s="29"/>
      <c r="F514" s="29"/>
      <c r="G514" s="30"/>
      <c r="H514" s="29"/>
      <c r="I514" s="29"/>
      <c r="J514" s="29"/>
      <c r="K514" s="29"/>
      <c r="L514" s="29"/>
      <c r="M514" s="31"/>
    </row>
    <row r="515" spans="1:13">
      <c r="A515" s="28" t="str">
        <f t="shared" si="8"/>
        <v/>
      </c>
      <c r="B515" s="29"/>
      <c r="C515" s="29"/>
      <c r="D515" s="29"/>
      <c r="E515" s="29"/>
      <c r="F515" s="29"/>
      <c r="G515" s="30"/>
      <c r="H515" s="29"/>
      <c r="I515" s="29"/>
      <c r="J515" s="29"/>
      <c r="K515" s="29"/>
      <c r="L515" s="29"/>
      <c r="M515" s="31"/>
    </row>
    <row r="516" spans="1:13">
      <c r="A516" s="28" t="str">
        <f t="shared" si="8"/>
        <v/>
      </c>
      <c r="B516" s="29"/>
      <c r="C516" s="29"/>
      <c r="D516" s="29"/>
      <c r="E516" s="29"/>
      <c r="F516" s="29"/>
      <c r="G516" s="30"/>
      <c r="H516" s="29"/>
      <c r="I516" s="29"/>
      <c r="J516" s="29"/>
      <c r="K516" s="29"/>
      <c r="L516" s="29"/>
      <c r="M516" s="31"/>
    </row>
    <row r="517" spans="1:13">
      <c r="A517" s="28" t="str">
        <f t="shared" si="8"/>
        <v/>
      </c>
      <c r="B517" s="29"/>
      <c r="C517" s="29"/>
      <c r="D517" s="29"/>
      <c r="E517" s="29"/>
      <c r="F517" s="29"/>
      <c r="G517" s="30"/>
      <c r="H517" s="29"/>
      <c r="I517" s="29"/>
      <c r="J517" s="29"/>
      <c r="K517" s="29"/>
      <c r="L517" s="29"/>
      <c r="M517" s="31"/>
    </row>
    <row r="518" spans="1:13">
      <c r="A518" s="28" t="str">
        <f t="shared" si="8"/>
        <v/>
      </c>
      <c r="B518" s="29"/>
      <c r="C518" s="29"/>
      <c r="D518" s="29"/>
      <c r="E518" s="29"/>
      <c r="F518" s="29"/>
      <c r="G518" s="30"/>
      <c r="H518" s="29"/>
      <c r="I518" s="29"/>
      <c r="J518" s="29"/>
      <c r="K518" s="29"/>
      <c r="L518" s="29"/>
      <c r="M518" s="31"/>
    </row>
    <row r="519" spans="1:13">
      <c r="A519" s="28" t="str">
        <f t="shared" si="8"/>
        <v/>
      </c>
      <c r="B519" s="29"/>
      <c r="C519" s="29"/>
      <c r="D519" s="29"/>
      <c r="E519" s="29"/>
      <c r="F519" s="29"/>
      <c r="G519" s="30"/>
      <c r="H519" s="29"/>
      <c r="I519" s="29"/>
      <c r="J519" s="29"/>
      <c r="K519" s="29"/>
      <c r="L519" s="29"/>
      <c r="M519" s="31"/>
    </row>
    <row r="520" spans="1:13">
      <c r="A520" s="28" t="str">
        <f t="shared" si="8"/>
        <v/>
      </c>
      <c r="B520" s="29"/>
      <c r="C520" s="29"/>
      <c r="D520" s="29"/>
      <c r="E520" s="29"/>
      <c r="F520" s="29"/>
      <c r="G520" s="30"/>
      <c r="H520" s="29"/>
      <c r="I520" s="29"/>
      <c r="J520" s="29"/>
      <c r="K520" s="29"/>
      <c r="L520" s="29"/>
      <c r="M520" s="31"/>
    </row>
    <row r="521" spans="1:13">
      <c r="A521" s="28" t="str">
        <f t="shared" si="8"/>
        <v/>
      </c>
      <c r="B521" s="29"/>
      <c r="C521" s="29"/>
      <c r="D521" s="29"/>
      <c r="E521" s="29"/>
      <c r="F521" s="29"/>
      <c r="G521" s="30"/>
      <c r="H521" s="29"/>
      <c r="I521" s="29"/>
      <c r="J521" s="29"/>
      <c r="K521" s="29"/>
      <c r="L521" s="29"/>
      <c r="M521" s="31"/>
    </row>
    <row r="522" spans="1:13">
      <c r="A522" s="28" t="str">
        <f t="shared" si="8"/>
        <v/>
      </c>
      <c r="B522" s="29"/>
      <c r="C522" s="29"/>
      <c r="D522" s="29"/>
      <c r="E522" s="29"/>
      <c r="F522" s="29"/>
      <c r="G522" s="30"/>
      <c r="H522" s="29"/>
      <c r="I522" s="29"/>
      <c r="J522" s="29"/>
      <c r="K522" s="29"/>
      <c r="L522" s="29"/>
      <c r="M522" s="31"/>
    </row>
    <row r="523" spans="1:13">
      <c r="A523" s="28" t="str">
        <f t="shared" si="8"/>
        <v/>
      </c>
      <c r="B523" s="29"/>
      <c r="C523" s="29"/>
      <c r="D523" s="29"/>
      <c r="E523" s="29"/>
      <c r="F523" s="29"/>
      <c r="G523" s="30"/>
      <c r="H523" s="29"/>
      <c r="I523" s="29"/>
      <c r="J523" s="29"/>
      <c r="K523" s="29"/>
      <c r="L523" s="29"/>
      <c r="M523" s="31"/>
    </row>
    <row r="524" spans="1:13">
      <c r="A524" s="28" t="str">
        <f t="shared" si="8"/>
        <v/>
      </c>
      <c r="B524" s="29"/>
      <c r="C524" s="29"/>
      <c r="D524" s="29"/>
      <c r="E524" s="29"/>
      <c r="F524" s="29"/>
      <c r="G524" s="30"/>
      <c r="H524" s="29"/>
      <c r="I524" s="29"/>
      <c r="J524" s="29"/>
      <c r="K524" s="29"/>
      <c r="L524" s="29"/>
      <c r="M524" s="31"/>
    </row>
    <row r="525" spans="1:13">
      <c r="A525" s="28" t="str">
        <f t="shared" si="8"/>
        <v/>
      </c>
      <c r="B525" s="29"/>
      <c r="C525" s="29"/>
      <c r="D525" s="29"/>
      <c r="E525" s="29"/>
      <c r="F525" s="29"/>
      <c r="G525" s="30"/>
      <c r="H525" s="29"/>
      <c r="I525" s="29"/>
      <c r="J525" s="29"/>
      <c r="K525" s="29"/>
      <c r="L525" s="29"/>
      <c r="M525" s="31"/>
    </row>
    <row r="526" spans="1:13">
      <c r="A526" s="28" t="str">
        <f t="shared" si="8"/>
        <v/>
      </c>
      <c r="B526" s="29"/>
      <c r="C526" s="29"/>
      <c r="D526" s="29"/>
      <c r="E526" s="29"/>
      <c r="F526" s="29"/>
      <c r="G526" s="30"/>
      <c r="H526" s="29"/>
      <c r="I526" s="29"/>
      <c r="J526" s="29"/>
      <c r="K526" s="29"/>
      <c r="L526" s="29"/>
      <c r="M526" s="31"/>
    </row>
    <row r="527" spans="1:13">
      <c r="A527" s="28" t="str">
        <f t="shared" si="8"/>
        <v/>
      </c>
      <c r="B527" s="29"/>
      <c r="C527" s="29"/>
      <c r="D527" s="29"/>
      <c r="E527" s="29"/>
      <c r="F527" s="29"/>
      <c r="G527" s="30"/>
      <c r="H527" s="29"/>
      <c r="I527" s="29"/>
      <c r="J527" s="29"/>
      <c r="K527" s="29"/>
      <c r="L527" s="29"/>
      <c r="M527" s="31"/>
    </row>
    <row r="528" spans="1:13">
      <c r="A528" s="28" t="str">
        <f t="shared" si="8"/>
        <v/>
      </c>
      <c r="B528" s="29"/>
      <c r="C528" s="29"/>
      <c r="D528" s="29"/>
      <c r="E528" s="29"/>
      <c r="F528" s="29"/>
      <c r="G528" s="30"/>
      <c r="H528" s="29"/>
      <c r="I528" s="29"/>
      <c r="J528" s="29"/>
      <c r="K528" s="29"/>
      <c r="L528" s="29"/>
      <c r="M528" s="31"/>
    </row>
    <row r="529" spans="1:13">
      <c r="A529" s="28" t="str">
        <f t="shared" si="8"/>
        <v/>
      </c>
      <c r="B529" s="29"/>
      <c r="C529" s="29"/>
      <c r="D529" s="29"/>
      <c r="E529" s="29"/>
      <c r="F529" s="29"/>
      <c r="G529" s="30"/>
      <c r="H529" s="29"/>
      <c r="I529" s="29"/>
      <c r="J529" s="29"/>
      <c r="K529" s="29"/>
      <c r="L529" s="29"/>
      <c r="M529" s="31"/>
    </row>
    <row r="530" spans="1:13">
      <c r="A530" s="28" t="str">
        <f t="shared" si="8"/>
        <v/>
      </c>
      <c r="B530" s="29"/>
      <c r="C530" s="29"/>
      <c r="D530" s="29"/>
      <c r="E530" s="29"/>
      <c r="F530" s="29"/>
      <c r="G530" s="30"/>
      <c r="H530" s="29"/>
      <c r="I530" s="29"/>
      <c r="J530" s="29"/>
      <c r="K530" s="29"/>
      <c r="L530" s="29"/>
      <c r="M530" s="31"/>
    </row>
    <row r="531" spans="1:13">
      <c r="A531" s="28" t="str">
        <f t="shared" si="8"/>
        <v/>
      </c>
      <c r="B531" s="29"/>
      <c r="C531" s="29"/>
      <c r="D531" s="29"/>
      <c r="E531" s="29"/>
      <c r="F531" s="29"/>
      <c r="G531" s="30"/>
      <c r="H531" s="29"/>
      <c r="I531" s="29"/>
      <c r="J531" s="29"/>
      <c r="K531" s="29"/>
      <c r="L531" s="29"/>
      <c r="M531" s="31"/>
    </row>
    <row r="532" spans="1:13">
      <c r="A532" s="28" t="str">
        <f t="shared" si="8"/>
        <v/>
      </c>
      <c r="B532" s="29"/>
      <c r="C532" s="29"/>
      <c r="D532" s="29"/>
      <c r="E532" s="29"/>
      <c r="F532" s="29"/>
      <c r="G532" s="30"/>
      <c r="H532" s="29"/>
      <c r="I532" s="29"/>
      <c r="J532" s="29"/>
      <c r="K532" s="29"/>
      <c r="L532" s="29"/>
      <c r="M532" s="31"/>
    </row>
    <row r="533" spans="1:13">
      <c r="A533" s="28" t="str">
        <f t="shared" ref="A533:A596" si="9">IF(D533="","",ROW()-4)</f>
        <v/>
      </c>
      <c r="B533" s="29"/>
      <c r="C533" s="29"/>
      <c r="D533" s="29"/>
      <c r="E533" s="29"/>
      <c r="F533" s="29"/>
      <c r="G533" s="30"/>
      <c r="H533" s="29"/>
      <c r="I533" s="29"/>
      <c r="J533" s="29"/>
      <c r="K533" s="29"/>
      <c r="L533" s="29"/>
      <c r="M533" s="31"/>
    </row>
    <row r="534" spans="1:13">
      <c r="A534" s="28" t="str">
        <f t="shared" si="9"/>
        <v/>
      </c>
      <c r="B534" s="29"/>
      <c r="C534" s="29"/>
      <c r="D534" s="29"/>
      <c r="E534" s="29"/>
      <c r="F534" s="29"/>
      <c r="G534" s="30"/>
      <c r="H534" s="29"/>
      <c r="I534" s="29"/>
      <c r="J534" s="29"/>
      <c r="K534" s="29"/>
      <c r="L534" s="29"/>
      <c r="M534" s="31"/>
    </row>
    <row r="535" spans="1:13">
      <c r="A535" s="28" t="str">
        <f t="shared" si="9"/>
        <v/>
      </c>
      <c r="B535" s="29"/>
      <c r="C535" s="29"/>
      <c r="D535" s="29"/>
      <c r="E535" s="29"/>
      <c r="F535" s="29"/>
      <c r="G535" s="30"/>
      <c r="H535" s="29"/>
      <c r="I535" s="29"/>
      <c r="J535" s="29"/>
      <c r="K535" s="29"/>
      <c r="L535" s="29"/>
      <c r="M535" s="31"/>
    </row>
    <row r="536" spans="1:13">
      <c r="A536" s="28" t="str">
        <f t="shared" si="9"/>
        <v/>
      </c>
      <c r="B536" s="29"/>
      <c r="C536" s="29"/>
      <c r="D536" s="29"/>
      <c r="E536" s="29"/>
      <c r="F536" s="29"/>
      <c r="G536" s="30"/>
      <c r="H536" s="29"/>
      <c r="I536" s="29"/>
      <c r="J536" s="29"/>
      <c r="K536" s="29"/>
      <c r="L536" s="29"/>
      <c r="M536" s="31"/>
    </row>
    <row r="537" spans="1:13">
      <c r="A537" s="28" t="str">
        <f t="shared" si="9"/>
        <v/>
      </c>
      <c r="B537" s="29"/>
      <c r="C537" s="29"/>
      <c r="D537" s="29"/>
      <c r="E537" s="29"/>
      <c r="F537" s="29"/>
      <c r="G537" s="30"/>
      <c r="H537" s="29"/>
      <c r="I537" s="29"/>
      <c r="J537" s="29"/>
      <c r="K537" s="29"/>
      <c r="L537" s="29"/>
      <c r="M537" s="31"/>
    </row>
    <row r="538" spans="1:13">
      <c r="A538" s="28" t="str">
        <f t="shared" si="9"/>
        <v/>
      </c>
      <c r="B538" s="29"/>
      <c r="C538" s="29"/>
      <c r="D538" s="29"/>
      <c r="E538" s="29"/>
      <c r="F538" s="29"/>
      <c r="G538" s="30"/>
      <c r="H538" s="29"/>
      <c r="I538" s="29"/>
      <c r="J538" s="29"/>
      <c r="K538" s="29"/>
      <c r="L538" s="29"/>
      <c r="M538" s="31"/>
    </row>
    <row r="539" spans="1:13">
      <c r="A539" s="28" t="str">
        <f t="shared" si="9"/>
        <v/>
      </c>
      <c r="B539" s="29"/>
      <c r="C539" s="29"/>
      <c r="D539" s="29"/>
      <c r="E539" s="29"/>
      <c r="F539" s="29"/>
      <c r="G539" s="30"/>
      <c r="H539" s="29"/>
      <c r="I539" s="29"/>
      <c r="J539" s="29"/>
      <c r="K539" s="29"/>
      <c r="L539" s="29"/>
      <c r="M539" s="31"/>
    </row>
    <row r="540" spans="1:13">
      <c r="A540" s="28" t="str">
        <f t="shared" si="9"/>
        <v/>
      </c>
      <c r="B540" s="29"/>
      <c r="C540" s="29"/>
      <c r="D540" s="29"/>
      <c r="E540" s="29"/>
      <c r="F540" s="29"/>
      <c r="G540" s="30"/>
      <c r="H540" s="29"/>
      <c r="I540" s="29"/>
      <c r="J540" s="29"/>
      <c r="K540" s="29"/>
      <c r="L540" s="29"/>
      <c r="M540" s="31"/>
    </row>
    <row r="541" spans="1:13">
      <c r="A541" s="28" t="str">
        <f t="shared" si="9"/>
        <v/>
      </c>
      <c r="B541" s="29"/>
      <c r="C541" s="29"/>
      <c r="D541" s="29"/>
      <c r="E541" s="29"/>
      <c r="F541" s="29"/>
      <c r="G541" s="30"/>
      <c r="H541" s="29"/>
      <c r="I541" s="29"/>
      <c r="J541" s="29"/>
      <c r="K541" s="29"/>
      <c r="L541" s="29"/>
      <c r="M541" s="31"/>
    </row>
    <row r="542" spans="1:13">
      <c r="A542" s="28" t="str">
        <f t="shared" si="9"/>
        <v/>
      </c>
      <c r="B542" s="29"/>
      <c r="C542" s="29"/>
      <c r="D542" s="29"/>
      <c r="E542" s="29"/>
      <c r="F542" s="29"/>
      <c r="G542" s="30"/>
      <c r="H542" s="29"/>
      <c r="I542" s="29"/>
      <c r="J542" s="29"/>
      <c r="K542" s="29"/>
      <c r="L542" s="29"/>
      <c r="M542" s="31"/>
    </row>
    <row r="543" spans="1:13">
      <c r="A543" s="28" t="str">
        <f t="shared" si="9"/>
        <v/>
      </c>
      <c r="B543" s="29"/>
      <c r="C543" s="29"/>
      <c r="D543" s="29"/>
      <c r="E543" s="29"/>
      <c r="F543" s="29"/>
      <c r="G543" s="30"/>
      <c r="H543" s="29"/>
      <c r="I543" s="29"/>
      <c r="J543" s="29"/>
      <c r="K543" s="29"/>
      <c r="L543" s="29"/>
      <c r="M543" s="31"/>
    </row>
    <row r="544" spans="1:13">
      <c r="A544" s="28" t="str">
        <f t="shared" si="9"/>
        <v/>
      </c>
      <c r="B544" s="29"/>
      <c r="C544" s="29"/>
      <c r="D544" s="29"/>
      <c r="E544" s="29"/>
      <c r="F544" s="29"/>
      <c r="G544" s="30"/>
      <c r="H544" s="29"/>
      <c r="I544" s="29"/>
      <c r="J544" s="29"/>
      <c r="K544" s="29"/>
      <c r="L544" s="29"/>
      <c r="M544" s="31"/>
    </row>
    <row r="545" spans="1:13">
      <c r="A545" s="28" t="str">
        <f t="shared" si="9"/>
        <v/>
      </c>
      <c r="B545" s="29"/>
      <c r="C545" s="29"/>
      <c r="D545" s="29"/>
      <c r="E545" s="29"/>
      <c r="F545" s="29"/>
      <c r="G545" s="30"/>
      <c r="H545" s="29"/>
      <c r="I545" s="29"/>
      <c r="J545" s="29"/>
      <c r="K545" s="29"/>
      <c r="L545" s="29"/>
      <c r="M545" s="31"/>
    </row>
    <row r="546" spans="1:13">
      <c r="A546" s="28" t="str">
        <f t="shared" si="9"/>
        <v/>
      </c>
      <c r="B546" s="29"/>
      <c r="C546" s="29"/>
      <c r="D546" s="29"/>
      <c r="E546" s="29"/>
      <c r="F546" s="29"/>
      <c r="G546" s="30"/>
      <c r="H546" s="29"/>
      <c r="I546" s="29"/>
      <c r="J546" s="29"/>
      <c r="K546" s="29"/>
      <c r="L546" s="29"/>
      <c r="M546" s="31"/>
    </row>
    <row r="547" spans="1:13">
      <c r="A547" s="28" t="str">
        <f t="shared" si="9"/>
        <v/>
      </c>
      <c r="B547" s="29"/>
      <c r="C547" s="29"/>
      <c r="D547" s="29"/>
      <c r="E547" s="29"/>
      <c r="F547" s="29"/>
      <c r="G547" s="30"/>
      <c r="H547" s="29"/>
      <c r="I547" s="29"/>
      <c r="J547" s="29"/>
      <c r="K547" s="29"/>
      <c r="L547" s="29"/>
      <c r="M547" s="31"/>
    </row>
    <row r="548" spans="1:13">
      <c r="A548" s="28" t="str">
        <f t="shared" si="9"/>
        <v/>
      </c>
      <c r="B548" s="29"/>
      <c r="C548" s="29"/>
      <c r="D548" s="29"/>
      <c r="E548" s="29"/>
      <c r="F548" s="29"/>
      <c r="G548" s="30"/>
      <c r="H548" s="29"/>
      <c r="I548" s="29"/>
      <c r="J548" s="29"/>
      <c r="K548" s="29"/>
      <c r="L548" s="29"/>
      <c r="M548" s="31"/>
    </row>
    <row r="549" spans="1:13">
      <c r="A549" s="28" t="str">
        <f t="shared" si="9"/>
        <v/>
      </c>
      <c r="B549" s="29"/>
      <c r="C549" s="29"/>
      <c r="D549" s="29"/>
      <c r="E549" s="29"/>
      <c r="F549" s="29"/>
      <c r="G549" s="30"/>
      <c r="H549" s="29"/>
      <c r="I549" s="29"/>
      <c r="J549" s="29"/>
      <c r="K549" s="29"/>
      <c r="L549" s="29"/>
      <c r="M549" s="31"/>
    </row>
    <row r="550" spans="1:13">
      <c r="A550" s="28" t="str">
        <f t="shared" si="9"/>
        <v/>
      </c>
      <c r="B550" s="29"/>
      <c r="C550" s="29"/>
      <c r="D550" s="29"/>
      <c r="E550" s="29"/>
      <c r="F550" s="29"/>
      <c r="G550" s="30"/>
      <c r="H550" s="29"/>
      <c r="I550" s="29"/>
      <c r="J550" s="29"/>
      <c r="K550" s="29"/>
      <c r="L550" s="29"/>
      <c r="M550" s="31"/>
    </row>
    <row r="551" spans="1:13">
      <c r="A551" s="28" t="str">
        <f t="shared" si="9"/>
        <v/>
      </c>
      <c r="B551" s="29"/>
      <c r="C551" s="29"/>
      <c r="D551" s="29"/>
      <c r="E551" s="29"/>
      <c r="F551" s="29"/>
      <c r="G551" s="30"/>
      <c r="H551" s="29"/>
      <c r="I551" s="29"/>
      <c r="J551" s="29"/>
      <c r="K551" s="29"/>
      <c r="L551" s="29"/>
      <c r="M551" s="31"/>
    </row>
    <row r="552" spans="1:13">
      <c r="A552" s="28" t="str">
        <f t="shared" si="9"/>
        <v/>
      </c>
      <c r="B552" s="29"/>
      <c r="C552" s="29"/>
      <c r="D552" s="29"/>
      <c r="E552" s="29"/>
      <c r="F552" s="29"/>
      <c r="G552" s="30"/>
      <c r="H552" s="29"/>
      <c r="I552" s="29"/>
      <c r="J552" s="29"/>
      <c r="K552" s="29"/>
      <c r="L552" s="29"/>
      <c r="M552" s="31"/>
    </row>
    <row r="553" spans="1:13">
      <c r="A553" s="28" t="str">
        <f t="shared" si="9"/>
        <v/>
      </c>
      <c r="B553" s="29"/>
      <c r="C553" s="29"/>
      <c r="D553" s="29"/>
      <c r="E553" s="29"/>
      <c r="F553" s="29"/>
      <c r="G553" s="30"/>
      <c r="H553" s="29"/>
      <c r="I553" s="29"/>
      <c r="J553" s="29"/>
      <c r="K553" s="29"/>
      <c r="L553" s="29"/>
      <c r="M553" s="31"/>
    </row>
    <row r="554" spans="1:13">
      <c r="A554" s="28" t="str">
        <f t="shared" si="9"/>
        <v/>
      </c>
      <c r="B554" s="29"/>
      <c r="C554" s="29"/>
      <c r="D554" s="29"/>
      <c r="E554" s="29"/>
      <c r="F554" s="29"/>
      <c r="G554" s="30"/>
      <c r="H554" s="29"/>
      <c r="I554" s="29"/>
      <c r="J554" s="29"/>
      <c r="K554" s="29"/>
      <c r="L554" s="29"/>
      <c r="M554" s="31"/>
    </row>
    <row r="555" spans="1:13">
      <c r="A555" s="28" t="str">
        <f t="shared" si="9"/>
        <v/>
      </c>
      <c r="B555" s="29"/>
      <c r="C555" s="29"/>
      <c r="D555" s="29"/>
      <c r="E555" s="29"/>
      <c r="F555" s="29"/>
      <c r="G555" s="30"/>
      <c r="H555" s="29"/>
      <c r="I555" s="29"/>
      <c r="J555" s="29"/>
      <c r="K555" s="29"/>
      <c r="L555" s="29"/>
      <c r="M555" s="31"/>
    </row>
    <row r="556" spans="1:13">
      <c r="A556" s="28" t="str">
        <f t="shared" si="9"/>
        <v/>
      </c>
      <c r="B556" s="29"/>
      <c r="C556" s="29"/>
      <c r="D556" s="29"/>
      <c r="E556" s="29"/>
      <c r="F556" s="29"/>
      <c r="G556" s="30"/>
      <c r="H556" s="29"/>
      <c r="I556" s="29"/>
      <c r="J556" s="29"/>
      <c r="K556" s="29"/>
      <c r="L556" s="29"/>
      <c r="M556" s="31"/>
    </row>
    <row r="557" spans="1:13">
      <c r="A557" s="28" t="str">
        <f t="shared" si="9"/>
        <v/>
      </c>
      <c r="B557" s="29"/>
      <c r="C557" s="29"/>
      <c r="D557" s="29"/>
      <c r="E557" s="29"/>
      <c r="F557" s="29"/>
      <c r="G557" s="30"/>
      <c r="H557" s="29"/>
      <c r="I557" s="29"/>
      <c r="J557" s="29"/>
      <c r="K557" s="29"/>
      <c r="L557" s="29"/>
      <c r="M557" s="31"/>
    </row>
    <row r="558" spans="1:13">
      <c r="A558" s="28" t="str">
        <f t="shared" si="9"/>
        <v/>
      </c>
      <c r="B558" s="29"/>
      <c r="C558" s="29"/>
      <c r="D558" s="29"/>
      <c r="E558" s="29"/>
      <c r="F558" s="29"/>
      <c r="G558" s="30"/>
      <c r="H558" s="29"/>
      <c r="I558" s="29"/>
      <c r="J558" s="29"/>
      <c r="K558" s="29"/>
      <c r="L558" s="29"/>
      <c r="M558" s="31"/>
    </row>
    <row r="559" spans="1:13">
      <c r="A559" s="28" t="str">
        <f t="shared" si="9"/>
        <v/>
      </c>
      <c r="B559" s="29"/>
      <c r="C559" s="29"/>
      <c r="D559" s="29"/>
      <c r="E559" s="29"/>
      <c r="F559" s="29"/>
      <c r="G559" s="30"/>
      <c r="H559" s="29"/>
      <c r="I559" s="29"/>
      <c r="J559" s="29"/>
      <c r="K559" s="29"/>
      <c r="L559" s="29"/>
      <c r="M559" s="31"/>
    </row>
    <row r="560" spans="1:13">
      <c r="A560" s="28" t="str">
        <f t="shared" si="9"/>
        <v/>
      </c>
      <c r="B560" s="29"/>
      <c r="C560" s="29"/>
      <c r="D560" s="29"/>
      <c r="E560" s="29"/>
      <c r="F560" s="29"/>
      <c r="G560" s="30"/>
      <c r="H560" s="29"/>
      <c r="I560" s="29"/>
      <c r="J560" s="29"/>
      <c r="K560" s="29"/>
      <c r="L560" s="29"/>
      <c r="M560" s="31"/>
    </row>
    <row r="561" spans="1:13">
      <c r="A561" s="28" t="str">
        <f t="shared" si="9"/>
        <v/>
      </c>
      <c r="B561" s="29"/>
      <c r="C561" s="29"/>
      <c r="D561" s="29"/>
      <c r="E561" s="29"/>
      <c r="F561" s="29"/>
      <c r="G561" s="30"/>
      <c r="H561" s="29"/>
      <c r="I561" s="29"/>
      <c r="J561" s="29"/>
      <c r="K561" s="29"/>
      <c r="L561" s="29"/>
      <c r="M561" s="31"/>
    </row>
    <row r="562" spans="1:13">
      <c r="A562" s="28" t="str">
        <f t="shared" si="9"/>
        <v/>
      </c>
      <c r="B562" s="29"/>
      <c r="C562" s="29"/>
      <c r="D562" s="29"/>
      <c r="E562" s="29"/>
      <c r="F562" s="29"/>
      <c r="G562" s="30"/>
      <c r="H562" s="29"/>
      <c r="I562" s="29"/>
      <c r="J562" s="29"/>
      <c r="K562" s="29"/>
      <c r="L562" s="29"/>
      <c r="M562" s="31"/>
    </row>
    <row r="563" spans="1:13">
      <c r="A563" s="28" t="str">
        <f t="shared" si="9"/>
        <v/>
      </c>
      <c r="B563" s="29"/>
      <c r="C563" s="29"/>
      <c r="D563" s="29"/>
      <c r="E563" s="29"/>
      <c r="F563" s="29"/>
      <c r="G563" s="30"/>
      <c r="H563" s="29"/>
      <c r="I563" s="29"/>
      <c r="J563" s="29"/>
      <c r="K563" s="29"/>
      <c r="L563" s="29"/>
      <c r="M563" s="31"/>
    </row>
    <row r="564" spans="1:13">
      <c r="A564" s="28" t="str">
        <f t="shared" si="9"/>
        <v/>
      </c>
      <c r="B564" s="29"/>
      <c r="C564" s="29"/>
      <c r="D564" s="29"/>
      <c r="E564" s="29"/>
      <c r="F564" s="29"/>
      <c r="G564" s="30"/>
      <c r="H564" s="29"/>
      <c r="I564" s="29"/>
      <c r="J564" s="29"/>
      <c r="K564" s="29"/>
      <c r="L564" s="29"/>
      <c r="M564" s="31"/>
    </row>
    <row r="565" spans="1:13">
      <c r="A565" s="28" t="str">
        <f t="shared" si="9"/>
        <v/>
      </c>
      <c r="B565" s="29"/>
      <c r="C565" s="29"/>
      <c r="D565" s="29"/>
      <c r="E565" s="29"/>
      <c r="F565" s="29"/>
      <c r="G565" s="30"/>
      <c r="H565" s="29"/>
      <c r="I565" s="29"/>
      <c r="J565" s="29"/>
      <c r="K565" s="29"/>
      <c r="L565" s="29"/>
      <c r="M565" s="31"/>
    </row>
    <row r="566" spans="1:13">
      <c r="A566" s="28" t="str">
        <f t="shared" si="9"/>
        <v/>
      </c>
      <c r="B566" s="29"/>
      <c r="C566" s="29"/>
      <c r="D566" s="29"/>
      <c r="E566" s="29"/>
      <c r="F566" s="29"/>
      <c r="G566" s="30"/>
      <c r="H566" s="29"/>
      <c r="I566" s="29"/>
      <c r="J566" s="29"/>
      <c r="K566" s="29"/>
      <c r="L566" s="29"/>
      <c r="M566" s="31"/>
    </row>
    <row r="567" spans="1:13">
      <c r="A567" s="28" t="str">
        <f t="shared" si="9"/>
        <v/>
      </c>
      <c r="B567" s="29"/>
      <c r="C567" s="29"/>
      <c r="D567" s="29"/>
      <c r="E567" s="29"/>
      <c r="F567" s="29"/>
      <c r="G567" s="30"/>
      <c r="H567" s="29"/>
      <c r="I567" s="29"/>
      <c r="J567" s="29"/>
      <c r="K567" s="29"/>
      <c r="L567" s="29"/>
      <c r="M567" s="31"/>
    </row>
    <row r="568" spans="1:13">
      <c r="A568" s="28" t="str">
        <f t="shared" si="9"/>
        <v/>
      </c>
      <c r="B568" s="29"/>
      <c r="C568" s="29"/>
      <c r="D568" s="29"/>
      <c r="E568" s="29"/>
      <c r="F568" s="29"/>
      <c r="G568" s="30"/>
      <c r="H568" s="29"/>
      <c r="I568" s="29"/>
      <c r="J568" s="29"/>
      <c r="K568" s="29"/>
      <c r="L568" s="29"/>
      <c r="M568" s="31"/>
    </row>
    <row r="569" spans="1:13">
      <c r="A569" s="28" t="str">
        <f t="shared" si="9"/>
        <v/>
      </c>
      <c r="B569" s="29"/>
      <c r="C569" s="29"/>
      <c r="D569" s="29"/>
      <c r="E569" s="29"/>
      <c r="F569" s="29"/>
      <c r="G569" s="30"/>
      <c r="H569" s="29"/>
      <c r="I569" s="29"/>
      <c r="J569" s="29"/>
      <c r="K569" s="29"/>
      <c r="L569" s="29"/>
      <c r="M569" s="31"/>
    </row>
    <row r="570" spans="1:13">
      <c r="A570" s="28" t="str">
        <f t="shared" si="9"/>
        <v/>
      </c>
      <c r="B570" s="29"/>
      <c r="C570" s="29"/>
      <c r="D570" s="29"/>
      <c r="E570" s="29"/>
      <c r="F570" s="29"/>
      <c r="G570" s="30"/>
      <c r="H570" s="29"/>
      <c r="I570" s="29"/>
      <c r="J570" s="29"/>
      <c r="K570" s="29"/>
      <c r="L570" s="29"/>
      <c r="M570" s="31"/>
    </row>
    <row r="571" spans="1:13">
      <c r="A571" s="28" t="str">
        <f t="shared" si="9"/>
        <v/>
      </c>
      <c r="B571" s="29"/>
      <c r="C571" s="29"/>
      <c r="D571" s="29"/>
      <c r="E571" s="29"/>
      <c r="F571" s="29"/>
      <c r="G571" s="30"/>
      <c r="H571" s="29"/>
      <c r="I571" s="29"/>
      <c r="J571" s="29"/>
      <c r="K571" s="29"/>
      <c r="L571" s="29"/>
      <c r="M571" s="31"/>
    </row>
    <row r="572" spans="1:13">
      <c r="A572" s="28" t="str">
        <f t="shared" si="9"/>
        <v/>
      </c>
      <c r="B572" s="29"/>
      <c r="C572" s="29"/>
      <c r="D572" s="29"/>
      <c r="E572" s="29"/>
      <c r="F572" s="29"/>
      <c r="G572" s="30"/>
      <c r="H572" s="29"/>
      <c r="I572" s="29"/>
      <c r="J572" s="29"/>
      <c r="K572" s="29"/>
      <c r="L572" s="29"/>
      <c r="M572" s="31"/>
    </row>
    <row r="573" spans="1:13">
      <c r="A573" s="28" t="str">
        <f t="shared" si="9"/>
        <v/>
      </c>
      <c r="B573" s="29"/>
      <c r="C573" s="29"/>
      <c r="D573" s="29"/>
      <c r="E573" s="29"/>
      <c r="F573" s="29"/>
      <c r="G573" s="30"/>
      <c r="H573" s="29"/>
      <c r="I573" s="29"/>
      <c r="J573" s="29"/>
      <c r="K573" s="29"/>
      <c r="L573" s="29"/>
      <c r="M573" s="31"/>
    </row>
    <row r="574" spans="1:13">
      <c r="A574" s="28" t="str">
        <f t="shared" si="9"/>
        <v/>
      </c>
      <c r="B574" s="29"/>
      <c r="C574" s="29"/>
      <c r="D574" s="29"/>
      <c r="E574" s="29"/>
      <c r="F574" s="29"/>
      <c r="G574" s="30"/>
      <c r="H574" s="29"/>
      <c r="I574" s="29"/>
      <c r="J574" s="29"/>
      <c r="K574" s="29"/>
      <c r="L574" s="29"/>
      <c r="M574" s="31"/>
    </row>
    <row r="575" spans="1:13">
      <c r="A575" s="28" t="str">
        <f t="shared" si="9"/>
        <v/>
      </c>
      <c r="B575" s="29"/>
      <c r="C575" s="29"/>
      <c r="D575" s="29"/>
      <c r="E575" s="29"/>
      <c r="F575" s="29"/>
      <c r="G575" s="30"/>
      <c r="H575" s="29"/>
      <c r="I575" s="29"/>
      <c r="J575" s="29"/>
      <c r="K575" s="29"/>
      <c r="L575" s="29"/>
      <c r="M575" s="31"/>
    </row>
    <row r="576" spans="1:13">
      <c r="A576" s="28" t="str">
        <f t="shared" si="9"/>
        <v/>
      </c>
      <c r="B576" s="29"/>
      <c r="C576" s="29"/>
      <c r="D576" s="29"/>
      <c r="E576" s="29"/>
      <c r="F576" s="29"/>
      <c r="G576" s="30"/>
      <c r="H576" s="29"/>
      <c r="I576" s="29"/>
      <c r="J576" s="29"/>
      <c r="K576" s="29"/>
      <c r="L576" s="29"/>
      <c r="M576" s="31"/>
    </row>
    <row r="577" spans="1:13">
      <c r="A577" s="28" t="str">
        <f t="shared" si="9"/>
        <v/>
      </c>
      <c r="B577" s="29"/>
      <c r="C577" s="29"/>
      <c r="D577" s="29"/>
      <c r="E577" s="29"/>
      <c r="F577" s="29"/>
      <c r="G577" s="30"/>
      <c r="H577" s="29"/>
      <c r="I577" s="29"/>
      <c r="J577" s="29"/>
      <c r="K577" s="29"/>
      <c r="L577" s="29"/>
      <c r="M577" s="31"/>
    </row>
    <row r="578" spans="1:13">
      <c r="A578" s="28" t="str">
        <f t="shared" si="9"/>
        <v/>
      </c>
      <c r="B578" s="29"/>
      <c r="C578" s="29"/>
      <c r="D578" s="29"/>
      <c r="E578" s="29"/>
      <c r="F578" s="29"/>
      <c r="G578" s="30"/>
      <c r="H578" s="29"/>
      <c r="I578" s="29"/>
      <c r="J578" s="29"/>
      <c r="K578" s="29"/>
      <c r="L578" s="29"/>
      <c r="M578" s="31"/>
    </row>
    <row r="579" spans="1:13">
      <c r="A579" s="28" t="str">
        <f t="shared" si="9"/>
        <v/>
      </c>
      <c r="B579" s="29"/>
      <c r="C579" s="29"/>
      <c r="D579" s="29"/>
      <c r="E579" s="29"/>
      <c r="F579" s="29"/>
      <c r="G579" s="30"/>
      <c r="H579" s="29"/>
      <c r="I579" s="29"/>
      <c r="J579" s="29"/>
      <c r="K579" s="29"/>
      <c r="L579" s="29"/>
      <c r="M579" s="31"/>
    </row>
    <row r="580" spans="1:13">
      <c r="A580" s="28" t="str">
        <f t="shared" si="9"/>
        <v/>
      </c>
      <c r="B580" s="29"/>
      <c r="C580" s="29"/>
      <c r="D580" s="29"/>
      <c r="E580" s="29"/>
      <c r="F580" s="29"/>
      <c r="G580" s="30"/>
      <c r="H580" s="29"/>
      <c r="I580" s="29"/>
      <c r="J580" s="29"/>
      <c r="K580" s="29"/>
      <c r="L580" s="29"/>
      <c r="M580" s="31"/>
    </row>
    <row r="581" spans="1:13">
      <c r="A581" s="28" t="str">
        <f t="shared" si="9"/>
        <v/>
      </c>
      <c r="B581" s="29"/>
      <c r="C581" s="29"/>
      <c r="D581" s="29"/>
      <c r="E581" s="29"/>
      <c r="F581" s="29"/>
      <c r="G581" s="30"/>
      <c r="H581" s="29"/>
      <c r="I581" s="29"/>
      <c r="J581" s="29"/>
      <c r="K581" s="29"/>
      <c r="L581" s="29"/>
      <c r="M581" s="31"/>
    </row>
    <row r="582" spans="1:13">
      <c r="A582" s="28" t="str">
        <f t="shared" si="9"/>
        <v/>
      </c>
      <c r="B582" s="29"/>
      <c r="C582" s="29"/>
      <c r="D582" s="29"/>
      <c r="E582" s="29"/>
      <c r="F582" s="29"/>
      <c r="G582" s="30"/>
      <c r="H582" s="29"/>
      <c r="I582" s="29"/>
      <c r="J582" s="29"/>
      <c r="K582" s="29"/>
      <c r="L582" s="29"/>
      <c r="M582" s="31"/>
    </row>
    <row r="583" spans="1:13">
      <c r="A583" s="28" t="str">
        <f t="shared" si="9"/>
        <v/>
      </c>
      <c r="B583" s="29"/>
      <c r="C583" s="29"/>
      <c r="D583" s="29"/>
      <c r="E583" s="29"/>
      <c r="F583" s="29"/>
      <c r="G583" s="30"/>
      <c r="H583" s="29"/>
      <c r="I583" s="29"/>
      <c r="J583" s="29"/>
      <c r="K583" s="29"/>
      <c r="L583" s="29"/>
      <c r="M583" s="31"/>
    </row>
    <row r="584" spans="1:13">
      <c r="A584" s="28" t="str">
        <f t="shared" si="9"/>
        <v/>
      </c>
      <c r="B584" s="29"/>
      <c r="C584" s="29"/>
      <c r="D584" s="29"/>
      <c r="E584" s="29"/>
      <c r="F584" s="29"/>
      <c r="G584" s="30"/>
      <c r="H584" s="29"/>
      <c r="I584" s="29"/>
      <c r="J584" s="29"/>
      <c r="K584" s="29"/>
      <c r="L584" s="29"/>
      <c r="M584" s="31"/>
    </row>
    <row r="585" spans="1:13">
      <c r="A585" s="28" t="str">
        <f t="shared" si="9"/>
        <v/>
      </c>
      <c r="B585" s="29"/>
      <c r="C585" s="29"/>
      <c r="D585" s="29"/>
      <c r="E585" s="29"/>
      <c r="F585" s="29"/>
      <c r="G585" s="30"/>
      <c r="H585" s="29"/>
      <c r="I585" s="29"/>
      <c r="J585" s="29"/>
      <c r="K585" s="29"/>
      <c r="L585" s="29"/>
      <c r="M585" s="31"/>
    </row>
    <row r="586" spans="1:13">
      <c r="A586" s="28" t="str">
        <f t="shared" si="9"/>
        <v/>
      </c>
      <c r="B586" s="29"/>
      <c r="C586" s="29"/>
      <c r="D586" s="29"/>
      <c r="E586" s="29"/>
      <c r="F586" s="29"/>
      <c r="G586" s="30"/>
      <c r="H586" s="29"/>
      <c r="I586" s="29"/>
      <c r="J586" s="29"/>
      <c r="K586" s="29"/>
      <c r="L586" s="29"/>
      <c r="M586" s="31"/>
    </row>
    <row r="587" spans="1:13">
      <c r="A587" s="28" t="str">
        <f t="shared" si="9"/>
        <v/>
      </c>
      <c r="B587" s="29"/>
      <c r="C587" s="29"/>
      <c r="D587" s="29"/>
      <c r="E587" s="29"/>
      <c r="F587" s="29"/>
      <c r="G587" s="30"/>
      <c r="H587" s="29"/>
      <c r="I587" s="29"/>
      <c r="J587" s="29"/>
      <c r="K587" s="29"/>
      <c r="L587" s="29"/>
      <c r="M587" s="31"/>
    </row>
    <row r="588" spans="1:13">
      <c r="A588" s="28" t="str">
        <f t="shared" si="9"/>
        <v/>
      </c>
      <c r="B588" s="29"/>
      <c r="C588" s="29"/>
      <c r="D588" s="29"/>
      <c r="E588" s="29"/>
      <c r="F588" s="29"/>
      <c r="G588" s="30"/>
      <c r="H588" s="29"/>
      <c r="I588" s="29"/>
      <c r="J588" s="29"/>
      <c r="K588" s="29"/>
      <c r="L588" s="29"/>
      <c r="M588" s="31"/>
    </row>
    <row r="589" spans="1:13">
      <c r="A589" s="28" t="str">
        <f t="shared" si="9"/>
        <v/>
      </c>
      <c r="B589" s="29"/>
      <c r="C589" s="29"/>
      <c r="D589" s="29"/>
      <c r="E589" s="29"/>
      <c r="F589" s="29"/>
      <c r="G589" s="30"/>
      <c r="H589" s="29"/>
      <c r="I589" s="29"/>
      <c r="J589" s="29"/>
      <c r="K589" s="29"/>
      <c r="L589" s="29"/>
      <c r="M589" s="31"/>
    </row>
    <row r="590" spans="1:13">
      <c r="A590" s="28" t="str">
        <f t="shared" si="9"/>
        <v/>
      </c>
      <c r="B590" s="29"/>
      <c r="C590" s="29"/>
      <c r="D590" s="29"/>
      <c r="E590" s="29"/>
      <c r="F590" s="29"/>
      <c r="G590" s="30"/>
      <c r="H590" s="29"/>
      <c r="I590" s="29"/>
      <c r="J590" s="29"/>
      <c r="K590" s="29"/>
      <c r="L590" s="29"/>
      <c r="M590" s="31"/>
    </row>
    <row r="591" spans="1:13">
      <c r="A591" s="28" t="str">
        <f t="shared" si="9"/>
        <v/>
      </c>
      <c r="B591" s="29"/>
      <c r="C591" s="29"/>
      <c r="D591" s="29"/>
      <c r="E591" s="29"/>
      <c r="F591" s="29"/>
      <c r="G591" s="30"/>
      <c r="H591" s="29"/>
      <c r="I591" s="29"/>
      <c r="J591" s="29"/>
      <c r="K591" s="29"/>
      <c r="L591" s="29"/>
      <c r="M591" s="31"/>
    </row>
    <row r="592" spans="1:13">
      <c r="A592" s="28" t="str">
        <f t="shared" si="9"/>
        <v/>
      </c>
      <c r="B592" s="29"/>
      <c r="C592" s="29"/>
      <c r="D592" s="29"/>
      <c r="E592" s="29"/>
      <c r="F592" s="29"/>
      <c r="G592" s="30"/>
      <c r="H592" s="29"/>
      <c r="I592" s="29"/>
      <c r="J592" s="29"/>
      <c r="K592" s="29"/>
      <c r="L592" s="29"/>
      <c r="M592" s="31"/>
    </row>
    <row r="593" spans="1:13">
      <c r="A593" s="28" t="str">
        <f t="shared" si="9"/>
        <v/>
      </c>
      <c r="B593" s="29"/>
      <c r="C593" s="29"/>
      <c r="D593" s="29"/>
      <c r="E593" s="29"/>
      <c r="F593" s="29"/>
      <c r="G593" s="30"/>
      <c r="H593" s="29"/>
      <c r="I593" s="29"/>
      <c r="J593" s="29"/>
      <c r="K593" s="29"/>
      <c r="L593" s="29"/>
      <c r="M593" s="31"/>
    </row>
    <row r="594" spans="1:13">
      <c r="A594" s="28" t="str">
        <f t="shared" si="9"/>
        <v/>
      </c>
      <c r="B594" s="29"/>
      <c r="C594" s="29"/>
      <c r="D594" s="29"/>
      <c r="E594" s="29"/>
      <c r="F594" s="29"/>
      <c r="G594" s="30"/>
      <c r="H594" s="29"/>
      <c r="I594" s="29"/>
      <c r="J594" s="29"/>
      <c r="K594" s="29"/>
      <c r="L594" s="29"/>
      <c r="M594" s="31"/>
    </row>
    <row r="595" spans="1:13">
      <c r="A595" s="28" t="str">
        <f t="shared" si="9"/>
        <v/>
      </c>
      <c r="B595" s="29"/>
      <c r="C595" s="29"/>
      <c r="D595" s="29"/>
      <c r="E595" s="29"/>
      <c r="F595" s="29"/>
      <c r="G595" s="30"/>
      <c r="H595" s="29"/>
      <c r="I595" s="29"/>
      <c r="J595" s="29"/>
      <c r="K595" s="29"/>
      <c r="L595" s="29"/>
      <c r="M595" s="31"/>
    </row>
    <row r="596" spans="1:13">
      <c r="A596" s="28" t="str">
        <f t="shared" si="9"/>
        <v/>
      </c>
      <c r="B596" s="29"/>
      <c r="C596" s="29"/>
      <c r="D596" s="29"/>
      <c r="E596" s="29"/>
      <c r="F596" s="29"/>
      <c r="G596" s="30"/>
      <c r="H596" s="29"/>
      <c r="I596" s="29"/>
      <c r="J596" s="29"/>
      <c r="K596" s="29"/>
      <c r="L596" s="29"/>
      <c r="M596" s="31"/>
    </row>
    <row r="597" spans="1:13">
      <c r="A597" s="28" t="str">
        <f t="shared" ref="A597:A660" si="10">IF(D597="","",ROW()-4)</f>
        <v/>
      </c>
      <c r="B597" s="29"/>
      <c r="C597" s="29"/>
      <c r="D597" s="29"/>
      <c r="E597" s="29"/>
      <c r="F597" s="29"/>
      <c r="G597" s="30"/>
      <c r="H597" s="29"/>
      <c r="I597" s="29"/>
      <c r="J597" s="29"/>
      <c r="K597" s="29"/>
      <c r="L597" s="29"/>
      <c r="M597" s="31"/>
    </row>
    <row r="598" spans="1:13">
      <c r="A598" s="28" t="str">
        <f t="shared" si="10"/>
        <v/>
      </c>
      <c r="B598" s="29"/>
      <c r="C598" s="29"/>
      <c r="D598" s="29"/>
      <c r="E598" s="29"/>
      <c r="F598" s="29"/>
      <c r="G598" s="30"/>
      <c r="H598" s="29"/>
      <c r="I598" s="29"/>
      <c r="J598" s="29"/>
      <c r="K598" s="29"/>
      <c r="L598" s="29"/>
      <c r="M598" s="31"/>
    </row>
    <row r="599" spans="1:13">
      <c r="A599" s="28" t="str">
        <f t="shared" si="10"/>
        <v/>
      </c>
      <c r="B599" s="29"/>
      <c r="C599" s="29"/>
      <c r="D599" s="29"/>
      <c r="E599" s="29"/>
      <c r="F599" s="29"/>
      <c r="G599" s="30"/>
      <c r="H599" s="29"/>
      <c r="I599" s="29"/>
      <c r="J599" s="29"/>
      <c r="K599" s="29"/>
      <c r="L599" s="29"/>
      <c r="M599" s="31"/>
    </row>
    <row r="600" spans="1:13">
      <c r="A600" s="28" t="str">
        <f t="shared" si="10"/>
        <v/>
      </c>
      <c r="B600" s="29"/>
      <c r="C600" s="29"/>
      <c r="D600" s="29"/>
      <c r="E600" s="29"/>
      <c r="F600" s="29"/>
      <c r="G600" s="30"/>
      <c r="H600" s="29"/>
      <c r="I600" s="29"/>
      <c r="J600" s="29"/>
      <c r="K600" s="29"/>
      <c r="L600" s="29"/>
      <c r="M600" s="31"/>
    </row>
    <row r="601" spans="1:13">
      <c r="A601" s="28" t="str">
        <f t="shared" si="10"/>
        <v/>
      </c>
      <c r="B601" s="29"/>
      <c r="C601" s="29"/>
      <c r="D601" s="29"/>
      <c r="E601" s="29"/>
      <c r="F601" s="29"/>
      <c r="G601" s="30"/>
      <c r="H601" s="29"/>
      <c r="I601" s="29"/>
      <c r="J601" s="29"/>
      <c r="K601" s="29"/>
      <c r="L601" s="29"/>
      <c r="M601" s="31"/>
    </row>
    <row r="602" spans="1:13">
      <c r="A602" s="28" t="str">
        <f t="shared" si="10"/>
        <v/>
      </c>
      <c r="B602" s="29"/>
      <c r="C602" s="29"/>
      <c r="D602" s="29"/>
      <c r="E602" s="29"/>
      <c r="F602" s="29"/>
      <c r="G602" s="30"/>
      <c r="H602" s="29"/>
      <c r="I602" s="29"/>
      <c r="J602" s="29"/>
      <c r="K602" s="29"/>
      <c r="L602" s="29"/>
      <c r="M602" s="31"/>
    </row>
    <row r="603" spans="1:13">
      <c r="A603" s="28" t="str">
        <f t="shared" si="10"/>
        <v/>
      </c>
      <c r="B603" s="29"/>
      <c r="C603" s="29"/>
      <c r="D603" s="29"/>
      <c r="E603" s="29"/>
      <c r="F603" s="29"/>
      <c r="G603" s="30"/>
      <c r="H603" s="29"/>
      <c r="I603" s="29"/>
      <c r="J603" s="29"/>
      <c r="K603" s="29"/>
      <c r="L603" s="29"/>
      <c r="M603" s="31"/>
    </row>
    <row r="604" spans="1:13">
      <c r="A604" s="28" t="str">
        <f t="shared" si="10"/>
        <v/>
      </c>
      <c r="B604" s="29"/>
      <c r="C604" s="29"/>
      <c r="D604" s="29"/>
      <c r="E604" s="29"/>
      <c r="F604" s="29"/>
      <c r="G604" s="30"/>
      <c r="H604" s="29"/>
      <c r="I604" s="29"/>
      <c r="J604" s="29"/>
      <c r="K604" s="29"/>
      <c r="L604" s="29"/>
      <c r="M604" s="31"/>
    </row>
    <row r="605" spans="1:13">
      <c r="A605" s="28" t="str">
        <f t="shared" si="10"/>
        <v/>
      </c>
      <c r="B605" s="29"/>
      <c r="C605" s="29"/>
      <c r="D605" s="29"/>
      <c r="E605" s="29"/>
      <c r="F605" s="29"/>
      <c r="G605" s="30"/>
      <c r="H605" s="29"/>
      <c r="I605" s="29"/>
      <c r="J605" s="29"/>
      <c r="K605" s="29"/>
      <c r="L605" s="29"/>
      <c r="M605" s="31"/>
    </row>
    <row r="606" spans="1:13">
      <c r="A606" s="28" t="str">
        <f t="shared" si="10"/>
        <v/>
      </c>
      <c r="B606" s="29"/>
      <c r="C606" s="29"/>
      <c r="D606" s="29"/>
      <c r="E606" s="29"/>
      <c r="F606" s="29"/>
      <c r="G606" s="30"/>
      <c r="H606" s="29"/>
      <c r="I606" s="29"/>
      <c r="J606" s="29"/>
      <c r="K606" s="29"/>
      <c r="L606" s="29"/>
      <c r="M606" s="31"/>
    </row>
    <row r="607" spans="1:13">
      <c r="A607" s="28" t="str">
        <f t="shared" si="10"/>
        <v/>
      </c>
      <c r="B607" s="29"/>
      <c r="C607" s="29"/>
      <c r="D607" s="29"/>
      <c r="E607" s="29"/>
      <c r="F607" s="29"/>
      <c r="G607" s="30"/>
      <c r="H607" s="29"/>
      <c r="I607" s="29"/>
      <c r="J607" s="29"/>
      <c r="K607" s="29"/>
      <c r="L607" s="29"/>
      <c r="M607" s="31"/>
    </row>
    <row r="608" spans="1:13">
      <c r="A608" s="28" t="str">
        <f t="shared" si="10"/>
        <v/>
      </c>
      <c r="B608" s="29"/>
      <c r="C608" s="29"/>
      <c r="D608" s="29"/>
      <c r="E608" s="29"/>
      <c r="F608" s="29"/>
      <c r="G608" s="30"/>
      <c r="H608" s="29"/>
      <c r="I608" s="29"/>
      <c r="J608" s="29"/>
      <c r="K608" s="29"/>
      <c r="L608" s="29"/>
      <c r="M608" s="31"/>
    </row>
    <row r="609" spans="1:13">
      <c r="A609" s="28" t="str">
        <f t="shared" si="10"/>
        <v/>
      </c>
      <c r="B609" s="29"/>
      <c r="C609" s="29"/>
      <c r="D609" s="29"/>
      <c r="E609" s="29"/>
      <c r="F609" s="29"/>
      <c r="G609" s="30"/>
      <c r="H609" s="29"/>
      <c r="I609" s="29"/>
      <c r="J609" s="29"/>
      <c r="K609" s="29"/>
      <c r="L609" s="29"/>
      <c r="M609" s="31"/>
    </row>
    <row r="610" spans="1:13">
      <c r="A610" s="28" t="str">
        <f t="shared" si="10"/>
        <v/>
      </c>
      <c r="B610" s="29"/>
      <c r="C610" s="29"/>
      <c r="D610" s="29"/>
      <c r="E610" s="29"/>
      <c r="F610" s="29"/>
      <c r="G610" s="30"/>
      <c r="H610" s="29"/>
      <c r="I610" s="29"/>
      <c r="J610" s="29"/>
      <c r="K610" s="29"/>
      <c r="L610" s="29"/>
      <c r="M610" s="31"/>
    </row>
    <row r="611" spans="1:13">
      <c r="A611" s="28" t="str">
        <f t="shared" si="10"/>
        <v/>
      </c>
      <c r="B611" s="29"/>
      <c r="C611" s="29"/>
      <c r="D611" s="29"/>
      <c r="E611" s="29"/>
      <c r="F611" s="29"/>
      <c r="G611" s="30"/>
      <c r="H611" s="29"/>
      <c r="I611" s="29"/>
      <c r="J611" s="29"/>
      <c r="K611" s="29"/>
      <c r="L611" s="29"/>
      <c r="M611" s="31"/>
    </row>
    <row r="612" spans="1:13">
      <c r="A612" s="28" t="str">
        <f t="shared" si="10"/>
        <v/>
      </c>
      <c r="B612" s="29"/>
      <c r="C612" s="29"/>
      <c r="D612" s="29"/>
      <c r="E612" s="29"/>
      <c r="F612" s="29"/>
      <c r="G612" s="30"/>
      <c r="H612" s="29"/>
      <c r="I612" s="29"/>
      <c r="J612" s="29"/>
      <c r="K612" s="29"/>
      <c r="L612" s="29"/>
      <c r="M612" s="31"/>
    </row>
    <row r="613" spans="1:13">
      <c r="A613" s="28" t="str">
        <f t="shared" si="10"/>
        <v/>
      </c>
      <c r="B613" s="29"/>
      <c r="C613" s="29"/>
      <c r="D613" s="29"/>
      <c r="E613" s="29"/>
      <c r="F613" s="29"/>
      <c r="G613" s="30"/>
      <c r="H613" s="29"/>
      <c r="I613" s="29"/>
      <c r="J613" s="29"/>
      <c r="K613" s="29"/>
      <c r="L613" s="29"/>
      <c r="M613" s="31"/>
    </row>
    <row r="614" spans="1:13">
      <c r="A614" s="28" t="str">
        <f t="shared" si="10"/>
        <v/>
      </c>
      <c r="B614" s="29"/>
      <c r="C614" s="29"/>
      <c r="D614" s="29"/>
      <c r="E614" s="29"/>
      <c r="F614" s="29"/>
      <c r="G614" s="30"/>
      <c r="H614" s="29"/>
      <c r="I614" s="29"/>
      <c r="J614" s="29"/>
      <c r="K614" s="29"/>
      <c r="L614" s="29"/>
      <c r="M614" s="31"/>
    </row>
    <row r="615" spans="1:13">
      <c r="A615" s="28" t="str">
        <f t="shared" si="10"/>
        <v/>
      </c>
      <c r="B615" s="29"/>
      <c r="C615" s="29"/>
      <c r="D615" s="29"/>
      <c r="E615" s="29"/>
      <c r="F615" s="29"/>
      <c r="G615" s="30"/>
      <c r="H615" s="29"/>
      <c r="I615" s="29"/>
      <c r="J615" s="29"/>
      <c r="K615" s="29"/>
      <c r="L615" s="29"/>
      <c r="M615" s="31"/>
    </row>
    <row r="616" spans="1:13">
      <c r="A616" s="28" t="str">
        <f t="shared" si="10"/>
        <v/>
      </c>
      <c r="B616" s="29"/>
      <c r="C616" s="29"/>
      <c r="D616" s="29"/>
      <c r="E616" s="29"/>
      <c r="F616" s="29"/>
      <c r="G616" s="30"/>
      <c r="H616" s="29"/>
      <c r="I616" s="29"/>
      <c r="J616" s="29"/>
      <c r="K616" s="29"/>
      <c r="L616" s="29"/>
      <c r="M616" s="31"/>
    </row>
    <row r="617" spans="1:13">
      <c r="A617" s="28" t="str">
        <f t="shared" si="10"/>
        <v/>
      </c>
      <c r="B617" s="29"/>
      <c r="C617" s="29"/>
      <c r="D617" s="29"/>
      <c r="E617" s="29"/>
      <c r="F617" s="29"/>
      <c r="G617" s="30"/>
      <c r="H617" s="29"/>
      <c r="I617" s="29"/>
      <c r="J617" s="29"/>
      <c r="K617" s="29"/>
      <c r="L617" s="29"/>
      <c r="M617" s="31"/>
    </row>
    <row r="618" spans="1:13">
      <c r="A618" s="28" t="str">
        <f t="shared" si="10"/>
        <v/>
      </c>
      <c r="B618" s="29"/>
      <c r="C618" s="29"/>
      <c r="D618" s="29"/>
      <c r="E618" s="29"/>
      <c r="F618" s="29"/>
      <c r="G618" s="30"/>
      <c r="H618" s="29"/>
      <c r="I618" s="29"/>
      <c r="J618" s="29"/>
      <c r="K618" s="29"/>
      <c r="L618" s="29"/>
      <c r="M618" s="31"/>
    </row>
    <row r="619" spans="1:13">
      <c r="A619" s="28" t="str">
        <f t="shared" si="10"/>
        <v/>
      </c>
      <c r="B619" s="29"/>
      <c r="C619" s="29"/>
      <c r="D619" s="29"/>
      <c r="E619" s="29"/>
      <c r="F619" s="29"/>
      <c r="G619" s="30"/>
      <c r="H619" s="29"/>
      <c r="I619" s="29"/>
      <c r="J619" s="29"/>
      <c r="K619" s="29"/>
      <c r="L619" s="29"/>
      <c r="M619" s="31"/>
    </row>
    <row r="620" spans="1:13">
      <c r="A620" s="28" t="str">
        <f t="shared" si="10"/>
        <v/>
      </c>
      <c r="B620" s="29"/>
      <c r="C620" s="29"/>
      <c r="D620" s="29"/>
      <c r="E620" s="29"/>
      <c r="F620" s="29"/>
      <c r="G620" s="30"/>
      <c r="H620" s="29"/>
      <c r="I620" s="29"/>
      <c r="J620" s="29"/>
      <c r="K620" s="29"/>
      <c r="L620" s="29"/>
      <c r="M620" s="31"/>
    </row>
    <row r="621" spans="1:13">
      <c r="A621" s="28" t="str">
        <f t="shared" si="10"/>
        <v/>
      </c>
      <c r="B621" s="29"/>
      <c r="C621" s="29"/>
      <c r="D621" s="29"/>
      <c r="E621" s="29"/>
      <c r="F621" s="29"/>
      <c r="G621" s="30"/>
      <c r="H621" s="29"/>
      <c r="I621" s="29"/>
      <c r="J621" s="29"/>
      <c r="K621" s="29"/>
      <c r="L621" s="29"/>
      <c r="M621" s="31"/>
    </row>
    <row r="622" spans="1:13">
      <c r="A622" s="28" t="str">
        <f t="shared" si="10"/>
        <v/>
      </c>
      <c r="B622" s="29"/>
      <c r="C622" s="29"/>
      <c r="D622" s="29"/>
      <c r="E622" s="29"/>
      <c r="F622" s="29"/>
      <c r="G622" s="30"/>
      <c r="H622" s="29"/>
      <c r="I622" s="29"/>
      <c r="J622" s="29"/>
      <c r="K622" s="29"/>
      <c r="L622" s="29"/>
      <c r="M622" s="31"/>
    </row>
    <row r="623" spans="1:13">
      <c r="A623" s="28" t="str">
        <f t="shared" si="10"/>
        <v/>
      </c>
      <c r="B623" s="29"/>
      <c r="C623" s="29"/>
      <c r="D623" s="29"/>
      <c r="E623" s="29"/>
      <c r="F623" s="29"/>
      <c r="G623" s="30"/>
      <c r="H623" s="29"/>
      <c r="I623" s="29"/>
      <c r="J623" s="29"/>
      <c r="K623" s="29"/>
      <c r="L623" s="29"/>
      <c r="M623" s="31"/>
    </row>
    <row r="624" spans="1:13">
      <c r="A624" s="28" t="str">
        <f t="shared" si="10"/>
        <v/>
      </c>
      <c r="B624" s="29"/>
      <c r="C624" s="29"/>
      <c r="D624" s="29"/>
      <c r="E624" s="29"/>
      <c r="F624" s="29"/>
      <c r="G624" s="30"/>
      <c r="H624" s="29"/>
      <c r="I624" s="29"/>
      <c r="J624" s="29"/>
      <c r="K624" s="29"/>
      <c r="L624" s="29"/>
      <c r="M624" s="31"/>
    </row>
    <row r="625" spans="1:13">
      <c r="A625" s="28" t="str">
        <f t="shared" si="10"/>
        <v/>
      </c>
      <c r="B625" s="29"/>
      <c r="C625" s="29"/>
      <c r="D625" s="29"/>
      <c r="E625" s="29"/>
      <c r="F625" s="29"/>
      <c r="G625" s="30"/>
      <c r="H625" s="29"/>
      <c r="I625" s="29"/>
      <c r="J625" s="29"/>
      <c r="K625" s="29"/>
      <c r="L625" s="29"/>
      <c r="M625" s="31"/>
    </row>
    <row r="626" spans="1:13">
      <c r="A626" s="28" t="str">
        <f t="shared" si="10"/>
        <v/>
      </c>
      <c r="B626" s="29"/>
      <c r="C626" s="29"/>
      <c r="D626" s="29"/>
      <c r="E626" s="29"/>
      <c r="F626" s="29"/>
      <c r="G626" s="30"/>
      <c r="H626" s="29"/>
      <c r="I626" s="29"/>
      <c r="J626" s="29"/>
      <c r="K626" s="29"/>
      <c r="L626" s="29"/>
      <c r="M626" s="31"/>
    </row>
    <row r="627" spans="1:13">
      <c r="A627" s="28" t="str">
        <f t="shared" si="10"/>
        <v/>
      </c>
      <c r="B627" s="29"/>
      <c r="C627" s="29"/>
      <c r="D627" s="29"/>
      <c r="E627" s="29"/>
      <c r="F627" s="29"/>
      <c r="G627" s="30"/>
      <c r="H627" s="29"/>
      <c r="I627" s="29"/>
      <c r="J627" s="29"/>
      <c r="K627" s="29"/>
      <c r="L627" s="29"/>
      <c r="M627" s="31"/>
    </row>
    <row r="628" spans="1:13">
      <c r="A628" s="28" t="str">
        <f t="shared" si="10"/>
        <v/>
      </c>
      <c r="B628" s="29"/>
      <c r="C628" s="29"/>
      <c r="D628" s="29"/>
      <c r="E628" s="29"/>
      <c r="F628" s="29"/>
      <c r="G628" s="30"/>
      <c r="H628" s="29"/>
      <c r="I628" s="29"/>
      <c r="J628" s="29"/>
      <c r="K628" s="29"/>
      <c r="L628" s="29"/>
      <c r="M628" s="31"/>
    </row>
    <row r="629" spans="1:13">
      <c r="A629" s="28" t="str">
        <f t="shared" si="10"/>
        <v/>
      </c>
      <c r="B629" s="29"/>
      <c r="C629" s="29"/>
      <c r="D629" s="29"/>
      <c r="E629" s="29"/>
      <c r="F629" s="29"/>
      <c r="G629" s="30"/>
      <c r="H629" s="29"/>
      <c r="I629" s="29"/>
      <c r="J629" s="29"/>
      <c r="K629" s="29"/>
      <c r="L629" s="29"/>
      <c r="M629" s="31"/>
    </row>
    <row r="630" spans="1:13">
      <c r="A630" s="28" t="str">
        <f t="shared" si="10"/>
        <v/>
      </c>
      <c r="B630" s="29"/>
      <c r="C630" s="29"/>
      <c r="D630" s="29"/>
      <c r="E630" s="29"/>
      <c r="F630" s="29"/>
      <c r="G630" s="30"/>
      <c r="H630" s="29"/>
      <c r="I630" s="29"/>
      <c r="J630" s="29"/>
      <c r="K630" s="29"/>
      <c r="L630" s="29"/>
      <c r="M630" s="31"/>
    </row>
    <row r="631" spans="1:13">
      <c r="A631" s="28" t="str">
        <f t="shared" si="10"/>
        <v/>
      </c>
      <c r="B631" s="29"/>
      <c r="C631" s="29"/>
      <c r="D631" s="29"/>
      <c r="E631" s="29"/>
      <c r="F631" s="29"/>
      <c r="G631" s="30"/>
      <c r="H631" s="29"/>
      <c r="I631" s="29"/>
      <c r="J631" s="29"/>
      <c r="K631" s="29"/>
      <c r="L631" s="29"/>
      <c r="M631" s="31"/>
    </row>
    <row r="632" spans="1:13">
      <c r="A632" s="28" t="str">
        <f t="shared" si="10"/>
        <v/>
      </c>
      <c r="B632" s="29"/>
      <c r="C632" s="29"/>
      <c r="D632" s="29"/>
      <c r="E632" s="29"/>
      <c r="F632" s="29"/>
      <c r="G632" s="30"/>
      <c r="H632" s="29"/>
      <c r="I632" s="29"/>
      <c r="J632" s="29"/>
      <c r="K632" s="29"/>
      <c r="L632" s="29"/>
      <c r="M632" s="31"/>
    </row>
    <row r="633" spans="1:13">
      <c r="A633" s="28" t="str">
        <f t="shared" si="10"/>
        <v/>
      </c>
      <c r="B633" s="29"/>
      <c r="C633" s="29"/>
      <c r="D633" s="29"/>
      <c r="E633" s="29"/>
      <c r="F633" s="29"/>
      <c r="G633" s="30"/>
      <c r="H633" s="29"/>
      <c r="I633" s="29"/>
      <c r="J633" s="29"/>
      <c r="K633" s="29"/>
      <c r="L633" s="29"/>
      <c r="M633" s="31"/>
    </row>
    <row r="634" spans="1:13">
      <c r="A634" s="28" t="str">
        <f t="shared" si="10"/>
        <v/>
      </c>
      <c r="B634" s="29"/>
      <c r="C634" s="29"/>
      <c r="D634" s="29"/>
      <c r="E634" s="29"/>
      <c r="F634" s="29"/>
      <c r="G634" s="30"/>
      <c r="H634" s="29"/>
      <c r="I634" s="29"/>
      <c r="J634" s="29"/>
      <c r="K634" s="29"/>
      <c r="L634" s="29"/>
      <c r="M634" s="31"/>
    </row>
    <row r="635" spans="1:13">
      <c r="A635" s="28" t="str">
        <f t="shared" si="10"/>
        <v/>
      </c>
      <c r="B635" s="29"/>
      <c r="C635" s="29"/>
      <c r="D635" s="29"/>
      <c r="E635" s="29"/>
      <c r="F635" s="29"/>
      <c r="G635" s="30"/>
      <c r="H635" s="29"/>
      <c r="I635" s="29"/>
      <c r="J635" s="29"/>
      <c r="K635" s="29"/>
      <c r="L635" s="29"/>
      <c r="M635" s="31"/>
    </row>
    <row r="636" spans="1:13">
      <c r="A636" s="28" t="str">
        <f t="shared" si="10"/>
        <v/>
      </c>
      <c r="B636" s="29"/>
      <c r="C636" s="29"/>
      <c r="D636" s="29"/>
      <c r="E636" s="29"/>
      <c r="F636" s="29"/>
      <c r="G636" s="30"/>
      <c r="H636" s="29"/>
      <c r="I636" s="29"/>
      <c r="J636" s="29"/>
      <c r="K636" s="29"/>
      <c r="L636" s="29"/>
      <c r="M636" s="31"/>
    </row>
    <row r="637" spans="1:13">
      <c r="A637" s="28" t="str">
        <f t="shared" si="10"/>
        <v/>
      </c>
      <c r="B637" s="29"/>
      <c r="C637" s="29"/>
      <c r="D637" s="29"/>
      <c r="E637" s="29"/>
      <c r="F637" s="29"/>
      <c r="G637" s="30"/>
      <c r="H637" s="29"/>
      <c r="I637" s="29"/>
      <c r="J637" s="29"/>
      <c r="K637" s="29"/>
      <c r="L637" s="29"/>
      <c r="M637" s="31"/>
    </row>
    <row r="638" spans="1:13">
      <c r="A638" s="28" t="str">
        <f t="shared" si="10"/>
        <v/>
      </c>
      <c r="B638" s="29"/>
      <c r="C638" s="29"/>
      <c r="D638" s="29"/>
      <c r="E638" s="29"/>
      <c r="F638" s="29"/>
      <c r="G638" s="30"/>
      <c r="H638" s="29"/>
      <c r="I638" s="29"/>
      <c r="J638" s="29"/>
      <c r="K638" s="29"/>
      <c r="L638" s="29"/>
      <c r="M638" s="31"/>
    </row>
    <row r="639" spans="1:13">
      <c r="A639" s="28" t="str">
        <f t="shared" si="10"/>
        <v/>
      </c>
      <c r="B639" s="29"/>
      <c r="C639" s="29"/>
      <c r="D639" s="29"/>
      <c r="E639" s="29"/>
      <c r="F639" s="29"/>
      <c r="G639" s="30"/>
      <c r="H639" s="29"/>
      <c r="I639" s="29"/>
      <c r="J639" s="29"/>
      <c r="K639" s="29"/>
      <c r="L639" s="29"/>
      <c r="M639" s="31"/>
    </row>
    <row r="640" spans="1:13">
      <c r="A640" s="28" t="str">
        <f t="shared" si="10"/>
        <v/>
      </c>
      <c r="B640" s="29"/>
      <c r="C640" s="29"/>
      <c r="D640" s="29"/>
      <c r="E640" s="29"/>
      <c r="F640" s="29"/>
      <c r="G640" s="30"/>
      <c r="H640" s="29"/>
      <c r="I640" s="29"/>
      <c r="J640" s="29"/>
      <c r="K640" s="29"/>
      <c r="L640" s="29"/>
      <c r="M640" s="31"/>
    </row>
    <row r="641" spans="1:13">
      <c r="A641" s="28" t="str">
        <f t="shared" si="10"/>
        <v/>
      </c>
      <c r="B641" s="29"/>
      <c r="C641" s="29"/>
      <c r="D641" s="29"/>
      <c r="E641" s="29"/>
      <c r="F641" s="29"/>
      <c r="G641" s="30"/>
      <c r="H641" s="29"/>
      <c r="I641" s="29"/>
      <c r="J641" s="29"/>
      <c r="K641" s="29"/>
      <c r="L641" s="29"/>
      <c r="M641" s="31"/>
    </row>
    <row r="642" spans="1:13">
      <c r="A642" s="28" t="str">
        <f t="shared" si="10"/>
        <v/>
      </c>
      <c r="B642" s="29"/>
      <c r="C642" s="29"/>
      <c r="D642" s="29"/>
      <c r="E642" s="29"/>
      <c r="F642" s="29"/>
      <c r="G642" s="30"/>
      <c r="H642" s="29"/>
      <c r="I642" s="29"/>
      <c r="J642" s="29"/>
      <c r="K642" s="29"/>
      <c r="L642" s="29"/>
      <c r="M642" s="31"/>
    </row>
    <row r="643" spans="1:13">
      <c r="A643" s="28" t="str">
        <f t="shared" si="10"/>
        <v/>
      </c>
      <c r="B643" s="29"/>
      <c r="C643" s="29"/>
      <c r="D643" s="29"/>
      <c r="E643" s="29"/>
      <c r="F643" s="29"/>
      <c r="G643" s="30"/>
      <c r="H643" s="29"/>
      <c r="I643" s="29"/>
      <c r="J643" s="29"/>
      <c r="K643" s="29"/>
      <c r="L643" s="29"/>
      <c r="M643" s="31"/>
    </row>
    <row r="644" spans="1:13">
      <c r="A644" s="28" t="str">
        <f t="shared" si="10"/>
        <v/>
      </c>
      <c r="B644" s="29"/>
      <c r="C644" s="29"/>
      <c r="D644" s="29"/>
      <c r="E644" s="29"/>
      <c r="F644" s="29"/>
      <c r="G644" s="30"/>
      <c r="H644" s="29"/>
      <c r="I644" s="29"/>
      <c r="J644" s="29"/>
      <c r="K644" s="29"/>
      <c r="L644" s="29"/>
      <c r="M644" s="31"/>
    </row>
    <row r="645" spans="1:13">
      <c r="A645" s="28" t="str">
        <f t="shared" si="10"/>
        <v/>
      </c>
      <c r="B645" s="29"/>
      <c r="C645" s="29"/>
      <c r="D645" s="29"/>
      <c r="E645" s="29"/>
      <c r="F645" s="29"/>
      <c r="G645" s="30"/>
      <c r="H645" s="29"/>
      <c r="I645" s="29"/>
      <c r="J645" s="29"/>
      <c r="K645" s="29"/>
      <c r="L645" s="29"/>
      <c r="M645" s="31"/>
    </row>
    <row r="646" spans="1:13">
      <c r="A646" s="28" t="str">
        <f t="shared" si="10"/>
        <v/>
      </c>
      <c r="B646" s="29"/>
      <c r="C646" s="29"/>
      <c r="D646" s="29"/>
      <c r="E646" s="29"/>
      <c r="F646" s="29"/>
      <c r="G646" s="30"/>
      <c r="H646" s="29"/>
      <c r="I646" s="29"/>
      <c r="J646" s="29"/>
      <c r="K646" s="29"/>
      <c r="L646" s="29"/>
      <c r="M646" s="31"/>
    </row>
    <row r="647" spans="1:13">
      <c r="A647" s="28" t="str">
        <f t="shared" si="10"/>
        <v/>
      </c>
      <c r="B647" s="29"/>
      <c r="C647" s="29"/>
      <c r="D647" s="29"/>
      <c r="E647" s="29"/>
      <c r="F647" s="29"/>
      <c r="G647" s="30"/>
      <c r="H647" s="29"/>
      <c r="I647" s="29"/>
      <c r="J647" s="29"/>
      <c r="K647" s="29"/>
      <c r="L647" s="29"/>
      <c r="M647" s="31"/>
    </row>
    <row r="648" spans="1:13">
      <c r="A648" s="28" t="str">
        <f t="shared" si="10"/>
        <v/>
      </c>
      <c r="B648" s="29"/>
      <c r="C648" s="29"/>
      <c r="D648" s="29"/>
      <c r="E648" s="29"/>
      <c r="F648" s="29"/>
      <c r="G648" s="30"/>
      <c r="H648" s="29"/>
      <c r="I648" s="29"/>
      <c r="J648" s="29"/>
      <c r="K648" s="29"/>
      <c r="L648" s="29"/>
      <c r="M648" s="31"/>
    </row>
    <row r="649" spans="1:13">
      <c r="A649" s="28" t="str">
        <f t="shared" si="10"/>
        <v/>
      </c>
      <c r="B649" s="29"/>
      <c r="C649" s="29"/>
      <c r="D649" s="29"/>
      <c r="E649" s="29"/>
      <c r="F649" s="29"/>
      <c r="G649" s="30"/>
      <c r="H649" s="29"/>
      <c r="I649" s="29"/>
      <c r="J649" s="29"/>
      <c r="K649" s="29"/>
      <c r="L649" s="29"/>
      <c r="M649" s="31"/>
    </row>
    <row r="650" spans="1:13">
      <c r="A650" s="28" t="str">
        <f t="shared" si="10"/>
        <v/>
      </c>
      <c r="B650" s="29"/>
      <c r="C650" s="29"/>
      <c r="D650" s="29"/>
      <c r="E650" s="29"/>
      <c r="F650" s="29"/>
      <c r="G650" s="30"/>
      <c r="H650" s="29"/>
      <c r="I650" s="29"/>
      <c r="J650" s="29"/>
      <c r="K650" s="29"/>
      <c r="L650" s="29"/>
      <c r="M650" s="31"/>
    </row>
    <row r="651" spans="1:13">
      <c r="A651" s="28" t="str">
        <f t="shared" si="10"/>
        <v/>
      </c>
      <c r="B651" s="29"/>
      <c r="C651" s="29"/>
      <c r="D651" s="29"/>
      <c r="E651" s="29"/>
      <c r="F651" s="29"/>
      <c r="G651" s="30"/>
      <c r="H651" s="29"/>
      <c r="I651" s="29"/>
      <c r="J651" s="29"/>
      <c r="K651" s="29"/>
      <c r="L651" s="29"/>
      <c r="M651" s="31"/>
    </row>
    <row r="652" spans="1:13">
      <c r="A652" s="28" t="str">
        <f t="shared" si="10"/>
        <v/>
      </c>
      <c r="B652" s="29"/>
      <c r="C652" s="29"/>
      <c r="D652" s="29"/>
      <c r="E652" s="29"/>
      <c r="F652" s="29"/>
      <c r="G652" s="30"/>
      <c r="H652" s="29"/>
      <c r="I652" s="29"/>
      <c r="J652" s="29"/>
      <c r="K652" s="29"/>
      <c r="L652" s="29"/>
      <c r="M652" s="31"/>
    </row>
    <row r="653" spans="1:13">
      <c r="A653" s="28" t="str">
        <f t="shared" si="10"/>
        <v/>
      </c>
      <c r="B653" s="29"/>
      <c r="C653" s="29"/>
      <c r="D653" s="29"/>
      <c r="E653" s="29"/>
      <c r="F653" s="29"/>
      <c r="G653" s="30"/>
      <c r="H653" s="29"/>
      <c r="I653" s="29"/>
      <c r="J653" s="29"/>
      <c r="K653" s="29"/>
      <c r="L653" s="29"/>
      <c r="M653" s="31"/>
    </row>
    <row r="654" spans="1:13">
      <c r="A654" s="28" t="str">
        <f t="shared" si="10"/>
        <v/>
      </c>
      <c r="B654" s="29"/>
      <c r="C654" s="29"/>
      <c r="D654" s="29"/>
      <c r="E654" s="29"/>
      <c r="F654" s="29"/>
      <c r="G654" s="30"/>
      <c r="H654" s="29"/>
      <c r="I654" s="29"/>
      <c r="J654" s="29"/>
      <c r="K654" s="29"/>
      <c r="L654" s="29"/>
      <c r="M654" s="31"/>
    </row>
    <row r="655" spans="1:13">
      <c r="A655" s="28" t="str">
        <f t="shared" si="10"/>
        <v/>
      </c>
      <c r="B655" s="29"/>
      <c r="C655" s="29"/>
      <c r="D655" s="29"/>
      <c r="E655" s="29"/>
      <c r="F655" s="29"/>
      <c r="G655" s="30"/>
      <c r="H655" s="29"/>
      <c r="I655" s="29"/>
      <c r="J655" s="29"/>
      <c r="K655" s="29"/>
      <c r="L655" s="29"/>
      <c r="M655" s="31"/>
    </row>
    <row r="656" spans="1:13">
      <c r="A656" s="28" t="str">
        <f t="shared" si="10"/>
        <v/>
      </c>
      <c r="B656" s="29"/>
      <c r="C656" s="29"/>
      <c r="D656" s="29"/>
      <c r="E656" s="29"/>
      <c r="F656" s="29"/>
      <c r="G656" s="30"/>
      <c r="H656" s="29"/>
      <c r="I656" s="29"/>
      <c r="J656" s="29"/>
      <c r="K656" s="29"/>
      <c r="L656" s="29"/>
      <c r="M656" s="31"/>
    </row>
    <row r="657" spans="1:13">
      <c r="A657" s="28" t="str">
        <f t="shared" si="10"/>
        <v/>
      </c>
      <c r="B657" s="29"/>
      <c r="C657" s="29"/>
      <c r="D657" s="29"/>
      <c r="E657" s="29"/>
      <c r="F657" s="29"/>
      <c r="G657" s="30"/>
      <c r="H657" s="29"/>
      <c r="I657" s="29"/>
      <c r="J657" s="29"/>
      <c r="K657" s="29"/>
      <c r="L657" s="29"/>
      <c r="M657" s="31"/>
    </row>
    <row r="658" spans="1:13">
      <c r="A658" s="28" t="str">
        <f t="shared" si="10"/>
        <v/>
      </c>
      <c r="B658" s="29"/>
      <c r="C658" s="29"/>
      <c r="D658" s="29"/>
      <c r="E658" s="29"/>
      <c r="F658" s="29"/>
      <c r="G658" s="30"/>
      <c r="H658" s="29"/>
      <c r="I658" s="29"/>
      <c r="J658" s="29"/>
      <c r="K658" s="29"/>
      <c r="L658" s="29"/>
      <c r="M658" s="31"/>
    </row>
    <row r="659" spans="1:13">
      <c r="A659" s="28" t="str">
        <f t="shared" si="10"/>
        <v/>
      </c>
      <c r="B659" s="29"/>
      <c r="C659" s="29"/>
      <c r="D659" s="29"/>
      <c r="E659" s="29"/>
      <c r="F659" s="29"/>
      <c r="G659" s="30"/>
      <c r="H659" s="29"/>
      <c r="I659" s="29"/>
      <c r="J659" s="29"/>
      <c r="K659" s="29"/>
      <c r="L659" s="29"/>
      <c r="M659" s="31"/>
    </row>
    <row r="660" spans="1:13">
      <c r="A660" s="28" t="str">
        <f t="shared" si="10"/>
        <v/>
      </c>
      <c r="B660" s="29"/>
      <c r="C660" s="29"/>
      <c r="D660" s="29"/>
      <c r="E660" s="29"/>
      <c r="F660" s="29"/>
      <c r="G660" s="30"/>
      <c r="H660" s="29"/>
      <c r="I660" s="29"/>
      <c r="J660" s="29"/>
      <c r="K660" s="29"/>
      <c r="L660" s="29"/>
      <c r="M660" s="31"/>
    </row>
    <row r="661" spans="1:13">
      <c r="A661" s="28" t="str">
        <f t="shared" ref="A661:A724" si="11">IF(D661="","",ROW()-4)</f>
        <v/>
      </c>
      <c r="B661" s="29"/>
      <c r="C661" s="29"/>
      <c r="D661" s="29"/>
      <c r="E661" s="29"/>
      <c r="F661" s="29"/>
      <c r="G661" s="30"/>
      <c r="H661" s="29"/>
      <c r="I661" s="29"/>
      <c r="J661" s="29"/>
      <c r="K661" s="29"/>
      <c r="L661" s="29"/>
      <c r="M661" s="31"/>
    </row>
    <row r="662" spans="1:13">
      <c r="A662" s="28" t="str">
        <f t="shared" si="11"/>
        <v/>
      </c>
      <c r="B662" s="29"/>
      <c r="C662" s="29"/>
      <c r="D662" s="29"/>
      <c r="E662" s="29"/>
      <c r="F662" s="29"/>
      <c r="G662" s="30"/>
      <c r="H662" s="29"/>
      <c r="I662" s="29"/>
      <c r="J662" s="29"/>
      <c r="K662" s="29"/>
      <c r="L662" s="29"/>
      <c r="M662" s="31"/>
    </row>
    <row r="663" spans="1:13">
      <c r="A663" s="28" t="str">
        <f t="shared" si="11"/>
        <v/>
      </c>
      <c r="B663" s="29"/>
      <c r="C663" s="29"/>
      <c r="D663" s="29"/>
      <c r="E663" s="29"/>
      <c r="F663" s="29"/>
      <c r="G663" s="30"/>
      <c r="H663" s="29"/>
      <c r="I663" s="29"/>
      <c r="J663" s="29"/>
      <c r="K663" s="29"/>
      <c r="L663" s="29"/>
      <c r="M663" s="31"/>
    </row>
    <row r="664" spans="1:13">
      <c r="A664" s="28" t="str">
        <f t="shared" si="11"/>
        <v/>
      </c>
      <c r="B664" s="29"/>
      <c r="C664" s="29"/>
      <c r="D664" s="29"/>
      <c r="E664" s="29"/>
      <c r="F664" s="29"/>
      <c r="G664" s="30"/>
      <c r="H664" s="29"/>
      <c r="I664" s="29"/>
      <c r="J664" s="29"/>
      <c r="K664" s="29"/>
      <c r="L664" s="29"/>
      <c r="M664" s="31"/>
    </row>
    <row r="665" spans="1:13">
      <c r="A665" s="28" t="str">
        <f t="shared" si="11"/>
        <v/>
      </c>
      <c r="B665" s="29"/>
      <c r="C665" s="29"/>
      <c r="D665" s="29"/>
      <c r="E665" s="29"/>
      <c r="F665" s="29"/>
      <c r="G665" s="30"/>
      <c r="H665" s="29"/>
      <c r="I665" s="29"/>
      <c r="J665" s="29"/>
      <c r="K665" s="29"/>
      <c r="L665" s="29"/>
      <c r="M665" s="31"/>
    </row>
    <row r="666" spans="1:13">
      <c r="A666" s="28" t="str">
        <f t="shared" si="11"/>
        <v/>
      </c>
      <c r="B666" s="29"/>
      <c r="C666" s="29"/>
      <c r="D666" s="29"/>
      <c r="E666" s="29"/>
      <c r="F666" s="29"/>
      <c r="G666" s="30"/>
      <c r="H666" s="29"/>
      <c r="I666" s="29"/>
      <c r="J666" s="29"/>
      <c r="K666" s="29"/>
      <c r="L666" s="29"/>
      <c r="M666" s="31"/>
    </row>
    <row r="667" spans="1:13">
      <c r="A667" s="28" t="str">
        <f t="shared" si="11"/>
        <v/>
      </c>
      <c r="B667" s="29"/>
      <c r="C667" s="29"/>
      <c r="D667" s="29"/>
      <c r="E667" s="29"/>
      <c r="F667" s="29"/>
      <c r="G667" s="30"/>
      <c r="H667" s="29"/>
      <c r="I667" s="29"/>
      <c r="J667" s="29"/>
      <c r="K667" s="29"/>
      <c r="L667" s="29"/>
      <c r="M667" s="31"/>
    </row>
    <row r="668" spans="1:13">
      <c r="A668" s="28" t="str">
        <f t="shared" si="11"/>
        <v/>
      </c>
      <c r="B668" s="29"/>
      <c r="C668" s="29"/>
      <c r="D668" s="29"/>
      <c r="E668" s="29"/>
      <c r="F668" s="29"/>
      <c r="G668" s="30"/>
      <c r="H668" s="29"/>
      <c r="I668" s="29"/>
      <c r="J668" s="29"/>
      <c r="K668" s="29"/>
      <c r="L668" s="29"/>
      <c r="M668" s="31"/>
    </row>
    <row r="669" spans="1:13">
      <c r="A669" s="28" t="str">
        <f t="shared" si="11"/>
        <v/>
      </c>
      <c r="B669" s="29"/>
      <c r="C669" s="29"/>
      <c r="D669" s="29"/>
      <c r="E669" s="29"/>
      <c r="F669" s="29"/>
      <c r="G669" s="30"/>
      <c r="H669" s="29"/>
      <c r="I669" s="29"/>
      <c r="J669" s="29"/>
      <c r="K669" s="29"/>
      <c r="L669" s="29"/>
      <c r="M669" s="31"/>
    </row>
    <row r="670" spans="1:13">
      <c r="A670" s="28" t="str">
        <f t="shared" si="11"/>
        <v/>
      </c>
      <c r="B670" s="29"/>
      <c r="C670" s="29"/>
      <c r="D670" s="29"/>
      <c r="E670" s="29"/>
      <c r="F670" s="29"/>
      <c r="G670" s="30"/>
      <c r="H670" s="29"/>
      <c r="I670" s="29"/>
      <c r="J670" s="29"/>
      <c r="K670" s="29"/>
      <c r="L670" s="29"/>
      <c r="M670" s="31"/>
    </row>
    <row r="671" spans="1:13">
      <c r="A671" s="28" t="str">
        <f t="shared" si="11"/>
        <v/>
      </c>
      <c r="B671" s="29"/>
      <c r="C671" s="29"/>
      <c r="D671" s="29"/>
      <c r="E671" s="29"/>
      <c r="F671" s="29"/>
      <c r="G671" s="30"/>
      <c r="H671" s="29"/>
      <c r="I671" s="29"/>
      <c r="J671" s="29"/>
      <c r="K671" s="29"/>
      <c r="L671" s="29"/>
      <c r="M671" s="31"/>
    </row>
    <row r="672" spans="1:13">
      <c r="A672" s="28" t="str">
        <f t="shared" si="11"/>
        <v/>
      </c>
      <c r="B672" s="29"/>
      <c r="C672" s="29"/>
      <c r="D672" s="29"/>
      <c r="E672" s="29"/>
      <c r="F672" s="29"/>
      <c r="G672" s="30"/>
      <c r="H672" s="29"/>
      <c r="I672" s="29"/>
      <c r="J672" s="29"/>
      <c r="K672" s="29"/>
      <c r="L672" s="29"/>
      <c r="M672" s="31"/>
    </row>
    <row r="673" spans="1:13">
      <c r="A673" s="28" t="str">
        <f t="shared" si="11"/>
        <v/>
      </c>
      <c r="B673" s="29"/>
      <c r="C673" s="29"/>
      <c r="D673" s="29"/>
      <c r="E673" s="29"/>
      <c r="F673" s="29"/>
      <c r="G673" s="30"/>
      <c r="H673" s="29"/>
      <c r="I673" s="29"/>
      <c r="J673" s="29"/>
      <c r="K673" s="29"/>
      <c r="L673" s="29"/>
      <c r="M673" s="31"/>
    </row>
    <row r="674" spans="1:13">
      <c r="A674" s="28" t="str">
        <f t="shared" si="11"/>
        <v/>
      </c>
      <c r="B674" s="29"/>
      <c r="C674" s="29"/>
      <c r="D674" s="29"/>
      <c r="E674" s="29"/>
      <c r="F674" s="29"/>
      <c r="G674" s="30"/>
      <c r="H674" s="29"/>
      <c r="I674" s="29"/>
      <c r="J674" s="29"/>
      <c r="K674" s="29"/>
      <c r="L674" s="29"/>
      <c r="M674" s="31"/>
    </row>
    <row r="675" spans="1:13">
      <c r="A675" s="28" t="str">
        <f t="shared" si="11"/>
        <v/>
      </c>
      <c r="B675" s="29"/>
      <c r="C675" s="29"/>
      <c r="D675" s="29"/>
      <c r="E675" s="29"/>
      <c r="F675" s="29"/>
      <c r="G675" s="30"/>
      <c r="H675" s="29"/>
      <c r="I675" s="29"/>
      <c r="J675" s="29"/>
      <c r="K675" s="29"/>
      <c r="L675" s="29"/>
      <c r="M675" s="31"/>
    </row>
    <row r="676" spans="1:13">
      <c r="A676" s="28" t="str">
        <f t="shared" si="11"/>
        <v/>
      </c>
      <c r="B676" s="29"/>
      <c r="C676" s="29"/>
      <c r="D676" s="29"/>
      <c r="E676" s="29"/>
      <c r="F676" s="29"/>
      <c r="G676" s="30"/>
      <c r="H676" s="29"/>
      <c r="I676" s="29"/>
      <c r="J676" s="29"/>
      <c r="K676" s="29"/>
      <c r="L676" s="29"/>
      <c r="M676" s="31"/>
    </row>
    <row r="677" spans="1:13">
      <c r="A677" s="28" t="str">
        <f t="shared" si="11"/>
        <v/>
      </c>
      <c r="B677" s="29"/>
      <c r="C677" s="29"/>
      <c r="D677" s="29"/>
      <c r="E677" s="29"/>
      <c r="F677" s="29"/>
      <c r="G677" s="30"/>
      <c r="H677" s="29"/>
      <c r="I677" s="29"/>
      <c r="J677" s="29"/>
      <c r="K677" s="29"/>
      <c r="L677" s="29"/>
      <c r="M677" s="31"/>
    </row>
    <row r="678" spans="1:13">
      <c r="A678" s="28" t="str">
        <f t="shared" si="11"/>
        <v/>
      </c>
      <c r="B678" s="29"/>
      <c r="C678" s="29"/>
      <c r="D678" s="29"/>
      <c r="E678" s="29"/>
      <c r="F678" s="29"/>
      <c r="G678" s="30"/>
      <c r="H678" s="29"/>
      <c r="I678" s="29"/>
      <c r="J678" s="29"/>
      <c r="K678" s="29"/>
      <c r="L678" s="29"/>
      <c r="M678" s="31"/>
    </row>
    <row r="679" spans="1:13">
      <c r="A679" s="28" t="str">
        <f t="shared" si="11"/>
        <v/>
      </c>
      <c r="B679" s="29"/>
      <c r="C679" s="29"/>
      <c r="D679" s="29"/>
      <c r="E679" s="29"/>
      <c r="F679" s="29"/>
      <c r="G679" s="30"/>
      <c r="H679" s="29"/>
      <c r="I679" s="29"/>
      <c r="J679" s="29"/>
      <c r="K679" s="29"/>
      <c r="L679" s="29"/>
      <c r="M679" s="31"/>
    </row>
    <row r="680" spans="1:13">
      <c r="A680" s="28" t="str">
        <f t="shared" si="11"/>
        <v/>
      </c>
      <c r="B680" s="29"/>
      <c r="C680" s="29"/>
      <c r="D680" s="29"/>
      <c r="E680" s="29"/>
      <c r="F680" s="29"/>
      <c r="G680" s="30"/>
      <c r="H680" s="29"/>
      <c r="I680" s="29"/>
      <c r="J680" s="29"/>
      <c r="K680" s="29"/>
      <c r="L680" s="29"/>
      <c r="M680" s="31"/>
    </row>
    <row r="681" spans="1:13">
      <c r="A681" s="28" t="str">
        <f t="shared" si="11"/>
        <v/>
      </c>
      <c r="B681" s="29"/>
      <c r="C681" s="29"/>
      <c r="D681" s="29"/>
      <c r="E681" s="29"/>
      <c r="F681" s="29"/>
      <c r="G681" s="30"/>
      <c r="H681" s="29"/>
      <c r="I681" s="29"/>
      <c r="J681" s="29"/>
      <c r="K681" s="29"/>
      <c r="L681" s="29"/>
      <c r="M681" s="31"/>
    </row>
    <row r="682" spans="1:13">
      <c r="A682" s="28" t="str">
        <f t="shared" si="11"/>
        <v/>
      </c>
      <c r="B682" s="29"/>
      <c r="C682" s="29"/>
      <c r="D682" s="29"/>
      <c r="E682" s="29"/>
      <c r="F682" s="29"/>
      <c r="G682" s="30"/>
      <c r="H682" s="29"/>
      <c r="I682" s="29"/>
      <c r="J682" s="29"/>
      <c r="K682" s="29"/>
      <c r="L682" s="29"/>
      <c r="M682" s="31"/>
    </row>
    <row r="683" spans="1:13">
      <c r="A683" s="28" t="str">
        <f t="shared" si="11"/>
        <v/>
      </c>
      <c r="B683" s="29"/>
      <c r="C683" s="29"/>
      <c r="D683" s="29"/>
      <c r="E683" s="29"/>
      <c r="F683" s="29"/>
      <c r="G683" s="30"/>
      <c r="H683" s="29"/>
      <c r="I683" s="29"/>
      <c r="J683" s="29"/>
      <c r="K683" s="29"/>
      <c r="L683" s="29"/>
      <c r="M683" s="31"/>
    </row>
    <row r="684" spans="1:13">
      <c r="A684" s="28" t="str">
        <f t="shared" si="11"/>
        <v/>
      </c>
      <c r="B684" s="29"/>
      <c r="C684" s="29"/>
      <c r="D684" s="29"/>
      <c r="E684" s="29"/>
      <c r="F684" s="29"/>
      <c r="G684" s="30"/>
      <c r="H684" s="29"/>
      <c r="I684" s="29"/>
      <c r="J684" s="29"/>
      <c r="K684" s="29"/>
      <c r="L684" s="29"/>
      <c r="M684" s="31"/>
    </row>
    <row r="685" spans="1:13">
      <c r="A685" s="28" t="str">
        <f t="shared" si="11"/>
        <v/>
      </c>
      <c r="B685" s="29"/>
      <c r="C685" s="29"/>
      <c r="D685" s="29"/>
      <c r="E685" s="29"/>
      <c r="F685" s="29"/>
      <c r="G685" s="30"/>
      <c r="H685" s="29"/>
      <c r="I685" s="29"/>
      <c r="J685" s="29"/>
      <c r="K685" s="29"/>
      <c r="L685" s="29"/>
      <c r="M685" s="31"/>
    </row>
    <row r="686" spans="1:13">
      <c r="A686" s="28" t="str">
        <f t="shared" si="11"/>
        <v/>
      </c>
      <c r="B686" s="29"/>
      <c r="C686" s="29"/>
      <c r="D686" s="29"/>
      <c r="E686" s="29"/>
      <c r="F686" s="29"/>
      <c r="G686" s="30"/>
      <c r="H686" s="29"/>
      <c r="I686" s="29"/>
      <c r="J686" s="29"/>
      <c r="K686" s="29"/>
      <c r="L686" s="29"/>
      <c r="M686" s="31"/>
    </row>
    <row r="687" spans="1:13">
      <c r="A687" s="28" t="str">
        <f t="shared" si="11"/>
        <v/>
      </c>
      <c r="B687" s="29"/>
      <c r="C687" s="29"/>
      <c r="D687" s="29"/>
      <c r="E687" s="29"/>
      <c r="F687" s="29"/>
      <c r="G687" s="30"/>
      <c r="H687" s="29"/>
      <c r="I687" s="29"/>
      <c r="J687" s="29"/>
      <c r="K687" s="29"/>
      <c r="L687" s="29"/>
      <c r="M687" s="31"/>
    </row>
    <row r="688" spans="1:13">
      <c r="A688" s="28" t="str">
        <f t="shared" si="11"/>
        <v/>
      </c>
      <c r="B688" s="29"/>
      <c r="C688" s="29"/>
      <c r="D688" s="29"/>
      <c r="E688" s="29"/>
      <c r="F688" s="29"/>
      <c r="G688" s="30"/>
      <c r="H688" s="29"/>
      <c r="I688" s="29"/>
      <c r="J688" s="29"/>
      <c r="K688" s="29"/>
      <c r="L688" s="29"/>
      <c r="M688" s="31"/>
    </row>
    <row r="689" spans="1:13">
      <c r="A689" s="28" t="str">
        <f t="shared" si="11"/>
        <v/>
      </c>
      <c r="B689" s="29"/>
      <c r="C689" s="29"/>
      <c r="D689" s="29"/>
      <c r="E689" s="29"/>
      <c r="F689" s="29"/>
      <c r="G689" s="30"/>
      <c r="H689" s="29"/>
      <c r="I689" s="29"/>
      <c r="J689" s="29"/>
      <c r="K689" s="29"/>
      <c r="L689" s="29"/>
      <c r="M689" s="31"/>
    </row>
    <row r="690" spans="1:13">
      <c r="A690" s="28" t="str">
        <f t="shared" si="11"/>
        <v/>
      </c>
      <c r="B690" s="29"/>
      <c r="C690" s="29"/>
      <c r="D690" s="29"/>
      <c r="E690" s="29"/>
      <c r="F690" s="29"/>
      <c r="G690" s="30"/>
      <c r="H690" s="29"/>
      <c r="I690" s="29"/>
      <c r="J690" s="29"/>
      <c r="K690" s="29"/>
      <c r="L690" s="29"/>
      <c r="M690" s="31"/>
    </row>
    <row r="691" spans="1:13">
      <c r="A691" s="28" t="str">
        <f t="shared" si="11"/>
        <v/>
      </c>
      <c r="B691" s="29"/>
      <c r="C691" s="29"/>
      <c r="D691" s="29"/>
      <c r="E691" s="29"/>
      <c r="F691" s="29"/>
      <c r="G691" s="30"/>
      <c r="H691" s="29"/>
      <c r="I691" s="29"/>
      <c r="J691" s="29"/>
      <c r="K691" s="29"/>
      <c r="L691" s="29"/>
      <c r="M691" s="31"/>
    </row>
    <row r="692" spans="1:13">
      <c r="A692" s="28" t="str">
        <f t="shared" si="11"/>
        <v/>
      </c>
      <c r="B692" s="29"/>
      <c r="C692" s="29"/>
      <c r="D692" s="29"/>
      <c r="E692" s="29"/>
      <c r="F692" s="29"/>
      <c r="G692" s="30"/>
      <c r="H692" s="29"/>
      <c r="I692" s="29"/>
      <c r="J692" s="29"/>
      <c r="K692" s="29"/>
      <c r="L692" s="29"/>
      <c r="M692" s="31"/>
    </row>
    <row r="693" spans="1:13">
      <c r="A693" s="28" t="str">
        <f t="shared" si="11"/>
        <v/>
      </c>
      <c r="B693" s="29"/>
      <c r="C693" s="29"/>
      <c r="D693" s="29"/>
      <c r="E693" s="29"/>
      <c r="F693" s="29"/>
      <c r="G693" s="30"/>
      <c r="H693" s="29"/>
      <c r="I693" s="29"/>
      <c r="J693" s="29"/>
      <c r="K693" s="29"/>
      <c r="L693" s="29"/>
      <c r="M693" s="31"/>
    </row>
    <row r="694" spans="1:13">
      <c r="A694" s="28" t="str">
        <f t="shared" si="11"/>
        <v/>
      </c>
      <c r="B694" s="29"/>
      <c r="C694" s="29"/>
      <c r="D694" s="29"/>
      <c r="E694" s="29"/>
      <c r="F694" s="29"/>
      <c r="G694" s="30"/>
      <c r="H694" s="29"/>
      <c r="I694" s="29"/>
      <c r="J694" s="29"/>
      <c r="K694" s="29"/>
      <c r="L694" s="29"/>
      <c r="M694" s="31"/>
    </row>
    <row r="695" spans="1:13">
      <c r="A695" s="28" t="str">
        <f t="shared" si="11"/>
        <v/>
      </c>
      <c r="B695" s="29"/>
      <c r="C695" s="29"/>
      <c r="D695" s="29"/>
      <c r="E695" s="29"/>
      <c r="F695" s="29"/>
      <c r="G695" s="30"/>
      <c r="H695" s="29"/>
      <c r="I695" s="29"/>
      <c r="J695" s="29"/>
      <c r="K695" s="29"/>
      <c r="L695" s="29"/>
      <c r="M695" s="31"/>
    </row>
    <row r="696" spans="1:13">
      <c r="A696" s="28" t="str">
        <f t="shared" si="11"/>
        <v/>
      </c>
      <c r="B696" s="29"/>
      <c r="C696" s="29"/>
      <c r="D696" s="29"/>
      <c r="E696" s="29"/>
      <c r="F696" s="29"/>
      <c r="G696" s="30"/>
      <c r="H696" s="29"/>
      <c r="I696" s="29"/>
      <c r="J696" s="29"/>
      <c r="K696" s="29"/>
      <c r="L696" s="29"/>
      <c r="M696" s="31"/>
    </row>
    <row r="697" spans="1:13">
      <c r="A697" s="28" t="str">
        <f t="shared" si="11"/>
        <v/>
      </c>
      <c r="B697" s="29"/>
      <c r="C697" s="29"/>
      <c r="D697" s="29"/>
      <c r="E697" s="29"/>
      <c r="F697" s="29"/>
      <c r="G697" s="30"/>
      <c r="H697" s="29"/>
      <c r="I697" s="29"/>
      <c r="J697" s="29"/>
      <c r="K697" s="29"/>
      <c r="L697" s="29"/>
      <c r="M697" s="31"/>
    </row>
    <row r="698" spans="1:13">
      <c r="A698" s="28" t="str">
        <f t="shared" si="11"/>
        <v/>
      </c>
      <c r="B698" s="29"/>
      <c r="C698" s="29"/>
      <c r="D698" s="29"/>
      <c r="E698" s="29"/>
      <c r="F698" s="29"/>
      <c r="G698" s="30"/>
      <c r="H698" s="29"/>
      <c r="I698" s="29"/>
      <c r="J698" s="29"/>
      <c r="K698" s="29"/>
      <c r="L698" s="29"/>
      <c r="M698" s="31"/>
    </row>
    <row r="699" spans="1:13">
      <c r="A699" s="28" t="str">
        <f t="shared" si="11"/>
        <v/>
      </c>
      <c r="B699" s="29"/>
      <c r="C699" s="29"/>
      <c r="D699" s="29"/>
      <c r="E699" s="29"/>
      <c r="F699" s="29"/>
      <c r="G699" s="30"/>
      <c r="H699" s="29"/>
      <c r="I699" s="29"/>
      <c r="J699" s="29"/>
      <c r="K699" s="29"/>
      <c r="L699" s="29"/>
      <c r="M699" s="31"/>
    </row>
    <row r="700" spans="1:13">
      <c r="A700" s="28" t="str">
        <f t="shared" si="11"/>
        <v/>
      </c>
      <c r="B700" s="29"/>
      <c r="C700" s="29"/>
      <c r="D700" s="29"/>
      <c r="E700" s="29"/>
      <c r="F700" s="29"/>
      <c r="G700" s="30"/>
      <c r="H700" s="29"/>
      <c r="I700" s="29"/>
      <c r="J700" s="29"/>
      <c r="K700" s="29"/>
      <c r="L700" s="29"/>
      <c r="M700" s="31"/>
    </row>
    <row r="701" spans="1:13">
      <c r="A701" s="28" t="str">
        <f t="shared" si="11"/>
        <v/>
      </c>
      <c r="B701" s="29"/>
      <c r="C701" s="29"/>
      <c r="D701" s="29"/>
      <c r="E701" s="29"/>
      <c r="F701" s="29"/>
      <c r="G701" s="30"/>
      <c r="H701" s="29"/>
      <c r="I701" s="29"/>
      <c r="J701" s="29"/>
      <c r="K701" s="29"/>
      <c r="L701" s="29"/>
      <c r="M701" s="31"/>
    </row>
    <row r="702" spans="1:13">
      <c r="A702" s="28" t="str">
        <f t="shared" si="11"/>
        <v/>
      </c>
      <c r="B702" s="29"/>
      <c r="C702" s="29"/>
      <c r="D702" s="29"/>
      <c r="E702" s="29"/>
      <c r="F702" s="29"/>
      <c r="G702" s="30"/>
      <c r="H702" s="29"/>
      <c r="I702" s="29"/>
      <c r="J702" s="29"/>
      <c r="K702" s="29"/>
      <c r="L702" s="29"/>
      <c r="M702" s="31"/>
    </row>
    <row r="703" spans="1:13">
      <c r="A703" s="28" t="str">
        <f t="shared" si="11"/>
        <v/>
      </c>
      <c r="B703" s="29"/>
      <c r="C703" s="29"/>
      <c r="D703" s="29"/>
      <c r="E703" s="29"/>
      <c r="F703" s="29"/>
      <c r="G703" s="30"/>
      <c r="H703" s="29"/>
      <c r="I703" s="29"/>
      <c r="J703" s="29"/>
      <c r="K703" s="29"/>
      <c r="L703" s="29"/>
      <c r="M703" s="31"/>
    </row>
    <row r="704" spans="1:13">
      <c r="A704" s="28" t="str">
        <f t="shared" si="11"/>
        <v/>
      </c>
      <c r="B704" s="29"/>
      <c r="C704" s="29"/>
      <c r="D704" s="29"/>
      <c r="E704" s="29"/>
      <c r="F704" s="29"/>
      <c r="G704" s="30"/>
      <c r="H704" s="29"/>
      <c r="I704" s="29"/>
      <c r="J704" s="29"/>
      <c r="K704" s="29"/>
      <c r="L704" s="29"/>
      <c r="M704" s="31"/>
    </row>
    <row r="705" spans="1:13">
      <c r="A705" s="28" t="str">
        <f t="shared" si="11"/>
        <v/>
      </c>
      <c r="B705" s="29"/>
      <c r="C705" s="29"/>
      <c r="D705" s="29"/>
      <c r="E705" s="29"/>
      <c r="F705" s="29"/>
      <c r="G705" s="30"/>
      <c r="H705" s="29"/>
      <c r="I705" s="29"/>
      <c r="J705" s="29"/>
      <c r="K705" s="29"/>
      <c r="L705" s="29"/>
      <c r="M705" s="31"/>
    </row>
    <row r="706" spans="1:13">
      <c r="A706" s="28" t="str">
        <f t="shared" si="11"/>
        <v/>
      </c>
      <c r="B706" s="29"/>
      <c r="C706" s="29"/>
      <c r="D706" s="29"/>
      <c r="E706" s="29"/>
      <c r="F706" s="29"/>
      <c r="G706" s="30"/>
      <c r="H706" s="29"/>
      <c r="I706" s="29"/>
      <c r="J706" s="29"/>
      <c r="K706" s="29"/>
      <c r="L706" s="29"/>
      <c r="M706" s="31"/>
    </row>
    <row r="707" spans="1:13">
      <c r="A707" s="28" t="str">
        <f t="shared" si="11"/>
        <v/>
      </c>
      <c r="B707" s="29"/>
      <c r="C707" s="29"/>
      <c r="D707" s="29"/>
      <c r="E707" s="29"/>
      <c r="F707" s="29"/>
      <c r="G707" s="30"/>
      <c r="H707" s="29"/>
      <c r="I707" s="29"/>
      <c r="J707" s="29"/>
      <c r="K707" s="29"/>
      <c r="L707" s="29"/>
      <c r="M707" s="31"/>
    </row>
    <row r="708" spans="1:13">
      <c r="A708" s="28" t="str">
        <f t="shared" si="11"/>
        <v/>
      </c>
      <c r="B708" s="29"/>
      <c r="C708" s="29"/>
      <c r="D708" s="29"/>
      <c r="E708" s="29"/>
      <c r="F708" s="29"/>
      <c r="G708" s="30"/>
      <c r="H708" s="29"/>
      <c r="I708" s="29"/>
      <c r="J708" s="29"/>
      <c r="K708" s="29"/>
      <c r="L708" s="29"/>
      <c r="M708" s="31"/>
    </row>
    <row r="709" spans="1:13">
      <c r="A709" s="28" t="str">
        <f t="shared" si="11"/>
        <v/>
      </c>
      <c r="B709" s="29"/>
      <c r="C709" s="29"/>
      <c r="D709" s="29"/>
      <c r="E709" s="29"/>
      <c r="F709" s="29"/>
      <c r="G709" s="30"/>
      <c r="H709" s="29"/>
      <c r="I709" s="29"/>
      <c r="J709" s="29"/>
      <c r="K709" s="29"/>
      <c r="L709" s="29"/>
      <c r="M709" s="31"/>
    </row>
    <row r="710" spans="1:13">
      <c r="A710" s="28" t="str">
        <f t="shared" si="11"/>
        <v/>
      </c>
      <c r="B710" s="29"/>
      <c r="C710" s="29"/>
      <c r="D710" s="29"/>
      <c r="E710" s="29"/>
      <c r="F710" s="29"/>
      <c r="G710" s="30"/>
      <c r="H710" s="29"/>
      <c r="I710" s="29"/>
      <c r="J710" s="29"/>
      <c r="K710" s="29"/>
      <c r="L710" s="29"/>
      <c r="M710" s="31"/>
    </row>
    <row r="711" spans="1:13">
      <c r="A711" s="28" t="str">
        <f t="shared" si="11"/>
        <v/>
      </c>
      <c r="B711" s="29"/>
      <c r="C711" s="29"/>
      <c r="D711" s="29"/>
      <c r="E711" s="29"/>
      <c r="F711" s="29"/>
      <c r="G711" s="30"/>
      <c r="H711" s="29"/>
      <c r="I711" s="29"/>
      <c r="J711" s="29"/>
      <c r="K711" s="29"/>
      <c r="L711" s="29"/>
      <c r="M711" s="31"/>
    </row>
    <row r="712" spans="1:13">
      <c r="A712" s="28" t="str">
        <f t="shared" si="11"/>
        <v/>
      </c>
      <c r="B712" s="29"/>
      <c r="C712" s="29"/>
      <c r="D712" s="29"/>
      <c r="E712" s="29"/>
      <c r="F712" s="29"/>
      <c r="G712" s="30"/>
      <c r="H712" s="29"/>
      <c r="I712" s="29"/>
      <c r="J712" s="29"/>
      <c r="K712" s="29"/>
      <c r="L712" s="29"/>
      <c r="M712" s="31"/>
    </row>
    <row r="713" spans="1:13">
      <c r="A713" s="28" t="str">
        <f t="shared" si="11"/>
        <v/>
      </c>
      <c r="B713" s="29"/>
      <c r="C713" s="29"/>
      <c r="D713" s="29"/>
      <c r="E713" s="29"/>
      <c r="F713" s="29"/>
      <c r="G713" s="30"/>
      <c r="H713" s="29"/>
      <c r="I713" s="29"/>
      <c r="J713" s="29"/>
      <c r="K713" s="29"/>
      <c r="L713" s="29"/>
      <c r="M713" s="31"/>
    </row>
    <row r="714" spans="1:13">
      <c r="A714" s="28" t="str">
        <f t="shared" si="11"/>
        <v/>
      </c>
      <c r="B714" s="29"/>
      <c r="C714" s="29"/>
      <c r="D714" s="29"/>
      <c r="E714" s="29"/>
      <c r="F714" s="29"/>
      <c r="G714" s="30"/>
      <c r="H714" s="29"/>
      <c r="I714" s="29"/>
      <c r="J714" s="29"/>
      <c r="K714" s="29"/>
      <c r="L714" s="29"/>
      <c r="M714" s="31"/>
    </row>
    <row r="715" spans="1:13">
      <c r="A715" s="28" t="str">
        <f t="shared" si="11"/>
        <v/>
      </c>
      <c r="B715" s="29"/>
      <c r="C715" s="29"/>
      <c r="D715" s="29"/>
      <c r="E715" s="29"/>
      <c r="F715" s="29"/>
      <c r="G715" s="30"/>
      <c r="H715" s="29"/>
      <c r="I715" s="29"/>
      <c r="J715" s="29"/>
      <c r="K715" s="29"/>
      <c r="L715" s="29"/>
      <c r="M715" s="31"/>
    </row>
    <row r="716" spans="1:13">
      <c r="A716" s="28" t="str">
        <f t="shared" si="11"/>
        <v/>
      </c>
      <c r="B716" s="29"/>
      <c r="C716" s="29"/>
      <c r="D716" s="29"/>
      <c r="E716" s="29"/>
      <c r="F716" s="29"/>
      <c r="G716" s="30"/>
      <c r="H716" s="29"/>
      <c r="I716" s="29"/>
      <c r="J716" s="29"/>
      <c r="K716" s="29"/>
      <c r="L716" s="29"/>
      <c r="M716" s="31"/>
    </row>
    <row r="717" spans="1:13">
      <c r="A717" s="28" t="str">
        <f t="shared" si="11"/>
        <v/>
      </c>
      <c r="B717" s="29"/>
      <c r="C717" s="29"/>
      <c r="D717" s="29"/>
      <c r="E717" s="29"/>
      <c r="F717" s="29"/>
      <c r="G717" s="30"/>
      <c r="H717" s="29"/>
      <c r="I717" s="29"/>
      <c r="J717" s="29"/>
      <c r="K717" s="29"/>
      <c r="L717" s="29"/>
      <c r="M717" s="31"/>
    </row>
    <row r="718" spans="1:13">
      <c r="A718" s="28" t="str">
        <f t="shared" si="11"/>
        <v/>
      </c>
      <c r="B718" s="29"/>
      <c r="C718" s="29"/>
      <c r="D718" s="29"/>
      <c r="E718" s="29"/>
      <c r="F718" s="29"/>
      <c r="G718" s="30"/>
      <c r="H718" s="29"/>
      <c r="I718" s="29"/>
      <c r="J718" s="29"/>
      <c r="K718" s="29"/>
      <c r="L718" s="29"/>
      <c r="M718" s="31"/>
    </row>
    <row r="719" spans="1:13">
      <c r="A719" s="28" t="str">
        <f t="shared" si="11"/>
        <v/>
      </c>
      <c r="B719" s="29"/>
      <c r="C719" s="29"/>
      <c r="D719" s="29"/>
      <c r="E719" s="29"/>
      <c r="F719" s="29"/>
      <c r="G719" s="30"/>
      <c r="H719" s="29"/>
      <c r="I719" s="29"/>
      <c r="J719" s="29"/>
      <c r="K719" s="29"/>
      <c r="L719" s="29"/>
      <c r="M719" s="31"/>
    </row>
    <row r="720" spans="1:13">
      <c r="A720" s="28" t="str">
        <f t="shared" si="11"/>
        <v/>
      </c>
      <c r="B720" s="29"/>
      <c r="C720" s="29"/>
      <c r="D720" s="29"/>
      <c r="E720" s="29"/>
      <c r="F720" s="29"/>
      <c r="G720" s="30"/>
      <c r="H720" s="29"/>
      <c r="I720" s="29"/>
      <c r="J720" s="29"/>
      <c r="K720" s="29"/>
      <c r="L720" s="29"/>
      <c r="M720" s="31"/>
    </row>
    <row r="721" spans="1:13">
      <c r="A721" s="28" t="str">
        <f t="shared" si="11"/>
        <v/>
      </c>
      <c r="B721" s="29"/>
      <c r="C721" s="29"/>
      <c r="D721" s="29"/>
      <c r="E721" s="29"/>
      <c r="F721" s="29"/>
      <c r="G721" s="30"/>
      <c r="H721" s="29"/>
      <c r="I721" s="29"/>
      <c r="J721" s="29"/>
      <c r="K721" s="29"/>
      <c r="L721" s="29"/>
      <c r="M721" s="31"/>
    </row>
    <row r="722" spans="1:13">
      <c r="A722" s="28" t="str">
        <f t="shared" si="11"/>
        <v/>
      </c>
      <c r="B722" s="29"/>
      <c r="C722" s="29"/>
      <c r="D722" s="29"/>
      <c r="E722" s="29"/>
      <c r="F722" s="29"/>
      <c r="G722" s="30"/>
      <c r="H722" s="29"/>
      <c r="I722" s="29"/>
      <c r="J722" s="29"/>
      <c r="K722" s="29"/>
      <c r="L722" s="29"/>
      <c r="M722" s="31"/>
    </row>
    <row r="723" spans="1:13">
      <c r="A723" s="28" t="str">
        <f t="shared" si="11"/>
        <v/>
      </c>
      <c r="B723" s="29"/>
      <c r="C723" s="29"/>
      <c r="D723" s="29"/>
      <c r="E723" s="29"/>
      <c r="F723" s="29"/>
      <c r="G723" s="30"/>
      <c r="H723" s="29"/>
      <c r="I723" s="29"/>
      <c r="J723" s="29"/>
      <c r="K723" s="29"/>
      <c r="L723" s="29"/>
      <c r="M723" s="31"/>
    </row>
    <row r="724" spans="1:13">
      <c r="A724" s="28" t="str">
        <f t="shared" si="11"/>
        <v/>
      </c>
      <c r="B724" s="29"/>
      <c r="C724" s="29"/>
      <c r="D724" s="29"/>
      <c r="E724" s="29"/>
      <c r="F724" s="29"/>
      <c r="G724" s="30"/>
      <c r="H724" s="29"/>
      <c r="I724" s="29"/>
      <c r="J724" s="29"/>
      <c r="K724" s="29"/>
      <c r="L724" s="29"/>
      <c r="M724" s="31"/>
    </row>
    <row r="725" spans="1:13">
      <c r="A725" s="28" t="str">
        <f t="shared" ref="A725:A788" si="12">IF(D725="","",ROW()-4)</f>
        <v/>
      </c>
      <c r="B725" s="29"/>
      <c r="C725" s="29"/>
      <c r="D725" s="29"/>
      <c r="E725" s="29"/>
      <c r="F725" s="29"/>
      <c r="G725" s="30"/>
      <c r="H725" s="29"/>
      <c r="I725" s="29"/>
      <c r="J725" s="29"/>
      <c r="K725" s="29"/>
      <c r="L725" s="29"/>
      <c r="M725" s="31"/>
    </row>
    <row r="726" spans="1:13">
      <c r="A726" s="28" t="str">
        <f t="shared" si="12"/>
        <v/>
      </c>
      <c r="B726" s="29"/>
      <c r="C726" s="29"/>
      <c r="D726" s="29"/>
      <c r="E726" s="29"/>
      <c r="F726" s="29"/>
      <c r="G726" s="30"/>
      <c r="H726" s="29"/>
      <c r="I726" s="29"/>
      <c r="J726" s="29"/>
      <c r="K726" s="29"/>
      <c r="L726" s="29"/>
      <c r="M726" s="31"/>
    </row>
    <row r="727" spans="1:13">
      <c r="A727" s="28" t="str">
        <f t="shared" si="12"/>
        <v/>
      </c>
      <c r="B727" s="29"/>
      <c r="C727" s="29"/>
      <c r="D727" s="29"/>
      <c r="E727" s="29"/>
      <c r="F727" s="29"/>
      <c r="G727" s="30"/>
      <c r="H727" s="29"/>
      <c r="I727" s="29"/>
      <c r="J727" s="29"/>
      <c r="K727" s="29"/>
      <c r="L727" s="29"/>
      <c r="M727" s="31"/>
    </row>
    <row r="728" spans="1:13">
      <c r="A728" s="28" t="str">
        <f t="shared" si="12"/>
        <v/>
      </c>
      <c r="B728" s="29"/>
      <c r="C728" s="29"/>
      <c r="D728" s="29"/>
      <c r="E728" s="29"/>
      <c r="F728" s="29"/>
      <c r="G728" s="30"/>
      <c r="H728" s="29"/>
      <c r="I728" s="29"/>
      <c r="J728" s="29"/>
      <c r="K728" s="29"/>
      <c r="L728" s="29"/>
      <c r="M728" s="31"/>
    </row>
    <row r="729" spans="1:13">
      <c r="A729" s="28" t="str">
        <f t="shared" si="12"/>
        <v/>
      </c>
      <c r="B729" s="29"/>
      <c r="C729" s="29"/>
      <c r="D729" s="29"/>
      <c r="E729" s="29"/>
      <c r="F729" s="29"/>
      <c r="G729" s="30"/>
      <c r="H729" s="29"/>
      <c r="I729" s="29"/>
      <c r="J729" s="29"/>
      <c r="K729" s="29"/>
      <c r="L729" s="29"/>
      <c r="M729" s="31"/>
    </row>
    <row r="730" spans="1:13">
      <c r="A730" s="28" t="str">
        <f t="shared" si="12"/>
        <v/>
      </c>
      <c r="B730" s="29"/>
      <c r="C730" s="29"/>
      <c r="D730" s="29"/>
      <c r="E730" s="29"/>
      <c r="F730" s="29"/>
      <c r="G730" s="30"/>
      <c r="H730" s="29"/>
      <c r="I730" s="29"/>
      <c r="J730" s="29"/>
      <c r="K730" s="29"/>
      <c r="L730" s="29"/>
      <c r="M730" s="31"/>
    </row>
    <row r="731" spans="1:13">
      <c r="A731" s="28" t="str">
        <f t="shared" si="12"/>
        <v/>
      </c>
      <c r="B731" s="29"/>
      <c r="C731" s="29"/>
      <c r="D731" s="29"/>
      <c r="E731" s="29"/>
      <c r="F731" s="29"/>
      <c r="G731" s="30"/>
      <c r="H731" s="29"/>
      <c r="I731" s="29"/>
      <c r="J731" s="29"/>
      <c r="K731" s="29"/>
      <c r="L731" s="29"/>
      <c r="M731" s="31"/>
    </row>
    <row r="732" spans="1:13">
      <c r="A732" s="28" t="str">
        <f t="shared" si="12"/>
        <v/>
      </c>
      <c r="B732" s="29"/>
      <c r="C732" s="29"/>
      <c r="D732" s="29"/>
      <c r="E732" s="29"/>
      <c r="F732" s="29"/>
      <c r="G732" s="30"/>
      <c r="H732" s="29"/>
      <c r="I732" s="29"/>
      <c r="J732" s="29"/>
      <c r="K732" s="29"/>
      <c r="L732" s="29"/>
      <c r="M732" s="31"/>
    </row>
    <row r="733" spans="1:13">
      <c r="A733" s="28" t="str">
        <f t="shared" si="12"/>
        <v/>
      </c>
      <c r="B733" s="29"/>
      <c r="C733" s="29"/>
      <c r="D733" s="29"/>
      <c r="E733" s="29"/>
      <c r="F733" s="29"/>
      <c r="G733" s="30"/>
      <c r="H733" s="29"/>
      <c r="I733" s="29"/>
      <c r="J733" s="29"/>
      <c r="K733" s="29"/>
      <c r="L733" s="29"/>
      <c r="M733" s="31"/>
    </row>
    <row r="734" spans="1:13">
      <c r="A734" s="28" t="str">
        <f t="shared" si="12"/>
        <v/>
      </c>
      <c r="B734" s="29"/>
      <c r="C734" s="29"/>
      <c r="D734" s="29"/>
      <c r="E734" s="29"/>
      <c r="F734" s="29"/>
      <c r="G734" s="30"/>
      <c r="H734" s="29"/>
      <c r="I734" s="29"/>
      <c r="J734" s="29"/>
      <c r="K734" s="29"/>
      <c r="L734" s="29"/>
      <c r="M734" s="31"/>
    </row>
    <row r="735" spans="1:13">
      <c r="A735" s="28" t="str">
        <f t="shared" si="12"/>
        <v/>
      </c>
      <c r="B735" s="29"/>
      <c r="C735" s="29"/>
      <c r="D735" s="29"/>
      <c r="E735" s="29"/>
      <c r="F735" s="29"/>
      <c r="G735" s="30"/>
      <c r="H735" s="29"/>
      <c r="I735" s="29"/>
      <c r="J735" s="29"/>
      <c r="K735" s="29"/>
      <c r="L735" s="29"/>
      <c r="M735" s="31"/>
    </row>
    <row r="736" spans="1:13">
      <c r="A736" s="28" t="str">
        <f t="shared" si="12"/>
        <v/>
      </c>
      <c r="B736" s="29"/>
      <c r="C736" s="29"/>
      <c r="D736" s="29"/>
      <c r="E736" s="29"/>
      <c r="F736" s="29"/>
      <c r="G736" s="30"/>
      <c r="H736" s="29"/>
      <c r="I736" s="29"/>
      <c r="J736" s="29"/>
      <c r="K736" s="29"/>
      <c r="L736" s="29"/>
      <c r="M736" s="31"/>
    </row>
    <row r="737" spans="1:13">
      <c r="A737" s="28" t="str">
        <f t="shared" si="12"/>
        <v/>
      </c>
      <c r="B737" s="29"/>
      <c r="C737" s="29"/>
      <c r="D737" s="29"/>
      <c r="E737" s="29"/>
      <c r="F737" s="29"/>
      <c r="G737" s="30"/>
      <c r="H737" s="29"/>
      <c r="I737" s="29"/>
      <c r="J737" s="29"/>
      <c r="K737" s="29"/>
      <c r="L737" s="29"/>
      <c r="M737" s="31"/>
    </row>
    <row r="738" spans="1:13">
      <c r="A738" s="28" t="str">
        <f t="shared" si="12"/>
        <v/>
      </c>
      <c r="B738" s="29"/>
      <c r="C738" s="29"/>
      <c r="D738" s="29"/>
      <c r="E738" s="29"/>
      <c r="F738" s="29"/>
      <c r="G738" s="30"/>
      <c r="H738" s="29"/>
      <c r="I738" s="29"/>
      <c r="J738" s="29"/>
      <c r="K738" s="29"/>
      <c r="L738" s="29"/>
      <c r="M738" s="31"/>
    </row>
    <row r="739" spans="1:13">
      <c r="A739" s="28" t="str">
        <f t="shared" si="12"/>
        <v/>
      </c>
      <c r="B739" s="29"/>
      <c r="C739" s="29"/>
      <c r="D739" s="29"/>
      <c r="E739" s="29"/>
      <c r="F739" s="29"/>
      <c r="G739" s="30"/>
      <c r="H739" s="29"/>
      <c r="I739" s="29"/>
      <c r="J739" s="29"/>
      <c r="K739" s="29"/>
      <c r="L739" s="29"/>
      <c r="M739" s="31"/>
    </row>
    <row r="740" spans="1:13">
      <c r="A740" s="28" t="str">
        <f t="shared" si="12"/>
        <v/>
      </c>
      <c r="B740" s="29"/>
      <c r="C740" s="29"/>
      <c r="D740" s="29"/>
      <c r="E740" s="29"/>
      <c r="F740" s="29"/>
      <c r="G740" s="30"/>
      <c r="H740" s="29"/>
      <c r="I740" s="29"/>
      <c r="J740" s="29"/>
      <c r="K740" s="29"/>
      <c r="L740" s="29"/>
      <c r="M740" s="31"/>
    </row>
    <row r="741" spans="1:13">
      <c r="A741" s="28" t="str">
        <f t="shared" si="12"/>
        <v/>
      </c>
      <c r="B741" s="29"/>
      <c r="C741" s="29"/>
      <c r="D741" s="29"/>
      <c r="E741" s="29"/>
      <c r="F741" s="29"/>
      <c r="G741" s="30"/>
      <c r="H741" s="29"/>
      <c r="I741" s="29"/>
      <c r="J741" s="29"/>
      <c r="K741" s="29"/>
      <c r="L741" s="29"/>
      <c r="M741" s="31"/>
    </row>
    <row r="742" spans="1:13">
      <c r="A742" s="28" t="str">
        <f t="shared" si="12"/>
        <v/>
      </c>
      <c r="B742" s="29"/>
      <c r="C742" s="29"/>
      <c r="D742" s="29"/>
      <c r="E742" s="29"/>
      <c r="F742" s="29"/>
      <c r="G742" s="30"/>
      <c r="H742" s="29"/>
      <c r="I742" s="29"/>
      <c r="J742" s="29"/>
      <c r="K742" s="29"/>
      <c r="L742" s="29"/>
      <c r="M742" s="31"/>
    </row>
    <row r="743" spans="1:13">
      <c r="A743" s="28" t="str">
        <f t="shared" si="12"/>
        <v/>
      </c>
      <c r="B743" s="29"/>
      <c r="C743" s="29"/>
      <c r="D743" s="29"/>
      <c r="E743" s="29"/>
      <c r="F743" s="29"/>
      <c r="G743" s="30"/>
      <c r="H743" s="29"/>
      <c r="I743" s="29"/>
      <c r="J743" s="29"/>
      <c r="K743" s="29"/>
      <c r="L743" s="29"/>
      <c r="M743" s="31"/>
    </row>
    <row r="744" spans="1:13">
      <c r="A744" s="28" t="str">
        <f t="shared" si="12"/>
        <v/>
      </c>
      <c r="B744" s="29"/>
      <c r="C744" s="29"/>
      <c r="D744" s="29"/>
      <c r="E744" s="29"/>
      <c r="F744" s="29"/>
      <c r="G744" s="30"/>
      <c r="H744" s="29"/>
      <c r="I744" s="29"/>
      <c r="J744" s="29"/>
      <c r="K744" s="29"/>
      <c r="L744" s="29"/>
      <c r="M744" s="31"/>
    </row>
    <row r="745" spans="1:13">
      <c r="A745" s="28" t="str">
        <f t="shared" si="12"/>
        <v/>
      </c>
      <c r="B745" s="29"/>
      <c r="C745" s="29"/>
      <c r="D745" s="29"/>
      <c r="E745" s="29"/>
      <c r="F745" s="29"/>
      <c r="G745" s="30"/>
      <c r="H745" s="29"/>
      <c r="I745" s="29"/>
      <c r="J745" s="29"/>
      <c r="K745" s="29"/>
      <c r="L745" s="29"/>
      <c r="M745" s="31"/>
    </row>
    <row r="746" spans="1:13">
      <c r="A746" s="28" t="str">
        <f t="shared" si="12"/>
        <v/>
      </c>
      <c r="B746" s="29"/>
      <c r="C746" s="29"/>
      <c r="D746" s="29"/>
      <c r="E746" s="29"/>
      <c r="F746" s="29"/>
      <c r="G746" s="30"/>
      <c r="H746" s="29"/>
      <c r="I746" s="29"/>
      <c r="J746" s="29"/>
      <c r="K746" s="29"/>
      <c r="L746" s="29"/>
      <c r="M746" s="31"/>
    </row>
    <row r="747" spans="1:13">
      <c r="A747" s="28" t="str">
        <f t="shared" si="12"/>
        <v/>
      </c>
      <c r="B747" s="29"/>
      <c r="C747" s="29"/>
      <c r="D747" s="29"/>
      <c r="E747" s="29"/>
      <c r="F747" s="29"/>
      <c r="G747" s="30"/>
      <c r="H747" s="29"/>
      <c r="I747" s="29"/>
      <c r="J747" s="29"/>
      <c r="K747" s="29"/>
      <c r="L747" s="29"/>
      <c r="M747" s="31"/>
    </row>
    <row r="748" spans="1:13">
      <c r="A748" s="28" t="str">
        <f t="shared" si="12"/>
        <v/>
      </c>
      <c r="B748" s="29"/>
      <c r="C748" s="29"/>
      <c r="D748" s="29"/>
      <c r="E748" s="29"/>
      <c r="F748" s="29"/>
      <c r="G748" s="30"/>
      <c r="H748" s="29"/>
      <c r="I748" s="29"/>
      <c r="J748" s="29"/>
      <c r="K748" s="29"/>
      <c r="L748" s="29"/>
      <c r="M748" s="31"/>
    </row>
    <row r="749" spans="1:13">
      <c r="A749" s="28" t="str">
        <f t="shared" si="12"/>
        <v/>
      </c>
      <c r="B749" s="29"/>
      <c r="C749" s="29"/>
      <c r="D749" s="29"/>
      <c r="E749" s="29"/>
      <c r="F749" s="29"/>
      <c r="G749" s="30"/>
      <c r="H749" s="29"/>
      <c r="I749" s="29"/>
      <c r="J749" s="29"/>
      <c r="K749" s="29"/>
      <c r="L749" s="29"/>
      <c r="M749" s="31"/>
    </row>
    <row r="750" spans="1:13">
      <c r="A750" s="28" t="str">
        <f t="shared" si="12"/>
        <v/>
      </c>
      <c r="B750" s="29"/>
      <c r="C750" s="29"/>
      <c r="D750" s="29"/>
      <c r="E750" s="29"/>
      <c r="F750" s="29"/>
      <c r="G750" s="30"/>
      <c r="H750" s="29"/>
      <c r="I750" s="29"/>
      <c r="J750" s="29"/>
      <c r="K750" s="29"/>
      <c r="L750" s="29"/>
      <c r="M750" s="31"/>
    </row>
    <row r="751" spans="1:13">
      <c r="A751" s="28" t="str">
        <f t="shared" si="12"/>
        <v/>
      </c>
      <c r="B751" s="29"/>
      <c r="C751" s="29"/>
      <c r="D751" s="29"/>
      <c r="E751" s="29"/>
      <c r="F751" s="29"/>
      <c r="G751" s="30"/>
      <c r="H751" s="29"/>
      <c r="I751" s="29"/>
      <c r="J751" s="29"/>
      <c r="K751" s="29"/>
      <c r="L751" s="29"/>
      <c r="M751" s="31"/>
    </row>
    <row r="752" spans="1:13">
      <c r="A752" s="28" t="str">
        <f t="shared" si="12"/>
        <v/>
      </c>
      <c r="B752" s="29"/>
      <c r="C752" s="29"/>
      <c r="D752" s="29"/>
      <c r="E752" s="29"/>
      <c r="F752" s="29"/>
      <c r="G752" s="30"/>
      <c r="H752" s="29"/>
      <c r="I752" s="29"/>
      <c r="J752" s="29"/>
      <c r="K752" s="29"/>
      <c r="L752" s="29"/>
      <c r="M752" s="31"/>
    </row>
    <row r="753" spans="1:13">
      <c r="A753" s="28" t="str">
        <f t="shared" si="12"/>
        <v/>
      </c>
      <c r="B753" s="29"/>
      <c r="C753" s="29"/>
      <c r="D753" s="29"/>
      <c r="E753" s="29"/>
      <c r="F753" s="29"/>
      <c r="G753" s="30"/>
      <c r="H753" s="29"/>
      <c r="I753" s="29"/>
      <c r="J753" s="29"/>
      <c r="K753" s="29"/>
      <c r="L753" s="29"/>
      <c r="M753" s="31"/>
    </row>
    <row r="754" spans="1:13">
      <c r="A754" s="28" t="str">
        <f t="shared" si="12"/>
        <v/>
      </c>
      <c r="B754" s="29"/>
      <c r="C754" s="29"/>
      <c r="D754" s="29"/>
      <c r="E754" s="29"/>
      <c r="F754" s="29"/>
      <c r="G754" s="30"/>
      <c r="H754" s="29"/>
      <c r="I754" s="29"/>
      <c r="J754" s="29"/>
      <c r="K754" s="29"/>
      <c r="L754" s="29"/>
      <c r="M754" s="31"/>
    </row>
    <row r="755" spans="1:13">
      <c r="A755" s="28" t="str">
        <f t="shared" si="12"/>
        <v/>
      </c>
      <c r="B755" s="29"/>
      <c r="C755" s="29"/>
      <c r="D755" s="29"/>
      <c r="E755" s="29"/>
      <c r="F755" s="29"/>
      <c r="G755" s="30"/>
      <c r="H755" s="29"/>
      <c r="I755" s="29"/>
      <c r="J755" s="29"/>
      <c r="K755" s="29"/>
      <c r="L755" s="29"/>
      <c r="M755" s="31"/>
    </row>
    <row r="756" spans="1:13">
      <c r="A756" s="28" t="str">
        <f t="shared" si="12"/>
        <v/>
      </c>
      <c r="B756" s="29"/>
      <c r="C756" s="29"/>
      <c r="D756" s="29"/>
      <c r="E756" s="29"/>
      <c r="F756" s="29"/>
      <c r="G756" s="30"/>
      <c r="H756" s="29"/>
      <c r="I756" s="29"/>
      <c r="J756" s="29"/>
      <c r="K756" s="29"/>
      <c r="L756" s="29"/>
      <c r="M756" s="31"/>
    </row>
    <row r="757" spans="1:13">
      <c r="A757" s="28" t="str">
        <f t="shared" si="12"/>
        <v/>
      </c>
      <c r="B757" s="29"/>
      <c r="C757" s="29"/>
      <c r="D757" s="29"/>
      <c r="E757" s="29"/>
      <c r="F757" s="29"/>
      <c r="G757" s="30"/>
      <c r="H757" s="29"/>
      <c r="I757" s="29"/>
      <c r="J757" s="29"/>
      <c r="K757" s="29"/>
      <c r="L757" s="29"/>
      <c r="M757" s="31"/>
    </row>
    <row r="758" spans="1:13">
      <c r="A758" s="28" t="str">
        <f t="shared" si="12"/>
        <v/>
      </c>
      <c r="B758" s="29"/>
      <c r="C758" s="29"/>
      <c r="D758" s="29"/>
      <c r="E758" s="29"/>
      <c r="F758" s="29"/>
      <c r="G758" s="30"/>
      <c r="H758" s="29"/>
      <c r="I758" s="29"/>
      <c r="J758" s="29"/>
      <c r="K758" s="29"/>
      <c r="L758" s="29"/>
      <c r="M758" s="31"/>
    </row>
    <row r="759" spans="1:13">
      <c r="A759" s="28" t="str">
        <f t="shared" si="12"/>
        <v/>
      </c>
      <c r="B759" s="29"/>
      <c r="C759" s="29"/>
      <c r="D759" s="29"/>
      <c r="E759" s="29"/>
      <c r="F759" s="29"/>
      <c r="G759" s="30"/>
      <c r="H759" s="29"/>
      <c r="I759" s="29"/>
      <c r="J759" s="29"/>
      <c r="K759" s="29"/>
      <c r="L759" s="29"/>
      <c r="M759" s="31"/>
    </row>
    <row r="760" spans="1:13">
      <c r="A760" s="28" t="str">
        <f t="shared" si="12"/>
        <v/>
      </c>
      <c r="B760" s="29"/>
      <c r="C760" s="29"/>
      <c r="D760" s="29"/>
      <c r="E760" s="29"/>
      <c r="F760" s="29"/>
      <c r="G760" s="30"/>
      <c r="H760" s="29"/>
      <c r="I760" s="29"/>
      <c r="J760" s="29"/>
      <c r="K760" s="29"/>
      <c r="L760" s="29"/>
      <c r="M760" s="31"/>
    </row>
    <row r="761" spans="1:13">
      <c r="A761" s="28" t="str">
        <f t="shared" si="12"/>
        <v/>
      </c>
      <c r="B761" s="29"/>
      <c r="C761" s="29"/>
      <c r="D761" s="29"/>
      <c r="E761" s="29"/>
      <c r="F761" s="29"/>
      <c r="G761" s="30"/>
      <c r="H761" s="29"/>
      <c r="I761" s="29"/>
      <c r="J761" s="29"/>
      <c r="K761" s="29"/>
      <c r="L761" s="29"/>
      <c r="M761" s="31"/>
    </row>
    <row r="762" spans="1:13">
      <c r="A762" s="28" t="str">
        <f t="shared" si="12"/>
        <v/>
      </c>
      <c r="B762" s="29"/>
      <c r="C762" s="29"/>
      <c r="D762" s="29"/>
      <c r="E762" s="29"/>
      <c r="F762" s="29"/>
      <c r="G762" s="30"/>
      <c r="H762" s="29"/>
      <c r="I762" s="29"/>
      <c r="J762" s="29"/>
      <c r="K762" s="29"/>
      <c r="L762" s="29"/>
      <c r="M762" s="31"/>
    </row>
    <row r="763" spans="1:13">
      <c r="A763" s="28" t="str">
        <f t="shared" si="12"/>
        <v/>
      </c>
      <c r="B763" s="29"/>
      <c r="C763" s="29"/>
      <c r="D763" s="29"/>
      <c r="E763" s="29"/>
      <c r="F763" s="29"/>
      <c r="G763" s="30"/>
      <c r="H763" s="29"/>
      <c r="I763" s="29"/>
      <c r="J763" s="29"/>
      <c r="K763" s="29"/>
      <c r="L763" s="29"/>
      <c r="M763" s="31"/>
    </row>
    <row r="764" spans="1:13">
      <c r="A764" s="28" t="str">
        <f t="shared" si="12"/>
        <v/>
      </c>
      <c r="B764" s="29"/>
      <c r="C764" s="29"/>
      <c r="D764" s="29"/>
      <c r="E764" s="29"/>
      <c r="F764" s="29"/>
      <c r="G764" s="30"/>
      <c r="H764" s="29"/>
      <c r="I764" s="29"/>
      <c r="J764" s="29"/>
      <c r="K764" s="29"/>
      <c r="L764" s="29"/>
      <c r="M764" s="31"/>
    </row>
    <row r="765" spans="1:13">
      <c r="A765" s="28" t="str">
        <f t="shared" si="12"/>
        <v/>
      </c>
      <c r="B765" s="29"/>
      <c r="C765" s="29"/>
      <c r="D765" s="29"/>
      <c r="E765" s="29"/>
      <c r="F765" s="29"/>
      <c r="G765" s="30"/>
      <c r="H765" s="29"/>
      <c r="I765" s="29"/>
      <c r="J765" s="29"/>
      <c r="K765" s="29"/>
      <c r="L765" s="29"/>
      <c r="M765" s="31"/>
    </row>
    <row r="766" spans="1:13">
      <c r="A766" s="28" t="str">
        <f t="shared" si="12"/>
        <v/>
      </c>
      <c r="B766" s="29"/>
      <c r="C766" s="29"/>
      <c r="D766" s="29"/>
      <c r="E766" s="29"/>
      <c r="F766" s="29"/>
      <c r="G766" s="30"/>
      <c r="H766" s="29"/>
      <c r="I766" s="29"/>
      <c r="J766" s="29"/>
      <c r="K766" s="29"/>
      <c r="L766" s="29"/>
      <c r="M766" s="31"/>
    </row>
    <row r="767" spans="1:13">
      <c r="A767" s="28" t="str">
        <f t="shared" si="12"/>
        <v/>
      </c>
      <c r="B767" s="29"/>
      <c r="C767" s="29"/>
      <c r="D767" s="29"/>
      <c r="E767" s="29"/>
      <c r="F767" s="29"/>
      <c r="G767" s="30"/>
      <c r="H767" s="29"/>
      <c r="I767" s="29"/>
      <c r="J767" s="29"/>
      <c r="K767" s="29"/>
      <c r="L767" s="29"/>
      <c r="M767" s="31"/>
    </row>
    <row r="768" spans="1:13">
      <c r="A768" s="28" t="str">
        <f t="shared" si="12"/>
        <v/>
      </c>
      <c r="B768" s="29"/>
      <c r="C768" s="29"/>
      <c r="D768" s="29"/>
      <c r="E768" s="29"/>
      <c r="F768" s="29"/>
      <c r="G768" s="30"/>
      <c r="H768" s="29"/>
      <c r="I768" s="29"/>
      <c r="J768" s="29"/>
      <c r="K768" s="29"/>
      <c r="L768" s="29"/>
      <c r="M768" s="31"/>
    </row>
    <row r="769" spans="1:13">
      <c r="A769" s="28" t="str">
        <f t="shared" si="12"/>
        <v/>
      </c>
      <c r="B769" s="29"/>
      <c r="C769" s="29"/>
      <c r="D769" s="29"/>
      <c r="E769" s="29"/>
      <c r="F769" s="29"/>
      <c r="G769" s="30"/>
      <c r="H769" s="29"/>
      <c r="I769" s="29"/>
      <c r="J769" s="29"/>
      <c r="K769" s="29"/>
      <c r="L769" s="29"/>
      <c r="M769" s="31"/>
    </row>
    <row r="770" spans="1:13">
      <c r="A770" s="28" t="str">
        <f t="shared" si="12"/>
        <v/>
      </c>
      <c r="B770" s="29"/>
      <c r="C770" s="29"/>
      <c r="D770" s="29"/>
      <c r="E770" s="29"/>
      <c r="F770" s="29"/>
      <c r="G770" s="30"/>
      <c r="H770" s="29"/>
      <c r="I770" s="29"/>
      <c r="J770" s="29"/>
      <c r="K770" s="29"/>
      <c r="L770" s="29"/>
      <c r="M770" s="31"/>
    </row>
    <row r="771" spans="1:13">
      <c r="A771" s="28" t="str">
        <f t="shared" si="12"/>
        <v/>
      </c>
      <c r="B771" s="29"/>
      <c r="C771" s="29"/>
      <c r="D771" s="29"/>
      <c r="E771" s="29"/>
      <c r="F771" s="29"/>
      <c r="G771" s="30"/>
      <c r="H771" s="29"/>
      <c r="I771" s="29"/>
      <c r="J771" s="29"/>
      <c r="K771" s="29"/>
      <c r="L771" s="29"/>
      <c r="M771" s="31"/>
    </row>
    <row r="772" spans="1:13">
      <c r="A772" s="28" t="str">
        <f t="shared" si="12"/>
        <v/>
      </c>
      <c r="B772" s="29"/>
      <c r="C772" s="29"/>
      <c r="D772" s="29"/>
      <c r="E772" s="29"/>
      <c r="F772" s="29"/>
      <c r="G772" s="30"/>
      <c r="H772" s="29"/>
      <c r="I772" s="29"/>
      <c r="J772" s="29"/>
      <c r="K772" s="29"/>
      <c r="L772" s="29"/>
      <c r="M772" s="31"/>
    </row>
    <row r="773" spans="1:13">
      <c r="A773" s="28" t="str">
        <f t="shared" si="12"/>
        <v/>
      </c>
      <c r="B773" s="29"/>
      <c r="C773" s="29"/>
      <c r="D773" s="29"/>
      <c r="E773" s="29"/>
      <c r="F773" s="29"/>
      <c r="G773" s="30"/>
      <c r="H773" s="29"/>
      <c r="I773" s="29"/>
      <c r="J773" s="29"/>
      <c r="K773" s="29"/>
      <c r="L773" s="29"/>
      <c r="M773" s="31"/>
    </row>
    <row r="774" spans="1:13">
      <c r="A774" s="28" t="str">
        <f t="shared" si="12"/>
        <v/>
      </c>
      <c r="B774" s="29"/>
      <c r="C774" s="29"/>
      <c r="D774" s="29"/>
      <c r="E774" s="29"/>
      <c r="F774" s="29"/>
      <c r="G774" s="30"/>
      <c r="H774" s="29"/>
      <c r="I774" s="29"/>
      <c r="J774" s="29"/>
      <c r="K774" s="29"/>
      <c r="L774" s="29"/>
      <c r="M774" s="31"/>
    </row>
    <row r="775" spans="1:13">
      <c r="A775" s="28" t="str">
        <f t="shared" si="12"/>
        <v/>
      </c>
      <c r="B775" s="29"/>
      <c r="C775" s="29"/>
      <c r="D775" s="29"/>
      <c r="E775" s="29"/>
      <c r="F775" s="29"/>
      <c r="G775" s="30"/>
      <c r="H775" s="29"/>
      <c r="I775" s="29"/>
      <c r="J775" s="29"/>
      <c r="K775" s="29"/>
      <c r="L775" s="29"/>
      <c r="M775" s="31"/>
    </row>
    <row r="776" spans="1:13">
      <c r="A776" s="28" t="str">
        <f t="shared" si="12"/>
        <v/>
      </c>
      <c r="B776" s="29"/>
      <c r="C776" s="29"/>
      <c r="D776" s="29"/>
      <c r="E776" s="29"/>
      <c r="F776" s="29"/>
      <c r="G776" s="30"/>
      <c r="H776" s="29"/>
      <c r="I776" s="29"/>
      <c r="J776" s="29"/>
      <c r="K776" s="29"/>
      <c r="L776" s="29"/>
      <c r="M776" s="31"/>
    </row>
    <row r="777" spans="1:13">
      <c r="A777" s="28" t="str">
        <f t="shared" si="12"/>
        <v/>
      </c>
      <c r="B777" s="29"/>
      <c r="C777" s="29"/>
      <c r="D777" s="29"/>
      <c r="E777" s="29"/>
      <c r="F777" s="29"/>
      <c r="G777" s="30"/>
      <c r="H777" s="29"/>
      <c r="I777" s="29"/>
      <c r="J777" s="29"/>
      <c r="K777" s="29"/>
      <c r="L777" s="29"/>
      <c r="M777" s="31"/>
    </row>
    <row r="778" spans="1:13">
      <c r="A778" s="28" t="str">
        <f t="shared" si="12"/>
        <v/>
      </c>
      <c r="B778" s="29"/>
      <c r="C778" s="29"/>
      <c r="D778" s="29"/>
      <c r="E778" s="29"/>
      <c r="F778" s="29"/>
      <c r="G778" s="30"/>
      <c r="H778" s="29"/>
      <c r="I778" s="29"/>
      <c r="J778" s="29"/>
      <c r="K778" s="29"/>
      <c r="L778" s="29"/>
      <c r="M778" s="31"/>
    </row>
    <row r="779" spans="1:13">
      <c r="A779" s="28" t="str">
        <f t="shared" si="12"/>
        <v/>
      </c>
      <c r="B779" s="29"/>
      <c r="C779" s="29"/>
      <c r="D779" s="29"/>
      <c r="E779" s="29"/>
      <c r="F779" s="29"/>
      <c r="G779" s="30"/>
      <c r="H779" s="29"/>
      <c r="I779" s="29"/>
      <c r="J779" s="29"/>
      <c r="K779" s="29"/>
      <c r="L779" s="29"/>
      <c r="M779" s="31"/>
    </row>
    <row r="780" spans="1:13">
      <c r="A780" s="28" t="str">
        <f t="shared" si="12"/>
        <v/>
      </c>
      <c r="B780" s="29"/>
      <c r="C780" s="29"/>
      <c r="D780" s="29"/>
      <c r="E780" s="29"/>
      <c r="F780" s="29"/>
      <c r="G780" s="30"/>
      <c r="H780" s="29"/>
      <c r="I780" s="29"/>
      <c r="J780" s="29"/>
      <c r="K780" s="29"/>
      <c r="L780" s="29"/>
      <c r="M780" s="31"/>
    </row>
    <row r="781" spans="1:13">
      <c r="A781" s="28" t="str">
        <f t="shared" si="12"/>
        <v/>
      </c>
      <c r="B781" s="29"/>
      <c r="C781" s="29"/>
      <c r="D781" s="29"/>
      <c r="E781" s="29"/>
      <c r="F781" s="29"/>
      <c r="G781" s="30"/>
      <c r="H781" s="29"/>
      <c r="I781" s="29"/>
      <c r="J781" s="29"/>
      <c r="K781" s="29"/>
      <c r="L781" s="29"/>
      <c r="M781" s="31"/>
    </row>
    <row r="782" spans="1:13">
      <c r="A782" s="28" t="str">
        <f t="shared" si="12"/>
        <v/>
      </c>
      <c r="B782" s="29"/>
      <c r="C782" s="29"/>
      <c r="D782" s="29"/>
      <c r="E782" s="29"/>
      <c r="F782" s="29"/>
      <c r="G782" s="30"/>
      <c r="H782" s="29"/>
      <c r="I782" s="29"/>
      <c r="J782" s="29"/>
      <c r="K782" s="29"/>
      <c r="L782" s="29"/>
      <c r="M782" s="31"/>
    </row>
    <row r="783" spans="1:13">
      <c r="A783" s="28" t="str">
        <f t="shared" si="12"/>
        <v/>
      </c>
      <c r="B783" s="29"/>
      <c r="C783" s="29"/>
      <c r="D783" s="29"/>
      <c r="E783" s="29"/>
      <c r="F783" s="29"/>
      <c r="G783" s="30"/>
      <c r="H783" s="29"/>
      <c r="I783" s="29"/>
      <c r="J783" s="29"/>
      <c r="K783" s="29"/>
      <c r="L783" s="29"/>
      <c r="M783" s="31"/>
    </row>
    <row r="784" spans="1:13">
      <c r="A784" s="28" t="str">
        <f t="shared" si="12"/>
        <v/>
      </c>
      <c r="B784" s="29"/>
      <c r="C784" s="29"/>
      <c r="D784" s="29"/>
      <c r="E784" s="29"/>
      <c r="F784" s="29"/>
      <c r="G784" s="30"/>
      <c r="H784" s="29"/>
      <c r="I784" s="29"/>
      <c r="J784" s="29"/>
      <c r="K784" s="29"/>
      <c r="L784" s="29"/>
      <c r="M784" s="31"/>
    </row>
    <row r="785" spans="1:13">
      <c r="A785" s="28" t="str">
        <f t="shared" si="12"/>
        <v/>
      </c>
      <c r="B785" s="29"/>
      <c r="C785" s="29"/>
      <c r="D785" s="29"/>
      <c r="E785" s="29"/>
      <c r="F785" s="29"/>
      <c r="G785" s="30"/>
      <c r="H785" s="29"/>
      <c r="I785" s="29"/>
      <c r="J785" s="29"/>
      <c r="K785" s="29"/>
      <c r="L785" s="29"/>
      <c r="M785" s="31"/>
    </row>
    <row r="786" spans="1:13">
      <c r="A786" s="28" t="str">
        <f t="shared" si="12"/>
        <v/>
      </c>
      <c r="B786" s="29"/>
      <c r="C786" s="29"/>
      <c r="D786" s="29"/>
      <c r="E786" s="29"/>
      <c r="F786" s="29"/>
      <c r="G786" s="30"/>
      <c r="H786" s="29"/>
      <c r="I786" s="29"/>
      <c r="J786" s="29"/>
      <c r="K786" s="29"/>
      <c r="L786" s="29"/>
      <c r="M786" s="31"/>
    </row>
    <row r="787" spans="1:13">
      <c r="A787" s="28" t="str">
        <f t="shared" si="12"/>
        <v/>
      </c>
      <c r="B787" s="29"/>
      <c r="C787" s="29"/>
      <c r="D787" s="29"/>
      <c r="E787" s="29"/>
      <c r="F787" s="29"/>
      <c r="G787" s="30"/>
      <c r="H787" s="29"/>
      <c r="I787" s="29"/>
      <c r="J787" s="29"/>
      <c r="K787" s="29"/>
      <c r="L787" s="29"/>
      <c r="M787" s="31"/>
    </row>
    <row r="788" spans="1:13">
      <c r="A788" s="28" t="str">
        <f t="shared" si="12"/>
        <v/>
      </c>
      <c r="B788" s="29"/>
      <c r="C788" s="29"/>
      <c r="D788" s="29"/>
      <c r="E788" s="29"/>
      <c r="F788" s="29"/>
      <c r="G788" s="30"/>
      <c r="H788" s="29"/>
      <c r="I788" s="29"/>
      <c r="J788" s="29"/>
      <c r="K788" s="29"/>
      <c r="L788" s="29"/>
      <c r="M788" s="31"/>
    </row>
    <row r="789" spans="1:13">
      <c r="A789" s="28" t="str">
        <f t="shared" ref="A789:A852" si="13">IF(D789="","",ROW()-4)</f>
        <v/>
      </c>
      <c r="B789" s="29"/>
      <c r="C789" s="29"/>
      <c r="D789" s="29"/>
      <c r="E789" s="29"/>
      <c r="F789" s="29"/>
      <c r="G789" s="30"/>
      <c r="H789" s="29"/>
      <c r="I789" s="29"/>
      <c r="J789" s="29"/>
      <c r="K789" s="29"/>
      <c r="L789" s="29"/>
      <c r="M789" s="31"/>
    </row>
    <row r="790" spans="1:13">
      <c r="A790" s="28" t="str">
        <f t="shared" si="13"/>
        <v/>
      </c>
      <c r="B790" s="29"/>
      <c r="C790" s="29"/>
      <c r="D790" s="29"/>
      <c r="E790" s="29"/>
      <c r="F790" s="29"/>
      <c r="G790" s="30"/>
      <c r="H790" s="29"/>
      <c r="I790" s="29"/>
      <c r="J790" s="29"/>
      <c r="K790" s="29"/>
      <c r="L790" s="29"/>
      <c r="M790" s="31"/>
    </row>
    <row r="791" spans="1:13">
      <c r="A791" s="28" t="str">
        <f t="shared" si="13"/>
        <v/>
      </c>
      <c r="B791" s="29"/>
      <c r="C791" s="29"/>
      <c r="D791" s="29"/>
      <c r="E791" s="29"/>
      <c r="F791" s="29"/>
      <c r="G791" s="30"/>
      <c r="H791" s="29"/>
      <c r="I791" s="29"/>
      <c r="J791" s="29"/>
      <c r="K791" s="29"/>
      <c r="L791" s="29"/>
      <c r="M791" s="31"/>
    </row>
    <row r="792" spans="1:13">
      <c r="A792" s="28" t="str">
        <f t="shared" si="13"/>
        <v/>
      </c>
      <c r="B792" s="29"/>
      <c r="C792" s="29"/>
      <c r="D792" s="29"/>
      <c r="E792" s="29"/>
      <c r="F792" s="29"/>
      <c r="G792" s="30"/>
      <c r="H792" s="29"/>
      <c r="I792" s="29"/>
      <c r="J792" s="29"/>
      <c r="K792" s="29"/>
      <c r="L792" s="29"/>
      <c r="M792" s="31"/>
    </row>
    <row r="793" spans="1:13">
      <c r="A793" s="28" t="str">
        <f t="shared" si="13"/>
        <v/>
      </c>
      <c r="B793" s="29"/>
      <c r="C793" s="29"/>
      <c r="D793" s="29"/>
      <c r="E793" s="29"/>
      <c r="F793" s="29"/>
      <c r="G793" s="30"/>
      <c r="H793" s="29"/>
      <c r="I793" s="29"/>
      <c r="J793" s="29"/>
      <c r="K793" s="29"/>
      <c r="L793" s="29"/>
      <c r="M793" s="31"/>
    </row>
    <row r="794" spans="1:13">
      <c r="A794" s="28" t="str">
        <f t="shared" si="13"/>
        <v/>
      </c>
      <c r="B794" s="29"/>
      <c r="C794" s="29"/>
      <c r="D794" s="29"/>
      <c r="E794" s="29"/>
      <c r="F794" s="29"/>
      <c r="G794" s="30"/>
      <c r="H794" s="29"/>
      <c r="I794" s="29"/>
      <c r="J794" s="29"/>
      <c r="K794" s="29"/>
      <c r="L794" s="29"/>
      <c r="M794" s="31"/>
    </row>
    <row r="795" spans="1:13">
      <c r="A795" s="28" t="str">
        <f t="shared" si="13"/>
        <v/>
      </c>
      <c r="B795" s="29"/>
      <c r="C795" s="29"/>
      <c r="D795" s="29"/>
      <c r="E795" s="29"/>
      <c r="F795" s="29"/>
      <c r="G795" s="30"/>
      <c r="H795" s="29"/>
      <c r="I795" s="29"/>
      <c r="J795" s="29"/>
      <c r="K795" s="29"/>
      <c r="L795" s="29"/>
      <c r="M795" s="31"/>
    </row>
    <row r="796" spans="1:13">
      <c r="A796" s="28" t="str">
        <f t="shared" si="13"/>
        <v/>
      </c>
      <c r="B796" s="29"/>
      <c r="C796" s="29"/>
      <c r="D796" s="29"/>
      <c r="E796" s="29"/>
      <c r="F796" s="29"/>
      <c r="G796" s="30"/>
      <c r="H796" s="29"/>
      <c r="I796" s="29"/>
      <c r="J796" s="29"/>
      <c r="K796" s="29"/>
      <c r="L796" s="29"/>
      <c r="M796" s="31"/>
    </row>
    <row r="797" spans="1:13">
      <c r="A797" s="28" t="str">
        <f t="shared" si="13"/>
        <v/>
      </c>
      <c r="B797" s="29"/>
      <c r="C797" s="29"/>
      <c r="D797" s="29"/>
      <c r="E797" s="29"/>
      <c r="F797" s="29"/>
      <c r="G797" s="30"/>
      <c r="H797" s="29"/>
      <c r="I797" s="29"/>
      <c r="J797" s="29"/>
      <c r="K797" s="29"/>
      <c r="L797" s="29"/>
      <c r="M797" s="31"/>
    </row>
    <row r="798" spans="1:13">
      <c r="A798" s="28" t="str">
        <f t="shared" si="13"/>
        <v/>
      </c>
      <c r="B798" s="29"/>
      <c r="C798" s="29"/>
      <c r="D798" s="29"/>
      <c r="E798" s="29"/>
      <c r="F798" s="29"/>
      <c r="G798" s="30"/>
      <c r="H798" s="29"/>
      <c r="I798" s="29"/>
      <c r="J798" s="29"/>
      <c r="K798" s="29"/>
      <c r="L798" s="29"/>
      <c r="M798" s="31"/>
    </row>
    <row r="799" spans="1:13">
      <c r="A799" s="28" t="str">
        <f t="shared" si="13"/>
        <v/>
      </c>
      <c r="B799" s="29"/>
      <c r="C799" s="29"/>
      <c r="D799" s="29"/>
      <c r="E799" s="29"/>
      <c r="F799" s="29"/>
      <c r="G799" s="30"/>
      <c r="H799" s="29"/>
      <c r="I799" s="29"/>
      <c r="J799" s="29"/>
      <c r="K799" s="29"/>
      <c r="L799" s="29"/>
      <c r="M799" s="31"/>
    </row>
    <row r="800" spans="1:13">
      <c r="A800" s="28" t="str">
        <f t="shared" si="13"/>
        <v/>
      </c>
      <c r="B800" s="29"/>
      <c r="C800" s="29"/>
      <c r="D800" s="29"/>
      <c r="E800" s="29"/>
      <c r="F800" s="29"/>
      <c r="G800" s="30"/>
      <c r="H800" s="29"/>
      <c r="I800" s="29"/>
      <c r="J800" s="29"/>
      <c r="K800" s="29"/>
      <c r="L800" s="29"/>
      <c r="M800" s="31"/>
    </row>
    <row r="801" spans="1:13">
      <c r="A801" s="28" t="str">
        <f t="shared" si="13"/>
        <v/>
      </c>
      <c r="B801" s="29"/>
      <c r="C801" s="29"/>
      <c r="D801" s="29"/>
      <c r="E801" s="29"/>
      <c r="F801" s="29"/>
      <c r="G801" s="30"/>
      <c r="H801" s="29"/>
      <c r="I801" s="29"/>
      <c r="J801" s="29"/>
      <c r="K801" s="29"/>
      <c r="L801" s="29"/>
      <c r="M801" s="31"/>
    </row>
    <row r="802" spans="1:13">
      <c r="A802" s="28" t="str">
        <f t="shared" si="13"/>
        <v/>
      </c>
      <c r="B802" s="29"/>
      <c r="C802" s="29"/>
      <c r="D802" s="29"/>
      <c r="E802" s="29"/>
      <c r="F802" s="29"/>
      <c r="G802" s="30"/>
      <c r="H802" s="29"/>
      <c r="I802" s="29"/>
      <c r="J802" s="29"/>
      <c r="K802" s="29"/>
      <c r="L802" s="29"/>
      <c r="M802" s="31"/>
    </row>
    <row r="803" spans="1:13">
      <c r="A803" s="28" t="str">
        <f t="shared" si="13"/>
        <v/>
      </c>
      <c r="B803" s="29"/>
      <c r="C803" s="29"/>
      <c r="D803" s="29"/>
      <c r="E803" s="29"/>
      <c r="F803" s="29"/>
      <c r="G803" s="30"/>
      <c r="H803" s="29"/>
      <c r="I803" s="29"/>
      <c r="J803" s="29"/>
      <c r="K803" s="29"/>
      <c r="L803" s="29"/>
      <c r="M803" s="31"/>
    </row>
    <row r="804" spans="1:13">
      <c r="A804" s="28" t="str">
        <f t="shared" si="13"/>
        <v/>
      </c>
      <c r="B804" s="29"/>
      <c r="C804" s="29"/>
      <c r="D804" s="29"/>
      <c r="E804" s="29"/>
      <c r="F804" s="29"/>
      <c r="G804" s="30"/>
      <c r="H804" s="29"/>
      <c r="I804" s="29"/>
      <c r="J804" s="29"/>
      <c r="K804" s="29"/>
      <c r="L804" s="29"/>
      <c r="M804" s="31"/>
    </row>
    <row r="805" spans="1:13">
      <c r="A805" s="28" t="str">
        <f t="shared" si="13"/>
        <v/>
      </c>
      <c r="B805" s="29"/>
      <c r="C805" s="29"/>
      <c r="D805" s="29"/>
      <c r="E805" s="29"/>
      <c r="F805" s="29"/>
      <c r="G805" s="30"/>
      <c r="H805" s="29"/>
      <c r="I805" s="29"/>
      <c r="J805" s="29"/>
      <c r="K805" s="29"/>
      <c r="L805" s="29"/>
      <c r="M805" s="31"/>
    </row>
    <row r="806" spans="1:13">
      <c r="A806" s="28" t="str">
        <f t="shared" si="13"/>
        <v/>
      </c>
      <c r="B806" s="29"/>
      <c r="C806" s="29"/>
      <c r="D806" s="29"/>
      <c r="E806" s="29"/>
      <c r="F806" s="29"/>
      <c r="G806" s="30"/>
      <c r="H806" s="29"/>
      <c r="I806" s="29"/>
      <c r="J806" s="29"/>
      <c r="K806" s="29"/>
      <c r="L806" s="29"/>
      <c r="M806" s="31"/>
    </row>
    <row r="807" spans="1:13">
      <c r="A807" s="28" t="str">
        <f t="shared" si="13"/>
        <v/>
      </c>
      <c r="B807" s="29"/>
      <c r="C807" s="29"/>
      <c r="D807" s="29"/>
      <c r="E807" s="29"/>
      <c r="F807" s="29"/>
      <c r="G807" s="30"/>
      <c r="H807" s="29"/>
      <c r="I807" s="29"/>
      <c r="J807" s="29"/>
      <c r="K807" s="29"/>
      <c r="L807" s="29"/>
      <c r="M807" s="31"/>
    </row>
    <row r="808" spans="1:13">
      <c r="A808" s="28" t="str">
        <f t="shared" si="13"/>
        <v/>
      </c>
      <c r="B808" s="29"/>
      <c r="C808" s="29"/>
      <c r="D808" s="29"/>
      <c r="E808" s="29"/>
      <c r="F808" s="29"/>
      <c r="G808" s="30"/>
      <c r="H808" s="29"/>
      <c r="I808" s="29"/>
      <c r="J808" s="29"/>
      <c r="K808" s="29"/>
      <c r="L808" s="29"/>
      <c r="M808" s="31"/>
    </row>
    <row r="809" spans="1:13">
      <c r="A809" s="28" t="str">
        <f t="shared" si="13"/>
        <v/>
      </c>
      <c r="B809" s="29"/>
      <c r="C809" s="29"/>
      <c r="D809" s="29"/>
      <c r="E809" s="29"/>
      <c r="F809" s="29"/>
      <c r="G809" s="30"/>
      <c r="H809" s="29"/>
      <c r="I809" s="29"/>
      <c r="J809" s="29"/>
      <c r="K809" s="29"/>
      <c r="L809" s="29"/>
      <c r="M809" s="31"/>
    </row>
    <row r="810" spans="1:13">
      <c r="A810" s="28" t="str">
        <f t="shared" si="13"/>
        <v/>
      </c>
      <c r="B810" s="29"/>
      <c r="C810" s="29"/>
      <c r="D810" s="29"/>
      <c r="E810" s="29"/>
      <c r="F810" s="29"/>
      <c r="G810" s="30"/>
      <c r="H810" s="29"/>
      <c r="I810" s="29"/>
      <c r="J810" s="29"/>
      <c r="K810" s="29"/>
      <c r="L810" s="29"/>
      <c r="M810" s="31"/>
    </row>
    <row r="811" spans="1:13">
      <c r="A811" s="28" t="str">
        <f t="shared" si="13"/>
        <v/>
      </c>
      <c r="B811" s="29"/>
      <c r="C811" s="29"/>
      <c r="D811" s="29"/>
      <c r="E811" s="29"/>
      <c r="F811" s="29"/>
      <c r="G811" s="30"/>
      <c r="H811" s="29"/>
      <c r="I811" s="29"/>
      <c r="J811" s="29"/>
      <c r="K811" s="29"/>
      <c r="L811" s="29"/>
      <c r="M811" s="31"/>
    </row>
    <row r="812" spans="1:13">
      <c r="A812" s="28" t="str">
        <f t="shared" si="13"/>
        <v/>
      </c>
      <c r="B812" s="29"/>
      <c r="C812" s="29"/>
      <c r="D812" s="29"/>
      <c r="E812" s="29"/>
      <c r="F812" s="29"/>
      <c r="G812" s="30"/>
      <c r="H812" s="29"/>
      <c r="I812" s="29"/>
      <c r="J812" s="29"/>
      <c r="K812" s="29"/>
      <c r="L812" s="29"/>
      <c r="M812" s="31"/>
    </row>
    <row r="813" spans="1:13">
      <c r="A813" s="28" t="str">
        <f t="shared" si="13"/>
        <v/>
      </c>
      <c r="B813" s="29"/>
      <c r="C813" s="29"/>
      <c r="D813" s="29"/>
      <c r="E813" s="29"/>
      <c r="F813" s="29"/>
      <c r="G813" s="30"/>
      <c r="H813" s="29"/>
      <c r="I813" s="29"/>
      <c r="J813" s="29"/>
      <c r="K813" s="29"/>
      <c r="L813" s="29"/>
      <c r="M813" s="31"/>
    </row>
    <row r="814" spans="1:13">
      <c r="A814" s="28" t="str">
        <f t="shared" si="13"/>
        <v/>
      </c>
      <c r="B814" s="29"/>
      <c r="C814" s="29"/>
      <c r="D814" s="29"/>
      <c r="E814" s="29"/>
      <c r="F814" s="29"/>
      <c r="G814" s="30"/>
      <c r="H814" s="29"/>
      <c r="I814" s="29"/>
      <c r="J814" s="29"/>
      <c r="K814" s="29"/>
      <c r="L814" s="29"/>
      <c r="M814" s="31"/>
    </row>
    <row r="815" spans="1:13">
      <c r="A815" s="28" t="str">
        <f t="shared" si="13"/>
        <v/>
      </c>
      <c r="B815" s="29"/>
      <c r="C815" s="29"/>
      <c r="D815" s="29"/>
      <c r="E815" s="29"/>
      <c r="F815" s="29"/>
      <c r="G815" s="30"/>
      <c r="H815" s="29"/>
      <c r="I815" s="29"/>
      <c r="J815" s="29"/>
      <c r="K815" s="29"/>
      <c r="L815" s="29"/>
      <c r="M815" s="31"/>
    </row>
    <row r="816" spans="1:13">
      <c r="A816" s="28" t="str">
        <f t="shared" si="13"/>
        <v/>
      </c>
      <c r="B816" s="29"/>
      <c r="C816" s="29"/>
      <c r="D816" s="29"/>
      <c r="E816" s="29"/>
      <c r="F816" s="29"/>
      <c r="G816" s="30"/>
      <c r="H816" s="29"/>
      <c r="I816" s="29"/>
      <c r="J816" s="29"/>
      <c r="K816" s="29"/>
      <c r="L816" s="29"/>
      <c r="M816" s="31"/>
    </row>
    <row r="817" spans="1:13">
      <c r="A817" s="28" t="str">
        <f t="shared" si="13"/>
        <v/>
      </c>
      <c r="B817" s="29"/>
      <c r="C817" s="29"/>
      <c r="D817" s="29"/>
      <c r="E817" s="29"/>
      <c r="F817" s="29"/>
      <c r="G817" s="30"/>
      <c r="H817" s="29"/>
      <c r="I817" s="29"/>
      <c r="J817" s="29"/>
      <c r="K817" s="29"/>
      <c r="L817" s="29"/>
      <c r="M817" s="31"/>
    </row>
    <row r="818" spans="1:13">
      <c r="A818" s="28" t="str">
        <f t="shared" si="13"/>
        <v/>
      </c>
      <c r="B818" s="29"/>
      <c r="C818" s="29"/>
      <c r="D818" s="29"/>
      <c r="E818" s="29"/>
      <c r="F818" s="29"/>
      <c r="G818" s="30"/>
      <c r="H818" s="29"/>
      <c r="I818" s="29"/>
      <c r="J818" s="29"/>
      <c r="K818" s="29"/>
      <c r="L818" s="29"/>
      <c r="M818" s="31"/>
    </row>
    <row r="819" spans="1:13">
      <c r="A819" s="28" t="str">
        <f t="shared" si="13"/>
        <v/>
      </c>
      <c r="B819" s="29"/>
      <c r="C819" s="29"/>
      <c r="D819" s="29"/>
      <c r="E819" s="29"/>
      <c r="F819" s="29"/>
      <c r="G819" s="30"/>
      <c r="H819" s="29"/>
      <c r="I819" s="29"/>
      <c r="J819" s="29"/>
      <c r="K819" s="29"/>
      <c r="L819" s="29"/>
      <c r="M819" s="31"/>
    </row>
    <row r="820" spans="1:13">
      <c r="A820" s="28" t="str">
        <f t="shared" si="13"/>
        <v/>
      </c>
      <c r="B820" s="29"/>
      <c r="C820" s="29"/>
      <c r="D820" s="29"/>
      <c r="E820" s="29"/>
      <c r="F820" s="29"/>
      <c r="G820" s="30"/>
      <c r="H820" s="29"/>
      <c r="I820" s="29"/>
      <c r="J820" s="29"/>
      <c r="K820" s="29"/>
      <c r="L820" s="29"/>
      <c r="M820" s="31"/>
    </row>
    <row r="821" spans="1:13">
      <c r="A821" s="28" t="str">
        <f t="shared" si="13"/>
        <v/>
      </c>
      <c r="B821" s="29"/>
      <c r="C821" s="29"/>
      <c r="D821" s="29"/>
      <c r="E821" s="29"/>
      <c r="F821" s="29"/>
      <c r="G821" s="30"/>
      <c r="H821" s="29"/>
      <c r="I821" s="29"/>
      <c r="J821" s="29"/>
      <c r="K821" s="29"/>
      <c r="L821" s="29"/>
      <c r="M821" s="31"/>
    </row>
    <row r="822" spans="1:13">
      <c r="A822" s="28" t="str">
        <f t="shared" si="13"/>
        <v/>
      </c>
      <c r="B822" s="29"/>
      <c r="C822" s="29"/>
      <c r="D822" s="29"/>
      <c r="E822" s="29"/>
      <c r="F822" s="29"/>
      <c r="G822" s="30"/>
      <c r="H822" s="29"/>
      <c r="I822" s="29"/>
      <c r="J822" s="29"/>
      <c r="K822" s="29"/>
      <c r="L822" s="29"/>
      <c r="M822" s="31"/>
    </row>
    <row r="823" spans="1:13">
      <c r="A823" s="28" t="str">
        <f t="shared" si="13"/>
        <v/>
      </c>
      <c r="B823" s="29"/>
      <c r="C823" s="29"/>
      <c r="D823" s="29"/>
      <c r="E823" s="29"/>
      <c r="F823" s="29"/>
      <c r="G823" s="30"/>
      <c r="H823" s="29"/>
      <c r="I823" s="29"/>
      <c r="J823" s="29"/>
      <c r="K823" s="29"/>
      <c r="L823" s="29"/>
      <c r="M823" s="31"/>
    </row>
    <row r="824" spans="1:13">
      <c r="A824" s="28" t="str">
        <f t="shared" si="13"/>
        <v/>
      </c>
      <c r="B824" s="29"/>
      <c r="C824" s="29"/>
      <c r="D824" s="29"/>
      <c r="E824" s="29"/>
      <c r="F824" s="29"/>
      <c r="G824" s="30"/>
      <c r="H824" s="29"/>
      <c r="I824" s="29"/>
      <c r="J824" s="29"/>
      <c r="K824" s="29"/>
      <c r="L824" s="29"/>
      <c r="M824" s="31"/>
    </row>
    <row r="825" spans="1:13">
      <c r="A825" s="28" t="str">
        <f t="shared" si="13"/>
        <v/>
      </c>
      <c r="B825" s="29"/>
      <c r="C825" s="29"/>
      <c r="D825" s="29"/>
      <c r="E825" s="29"/>
      <c r="F825" s="29"/>
      <c r="G825" s="30"/>
      <c r="H825" s="29"/>
      <c r="I825" s="29"/>
      <c r="J825" s="29"/>
      <c r="K825" s="29"/>
      <c r="L825" s="29"/>
      <c r="M825" s="31"/>
    </row>
    <row r="826" spans="1:13">
      <c r="A826" s="28" t="str">
        <f t="shared" si="13"/>
        <v/>
      </c>
      <c r="B826" s="29"/>
      <c r="C826" s="29"/>
      <c r="D826" s="29"/>
      <c r="E826" s="29"/>
      <c r="F826" s="29"/>
      <c r="G826" s="30"/>
      <c r="H826" s="29"/>
      <c r="I826" s="29"/>
      <c r="J826" s="29"/>
      <c r="K826" s="29"/>
      <c r="L826" s="29"/>
      <c r="M826" s="31"/>
    </row>
    <row r="827" spans="1:13">
      <c r="A827" s="28" t="str">
        <f t="shared" si="13"/>
        <v/>
      </c>
      <c r="B827" s="29"/>
      <c r="C827" s="29"/>
      <c r="D827" s="29"/>
      <c r="E827" s="29"/>
      <c r="F827" s="29"/>
      <c r="G827" s="30"/>
      <c r="H827" s="29"/>
      <c r="I827" s="29"/>
      <c r="J827" s="29"/>
      <c r="K827" s="29"/>
      <c r="L827" s="29"/>
      <c r="M827" s="31"/>
    </row>
    <row r="828" spans="1:13">
      <c r="A828" s="28" t="str">
        <f t="shared" si="13"/>
        <v/>
      </c>
      <c r="B828" s="29"/>
      <c r="C828" s="29"/>
      <c r="D828" s="29"/>
      <c r="E828" s="29"/>
      <c r="F828" s="29"/>
      <c r="G828" s="30"/>
      <c r="H828" s="29"/>
      <c r="I828" s="29"/>
      <c r="J828" s="29"/>
      <c r="K828" s="29"/>
      <c r="L828" s="29"/>
      <c r="M828" s="31"/>
    </row>
    <row r="829" spans="1:13">
      <c r="A829" s="28" t="str">
        <f t="shared" si="13"/>
        <v/>
      </c>
      <c r="B829" s="29"/>
      <c r="C829" s="29"/>
      <c r="D829" s="29"/>
      <c r="E829" s="29"/>
      <c r="F829" s="29"/>
      <c r="G829" s="30"/>
      <c r="H829" s="29"/>
      <c r="I829" s="29"/>
      <c r="J829" s="29"/>
      <c r="K829" s="29"/>
      <c r="L829" s="29"/>
      <c r="M829" s="31"/>
    </row>
    <row r="830" spans="1:13">
      <c r="A830" s="28" t="str">
        <f t="shared" si="13"/>
        <v/>
      </c>
      <c r="B830" s="29"/>
      <c r="C830" s="29"/>
      <c r="D830" s="29"/>
      <c r="E830" s="29"/>
      <c r="F830" s="29"/>
      <c r="G830" s="30"/>
      <c r="H830" s="29"/>
      <c r="I830" s="29"/>
      <c r="J830" s="29"/>
      <c r="K830" s="29"/>
      <c r="L830" s="29"/>
      <c r="M830" s="31"/>
    </row>
    <row r="831" spans="1:13">
      <c r="A831" s="28" t="str">
        <f t="shared" si="13"/>
        <v/>
      </c>
      <c r="B831" s="29"/>
      <c r="C831" s="29"/>
      <c r="D831" s="29"/>
      <c r="E831" s="29"/>
      <c r="F831" s="29"/>
      <c r="G831" s="30"/>
      <c r="H831" s="29"/>
      <c r="I831" s="29"/>
      <c r="J831" s="29"/>
      <c r="K831" s="29"/>
      <c r="L831" s="29"/>
      <c r="M831" s="31"/>
    </row>
    <row r="832" spans="1:13">
      <c r="A832" s="28" t="str">
        <f t="shared" si="13"/>
        <v/>
      </c>
      <c r="B832" s="29"/>
      <c r="C832" s="29"/>
      <c r="D832" s="29"/>
      <c r="E832" s="29"/>
      <c r="F832" s="29"/>
      <c r="G832" s="30"/>
      <c r="H832" s="29"/>
      <c r="I832" s="29"/>
      <c r="J832" s="29"/>
      <c r="K832" s="29"/>
      <c r="L832" s="29"/>
      <c r="M832" s="31"/>
    </row>
    <row r="833" spans="1:13">
      <c r="A833" s="28" t="str">
        <f t="shared" si="13"/>
        <v/>
      </c>
      <c r="B833" s="29"/>
      <c r="C833" s="29"/>
      <c r="D833" s="29"/>
      <c r="E833" s="29"/>
      <c r="F833" s="29"/>
      <c r="G833" s="30"/>
      <c r="H833" s="29"/>
      <c r="I833" s="29"/>
      <c r="J833" s="29"/>
      <c r="K833" s="29"/>
      <c r="L833" s="29"/>
      <c r="M833" s="31"/>
    </row>
    <row r="834" spans="1:13">
      <c r="A834" s="28" t="str">
        <f t="shared" si="13"/>
        <v/>
      </c>
      <c r="B834" s="29"/>
      <c r="C834" s="29"/>
      <c r="D834" s="29"/>
      <c r="E834" s="29"/>
      <c r="F834" s="29"/>
      <c r="G834" s="30"/>
      <c r="H834" s="29"/>
      <c r="I834" s="29"/>
      <c r="J834" s="29"/>
      <c r="K834" s="29"/>
      <c r="L834" s="29"/>
      <c r="M834" s="31"/>
    </row>
    <row r="835" spans="1:13">
      <c r="A835" s="28" t="str">
        <f t="shared" si="13"/>
        <v/>
      </c>
      <c r="B835" s="29"/>
      <c r="C835" s="29"/>
      <c r="D835" s="29"/>
      <c r="E835" s="29"/>
      <c r="F835" s="29"/>
      <c r="G835" s="30"/>
      <c r="H835" s="29"/>
      <c r="I835" s="29"/>
      <c r="J835" s="29"/>
      <c r="K835" s="29"/>
      <c r="L835" s="29"/>
      <c r="M835" s="31"/>
    </row>
    <row r="836" spans="1:13">
      <c r="A836" s="28" t="str">
        <f t="shared" si="13"/>
        <v/>
      </c>
      <c r="B836" s="29"/>
      <c r="C836" s="29"/>
      <c r="D836" s="29"/>
      <c r="E836" s="29"/>
      <c r="F836" s="29"/>
      <c r="G836" s="30"/>
      <c r="H836" s="29"/>
      <c r="I836" s="29"/>
      <c r="J836" s="29"/>
      <c r="K836" s="29"/>
      <c r="L836" s="29"/>
      <c r="M836" s="31"/>
    </row>
    <row r="837" spans="1:13">
      <c r="A837" s="28" t="str">
        <f t="shared" si="13"/>
        <v/>
      </c>
      <c r="B837" s="29"/>
      <c r="C837" s="29"/>
      <c r="D837" s="29"/>
      <c r="E837" s="29"/>
      <c r="F837" s="29"/>
      <c r="G837" s="30"/>
      <c r="H837" s="29"/>
      <c r="I837" s="29"/>
      <c r="J837" s="29"/>
      <c r="K837" s="29"/>
      <c r="L837" s="29"/>
      <c r="M837" s="31"/>
    </row>
    <row r="838" spans="1:13">
      <c r="A838" s="28" t="str">
        <f t="shared" si="13"/>
        <v/>
      </c>
      <c r="B838" s="29"/>
      <c r="C838" s="29"/>
      <c r="D838" s="29"/>
      <c r="E838" s="29"/>
      <c r="F838" s="29"/>
      <c r="G838" s="30"/>
      <c r="H838" s="29"/>
      <c r="I838" s="29"/>
      <c r="J838" s="29"/>
      <c r="K838" s="29"/>
      <c r="L838" s="29"/>
      <c r="M838" s="31"/>
    </row>
    <row r="839" spans="1:13">
      <c r="A839" s="28" t="str">
        <f t="shared" si="13"/>
        <v/>
      </c>
      <c r="B839" s="29"/>
      <c r="C839" s="29"/>
      <c r="D839" s="29"/>
      <c r="E839" s="29"/>
      <c r="F839" s="29"/>
      <c r="G839" s="30"/>
      <c r="H839" s="29"/>
      <c r="I839" s="29"/>
      <c r="J839" s="29"/>
      <c r="K839" s="29"/>
      <c r="L839" s="29"/>
      <c r="M839" s="31"/>
    </row>
    <row r="840" spans="1:13">
      <c r="A840" s="28" t="str">
        <f t="shared" si="13"/>
        <v/>
      </c>
      <c r="B840" s="29"/>
      <c r="C840" s="29"/>
      <c r="D840" s="29"/>
      <c r="E840" s="29"/>
      <c r="F840" s="29"/>
      <c r="G840" s="30"/>
      <c r="H840" s="29"/>
      <c r="I840" s="29"/>
      <c r="J840" s="29"/>
      <c r="K840" s="29"/>
      <c r="L840" s="29"/>
      <c r="M840" s="31"/>
    </row>
    <row r="841" spans="1:13">
      <c r="A841" s="28" t="str">
        <f t="shared" si="13"/>
        <v/>
      </c>
      <c r="B841" s="29"/>
      <c r="C841" s="29"/>
      <c r="D841" s="29"/>
      <c r="E841" s="29"/>
      <c r="F841" s="29"/>
      <c r="G841" s="30"/>
      <c r="H841" s="29"/>
      <c r="I841" s="29"/>
      <c r="J841" s="29"/>
      <c r="K841" s="29"/>
      <c r="L841" s="29"/>
      <c r="M841" s="31"/>
    </row>
    <row r="842" spans="1:13">
      <c r="A842" s="28" t="str">
        <f t="shared" si="13"/>
        <v/>
      </c>
      <c r="B842" s="29"/>
      <c r="C842" s="29"/>
      <c r="D842" s="29"/>
      <c r="E842" s="29"/>
      <c r="F842" s="29"/>
      <c r="G842" s="30"/>
      <c r="H842" s="29"/>
      <c r="I842" s="29"/>
      <c r="J842" s="29"/>
      <c r="K842" s="29"/>
      <c r="L842" s="29"/>
      <c r="M842" s="31"/>
    </row>
    <row r="843" spans="1:13">
      <c r="A843" s="28" t="str">
        <f t="shared" si="13"/>
        <v/>
      </c>
      <c r="B843" s="29"/>
      <c r="C843" s="29"/>
      <c r="D843" s="29"/>
      <c r="E843" s="29"/>
      <c r="F843" s="29"/>
      <c r="G843" s="30"/>
      <c r="H843" s="29"/>
      <c r="I843" s="29"/>
      <c r="J843" s="29"/>
      <c r="K843" s="29"/>
      <c r="L843" s="29"/>
      <c r="M843" s="31"/>
    </row>
    <row r="844" spans="1:13">
      <c r="A844" s="28" t="str">
        <f t="shared" si="13"/>
        <v/>
      </c>
      <c r="B844" s="29"/>
      <c r="C844" s="29"/>
      <c r="D844" s="29"/>
      <c r="E844" s="29"/>
      <c r="F844" s="29"/>
      <c r="G844" s="30"/>
      <c r="H844" s="29"/>
      <c r="I844" s="29"/>
      <c r="J844" s="29"/>
      <c r="K844" s="29"/>
      <c r="L844" s="29"/>
      <c r="M844" s="31"/>
    </row>
    <row r="845" spans="1:13">
      <c r="A845" s="28" t="str">
        <f t="shared" si="13"/>
        <v/>
      </c>
      <c r="B845" s="29"/>
      <c r="C845" s="29"/>
      <c r="D845" s="29"/>
      <c r="E845" s="29"/>
      <c r="F845" s="29"/>
      <c r="G845" s="30"/>
      <c r="H845" s="29"/>
      <c r="I845" s="29"/>
      <c r="J845" s="29"/>
      <c r="K845" s="29"/>
      <c r="L845" s="29"/>
      <c r="M845" s="31"/>
    </row>
    <row r="846" spans="1:13">
      <c r="A846" s="28" t="str">
        <f t="shared" si="13"/>
        <v/>
      </c>
      <c r="B846" s="29"/>
      <c r="C846" s="29"/>
      <c r="D846" s="29"/>
      <c r="E846" s="29"/>
      <c r="F846" s="29"/>
      <c r="G846" s="30"/>
      <c r="H846" s="29"/>
      <c r="I846" s="29"/>
      <c r="J846" s="29"/>
      <c r="K846" s="29"/>
      <c r="L846" s="29"/>
      <c r="M846" s="31"/>
    </row>
    <row r="847" spans="1:13">
      <c r="A847" s="28" t="str">
        <f t="shared" si="13"/>
        <v/>
      </c>
      <c r="B847" s="29"/>
      <c r="C847" s="29"/>
      <c r="D847" s="29"/>
      <c r="E847" s="29"/>
      <c r="F847" s="29"/>
      <c r="G847" s="30"/>
      <c r="H847" s="29"/>
      <c r="I847" s="29"/>
      <c r="J847" s="29"/>
      <c r="K847" s="29"/>
      <c r="L847" s="29"/>
      <c r="M847" s="31"/>
    </row>
    <row r="848" spans="1:13">
      <c r="A848" s="28" t="str">
        <f t="shared" si="13"/>
        <v/>
      </c>
      <c r="B848" s="29"/>
      <c r="C848" s="29"/>
      <c r="D848" s="29"/>
      <c r="E848" s="29"/>
      <c r="F848" s="29"/>
      <c r="G848" s="30"/>
      <c r="H848" s="29"/>
      <c r="I848" s="29"/>
      <c r="J848" s="29"/>
      <c r="K848" s="29"/>
      <c r="L848" s="29"/>
      <c r="M848" s="31"/>
    </row>
    <row r="849" spans="1:13">
      <c r="A849" s="28" t="str">
        <f t="shared" si="13"/>
        <v/>
      </c>
      <c r="B849" s="29"/>
      <c r="C849" s="29"/>
      <c r="D849" s="29"/>
      <c r="E849" s="29"/>
      <c r="F849" s="29"/>
      <c r="G849" s="30"/>
      <c r="H849" s="29"/>
      <c r="I849" s="29"/>
      <c r="J849" s="29"/>
      <c r="K849" s="29"/>
      <c r="L849" s="29"/>
      <c r="M849" s="31"/>
    </row>
    <row r="850" spans="1:13">
      <c r="A850" s="28" t="str">
        <f t="shared" si="13"/>
        <v/>
      </c>
      <c r="B850" s="29"/>
      <c r="C850" s="29"/>
      <c r="D850" s="29"/>
      <c r="E850" s="29"/>
      <c r="F850" s="29"/>
      <c r="G850" s="30"/>
      <c r="H850" s="29"/>
      <c r="I850" s="29"/>
      <c r="J850" s="29"/>
      <c r="K850" s="29"/>
      <c r="L850" s="29"/>
      <c r="M850" s="31"/>
    </row>
    <row r="851" spans="1:13">
      <c r="A851" s="28" t="str">
        <f t="shared" si="13"/>
        <v/>
      </c>
      <c r="B851" s="29"/>
      <c r="C851" s="29"/>
      <c r="D851" s="29"/>
      <c r="E851" s="29"/>
      <c r="F851" s="29"/>
      <c r="G851" s="30"/>
      <c r="H851" s="29"/>
      <c r="I851" s="29"/>
      <c r="J851" s="29"/>
      <c r="K851" s="29"/>
      <c r="L851" s="29"/>
      <c r="M851" s="31"/>
    </row>
    <row r="852" spans="1:13">
      <c r="A852" s="28" t="str">
        <f t="shared" si="13"/>
        <v/>
      </c>
      <c r="B852" s="29"/>
      <c r="C852" s="29"/>
      <c r="D852" s="29"/>
      <c r="E852" s="29"/>
      <c r="F852" s="29"/>
      <c r="G852" s="30"/>
      <c r="H852" s="29"/>
      <c r="I852" s="29"/>
      <c r="J852" s="29"/>
      <c r="K852" s="29"/>
      <c r="L852" s="29"/>
      <c r="M852" s="31"/>
    </row>
    <row r="853" spans="1:13">
      <c r="A853" s="28" t="str">
        <f t="shared" ref="A853:A916" si="14">IF(D853="","",ROW()-4)</f>
        <v/>
      </c>
      <c r="B853" s="29"/>
      <c r="C853" s="29"/>
      <c r="D853" s="29"/>
      <c r="E853" s="29"/>
      <c r="F853" s="29"/>
      <c r="G853" s="30"/>
      <c r="H853" s="29"/>
      <c r="I853" s="29"/>
      <c r="J853" s="29"/>
      <c r="K853" s="29"/>
      <c r="L853" s="29"/>
      <c r="M853" s="31"/>
    </row>
    <row r="854" spans="1:13">
      <c r="A854" s="28" t="str">
        <f t="shared" si="14"/>
        <v/>
      </c>
      <c r="B854" s="29"/>
      <c r="C854" s="29"/>
      <c r="D854" s="29"/>
      <c r="E854" s="29"/>
      <c r="F854" s="29"/>
      <c r="G854" s="30"/>
      <c r="H854" s="29"/>
      <c r="I854" s="29"/>
      <c r="J854" s="29"/>
      <c r="K854" s="29"/>
      <c r="L854" s="29"/>
      <c r="M854" s="31"/>
    </row>
    <row r="855" spans="1:13">
      <c r="A855" s="28" t="str">
        <f t="shared" si="14"/>
        <v/>
      </c>
      <c r="B855" s="29"/>
      <c r="C855" s="29"/>
      <c r="D855" s="29"/>
      <c r="E855" s="29"/>
      <c r="F855" s="29"/>
      <c r="G855" s="30"/>
      <c r="H855" s="29"/>
      <c r="I855" s="29"/>
      <c r="J855" s="29"/>
      <c r="K855" s="29"/>
      <c r="L855" s="29"/>
      <c r="M855" s="31"/>
    </row>
    <row r="856" spans="1:13">
      <c r="A856" s="28" t="str">
        <f t="shared" si="14"/>
        <v/>
      </c>
      <c r="B856" s="29"/>
      <c r="C856" s="29"/>
      <c r="D856" s="29"/>
      <c r="E856" s="29"/>
      <c r="F856" s="29"/>
      <c r="G856" s="30"/>
      <c r="H856" s="29"/>
      <c r="I856" s="29"/>
      <c r="J856" s="29"/>
      <c r="K856" s="29"/>
      <c r="L856" s="29"/>
      <c r="M856" s="31"/>
    </row>
    <row r="857" spans="1:13">
      <c r="A857" s="28" t="str">
        <f t="shared" si="14"/>
        <v/>
      </c>
      <c r="B857" s="29"/>
      <c r="C857" s="29"/>
      <c r="D857" s="29"/>
      <c r="E857" s="29"/>
      <c r="F857" s="29"/>
      <c r="G857" s="30"/>
      <c r="H857" s="29"/>
      <c r="I857" s="29"/>
      <c r="J857" s="29"/>
      <c r="K857" s="29"/>
      <c r="L857" s="29"/>
      <c r="M857" s="31"/>
    </row>
    <row r="858" spans="1:13">
      <c r="A858" s="28" t="str">
        <f t="shared" si="14"/>
        <v/>
      </c>
      <c r="B858" s="29"/>
      <c r="C858" s="29"/>
      <c r="D858" s="29"/>
      <c r="E858" s="29"/>
      <c r="F858" s="29"/>
      <c r="G858" s="30"/>
      <c r="H858" s="29"/>
      <c r="I858" s="29"/>
      <c r="J858" s="29"/>
      <c r="K858" s="29"/>
      <c r="L858" s="29"/>
      <c r="M858" s="31"/>
    </row>
    <row r="859" spans="1:13">
      <c r="A859" s="28" t="str">
        <f t="shared" si="14"/>
        <v/>
      </c>
      <c r="B859" s="29"/>
      <c r="C859" s="29"/>
      <c r="D859" s="29"/>
      <c r="E859" s="29"/>
      <c r="F859" s="29"/>
      <c r="G859" s="30"/>
      <c r="H859" s="29"/>
      <c r="I859" s="29"/>
      <c r="J859" s="29"/>
      <c r="K859" s="29"/>
      <c r="L859" s="29"/>
      <c r="M859" s="31"/>
    </row>
    <row r="860" spans="1:13">
      <c r="A860" s="28" t="str">
        <f t="shared" si="14"/>
        <v/>
      </c>
      <c r="B860" s="29"/>
      <c r="C860" s="29"/>
      <c r="D860" s="29"/>
      <c r="E860" s="29"/>
      <c r="F860" s="29"/>
      <c r="G860" s="30"/>
      <c r="H860" s="29"/>
      <c r="I860" s="29"/>
      <c r="J860" s="29"/>
      <c r="K860" s="29"/>
      <c r="L860" s="29"/>
      <c r="M860" s="31"/>
    </row>
    <row r="861" spans="1:13">
      <c r="A861" s="28" t="str">
        <f t="shared" si="14"/>
        <v/>
      </c>
      <c r="B861" s="29"/>
      <c r="C861" s="29"/>
      <c r="D861" s="29"/>
      <c r="E861" s="29"/>
      <c r="F861" s="29"/>
      <c r="G861" s="30"/>
      <c r="H861" s="29"/>
      <c r="I861" s="29"/>
      <c r="J861" s="29"/>
      <c r="K861" s="29"/>
      <c r="L861" s="29"/>
      <c r="M861" s="31"/>
    </row>
    <row r="862" spans="1:13">
      <c r="A862" s="28" t="str">
        <f t="shared" si="14"/>
        <v/>
      </c>
      <c r="B862" s="29"/>
      <c r="C862" s="29"/>
      <c r="D862" s="29"/>
      <c r="E862" s="29"/>
      <c r="F862" s="29"/>
      <c r="G862" s="30"/>
      <c r="H862" s="29"/>
      <c r="I862" s="29"/>
      <c r="J862" s="29"/>
      <c r="K862" s="29"/>
      <c r="L862" s="29"/>
      <c r="M862" s="31"/>
    </row>
    <row r="863" spans="1:13">
      <c r="A863" s="28" t="str">
        <f t="shared" si="14"/>
        <v/>
      </c>
      <c r="B863" s="29"/>
      <c r="C863" s="29"/>
      <c r="D863" s="29"/>
      <c r="E863" s="29"/>
      <c r="F863" s="29"/>
      <c r="G863" s="30"/>
      <c r="H863" s="29"/>
      <c r="I863" s="29"/>
      <c r="J863" s="29"/>
      <c r="K863" s="29"/>
      <c r="L863" s="29"/>
      <c r="M863" s="31"/>
    </row>
    <row r="864" spans="1:13">
      <c r="A864" s="28" t="str">
        <f t="shared" si="14"/>
        <v/>
      </c>
      <c r="B864" s="29"/>
      <c r="C864" s="29"/>
      <c r="D864" s="29"/>
      <c r="E864" s="29"/>
      <c r="F864" s="29"/>
      <c r="G864" s="30"/>
      <c r="H864" s="29"/>
      <c r="I864" s="29"/>
      <c r="J864" s="29"/>
      <c r="K864" s="29"/>
      <c r="L864" s="29"/>
      <c r="M864" s="31"/>
    </row>
    <row r="865" spans="1:13">
      <c r="A865" s="28" t="str">
        <f t="shared" si="14"/>
        <v/>
      </c>
      <c r="B865" s="29"/>
      <c r="C865" s="29"/>
      <c r="D865" s="29"/>
      <c r="E865" s="29"/>
      <c r="F865" s="29"/>
      <c r="G865" s="30"/>
      <c r="H865" s="29"/>
      <c r="I865" s="29"/>
      <c r="J865" s="29"/>
      <c r="K865" s="29"/>
      <c r="L865" s="29"/>
      <c r="M865" s="31"/>
    </row>
    <row r="866" spans="1:13">
      <c r="A866" s="28" t="str">
        <f t="shared" si="14"/>
        <v/>
      </c>
      <c r="B866" s="29"/>
      <c r="C866" s="29"/>
      <c r="D866" s="29"/>
      <c r="E866" s="29"/>
      <c r="F866" s="29"/>
      <c r="G866" s="30"/>
      <c r="H866" s="29"/>
      <c r="I866" s="29"/>
      <c r="J866" s="29"/>
      <c r="K866" s="29"/>
      <c r="L866" s="29"/>
      <c r="M866" s="31"/>
    </row>
    <row r="867" spans="1:13">
      <c r="A867" s="28" t="str">
        <f t="shared" si="14"/>
        <v/>
      </c>
      <c r="B867" s="29"/>
      <c r="C867" s="29"/>
      <c r="D867" s="29"/>
      <c r="E867" s="29"/>
      <c r="F867" s="29"/>
      <c r="G867" s="30"/>
      <c r="H867" s="29"/>
      <c r="I867" s="29"/>
      <c r="J867" s="29"/>
      <c r="K867" s="29"/>
      <c r="L867" s="29"/>
      <c r="M867" s="31"/>
    </row>
    <row r="868" spans="1:13">
      <c r="A868" s="28" t="str">
        <f t="shared" si="14"/>
        <v/>
      </c>
      <c r="B868" s="29"/>
      <c r="C868" s="29"/>
      <c r="D868" s="29"/>
      <c r="E868" s="29"/>
      <c r="F868" s="29"/>
      <c r="G868" s="30"/>
      <c r="H868" s="29"/>
      <c r="I868" s="29"/>
      <c r="J868" s="29"/>
      <c r="K868" s="29"/>
      <c r="L868" s="29"/>
      <c r="M868" s="31"/>
    </row>
    <row r="869" spans="1:13">
      <c r="A869" s="28" t="str">
        <f t="shared" si="14"/>
        <v/>
      </c>
      <c r="B869" s="29"/>
      <c r="C869" s="29"/>
      <c r="D869" s="29"/>
      <c r="E869" s="29"/>
      <c r="F869" s="29"/>
      <c r="G869" s="30"/>
      <c r="H869" s="29"/>
      <c r="I869" s="29"/>
      <c r="J869" s="29"/>
      <c r="K869" s="29"/>
      <c r="L869" s="29"/>
      <c r="M869" s="31"/>
    </row>
    <row r="870" spans="1:13">
      <c r="A870" s="28" t="str">
        <f t="shared" si="14"/>
        <v/>
      </c>
      <c r="B870" s="29"/>
      <c r="C870" s="29"/>
      <c r="D870" s="29"/>
      <c r="E870" s="29"/>
      <c r="F870" s="29"/>
      <c r="G870" s="30"/>
      <c r="H870" s="29"/>
      <c r="I870" s="29"/>
      <c r="J870" s="29"/>
      <c r="K870" s="29"/>
      <c r="L870" s="29"/>
      <c r="M870" s="31"/>
    </row>
    <row r="871" spans="1:13">
      <c r="A871" s="28" t="str">
        <f t="shared" si="14"/>
        <v/>
      </c>
      <c r="B871" s="29"/>
      <c r="C871" s="29"/>
      <c r="D871" s="29"/>
      <c r="E871" s="29"/>
      <c r="F871" s="29"/>
      <c r="G871" s="30"/>
      <c r="H871" s="29"/>
      <c r="I871" s="29"/>
      <c r="J871" s="29"/>
      <c r="K871" s="29"/>
      <c r="L871" s="29"/>
      <c r="M871" s="31"/>
    </row>
    <row r="872" spans="1:13">
      <c r="A872" s="28" t="str">
        <f t="shared" si="14"/>
        <v/>
      </c>
      <c r="B872" s="29"/>
      <c r="C872" s="29"/>
      <c r="D872" s="29"/>
      <c r="E872" s="29"/>
      <c r="F872" s="29"/>
      <c r="G872" s="30"/>
      <c r="H872" s="29"/>
      <c r="I872" s="29"/>
      <c r="J872" s="29"/>
      <c r="K872" s="29"/>
      <c r="L872" s="29"/>
      <c r="M872" s="31"/>
    </row>
    <row r="873" spans="1:13">
      <c r="A873" s="28" t="str">
        <f t="shared" si="14"/>
        <v/>
      </c>
      <c r="B873" s="29"/>
      <c r="C873" s="29"/>
      <c r="D873" s="29"/>
      <c r="E873" s="29"/>
      <c r="F873" s="29"/>
      <c r="G873" s="30"/>
      <c r="H873" s="29"/>
      <c r="I873" s="29"/>
      <c r="J873" s="29"/>
      <c r="K873" s="29"/>
      <c r="L873" s="29"/>
      <c r="M873" s="31"/>
    </row>
    <row r="874" spans="1:13">
      <c r="A874" s="28" t="str">
        <f t="shared" si="14"/>
        <v/>
      </c>
      <c r="B874" s="29"/>
      <c r="C874" s="29"/>
      <c r="D874" s="29"/>
      <c r="E874" s="29"/>
      <c r="F874" s="29"/>
      <c r="G874" s="30"/>
      <c r="H874" s="29"/>
      <c r="I874" s="29"/>
      <c r="J874" s="29"/>
      <c r="K874" s="29"/>
      <c r="L874" s="29"/>
      <c r="M874" s="31"/>
    </row>
    <row r="875" spans="1:13">
      <c r="A875" s="28" t="str">
        <f t="shared" si="14"/>
        <v/>
      </c>
      <c r="B875" s="29"/>
      <c r="C875" s="29"/>
      <c r="D875" s="29"/>
      <c r="E875" s="29"/>
      <c r="F875" s="29"/>
      <c r="G875" s="30"/>
      <c r="H875" s="29"/>
      <c r="I875" s="29"/>
      <c r="J875" s="29"/>
      <c r="K875" s="29"/>
      <c r="L875" s="29"/>
      <c r="M875" s="31"/>
    </row>
    <row r="876" spans="1:13">
      <c r="A876" s="28" t="str">
        <f t="shared" si="14"/>
        <v/>
      </c>
      <c r="B876" s="29"/>
      <c r="C876" s="29"/>
      <c r="D876" s="29"/>
      <c r="E876" s="29"/>
      <c r="F876" s="29"/>
      <c r="G876" s="30"/>
      <c r="H876" s="29"/>
      <c r="I876" s="29"/>
      <c r="J876" s="29"/>
      <c r="K876" s="29"/>
      <c r="L876" s="29"/>
      <c r="M876" s="31"/>
    </row>
    <row r="877" spans="1:13">
      <c r="A877" s="28" t="str">
        <f t="shared" si="14"/>
        <v/>
      </c>
      <c r="B877" s="29"/>
      <c r="C877" s="29"/>
      <c r="D877" s="29"/>
      <c r="E877" s="29"/>
      <c r="F877" s="29"/>
      <c r="G877" s="30"/>
      <c r="H877" s="29"/>
      <c r="I877" s="29"/>
      <c r="J877" s="29"/>
      <c r="K877" s="29"/>
      <c r="L877" s="29"/>
      <c r="M877" s="31"/>
    </row>
    <row r="878" spans="1:13">
      <c r="A878" s="28" t="str">
        <f t="shared" si="14"/>
        <v/>
      </c>
      <c r="B878" s="29"/>
      <c r="C878" s="29"/>
      <c r="D878" s="29"/>
      <c r="E878" s="29"/>
      <c r="F878" s="29"/>
      <c r="G878" s="30"/>
      <c r="H878" s="29"/>
      <c r="I878" s="29"/>
      <c r="J878" s="29"/>
      <c r="K878" s="29"/>
      <c r="L878" s="29"/>
      <c r="M878" s="31"/>
    </row>
    <row r="879" spans="1:13">
      <c r="A879" s="28" t="str">
        <f t="shared" si="14"/>
        <v/>
      </c>
      <c r="B879" s="29"/>
      <c r="C879" s="29"/>
      <c r="D879" s="29"/>
      <c r="E879" s="29"/>
      <c r="F879" s="29"/>
      <c r="G879" s="30"/>
      <c r="H879" s="29"/>
      <c r="I879" s="29"/>
      <c r="J879" s="29"/>
      <c r="K879" s="29"/>
      <c r="L879" s="29"/>
      <c r="M879" s="31"/>
    </row>
    <row r="880" spans="1:13">
      <c r="A880" s="28" t="str">
        <f t="shared" si="14"/>
        <v/>
      </c>
      <c r="B880" s="29"/>
      <c r="C880" s="29"/>
      <c r="D880" s="29"/>
      <c r="E880" s="29"/>
      <c r="F880" s="29"/>
      <c r="G880" s="30"/>
      <c r="H880" s="29"/>
      <c r="I880" s="29"/>
      <c r="J880" s="29"/>
      <c r="K880" s="29"/>
      <c r="L880" s="29"/>
      <c r="M880" s="31"/>
    </row>
    <row r="881" spans="1:13">
      <c r="A881" s="28" t="str">
        <f t="shared" si="14"/>
        <v/>
      </c>
      <c r="B881" s="29"/>
      <c r="C881" s="29"/>
      <c r="D881" s="29"/>
      <c r="E881" s="29"/>
      <c r="F881" s="29"/>
      <c r="G881" s="30"/>
      <c r="H881" s="29"/>
      <c r="I881" s="29"/>
      <c r="J881" s="29"/>
      <c r="K881" s="29"/>
      <c r="L881" s="29"/>
      <c r="M881" s="31"/>
    </row>
    <row r="882" spans="1:13">
      <c r="A882" s="28" t="str">
        <f t="shared" si="14"/>
        <v/>
      </c>
      <c r="B882" s="29"/>
      <c r="C882" s="29"/>
      <c r="D882" s="29"/>
      <c r="E882" s="29"/>
      <c r="F882" s="29"/>
      <c r="G882" s="30"/>
      <c r="H882" s="29"/>
      <c r="I882" s="29"/>
      <c r="J882" s="29"/>
      <c r="K882" s="29"/>
      <c r="L882" s="29"/>
      <c r="M882" s="31"/>
    </row>
    <row r="883" spans="1:13">
      <c r="A883" s="28" t="str">
        <f t="shared" si="14"/>
        <v/>
      </c>
      <c r="B883" s="29"/>
      <c r="C883" s="29"/>
      <c r="D883" s="29"/>
      <c r="E883" s="29"/>
      <c r="F883" s="29"/>
      <c r="G883" s="30"/>
      <c r="H883" s="29"/>
      <c r="I883" s="29"/>
      <c r="J883" s="29"/>
      <c r="K883" s="29"/>
      <c r="L883" s="29"/>
      <c r="M883" s="31"/>
    </row>
    <row r="884" spans="1:13">
      <c r="A884" s="28" t="str">
        <f t="shared" si="14"/>
        <v/>
      </c>
      <c r="B884" s="29"/>
      <c r="C884" s="29"/>
      <c r="D884" s="29"/>
      <c r="E884" s="29"/>
      <c r="F884" s="29"/>
      <c r="G884" s="30"/>
      <c r="H884" s="29"/>
      <c r="I884" s="29"/>
      <c r="J884" s="29"/>
      <c r="K884" s="29"/>
      <c r="L884" s="29"/>
      <c r="M884" s="31"/>
    </row>
    <row r="885" spans="1:13">
      <c r="A885" s="28" t="str">
        <f t="shared" si="14"/>
        <v/>
      </c>
      <c r="B885" s="29"/>
      <c r="C885" s="29"/>
      <c r="D885" s="29"/>
      <c r="E885" s="29"/>
      <c r="F885" s="29"/>
      <c r="G885" s="30"/>
      <c r="H885" s="29"/>
      <c r="I885" s="29"/>
      <c r="J885" s="29"/>
      <c r="K885" s="29"/>
      <c r="L885" s="29"/>
      <c r="M885" s="31"/>
    </row>
    <row r="886" spans="1:13">
      <c r="A886" s="28" t="str">
        <f t="shared" si="14"/>
        <v/>
      </c>
      <c r="B886" s="29"/>
      <c r="C886" s="29"/>
      <c r="D886" s="29"/>
      <c r="E886" s="29"/>
      <c r="F886" s="29"/>
      <c r="G886" s="30"/>
      <c r="H886" s="29"/>
      <c r="I886" s="29"/>
      <c r="J886" s="29"/>
      <c r="K886" s="29"/>
      <c r="L886" s="29"/>
      <c r="M886" s="31"/>
    </row>
    <row r="887" spans="1:13">
      <c r="A887" s="28" t="str">
        <f t="shared" si="14"/>
        <v/>
      </c>
      <c r="B887" s="29"/>
      <c r="C887" s="29"/>
      <c r="D887" s="29"/>
      <c r="E887" s="29"/>
      <c r="F887" s="29"/>
      <c r="G887" s="30"/>
      <c r="H887" s="29"/>
      <c r="I887" s="29"/>
      <c r="J887" s="29"/>
      <c r="K887" s="29"/>
      <c r="L887" s="29"/>
      <c r="M887" s="31"/>
    </row>
    <row r="888" spans="1:13">
      <c r="A888" s="28" t="str">
        <f t="shared" si="14"/>
        <v/>
      </c>
      <c r="B888" s="29"/>
      <c r="C888" s="29"/>
      <c r="D888" s="29"/>
      <c r="E888" s="29"/>
      <c r="F888" s="29"/>
      <c r="G888" s="30"/>
      <c r="H888" s="29"/>
      <c r="I888" s="29"/>
      <c r="J888" s="29"/>
      <c r="K888" s="29"/>
      <c r="L888" s="29"/>
      <c r="M888" s="31"/>
    </row>
    <row r="889" spans="1:13">
      <c r="A889" s="28" t="str">
        <f t="shared" si="14"/>
        <v/>
      </c>
      <c r="B889" s="29"/>
      <c r="C889" s="29"/>
      <c r="D889" s="29"/>
      <c r="E889" s="29"/>
      <c r="F889" s="29"/>
      <c r="G889" s="30"/>
      <c r="H889" s="29"/>
      <c r="I889" s="29"/>
      <c r="J889" s="29"/>
      <c r="K889" s="29"/>
      <c r="L889" s="29"/>
      <c r="M889" s="31"/>
    </row>
    <row r="890" spans="1:13">
      <c r="A890" s="28" t="str">
        <f t="shared" si="14"/>
        <v/>
      </c>
      <c r="B890" s="29"/>
      <c r="C890" s="29"/>
      <c r="D890" s="29"/>
      <c r="E890" s="29"/>
      <c r="F890" s="29"/>
      <c r="G890" s="30"/>
      <c r="H890" s="29"/>
      <c r="I890" s="29"/>
      <c r="J890" s="29"/>
      <c r="K890" s="29"/>
      <c r="L890" s="29"/>
      <c r="M890" s="31"/>
    </row>
    <row r="891" spans="1:13">
      <c r="A891" s="28" t="str">
        <f t="shared" si="14"/>
        <v/>
      </c>
      <c r="B891" s="29"/>
      <c r="C891" s="29"/>
      <c r="D891" s="29"/>
      <c r="E891" s="29"/>
      <c r="F891" s="29"/>
      <c r="G891" s="30"/>
      <c r="H891" s="29"/>
      <c r="I891" s="29"/>
      <c r="J891" s="29"/>
      <c r="K891" s="29"/>
      <c r="L891" s="29"/>
      <c r="M891" s="31"/>
    </row>
    <row r="892" spans="1:13">
      <c r="A892" s="28" t="str">
        <f t="shared" si="14"/>
        <v/>
      </c>
      <c r="B892" s="29"/>
      <c r="C892" s="29"/>
      <c r="D892" s="29"/>
      <c r="E892" s="29"/>
      <c r="F892" s="29"/>
      <c r="G892" s="30"/>
      <c r="H892" s="29"/>
      <c r="I892" s="29"/>
      <c r="J892" s="29"/>
      <c r="K892" s="29"/>
      <c r="L892" s="29"/>
      <c r="M892" s="31"/>
    </row>
    <row r="893" spans="1:13">
      <c r="A893" s="28" t="str">
        <f t="shared" si="14"/>
        <v/>
      </c>
      <c r="B893" s="29"/>
      <c r="C893" s="29"/>
      <c r="D893" s="29"/>
      <c r="E893" s="29"/>
      <c r="F893" s="29"/>
      <c r="G893" s="30"/>
      <c r="H893" s="29"/>
      <c r="I893" s="29"/>
      <c r="J893" s="29"/>
      <c r="K893" s="29"/>
      <c r="L893" s="29"/>
      <c r="M893" s="31"/>
    </row>
    <row r="894" spans="1:13">
      <c r="A894" s="28" t="str">
        <f t="shared" si="14"/>
        <v/>
      </c>
      <c r="B894" s="29"/>
      <c r="C894" s="29"/>
      <c r="D894" s="29"/>
      <c r="E894" s="29"/>
      <c r="F894" s="29"/>
      <c r="G894" s="30"/>
      <c r="H894" s="29"/>
      <c r="I894" s="29"/>
      <c r="J894" s="29"/>
      <c r="K894" s="29"/>
      <c r="L894" s="29"/>
      <c r="M894" s="31"/>
    </row>
    <row r="895" spans="1:13">
      <c r="A895" s="28" t="str">
        <f t="shared" si="14"/>
        <v/>
      </c>
      <c r="B895" s="29"/>
      <c r="C895" s="29"/>
      <c r="D895" s="29"/>
      <c r="E895" s="29"/>
      <c r="F895" s="29"/>
      <c r="G895" s="30"/>
      <c r="H895" s="29"/>
      <c r="I895" s="29"/>
      <c r="J895" s="29"/>
      <c r="K895" s="29"/>
      <c r="L895" s="29"/>
      <c r="M895" s="31"/>
    </row>
    <row r="896" spans="1:13">
      <c r="A896" s="28" t="str">
        <f t="shared" si="14"/>
        <v/>
      </c>
      <c r="B896" s="29"/>
      <c r="C896" s="29"/>
      <c r="D896" s="29"/>
      <c r="E896" s="29"/>
      <c r="F896" s="29"/>
      <c r="G896" s="30"/>
      <c r="H896" s="29"/>
      <c r="I896" s="29"/>
      <c r="J896" s="29"/>
      <c r="K896" s="29"/>
      <c r="L896" s="29"/>
      <c r="M896" s="31"/>
    </row>
    <row r="897" spans="1:13">
      <c r="A897" s="28" t="str">
        <f t="shared" si="14"/>
        <v/>
      </c>
      <c r="B897" s="29"/>
      <c r="C897" s="29"/>
      <c r="D897" s="29"/>
      <c r="E897" s="29"/>
      <c r="F897" s="29"/>
      <c r="G897" s="30"/>
      <c r="H897" s="29"/>
      <c r="I897" s="29"/>
      <c r="J897" s="29"/>
      <c r="K897" s="29"/>
      <c r="L897" s="29"/>
      <c r="M897" s="31"/>
    </row>
    <row r="898" spans="1:13">
      <c r="A898" s="28" t="str">
        <f t="shared" si="14"/>
        <v/>
      </c>
      <c r="B898" s="29"/>
      <c r="C898" s="29"/>
      <c r="D898" s="29"/>
      <c r="E898" s="29"/>
      <c r="F898" s="29"/>
      <c r="G898" s="30"/>
      <c r="H898" s="29"/>
      <c r="I898" s="29"/>
      <c r="J898" s="29"/>
      <c r="K898" s="29"/>
      <c r="L898" s="29"/>
      <c r="M898" s="31"/>
    </row>
    <row r="899" spans="1:13">
      <c r="A899" s="28" t="str">
        <f t="shared" si="14"/>
        <v/>
      </c>
      <c r="B899" s="29"/>
      <c r="C899" s="29"/>
      <c r="D899" s="29"/>
      <c r="E899" s="29"/>
      <c r="F899" s="29"/>
      <c r="G899" s="30"/>
      <c r="H899" s="29"/>
      <c r="I899" s="29"/>
      <c r="J899" s="29"/>
      <c r="K899" s="29"/>
      <c r="L899" s="29"/>
      <c r="M899" s="31"/>
    </row>
    <row r="900" spans="1:13">
      <c r="A900" s="28" t="str">
        <f t="shared" si="14"/>
        <v/>
      </c>
      <c r="B900" s="29"/>
      <c r="C900" s="29"/>
      <c r="D900" s="29"/>
      <c r="E900" s="29"/>
      <c r="F900" s="29"/>
      <c r="G900" s="30"/>
      <c r="H900" s="29"/>
      <c r="I900" s="29"/>
      <c r="J900" s="29"/>
      <c r="K900" s="29"/>
      <c r="L900" s="29"/>
      <c r="M900" s="31"/>
    </row>
    <row r="901" spans="1:13">
      <c r="A901" s="28" t="str">
        <f t="shared" si="14"/>
        <v/>
      </c>
      <c r="B901" s="29"/>
      <c r="C901" s="29"/>
      <c r="D901" s="29"/>
      <c r="E901" s="29"/>
      <c r="F901" s="29"/>
      <c r="G901" s="30"/>
      <c r="H901" s="29"/>
      <c r="I901" s="29"/>
      <c r="J901" s="29"/>
      <c r="K901" s="29"/>
      <c r="L901" s="29"/>
      <c r="M901" s="31"/>
    </row>
    <row r="902" spans="1:13">
      <c r="A902" s="28" t="str">
        <f t="shared" si="14"/>
        <v/>
      </c>
      <c r="B902" s="29"/>
      <c r="C902" s="29"/>
      <c r="D902" s="29"/>
      <c r="E902" s="29"/>
      <c r="F902" s="29"/>
      <c r="G902" s="30"/>
      <c r="H902" s="29"/>
      <c r="I902" s="29"/>
      <c r="J902" s="29"/>
      <c r="K902" s="29"/>
      <c r="L902" s="29"/>
      <c r="M902" s="31"/>
    </row>
    <row r="903" spans="1:13">
      <c r="A903" s="28" t="str">
        <f t="shared" si="14"/>
        <v/>
      </c>
      <c r="B903" s="29"/>
      <c r="C903" s="29"/>
      <c r="D903" s="29"/>
      <c r="E903" s="29"/>
      <c r="F903" s="29"/>
      <c r="G903" s="30"/>
      <c r="H903" s="29"/>
      <c r="I903" s="29"/>
      <c r="J903" s="29"/>
      <c r="K903" s="29"/>
      <c r="L903" s="29"/>
      <c r="M903" s="31"/>
    </row>
    <row r="904" spans="1:13">
      <c r="A904" s="28" t="str">
        <f t="shared" si="14"/>
        <v/>
      </c>
      <c r="B904" s="29"/>
      <c r="C904" s="29"/>
      <c r="D904" s="29"/>
      <c r="E904" s="29"/>
      <c r="F904" s="29"/>
      <c r="G904" s="30"/>
      <c r="H904" s="29"/>
      <c r="I904" s="29"/>
      <c r="J904" s="29"/>
      <c r="K904" s="29"/>
      <c r="L904" s="29"/>
      <c r="M904" s="31"/>
    </row>
    <row r="905" spans="1:13">
      <c r="A905" s="28" t="str">
        <f t="shared" si="14"/>
        <v/>
      </c>
      <c r="B905" s="29"/>
      <c r="C905" s="29"/>
      <c r="D905" s="29"/>
      <c r="E905" s="29"/>
      <c r="F905" s="29"/>
      <c r="G905" s="30"/>
      <c r="H905" s="29"/>
      <c r="I905" s="29"/>
      <c r="J905" s="29"/>
      <c r="K905" s="29"/>
      <c r="L905" s="29"/>
      <c r="M905" s="31"/>
    </row>
    <row r="906" spans="1:13">
      <c r="A906" s="28" t="str">
        <f t="shared" si="14"/>
        <v/>
      </c>
      <c r="B906" s="29"/>
      <c r="C906" s="29"/>
      <c r="D906" s="29"/>
      <c r="E906" s="29"/>
      <c r="F906" s="29"/>
      <c r="G906" s="30"/>
      <c r="H906" s="29"/>
      <c r="I906" s="29"/>
      <c r="J906" s="29"/>
      <c r="K906" s="29"/>
      <c r="L906" s="29"/>
      <c r="M906" s="31"/>
    </row>
    <row r="907" spans="1:13">
      <c r="A907" s="28" t="str">
        <f t="shared" si="14"/>
        <v/>
      </c>
      <c r="B907" s="29"/>
      <c r="C907" s="29"/>
      <c r="D907" s="29"/>
      <c r="E907" s="29"/>
      <c r="F907" s="29"/>
      <c r="G907" s="30"/>
      <c r="H907" s="29"/>
      <c r="I907" s="29"/>
      <c r="J907" s="29"/>
      <c r="K907" s="29"/>
      <c r="L907" s="29"/>
      <c r="M907" s="31"/>
    </row>
    <row r="908" spans="1:13">
      <c r="A908" s="28" t="str">
        <f t="shared" si="14"/>
        <v/>
      </c>
      <c r="B908" s="29"/>
      <c r="C908" s="29"/>
      <c r="D908" s="29"/>
      <c r="E908" s="29"/>
      <c r="F908" s="29"/>
      <c r="G908" s="30"/>
      <c r="H908" s="29"/>
      <c r="I908" s="29"/>
      <c r="J908" s="29"/>
      <c r="K908" s="29"/>
      <c r="L908" s="29"/>
      <c r="M908" s="31"/>
    </row>
    <row r="909" spans="1:13">
      <c r="A909" s="28" t="str">
        <f t="shared" si="14"/>
        <v/>
      </c>
      <c r="B909" s="29"/>
      <c r="C909" s="29"/>
      <c r="D909" s="29"/>
      <c r="E909" s="29"/>
      <c r="F909" s="29"/>
      <c r="G909" s="30"/>
      <c r="H909" s="29"/>
      <c r="I909" s="29"/>
      <c r="J909" s="29"/>
      <c r="K909" s="29"/>
      <c r="L909" s="29"/>
      <c r="M909" s="31"/>
    </row>
    <row r="910" spans="1:13">
      <c r="A910" s="28" t="str">
        <f t="shared" si="14"/>
        <v/>
      </c>
      <c r="B910" s="29"/>
      <c r="C910" s="29"/>
      <c r="D910" s="29"/>
      <c r="E910" s="29"/>
      <c r="F910" s="29"/>
      <c r="G910" s="30"/>
      <c r="H910" s="29"/>
      <c r="I910" s="29"/>
      <c r="J910" s="29"/>
      <c r="K910" s="29"/>
      <c r="L910" s="29"/>
      <c r="M910" s="31"/>
    </row>
    <row r="911" spans="1:13">
      <c r="A911" s="28" t="str">
        <f t="shared" si="14"/>
        <v/>
      </c>
      <c r="B911" s="29"/>
      <c r="C911" s="29"/>
      <c r="D911" s="29"/>
      <c r="E911" s="29"/>
      <c r="F911" s="29"/>
      <c r="G911" s="30"/>
      <c r="H911" s="29"/>
      <c r="I911" s="29"/>
      <c r="J911" s="29"/>
      <c r="K911" s="29"/>
      <c r="L911" s="29"/>
      <c r="M911" s="31"/>
    </row>
    <row r="912" spans="1:13">
      <c r="A912" s="28" t="str">
        <f t="shared" si="14"/>
        <v/>
      </c>
      <c r="B912" s="29"/>
      <c r="C912" s="29"/>
      <c r="D912" s="29"/>
      <c r="E912" s="29"/>
      <c r="F912" s="29"/>
      <c r="G912" s="30"/>
      <c r="H912" s="29"/>
      <c r="I912" s="29"/>
      <c r="J912" s="29"/>
      <c r="K912" s="29"/>
      <c r="L912" s="29"/>
      <c r="M912" s="31"/>
    </row>
    <row r="913" spans="1:13">
      <c r="A913" s="28" t="str">
        <f t="shared" si="14"/>
        <v/>
      </c>
      <c r="B913" s="29"/>
      <c r="C913" s="29"/>
      <c r="D913" s="29"/>
      <c r="E913" s="29"/>
      <c r="F913" s="29"/>
      <c r="G913" s="30"/>
      <c r="H913" s="29"/>
      <c r="I913" s="29"/>
      <c r="J913" s="29"/>
      <c r="K913" s="29"/>
      <c r="L913" s="29"/>
      <c r="M913" s="31"/>
    </row>
    <row r="914" spans="1:13">
      <c r="A914" s="28" t="str">
        <f t="shared" si="14"/>
        <v/>
      </c>
      <c r="B914" s="29"/>
      <c r="C914" s="29"/>
      <c r="D914" s="29"/>
      <c r="E914" s="29"/>
      <c r="F914" s="29"/>
      <c r="G914" s="30"/>
      <c r="H914" s="29"/>
      <c r="I914" s="29"/>
      <c r="J914" s="29"/>
      <c r="K914" s="29"/>
      <c r="L914" s="29"/>
      <c r="M914" s="31"/>
    </row>
    <row r="915" spans="1:13">
      <c r="A915" s="28" t="str">
        <f t="shared" si="14"/>
        <v/>
      </c>
      <c r="B915" s="29"/>
      <c r="C915" s="29"/>
      <c r="D915" s="29"/>
      <c r="E915" s="29"/>
      <c r="F915" s="29"/>
      <c r="G915" s="30"/>
      <c r="H915" s="29"/>
      <c r="I915" s="29"/>
      <c r="J915" s="29"/>
      <c r="K915" s="29"/>
      <c r="L915" s="29"/>
      <c r="M915" s="31"/>
    </row>
    <row r="916" spans="1:13">
      <c r="A916" s="28" t="str">
        <f t="shared" si="14"/>
        <v/>
      </c>
      <c r="B916" s="29"/>
      <c r="C916" s="29"/>
      <c r="D916" s="29"/>
      <c r="E916" s="29"/>
      <c r="F916" s="29"/>
      <c r="G916" s="30"/>
      <c r="H916" s="29"/>
      <c r="I916" s="29"/>
      <c r="J916" s="29"/>
      <c r="K916" s="29"/>
      <c r="L916" s="29"/>
      <c r="M916" s="31"/>
    </row>
    <row r="917" spans="1:13">
      <c r="A917" s="28" t="str">
        <f t="shared" ref="A917:A980" si="15">IF(D917="","",ROW()-4)</f>
        <v/>
      </c>
      <c r="B917" s="29"/>
      <c r="C917" s="29"/>
      <c r="D917" s="29"/>
      <c r="E917" s="29"/>
      <c r="F917" s="29"/>
      <c r="G917" s="30"/>
      <c r="H917" s="29"/>
      <c r="I917" s="29"/>
      <c r="J917" s="29"/>
      <c r="K917" s="29"/>
      <c r="L917" s="29"/>
      <c r="M917" s="31"/>
    </row>
    <row r="918" spans="1:13">
      <c r="A918" s="28" t="str">
        <f t="shared" si="15"/>
        <v/>
      </c>
      <c r="B918" s="29"/>
      <c r="C918" s="29"/>
      <c r="D918" s="29"/>
      <c r="E918" s="29"/>
      <c r="F918" s="29"/>
      <c r="G918" s="30"/>
      <c r="H918" s="29"/>
      <c r="I918" s="29"/>
      <c r="J918" s="29"/>
      <c r="K918" s="29"/>
      <c r="L918" s="29"/>
      <c r="M918" s="31"/>
    </row>
    <row r="919" spans="1:13">
      <c r="A919" s="28" t="str">
        <f t="shared" si="15"/>
        <v/>
      </c>
      <c r="B919" s="29"/>
      <c r="C919" s="29"/>
      <c r="D919" s="29"/>
      <c r="E919" s="29"/>
      <c r="F919" s="29"/>
      <c r="G919" s="30"/>
      <c r="H919" s="29"/>
      <c r="I919" s="29"/>
      <c r="J919" s="29"/>
      <c r="K919" s="29"/>
      <c r="L919" s="29"/>
      <c r="M919" s="31"/>
    </row>
    <row r="920" spans="1:13">
      <c r="A920" s="28" t="str">
        <f t="shared" si="15"/>
        <v/>
      </c>
      <c r="B920" s="29"/>
      <c r="C920" s="29"/>
      <c r="D920" s="29"/>
      <c r="E920" s="29"/>
      <c r="F920" s="29"/>
      <c r="G920" s="30"/>
      <c r="H920" s="29"/>
      <c r="I920" s="29"/>
      <c r="J920" s="29"/>
      <c r="K920" s="29"/>
      <c r="L920" s="29"/>
      <c r="M920" s="31"/>
    </row>
    <row r="921" spans="1:13">
      <c r="A921" s="28" t="str">
        <f t="shared" si="15"/>
        <v/>
      </c>
      <c r="B921" s="29"/>
      <c r="C921" s="29"/>
      <c r="D921" s="29"/>
      <c r="E921" s="29"/>
      <c r="F921" s="29"/>
      <c r="G921" s="30"/>
      <c r="H921" s="29"/>
      <c r="I921" s="29"/>
      <c r="J921" s="29"/>
      <c r="K921" s="29"/>
      <c r="L921" s="29"/>
      <c r="M921" s="31"/>
    </row>
    <row r="922" spans="1:13">
      <c r="A922" s="28" t="str">
        <f t="shared" si="15"/>
        <v/>
      </c>
      <c r="B922" s="29"/>
      <c r="C922" s="29"/>
      <c r="D922" s="29"/>
      <c r="E922" s="29"/>
      <c r="F922" s="29"/>
      <c r="G922" s="30"/>
      <c r="H922" s="29"/>
      <c r="I922" s="29"/>
      <c r="J922" s="29"/>
      <c r="K922" s="29"/>
      <c r="L922" s="29"/>
      <c r="M922" s="31"/>
    </row>
    <row r="923" spans="1:13">
      <c r="A923" s="28" t="str">
        <f t="shared" si="15"/>
        <v/>
      </c>
      <c r="B923" s="29"/>
      <c r="C923" s="29"/>
      <c r="D923" s="29"/>
      <c r="E923" s="29"/>
      <c r="F923" s="29"/>
      <c r="G923" s="30"/>
      <c r="H923" s="29"/>
      <c r="I923" s="29"/>
      <c r="J923" s="29"/>
      <c r="K923" s="29"/>
      <c r="L923" s="29"/>
      <c r="M923" s="31"/>
    </row>
    <row r="924" spans="1:13">
      <c r="A924" s="28" t="str">
        <f t="shared" si="15"/>
        <v/>
      </c>
      <c r="B924" s="29"/>
      <c r="C924" s="29"/>
      <c r="D924" s="29"/>
      <c r="E924" s="29"/>
      <c r="F924" s="29"/>
      <c r="G924" s="30"/>
      <c r="H924" s="29"/>
      <c r="I924" s="29"/>
      <c r="J924" s="29"/>
      <c r="K924" s="29"/>
      <c r="L924" s="29"/>
      <c r="M924" s="31"/>
    </row>
    <row r="925" spans="1:13">
      <c r="A925" s="28" t="str">
        <f t="shared" si="15"/>
        <v/>
      </c>
      <c r="B925" s="29"/>
      <c r="C925" s="29"/>
      <c r="D925" s="29"/>
      <c r="E925" s="29"/>
      <c r="F925" s="29"/>
      <c r="G925" s="30"/>
      <c r="H925" s="29"/>
      <c r="I925" s="29"/>
      <c r="J925" s="29"/>
      <c r="K925" s="29"/>
      <c r="L925" s="29"/>
      <c r="M925" s="31"/>
    </row>
    <row r="926" spans="1:13">
      <c r="A926" s="28" t="str">
        <f t="shared" si="15"/>
        <v/>
      </c>
      <c r="B926" s="29"/>
      <c r="C926" s="29"/>
      <c r="D926" s="29"/>
      <c r="E926" s="29"/>
      <c r="F926" s="29"/>
      <c r="G926" s="30"/>
      <c r="H926" s="29"/>
      <c r="I926" s="29"/>
      <c r="J926" s="29"/>
      <c r="K926" s="29"/>
      <c r="L926" s="29"/>
      <c r="M926" s="31"/>
    </row>
    <row r="927" spans="1:13">
      <c r="A927" s="28" t="str">
        <f t="shared" si="15"/>
        <v/>
      </c>
      <c r="B927" s="29"/>
      <c r="C927" s="29"/>
      <c r="D927" s="29"/>
      <c r="E927" s="29"/>
      <c r="F927" s="29"/>
      <c r="G927" s="30"/>
      <c r="H927" s="29"/>
      <c r="I927" s="29"/>
      <c r="J927" s="29"/>
      <c r="K927" s="29"/>
      <c r="L927" s="29"/>
      <c r="M927" s="31"/>
    </row>
    <row r="928" spans="1:13">
      <c r="A928" s="28" t="str">
        <f t="shared" si="15"/>
        <v/>
      </c>
      <c r="B928" s="29"/>
      <c r="C928" s="29"/>
      <c r="D928" s="29"/>
      <c r="E928" s="29"/>
      <c r="F928" s="29"/>
      <c r="G928" s="30"/>
      <c r="H928" s="29"/>
      <c r="I928" s="29"/>
      <c r="J928" s="29"/>
      <c r="K928" s="29"/>
      <c r="L928" s="29"/>
      <c r="M928" s="31"/>
    </row>
    <row r="929" spans="1:13">
      <c r="A929" s="28" t="str">
        <f t="shared" si="15"/>
        <v/>
      </c>
      <c r="B929" s="29"/>
      <c r="C929" s="29"/>
      <c r="D929" s="29"/>
      <c r="E929" s="29"/>
      <c r="F929" s="29"/>
      <c r="G929" s="30"/>
      <c r="H929" s="29"/>
      <c r="I929" s="29"/>
      <c r="J929" s="29"/>
      <c r="K929" s="29"/>
      <c r="L929" s="29"/>
      <c r="M929" s="31"/>
    </row>
    <row r="930" spans="1:13">
      <c r="A930" s="28" t="str">
        <f t="shared" si="15"/>
        <v/>
      </c>
      <c r="B930" s="29"/>
      <c r="C930" s="29"/>
      <c r="D930" s="29"/>
      <c r="E930" s="29"/>
      <c r="F930" s="29"/>
      <c r="G930" s="30"/>
      <c r="H930" s="29"/>
      <c r="I930" s="29"/>
      <c r="J930" s="29"/>
      <c r="K930" s="29"/>
      <c r="L930" s="29"/>
      <c r="M930" s="31"/>
    </row>
    <row r="931" spans="1:13">
      <c r="A931" s="28" t="str">
        <f t="shared" si="15"/>
        <v/>
      </c>
      <c r="B931" s="29"/>
      <c r="C931" s="29"/>
      <c r="D931" s="29"/>
      <c r="E931" s="29"/>
      <c r="F931" s="29"/>
      <c r="G931" s="30"/>
      <c r="H931" s="29"/>
      <c r="I931" s="29"/>
      <c r="J931" s="29"/>
      <c r="K931" s="29"/>
      <c r="L931" s="29"/>
      <c r="M931" s="31"/>
    </row>
    <row r="932" spans="1:13">
      <c r="A932" s="28" t="str">
        <f t="shared" si="15"/>
        <v/>
      </c>
      <c r="B932" s="29"/>
      <c r="C932" s="29"/>
      <c r="D932" s="29"/>
      <c r="E932" s="29"/>
      <c r="F932" s="29"/>
      <c r="G932" s="30"/>
      <c r="H932" s="29"/>
      <c r="I932" s="29"/>
      <c r="J932" s="29"/>
      <c r="K932" s="29"/>
      <c r="L932" s="29"/>
      <c r="M932" s="31"/>
    </row>
    <row r="933" spans="1:13">
      <c r="A933" s="28" t="str">
        <f t="shared" si="15"/>
        <v/>
      </c>
      <c r="B933" s="29"/>
      <c r="C933" s="29"/>
      <c r="D933" s="29"/>
      <c r="E933" s="29"/>
      <c r="F933" s="29"/>
      <c r="G933" s="30"/>
      <c r="H933" s="29"/>
      <c r="I933" s="29"/>
      <c r="J933" s="29"/>
      <c r="K933" s="29"/>
      <c r="L933" s="29"/>
      <c r="M933" s="31"/>
    </row>
    <row r="934" spans="1:13">
      <c r="A934" s="28" t="str">
        <f t="shared" si="15"/>
        <v/>
      </c>
      <c r="B934" s="29"/>
      <c r="C934" s="29"/>
      <c r="D934" s="29"/>
      <c r="E934" s="29"/>
      <c r="F934" s="29"/>
      <c r="G934" s="30"/>
      <c r="H934" s="29"/>
      <c r="I934" s="29"/>
      <c r="J934" s="29"/>
      <c r="K934" s="29"/>
      <c r="L934" s="29"/>
      <c r="M934" s="31"/>
    </row>
    <row r="935" spans="1:13">
      <c r="A935" s="28" t="str">
        <f t="shared" si="15"/>
        <v/>
      </c>
      <c r="B935" s="29"/>
      <c r="C935" s="29"/>
      <c r="D935" s="29"/>
      <c r="E935" s="29"/>
      <c r="F935" s="29"/>
      <c r="G935" s="30"/>
      <c r="H935" s="29"/>
      <c r="I935" s="29"/>
      <c r="J935" s="29"/>
      <c r="K935" s="29"/>
      <c r="L935" s="29"/>
      <c r="M935" s="31"/>
    </row>
    <row r="936" spans="1:13">
      <c r="A936" s="28" t="str">
        <f t="shared" si="15"/>
        <v/>
      </c>
      <c r="B936" s="29"/>
      <c r="C936" s="29"/>
      <c r="D936" s="29"/>
      <c r="E936" s="29"/>
      <c r="F936" s="29"/>
      <c r="G936" s="30"/>
      <c r="H936" s="29"/>
      <c r="I936" s="29"/>
      <c r="J936" s="29"/>
      <c r="K936" s="29"/>
      <c r="L936" s="29"/>
      <c r="M936" s="31"/>
    </row>
    <row r="937" spans="1:13">
      <c r="A937" s="28" t="str">
        <f t="shared" si="15"/>
        <v/>
      </c>
      <c r="B937" s="29"/>
      <c r="C937" s="29"/>
      <c r="D937" s="29"/>
      <c r="E937" s="29"/>
      <c r="F937" s="29"/>
      <c r="G937" s="30"/>
      <c r="H937" s="29"/>
      <c r="I937" s="29"/>
      <c r="J937" s="29"/>
      <c r="K937" s="29"/>
      <c r="L937" s="29"/>
      <c r="M937" s="31"/>
    </row>
    <row r="938" spans="1:13">
      <c r="A938" s="28" t="str">
        <f t="shared" si="15"/>
        <v/>
      </c>
      <c r="B938" s="29"/>
      <c r="C938" s="29"/>
      <c r="D938" s="29"/>
      <c r="E938" s="29"/>
      <c r="F938" s="29"/>
      <c r="G938" s="30"/>
      <c r="H938" s="29"/>
      <c r="I938" s="29"/>
      <c r="J938" s="29"/>
      <c r="K938" s="29"/>
      <c r="L938" s="29"/>
      <c r="M938" s="31"/>
    </row>
    <row r="939" spans="1:13">
      <c r="A939" s="28" t="str">
        <f t="shared" si="15"/>
        <v/>
      </c>
      <c r="B939" s="29"/>
      <c r="C939" s="29"/>
      <c r="D939" s="29"/>
      <c r="E939" s="29"/>
      <c r="F939" s="29"/>
      <c r="G939" s="30"/>
      <c r="H939" s="29"/>
      <c r="I939" s="29"/>
      <c r="J939" s="29"/>
      <c r="K939" s="29"/>
      <c r="L939" s="29"/>
      <c r="M939" s="31"/>
    </row>
    <row r="940" spans="1:13">
      <c r="A940" s="28" t="str">
        <f t="shared" si="15"/>
        <v/>
      </c>
      <c r="B940" s="29"/>
      <c r="C940" s="29"/>
      <c r="D940" s="29"/>
      <c r="E940" s="29"/>
      <c r="F940" s="29"/>
      <c r="G940" s="30"/>
      <c r="H940" s="29"/>
      <c r="I940" s="29"/>
      <c r="J940" s="29"/>
      <c r="K940" s="29"/>
      <c r="L940" s="29"/>
      <c r="M940" s="31"/>
    </row>
    <row r="941" spans="1:13">
      <c r="A941" s="28" t="str">
        <f t="shared" si="15"/>
        <v/>
      </c>
      <c r="B941" s="29"/>
      <c r="C941" s="29"/>
      <c r="D941" s="29"/>
      <c r="E941" s="29"/>
      <c r="F941" s="29"/>
      <c r="G941" s="30"/>
      <c r="H941" s="29"/>
      <c r="I941" s="29"/>
      <c r="J941" s="29"/>
      <c r="K941" s="29"/>
      <c r="L941" s="29"/>
      <c r="M941" s="31"/>
    </row>
    <row r="942" spans="1:13">
      <c r="A942" s="28" t="str">
        <f t="shared" si="15"/>
        <v/>
      </c>
      <c r="B942" s="29"/>
      <c r="C942" s="29"/>
      <c r="D942" s="29"/>
      <c r="E942" s="29"/>
      <c r="F942" s="29"/>
      <c r="G942" s="30"/>
      <c r="H942" s="29"/>
      <c r="I942" s="29"/>
      <c r="J942" s="29"/>
      <c r="K942" s="29"/>
      <c r="L942" s="29"/>
      <c r="M942" s="31"/>
    </row>
    <row r="943" spans="1:13">
      <c r="A943" s="28" t="str">
        <f t="shared" si="15"/>
        <v/>
      </c>
      <c r="B943" s="29"/>
      <c r="C943" s="29"/>
      <c r="D943" s="29"/>
      <c r="E943" s="29"/>
      <c r="F943" s="29"/>
      <c r="G943" s="30"/>
      <c r="H943" s="29"/>
      <c r="I943" s="29"/>
      <c r="J943" s="29"/>
      <c r="K943" s="29"/>
      <c r="L943" s="29"/>
      <c r="M943" s="31"/>
    </row>
    <row r="944" spans="1:13">
      <c r="A944" s="28" t="str">
        <f t="shared" si="15"/>
        <v/>
      </c>
      <c r="B944" s="29"/>
      <c r="C944" s="29"/>
      <c r="D944" s="29"/>
      <c r="E944" s="29"/>
      <c r="F944" s="29"/>
      <c r="G944" s="30"/>
      <c r="H944" s="29"/>
      <c r="I944" s="29"/>
      <c r="J944" s="29"/>
      <c r="K944" s="29"/>
      <c r="L944" s="29"/>
      <c r="M944" s="31"/>
    </row>
    <row r="945" spans="1:13">
      <c r="A945" s="28" t="str">
        <f t="shared" si="15"/>
        <v/>
      </c>
      <c r="B945" s="29"/>
      <c r="C945" s="29"/>
      <c r="D945" s="29"/>
      <c r="E945" s="29"/>
      <c r="F945" s="29"/>
      <c r="G945" s="30"/>
      <c r="H945" s="29"/>
      <c r="I945" s="29"/>
      <c r="J945" s="29"/>
      <c r="K945" s="29"/>
      <c r="L945" s="29"/>
      <c r="M945" s="31"/>
    </row>
    <row r="946" spans="1:13">
      <c r="A946" s="28" t="str">
        <f t="shared" si="15"/>
        <v/>
      </c>
      <c r="B946" s="29"/>
      <c r="C946" s="29"/>
      <c r="D946" s="29"/>
      <c r="E946" s="29"/>
      <c r="F946" s="29"/>
      <c r="G946" s="30"/>
      <c r="H946" s="29"/>
      <c r="I946" s="29"/>
      <c r="J946" s="29"/>
      <c r="K946" s="29"/>
      <c r="L946" s="29"/>
      <c r="M946" s="31"/>
    </row>
    <row r="947" spans="1:13">
      <c r="A947" s="28" t="str">
        <f t="shared" si="15"/>
        <v/>
      </c>
      <c r="B947" s="29"/>
      <c r="C947" s="29"/>
      <c r="D947" s="29"/>
      <c r="E947" s="29"/>
      <c r="F947" s="29"/>
      <c r="G947" s="30"/>
      <c r="H947" s="29"/>
      <c r="I947" s="29"/>
      <c r="J947" s="29"/>
      <c r="K947" s="29"/>
      <c r="L947" s="29"/>
      <c r="M947" s="31"/>
    </row>
    <row r="948" spans="1:13">
      <c r="A948" s="28" t="str">
        <f t="shared" si="15"/>
        <v/>
      </c>
      <c r="B948" s="29"/>
      <c r="C948" s="29"/>
      <c r="D948" s="29"/>
      <c r="E948" s="29"/>
      <c r="F948" s="29"/>
      <c r="G948" s="30"/>
      <c r="H948" s="29"/>
      <c r="I948" s="29"/>
      <c r="J948" s="29"/>
      <c r="K948" s="29"/>
      <c r="L948" s="29"/>
      <c r="M948" s="31"/>
    </row>
    <row r="949" spans="1:13">
      <c r="A949" s="28" t="str">
        <f t="shared" si="15"/>
        <v/>
      </c>
      <c r="B949" s="29"/>
      <c r="C949" s="29"/>
      <c r="D949" s="29"/>
      <c r="E949" s="29"/>
      <c r="F949" s="29"/>
      <c r="G949" s="30"/>
      <c r="H949" s="29"/>
      <c r="I949" s="29"/>
      <c r="J949" s="29"/>
      <c r="K949" s="29"/>
      <c r="L949" s="29"/>
      <c r="M949" s="31"/>
    </row>
    <row r="950" spans="1:13">
      <c r="A950" s="28" t="str">
        <f t="shared" si="15"/>
        <v/>
      </c>
      <c r="B950" s="29"/>
      <c r="C950" s="29"/>
      <c r="D950" s="29"/>
      <c r="E950" s="29"/>
      <c r="F950" s="29"/>
      <c r="G950" s="30"/>
      <c r="H950" s="29"/>
      <c r="I950" s="29"/>
      <c r="J950" s="29"/>
      <c r="K950" s="29"/>
      <c r="L950" s="29"/>
      <c r="M950" s="31"/>
    </row>
    <row r="951" spans="1:13">
      <c r="A951" s="28" t="str">
        <f t="shared" si="15"/>
        <v/>
      </c>
      <c r="B951" s="29"/>
      <c r="C951" s="29"/>
      <c r="D951" s="29"/>
      <c r="E951" s="29"/>
      <c r="F951" s="29"/>
      <c r="G951" s="30"/>
      <c r="H951" s="29"/>
      <c r="I951" s="29"/>
      <c r="J951" s="29"/>
      <c r="K951" s="29"/>
      <c r="L951" s="29"/>
      <c r="M951" s="31"/>
    </row>
    <row r="952" spans="1:13">
      <c r="A952" s="28" t="str">
        <f t="shared" si="15"/>
        <v/>
      </c>
      <c r="B952" s="29"/>
      <c r="C952" s="29"/>
      <c r="D952" s="29"/>
      <c r="E952" s="29"/>
      <c r="F952" s="29"/>
      <c r="G952" s="30"/>
      <c r="H952" s="29"/>
      <c r="I952" s="29"/>
      <c r="J952" s="29"/>
      <c r="K952" s="29"/>
      <c r="L952" s="29"/>
      <c r="M952" s="31"/>
    </row>
    <row r="953" spans="1:13">
      <c r="A953" s="28" t="str">
        <f t="shared" si="15"/>
        <v/>
      </c>
      <c r="B953" s="29"/>
      <c r="C953" s="29"/>
      <c r="D953" s="29"/>
      <c r="E953" s="29"/>
      <c r="F953" s="29"/>
      <c r="G953" s="30"/>
      <c r="H953" s="29"/>
      <c r="I953" s="29"/>
      <c r="J953" s="29"/>
      <c r="K953" s="29"/>
      <c r="L953" s="29"/>
      <c r="M953" s="31"/>
    </row>
    <row r="954" spans="1:13">
      <c r="A954" s="28" t="str">
        <f t="shared" si="15"/>
        <v/>
      </c>
      <c r="B954" s="29"/>
      <c r="C954" s="29"/>
      <c r="D954" s="29"/>
      <c r="E954" s="29"/>
      <c r="F954" s="29"/>
      <c r="G954" s="30"/>
      <c r="H954" s="29"/>
      <c r="I954" s="29"/>
      <c r="J954" s="29"/>
      <c r="K954" s="29"/>
      <c r="L954" s="29"/>
      <c r="M954" s="31"/>
    </row>
    <row r="955" spans="1:13">
      <c r="A955" s="28" t="str">
        <f t="shared" si="15"/>
        <v/>
      </c>
      <c r="B955" s="29"/>
      <c r="C955" s="29"/>
      <c r="D955" s="29"/>
      <c r="E955" s="29"/>
      <c r="F955" s="29"/>
      <c r="G955" s="30"/>
      <c r="H955" s="29"/>
      <c r="I955" s="29"/>
      <c r="J955" s="29"/>
      <c r="K955" s="29"/>
      <c r="L955" s="29"/>
      <c r="M955" s="31"/>
    </row>
    <row r="956" spans="1:13">
      <c r="A956" s="28" t="str">
        <f t="shared" si="15"/>
        <v/>
      </c>
      <c r="B956" s="29"/>
      <c r="C956" s="29"/>
      <c r="D956" s="29"/>
      <c r="E956" s="29"/>
      <c r="F956" s="29"/>
      <c r="G956" s="30"/>
      <c r="H956" s="29"/>
      <c r="I956" s="29"/>
      <c r="J956" s="29"/>
      <c r="K956" s="29"/>
      <c r="L956" s="29"/>
      <c r="M956" s="31"/>
    </row>
    <row r="957" spans="1:13">
      <c r="A957" s="28" t="str">
        <f t="shared" si="15"/>
        <v/>
      </c>
      <c r="B957" s="29"/>
      <c r="C957" s="29"/>
      <c r="D957" s="29"/>
      <c r="E957" s="29"/>
      <c r="F957" s="29"/>
      <c r="G957" s="30"/>
      <c r="H957" s="29"/>
      <c r="I957" s="29"/>
      <c r="J957" s="29"/>
      <c r="K957" s="29"/>
      <c r="L957" s="29"/>
      <c r="M957" s="31"/>
    </row>
    <row r="958" spans="1:13">
      <c r="A958" s="28" t="str">
        <f t="shared" si="15"/>
        <v/>
      </c>
      <c r="B958" s="29"/>
      <c r="C958" s="29"/>
      <c r="D958" s="29"/>
      <c r="E958" s="29"/>
      <c r="F958" s="29"/>
      <c r="G958" s="30"/>
      <c r="H958" s="29"/>
      <c r="I958" s="29"/>
      <c r="J958" s="29"/>
      <c r="K958" s="29"/>
      <c r="L958" s="29"/>
      <c r="M958" s="31"/>
    </row>
    <row r="959" spans="1:13">
      <c r="A959" s="28" t="str">
        <f t="shared" si="15"/>
        <v/>
      </c>
      <c r="B959" s="29"/>
      <c r="C959" s="29"/>
      <c r="D959" s="29"/>
      <c r="E959" s="29"/>
      <c r="F959" s="29"/>
      <c r="G959" s="30"/>
      <c r="H959" s="29"/>
      <c r="I959" s="29"/>
      <c r="J959" s="29"/>
      <c r="K959" s="29"/>
      <c r="L959" s="29"/>
      <c r="M959" s="31"/>
    </row>
    <row r="960" spans="1:13">
      <c r="A960" s="28" t="str">
        <f t="shared" si="15"/>
        <v/>
      </c>
      <c r="B960" s="29"/>
      <c r="C960" s="29"/>
      <c r="D960" s="29"/>
      <c r="E960" s="29"/>
      <c r="F960" s="29"/>
      <c r="G960" s="30"/>
      <c r="H960" s="29"/>
      <c r="I960" s="29"/>
      <c r="J960" s="29"/>
      <c r="K960" s="29"/>
      <c r="L960" s="29"/>
      <c r="M960" s="31"/>
    </row>
    <row r="961" spans="1:13">
      <c r="A961" s="28" t="str">
        <f t="shared" si="15"/>
        <v/>
      </c>
      <c r="B961" s="29"/>
      <c r="C961" s="29"/>
      <c r="D961" s="29"/>
      <c r="E961" s="29"/>
      <c r="F961" s="29"/>
      <c r="G961" s="30"/>
      <c r="H961" s="29"/>
      <c r="I961" s="29"/>
      <c r="J961" s="29"/>
      <c r="K961" s="29"/>
      <c r="L961" s="29"/>
      <c r="M961" s="31"/>
    </row>
    <row r="962" spans="1:13">
      <c r="A962" s="28" t="str">
        <f t="shared" si="15"/>
        <v/>
      </c>
      <c r="B962" s="29"/>
      <c r="C962" s="29"/>
      <c r="D962" s="29"/>
      <c r="E962" s="29"/>
      <c r="F962" s="29"/>
      <c r="G962" s="30"/>
      <c r="H962" s="29"/>
      <c r="I962" s="29"/>
      <c r="J962" s="29"/>
      <c r="K962" s="29"/>
      <c r="L962" s="29"/>
      <c r="M962" s="31"/>
    </row>
    <row r="963" spans="1:13">
      <c r="A963" s="28" t="str">
        <f t="shared" si="15"/>
        <v/>
      </c>
      <c r="B963" s="29"/>
      <c r="C963" s="29"/>
      <c r="D963" s="29"/>
      <c r="E963" s="29"/>
      <c r="F963" s="29"/>
      <c r="G963" s="30"/>
      <c r="H963" s="29"/>
      <c r="I963" s="29"/>
      <c r="J963" s="29"/>
      <c r="K963" s="29"/>
      <c r="L963" s="29"/>
      <c r="M963" s="31"/>
    </row>
    <row r="964" spans="1:13">
      <c r="A964" s="28" t="str">
        <f t="shared" si="15"/>
        <v/>
      </c>
      <c r="B964" s="29"/>
      <c r="C964" s="29"/>
      <c r="D964" s="29"/>
      <c r="E964" s="29"/>
      <c r="F964" s="29"/>
      <c r="G964" s="30"/>
      <c r="H964" s="29"/>
      <c r="I964" s="29"/>
      <c r="J964" s="29"/>
      <c r="K964" s="29"/>
      <c r="L964" s="29"/>
      <c r="M964" s="31"/>
    </row>
    <row r="965" spans="1:13">
      <c r="A965" s="28" t="str">
        <f t="shared" si="15"/>
        <v/>
      </c>
      <c r="B965" s="29"/>
      <c r="C965" s="29"/>
      <c r="D965" s="29"/>
      <c r="E965" s="29"/>
      <c r="F965" s="29"/>
      <c r="G965" s="30"/>
      <c r="H965" s="29"/>
      <c r="I965" s="29"/>
      <c r="J965" s="29"/>
      <c r="K965" s="29"/>
      <c r="L965" s="29"/>
      <c r="M965" s="31"/>
    </row>
    <row r="966" spans="1:13">
      <c r="A966" s="28" t="str">
        <f t="shared" si="15"/>
        <v/>
      </c>
      <c r="B966" s="29"/>
      <c r="C966" s="29"/>
      <c r="D966" s="29"/>
      <c r="E966" s="29"/>
      <c r="F966" s="29"/>
      <c r="G966" s="30"/>
      <c r="H966" s="29"/>
      <c r="I966" s="29"/>
      <c r="J966" s="29"/>
      <c r="K966" s="29"/>
      <c r="L966" s="29"/>
      <c r="M966" s="31"/>
    </row>
    <row r="967" spans="1:13">
      <c r="A967" s="28" t="str">
        <f t="shared" si="15"/>
        <v/>
      </c>
      <c r="B967" s="29"/>
      <c r="C967" s="29"/>
      <c r="D967" s="29"/>
      <c r="E967" s="29"/>
      <c r="F967" s="29"/>
      <c r="G967" s="30"/>
      <c r="H967" s="29"/>
      <c r="I967" s="29"/>
      <c r="J967" s="29"/>
      <c r="K967" s="29"/>
      <c r="L967" s="29"/>
      <c r="M967" s="31"/>
    </row>
    <row r="968" spans="1:13">
      <c r="A968" s="28" t="str">
        <f t="shared" si="15"/>
        <v/>
      </c>
      <c r="B968" s="29"/>
      <c r="C968" s="29"/>
      <c r="D968" s="29"/>
      <c r="E968" s="29"/>
      <c r="F968" s="29"/>
      <c r="G968" s="30"/>
      <c r="H968" s="29"/>
      <c r="I968" s="29"/>
      <c r="J968" s="29"/>
      <c r="K968" s="29"/>
      <c r="L968" s="29"/>
      <c r="M968" s="31"/>
    </row>
    <row r="969" spans="1:13">
      <c r="A969" s="28" t="str">
        <f t="shared" si="15"/>
        <v/>
      </c>
      <c r="B969" s="29"/>
      <c r="C969" s="29"/>
      <c r="D969" s="29"/>
      <c r="E969" s="29"/>
      <c r="F969" s="29"/>
      <c r="G969" s="30"/>
      <c r="H969" s="29"/>
      <c r="I969" s="29"/>
      <c r="J969" s="29"/>
      <c r="K969" s="29"/>
      <c r="L969" s="29"/>
      <c r="M969" s="31"/>
    </row>
    <row r="970" spans="1:13">
      <c r="A970" s="28" t="str">
        <f t="shared" si="15"/>
        <v/>
      </c>
      <c r="B970" s="29"/>
      <c r="C970" s="29"/>
      <c r="D970" s="29"/>
      <c r="E970" s="29"/>
      <c r="F970" s="29"/>
      <c r="G970" s="30"/>
      <c r="H970" s="29"/>
      <c r="I970" s="29"/>
      <c r="J970" s="29"/>
      <c r="K970" s="29"/>
      <c r="L970" s="29"/>
      <c r="M970" s="31"/>
    </row>
    <row r="971" spans="1:13">
      <c r="A971" s="28" t="str">
        <f t="shared" si="15"/>
        <v/>
      </c>
      <c r="B971" s="29"/>
      <c r="C971" s="29"/>
      <c r="D971" s="29"/>
      <c r="E971" s="29"/>
      <c r="F971" s="29"/>
      <c r="G971" s="30"/>
      <c r="H971" s="29"/>
      <c r="I971" s="29"/>
      <c r="J971" s="29"/>
      <c r="K971" s="29"/>
      <c r="L971" s="29"/>
      <c r="M971" s="31"/>
    </row>
    <row r="972" spans="1:13">
      <c r="A972" s="28" t="str">
        <f t="shared" si="15"/>
        <v/>
      </c>
      <c r="B972" s="29"/>
      <c r="C972" s="29"/>
      <c r="D972" s="29"/>
      <c r="E972" s="29"/>
      <c r="F972" s="29"/>
      <c r="G972" s="30"/>
      <c r="H972" s="29"/>
      <c r="I972" s="29"/>
      <c r="J972" s="29"/>
      <c r="K972" s="29"/>
      <c r="L972" s="29"/>
      <c r="M972" s="31"/>
    </row>
    <row r="973" spans="1:13">
      <c r="A973" s="28" t="str">
        <f t="shared" si="15"/>
        <v/>
      </c>
      <c r="B973" s="29"/>
      <c r="C973" s="29"/>
      <c r="D973" s="29"/>
      <c r="E973" s="29"/>
      <c r="F973" s="29"/>
      <c r="G973" s="30"/>
      <c r="H973" s="29"/>
      <c r="I973" s="29"/>
      <c r="J973" s="29"/>
      <c r="K973" s="29"/>
      <c r="L973" s="29"/>
      <c r="M973" s="31"/>
    </row>
    <row r="974" spans="1:13">
      <c r="A974" s="28" t="str">
        <f t="shared" si="15"/>
        <v/>
      </c>
      <c r="B974" s="29"/>
      <c r="C974" s="29"/>
      <c r="D974" s="29"/>
      <c r="E974" s="29"/>
      <c r="F974" s="29"/>
      <c r="G974" s="30"/>
      <c r="H974" s="29"/>
      <c r="I974" s="29"/>
      <c r="J974" s="29"/>
      <c r="K974" s="29"/>
      <c r="L974" s="29"/>
      <c r="M974" s="31"/>
    </row>
    <row r="975" spans="1:13">
      <c r="A975" s="28" t="str">
        <f t="shared" si="15"/>
        <v/>
      </c>
      <c r="B975" s="29"/>
      <c r="C975" s="29"/>
      <c r="D975" s="29"/>
      <c r="E975" s="29"/>
      <c r="F975" s="29"/>
      <c r="G975" s="30"/>
      <c r="H975" s="29"/>
      <c r="I975" s="29"/>
      <c r="J975" s="29"/>
      <c r="K975" s="29"/>
      <c r="L975" s="29"/>
      <c r="M975" s="31"/>
    </row>
    <row r="976" spans="1:13">
      <c r="A976" s="28" t="str">
        <f t="shared" si="15"/>
        <v/>
      </c>
      <c r="B976" s="29"/>
      <c r="C976" s="29"/>
      <c r="D976" s="29"/>
      <c r="E976" s="29"/>
      <c r="F976" s="29"/>
      <c r="G976" s="30"/>
      <c r="H976" s="29"/>
      <c r="I976" s="29"/>
      <c r="J976" s="29"/>
      <c r="K976" s="29"/>
      <c r="L976" s="29"/>
      <c r="M976" s="31"/>
    </row>
    <row r="977" spans="1:13">
      <c r="A977" s="28" t="str">
        <f t="shared" si="15"/>
        <v/>
      </c>
      <c r="B977" s="29"/>
      <c r="C977" s="29"/>
      <c r="D977" s="29"/>
      <c r="E977" s="29"/>
      <c r="F977" s="29"/>
      <c r="G977" s="30"/>
      <c r="H977" s="29"/>
      <c r="I977" s="29"/>
      <c r="J977" s="29"/>
      <c r="K977" s="29"/>
      <c r="L977" s="29"/>
      <c r="M977" s="31"/>
    </row>
    <row r="978" spans="1:13">
      <c r="A978" s="28" t="str">
        <f t="shared" si="15"/>
        <v/>
      </c>
      <c r="B978" s="29"/>
      <c r="C978" s="29"/>
      <c r="D978" s="29"/>
      <c r="E978" s="29"/>
      <c r="F978" s="29"/>
      <c r="G978" s="30"/>
      <c r="H978" s="29"/>
      <c r="I978" s="29"/>
      <c r="J978" s="29"/>
      <c r="K978" s="29"/>
      <c r="L978" s="29"/>
      <c r="M978" s="31"/>
    </row>
    <row r="979" spans="1:13">
      <c r="A979" s="28" t="str">
        <f t="shared" si="15"/>
        <v/>
      </c>
      <c r="B979" s="29"/>
      <c r="C979" s="29"/>
      <c r="D979" s="29"/>
      <c r="E979" s="29"/>
      <c r="F979" s="29"/>
      <c r="G979" s="30"/>
      <c r="H979" s="29"/>
      <c r="I979" s="29"/>
      <c r="J979" s="29"/>
      <c r="K979" s="29"/>
      <c r="L979" s="29"/>
      <c r="M979" s="31"/>
    </row>
    <row r="980" spans="1:13">
      <c r="A980" s="28" t="str">
        <f t="shared" si="15"/>
        <v/>
      </c>
      <c r="B980" s="29"/>
      <c r="C980" s="29"/>
      <c r="D980" s="29"/>
      <c r="E980" s="29"/>
      <c r="F980" s="29"/>
      <c r="G980" s="30"/>
      <c r="H980" s="29"/>
      <c r="I980" s="29"/>
      <c r="J980" s="29"/>
      <c r="K980" s="29"/>
      <c r="L980" s="29"/>
      <c r="M980" s="31"/>
    </row>
    <row r="981" spans="1:13">
      <c r="A981" s="28" t="str">
        <f t="shared" ref="A981:A1044" si="16">IF(D981="","",ROW()-4)</f>
        <v/>
      </c>
      <c r="B981" s="29"/>
      <c r="C981" s="29"/>
      <c r="D981" s="29"/>
      <c r="E981" s="29"/>
      <c r="F981" s="29"/>
      <c r="G981" s="30"/>
      <c r="H981" s="29"/>
      <c r="I981" s="29"/>
      <c r="J981" s="29"/>
      <c r="K981" s="29"/>
      <c r="L981" s="29"/>
      <c r="M981" s="31"/>
    </row>
    <row r="982" spans="1:13">
      <c r="A982" s="28" t="str">
        <f t="shared" si="16"/>
        <v/>
      </c>
      <c r="B982" s="29"/>
      <c r="C982" s="29"/>
      <c r="D982" s="29"/>
      <c r="E982" s="29"/>
      <c r="F982" s="29"/>
      <c r="G982" s="30"/>
      <c r="H982" s="29"/>
      <c r="I982" s="29"/>
      <c r="J982" s="29"/>
      <c r="K982" s="29"/>
      <c r="L982" s="29"/>
      <c r="M982" s="31"/>
    </row>
    <row r="983" spans="1:13">
      <c r="A983" s="28" t="str">
        <f t="shared" si="16"/>
        <v/>
      </c>
      <c r="B983" s="29"/>
      <c r="C983" s="29"/>
      <c r="D983" s="29"/>
      <c r="E983" s="29"/>
      <c r="F983" s="29"/>
      <c r="G983" s="30"/>
      <c r="H983" s="29"/>
      <c r="I983" s="29"/>
      <c r="J983" s="29"/>
      <c r="K983" s="29"/>
      <c r="L983" s="29"/>
      <c r="M983" s="31"/>
    </row>
    <row r="984" spans="1:13">
      <c r="A984" s="28" t="str">
        <f t="shared" si="16"/>
        <v/>
      </c>
      <c r="B984" s="29"/>
      <c r="C984" s="29"/>
      <c r="D984" s="29"/>
      <c r="E984" s="29"/>
      <c r="F984" s="29"/>
      <c r="G984" s="30"/>
      <c r="H984" s="29"/>
      <c r="I984" s="29"/>
      <c r="J984" s="29"/>
      <c r="K984" s="29"/>
      <c r="L984" s="29"/>
      <c r="M984" s="31"/>
    </row>
    <row r="985" spans="1:13">
      <c r="A985" s="28" t="str">
        <f t="shared" si="16"/>
        <v/>
      </c>
      <c r="B985" s="29"/>
      <c r="C985" s="29"/>
      <c r="D985" s="29"/>
      <c r="E985" s="29"/>
      <c r="F985" s="29"/>
      <c r="G985" s="30"/>
      <c r="H985" s="29"/>
      <c r="I985" s="29"/>
      <c r="J985" s="29"/>
      <c r="K985" s="29"/>
      <c r="L985" s="29"/>
      <c r="M985" s="31"/>
    </row>
    <row r="986" spans="1:13">
      <c r="A986" s="28" t="str">
        <f t="shared" si="16"/>
        <v/>
      </c>
      <c r="B986" s="29"/>
      <c r="C986" s="29"/>
      <c r="D986" s="29"/>
      <c r="E986" s="29"/>
      <c r="F986" s="29"/>
      <c r="G986" s="30"/>
      <c r="H986" s="29"/>
      <c r="I986" s="29"/>
      <c r="J986" s="29"/>
      <c r="K986" s="29"/>
      <c r="L986" s="29"/>
      <c r="M986" s="31"/>
    </row>
    <row r="987" spans="1:13">
      <c r="A987" s="28" t="str">
        <f t="shared" si="16"/>
        <v/>
      </c>
      <c r="B987" s="29"/>
      <c r="C987" s="29"/>
      <c r="D987" s="29"/>
      <c r="E987" s="29"/>
      <c r="F987" s="29"/>
      <c r="G987" s="30"/>
      <c r="H987" s="29"/>
      <c r="I987" s="29"/>
      <c r="J987" s="29"/>
      <c r="K987" s="29"/>
      <c r="L987" s="29"/>
      <c r="M987" s="31"/>
    </row>
    <row r="988" spans="1:13">
      <c r="A988" s="28" t="str">
        <f t="shared" si="16"/>
        <v/>
      </c>
      <c r="B988" s="29"/>
      <c r="C988" s="29"/>
      <c r="D988" s="29"/>
      <c r="E988" s="29"/>
      <c r="F988" s="29"/>
      <c r="G988" s="30"/>
      <c r="H988" s="29"/>
      <c r="I988" s="29"/>
      <c r="J988" s="29"/>
      <c r="K988" s="29"/>
      <c r="L988" s="29"/>
      <c r="M988" s="31"/>
    </row>
    <row r="989" spans="1:13">
      <c r="A989" s="28" t="str">
        <f t="shared" si="16"/>
        <v/>
      </c>
      <c r="B989" s="29"/>
      <c r="C989" s="29"/>
      <c r="D989" s="29"/>
      <c r="E989" s="29"/>
      <c r="F989" s="29"/>
      <c r="G989" s="30"/>
      <c r="H989" s="29"/>
      <c r="I989" s="29"/>
      <c r="J989" s="29"/>
      <c r="K989" s="29"/>
      <c r="L989" s="29"/>
      <c r="M989" s="31"/>
    </row>
    <row r="990" spans="1:13">
      <c r="A990" s="28" t="str">
        <f t="shared" si="16"/>
        <v/>
      </c>
      <c r="B990" s="29"/>
      <c r="C990" s="29"/>
      <c r="D990" s="29"/>
      <c r="E990" s="29"/>
      <c r="F990" s="29"/>
      <c r="G990" s="30"/>
      <c r="H990" s="29"/>
      <c r="I990" s="29"/>
      <c r="J990" s="29"/>
      <c r="K990" s="29"/>
      <c r="L990" s="29"/>
      <c r="M990" s="31"/>
    </row>
    <row r="991" spans="1:13">
      <c r="A991" s="28" t="str">
        <f t="shared" si="16"/>
        <v/>
      </c>
      <c r="B991" s="29"/>
      <c r="C991" s="29"/>
      <c r="D991" s="29"/>
      <c r="E991" s="29"/>
      <c r="F991" s="29"/>
      <c r="G991" s="30"/>
      <c r="H991" s="29"/>
      <c r="I991" s="29"/>
      <c r="J991" s="29"/>
      <c r="K991" s="29"/>
      <c r="L991" s="29"/>
      <c r="M991" s="31"/>
    </row>
    <row r="992" spans="1:13">
      <c r="A992" s="28" t="str">
        <f t="shared" si="16"/>
        <v/>
      </c>
      <c r="B992" s="29"/>
      <c r="C992" s="29"/>
      <c r="D992" s="29"/>
      <c r="E992" s="29"/>
      <c r="F992" s="29"/>
      <c r="G992" s="30"/>
      <c r="H992" s="29"/>
      <c r="I992" s="29"/>
      <c r="J992" s="29"/>
      <c r="K992" s="29"/>
      <c r="L992" s="29"/>
      <c r="M992" s="31"/>
    </row>
    <row r="993" spans="1:13">
      <c r="A993" s="28" t="str">
        <f t="shared" si="16"/>
        <v/>
      </c>
      <c r="B993" s="29"/>
      <c r="C993" s="29"/>
      <c r="D993" s="29"/>
      <c r="E993" s="29"/>
      <c r="F993" s="29"/>
      <c r="G993" s="30"/>
      <c r="H993" s="29"/>
      <c r="I993" s="29"/>
      <c r="J993" s="29"/>
      <c r="K993" s="29"/>
      <c r="L993" s="29"/>
      <c r="M993" s="31"/>
    </row>
    <row r="994" spans="1:13">
      <c r="A994" s="28" t="str">
        <f t="shared" si="16"/>
        <v/>
      </c>
      <c r="B994" s="29"/>
      <c r="C994" s="29"/>
      <c r="D994" s="29"/>
      <c r="E994" s="29"/>
      <c r="F994" s="29"/>
      <c r="G994" s="30"/>
      <c r="H994" s="29"/>
      <c r="I994" s="29"/>
      <c r="J994" s="29"/>
      <c r="K994" s="29"/>
      <c r="L994" s="29"/>
      <c r="M994" s="31"/>
    </row>
    <row r="995" spans="1:13">
      <c r="A995" s="28" t="str">
        <f t="shared" si="16"/>
        <v/>
      </c>
      <c r="B995" s="29"/>
      <c r="C995" s="29"/>
      <c r="D995" s="29"/>
      <c r="E995" s="29"/>
      <c r="F995" s="29"/>
      <c r="G995" s="30"/>
      <c r="H995" s="29"/>
      <c r="I995" s="29"/>
      <c r="J995" s="29"/>
      <c r="K995" s="29"/>
      <c r="L995" s="29"/>
      <c r="M995" s="31"/>
    </row>
    <row r="996" spans="1:13">
      <c r="A996" s="28" t="str">
        <f t="shared" si="16"/>
        <v/>
      </c>
      <c r="B996" s="29"/>
      <c r="C996" s="29"/>
      <c r="D996" s="29"/>
      <c r="E996" s="29"/>
      <c r="F996" s="29"/>
      <c r="G996" s="30"/>
      <c r="H996" s="29"/>
      <c r="I996" s="29"/>
      <c r="J996" s="29"/>
      <c r="K996" s="29"/>
      <c r="L996" s="29"/>
      <c r="M996" s="31"/>
    </row>
    <row r="997" spans="1:13">
      <c r="A997" s="28" t="str">
        <f t="shared" si="16"/>
        <v/>
      </c>
      <c r="B997" s="29"/>
      <c r="C997" s="29"/>
      <c r="D997" s="29"/>
      <c r="E997" s="29"/>
      <c r="F997" s="29"/>
      <c r="G997" s="30"/>
      <c r="H997" s="29"/>
      <c r="I997" s="29"/>
      <c r="J997" s="29"/>
      <c r="K997" s="29"/>
      <c r="L997" s="29"/>
      <c r="M997" s="31"/>
    </row>
    <row r="998" spans="1:13">
      <c r="A998" s="28" t="str">
        <f t="shared" si="16"/>
        <v/>
      </c>
      <c r="B998" s="29"/>
      <c r="C998" s="29"/>
      <c r="D998" s="29"/>
      <c r="E998" s="29"/>
      <c r="F998" s="29"/>
      <c r="G998" s="30"/>
      <c r="H998" s="29"/>
      <c r="I998" s="29"/>
      <c r="J998" s="29"/>
      <c r="K998" s="29"/>
      <c r="L998" s="29"/>
      <c r="M998" s="31"/>
    </row>
    <row r="999" spans="1:13">
      <c r="A999" s="28" t="str">
        <f t="shared" si="16"/>
        <v/>
      </c>
      <c r="B999" s="29"/>
      <c r="C999" s="29"/>
      <c r="D999" s="29"/>
      <c r="E999" s="29"/>
      <c r="F999" s="29"/>
      <c r="G999" s="30"/>
      <c r="H999" s="29"/>
      <c r="I999" s="29"/>
      <c r="J999" s="29"/>
      <c r="K999" s="29"/>
      <c r="L999" s="29"/>
      <c r="M999" s="31"/>
    </row>
    <row r="1000" spans="1:13">
      <c r="A1000" s="28" t="str">
        <f t="shared" si="16"/>
        <v/>
      </c>
      <c r="B1000" s="29"/>
      <c r="C1000" s="29"/>
      <c r="D1000" s="29"/>
      <c r="E1000" s="29"/>
      <c r="F1000" s="29"/>
      <c r="G1000" s="30"/>
      <c r="H1000" s="29"/>
      <c r="I1000" s="29"/>
      <c r="J1000" s="29"/>
      <c r="K1000" s="29"/>
      <c r="L1000" s="29"/>
      <c r="M1000" s="31"/>
    </row>
    <row r="1001" spans="1:13">
      <c r="A1001" s="28" t="str">
        <f t="shared" si="16"/>
        <v/>
      </c>
      <c r="B1001" s="29"/>
      <c r="C1001" s="29"/>
      <c r="D1001" s="29"/>
      <c r="E1001" s="29"/>
      <c r="F1001" s="29"/>
      <c r="G1001" s="30"/>
      <c r="H1001" s="29"/>
      <c r="I1001" s="29"/>
      <c r="J1001" s="29"/>
      <c r="K1001" s="29"/>
      <c r="L1001" s="29"/>
      <c r="M1001" s="31"/>
    </row>
    <row r="1002" spans="1:13">
      <c r="A1002" s="28" t="str">
        <f t="shared" si="16"/>
        <v/>
      </c>
      <c r="B1002" s="29"/>
      <c r="C1002" s="29"/>
      <c r="D1002" s="29"/>
      <c r="E1002" s="29"/>
      <c r="F1002" s="29"/>
      <c r="G1002" s="30"/>
      <c r="H1002" s="29"/>
      <c r="I1002" s="29"/>
      <c r="J1002" s="29"/>
      <c r="K1002" s="29"/>
      <c r="L1002" s="29"/>
      <c r="M1002" s="31"/>
    </row>
    <row r="1003" spans="1:13">
      <c r="A1003" s="28" t="str">
        <f t="shared" si="16"/>
        <v/>
      </c>
      <c r="B1003" s="29"/>
      <c r="C1003" s="29"/>
      <c r="D1003" s="29"/>
      <c r="E1003" s="29"/>
      <c r="F1003" s="29"/>
      <c r="G1003" s="30"/>
      <c r="H1003" s="29"/>
      <c r="I1003" s="29"/>
      <c r="J1003" s="29"/>
      <c r="K1003" s="29"/>
      <c r="L1003" s="29"/>
      <c r="M1003" s="31"/>
    </row>
    <row r="1004" spans="1:13">
      <c r="A1004" s="28" t="str">
        <f t="shared" si="16"/>
        <v/>
      </c>
      <c r="B1004" s="29"/>
      <c r="C1004" s="29"/>
      <c r="D1004" s="29"/>
      <c r="E1004" s="29"/>
      <c r="F1004" s="29"/>
      <c r="G1004" s="30"/>
      <c r="H1004" s="29"/>
      <c r="I1004" s="29"/>
      <c r="J1004" s="29"/>
      <c r="K1004" s="29"/>
      <c r="L1004" s="29"/>
      <c r="M1004" s="31"/>
    </row>
    <row r="1005" spans="1:13">
      <c r="A1005" s="28" t="str">
        <f t="shared" si="16"/>
        <v/>
      </c>
      <c r="B1005" s="29"/>
      <c r="C1005" s="29"/>
      <c r="D1005" s="29"/>
      <c r="E1005" s="29"/>
      <c r="F1005" s="29"/>
      <c r="G1005" s="30"/>
      <c r="H1005" s="29"/>
      <c r="I1005" s="29"/>
      <c r="J1005" s="29"/>
      <c r="K1005" s="29"/>
      <c r="L1005" s="29"/>
      <c r="M1005" s="31"/>
    </row>
    <row r="1006" spans="1:13">
      <c r="A1006" s="28" t="str">
        <f t="shared" si="16"/>
        <v/>
      </c>
      <c r="B1006" s="29"/>
      <c r="C1006" s="29"/>
      <c r="D1006" s="29"/>
      <c r="E1006" s="29"/>
      <c r="F1006" s="29"/>
      <c r="G1006" s="30"/>
      <c r="H1006" s="29"/>
      <c r="I1006" s="29"/>
      <c r="J1006" s="29"/>
      <c r="K1006" s="29"/>
      <c r="L1006" s="29"/>
      <c r="M1006" s="31"/>
    </row>
    <row r="1007" spans="1:13">
      <c r="A1007" s="28" t="str">
        <f t="shared" si="16"/>
        <v/>
      </c>
      <c r="B1007" s="29"/>
      <c r="C1007" s="29"/>
      <c r="D1007" s="29"/>
      <c r="E1007" s="29"/>
      <c r="F1007" s="29"/>
      <c r="G1007" s="30"/>
      <c r="H1007" s="29"/>
      <c r="I1007" s="29"/>
      <c r="J1007" s="29"/>
      <c r="K1007" s="29"/>
      <c r="L1007" s="29"/>
      <c r="M1007" s="31"/>
    </row>
    <row r="1008" spans="1:13">
      <c r="A1008" s="28" t="str">
        <f t="shared" si="16"/>
        <v/>
      </c>
      <c r="B1008" s="29"/>
      <c r="C1008" s="29"/>
      <c r="D1008" s="29"/>
      <c r="E1008" s="29"/>
      <c r="F1008" s="29"/>
      <c r="G1008" s="30"/>
      <c r="H1008" s="29"/>
      <c r="I1008" s="29"/>
      <c r="J1008" s="29"/>
      <c r="K1008" s="29"/>
      <c r="L1008" s="29"/>
      <c r="M1008" s="31"/>
    </row>
    <row r="1009" spans="1:13">
      <c r="A1009" s="28" t="str">
        <f t="shared" si="16"/>
        <v/>
      </c>
      <c r="B1009" s="29"/>
      <c r="C1009" s="29"/>
      <c r="D1009" s="29"/>
      <c r="E1009" s="29"/>
      <c r="F1009" s="29"/>
      <c r="G1009" s="30"/>
      <c r="H1009" s="29"/>
      <c r="I1009" s="29"/>
      <c r="J1009" s="29"/>
      <c r="K1009" s="29"/>
      <c r="L1009" s="29"/>
      <c r="M1009" s="31"/>
    </row>
    <row r="1010" spans="1:13">
      <c r="A1010" s="28" t="str">
        <f t="shared" si="16"/>
        <v/>
      </c>
      <c r="B1010" s="29"/>
      <c r="C1010" s="29"/>
      <c r="D1010" s="29"/>
      <c r="E1010" s="29"/>
      <c r="F1010" s="29"/>
      <c r="G1010" s="30"/>
      <c r="H1010" s="29"/>
      <c r="I1010" s="29"/>
      <c r="J1010" s="29"/>
      <c r="K1010" s="29"/>
      <c r="L1010" s="29"/>
      <c r="M1010" s="31"/>
    </row>
    <row r="1011" spans="1:13">
      <c r="A1011" s="28" t="str">
        <f t="shared" si="16"/>
        <v/>
      </c>
      <c r="B1011" s="29"/>
      <c r="C1011" s="29"/>
      <c r="D1011" s="29"/>
      <c r="E1011" s="29"/>
      <c r="F1011" s="29"/>
      <c r="G1011" s="30"/>
      <c r="H1011" s="29"/>
      <c r="I1011" s="29"/>
      <c r="J1011" s="29"/>
      <c r="K1011" s="29"/>
      <c r="L1011" s="29"/>
      <c r="M1011" s="31"/>
    </row>
    <row r="1012" spans="1:13">
      <c r="A1012" s="28" t="str">
        <f t="shared" si="16"/>
        <v/>
      </c>
      <c r="B1012" s="29"/>
      <c r="C1012" s="29"/>
      <c r="D1012" s="29"/>
      <c r="E1012" s="29"/>
      <c r="F1012" s="29"/>
      <c r="G1012" s="30"/>
      <c r="H1012" s="29"/>
      <c r="I1012" s="29"/>
      <c r="J1012" s="29"/>
      <c r="K1012" s="29"/>
      <c r="L1012" s="29"/>
      <c r="M1012" s="31"/>
    </row>
    <row r="1013" spans="1:13">
      <c r="A1013" s="28" t="str">
        <f t="shared" si="16"/>
        <v/>
      </c>
      <c r="B1013" s="29"/>
      <c r="C1013" s="29"/>
      <c r="D1013" s="29"/>
      <c r="E1013" s="29"/>
      <c r="F1013" s="29"/>
      <c r="G1013" s="30"/>
      <c r="H1013" s="29"/>
      <c r="I1013" s="29"/>
      <c r="J1013" s="29"/>
      <c r="K1013" s="29"/>
      <c r="L1013" s="29"/>
      <c r="M1013" s="31"/>
    </row>
    <row r="1014" spans="1:13">
      <c r="A1014" s="28" t="str">
        <f t="shared" si="16"/>
        <v/>
      </c>
      <c r="B1014" s="29"/>
      <c r="C1014" s="29"/>
      <c r="D1014" s="29"/>
      <c r="E1014" s="29"/>
      <c r="F1014" s="29"/>
      <c r="G1014" s="30"/>
      <c r="H1014" s="29"/>
      <c r="I1014" s="29"/>
      <c r="J1014" s="29"/>
      <c r="K1014" s="29"/>
      <c r="L1014" s="29"/>
      <c r="M1014" s="31"/>
    </row>
    <row r="1015" spans="1:13">
      <c r="A1015" s="28" t="str">
        <f t="shared" si="16"/>
        <v/>
      </c>
      <c r="B1015" s="29"/>
      <c r="C1015" s="29"/>
      <c r="D1015" s="29"/>
      <c r="E1015" s="29"/>
      <c r="F1015" s="29"/>
      <c r="G1015" s="30"/>
      <c r="H1015" s="29"/>
      <c r="I1015" s="29"/>
      <c r="J1015" s="29"/>
      <c r="K1015" s="29"/>
      <c r="L1015" s="29"/>
      <c r="M1015" s="31"/>
    </row>
    <row r="1016" spans="1:13">
      <c r="A1016" s="28" t="str">
        <f t="shared" si="16"/>
        <v/>
      </c>
      <c r="B1016" s="29"/>
      <c r="C1016" s="29"/>
      <c r="D1016" s="29"/>
      <c r="E1016" s="29"/>
      <c r="F1016" s="29"/>
      <c r="G1016" s="30"/>
      <c r="H1016" s="29"/>
      <c r="I1016" s="29"/>
      <c r="J1016" s="29"/>
      <c r="K1016" s="29"/>
      <c r="L1016" s="29"/>
      <c r="M1016" s="31"/>
    </row>
    <row r="1017" spans="1:13">
      <c r="A1017" s="28" t="str">
        <f t="shared" si="16"/>
        <v/>
      </c>
      <c r="B1017" s="29"/>
      <c r="C1017" s="29"/>
      <c r="D1017" s="29"/>
      <c r="E1017" s="29"/>
      <c r="F1017" s="29"/>
      <c r="G1017" s="30"/>
      <c r="H1017" s="29"/>
      <c r="I1017" s="29"/>
      <c r="J1017" s="29"/>
      <c r="K1017" s="29"/>
      <c r="L1017" s="29"/>
      <c r="M1017" s="31"/>
    </row>
    <row r="1018" spans="1:13">
      <c r="A1018" s="28" t="str">
        <f t="shared" si="16"/>
        <v/>
      </c>
      <c r="B1018" s="29"/>
      <c r="C1018" s="29"/>
      <c r="D1018" s="29"/>
      <c r="E1018" s="29"/>
      <c r="F1018" s="29"/>
      <c r="G1018" s="30"/>
      <c r="H1018" s="29"/>
      <c r="I1018" s="29"/>
      <c r="J1018" s="29"/>
      <c r="K1018" s="29"/>
      <c r="L1018" s="29"/>
      <c r="M1018" s="31"/>
    </row>
    <row r="1019" spans="1:13">
      <c r="A1019" s="28" t="str">
        <f t="shared" si="16"/>
        <v/>
      </c>
      <c r="B1019" s="29"/>
      <c r="C1019" s="29"/>
      <c r="D1019" s="29"/>
      <c r="E1019" s="29"/>
      <c r="F1019" s="29"/>
      <c r="G1019" s="30"/>
      <c r="H1019" s="29"/>
      <c r="I1019" s="29"/>
      <c r="J1019" s="29"/>
      <c r="K1019" s="29"/>
      <c r="L1019" s="29"/>
      <c r="M1019" s="31"/>
    </row>
    <row r="1020" spans="1:13">
      <c r="A1020" s="28" t="str">
        <f t="shared" si="16"/>
        <v/>
      </c>
      <c r="B1020" s="29"/>
      <c r="C1020" s="29"/>
      <c r="D1020" s="29"/>
      <c r="E1020" s="29"/>
      <c r="F1020" s="29"/>
      <c r="G1020" s="30"/>
      <c r="H1020" s="29"/>
      <c r="I1020" s="29"/>
      <c r="J1020" s="29"/>
      <c r="K1020" s="29"/>
      <c r="L1020" s="29"/>
      <c r="M1020" s="31"/>
    </row>
    <row r="1021" spans="1:13">
      <c r="A1021" s="28" t="str">
        <f t="shared" si="16"/>
        <v/>
      </c>
      <c r="B1021" s="29"/>
      <c r="C1021" s="29"/>
      <c r="D1021" s="29"/>
      <c r="E1021" s="29"/>
      <c r="F1021" s="29"/>
      <c r="G1021" s="30"/>
      <c r="H1021" s="29"/>
      <c r="I1021" s="29"/>
      <c r="J1021" s="29"/>
      <c r="K1021" s="29"/>
      <c r="L1021" s="29"/>
      <c r="M1021" s="31"/>
    </row>
    <row r="1022" spans="1:13">
      <c r="A1022" s="28" t="str">
        <f t="shared" si="16"/>
        <v/>
      </c>
      <c r="B1022" s="29"/>
      <c r="C1022" s="29"/>
      <c r="D1022" s="29"/>
      <c r="E1022" s="29"/>
      <c r="F1022" s="29"/>
      <c r="G1022" s="30"/>
      <c r="H1022" s="29"/>
      <c r="I1022" s="29"/>
      <c r="J1022" s="29"/>
      <c r="K1022" s="29"/>
      <c r="L1022" s="29"/>
      <c r="M1022" s="31"/>
    </row>
    <row r="1023" spans="1:13">
      <c r="A1023" s="28" t="str">
        <f t="shared" si="16"/>
        <v/>
      </c>
      <c r="B1023" s="29"/>
      <c r="C1023" s="29"/>
      <c r="D1023" s="29"/>
      <c r="E1023" s="29"/>
      <c r="F1023" s="29"/>
      <c r="G1023" s="30"/>
      <c r="H1023" s="29"/>
      <c r="I1023" s="29"/>
      <c r="J1023" s="29"/>
      <c r="K1023" s="29"/>
      <c r="L1023" s="29"/>
      <c r="M1023" s="31"/>
    </row>
    <row r="1024" spans="1:13">
      <c r="A1024" s="28" t="str">
        <f t="shared" si="16"/>
        <v/>
      </c>
      <c r="B1024" s="29"/>
      <c r="C1024" s="29"/>
      <c r="D1024" s="29"/>
      <c r="E1024" s="29"/>
      <c r="F1024" s="29"/>
      <c r="G1024" s="30"/>
      <c r="H1024" s="29"/>
      <c r="I1024" s="29"/>
      <c r="J1024" s="29"/>
      <c r="K1024" s="29"/>
      <c r="L1024" s="29"/>
      <c r="M1024" s="31"/>
    </row>
    <row r="1025" spans="1:13">
      <c r="A1025" s="28" t="str">
        <f t="shared" si="16"/>
        <v/>
      </c>
      <c r="B1025" s="29"/>
      <c r="C1025" s="29"/>
      <c r="D1025" s="29"/>
      <c r="E1025" s="29"/>
      <c r="F1025" s="29"/>
      <c r="G1025" s="30"/>
      <c r="H1025" s="29"/>
      <c r="I1025" s="29"/>
      <c r="J1025" s="29"/>
      <c r="K1025" s="29"/>
      <c r="L1025" s="29"/>
      <c r="M1025" s="31"/>
    </row>
    <row r="1026" spans="1:13">
      <c r="A1026" s="28" t="str">
        <f t="shared" si="16"/>
        <v/>
      </c>
      <c r="B1026" s="29"/>
      <c r="C1026" s="29"/>
      <c r="D1026" s="29"/>
      <c r="E1026" s="29"/>
      <c r="F1026" s="29"/>
      <c r="G1026" s="30"/>
      <c r="H1026" s="29"/>
      <c r="I1026" s="29"/>
      <c r="J1026" s="29"/>
      <c r="K1026" s="29"/>
      <c r="L1026" s="29"/>
      <c r="M1026" s="31"/>
    </row>
    <row r="1027" spans="1:13">
      <c r="A1027" s="28" t="str">
        <f t="shared" si="16"/>
        <v/>
      </c>
      <c r="B1027" s="29"/>
      <c r="C1027" s="29"/>
      <c r="D1027" s="29"/>
      <c r="E1027" s="29"/>
      <c r="F1027" s="29"/>
      <c r="G1027" s="30"/>
      <c r="H1027" s="29"/>
      <c r="I1027" s="29"/>
      <c r="J1027" s="29"/>
      <c r="K1027" s="29"/>
      <c r="L1027" s="29"/>
      <c r="M1027" s="31"/>
    </row>
    <row r="1028" spans="1:13">
      <c r="A1028" s="28" t="str">
        <f t="shared" si="16"/>
        <v/>
      </c>
      <c r="B1028" s="29"/>
      <c r="C1028" s="29"/>
      <c r="D1028" s="29"/>
      <c r="E1028" s="29"/>
      <c r="F1028" s="29"/>
      <c r="G1028" s="30"/>
      <c r="H1028" s="29"/>
      <c r="I1028" s="29"/>
      <c r="J1028" s="29"/>
      <c r="K1028" s="29"/>
      <c r="L1028" s="29"/>
      <c r="M1028" s="31"/>
    </row>
    <row r="1029" spans="1:13">
      <c r="A1029" s="28" t="str">
        <f t="shared" si="16"/>
        <v/>
      </c>
      <c r="B1029" s="29"/>
      <c r="C1029" s="29"/>
      <c r="D1029" s="29"/>
      <c r="E1029" s="29"/>
      <c r="F1029" s="29"/>
      <c r="G1029" s="30"/>
      <c r="H1029" s="29"/>
      <c r="I1029" s="29"/>
      <c r="J1029" s="29"/>
      <c r="K1029" s="29"/>
      <c r="L1029" s="29"/>
      <c r="M1029" s="31"/>
    </row>
    <row r="1030" spans="1:13">
      <c r="A1030" s="28" t="str">
        <f t="shared" si="16"/>
        <v/>
      </c>
      <c r="B1030" s="29"/>
      <c r="C1030" s="29"/>
      <c r="D1030" s="29"/>
      <c r="E1030" s="29"/>
      <c r="F1030" s="29"/>
      <c r="G1030" s="30"/>
      <c r="H1030" s="29"/>
      <c r="I1030" s="29"/>
      <c r="J1030" s="29"/>
      <c r="K1030" s="29"/>
      <c r="L1030" s="29"/>
      <c r="M1030" s="31"/>
    </row>
    <row r="1031" spans="1:13">
      <c r="A1031" s="28" t="str">
        <f t="shared" si="16"/>
        <v/>
      </c>
      <c r="B1031" s="29"/>
      <c r="C1031" s="29"/>
      <c r="D1031" s="29"/>
      <c r="E1031" s="29"/>
      <c r="F1031" s="29"/>
      <c r="G1031" s="30"/>
      <c r="H1031" s="29"/>
      <c r="I1031" s="29"/>
      <c r="J1031" s="29"/>
      <c r="K1031" s="29"/>
      <c r="L1031" s="29"/>
      <c r="M1031" s="31"/>
    </row>
    <row r="1032" spans="1:13">
      <c r="A1032" s="28" t="str">
        <f t="shared" si="16"/>
        <v/>
      </c>
      <c r="B1032" s="29"/>
      <c r="C1032" s="29"/>
      <c r="D1032" s="29"/>
      <c r="E1032" s="29"/>
      <c r="F1032" s="29"/>
      <c r="G1032" s="30"/>
      <c r="H1032" s="29"/>
      <c r="I1032" s="29"/>
      <c r="J1032" s="29"/>
      <c r="K1032" s="29"/>
      <c r="L1032" s="29"/>
      <c r="M1032" s="31"/>
    </row>
    <row r="1033" spans="1:13">
      <c r="A1033" s="28" t="str">
        <f t="shared" si="16"/>
        <v/>
      </c>
      <c r="B1033" s="29"/>
      <c r="C1033" s="29"/>
      <c r="D1033" s="29"/>
      <c r="E1033" s="29"/>
      <c r="F1033" s="29"/>
      <c r="G1033" s="30"/>
      <c r="H1033" s="29"/>
      <c r="I1033" s="29"/>
      <c r="J1033" s="29"/>
      <c r="K1033" s="29"/>
      <c r="L1033" s="29"/>
      <c r="M1033" s="31"/>
    </row>
    <row r="1034" spans="1:13">
      <c r="A1034" s="28" t="str">
        <f t="shared" si="16"/>
        <v/>
      </c>
      <c r="B1034" s="29"/>
      <c r="C1034" s="29"/>
      <c r="D1034" s="29"/>
      <c r="E1034" s="29"/>
      <c r="F1034" s="29"/>
      <c r="G1034" s="30"/>
      <c r="H1034" s="29"/>
      <c r="I1034" s="29"/>
      <c r="J1034" s="29"/>
      <c r="K1034" s="29"/>
      <c r="L1034" s="29"/>
      <c r="M1034" s="31"/>
    </row>
    <row r="1035" spans="1:13">
      <c r="A1035" s="28" t="str">
        <f t="shared" si="16"/>
        <v/>
      </c>
      <c r="B1035" s="29"/>
      <c r="C1035" s="29"/>
      <c r="D1035" s="29"/>
      <c r="E1035" s="29"/>
      <c r="F1035" s="29"/>
      <c r="G1035" s="30"/>
      <c r="H1035" s="29"/>
      <c r="I1035" s="29"/>
      <c r="J1035" s="29"/>
      <c r="K1035" s="29"/>
      <c r="L1035" s="29"/>
      <c r="M1035" s="31"/>
    </row>
    <row r="1036" spans="1:13">
      <c r="A1036" s="28" t="str">
        <f t="shared" si="16"/>
        <v/>
      </c>
      <c r="B1036" s="29"/>
      <c r="C1036" s="29"/>
      <c r="D1036" s="29"/>
      <c r="E1036" s="29"/>
      <c r="F1036" s="29"/>
      <c r="G1036" s="30"/>
      <c r="H1036" s="29"/>
      <c r="I1036" s="29"/>
      <c r="J1036" s="29"/>
      <c r="K1036" s="29"/>
      <c r="L1036" s="29"/>
      <c r="M1036" s="31"/>
    </row>
    <row r="1037" spans="1:13">
      <c r="A1037" s="28" t="str">
        <f t="shared" si="16"/>
        <v/>
      </c>
      <c r="B1037" s="29"/>
      <c r="C1037" s="29"/>
      <c r="D1037" s="29"/>
      <c r="E1037" s="29"/>
      <c r="F1037" s="29"/>
      <c r="G1037" s="30"/>
      <c r="H1037" s="29"/>
      <c r="I1037" s="29"/>
      <c r="J1037" s="29"/>
      <c r="K1037" s="29"/>
      <c r="L1037" s="29"/>
      <c r="M1037" s="31"/>
    </row>
    <row r="1038" spans="1:13">
      <c r="A1038" s="28" t="str">
        <f t="shared" si="16"/>
        <v/>
      </c>
      <c r="B1038" s="29"/>
      <c r="C1038" s="29"/>
      <c r="D1038" s="29"/>
      <c r="E1038" s="29"/>
      <c r="F1038" s="29"/>
      <c r="G1038" s="30"/>
      <c r="H1038" s="29"/>
      <c r="I1038" s="29"/>
      <c r="J1038" s="29"/>
      <c r="K1038" s="29"/>
      <c r="L1038" s="29"/>
      <c r="M1038" s="31"/>
    </row>
    <row r="1039" spans="1:13">
      <c r="A1039" s="28" t="str">
        <f t="shared" si="16"/>
        <v/>
      </c>
      <c r="B1039" s="29"/>
      <c r="C1039" s="29"/>
      <c r="D1039" s="29"/>
      <c r="E1039" s="29"/>
      <c r="F1039" s="29"/>
      <c r="G1039" s="30"/>
      <c r="H1039" s="29"/>
      <c r="I1039" s="29"/>
      <c r="J1039" s="29"/>
      <c r="K1039" s="29"/>
      <c r="L1039" s="29"/>
      <c r="M1039" s="31"/>
    </row>
    <row r="1040" spans="1:13">
      <c r="A1040" s="28" t="str">
        <f t="shared" si="16"/>
        <v/>
      </c>
      <c r="B1040" s="29"/>
      <c r="C1040" s="29"/>
      <c r="D1040" s="29"/>
      <c r="E1040" s="29"/>
      <c r="F1040" s="29"/>
      <c r="G1040" s="30"/>
      <c r="H1040" s="29"/>
      <c r="I1040" s="29"/>
      <c r="J1040" s="29"/>
      <c r="K1040" s="29"/>
      <c r="L1040" s="29"/>
      <c r="M1040" s="31"/>
    </row>
    <row r="1041" spans="1:13">
      <c r="A1041" s="28" t="str">
        <f t="shared" si="16"/>
        <v/>
      </c>
      <c r="B1041" s="29"/>
      <c r="C1041" s="29"/>
      <c r="D1041" s="29"/>
      <c r="E1041" s="29"/>
      <c r="F1041" s="29"/>
      <c r="G1041" s="30"/>
      <c r="H1041" s="29"/>
      <c r="I1041" s="29"/>
      <c r="J1041" s="29"/>
      <c r="K1041" s="29"/>
      <c r="L1041" s="29"/>
      <c r="M1041" s="31"/>
    </row>
    <row r="1042" spans="1:13">
      <c r="A1042" s="28" t="str">
        <f t="shared" si="16"/>
        <v/>
      </c>
      <c r="B1042" s="29"/>
      <c r="C1042" s="29"/>
      <c r="D1042" s="29"/>
      <c r="E1042" s="29"/>
      <c r="F1042" s="29"/>
      <c r="G1042" s="30"/>
      <c r="H1042" s="29"/>
      <c r="I1042" s="29"/>
      <c r="J1042" s="29"/>
      <c r="K1042" s="29"/>
      <c r="L1042" s="29"/>
      <c r="M1042" s="31"/>
    </row>
    <row r="1043" spans="1:13">
      <c r="A1043" s="28" t="str">
        <f t="shared" si="16"/>
        <v/>
      </c>
      <c r="B1043" s="29"/>
      <c r="C1043" s="29"/>
      <c r="D1043" s="29"/>
      <c r="E1043" s="29"/>
      <c r="F1043" s="29"/>
      <c r="G1043" s="30"/>
      <c r="H1043" s="29"/>
      <c r="I1043" s="29"/>
      <c r="J1043" s="29"/>
      <c r="K1043" s="29"/>
      <c r="L1043" s="29"/>
      <c r="M1043" s="31"/>
    </row>
    <row r="1044" spans="1:13">
      <c r="A1044" s="28" t="str">
        <f t="shared" si="16"/>
        <v/>
      </c>
      <c r="B1044" s="29"/>
      <c r="C1044" s="29"/>
      <c r="D1044" s="29"/>
      <c r="E1044" s="29"/>
      <c r="F1044" s="29"/>
      <c r="G1044" s="30"/>
      <c r="H1044" s="29"/>
      <c r="I1044" s="29"/>
      <c r="J1044" s="29"/>
      <c r="K1044" s="29"/>
      <c r="L1044" s="29"/>
      <c r="M1044" s="31"/>
    </row>
    <row r="1045" spans="1:13">
      <c r="A1045" s="28" t="str">
        <f t="shared" ref="A1045:A1108" si="17">IF(D1045="","",ROW()-4)</f>
        <v/>
      </c>
      <c r="B1045" s="29"/>
      <c r="C1045" s="29"/>
      <c r="D1045" s="29"/>
      <c r="E1045" s="29"/>
      <c r="F1045" s="29"/>
      <c r="G1045" s="30"/>
      <c r="H1045" s="29"/>
      <c r="I1045" s="29"/>
      <c r="J1045" s="29"/>
      <c r="K1045" s="29"/>
      <c r="L1045" s="29"/>
      <c r="M1045" s="31"/>
    </row>
    <row r="1046" spans="1:13">
      <c r="A1046" s="28" t="str">
        <f t="shared" si="17"/>
        <v/>
      </c>
      <c r="B1046" s="29"/>
      <c r="C1046" s="29"/>
      <c r="D1046" s="29"/>
      <c r="E1046" s="29"/>
      <c r="F1046" s="29"/>
      <c r="G1046" s="30"/>
      <c r="H1046" s="29"/>
      <c r="I1046" s="29"/>
      <c r="J1046" s="29"/>
      <c r="K1046" s="29"/>
      <c r="L1046" s="29"/>
      <c r="M1046" s="31"/>
    </row>
    <row r="1047" spans="1:13">
      <c r="A1047" s="28" t="str">
        <f t="shared" si="17"/>
        <v/>
      </c>
      <c r="B1047" s="29"/>
      <c r="C1047" s="29"/>
      <c r="D1047" s="29"/>
      <c r="E1047" s="29"/>
      <c r="F1047" s="29"/>
      <c r="G1047" s="30"/>
      <c r="H1047" s="29"/>
      <c r="I1047" s="29"/>
      <c r="J1047" s="29"/>
      <c r="K1047" s="29"/>
      <c r="L1047" s="29"/>
      <c r="M1047" s="31"/>
    </row>
    <row r="1048" spans="1:13">
      <c r="A1048" s="28" t="str">
        <f t="shared" si="17"/>
        <v/>
      </c>
      <c r="B1048" s="29"/>
      <c r="C1048" s="29"/>
      <c r="D1048" s="29"/>
      <c r="E1048" s="29"/>
      <c r="F1048" s="29"/>
      <c r="G1048" s="30"/>
      <c r="H1048" s="29"/>
      <c r="I1048" s="29"/>
      <c r="J1048" s="29"/>
      <c r="K1048" s="29"/>
      <c r="L1048" s="29"/>
      <c r="M1048" s="31"/>
    </row>
    <row r="1049" spans="1:13">
      <c r="A1049" s="28" t="str">
        <f t="shared" si="17"/>
        <v/>
      </c>
      <c r="B1049" s="29"/>
      <c r="C1049" s="29"/>
      <c r="D1049" s="29"/>
      <c r="E1049" s="29"/>
      <c r="F1049" s="29"/>
      <c r="G1049" s="30"/>
      <c r="H1049" s="29"/>
      <c r="I1049" s="29"/>
      <c r="J1049" s="29"/>
      <c r="K1049" s="29"/>
      <c r="L1049" s="29"/>
      <c r="M1049" s="31"/>
    </row>
    <row r="1050" spans="1:13">
      <c r="A1050" s="28" t="str">
        <f t="shared" si="17"/>
        <v/>
      </c>
      <c r="B1050" s="29"/>
      <c r="C1050" s="29"/>
      <c r="D1050" s="29"/>
      <c r="E1050" s="29"/>
      <c r="F1050" s="29"/>
      <c r="G1050" s="30"/>
      <c r="H1050" s="29"/>
      <c r="I1050" s="29"/>
      <c r="J1050" s="29"/>
      <c r="K1050" s="29"/>
      <c r="L1050" s="29"/>
      <c r="M1050" s="31"/>
    </row>
    <row r="1051" spans="1:13">
      <c r="A1051" s="28" t="str">
        <f t="shared" si="17"/>
        <v/>
      </c>
      <c r="B1051" s="29"/>
      <c r="C1051" s="29"/>
      <c r="D1051" s="29"/>
      <c r="E1051" s="29"/>
      <c r="F1051" s="29"/>
      <c r="G1051" s="30"/>
      <c r="H1051" s="29"/>
      <c r="I1051" s="29"/>
      <c r="J1051" s="29"/>
      <c r="K1051" s="29"/>
      <c r="L1051" s="29"/>
      <c r="M1051" s="31"/>
    </row>
    <row r="1052" spans="1:13">
      <c r="A1052" s="28" t="str">
        <f t="shared" si="17"/>
        <v/>
      </c>
      <c r="B1052" s="29"/>
      <c r="C1052" s="29"/>
      <c r="D1052" s="29"/>
      <c r="E1052" s="29"/>
      <c r="F1052" s="29"/>
      <c r="G1052" s="30"/>
      <c r="H1052" s="29"/>
      <c r="I1052" s="29"/>
      <c r="J1052" s="29"/>
      <c r="K1052" s="29"/>
      <c r="L1052" s="29"/>
      <c r="M1052" s="31"/>
    </row>
    <row r="1053" spans="1:13">
      <c r="A1053" s="28" t="str">
        <f t="shared" si="17"/>
        <v/>
      </c>
      <c r="B1053" s="29"/>
      <c r="C1053" s="29"/>
      <c r="D1053" s="29"/>
      <c r="E1053" s="29"/>
      <c r="F1053" s="29"/>
      <c r="G1053" s="30"/>
      <c r="H1053" s="29"/>
      <c r="I1053" s="29"/>
      <c r="J1053" s="29"/>
      <c r="K1053" s="29"/>
      <c r="L1053" s="29"/>
      <c r="M1053" s="31"/>
    </row>
    <row r="1054" spans="1:13">
      <c r="A1054" s="28" t="str">
        <f t="shared" si="17"/>
        <v/>
      </c>
      <c r="B1054" s="29"/>
      <c r="C1054" s="29"/>
      <c r="D1054" s="29"/>
      <c r="E1054" s="29"/>
      <c r="F1054" s="29"/>
      <c r="G1054" s="30"/>
      <c r="H1054" s="29"/>
      <c r="I1054" s="29"/>
      <c r="J1054" s="29"/>
      <c r="K1054" s="29"/>
      <c r="L1054" s="29"/>
      <c r="M1054" s="31"/>
    </row>
    <row r="1055" spans="1:13">
      <c r="A1055" s="28" t="str">
        <f t="shared" si="17"/>
        <v/>
      </c>
      <c r="B1055" s="29"/>
      <c r="C1055" s="29"/>
      <c r="D1055" s="29"/>
      <c r="E1055" s="29"/>
      <c r="F1055" s="29"/>
      <c r="G1055" s="30"/>
      <c r="H1055" s="29"/>
      <c r="I1055" s="29"/>
      <c r="J1055" s="29"/>
      <c r="K1055" s="29"/>
      <c r="L1055" s="29"/>
      <c r="M1055" s="31"/>
    </row>
    <row r="1056" spans="1:13">
      <c r="A1056" s="28" t="str">
        <f t="shared" si="17"/>
        <v/>
      </c>
      <c r="B1056" s="29"/>
      <c r="C1056" s="29"/>
      <c r="D1056" s="29"/>
      <c r="E1056" s="29"/>
      <c r="F1056" s="29"/>
      <c r="G1056" s="30"/>
      <c r="H1056" s="29"/>
      <c r="I1056" s="29"/>
      <c r="J1056" s="29"/>
      <c r="K1056" s="29"/>
      <c r="L1056" s="29"/>
      <c r="M1056" s="31"/>
    </row>
    <row r="1057" spans="1:13">
      <c r="A1057" s="28" t="str">
        <f t="shared" si="17"/>
        <v/>
      </c>
      <c r="B1057" s="29"/>
      <c r="C1057" s="29"/>
      <c r="D1057" s="29"/>
      <c r="E1057" s="29"/>
      <c r="F1057" s="29"/>
      <c r="G1057" s="30"/>
      <c r="H1057" s="29"/>
      <c r="I1057" s="29"/>
      <c r="J1057" s="29"/>
      <c r="K1057" s="29"/>
      <c r="L1057" s="29"/>
      <c r="M1057" s="31"/>
    </row>
    <row r="1058" spans="1:13">
      <c r="A1058" s="28" t="str">
        <f t="shared" si="17"/>
        <v/>
      </c>
      <c r="B1058" s="29"/>
      <c r="C1058" s="29"/>
      <c r="D1058" s="29"/>
      <c r="E1058" s="29"/>
      <c r="F1058" s="29"/>
      <c r="G1058" s="30"/>
      <c r="H1058" s="29"/>
      <c r="I1058" s="29"/>
      <c r="J1058" s="29"/>
      <c r="K1058" s="29"/>
      <c r="L1058" s="29"/>
      <c r="M1058" s="31"/>
    </row>
    <row r="1059" spans="1:13">
      <c r="A1059" s="28" t="str">
        <f t="shared" si="17"/>
        <v/>
      </c>
      <c r="B1059" s="29"/>
      <c r="C1059" s="29"/>
      <c r="D1059" s="29"/>
      <c r="E1059" s="29"/>
      <c r="F1059" s="29"/>
      <c r="G1059" s="30"/>
      <c r="H1059" s="29"/>
      <c r="I1059" s="29"/>
      <c r="J1059" s="29"/>
      <c r="K1059" s="29"/>
      <c r="L1059" s="29"/>
      <c r="M1059" s="31"/>
    </row>
    <row r="1060" spans="1:13">
      <c r="A1060" s="28" t="str">
        <f t="shared" si="17"/>
        <v/>
      </c>
      <c r="B1060" s="29"/>
      <c r="C1060" s="29"/>
      <c r="D1060" s="29"/>
      <c r="E1060" s="29"/>
      <c r="F1060" s="29"/>
      <c r="G1060" s="30"/>
      <c r="H1060" s="29"/>
      <c r="I1060" s="29"/>
      <c r="J1060" s="29"/>
      <c r="K1060" s="29"/>
      <c r="L1060" s="29"/>
      <c r="M1060" s="31"/>
    </row>
    <row r="1061" spans="1:13">
      <c r="A1061" s="28" t="str">
        <f t="shared" si="17"/>
        <v/>
      </c>
      <c r="B1061" s="29"/>
      <c r="C1061" s="29"/>
      <c r="D1061" s="29"/>
      <c r="E1061" s="29"/>
      <c r="F1061" s="29"/>
      <c r="G1061" s="30"/>
      <c r="H1061" s="29"/>
      <c r="I1061" s="29"/>
      <c r="J1061" s="29"/>
      <c r="K1061" s="29"/>
      <c r="L1061" s="29"/>
      <c r="M1061" s="31"/>
    </row>
    <row r="1062" spans="1:13">
      <c r="A1062" s="28" t="str">
        <f t="shared" si="17"/>
        <v/>
      </c>
      <c r="B1062" s="29"/>
      <c r="C1062" s="29"/>
      <c r="D1062" s="29"/>
      <c r="E1062" s="29"/>
      <c r="F1062" s="29"/>
      <c r="G1062" s="30"/>
      <c r="H1062" s="29"/>
      <c r="I1062" s="29"/>
      <c r="J1062" s="29"/>
      <c r="K1062" s="29"/>
      <c r="L1062" s="29"/>
      <c r="M1062" s="31"/>
    </row>
    <row r="1063" spans="1:13">
      <c r="A1063" s="28" t="str">
        <f t="shared" si="17"/>
        <v/>
      </c>
      <c r="B1063" s="29"/>
      <c r="C1063" s="29"/>
      <c r="D1063" s="29"/>
      <c r="E1063" s="29"/>
      <c r="F1063" s="29"/>
      <c r="G1063" s="30"/>
      <c r="H1063" s="29"/>
      <c r="I1063" s="29"/>
      <c r="J1063" s="29"/>
      <c r="K1063" s="29"/>
      <c r="L1063" s="29"/>
      <c r="M1063" s="31"/>
    </row>
    <row r="1064" spans="1:13">
      <c r="A1064" s="28" t="str">
        <f t="shared" si="17"/>
        <v/>
      </c>
      <c r="B1064" s="29"/>
      <c r="C1064" s="29"/>
      <c r="D1064" s="29"/>
      <c r="E1064" s="29"/>
      <c r="F1064" s="29"/>
      <c r="G1064" s="30"/>
      <c r="H1064" s="29"/>
      <c r="I1064" s="29"/>
      <c r="J1064" s="29"/>
      <c r="K1064" s="29"/>
      <c r="L1064" s="29"/>
      <c r="M1064" s="31"/>
    </row>
    <row r="1065" spans="1:13">
      <c r="A1065" s="28" t="str">
        <f t="shared" si="17"/>
        <v/>
      </c>
      <c r="B1065" s="29"/>
      <c r="C1065" s="29"/>
      <c r="D1065" s="29"/>
      <c r="E1065" s="29"/>
      <c r="F1065" s="29"/>
      <c r="G1065" s="30"/>
      <c r="H1065" s="29"/>
      <c r="I1065" s="29"/>
      <c r="J1065" s="29"/>
      <c r="K1065" s="29"/>
      <c r="L1065" s="29"/>
      <c r="M1065" s="31"/>
    </row>
    <row r="1066" spans="1:13">
      <c r="A1066" s="28" t="str">
        <f t="shared" si="17"/>
        <v/>
      </c>
      <c r="B1066" s="29"/>
      <c r="C1066" s="29"/>
      <c r="D1066" s="29"/>
      <c r="E1066" s="29"/>
      <c r="F1066" s="29"/>
      <c r="G1066" s="30"/>
      <c r="H1066" s="29"/>
      <c r="I1066" s="29"/>
      <c r="J1066" s="29"/>
      <c r="K1066" s="29"/>
      <c r="L1066" s="29"/>
      <c r="M1066" s="31"/>
    </row>
    <row r="1067" spans="1:13">
      <c r="A1067" s="28" t="str">
        <f t="shared" si="17"/>
        <v/>
      </c>
      <c r="B1067" s="29"/>
      <c r="C1067" s="29"/>
      <c r="D1067" s="29"/>
      <c r="E1067" s="29"/>
      <c r="F1067" s="29"/>
      <c r="G1067" s="30"/>
      <c r="H1067" s="29"/>
      <c r="I1067" s="29"/>
      <c r="J1067" s="29"/>
      <c r="K1067" s="29"/>
      <c r="L1067" s="29"/>
      <c r="M1067" s="31"/>
    </row>
    <row r="1068" spans="1:13">
      <c r="A1068" s="28" t="str">
        <f t="shared" si="17"/>
        <v/>
      </c>
      <c r="B1068" s="29"/>
      <c r="C1068" s="29"/>
      <c r="D1068" s="29"/>
      <c r="E1068" s="29"/>
      <c r="F1068" s="29"/>
      <c r="G1068" s="30"/>
      <c r="H1068" s="29"/>
      <c r="I1068" s="29"/>
      <c r="J1068" s="29"/>
      <c r="K1068" s="29"/>
      <c r="L1068" s="29"/>
      <c r="M1068" s="31"/>
    </row>
    <row r="1069" spans="1:13">
      <c r="A1069" s="28" t="str">
        <f t="shared" si="17"/>
        <v/>
      </c>
      <c r="B1069" s="29"/>
      <c r="C1069" s="29"/>
      <c r="D1069" s="29"/>
      <c r="E1069" s="29"/>
      <c r="F1069" s="29"/>
      <c r="G1069" s="30"/>
      <c r="H1069" s="29"/>
      <c r="I1069" s="29"/>
      <c r="J1069" s="29"/>
      <c r="K1069" s="29"/>
      <c r="L1069" s="29"/>
      <c r="M1069" s="31"/>
    </row>
    <row r="1070" spans="1:13">
      <c r="A1070" s="28" t="str">
        <f t="shared" si="17"/>
        <v/>
      </c>
      <c r="B1070" s="29"/>
      <c r="C1070" s="29"/>
      <c r="D1070" s="29"/>
      <c r="E1070" s="29"/>
      <c r="F1070" s="29"/>
      <c r="G1070" s="30"/>
      <c r="H1070" s="29"/>
      <c r="I1070" s="29"/>
      <c r="J1070" s="29"/>
      <c r="K1070" s="29"/>
      <c r="L1070" s="29"/>
      <c r="M1070" s="31"/>
    </row>
    <row r="1071" spans="1:13">
      <c r="A1071" s="28" t="str">
        <f t="shared" si="17"/>
        <v/>
      </c>
      <c r="B1071" s="29"/>
      <c r="C1071" s="29"/>
      <c r="D1071" s="29"/>
      <c r="E1071" s="29"/>
      <c r="F1071" s="29"/>
      <c r="G1071" s="30"/>
      <c r="H1071" s="29"/>
      <c r="I1071" s="29"/>
      <c r="J1071" s="29"/>
      <c r="K1071" s="29"/>
      <c r="L1071" s="29"/>
      <c r="M1071" s="31"/>
    </row>
    <row r="1072" spans="1:13">
      <c r="A1072" s="28" t="str">
        <f t="shared" si="17"/>
        <v/>
      </c>
      <c r="B1072" s="29"/>
      <c r="C1072" s="29"/>
      <c r="D1072" s="29"/>
      <c r="E1072" s="29"/>
      <c r="F1072" s="29"/>
      <c r="G1072" s="30"/>
      <c r="H1072" s="29"/>
      <c r="I1072" s="29"/>
      <c r="J1072" s="29"/>
      <c r="K1072" s="29"/>
      <c r="L1072" s="29"/>
      <c r="M1072" s="31"/>
    </row>
    <row r="1073" spans="1:13">
      <c r="A1073" s="28" t="str">
        <f t="shared" si="17"/>
        <v/>
      </c>
      <c r="B1073" s="29"/>
      <c r="C1073" s="29"/>
      <c r="D1073" s="29"/>
      <c r="E1073" s="29"/>
      <c r="F1073" s="29"/>
      <c r="G1073" s="30"/>
      <c r="H1073" s="29"/>
      <c r="I1073" s="29"/>
      <c r="J1073" s="29"/>
      <c r="K1073" s="29"/>
      <c r="L1073" s="29"/>
      <c r="M1073" s="31"/>
    </row>
    <row r="1074" spans="1:13">
      <c r="A1074" s="28" t="str">
        <f t="shared" si="17"/>
        <v/>
      </c>
      <c r="B1074" s="29"/>
      <c r="C1074" s="29"/>
      <c r="D1074" s="29"/>
      <c r="E1074" s="29"/>
      <c r="F1074" s="29"/>
      <c r="G1074" s="30"/>
      <c r="H1074" s="29"/>
      <c r="I1074" s="29"/>
      <c r="J1074" s="29"/>
      <c r="K1074" s="29"/>
      <c r="L1074" s="29"/>
      <c r="M1074" s="31"/>
    </row>
    <row r="1075" spans="1:13">
      <c r="A1075" s="28" t="str">
        <f t="shared" si="17"/>
        <v/>
      </c>
      <c r="B1075" s="29"/>
      <c r="C1075" s="29"/>
      <c r="D1075" s="29"/>
      <c r="E1075" s="29"/>
      <c r="F1075" s="29"/>
      <c r="G1075" s="30"/>
      <c r="H1075" s="29"/>
      <c r="I1075" s="29"/>
      <c r="J1075" s="29"/>
      <c r="K1075" s="29"/>
      <c r="L1075" s="29"/>
      <c r="M1075" s="31"/>
    </row>
    <row r="1076" spans="1:13">
      <c r="A1076" s="28" t="str">
        <f t="shared" si="17"/>
        <v/>
      </c>
      <c r="B1076" s="29"/>
      <c r="C1076" s="29"/>
      <c r="D1076" s="29"/>
      <c r="E1076" s="29"/>
      <c r="F1076" s="29"/>
      <c r="G1076" s="30"/>
      <c r="H1076" s="29"/>
      <c r="I1076" s="29"/>
      <c r="J1076" s="29"/>
      <c r="K1076" s="29"/>
      <c r="L1076" s="29"/>
      <c r="M1076" s="31"/>
    </row>
    <row r="1077" spans="1:13">
      <c r="A1077" s="28" t="str">
        <f t="shared" si="17"/>
        <v/>
      </c>
      <c r="B1077" s="29"/>
      <c r="C1077" s="29"/>
      <c r="D1077" s="29"/>
      <c r="E1077" s="29"/>
      <c r="F1077" s="29"/>
      <c r="G1077" s="30"/>
      <c r="H1077" s="29"/>
      <c r="I1077" s="29"/>
      <c r="J1077" s="29"/>
      <c r="K1077" s="29"/>
      <c r="L1077" s="29"/>
      <c r="M1077" s="31"/>
    </row>
    <row r="1078" spans="1:13">
      <c r="A1078" s="28" t="str">
        <f t="shared" si="17"/>
        <v/>
      </c>
      <c r="B1078" s="29"/>
      <c r="C1078" s="29"/>
      <c r="D1078" s="29"/>
      <c r="E1078" s="29"/>
      <c r="F1078" s="29"/>
      <c r="G1078" s="30"/>
      <c r="H1078" s="29"/>
      <c r="I1078" s="29"/>
      <c r="J1078" s="29"/>
      <c r="K1078" s="29"/>
      <c r="L1078" s="29"/>
      <c r="M1078" s="31"/>
    </row>
    <row r="1079" spans="1:13">
      <c r="A1079" s="28" t="str">
        <f t="shared" si="17"/>
        <v/>
      </c>
      <c r="B1079" s="29"/>
      <c r="C1079" s="29"/>
      <c r="D1079" s="29"/>
      <c r="E1079" s="29"/>
      <c r="F1079" s="29"/>
      <c r="G1079" s="30"/>
      <c r="H1079" s="29"/>
      <c r="I1079" s="29"/>
      <c r="J1079" s="29"/>
      <c r="K1079" s="29"/>
      <c r="L1079" s="29"/>
      <c r="M1079" s="31"/>
    </row>
    <row r="1080" spans="1:13">
      <c r="A1080" s="28" t="str">
        <f t="shared" si="17"/>
        <v/>
      </c>
      <c r="B1080" s="29"/>
      <c r="C1080" s="29"/>
      <c r="D1080" s="29"/>
      <c r="E1080" s="29"/>
      <c r="F1080" s="29"/>
      <c r="G1080" s="30"/>
      <c r="H1080" s="29"/>
      <c r="I1080" s="29"/>
      <c r="J1080" s="29"/>
      <c r="K1080" s="29"/>
      <c r="L1080" s="29"/>
      <c r="M1080" s="31"/>
    </row>
    <row r="1081" spans="1:13">
      <c r="A1081" s="28" t="str">
        <f t="shared" si="17"/>
        <v/>
      </c>
      <c r="B1081" s="29"/>
      <c r="C1081" s="29"/>
      <c r="D1081" s="29"/>
      <c r="E1081" s="29"/>
      <c r="F1081" s="29"/>
      <c r="G1081" s="30"/>
      <c r="H1081" s="29"/>
      <c r="I1081" s="29"/>
      <c r="J1081" s="29"/>
      <c r="K1081" s="29"/>
      <c r="L1081" s="29"/>
      <c r="M1081" s="31"/>
    </row>
    <row r="1082" spans="1:13">
      <c r="A1082" s="28" t="str">
        <f t="shared" si="17"/>
        <v/>
      </c>
      <c r="B1082" s="29"/>
      <c r="C1082" s="29"/>
      <c r="D1082" s="29"/>
      <c r="E1082" s="29"/>
      <c r="F1082" s="29"/>
      <c r="G1082" s="30"/>
      <c r="H1082" s="29"/>
      <c r="I1082" s="29"/>
      <c r="J1082" s="29"/>
      <c r="K1082" s="29"/>
      <c r="L1082" s="29"/>
      <c r="M1082" s="31"/>
    </row>
    <row r="1083" spans="1:13">
      <c r="A1083" s="28" t="str">
        <f t="shared" si="17"/>
        <v/>
      </c>
      <c r="B1083" s="29"/>
      <c r="C1083" s="29"/>
      <c r="D1083" s="29"/>
      <c r="E1083" s="29"/>
      <c r="F1083" s="29"/>
      <c r="G1083" s="30"/>
      <c r="H1083" s="29"/>
      <c r="I1083" s="29"/>
      <c r="J1083" s="29"/>
      <c r="K1083" s="29"/>
      <c r="L1083" s="29"/>
      <c r="M1083" s="31"/>
    </row>
    <row r="1084" spans="1:13">
      <c r="A1084" s="28" t="str">
        <f t="shared" si="17"/>
        <v/>
      </c>
      <c r="B1084" s="29"/>
      <c r="C1084" s="29"/>
      <c r="D1084" s="29"/>
      <c r="E1084" s="29"/>
      <c r="F1084" s="29"/>
      <c r="G1084" s="30"/>
      <c r="H1084" s="29"/>
      <c r="I1084" s="29"/>
      <c r="J1084" s="29"/>
      <c r="K1084" s="29"/>
      <c r="L1084" s="29"/>
      <c r="M1084" s="31"/>
    </row>
    <row r="1085" spans="1:13">
      <c r="A1085" s="28" t="str">
        <f t="shared" si="17"/>
        <v/>
      </c>
      <c r="B1085" s="29"/>
      <c r="C1085" s="29"/>
      <c r="D1085" s="29"/>
      <c r="E1085" s="29"/>
      <c r="F1085" s="29"/>
      <c r="G1085" s="30"/>
      <c r="H1085" s="29"/>
      <c r="I1085" s="29"/>
      <c r="J1085" s="29"/>
      <c r="K1085" s="29"/>
      <c r="L1085" s="29"/>
      <c r="M1085" s="31"/>
    </row>
    <row r="1086" spans="1:13">
      <c r="A1086" s="28" t="str">
        <f t="shared" si="17"/>
        <v/>
      </c>
      <c r="B1086" s="29"/>
      <c r="C1086" s="29"/>
      <c r="D1086" s="29"/>
      <c r="E1086" s="29"/>
      <c r="F1086" s="29"/>
      <c r="G1086" s="30"/>
      <c r="H1086" s="29"/>
      <c r="I1086" s="29"/>
      <c r="J1086" s="29"/>
      <c r="K1086" s="29"/>
      <c r="L1086" s="29"/>
      <c r="M1086" s="31"/>
    </row>
    <row r="1087" spans="1:13">
      <c r="A1087" s="28" t="str">
        <f t="shared" si="17"/>
        <v/>
      </c>
      <c r="B1087" s="29"/>
      <c r="C1087" s="29"/>
      <c r="D1087" s="29"/>
      <c r="E1087" s="29"/>
      <c r="F1087" s="29"/>
      <c r="G1087" s="30"/>
      <c r="H1087" s="29"/>
      <c r="I1087" s="29"/>
      <c r="J1087" s="29"/>
      <c r="K1087" s="29"/>
      <c r="L1087" s="29"/>
      <c r="M1087" s="31"/>
    </row>
    <row r="1088" spans="1:13">
      <c r="A1088" s="28" t="str">
        <f t="shared" si="17"/>
        <v/>
      </c>
      <c r="B1088" s="29"/>
      <c r="C1088" s="29"/>
      <c r="D1088" s="29"/>
      <c r="E1088" s="29"/>
      <c r="F1088" s="29"/>
      <c r="G1088" s="30"/>
      <c r="H1088" s="29"/>
      <c r="I1088" s="29"/>
      <c r="J1088" s="29"/>
      <c r="K1088" s="29"/>
      <c r="L1088" s="29"/>
      <c r="M1088" s="31"/>
    </row>
    <row r="1089" spans="1:13">
      <c r="A1089" s="28" t="str">
        <f t="shared" si="17"/>
        <v/>
      </c>
      <c r="B1089" s="29"/>
      <c r="C1089" s="29"/>
      <c r="D1089" s="29"/>
      <c r="E1089" s="29"/>
      <c r="F1089" s="29"/>
      <c r="G1089" s="30"/>
      <c r="H1089" s="29"/>
      <c r="I1089" s="29"/>
      <c r="J1089" s="29"/>
      <c r="K1089" s="29"/>
      <c r="L1089" s="29"/>
      <c r="M1089" s="31"/>
    </row>
    <row r="1090" spans="1:13">
      <c r="A1090" s="28" t="str">
        <f t="shared" si="17"/>
        <v/>
      </c>
      <c r="B1090" s="29"/>
      <c r="C1090" s="29"/>
      <c r="D1090" s="29"/>
      <c r="E1090" s="29"/>
      <c r="F1090" s="29"/>
      <c r="G1090" s="30"/>
      <c r="H1090" s="29"/>
      <c r="I1090" s="29"/>
      <c r="J1090" s="29"/>
      <c r="K1090" s="29"/>
      <c r="L1090" s="29"/>
      <c r="M1090" s="31"/>
    </row>
    <row r="1091" spans="1:13">
      <c r="A1091" s="28" t="str">
        <f t="shared" si="17"/>
        <v/>
      </c>
      <c r="B1091" s="29"/>
      <c r="C1091" s="29"/>
      <c r="D1091" s="29"/>
      <c r="E1091" s="29"/>
      <c r="F1091" s="29"/>
      <c r="G1091" s="30"/>
      <c r="H1091" s="29"/>
      <c r="I1091" s="29"/>
      <c r="J1091" s="29"/>
      <c r="K1091" s="29"/>
      <c r="L1091" s="29"/>
      <c r="M1091" s="31"/>
    </row>
    <row r="1092" spans="1:13">
      <c r="A1092" s="28" t="str">
        <f t="shared" si="17"/>
        <v/>
      </c>
      <c r="B1092" s="29"/>
      <c r="C1092" s="29"/>
      <c r="D1092" s="29"/>
      <c r="E1092" s="29"/>
      <c r="F1092" s="29"/>
      <c r="G1092" s="30"/>
      <c r="H1092" s="29"/>
      <c r="I1092" s="29"/>
      <c r="J1092" s="29"/>
      <c r="K1092" s="29"/>
      <c r="L1092" s="29"/>
      <c r="M1092" s="31"/>
    </row>
    <row r="1093" spans="1:13">
      <c r="A1093" s="28" t="str">
        <f t="shared" si="17"/>
        <v/>
      </c>
      <c r="B1093" s="29"/>
      <c r="C1093" s="29"/>
      <c r="D1093" s="29"/>
      <c r="E1093" s="29"/>
      <c r="F1093" s="29"/>
      <c r="G1093" s="30"/>
      <c r="H1093" s="29"/>
      <c r="I1093" s="29"/>
      <c r="J1093" s="29"/>
      <c r="K1093" s="29"/>
      <c r="L1093" s="29"/>
      <c r="M1093" s="31"/>
    </row>
    <row r="1094" spans="1:13">
      <c r="A1094" s="28" t="str">
        <f t="shared" si="17"/>
        <v/>
      </c>
      <c r="B1094" s="29"/>
      <c r="C1094" s="29"/>
      <c r="D1094" s="29"/>
      <c r="E1094" s="29"/>
      <c r="F1094" s="29"/>
      <c r="G1094" s="30"/>
      <c r="H1094" s="29"/>
      <c r="I1094" s="29"/>
      <c r="J1094" s="29"/>
      <c r="K1094" s="29"/>
      <c r="L1094" s="29"/>
      <c r="M1094" s="31"/>
    </row>
    <row r="1095" spans="1:13">
      <c r="A1095" s="28" t="str">
        <f t="shared" si="17"/>
        <v/>
      </c>
      <c r="B1095" s="29"/>
      <c r="C1095" s="29"/>
      <c r="D1095" s="29"/>
      <c r="E1095" s="29"/>
      <c r="F1095" s="29"/>
      <c r="G1095" s="30"/>
      <c r="H1095" s="29"/>
      <c r="I1095" s="29"/>
      <c r="J1095" s="29"/>
      <c r="K1095" s="29"/>
      <c r="L1095" s="29"/>
      <c r="M1095" s="31"/>
    </row>
    <row r="1096" spans="1:13">
      <c r="A1096" s="28" t="str">
        <f t="shared" si="17"/>
        <v/>
      </c>
      <c r="B1096" s="29"/>
      <c r="C1096" s="29"/>
      <c r="D1096" s="29"/>
      <c r="E1096" s="29"/>
      <c r="F1096" s="29"/>
      <c r="G1096" s="30"/>
      <c r="H1096" s="29"/>
      <c r="I1096" s="29"/>
      <c r="J1096" s="29"/>
      <c r="K1096" s="29"/>
      <c r="L1096" s="29"/>
      <c r="M1096" s="31"/>
    </row>
    <row r="1097" spans="1:13">
      <c r="A1097" s="28" t="str">
        <f t="shared" si="17"/>
        <v/>
      </c>
      <c r="B1097" s="29"/>
      <c r="C1097" s="29"/>
      <c r="D1097" s="29"/>
      <c r="E1097" s="29"/>
      <c r="F1097" s="29"/>
      <c r="G1097" s="30"/>
      <c r="H1097" s="29"/>
      <c r="I1097" s="29"/>
      <c r="J1097" s="29"/>
      <c r="K1097" s="29"/>
      <c r="L1097" s="29"/>
      <c r="M1097" s="31"/>
    </row>
    <row r="1098" spans="1:13">
      <c r="A1098" s="28" t="str">
        <f t="shared" si="17"/>
        <v/>
      </c>
      <c r="B1098" s="29"/>
      <c r="C1098" s="29"/>
      <c r="D1098" s="29"/>
      <c r="E1098" s="29"/>
      <c r="F1098" s="29"/>
      <c r="G1098" s="30"/>
      <c r="H1098" s="29"/>
      <c r="I1098" s="29"/>
      <c r="J1098" s="29"/>
      <c r="K1098" s="29"/>
      <c r="L1098" s="29"/>
      <c r="M1098" s="31"/>
    </row>
    <row r="1099" spans="1:13">
      <c r="A1099" s="28" t="str">
        <f t="shared" si="17"/>
        <v/>
      </c>
      <c r="B1099" s="29"/>
      <c r="C1099" s="29"/>
      <c r="D1099" s="29"/>
      <c r="E1099" s="29"/>
      <c r="F1099" s="29"/>
      <c r="G1099" s="30"/>
      <c r="H1099" s="29"/>
      <c r="I1099" s="29"/>
      <c r="J1099" s="29"/>
      <c r="K1099" s="29"/>
      <c r="L1099" s="29"/>
      <c r="M1099" s="31"/>
    </row>
    <row r="1100" spans="1:13">
      <c r="A1100" s="28" t="str">
        <f t="shared" si="17"/>
        <v/>
      </c>
      <c r="B1100" s="29"/>
      <c r="C1100" s="29"/>
      <c r="D1100" s="29"/>
      <c r="E1100" s="29"/>
      <c r="F1100" s="29"/>
      <c r="G1100" s="30"/>
      <c r="H1100" s="29"/>
      <c r="I1100" s="29"/>
      <c r="J1100" s="29"/>
      <c r="K1100" s="29"/>
      <c r="L1100" s="29"/>
      <c r="M1100" s="31"/>
    </row>
    <row r="1101" spans="1:13">
      <c r="A1101" s="28" t="str">
        <f t="shared" si="17"/>
        <v/>
      </c>
      <c r="B1101" s="29"/>
      <c r="C1101" s="29"/>
      <c r="D1101" s="29"/>
      <c r="E1101" s="29"/>
      <c r="F1101" s="29"/>
      <c r="G1101" s="30"/>
      <c r="H1101" s="29"/>
      <c r="I1101" s="29"/>
      <c r="J1101" s="29"/>
      <c r="K1101" s="29"/>
      <c r="L1101" s="29"/>
      <c r="M1101" s="31"/>
    </row>
    <row r="1102" spans="1:13">
      <c r="A1102" s="28" t="str">
        <f t="shared" si="17"/>
        <v/>
      </c>
      <c r="B1102" s="29"/>
      <c r="C1102" s="29"/>
      <c r="D1102" s="29"/>
      <c r="E1102" s="29"/>
      <c r="F1102" s="29"/>
      <c r="G1102" s="30"/>
      <c r="H1102" s="29"/>
      <c r="I1102" s="29"/>
      <c r="J1102" s="29"/>
      <c r="K1102" s="29"/>
      <c r="L1102" s="29"/>
      <c r="M1102" s="31"/>
    </row>
    <row r="1103" spans="1:13">
      <c r="A1103" s="28" t="str">
        <f t="shared" si="17"/>
        <v/>
      </c>
      <c r="B1103" s="29"/>
      <c r="C1103" s="29"/>
      <c r="D1103" s="29"/>
      <c r="E1103" s="29"/>
      <c r="F1103" s="29"/>
      <c r="G1103" s="30"/>
      <c r="H1103" s="29"/>
      <c r="I1103" s="29"/>
      <c r="J1103" s="29"/>
      <c r="K1103" s="29"/>
      <c r="L1103" s="29"/>
      <c r="M1103" s="31"/>
    </row>
    <row r="1104" spans="1:13">
      <c r="A1104" s="28" t="str">
        <f t="shared" si="17"/>
        <v/>
      </c>
      <c r="B1104" s="29"/>
      <c r="C1104" s="29"/>
      <c r="D1104" s="29"/>
      <c r="E1104" s="29"/>
      <c r="F1104" s="29"/>
      <c r="G1104" s="30"/>
      <c r="H1104" s="29"/>
      <c r="I1104" s="29"/>
      <c r="J1104" s="29"/>
      <c r="K1104" s="29"/>
      <c r="L1104" s="29"/>
      <c r="M1104" s="31"/>
    </row>
    <row r="1105" spans="1:13">
      <c r="A1105" s="28" t="str">
        <f t="shared" si="17"/>
        <v/>
      </c>
      <c r="B1105" s="29"/>
      <c r="C1105" s="29"/>
      <c r="D1105" s="29"/>
      <c r="E1105" s="29"/>
      <c r="F1105" s="29"/>
      <c r="G1105" s="30"/>
      <c r="H1105" s="29"/>
      <c r="I1105" s="29"/>
      <c r="J1105" s="29"/>
      <c r="K1105" s="29"/>
      <c r="L1105" s="29"/>
      <c r="M1105" s="31"/>
    </row>
    <row r="1106" spans="1:13">
      <c r="A1106" s="28" t="str">
        <f t="shared" si="17"/>
        <v/>
      </c>
      <c r="B1106" s="29"/>
      <c r="C1106" s="29"/>
      <c r="D1106" s="29"/>
      <c r="E1106" s="29"/>
      <c r="F1106" s="29"/>
      <c r="G1106" s="30"/>
      <c r="H1106" s="29"/>
      <c r="I1106" s="29"/>
      <c r="J1106" s="29"/>
      <c r="K1106" s="29"/>
      <c r="L1106" s="29"/>
      <c r="M1106" s="31"/>
    </row>
    <row r="1107" spans="1:13">
      <c r="A1107" s="28" t="str">
        <f t="shared" si="17"/>
        <v/>
      </c>
      <c r="B1107" s="29"/>
      <c r="C1107" s="29"/>
      <c r="D1107" s="29"/>
      <c r="E1107" s="29"/>
      <c r="F1107" s="29"/>
      <c r="G1107" s="30"/>
      <c r="H1107" s="29"/>
      <c r="I1107" s="29"/>
      <c r="J1107" s="29"/>
      <c r="K1107" s="29"/>
      <c r="L1107" s="29"/>
      <c r="M1107" s="31"/>
    </row>
    <row r="1108" spans="1:13">
      <c r="A1108" s="28" t="str">
        <f t="shared" si="17"/>
        <v/>
      </c>
      <c r="B1108" s="29"/>
      <c r="C1108" s="29"/>
      <c r="D1108" s="29"/>
      <c r="E1108" s="29"/>
      <c r="F1108" s="29"/>
      <c r="G1108" s="30"/>
      <c r="H1108" s="29"/>
      <c r="I1108" s="29"/>
      <c r="J1108" s="29"/>
      <c r="K1108" s="29"/>
      <c r="L1108" s="29"/>
      <c r="M1108" s="31"/>
    </row>
    <row r="1109" spans="1:13">
      <c r="A1109" s="28" t="str">
        <f t="shared" ref="A1109:A1172" si="18">IF(D1109="","",ROW()-4)</f>
        <v/>
      </c>
      <c r="B1109" s="29"/>
      <c r="C1109" s="29"/>
      <c r="D1109" s="29"/>
      <c r="E1109" s="29"/>
      <c r="F1109" s="29"/>
      <c r="G1109" s="30"/>
      <c r="H1109" s="29"/>
      <c r="I1109" s="29"/>
      <c r="J1109" s="29"/>
      <c r="K1109" s="29"/>
      <c r="L1109" s="29"/>
      <c r="M1109" s="31"/>
    </row>
    <row r="1110" spans="1:13">
      <c r="A1110" s="28" t="str">
        <f t="shared" si="18"/>
        <v/>
      </c>
      <c r="B1110" s="29"/>
      <c r="C1110" s="29"/>
      <c r="D1110" s="29"/>
      <c r="E1110" s="29"/>
      <c r="F1110" s="29"/>
      <c r="G1110" s="30"/>
      <c r="H1110" s="29"/>
      <c r="I1110" s="29"/>
      <c r="J1110" s="29"/>
      <c r="K1110" s="29"/>
      <c r="L1110" s="29"/>
      <c r="M1110" s="31"/>
    </row>
    <row r="1111" spans="1:13">
      <c r="A1111" s="28" t="str">
        <f t="shared" si="18"/>
        <v/>
      </c>
      <c r="B1111" s="29"/>
      <c r="C1111" s="29"/>
      <c r="D1111" s="29"/>
      <c r="E1111" s="29"/>
      <c r="F1111" s="29"/>
      <c r="G1111" s="30"/>
      <c r="H1111" s="29"/>
      <c r="I1111" s="29"/>
      <c r="J1111" s="29"/>
      <c r="K1111" s="29"/>
      <c r="L1111" s="29"/>
      <c r="M1111" s="31"/>
    </row>
    <row r="1112" spans="1:13">
      <c r="A1112" s="28" t="str">
        <f t="shared" si="18"/>
        <v/>
      </c>
      <c r="B1112" s="29"/>
      <c r="C1112" s="29"/>
      <c r="D1112" s="29"/>
      <c r="E1112" s="29"/>
      <c r="F1112" s="29"/>
      <c r="G1112" s="30"/>
      <c r="H1112" s="29"/>
      <c r="I1112" s="29"/>
      <c r="J1112" s="29"/>
      <c r="K1112" s="29"/>
      <c r="L1112" s="29"/>
      <c r="M1112" s="31"/>
    </row>
    <row r="1113" spans="1:13">
      <c r="A1113" s="28" t="str">
        <f t="shared" si="18"/>
        <v/>
      </c>
      <c r="B1113" s="29"/>
      <c r="C1113" s="29"/>
      <c r="D1113" s="29"/>
      <c r="E1113" s="29"/>
      <c r="F1113" s="29"/>
      <c r="G1113" s="30"/>
      <c r="H1113" s="29"/>
      <c r="I1113" s="29"/>
      <c r="J1113" s="29"/>
      <c r="K1113" s="29"/>
      <c r="L1113" s="29"/>
      <c r="M1113" s="31"/>
    </row>
    <row r="1114" spans="1:13">
      <c r="A1114" s="28" t="str">
        <f t="shared" si="18"/>
        <v/>
      </c>
      <c r="B1114" s="29"/>
      <c r="C1114" s="29"/>
      <c r="D1114" s="29"/>
      <c r="E1114" s="29"/>
      <c r="F1114" s="29"/>
      <c r="G1114" s="30"/>
      <c r="H1114" s="29"/>
      <c r="I1114" s="29"/>
      <c r="J1114" s="29"/>
      <c r="K1114" s="29"/>
      <c r="L1114" s="29"/>
      <c r="M1114" s="31"/>
    </row>
    <row r="1115" spans="1:13">
      <c r="A1115" s="28" t="str">
        <f t="shared" si="18"/>
        <v/>
      </c>
      <c r="B1115" s="29"/>
      <c r="C1115" s="29"/>
      <c r="D1115" s="29"/>
      <c r="E1115" s="29"/>
      <c r="F1115" s="29"/>
      <c r="G1115" s="30"/>
      <c r="H1115" s="29"/>
      <c r="I1115" s="29"/>
      <c r="J1115" s="29"/>
      <c r="K1115" s="29"/>
      <c r="L1115" s="29"/>
      <c r="M1115" s="31"/>
    </row>
    <row r="1116" spans="1:13">
      <c r="A1116" s="28" t="str">
        <f t="shared" si="18"/>
        <v/>
      </c>
      <c r="B1116" s="29"/>
      <c r="C1116" s="29"/>
      <c r="D1116" s="29"/>
      <c r="E1116" s="29"/>
      <c r="F1116" s="29"/>
      <c r="G1116" s="30"/>
      <c r="H1116" s="29"/>
      <c r="I1116" s="29"/>
      <c r="J1116" s="29"/>
      <c r="K1116" s="29"/>
      <c r="L1116" s="29"/>
      <c r="M1116" s="31"/>
    </row>
    <row r="1117" spans="1:13">
      <c r="A1117" s="28" t="str">
        <f t="shared" si="18"/>
        <v/>
      </c>
      <c r="B1117" s="29"/>
      <c r="C1117" s="29"/>
      <c r="D1117" s="29"/>
      <c r="E1117" s="29"/>
      <c r="F1117" s="29"/>
      <c r="G1117" s="30"/>
      <c r="H1117" s="29"/>
      <c r="I1117" s="29"/>
      <c r="J1117" s="29"/>
      <c r="K1117" s="29"/>
      <c r="L1117" s="29"/>
      <c r="M1117" s="31"/>
    </row>
    <row r="1118" spans="1:13">
      <c r="A1118" s="28" t="str">
        <f t="shared" si="18"/>
        <v/>
      </c>
      <c r="B1118" s="29"/>
      <c r="C1118" s="29"/>
      <c r="D1118" s="29"/>
      <c r="E1118" s="29"/>
      <c r="F1118" s="29"/>
      <c r="G1118" s="30"/>
      <c r="H1118" s="29"/>
      <c r="I1118" s="29"/>
      <c r="J1118" s="29"/>
      <c r="K1118" s="29"/>
      <c r="L1118" s="29"/>
      <c r="M1118" s="31"/>
    </row>
    <row r="1119" spans="1:13">
      <c r="A1119" s="28" t="str">
        <f t="shared" si="18"/>
        <v/>
      </c>
      <c r="B1119" s="29"/>
      <c r="C1119" s="29"/>
      <c r="D1119" s="29"/>
      <c r="E1119" s="29"/>
      <c r="F1119" s="29"/>
      <c r="G1119" s="30"/>
      <c r="H1119" s="29"/>
      <c r="I1119" s="29"/>
      <c r="J1119" s="29"/>
      <c r="K1119" s="29"/>
      <c r="L1119" s="29"/>
      <c r="M1119" s="31"/>
    </row>
    <row r="1120" spans="1:13">
      <c r="A1120" s="28" t="str">
        <f t="shared" si="18"/>
        <v/>
      </c>
      <c r="B1120" s="29"/>
      <c r="C1120" s="29"/>
      <c r="D1120" s="29"/>
      <c r="E1120" s="29"/>
      <c r="F1120" s="29"/>
      <c r="G1120" s="30"/>
      <c r="H1120" s="29"/>
      <c r="I1120" s="29"/>
      <c r="J1120" s="29"/>
      <c r="K1120" s="29"/>
      <c r="L1120" s="29"/>
      <c r="M1120" s="31"/>
    </row>
    <row r="1121" spans="1:13">
      <c r="A1121" s="28" t="str">
        <f t="shared" si="18"/>
        <v/>
      </c>
      <c r="B1121" s="29"/>
      <c r="C1121" s="29"/>
      <c r="D1121" s="29"/>
      <c r="E1121" s="29"/>
      <c r="F1121" s="29"/>
      <c r="G1121" s="30"/>
      <c r="H1121" s="29"/>
      <c r="I1121" s="29"/>
      <c r="J1121" s="29"/>
      <c r="K1121" s="29"/>
      <c r="L1121" s="29"/>
      <c r="M1121" s="31"/>
    </row>
    <row r="1122" spans="1:13">
      <c r="A1122" s="28" t="str">
        <f t="shared" si="18"/>
        <v/>
      </c>
      <c r="B1122" s="29"/>
      <c r="C1122" s="29"/>
      <c r="D1122" s="29"/>
      <c r="E1122" s="29"/>
      <c r="F1122" s="29"/>
      <c r="G1122" s="30"/>
      <c r="H1122" s="29"/>
      <c r="I1122" s="29"/>
      <c r="J1122" s="29"/>
      <c r="K1122" s="29"/>
      <c r="L1122" s="29"/>
      <c r="M1122" s="31"/>
    </row>
    <row r="1123" spans="1:13">
      <c r="A1123" s="28" t="str">
        <f t="shared" si="18"/>
        <v/>
      </c>
      <c r="B1123" s="29"/>
      <c r="C1123" s="29"/>
      <c r="D1123" s="29"/>
      <c r="E1123" s="29"/>
      <c r="F1123" s="29"/>
      <c r="G1123" s="30"/>
      <c r="H1123" s="29"/>
      <c r="I1123" s="29"/>
      <c r="J1123" s="29"/>
      <c r="K1123" s="29"/>
      <c r="L1123" s="29"/>
      <c r="M1123" s="31"/>
    </row>
    <row r="1124" spans="1:13">
      <c r="A1124" s="28" t="str">
        <f t="shared" si="18"/>
        <v/>
      </c>
      <c r="B1124" s="29"/>
      <c r="C1124" s="29"/>
      <c r="D1124" s="29"/>
      <c r="E1124" s="29"/>
      <c r="F1124" s="29"/>
      <c r="G1124" s="30"/>
      <c r="H1124" s="29"/>
      <c r="I1124" s="29"/>
      <c r="J1124" s="29"/>
      <c r="K1124" s="29"/>
      <c r="L1124" s="29"/>
      <c r="M1124" s="31"/>
    </row>
    <row r="1125" spans="1:13">
      <c r="A1125" s="28" t="str">
        <f t="shared" si="18"/>
        <v/>
      </c>
      <c r="B1125" s="29"/>
      <c r="C1125" s="29"/>
      <c r="D1125" s="29"/>
      <c r="E1125" s="29"/>
      <c r="F1125" s="29"/>
      <c r="G1125" s="30"/>
      <c r="H1125" s="29"/>
      <c r="I1125" s="29"/>
      <c r="J1125" s="29"/>
      <c r="K1125" s="29"/>
      <c r="L1125" s="29"/>
      <c r="M1125" s="31"/>
    </row>
    <row r="1126" spans="1:13">
      <c r="A1126" s="28" t="str">
        <f t="shared" si="18"/>
        <v/>
      </c>
      <c r="B1126" s="29"/>
      <c r="C1126" s="29"/>
      <c r="D1126" s="29"/>
      <c r="E1126" s="29"/>
      <c r="F1126" s="29"/>
      <c r="G1126" s="30"/>
      <c r="H1126" s="29"/>
      <c r="I1126" s="29"/>
      <c r="J1126" s="29"/>
      <c r="K1126" s="29"/>
      <c r="L1126" s="29"/>
      <c r="M1126" s="31"/>
    </row>
    <row r="1127" spans="1:13">
      <c r="A1127" s="28" t="str">
        <f t="shared" si="18"/>
        <v/>
      </c>
      <c r="B1127" s="29"/>
      <c r="C1127" s="29"/>
      <c r="D1127" s="29"/>
      <c r="E1127" s="29"/>
      <c r="F1127" s="29"/>
      <c r="G1127" s="30"/>
      <c r="H1127" s="29"/>
      <c r="I1127" s="29"/>
      <c r="J1127" s="29"/>
      <c r="K1127" s="29"/>
      <c r="L1127" s="29"/>
      <c r="M1127" s="31"/>
    </row>
    <row r="1128" spans="1:13">
      <c r="A1128" s="28" t="str">
        <f t="shared" si="18"/>
        <v/>
      </c>
      <c r="B1128" s="29"/>
      <c r="C1128" s="29"/>
      <c r="D1128" s="29"/>
      <c r="E1128" s="29"/>
      <c r="F1128" s="29"/>
      <c r="G1128" s="30"/>
      <c r="H1128" s="29"/>
      <c r="I1128" s="29"/>
      <c r="J1128" s="29"/>
      <c r="K1128" s="29"/>
      <c r="L1128" s="29"/>
      <c r="M1128" s="31"/>
    </row>
    <row r="1129" spans="1:13">
      <c r="A1129" s="28" t="str">
        <f t="shared" si="18"/>
        <v/>
      </c>
      <c r="B1129" s="29"/>
      <c r="C1129" s="29"/>
      <c r="D1129" s="29"/>
      <c r="E1129" s="29"/>
      <c r="F1129" s="29"/>
      <c r="G1129" s="30"/>
      <c r="H1129" s="29"/>
      <c r="I1129" s="29"/>
      <c r="J1129" s="29"/>
      <c r="K1129" s="29"/>
      <c r="L1129" s="29"/>
      <c r="M1129" s="31"/>
    </row>
    <row r="1130" spans="1:13">
      <c r="A1130" s="28" t="str">
        <f t="shared" si="18"/>
        <v/>
      </c>
      <c r="B1130" s="29"/>
      <c r="C1130" s="29"/>
      <c r="D1130" s="29"/>
      <c r="E1130" s="29"/>
      <c r="F1130" s="29"/>
      <c r="G1130" s="30"/>
      <c r="H1130" s="29"/>
      <c r="I1130" s="29"/>
      <c r="J1130" s="29"/>
      <c r="K1130" s="29"/>
      <c r="L1130" s="29"/>
      <c r="M1130" s="31"/>
    </row>
    <row r="1131" spans="1:13">
      <c r="A1131" s="28" t="str">
        <f t="shared" si="18"/>
        <v/>
      </c>
      <c r="B1131" s="29"/>
      <c r="C1131" s="29"/>
      <c r="D1131" s="29"/>
      <c r="E1131" s="29"/>
      <c r="F1131" s="29"/>
      <c r="G1131" s="30"/>
      <c r="H1131" s="29"/>
      <c r="I1131" s="29"/>
      <c r="J1131" s="29"/>
      <c r="K1131" s="29"/>
      <c r="L1131" s="29"/>
      <c r="M1131" s="31"/>
    </row>
    <row r="1132" spans="1:13">
      <c r="A1132" s="28" t="str">
        <f t="shared" si="18"/>
        <v/>
      </c>
      <c r="B1132" s="29"/>
      <c r="C1132" s="29"/>
      <c r="D1132" s="29"/>
      <c r="E1132" s="29"/>
      <c r="F1132" s="29"/>
      <c r="G1132" s="30"/>
      <c r="H1132" s="29"/>
      <c r="I1132" s="29"/>
      <c r="J1132" s="29"/>
      <c r="K1132" s="29"/>
      <c r="L1132" s="29"/>
      <c r="M1132" s="31"/>
    </row>
    <row r="1133" spans="1:13">
      <c r="A1133" s="28" t="str">
        <f t="shared" si="18"/>
        <v/>
      </c>
      <c r="B1133" s="29"/>
      <c r="C1133" s="29"/>
      <c r="D1133" s="29"/>
      <c r="E1133" s="29"/>
      <c r="F1133" s="29"/>
      <c r="G1133" s="30"/>
      <c r="H1133" s="29"/>
      <c r="I1133" s="29"/>
      <c r="J1133" s="29"/>
      <c r="K1133" s="29"/>
      <c r="L1133" s="29"/>
      <c r="M1133" s="31"/>
    </row>
    <row r="1134" spans="1:13">
      <c r="A1134" s="28" t="str">
        <f t="shared" si="18"/>
        <v/>
      </c>
      <c r="B1134" s="29"/>
      <c r="C1134" s="29"/>
      <c r="D1134" s="29"/>
      <c r="E1134" s="29"/>
      <c r="F1134" s="29"/>
      <c r="G1134" s="30"/>
      <c r="H1134" s="29"/>
      <c r="I1134" s="29"/>
      <c r="J1134" s="29"/>
      <c r="K1134" s="29"/>
      <c r="L1134" s="29"/>
      <c r="M1134" s="31"/>
    </row>
    <row r="1135" spans="1:13">
      <c r="A1135" s="28" t="str">
        <f t="shared" si="18"/>
        <v/>
      </c>
      <c r="B1135" s="29"/>
      <c r="C1135" s="29"/>
      <c r="D1135" s="29"/>
      <c r="E1135" s="29"/>
      <c r="F1135" s="29"/>
      <c r="G1135" s="30"/>
      <c r="H1135" s="29"/>
      <c r="I1135" s="29"/>
      <c r="J1135" s="29"/>
      <c r="K1135" s="29"/>
      <c r="L1135" s="29"/>
      <c r="M1135" s="31"/>
    </row>
    <row r="1136" spans="1:13">
      <c r="A1136" s="28" t="str">
        <f t="shared" si="18"/>
        <v/>
      </c>
      <c r="B1136" s="29"/>
      <c r="C1136" s="29"/>
      <c r="D1136" s="29"/>
      <c r="E1136" s="29"/>
      <c r="F1136" s="29"/>
      <c r="G1136" s="30"/>
      <c r="H1136" s="29"/>
      <c r="I1136" s="29"/>
      <c r="J1136" s="29"/>
      <c r="K1136" s="29"/>
      <c r="L1136" s="29"/>
      <c r="M1136" s="31"/>
    </row>
    <row r="1137" spans="1:13">
      <c r="A1137" s="28" t="str">
        <f t="shared" si="18"/>
        <v/>
      </c>
      <c r="B1137" s="29"/>
      <c r="C1137" s="29"/>
      <c r="D1137" s="29"/>
      <c r="E1137" s="29"/>
      <c r="F1137" s="29"/>
      <c r="G1137" s="30"/>
      <c r="H1137" s="29"/>
      <c r="I1137" s="29"/>
      <c r="J1137" s="29"/>
      <c r="K1137" s="29"/>
      <c r="L1137" s="29"/>
      <c r="M1137" s="31"/>
    </row>
    <row r="1138" spans="1:13">
      <c r="A1138" s="28" t="str">
        <f t="shared" si="18"/>
        <v/>
      </c>
      <c r="B1138" s="29"/>
      <c r="C1138" s="29"/>
      <c r="D1138" s="29"/>
      <c r="E1138" s="29"/>
      <c r="F1138" s="29"/>
      <c r="G1138" s="30"/>
      <c r="H1138" s="29"/>
      <c r="I1138" s="29"/>
      <c r="J1138" s="29"/>
      <c r="K1138" s="29"/>
      <c r="L1138" s="29"/>
      <c r="M1138" s="31"/>
    </row>
    <row r="1139" spans="1:13">
      <c r="A1139" s="28" t="str">
        <f t="shared" si="18"/>
        <v/>
      </c>
      <c r="B1139" s="29"/>
      <c r="C1139" s="29"/>
      <c r="D1139" s="29"/>
      <c r="E1139" s="29"/>
      <c r="F1139" s="29"/>
      <c r="G1139" s="30"/>
      <c r="H1139" s="29"/>
      <c r="I1139" s="29"/>
      <c r="J1139" s="29"/>
      <c r="K1139" s="29"/>
      <c r="L1139" s="29"/>
      <c r="M1139" s="31"/>
    </row>
    <row r="1140" spans="1:13">
      <c r="A1140" s="28" t="str">
        <f t="shared" si="18"/>
        <v/>
      </c>
      <c r="B1140" s="29"/>
      <c r="C1140" s="29"/>
      <c r="D1140" s="29"/>
      <c r="E1140" s="29"/>
      <c r="F1140" s="29"/>
      <c r="G1140" s="30"/>
      <c r="H1140" s="29"/>
      <c r="I1140" s="29"/>
      <c r="J1140" s="29"/>
      <c r="K1140" s="29"/>
      <c r="L1140" s="29"/>
      <c r="M1140" s="31"/>
    </row>
    <row r="1141" spans="1:13">
      <c r="A1141" s="28" t="str">
        <f t="shared" si="18"/>
        <v/>
      </c>
      <c r="B1141" s="29"/>
      <c r="C1141" s="29"/>
      <c r="D1141" s="29"/>
      <c r="E1141" s="29"/>
      <c r="F1141" s="29"/>
      <c r="G1141" s="30"/>
      <c r="H1141" s="29"/>
      <c r="I1141" s="29"/>
      <c r="J1141" s="29"/>
      <c r="K1141" s="29"/>
      <c r="L1141" s="29"/>
      <c r="M1141" s="31"/>
    </row>
    <row r="1142" spans="1:13">
      <c r="A1142" s="28" t="str">
        <f t="shared" si="18"/>
        <v/>
      </c>
      <c r="B1142" s="29"/>
      <c r="C1142" s="29"/>
      <c r="D1142" s="29"/>
      <c r="E1142" s="29"/>
      <c r="F1142" s="29"/>
      <c r="G1142" s="30"/>
      <c r="H1142" s="29"/>
      <c r="I1142" s="29"/>
      <c r="J1142" s="29"/>
      <c r="K1142" s="29"/>
      <c r="L1142" s="29"/>
      <c r="M1142" s="31"/>
    </row>
    <row r="1143" spans="1:13">
      <c r="A1143" s="28" t="str">
        <f t="shared" si="18"/>
        <v/>
      </c>
      <c r="B1143" s="29"/>
      <c r="C1143" s="29"/>
      <c r="D1143" s="29"/>
      <c r="E1143" s="29"/>
      <c r="F1143" s="29"/>
      <c r="G1143" s="30"/>
      <c r="H1143" s="29"/>
      <c r="I1143" s="29"/>
      <c r="J1143" s="29"/>
      <c r="K1143" s="29"/>
      <c r="L1143" s="29"/>
      <c r="M1143" s="31"/>
    </row>
    <row r="1144" spans="1:13">
      <c r="A1144" s="28" t="str">
        <f t="shared" si="18"/>
        <v/>
      </c>
      <c r="B1144" s="29"/>
      <c r="C1144" s="29"/>
      <c r="D1144" s="29"/>
      <c r="E1144" s="29"/>
      <c r="F1144" s="29"/>
      <c r="G1144" s="30"/>
      <c r="H1144" s="29"/>
      <c r="I1144" s="29"/>
      <c r="J1144" s="29"/>
      <c r="K1144" s="29"/>
      <c r="L1144" s="29"/>
      <c r="M1144" s="31"/>
    </row>
    <row r="1145" spans="1:13">
      <c r="A1145" s="28" t="str">
        <f t="shared" si="18"/>
        <v/>
      </c>
      <c r="B1145" s="29"/>
      <c r="C1145" s="29"/>
      <c r="D1145" s="29"/>
      <c r="E1145" s="29"/>
      <c r="F1145" s="29"/>
      <c r="G1145" s="30"/>
      <c r="H1145" s="29"/>
      <c r="I1145" s="29"/>
      <c r="J1145" s="29"/>
      <c r="K1145" s="29"/>
      <c r="L1145" s="29"/>
      <c r="M1145" s="31"/>
    </row>
    <row r="1146" spans="1:13">
      <c r="A1146" s="28" t="str">
        <f t="shared" si="18"/>
        <v/>
      </c>
      <c r="B1146" s="29"/>
      <c r="C1146" s="29"/>
      <c r="D1146" s="29"/>
      <c r="E1146" s="29"/>
      <c r="F1146" s="29"/>
      <c r="G1146" s="30"/>
      <c r="H1146" s="29"/>
      <c r="I1146" s="29"/>
      <c r="J1146" s="29"/>
      <c r="K1146" s="29"/>
      <c r="L1146" s="29"/>
      <c r="M1146" s="31"/>
    </row>
    <row r="1147" spans="1:13">
      <c r="A1147" s="28" t="str">
        <f t="shared" si="18"/>
        <v/>
      </c>
      <c r="B1147" s="29"/>
      <c r="C1147" s="29"/>
      <c r="D1147" s="29"/>
      <c r="E1147" s="29"/>
      <c r="F1147" s="29"/>
      <c r="G1147" s="30"/>
      <c r="H1147" s="29"/>
      <c r="I1147" s="29"/>
      <c r="J1147" s="29"/>
      <c r="K1147" s="29"/>
      <c r="L1147" s="29"/>
      <c r="M1147" s="31"/>
    </row>
    <row r="1148" spans="1:13">
      <c r="A1148" s="28" t="str">
        <f t="shared" si="18"/>
        <v/>
      </c>
      <c r="B1148" s="29"/>
      <c r="C1148" s="29"/>
      <c r="D1148" s="29"/>
      <c r="E1148" s="29"/>
      <c r="F1148" s="29"/>
      <c r="G1148" s="30"/>
      <c r="H1148" s="29"/>
      <c r="I1148" s="29"/>
      <c r="J1148" s="29"/>
      <c r="K1148" s="29"/>
      <c r="L1148" s="29"/>
      <c r="M1148" s="31"/>
    </row>
    <row r="1149" spans="1:13">
      <c r="A1149" s="28" t="str">
        <f t="shared" si="18"/>
        <v/>
      </c>
      <c r="B1149" s="29"/>
      <c r="C1149" s="29"/>
      <c r="D1149" s="29"/>
      <c r="E1149" s="29"/>
      <c r="F1149" s="29"/>
      <c r="G1149" s="30"/>
      <c r="H1149" s="29"/>
      <c r="I1149" s="29"/>
      <c r="J1149" s="29"/>
      <c r="K1149" s="29"/>
      <c r="L1149" s="29"/>
      <c r="M1149" s="31"/>
    </row>
    <row r="1150" spans="1:13">
      <c r="A1150" s="28" t="str">
        <f t="shared" si="18"/>
        <v/>
      </c>
      <c r="B1150" s="29"/>
      <c r="C1150" s="29"/>
      <c r="D1150" s="29"/>
      <c r="E1150" s="29"/>
      <c r="F1150" s="29"/>
      <c r="G1150" s="30"/>
      <c r="H1150" s="29"/>
      <c r="I1150" s="29"/>
      <c r="J1150" s="29"/>
      <c r="K1150" s="29"/>
      <c r="L1150" s="29"/>
      <c r="M1150" s="31"/>
    </row>
    <row r="1151" spans="1:13">
      <c r="A1151" s="28" t="str">
        <f t="shared" si="18"/>
        <v/>
      </c>
      <c r="B1151" s="29"/>
      <c r="C1151" s="29"/>
      <c r="D1151" s="29"/>
      <c r="E1151" s="29"/>
      <c r="F1151" s="29"/>
      <c r="G1151" s="30"/>
      <c r="H1151" s="29"/>
      <c r="I1151" s="29"/>
      <c r="J1151" s="29"/>
      <c r="K1151" s="29"/>
      <c r="L1151" s="29"/>
      <c r="M1151" s="31"/>
    </row>
    <row r="1152" spans="1:13">
      <c r="A1152" s="28" t="str">
        <f t="shared" si="18"/>
        <v/>
      </c>
      <c r="B1152" s="29"/>
      <c r="C1152" s="29"/>
      <c r="D1152" s="29"/>
      <c r="E1152" s="29"/>
      <c r="F1152" s="29"/>
      <c r="G1152" s="30"/>
      <c r="H1152" s="29"/>
      <c r="I1152" s="29"/>
      <c r="J1152" s="29"/>
      <c r="K1152" s="29"/>
      <c r="L1152" s="29"/>
      <c r="M1152" s="31"/>
    </row>
    <row r="1153" spans="1:13">
      <c r="A1153" s="28" t="str">
        <f t="shared" si="18"/>
        <v/>
      </c>
      <c r="B1153" s="29"/>
      <c r="C1153" s="29"/>
      <c r="D1153" s="29"/>
      <c r="E1153" s="29"/>
      <c r="F1153" s="29"/>
      <c r="G1153" s="30"/>
      <c r="H1153" s="29"/>
      <c r="I1153" s="29"/>
      <c r="J1153" s="29"/>
      <c r="K1153" s="29"/>
      <c r="L1153" s="29"/>
      <c r="M1153" s="31"/>
    </row>
    <row r="1154" spans="1:13">
      <c r="A1154" s="28" t="str">
        <f t="shared" si="18"/>
        <v/>
      </c>
      <c r="B1154" s="29"/>
      <c r="C1154" s="29"/>
      <c r="D1154" s="29"/>
      <c r="E1154" s="29"/>
      <c r="F1154" s="29"/>
      <c r="G1154" s="30"/>
      <c r="H1154" s="29"/>
      <c r="I1154" s="29"/>
      <c r="J1154" s="29"/>
      <c r="K1154" s="29"/>
      <c r="L1154" s="29"/>
      <c r="M1154" s="31"/>
    </row>
    <row r="1155" spans="1:13">
      <c r="A1155" s="28" t="str">
        <f t="shared" si="18"/>
        <v/>
      </c>
      <c r="B1155" s="29"/>
      <c r="C1155" s="29"/>
      <c r="D1155" s="29"/>
      <c r="E1155" s="29"/>
      <c r="F1155" s="29"/>
      <c r="G1155" s="30"/>
      <c r="H1155" s="29"/>
      <c r="I1155" s="29"/>
      <c r="J1155" s="29"/>
      <c r="K1155" s="29"/>
      <c r="L1155" s="29"/>
      <c r="M1155" s="31"/>
    </row>
    <row r="1156" spans="1:13">
      <c r="A1156" s="28" t="str">
        <f t="shared" si="18"/>
        <v/>
      </c>
      <c r="B1156" s="29"/>
      <c r="C1156" s="29"/>
      <c r="D1156" s="29"/>
      <c r="E1156" s="29"/>
      <c r="F1156" s="29"/>
      <c r="G1156" s="30"/>
      <c r="H1156" s="29"/>
      <c r="I1156" s="29"/>
      <c r="J1156" s="29"/>
      <c r="K1156" s="29"/>
      <c r="L1156" s="29"/>
      <c r="M1156" s="31"/>
    </row>
    <row r="1157" spans="1:13">
      <c r="A1157" s="28" t="str">
        <f t="shared" si="18"/>
        <v/>
      </c>
      <c r="B1157" s="29"/>
      <c r="C1157" s="29"/>
      <c r="D1157" s="29"/>
      <c r="E1157" s="29"/>
      <c r="F1157" s="29"/>
      <c r="G1157" s="30"/>
      <c r="H1157" s="29"/>
      <c r="I1157" s="29"/>
      <c r="J1157" s="29"/>
      <c r="K1157" s="29"/>
      <c r="L1157" s="29"/>
      <c r="M1157" s="31"/>
    </row>
    <row r="1158" spans="1:13">
      <c r="A1158" s="28" t="str">
        <f t="shared" si="18"/>
        <v/>
      </c>
      <c r="B1158" s="29"/>
      <c r="C1158" s="29"/>
      <c r="D1158" s="29"/>
      <c r="E1158" s="29"/>
      <c r="F1158" s="29"/>
      <c r="G1158" s="30"/>
      <c r="H1158" s="29"/>
      <c r="I1158" s="29"/>
      <c r="J1158" s="29"/>
      <c r="K1158" s="29"/>
      <c r="L1158" s="29"/>
      <c r="M1158" s="31"/>
    </row>
    <row r="1159" spans="1:13">
      <c r="A1159" s="28" t="str">
        <f t="shared" si="18"/>
        <v/>
      </c>
      <c r="B1159" s="29"/>
      <c r="C1159" s="29"/>
      <c r="D1159" s="29"/>
      <c r="E1159" s="29"/>
      <c r="F1159" s="29"/>
      <c r="G1159" s="30"/>
      <c r="H1159" s="29"/>
      <c r="I1159" s="29"/>
      <c r="J1159" s="29"/>
      <c r="K1159" s="29"/>
      <c r="L1159" s="29"/>
      <c r="M1159" s="31"/>
    </row>
    <row r="1160" spans="1:13">
      <c r="A1160" s="28" t="str">
        <f t="shared" si="18"/>
        <v/>
      </c>
      <c r="B1160" s="29"/>
      <c r="C1160" s="29"/>
      <c r="D1160" s="29"/>
      <c r="E1160" s="29"/>
      <c r="F1160" s="29"/>
      <c r="G1160" s="30"/>
      <c r="H1160" s="29"/>
      <c r="I1160" s="29"/>
      <c r="J1160" s="29"/>
      <c r="K1160" s="29"/>
      <c r="L1160" s="29"/>
      <c r="M1160" s="31"/>
    </row>
    <row r="1161" spans="1:13">
      <c r="A1161" s="28" t="str">
        <f t="shared" si="18"/>
        <v/>
      </c>
      <c r="B1161" s="29"/>
      <c r="C1161" s="29"/>
      <c r="D1161" s="29"/>
      <c r="E1161" s="29"/>
      <c r="F1161" s="29"/>
      <c r="G1161" s="30"/>
      <c r="H1161" s="29"/>
      <c r="I1161" s="29"/>
      <c r="J1161" s="29"/>
      <c r="K1161" s="29"/>
      <c r="L1161" s="29"/>
      <c r="M1161" s="31"/>
    </row>
    <row r="1162" spans="1:13">
      <c r="A1162" s="28" t="str">
        <f t="shared" si="18"/>
        <v/>
      </c>
      <c r="B1162" s="29"/>
      <c r="C1162" s="29"/>
      <c r="D1162" s="29"/>
      <c r="E1162" s="29"/>
      <c r="F1162" s="29"/>
      <c r="G1162" s="30"/>
      <c r="H1162" s="29"/>
      <c r="I1162" s="29"/>
      <c r="J1162" s="29"/>
      <c r="K1162" s="29"/>
      <c r="L1162" s="29"/>
      <c r="M1162" s="31"/>
    </row>
    <row r="1163" spans="1:13">
      <c r="A1163" s="28" t="str">
        <f t="shared" si="18"/>
        <v/>
      </c>
      <c r="B1163" s="29"/>
      <c r="C1163" s="29"/>
      <c r="D1163" s="29"/>
      <c r="E1163" s="29"/>
      <c r="F1163" s="29"/>
      <c r="G1163" s="30"/>
      <c r="H1163" s="29"/>
      <c r="I1163" s="29"/>
      <c r="J1163" s="29"/>
      <c r="K1163" s="29"/>
      <c r="L1163" s="29"/>
      <c r="M1163" s="31"/>
    </row>
    <row r="1164" spans="1:13">
      <c r="A1164" s="28" t="str">
        <f t="shared" si="18"/>
        <v/>
      </c>
      <c r="B1164" s="29"/>
      <c r="C1164" s="29"/>
      <c r="D1164" s="29"/>
      <c r="E1164" s="29"/>
      <c r="F1164" s="29"/>
      <c r="G1164" s="30"/>
      <c r="H1164" s="29"/>
      <c r="I1164" s="29"/>
      <c r="J1164" s="29"/>
      <c r="K1164" s="29"/>
      <c r="L1164" s="29"/>
      <c r="M1164" s="31"/>
    </row>
    <row r="1165" spans="1:13">
      <c r="A1165" s="28" t="str">
        <f t="shared" si="18"/>
        <v/>
      </c>
      <c r="B1165" s="29"/>
      <c r="C1165" s="29"/>
      <c r="D1165" s="29"/>
      <c r="E1165" s="29"/>
      <c r="F1165" s="29"/>
      <c r="G1165" s="30"/>
      <c r="H1165" s="29"/>
      <c r="I1165" s="29"/>
      <c r="J1165" s="29"/>
      <c r="K1165" s="29"/>
      <c r="L1165" s="29"/>
      <c r="M1165" s="31"/>
    </row>
    <row r="1166" spans="1:13">
      <c r="A1166" s="28" t="str">
        <f t="shared" si="18"/>
        <v/>
      </c>
      <c r="B1166" s="29"/>
      <c r="C1166" s="29"/>
      <c r="D1166" s="29"/>
      <c r="E1166" s="29"/>
      <c r="F1166" s="29"/>
      <c r="G1166" s="30"/>
      <c r="H1166" s="29"/>
      <c r="I1166" s="29"/>
      <c r="J1166" s="29"/>
      <c r="K1166" s="29"/>
      <c r="L1166" s="29"/>
      <c r="M1166" s="31"/>
    </row>
    <row r="1167" spans="1:13">
      <c r="A1167" s="28" t="str">
        <f t="shared" si="18"/>
        <v/>
      </c>
      <c r="B1167" s="29"/>
      <c r="C1167" s="29"/>
      <c r="D1167" s="29"/>
      <c r="E1167" s="29"/>
      <c r="F1167" s="29"/>
      <c r="G1167" s="30"/>
      <c r="H1167" s="29"/>
      <c r="I1167" s="29"/>
      <c r="J1167" s="29"/>
      <c r="K1167" s="29"/>
      <c r="L1167" s="29"/>
      <c r="M1167" s="31"/>
    </row>
    <row r="1168" spans="1:13">
      <c r="A1168" s="28" t="str">
        <f t="shared" si="18"/>
        <v/>
      </c>
      <c r="B1168" s="29"/>
      <c r="C1168" s="29"/>
      <c r="D1168" s="29"/>
      <c r="E1168" s="29"/>
      <c r="F1168" s="29"/>
      <c r="G1168" s="30"/>
      <c r="H1168" s="29"/>
      <c r="I1168" s="29"/>
      <c r="J1168" s="29"/>
      <c r="K1168" s="29"/>
      <c r="L1168" s="29"/>
      <c r="M1168" s="31"/>
    </row>
    <row r="1169" spans="1:13">
      <c r="A1169" s="28" t="str">
        <f t="shared" si="18"/>
        <v/>
      </c>
      <c r="B1169" s="29"/>
      <c r="C1169" s="29"/>
      <c r="D1169" s="29"/>
      <c r="E1169" s="29"/>
      <c r="F1169" s="29"/>
      <c r="G1169" s="30"/>
      <c r="H1169" s="29"/>
      <c r="I1169" s="29"/>
      <c r="J1169" s="29"/>
      <c r="K1169" s="29"/>
      <c r="L1169" s="29"/>
      <c r="M1169" s="31"/>
    </row>
    <row r="1170" spans="1:13">
      <c r="A1170" s="28" t="str">
        <f t="shared" si="18"/>
        <v/>
      </c>
      <c r="B1170" s="29"/>
      <c r="C1170" s="29"/>
      <c r="D1170" s="29"/>
      <c r="E1170" s="29"/>
      <c r="F1170" s="29"/>
      <c r="G1170" s="30"/>
      <c r="H1170" s="29"/>
      <c r="I1170" s="29"/>
      <c r="J1170" s="29"/>
      <c r="K1170" s="29"/>
      <c r="L1170" s="29"/>
      <c r="M1170" s="31"/>
    </row>
    <row r="1171" spans="1:13">
      <c r="A1171" s="28" t="str">
        <f t="shared" si="18"/>
        <v/>
      </c>
      <c r="B1171" s="29"/>
      <c r="C1171" s="29"/>
      <c r="D1171" s="29"/>
      <c r="E1171" s="29"/>
      <c r="F1171" s="29"/>
      <c r="G1171" s="30"/>
      <c r="H1171" s="29"/>
      <c r="I1171" s="29"/>
      <c r="J1171" s="29"/>
      <c r="K1171" s="29"/>
      <c r="L1171" s="29"/>
      <c r="M1171" s="31"/>
    </row>
    <row r="1172" spans="1:13">
      <c r="A1172" s="28" t="str">
        <f t="shared" si="18"/>
        <v/>
      </c>
      <c r="B1172" s="29"/>
      <c r="C1172" s="29"/>
      <c r="D1172" s="29"/>
      <c r="E1172" s="29"/>
      <c r="F1172" s="29"/>
      <c r="G1172" s="30"/>
      <c r="H1172" s="29"/>
      <c r="I1172" s="29"/>
      <c r="J1172" s="29"/>
      <c r="K1172" s="29"/>
      <c r="L1172" s="29"/>
      <c r="M1172" s="31"/>
    </row>
    <row r="1173" spans="1:13">
      <c r="A1173" s="28" t="str">
        <f t="shared" ref="A1173:A1212" si="19">IF(D1173="","",ROW()-4)</f>
        <v/>
      </c>
      <c r="B1173" s="29"/>
      <c r="C1173" s="29"/>
      <c r="D1173" s="29"/>
      <c r="E1173" s="29"/>
      <c r="F1173" s="29"/>
      <c r="G1173" s="30"/>
      <c r="H1173" s="29"/>
      <c r="I1173" s="29"/>
      <c r="J1173" s="29"/>
      <c r="K1173" s="29"/>
      <c r="L1173" s="29"/>
      <c r="M1173" s="31"/>
    </row>
    <row r="1174" spans="1:13">
      <c r="A1174" s="28" t="str">
        <f t="shared" si="19"/>
        <v/>
      </c>
      <c r="B1174" s="29"/>
      <c r="C1174" s="29"/>
      <c r="D1174" s="29"/>
      <c r="E1174" s="29"/>
      <c r="F1174" s="29"/>
      <c r="G1174" s="30"/>
      <c r="H1174" s="29"/>
      <c r="I1174" s="29"/>
      <c r="J1174" s="29"/>
      <c r="K1174" s="29"/>
      <c r="L1174" s="29"/>
      <c r="M1174" s="31"/>
    </row>
    <row r="1175" spans="1:13">
      <c r="A1175" s="28" t="str">
        <f t="shared" si="19"/>
        <v/>
      </c>
      <c r="B1175" s="29"/>
      <c r="C1175" s="29"/>
      <c r="D1175" s="29"/>
      <c r="E1175" s="29"/>
      <c r="F1175" s="29"/>
      <c r="G1175" s="30"/>
      <c r="H1175" s="29"/>
      <c r="I1175" s="29"/>
      <c r="J1175" s="29"/>
      <c r="K1175" s="29"/>
      <c r="L1175" s="29"/>
      <c r="M1175" s="31"/>
    </row>
    <row r="1176" spans="1:13">
      <c r="A1176" s="28" t="str">
        <f t="shared" si="19"/>
        <v/>
      </c>
      <c r="B1176" s="29"/>
      <c r="C1176" s="29"/>
      <c r="D1176" s="29"/>
      <c r="E1176" s="29"/>
      <c r="F1176" s="29"/>
      <c r="G1176" s="30"/>
      <c r="H1176" s="29"/>
      <c r="I1176" s="29"/>
      <c r="J1176" s="29"/>
      <c r="K1176" s="29"/>
      <c r="L1176" s="29"/>
      <c r="M1176" s="31"/>
    </row>
    <row r="1177" spans="1:13">
      <c r="A1177" s="28" t="str">
        <f t="shared" si="19"/>
        <v/>
      </c>
      <c r="B1177" s="29"/>
      <c r="C1177" s="29"/>
      <c r="D1177" s="29"/>
      <c r="E1177" s="29"/>
      <c r="F1177" s="29"/>
      <c r="G1177" s="30"/>
      <c r="H1177" s="29"/>
      <c r="I1177" s="29"/>
      <c r="J1177" s="29"/>
      <c r="K1177" s="29"/>
      <c r="L1177" s="29"/>
      <c r="M1177" s="31"/>
    </row>
    <row r="1178" spans="1:13">
      <c r="A1178" s="28" t="str">
        <f t="shared" si="19"/>
        <v/>
      </c>
      <c r="B1178" s="29"/>
      <c r="C1178" s="29"/>
      <c r="D1178" s="29"/>
      <c r="E1178" s="29"/>
      <c r="F1178" s="29"/>
      <c r="G1178" s="30"/>
      <c r="H1178" s="29"/>
      <c r="I1178" s="29"/>
      <c r="J1178" s="29"/>
      <c r="K1178" s="29"/>
      <c r="L1178" s="29"/>
      <c r="M1178" s="31"/>
    </row>
    <row r="1179" spans="1:13">
      <c r="A1179" s="28" t="str">
        <f t="shared" si="19"/>
        <v/>
      </c>
      <c r="B1179" s="29"/>
      <c r="C1179" s="29"/>
      <c r="D1179" s="29"/>
      <c r="E1179" s="29"/>
      <c r="F1179" s="29"/>
      <c r="G1179" s="30"/>
      <c r="H1179" s="29"/>
      <c r="I1179" s="29"/>
      <c r="J1179" s="29"/>
      <c r="K1179" s="29"/>
      <c r="L1179" s="29"/>
      <c r="M1179" s="31"/>
    </row>
    <row r="1180" spans="1:13">
      <c r="A1180" s="28" t="str">
        <f t="shared" si="19"/>
        <v/>
      </c>
      <c r="B1180" s="29"/>
      <c r="C1180" s="29"/>
      <c r="D1180" s="29"/>
      <c r="E1180" s="29"/>
      <c r="F1180" s="29"/>
      <c r="G1180" s="30"/>
      <c r="H1180" s="29"/>
      <c r="I1180" s="29"/>
      <c r="J1180" s="29"/>
      <c r="K1180" s="29"/>
      <c r="L1180" s="29"/>
      <c r="M1180" s="31"/>
    </row>
    <row r="1181" spans="1:13">
      <c r="A1181" s="28" t="str">
        <f t="shared" si="19"/>
        <v/>
      </c>
      <c r="B1181" s="29"/>
      <c r="C1181" s="29"/>
      <c r="D1181" s="29"/>
      <c r="E1181" s="29"/>
      <c r="F1181" s="29"/>
      <c r="G1181" s="30"/>
      <c r="H1181" s="29"/>
      <c r="I1181" s="29"/>
      <c r="J1181" s="29"/>
      <c r="K1181" s="29"/>
      <c r="L1181" s="29"/>
      <c r="M1181" s="31"/>
    </row>
    <row r="1182" spans="1:13">
      <c r="A1182" s="28" t="str">
        <f t="shared" si="19"/>
        <v/>
      </c>
      <c r="B1182" s="29"/>
      <c r="C1182" s="29"/>
      <c r="D1182" s="29"/>
      <c r="E1182" s="29"/>
      <c r="F1182" s="29"/>
      <c r="G1182" s="30"/>
      <c r="H1182" s="29"/>
      <c r="I1182" s="29"/>
      <c r="J1182" s="29"/>
      <c r="K1182" s="29"/>
      <c r="L1182" s="29"/>
      <c r="M1182" s="31"/>
    </row>
    <row r="1183" spans="1:13">
      <c r="A1183" s="28" t="str">
        <f t="shared" si="19"/>
        <v/>
      </c>
      <c r="B1183" s="29"/>
      <c r="C1183" s="29"/>
      <c r="D1183" s="29"/>
      <c r="E1183" s="29"/>
      <c r="F1183" s="29"/>
      <c r="G1183" s="30"/>
      <c r="H1183" s="29"/>
      <c r="I1183" s="29"/>
      <c r="J1183" s="29"/>
      <c r="K1183" s="29"/>
      <c r="L1183" s="29"/>
      <c r="M1183" s="31"/>
    </row>
    <row r="1184" spans="1:13">
      <c r="A1184" s="28" t="str">
        <f t="shared" si="19"/>
        <v/>
      </c>
      <c r="B1184" s="29"/>
      <c r="C1184" s="29"/>
      <c r="D1184" s="29"/>
      <c r="E1184" s="29"/>
      <c r="F1184" s="29"/>
      <c r="G1184" s="30"/>
      <c r="H1184" s="29"/>
      <c r="I1184" s="29"/>
      <c r="J1184" s="29"/>
      <c r="K1184" s="29"/>
      <c r="L1184" s="29"/>
      <c r="M1184" s="31"/>
    </row>
    <row r="1185" spans="1:13">
      <c r="A1185" s="28" t="str">
        <f t="shared" si="19"/>
        <v/>
      </c>
      <c r="B1185" s="29"/>
      <c r="C1185" s="29"/>
      <c r="D1185" s="29"/>
      <c r="E1185" s="29"/>
      <c r="F1185" s="29"/>
      <c r="G1185" s="30"/>
      <c r="H1185" s="29"/>
      <c r="I1185" s="29"/>
      <c r="J1185" s="29"/>
      <c r="K1185" s="29"/>
      <c r="L1185" s="29"/>
      <c r="M1185" s="31"/>
    </row>
    <row r="1186" spans="1:13">
      <c r="A1186" s="28" t="str">
        <f t="shared" si="19"/>
        <v/>
      </c>
      <c r="B1186" s="29"/>
      <c r="C1186" s="29"/>
      <c r="D1186" s="29"/>
      <c r="E1186" s="29"/>
      <c r="F1186" s="29"/>
      <c r="G1186" s="30"/>
      <c r="H1186" s="29"/>
      <c r="I1186" s="29"/>
      <c r="J1186" s="29"/>
      <c r="K1186" s="29"/>
      <c r="L1186" s="29"/>
      <c r="M1186" s="31"/>
    </row>
    <row r="1187" spans="1:13">
      <c r="A1187" s="28" t="str">
        <f t="shared" si="19"/>
        <v/>
      </c>
      <c r="B1187" s="29"/>
      <c r="C1187" s="29"/>
      <c r="D1187" s="29"/>
      <c r="E1187" s="29"/>
      <c r="F1187" s="29"/>
      <c r="G1187" s="30"/>
      <c r="H1187" s="29"/>
      <c r="I1187" s="29"/>
      <c r="J1187" s="29"/>
      <c r="K1187" s="29"/>
      <c r="L1187" s="29"/>
      <c r="M1187" s="31"/>
    </row>
    <row r="1188" spans="1:13">
      <c r="A1188" s="28" t="str">
        <f t="shared" si="19"/>
        <v/>
      </c>
      <c r="B1188" s="29"/>
      <c r="C1188" s="29"/>
      <c r="D1188" s="29"/>
      <c r="E1188" s="29"/>
      <c r="F1188" s="29"/>
      <c r="G1188" s="30"/>
      <c r="H1188" s="29"/>
      <c r="I1188" s="29"/>
      <c r="J1188" s="29"/>
      <c r="K1188" s="29"/>
      <c r="L1188" s="29"/>
      <c r="M1188" s="31"/>
    </row>
    <row r="1189" spans="1:13">
      <c r="A1189" s="28" t="str">
        <f t="shared" si="19"/>
        <v/>
      </c>
      <c r="B1189" s="29"/>
      <c r="C1189" s="29"/>
      <c r="D1189" s="29"/>
      <c r="E1189" s="29"/>
      <c r="F1189" s="29"/>
      <c r="G1189" s="30"/>
      <c r="H1189" s="29"/>
      <c r="I1189" s="29"/>
      <c r="J1189" s="29"/>
      <c r="K1189" s="29"/>
      <c r="L1189" s="29"/>
      <c r="M1189" s="31"/>
    </row>
    <row r="1190" spans="1:13">
      <c r="A1190" s="28" t="str">
        <f t="shared" si="19"/>
        <v/>
      </c>
      <c r="B1190" s="29"/>
      <c r="C1190" s="29"/>
      <c r="D1190" s="29"/>
      <c r="E1190" s="29"/>
      <c r="F1190" s="29"/>
      <c r="G1190" s="30"/>
      <c r="H1190" s="29"/>
      <c r="I1190" s="29"/>
      <c r="J1190" s="29"/>
      <c r="K1190" s="29"/>
      <c r="L1190" s="29"/>
      <c r="M1190" s="31"/>
    </row>
    <row r="1191" spans="1:13">
      <c r="A1191" s="28" t="str">
        <f t="shared" si="19"/>
        <v/>
      </c>
      <c r="B1191" s="29"/>
      <c r="C1191" s="29"/>
      <c r="D1191" s="29"/>
      <c r="E1191" s="29"/>
      <c r="F1191" s="29"/>
      <c r="G1191" s="30"/>
      <c r="H1191" s="29"/>
      <c r="I1191" s="29"/>
      <c r="J1191" s="29"/>
      <c r="K1191" s="29"/>
      <c r="L1191" s="29"/>
      <c r="M1191" s="31"/>
    </row>
    <row r="1192" spans="1:13">
      <c r="A1192" s="28" t="str">
        <f t="shared" si="19"/>
        <v/>
      </c>
      <c r="B1192" s="29"/>
      <c r="C1192" s="29"/>
      <c r="D1192" s="29"/>
      <c r="E1192" s="29"/>
      <c r="F1192" s="29"/>
      <c r="G1192" s="30"/>
      <c r="H1192" s="29"/>
      <c r="I1192" s="29"/>
      <c r="J1192" s="29"/>
      <c r="K1192" s="29"/>
      <c r="L1192" s="29"/>
      <c r="M1192" s="31"/>
    </row>
    <row r="1193" spans="1:13">
      <c r="A1193" s="28" t="str">
        <f t="shared" si="19"/>
        <v/>
      </c>
      <c r="B1193" s="29"/>
      <c r="C1193" s="29"/>
      <c r="D1193" s="29"/>
      <c r="E1193" s="29"/>
      <c r="F1193" s="29"/>
      <c r="G1193" s="30"/>
      <c r="H1193" s="29"/>
      <c r="I1193" s="29"/>
      <c r="J1193" s="29"/>
      <c r="K1193" s="29"/>
      <c r="L1193" s="29"/>
      <c r="M1193" s="31"/>
    </row>
    <row r="1194" spans="1:13">
      <c r="A1194" s="28" t="str">
        <f t="shared" si="19"/>
        <v/>
      </c>
      <c r="B1194" s="29"/>
      <c r="C1194" s="29"/>
      <c r="D1194" s="29"/>
      <c r="E1194" s="29"/>
      <c r="F1194" s="29"/>
      <c r="G1194" s="30"/>
      <c r="H1194" s="29"/>
      <c r="I1194" s="29"/>
      <c r="J1194" s="29"/>
      <c r="K1194" s="29"/>
      <c r="L1194" s="29"/>
      <c r="M1194" s="31"/>
    </row>
    <row r="1195" spans="1:13">
      <c r="A1195" s="28" t="str">
        <f t="shared" si="19"/>
        <v/>
      </c>
      <c r="B1195" s="29"/>
      <c r="C1195" s="29"/>
      <c r="D1195" s="29"/>
      <c r="E1195" s="29"/>
      <c r="F1195" s="29"/>
      <c r="G1195" s="30"/>
      <c r="H1195" s="29"/>
      <c r="I1195" s="29"/>
      <c r="J1195" s="29"/>
      <c r="K1195" s="29"/>
      <c r="L1195" s="29"/>
      <c r="M1195" s="31"/>
    </row>
    <row r="1196" spans="1:13">
      <c r="A1196" s="28" t="str">
        <f t="shared" si="19"/>
        <v/>
      </c>
      <c r="B1196" s="29"/>
      <c r="C1196" s="29"/>
      <c r="D1196" s="29"/>
      <c r="E1196" s="29"/>
      <c r="F1196" s="29"/>
      <c r="G1196" s="30"/>
      <c r="H1196" s="29"/>
      <c r="I1196" s="29"/>
      <c r="J1196" s="29"/>
      <c r="K1196" s="29"/>
      <c r="L1196" s="29"/>
      <c r="M1196" s="31"/>
    </row>
    <row r="1197" spans="1:13">
      <c r="A1197" s="28" t="str">
        <f t="shared" si="19"/>
        <v/>
      </c>
      <c r="B1197" s="29"/>
      <c r="C1197" s="29"/>
      <c r="D1197" s="29"/>
      <c r="E1197" s="29"/>
      <c r="F1197" s="29"/>
      <c r="G1197" s="30"/>
      <c r="H1197" s="29"/>
      <c r="I1197" s="29"/>
      <c r="J1197" s="29"/>
      <c r="K1197" s="29"/>
      <c r="L1197" s="29"/>
      <c r="M1197" s="31"/>
    </row>
    <row r="1198" spans="1:13">
      <c r="A1198" s="28" t="str">
        <f t="shared" si="19"/>
        <v/>
      </c>
      <c r="B1198" s="29"/>
      <c r="C1198" s="29"/>
      <c r="D1198" s="29"/>
      <c r="E1198" s="29"/>
      <c r="F1198" s="29"/>
      <c r="G1198" s="30"/>
      <c r="H1198" s="29"/>
      <c r="I1198" s="29"/>
      <c r="J1198" s="29"/>
      <c r="K1198" s="29"/>
      <c r="L1198" s="29"/>
      <c r="M1198" s="31"/>
    </row>
    <row r="1199" spans="1:13">
      <c r="A1199" s="28" t="str">
        <f t="shared" si="19"/>
        <v/>
      </c>
      <c r="B1199" s="29"/>
      <c r="C1199" s="29"/>
      <c r="D1199" s="29"/>
      <c r="E1199" s="29"/>
      <c r="F1199" s="29"/>
      <c r="G1199" s="30"/>
      <c r="H1199" s="29"/>
      <c r="I1199" s="29"/>
      <c r="J1199" s="29"/>
      <c r="K1199" s="29"/>
      <c r="L1199" s="29"/>
      <c r="M1199" s="31"/>
    </row>
    <row r="1200" spans="1:13">
      <c r="A1200" s="28" t="str">
        <f t="shared" si="19"/>
        <v/>
      </c>
      <c r="B1200" s="29"/>
      <c r="C1200" s="29"/>
      <c r="D1200" s="29"/>
      <c r="E1200" s="29"/>
      <c r="F1200" s="29"/>
      <c r="G1200" s="30"/>
      <c r="H1200" s="29"/>
      <c r="I1200" s="29"/>
      <c r="J1200" s="29"/>
      <c r="K1200" s="29"/>
      <c r="L1200" s="29"/>
      <c r="M1200" s="31"/>
    </row>
    <row r="1201" spans="1:13">
      <c r="A1201" s="28" t="str">
        <f t="shared" si="19"/>
        <v/>
      </c>
      <c r="B1201" s="29"/>
      <c r="C1201" s="29"/>
      <c r="D1201" s="29"/>
      <c r="E1201" s="29"/>
      <c r="F1201" s="29"/>
      <c r="G1201" s="30"/>
      <c r="H1201" s="29"/>
      <c r="I1201" s="29"/>
      <c r="J1201" s="29"/>
      <c r="K1201" s="29"/>
      <c r="L1201" s="29"/>
      <c r="M1201" s="31"/>
    </row>
    <row r="1202" spans="1:13">
      <c r="A1202" s="28" t="str">
        <f t="shared" si="19"/>
        <v/>
      </c>
      <c r="B1202" s="29"/>
      <c r="C1202" s="29"/>
      <c r="D1202" s="29"/>
      <c r="E1202" s="29"/>
      <c r="F1202" s="29"/>
      <c r="G1202" s="30"/>
      <c r="H1202" s="29"/>
      <c r="I1202" s="29"/>
      <c r="J1202" s="29"/>
      <c r="K1202" s="29"/>
      <c r="L1202" s="29"/>
      <c r="M1202" s="31"/>
    </row>
    <row r="1203" spans="1:13">
      <c r="A1203" s="28" t="str">
        <f t="shared" si="19"/>
        <v/>
      </c>
      <c r="B1203" s="29"/>
      <c r="C1203" s="29"/>
      <c r="D1203" s="29"/>
      <c r="E1203" s="29"/>
      <c r="F1203" s="29"/>
      <c r="G1203" s="30"/>
      <c r="H1203" s="29"/>
      <c r="I1203" s="29"/>
      <c r="J1203" s="29"/>
      <c r="K1203" s="29"/>
      <c r="L1203" s="29"/>
      <c r="M1203" s="31"/>
    </row>
    <row r="1204" spans="1:13">
      <c r="A1204" s="28" t="str">
        <f t="shared" si="19"/>
        <v/>
      </c>
      <c r="B1204" s="29"/>
      <c r="C1204" s="29"/>
      <c r="D1204" s="29"/>
      <c r="E1204" s="29"/>
      <c r="F1204" s="29"/>
      <c r="G1204" s="30"/>
      <c r="H1204" s="29"/>
      <c r="I1204" s="29"/>
      <c r="J1204" s="29"/>
      <c r="K1204" s="29"/>
      <c r="L1204" s="29"/>
      <c r="M1204" s="31"/>
    </row>
    <row r="1205" spans="1:13">
      <c r="A1205" s="28" t="str">
        <f t="shared" si="19"/>
        <v/>
      </c>
      <c r="B1205" s="29"/>
      <c r="C1205" s="29"/>
      <c r="D1205" s="29"/>
      <c r="E1205" s="29"/>
      <c r="F1205" s="29"/>
      <c r="G1205" s="30"/>
      <c r="H1205" s="29"/>
      <c r="I1205" s="29"/>
      <c r="J1205" s="29"/>
      <c r="K1205" s="29"/>
      <c r="L1205" s="29"/>
      <c r="M1205" s="31"/>
    </row>
    <row r="1206" spans="1:13">
      <c r="A1206" s="28" t="str">
        <f t="shared" si="19"/>
        <v/>
      </c>
      <c r="B1206" s="29"/>
      <c r="C1206" s="29"/>
      <c r="D1206" s="29"/>
      <c r="E1206" s="29"/>
      <c r="F1206" s="29"/>
      <c r="G1206" s="30"/>
      <c r="H1206" s="29"/>
      <c r="I1206" s="29"/>
      <c r="J1206" s="29"/>
      <c r="K1206" s="29"/>
      <c r="L1206" s="29"/>
      <c r="M1206" s="31"/>
    </row>
    <row r="1207" spans="1:13">
      <c r="A1207" s="28" t="str">
        <f t="shared" si="19"/>
        <v/>
      </c>
      <c r="B1207" s="29"/>
      <c r="C1207" s="29"/>
      <c r="D1207" s="29"/>
      <c r="E1207" s="29"/>
      <c r="F1207" s="29"/>
      <c r="G1207" s="30"/>
      <c r="H1207" s="29"/>
      <c r="I1207" s="29"/>
      <c r="J1207" s="29"/>
      <c r="K1207" s="29"/>
      <c r="L1207" s="29"/>
      <c r="M1207" s="31"/>
    </row>
    <row r="1208" spans="1:13">
      <c r="A1208" s="28" t="str">
        <f t="shared" si="19"/>
        <v/>
      </c>
      <c r="B1208" s="29"/>
      <c r="C1208" s="29"/>
      <c r="D1208" s="29"/>
      <c r="E1208" s="29"/>
      <c r="F1208" s="29"/>
      <c r="G1208" s="30"/>
      <c r="H1208" s="29"/>
      <c r="I1208" s="29"/>
      <c r="J1208" s="29"/>
      <c r="K1208" s="29"/>
      <c r="L1208" s="29"/>
      <c r="M1208" s="31"/>
    </row>
    <row r="1209" spans="1:13">
      <c r="A1209" s="28" t="str">
        <f t="shared" si="19"/>
        <v/>
      </c>
      <c r="B1209" s="29"/>
      <c r="C1209" s="29"/>
      <c r="D1209" s="29"/>
      <c r="E1209" s="29"/>
      <c r="F1209" s="29"/>
      <c r="G1209" s="30"/>
      <c r="H1209" s="29"/>
      <c r="I1209" s="29"/>
      <c r="J1209" s="29"/>
      <c r="K1209" s="29"/>
      <c r="L1209" s="29"/>
      <c r="M1209" s="31"/>
    </row>
    <row r="1210" spans="1:13">
      <c r="A1210" s="28" t="str">
        <f t="shared" si="19"/>
        <v/>
      </c>
      <c r="B1210" s="29"/>
      <c r="C1210" s="29"/>
      <c r="D1210" s="29"/>
      <c r="E1210" s="29"/>
      <c r="F1210" s="29"/>
      <c r="G1210" s="30"/>
      <c r="H1210" s="29"/>
      <c r="I1210" s="29"/>
      <c r="J1210" s="29"/>
      <c r="K1210" s="29"/>
      <c r="L1210" s="29"/>
      <c r="M1210" s="31"/>
    </row>
    <row r="1211" spans="1:13">
      <c r="A1211" s="28" t="str">
        <f t="shared" si="19"/>
        <v/>
      </c>
      <c r="B1211" s="29"/>
      <c r="C1211" s="29"/>
      <c r="D1211" s="29"/>
      <c r="E1211" s="29"/>
      <c r="F1211" s="29"/>
      <c r="G1211" s="30"/>
      <c r="H1211" s="29"/>
      <c r="I1211" s="29"/>
      <c r="J1211" s="29"/>
      <c r="K1211" s="29"/>
      <c r="L1211" s="29"/>
      <c r="M1211" s="31"/>
    </row>
    <row r="1212" spans="1:13">
      <c r="A1212" s="32" t="str">
        <f t="shared" si="19"/>
        <v/>
      </c>
      <c r="B1212" s="33"/>
      <c r="C1212" s="33"/>
      <c r="D1212" s="33"/>
      <c r="E1212" s="33"/>
      <c r="F1212" s="33"/>
      <c r="G1212" s="34"/>
      <c r="H1212" s="33"/>
      <c r="I1212" s="33"/>
      <c r="J1212" s="33"/>
      <c r="K1212" s="33"/>
      <c r="L1212" s="33"/>
      <c r="M1212" s="35"/>
    </row>
  </sheetData>
  <phoneticPr fontId="14" type="noConversion"/>
  <dataValidations count="4">
    <dataValidation type="list" sqref="F5:F213 E5:E1212" xr:uid="{00000000-0002-0000-0100-000000000000}">
      <formula1>"Aktif,Tidak Aktif"</formula1>
    </dataValidation>
    <dataValidation type="list" sqref="F214:F1212" xr:uid="{00000000-0002-0000-0100-000001000000}">
      <formula1>"Pegawai,PHL,Nasabah"</formula1>
    </dataValidation>
    <dataValidation type="list" sqref="K5:K1212" xr:uid="{00000000-0002-0000-0100-000002000000}">
      <formula1>"Setuju,Perlu Dicek,Keluarkan"</formula1>
    </dataValidation>
    <dataValidation type="list" sqref="L5:L1212" xr:uid="{00000000-0002-0000-0100-000003000000}">
      <formula1>"Ya,Tidak"</formula1>
    </dataValidation>
  </dataValidations>
  <pageMargins left="0.7" right="0.7" top="0.75" bottom="0.75" header="0.3" footer="0.3"/>
  <ignoredErrors>
    <ignoredError sqref="C6:E9 C5:E5 G5:H5 G6:H213 C10:D213" numberStoredAsText="1"/>
    <ignoredError sqref="F6:F213 E10:E213" numberStoredAsText="1" listDataValidation="1"/>
    <ignoredError sqref="F5" listDataValidatio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39"/>
  <sheetViews>
    <sheetView showGridLines="0" workbookViewId="0">
      <pane ySplit="4" topLeftCell="A1704" activePane="bottomLeft" state="frozen"/>
      <selection pane="bottomLeft" activeCell="B1739" sqref="B1739"/>
    </sheetView>
  </sheetViews>
  <sheetFormatPr baseColWidth="10" defaultColWidth="9" defaultRowHeight="14"/>
  <cols>
    <col min="1" max="1" width="14" customWidth="1"/>
    <col min="2" max="2" width="26" customWidth="1"/>
    <col min="3" max="3" width="18" customWidth="1"/>
    <col min="4" max="4" width="16" customWidth="1"/>
    <col min="5" max="5" width="18" customWidth="1"/>
    <col min="6" max="6" width="16" customWidth="1"/>
    <col min="7" max="7" width="14" customWidth="1"/>
    <col min="8" max="10" width="34" customWidth="1"/>
    <col min="11" max="11" width="12" customWidth="1"/>
    <col min="12" max="12" width="14" customWidth="1"/>
    <col min="13" max="13" width="44" customWidth="1"/>
  </cols>
  <sheetData>
    <row r="1" spans="1:9" ht="24" customHeight="1">
      <c r="A1" s="17" t="s">
        <v>68</v>
      </c>
      <c r="B1" s="18"/>
      <c r="C1" s="18"/>
      <c r="D1" s="18"/>
      <c r="E1" s="18"/>
      <c r="F1" s="18"/>
      <c r="G1" s="18"/>
      <c r="H1" s="18"/>
      <c r="I1" s="18"/>
    </row>
    <row r="2" spans="1:9" ht="22" customHeight="1">
      <c r="A2" s="19" t="s">
        <v>69</v>
      </c>
      <c r="B2" s="18"/>
      <c r="C2" s="18"/>
      <c r="D2" s="18"/>
      <c r="E2" s="18"/>
      <c r="F2" s="18"/>
      <c r="G2" s="18"/>
      <c r="H2" s="18"/>
      <c r="I2" s="18"/>
    </row>
    <row r="3" spans="1:9">
      <c r="A3" s="18"/>
      <c r="B3" s="18"/>
      <c r="C3" s="18"/>
      <c r="D3" s="18"/>
      <c r="E3" s="18"/>
      <c r="F3" s="18"/>
      <c r="G3" s="18"/>
      <c r="H3" s="18"/>
      <c r="I3" s="18"/>
    </row>
    <row r="4" spans="1:9" ht="35" customHeight="1">
      <c r="A4" s="5" t="s">
        <v>55</v>
      </c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  <c r="G4" s="5" t="s">
        <v>75</v>
      </c>
      <c r="H4" s="5" t="s">
        <v>35</v>
      </c>
      <c r="I4" s="5" t="s">
        <v>67</v>
      </c>
    </row>
    <row r="5" spans="1:9" ht="21" customHeight="1">
      <c r="A5" s="20">
        <f t="shared" ref="A5:A68" si="0">IF(B5="","",ROW()-4)</f>
        <v>1</v>
      </c>
      <c r="B5" s="21" t="s">
        <v>365</v>
      </c>
      <c r="C5" s="20" t="str">
        <f>IF(B5="","",IF(COUNTIF('01_Anggota'!$D$5:$D$1212,B5)=0,"NAMA TIDAK DITEMUKAN",INDEX('01_Anggota'!$B$5:$B$1212,MATCH(B5,'01_Anggota'!$D$5:$D$1212,0))))</f>
        <v>KKSUK-000166</v>
      </c>
      <c r="D5" s="23">
        <v>0</v>
      </c>
      <c r="E5" s="23">
        <v>1600000</v>
      </c>
      <c r="F5" s="23">
        <v>800000</v>
      </c>
      <c r="G5" s="23">
        <v>0</v>
      </c>
      <c r="H5" s="42">
        <v>46023</v>
      </c>
      <c r="I5" s="21" t="s">
        <v>802</v>
      </c>
    </row>
    <row r="6" spans="1:9" ht="21" customHeight="1">
      <c r="A6" s="20">
        <f t="shared" si="0"/>
        <v>2</v>
      </c>
      <c r="B6" s="21" t="s">
        <v>365</v>
      </c>
      <c r="C6" s="20" t="str">
        <f>IF(B6="","",IF(COUNTIF('01_Anggota'!$D$5:$D$1212,B6)=0,"NAMA TIDAK DITEMUKAN",INDEX('01_Anggota'!$B$5:$B$1212,MATCH(B6,'01_Anggota'!$D$5:$D$1212,0))))</f>
        <v>KKSUK-000166</v>
      </c>
      <c r="D6" s="23">
        <v>0</v>
      </c>
      <c r="E6" s="23">
        <v>200000</v>
      </c>
      <c r="F6" s="23">
        <v>100000</v>
      </c>
      <c r="G6" s="23">
        <v>0</v>
      </c>
      <c r="H6" s="42">
        <v>46045</v>
      </c>
      <c r="I6" s="21" t="s">
        <v>803</v>
      </c>
    </row>
    <row r="7" spans="1:9" ht="21" customHeight="1">
      <c r="A7" s="20">
        <f t="shared" si="0"/>
        <v>3</v>
      </c>
      <c r="B7" s="21" t="s">
        <v>365</v>
      </c>
      <c r="C7" s="20" t="str">
        <f>IF(B7="","",IF(COUNTIF('01_Anggota'!$D$5:$D$1212,B7)=0,"NAMA TIDAK DITEMUKAN",INDEX('01_Anggota'!$B$5:$B$1212,MATCH(B7,'01_Anggota'!$D$5:$D$1212,0))))</f>
        <v>KKSUK-000166</v>
      </c>
      <c r="D7" s="23">
        <v>0</v>
      </c>
      <c r="E7" s="23">
        <v>200000</v>
      </c>
      <c r="F7" s="23">
        <v>100000</v>
      </c>
      <c r="G7" s="23">
        <v>0</v>
      </c>
      <c r="H7" s="42">
        <v>46078</v>
      </c>
      <c r="I7" s="21" t="s">
        <v>804</v>
      </c>
    </row>
    <row r="8" spans="1:9" ht="21" customHeight="1">
      <c r="A8" s="20">
        <f t="shared" si="0"/>
        <v>4</v>
      </c>
      <c r="B8" s="21" t="s">
        <v>365</v>
      </c>
      <c r="C8" s="20" t="str">
        <f>IF(B8="","",IF(COUNTIF('01_Anggota'!$D$5:$D$1212,B8)=0,"NAMA TIDAK DITEMUKAN",INDEX('01_Anggota'!$B$5:$B$1212,MATCH(B8,'01_Anggota'!$D$5:$D$1212,0))))</f>
        <v>KKSUK-000166</v>
      </c>
      <c r="D8" s="23">
        <v>0</v>
      </c>
      <c r="E8" s="23">
        <v>200000</v>
      </c>
      <c r="F8" s="23">
        <v>100000</v>
      </c>
      <c r="G8" s="23">
        <v>0</v>
      </c>
      <c r="H8" s="42">
        <v>46106</v>
      </c>
      <c r="I8" s="21" t="s">
        <v>805</v>
      </c>
    </row>
    <row r="9" spans="1:9" ht="21" customHeight="1">
      <c r="A9" s="20">
        <f t="shared" si="0"/>
        <v>5</v>
      </c>
      <c r="B9" s="21" t="s">
        <v>365</v>
      </c>
      <c r="C9" s="20" t="str">
        <f>IF(B9="","",IF(COUNTIF('01_Anggota'!$D$5:$D$1212,B9)=0,"NAMA TIDAK DITEMUKAN",INDEX('01_Anggota'!$B$5:$B$1212,MATCH(B9,'01_Anggota'!$D$5:$D$1212,0))))</f>
        <v>KKSUK-000166</v>
      </c>
      <c r="D9" s="23">
        <v>0</v>
      </c>
      <c r="E9" s="23">
        <v>200000</v>
      </c>
      <c r="F9" s="23">
        <v>100000</v>
      </c>
      <c r="G9" s="23">
        <v>0</v>
      </c>
      <c r="H9" s="42">
        <v>46136</v>
      </c>
      <c r="I9" s="21" t="s">
        <v>806</v>
      </c>
    </row>
    <row r="10" spans="1:9" ht="21" customHeight="1">
      <c r="A10" s="20">
        <f t="shared" si="0"/>
        <v>6</v>
      </c>
      <c r="B10" s="21" t="s">
        <v>365</v>
      </c>
      <c r="C10" s="20" t="str">
        <f>IF(B10="","",IF(COUNTIF('01_Anggota'!$D$5:$D$1212,B10)=0,"NAMA TIDAK DITEMUKAN",INDEX('01_Anggota'!$B$5:$B$1212,MATCH(B10,'01_Anggota'!$D$5:$D$1212,0))))</f>
        <v>KKSUK-000166</v>
      </c>
      <c r="D10" s="23">
        <v>0</v>
      </c>
      <c r="E10" s="23">
        <v>200000</v>
      </c>
      <c r="F10" s="23">
        <v>100000</v>
      </c>
      <c r="G10" s="23">
        <v>0</v>
      </c>
      <c r="H10" s="42">
        <v>46167</v>
      </c>
      <c r="I10" s="21" t="s">
        <v>807</v>
      </c>
    </row>
    <row r="11" spans="1:9" ht="21" customHeight="1">
      <c r="A11" s="20">
        <f t="shared" si="0"/>
        <v>7</v>
      </c>
      <c r="B11" s="21" t="s">
        <v>365</v>
      </c>
      <c r="C11" s="20" t="str">
        <f>IF(B11="","",IF(COUNTIF('01_Anggota'!$D$5:$D$1212,B11)=0,"NAMA TIDAK DITEMUKAN",INDEX('01_Anggota'!$B$5:$B$1212,MATCH(B11,'01_Anggota'!$D$5:$D$1212,0))))</f>
        <v>KKSUK-000166</v>
      </c>
      <c r="D11" s="23">
        <v>0</v>
      </c>
      <c r="E11" s="23">
        <v>200000</v>
      </c>
      <c r="F11" s="23">
        <v>100000</v>
      </c>
      <c r="G11" s="23">
        <v>0</v>
      </c>
      <c r="H11" s="42">
        <v>46198</v>
      </c>
      <c r="I11" s="21" t="s">
        <v>808</v>
      </c>
    </row>
    <row r="12" spans="1:9" ht="21" customHeight="1">
      <c r="A12" s="20">
        <f t="shared" si="0"/>
        <v>8</v>
      </c>
      <c r="B12" s="21" t="s">
        <v>365</v>
      </c>
      <c r="C12" s="20" t="str">
        <f>IF(B12="","",IF(COUNTIF('01_Anggota'!$D$5:$D$1212,B12)=0,"NAMA TIDAK DITEMUKAN",INDEX('01_Anggota'!$B$5:$B$1212,MATCH(B12,'01_Anggota'!$D$5:$D$1212,0))))</f>
        <v>KKSUK-000166</v>
      </c>
      <c r="D12" s="23">
        <v>0</v>
      </c>
      <c r="E12" s="23">
        <v>200000</v>
      </c>
      <c r="F12" s="23">
        <v>100000</v>
      </c>
      <c r="G12" s="23">
        <v>0</v>
      </c>
      <c r="H12" s="42">
        <v>46227</v>
      </c>
      <c r="I12" s="21" t="s">
        <v>809</v>
      </c>
    </row>
    <row r="13" spans="1:9" ht="21" customHeight="1">
      <c r="A13" s="20">
        <f t="shared" si="0"/>
        <v>9</v>
      </c>
      <c r="B13" s="21" t="s">
        <v>365</v>
      </c>
      <c r="C13" s="20" t="str">
        <f>IF(B13="","",IF(COUNTIF('01_Anggota'!$D$5:$D$1212,B13)=0,"NAMA TIDAK DITEMUKAN",INDEX('01_Anggota'!$B$5:$B$1212,MATCH(B13,'01_Anggota'!$D$5:$D$1212,0))))</f>
        <v>KKSUK-000166</v>
      </c>
      <c r="D13" s="23">
        <v>0</v>
      </c>
      <c r="E13" s="23">
        <v>200000</v>
      </c>
      <c r="F13" s="23">
        <v>100000</v>
      </c>
      <c r="G13" s="23">
        <v>0</v>
      </c>
      <c r="H13" s="42">
        <v>46258</v>
      </c>
      <c r="I13" s="21" t="s">
        <v>810</v>
      </c>
    </row>
    <row r="14" spans="1:9" ht="21" customHeight="1">
      <c r="A14" s="20">
        <f t="shared" si="0"/>
        <v>10</v>
      </c>
      <c r="B14" s="21" t="s">
        <v>357</v>
      </c>
      <c r="C14" s="20" t="str">
        <f>IF(B14="","",IF(COUNTIF('01_Anggota'!$D$5:$D$1212,B14)=0,"NAMA TIDAK DITEMUKAN",INDEX('01_Anggota'!$B$5:$B$1212,MATCH(B14,'01_Anggota'!$D$5:$D$1212,0))))</f>
        <v>KKSUK-000158</v>
      </c>
      <c r="D14" s="23">
        <v>0</v>
      </c>
      <c r="E14" s="23">
        <v>1800000</v>
      </c>
      <c r="F14" s="23">
        <v>1000000</v>
      </c>
      <c r="G14" s="23">
        <v>0</v>
      </c>
      <c r="H14" s="42">
        <v>46023</v>
      </c>
      <c r="I14" s="21" t="s">
        <v>802</v>
      </c>
    </row>
    <row r="15" spans="1:9" ht="21" customHeight="1">
      <c r="A15" s="20">
        <f t="shared" si="0"/>
        <v>11</v>
      </c>
      <c r="B15" s="21" t="s">
        <v>357</v>
      </c>
      <c r="C15" s="20" t="str">
        <f>IF(B15="","",IF(COUNTIF('01_Anggota'!$D$5:$D$1212,B15)=0,"NAMA TIDAK DITEMUKAN",INDEX('01_Anggota'!$B$5:$B$1212,MATCH(B15,'01_Anggota'!$D$5:$D$1212,0))))</f>
        <v>KKSUK-000158</v>
      </c>
      <c r="D15" s="23">
        <v>0</v>
      </c>
      <c r="E15" s="23">
        <v>150000</v>
      </c>
      <c r="F15" s="23">
        <v>100000</v>
      </c>
      <c r="G15" s="23">
        <v>0</v>
      </c>
      <c r="H15" s="42">
        <v>46045</v>
      </c>
      <c r="I15" s="21" t="s">
        <v>803</v>
      </c>
    </row>
    <row r="16" spans="1:9" ht="21" customHeight="1">
      <c r="A16" s="20">
        <f t="shared" si="0"/>
        <v>12</v>
      </c>
      <c r="B16" s="21" t="s">
        <v>357</v>
      </c>
      <c r="C16" s="20" t="str">
        <f>IF(B16="","",IF(COUNTIF('01_Anggota'!$D$5:$D$1212,B16)=0,"NAMA TIDAK DITEMUKAN",INDEX('01_Anggota'!$B$5:$B$1212,MATCH(B16,'01_Anggota'!$D$5:$D$1212,0))))</f>
        <v>KKSUK-000158</v>
      </c>
      <c r="D16" s="23">
        <v>0</v>
      </c>
      <c r="E16" s="23">
        <v>150000</v>
      </c>
      <c r="F16" s="23">
        <v>100000</v>
      </c>
      <c r="G16" s="23">
        <v>0</v>
      </c>
      <c r="H16" s="42">
        <v>46078</v>
      </c>
      <c r="I16" s="21" t="s">
        <v>804</v>
      </c>
    </row>
    <row r="17" spans="1:9" ht="21" customHeight="1">
      <c r="A17" s="20">
        <f t="shared" si="0"/>
        <v>13</v>
      </c>
      <c r="B17" s="21" t="s">
        <v>357</v>
      </c>
      <c r="C17" s="20" t="str">
        <f>IF(B17="","",IF(COUNTIF('01_Anggota'!$D$5:$D$1212,B17)=0,"NAMA TIDAK DITEMUKAN",INDEX('01_Anggota'!$B$5:$B$1212,MATCH(B17,'01_Anggota'!$D$5:$D$1212,0))))</f>
        <v>KKSUK-000158</v>
      </c>
      <c r="D17" s="23">
        <v>0</v>
      </c>
      <c r="E17" s="23">
        <v>150000</v>
      </c>
      <c r="F17" s="23">
        <v>100000</v>
      </c>
      <c r="G17" s="23">
        <v>0</v>
      </c>
      <c r="H17" s="42">
        <v>46106</v>
      </c>
      <c r="I17" s="21" t="s">
        <v>805</v>
      </c>
    </row>
    <row r="18" spans="1:9" ht="21" customHeight="1">
      <c r="A18" s="20">
        <f t="shared" si="0"/>
        <v>14</v>
      </c>
      <c r="B18" s="21" t="s">
        <v>357</v>
      </c>
      <c r="C18" s="20" t="str">
        <f>IF(B18="","",IF(COUNTIF('01_Anggota'!$D$5:$D$1212,B18)=0,"NAMA TIDAK DITEMUKAN",INDEX('01_Anggota'!$B$5:$B$1212,MATCH(B18,'01_Anggota'!$D$5:$D$1212,0))))</f>
        <v>KKSUK-000158</v>
      </c>
      <c r="D18" s="23">
        <v>0</v>
      </c>
      <c r="E18" s="23">
        <v>150000</v>
      </c>
      <c r="F18" s="23">
        <v>100000</v>
      </c>
      <c r="G18" s="23">
        <v>0</v>
      </c>
      <c r="H18" s="42">
        <v>46136</v>
      </c>
      <c r="I18" s="21" t="s">
        <v>806</v>
      </c>
    </row>
    <row r="19" spans="1:9" ht="21" customHeight="1">
      <c r="A19" s="20">
        <f t="shared" si="0"/>
        <v>15</v>
      </c>
      <c r="B19" s="21" t="s">
        <v>357</v>
      </c>
      <c r="C19" s="20" t="str">
        <f>IF(B19="","",IF(COUNTIF('01_Anggota'!$D$5:$D$1212,B19)=0,"NAMA TIDAK DITEMUKAN",INDEX('01_Anggota'!$B$5:$B$1212,MATCH(B19,'01_Anggota'!$D$5:$D$1212,0))))</f>
        <v>KKSUK-000158</v>
      </c>
      <c r="D19" s="23">
        <v>0</v>
      </c>
      <c r="E19" s="23">
        <v>150000</v>
      </c>
      <c r="F19" s="23">
        <v>100000</v>
      </c>
      <c r="G19" s="23">
        <v>0</v>
      </c>
      <c r="H19" s="42">
        <v>46167</v>
      </c>
      <c r="I19" s="21" t="s">
        <v>807</v>
      </c>
    </row>
    <row r="20" spans="1:9" ht="21" customHeight="1">
      <c r="A20" s="20">
        <f t="shared" si="0"/>
        <v>16</v>
      </c>
      <c r="B20" s="21" t="s">
        <v>357</v>
      </c>
      <c r="C20" s="20" t="str">
        <f>IF(B20="","",IF(COUNTIF('01_Anggota'!$D$5:$D$1212,B20)=0,"NAMA TIDAK DITEMUKAN",INDEX('01_Anggota'!$B$5:$B$1212,MATCH(B20,'01_Anggota'!$D$5:$D$1212,0))))</f>
        <v>KKSUK-000158</v>
      </c>
      <c r="D20" s="23">
        <v>0</v>
      </c>
      <c r="E20" s="23">
        <v>150000</v>
      </c>
      <c r="F20" s="23">
        <v>100000</v>
      </c>
      <c r="G20" s="23">
        <v>0</v>
      </c>
      <c r="H20" s="42">
        <v>46198</v>
      </c>
      <c r="I20" s="21" t="s">
        <v>808</v>
      </c>
    </row>
    <row r="21" spans="1:9" ht="21" customHeight="1">
      <c r="A21" s="20">
        <f t="shared" si="0"/>
        <v>17</v>
      </c>
      <c r="B21" s="21" t="s">
        <v>357</v>
      </c>
      <c r="C21" s="20" t="str">
        <f>IF(B21="","",IF(COUNTIF('01_Anggota'!$D$5:$D$1212,B21)=0,"NAMA TIDAK DITEMUKAN",INDEX('01_Anggota'!$B$5:$B$1212,MATCH(B21,'01_Anggota'!$D$5:$D$1212,0))))</f>
        <v>KKSUK-000158</v>
      </c>
      <c r="D21" s="23">
        <v>0</v>
      </c>
      <c r="E21" s="23">
        <v>150000</v>
      </c>
      <c r="F21" s="23">
        <v>100000</v>
      </c>
      <c r="G21" s="23">
        <v>0</v>
      </c>
      <c r="H21" s="42">
        <v>46227</v>
      </c>
      <c r="I21" s="21" t="s">
        <v>809</v>
      </c>
    </row>
    <row r="22" spans="1:9" ht="21" customHeight="1">
      <c r="A22" s="20">
        <f t="shared" si="0"/>
        <v>18</v>
      </c>
      <c r="B22" s="21" t="s">
        <v>357</v>
      </c>
      <c r="C22" s="20" t="str">
        <f>IF(B22="","",IF(COUNTIF('01_Anggota'!$D$5:$D$1212,B22)=0,"NAMA TIDAK DITEMUKAN",INDEX('01_Anggota'!$B$5:$B$1212,MATCH(B22,'01_Anggota'!$D$5:$D$1212,0))))</f>
        <v>KKSUK-000158</v>
      </c>
      <c r="D22" s="23">
        <v>0</v>
      </c>
      <c r="E22" s="23">
        <v>150000</v>
      </c>
      <c r="F22" s="23">
        <v>100000</v>
      </c>
      <c r="G22" s="23">
        <v>0</v>
      </c>
      <c r="H22" s="42">
        <v>46258</v>
      </c>
      <c r="I22" s="21" t="s">
        <v>810</v>
      </c>
    </row>
    <row r="23" spans="1:9" ht="21" customHeight="1">
      <c r="A23" s="20">
        <f t="shared" si="0"/>
        <v>19</v>
      </c>
      <c r="B23" s="21" t="s">
        <v>200</v>
      </c>
      <c r="C23" s="20" t="str">
        <f>IF(B23="","",IF(COUNTIF('01_Anggota'!$D$5:$D$1212,B23)=0,"NAMA TIDAK DITEMUKAN",INDEX('01_Anggota'!$B$5:$B$1212,MATCH(B23,'01_Anggota'!$D$5:$D$1212,0))))</f>
        <v>KKSUK-000001</v>
      </c>
      <c r="D23" s="23">
        <v>0</v>
      </c>
      <c r="E23" s="23">
        <v>831668</v>
      </c>
      <c r="F23" s="23">
        <v>10278197</v>
      </c>
      <c r="G23" s="23">
        <v>3694115</v>
      </c>
      <c r="H23" s="42">
        <v>46023</v>
      </c>
      <c r="I23" s="21" t="s">
        <v>802</v>
      </c>
    </row>
    <row r="24" spans="1:9" ht="21" customHeight="1">
      <c r="A24" s="20">
        <f t="shared" si="0"/>
        <v>20</v>
      </c>
      <c r="B24" s="21" t="s">
        <v>200</v>
      </c>
      <c r="C24" s="20" t="str">
        <f>IF(B24="","",IF(COUNTIF('01_Anggota'!$D$5:$D$1212,B24)=0,"NAMA TIDAK DITEMUKAN",INDEX('01_Anggota'!$B$5:$B$1212,MATCH(B24,'01_Anggota'!$D$5:$D$1212,0))))</f>
        <v>KKSUK-000001</v>
      </c>
      <c r="D24" s="23">
        <v>0</v>
      </c>
      <c r="E24" s="23">
        <v>150000</v>
      </c>
      <c r="F24" s="23">
        <v>100000</v>
      </c>
      <c r="G24" s="23">
        <v>0</v>
      </c>
      <c r="H24" s="42">
        <v>46045</v>
      </c>
      <c r="I24" s="21" t="s">
        <v>803</v>
      </c>
    </row>
    <row r="25" spans="1:9" ht="21" customHeight="1">
      <c r="A25" s="20">
        <f t="shared" si="0"/>
        <v>21</v>
      </c>
      <c r="B25" s="21" t="s">
        <v>200</v>
      </c>
      <c r="C25" s="20" t="str">
        <f>IF(B25="","",IF(COUNTIF('01_Anggota'!$D$5:$D$1212,B25)=0,"NAMA TIDAK DITEMUKAN",INDEX('01_Anggota'!$B$5:$B$1212,MATCH(B25,'01_Anggota'!$D$5:$D$1212,0))))</f>
        <v>KKSUK-000001</v>
      </c>
      <c r="D25" s="23">
        <v>0</v>
      </c>
      <c r="E25" s="23">
        <v>150000</v>
      </c>
      <c r="F25" s="23">
        <v>100000</v>
      </c>
      <c r="G25" s="23">
        <v>0</v>
      </c>
      <c r="H25" s="42">
        <v>46078</v>
      </c>
      <c r="I25" s="21" t="s">
        <v>804</v>
      </c>
    </row>
    <row r="26" spans="1:9" ht="21" customHeight="1">
      <c r="A26" s="20">
        <f t="shared" si="0"/>
        <v>22</v>
      </c>
      <c r="B26" s="21" t="s">
        <v>200</v>
      </c>
      <c r="C26" s="20" t="str">
        <f>IF(B26="","",IF(COUNTIF('01_Anggota'!$D$5:$D$1212,B26)=0,"NAMA TIDAK DITEMUKAN",INDEX('01_Anggota'!$B$5:$B$1212,MATCH(B26,'01_Anggota'!$D$5:$D$1212,0))))</f>
        <v>KKSUK-000001</v>
      </c>
      <c r="D26" s="23">
        <v>0</v>
      </c>
      <c r="E26" s="23">
        <v>150000</v>
      </c>
      <c r="F26" s="23">
        <v>100000</v>
      </c>
      <c r="G26" s="23">
        <v>0</v>
      </c>
      <c r="H26" s="42">
        <v>46106</v>
      </c>
      <c r="I26" s="21" t="s">
        <v>805</v>
      </c>
    </row>
    <row r="27" spans="1:9" ht="21" customHeight="1">
      <c r="A27" s="20">
        <f t="shared" si="0"/>
        <v>23</v>
      </c>
      <c r="B27" s="21" t="s">
        <v>200</v>
      </c>
      <c r="C27" s="20" t="str">
        <f>IF(B27="","",IF(COUNTIF('01_Anggota'!$D$5:$D$1212,B27)=0,"NAMA TIDAK DITEMUKAN",INDEX('01_Anggota'!$B$5:$B$1212,MATCH(B27,'01_Anggota'!$D$5:$D$1212,0))))</f>
        <v>KKSUK-000001</v>
      </c>
      <c r="D27" s="23">
        <v>0</v>
      </c>
      <c r="E27" s="23">
        <v>150000</v>
      </c>
      <c r="F27" s="23">
        <v>100000</v>
      </c>
      <c r="G27" s="23">
        <v>0</v>
      </c>
      <c r="H27" s="42">
        <v>46136</v>
      </c>
      <c r="I27" s="21" t="s">
        <v>806</v>
      </c>
    </row>
    <row r="28" spans="1:9" ht="21" customHeight="1">
      <c r="A28" s="20">
        <f t="shared" si="0"/>
        <v>24</v>
      </c>
      <c r="B28" s="21" t="s">
        <v>200</v>
      </c>
      <c r="C28" s="20" t="str">
        <f>IF(B28="","",IF(COUNTIF('01_Anggota'!$D$5:$D$1212,B28)=0,"NAMA TIDAK DITEMUKAN",INDEX('01_Anggota'!$B$5:$B$1212,MATCH(B28,'01_Anggota'!$D$5:$D$1212,0))))</f>
        <v>KKSUK-000001</v>
      </c>
      <c r="D28" s="23">
        <v>0</v>
      </c>
      <c r="E28" s="23">
        <v>150000</v>
      </c>
      <c r="F28" s="23">
        <v>100000</v>
      </c>
      <c r="G28" s="23">
        <v>0</v>
      </c>
      <c r="H28" s="42">
        <v>46167</v>
      </c>
      <c r="I28" s="21" t="s">
        <v>807</v>
      </c>
    </row>
    <row r="29" spans="1:9" ht="21" customHeight="1">
      <c r="A29" s="20">
        <f t="shared" si="0"/>
        <v>25</v>
      </c>
      <c r="B29" s="21" t="s">
        <v>200</v>
      </c>
      <c r="C29" s="20" t="str">
        <f>IF(B29="","",IF(COUNTIF('01_Anggota'!$D$5:$D$1212,B29)=0,"NAMA TIDAK DITEMUKAN",INDEX('01_Anggota'!$B$5:$B$1212,MATCH(B29,'01_Anggota'!$D$5:$D$1212,0))))</f>
        <v>KKSUK-000001</v>
      </c>
      <c r="D29" s="23">
        <v>0</v>
      </c>
      <c r="E29" s="23">
        <v>150000</v>
      </c>
      <c r="F29" s="23">
        <v>100000</v>
      </c>
      <c r="G29" s="23">
        <v>0</v>
      </c>
      <c r="H29" s="42">
        <v>46198</v>
      </c>
      <c r="I29" s="21" t="s">
        <v>808</v>
      </c>
    </row>
    <row r="30" spans="1:9" ht="21" customHeight="1">
      <c r="A30" s="20">
        <f t="shared" si="0"/>
        <v>26</v>
      </c>
      <c r="B30" s="21" t="s">
        <v>200</v>
      </c>
      <c r="C30" s="20" t="str">
        <f>IF(B30="","",IF(COUNTIF('01_Anggota'!$D$5:$D$1212,B30)=0,"NAMA TIDAK DITEMUKAN",INDEX('01_Anggota'!$B$5:$B$1212,MATCH(B30,'01_Anggota'!$D$5:$D$1212,0))))</f>
        <v>KKSUK-000001</v>
      </c>
      <c r="D30" s="23">
        <v>0</v>
      </c>
      <c r="E30" s="23">
        <v>150000</v>
      </c>
      <c r="F30" s="23">
        <v>100000</v>
      </c>
      <c r="G30" s="23">
        <v>0</v>
      </c>
      <c r="H30" s="42">
        <v>46227</v>
      </c>
      <c r="I30" s="21" t="s">
        <v>809</v>
      </c>
    </row>
    <row r="31" spans="1:9" ht="21" customHeight="1">
      <c r="A31" s="20">
        <f t="shared" si="0"/>
        <v>27</v>
      </c>
      <c r="B31" s="21" t="s">
        <v>200</v>
      </c>
      <c r="C31" s="20" t="str">
        <f>IF(B31="","",IF(COUNTIF('01_Anggota'!$D$5:$D$1212,B31)=0,"NAMA TIDAK DITEMUKAN",INDEX('01_Anggota'!$B$5:$B$1212,MATCH(B31,'01_Anggota'!$D$5:$D$1212,0))))</f>
        <v>KKSUK-000001</v>
      </c>
      <c r="D31" s="23">
        <v>0</v>
      </c>
      <c r="E31" s="23">
        <v>150000</v>
      </c>
      <c r="F31" s="23">
        <v>100000</v>
      </c>
      <c r="G31" s="23">
        <v>0</v>
      </c>
      <c r="H31" s="42">
        <v>46258</v>
      </c>
      <c r="I31" s="21" t="s">
        <v>810</v>
      </c>
    </row>
    <row r="32" spans="1:9" ht="21" customHeight="1">
      <c r="A32" s="20">
        <f t="shared" si="0"/>
        <v>28</v>
      </c>
      <c r="B32" s="21" t="s">
        <v>200</v>
      </c>
      <c r="C32" s="20" t="str">
        <f>IF(B32="","",IF(COUNTIF('01_Anggota'!$D$5:$D$1212,B32)=0,"NAMA TIDAK DITEMUKAN",INDEX('01_Anggota'!$B$5:$B$1212,MATCH(B32,'01_Anggota'!$D$5:$D$1212,0))))</f>
        <v>KKSUK-000001</v>
      </c>
      <c r="D32" s="23">
        <v>0</v>
      </c>
      <c r="E32" s="23">
        <v>-1500000</v>
      </c>
      <c r="F32" s="23">
        <v>0</v>
      </c>
      <c r="G32" s="23">
        <v>0</v>
      </c>
      <c r="H32" s="42">
        <v>46266</v>
      </c>
      <c r="I32" s="21" t="s">
        <v>811</v>
      </c>
    </row>
    <row r="33" spans="1:9" ht="21" customHeight="1">
      <c r="A33" s="20">
        <f t="shared" si="0"/>
        <v>29</v>
      </c>
      <c r="B33" s="21" t="s">
        <v>380</v>
      </c>
      <c r="C33" s="20" t="str">
        <f>IF(B33="","",IF(COUNTIF('01_Anggota'!$D$5:$D$1212,B33)=0,"NAMA TIDAK DITEMUKAN",INDEX('01_Anggota'!$B$5:$B$1212,MATCH(B33,'01_Anggota'!$D$5:$D$1212,0))))</f>
        <v>KKSUK-000181</v>
      </c>
      <c r="D33" s="23">
        <v>0</v>
      </c>
      <c r="E33" s="23">
        <v>900000</v>
      </c>
      <c r="F33" s="23">
        <v>600000</v>
      </c>
      <c r="G33" s="23">
        <v>0</v>
      </c>
      <c r="H33" s="42">
        <v>46023</v>
      </c>
      <c r="I33" s="21" t="s">
        <v>802</v>
      </c>
    </row>
    <row r="34" spans="1:9" ht="21" customHeight="1">
      <c r="A34" s="20">
        <f t="shared" si="0"/>
        <v>30</v>
      </c>
      <c r="B34" s="21" t="s">
        <v>380</v>
      </c>
      <c r="C34" s="20" t="str">
        <f>IF(B34="","",IF(COUNTIF('01_Anggota'!$D$5:$D$1212,B34)=0,"NAMA TIDAK DITEMUKAN",INDEX('01_Anggota'!$B$5:$B$1212,MATCH(B34,'01_Anggota'!$D$5:$D$1212,0))))</f>
        <v>KKSUK-000181</v>
      </c>
      <c r="D34" s="23">
        <v>0</v>
      </c>
      <c r="E34" s="23">
        <v>150000</v>
      </c>
      <c r="F34" s="23">
        <v>100000</v>
      </c>
      <c r="G34" s="23">
        <v>0</v>
      </c>
      <c r="H34" s="42">
        <v>46078</v>
      </c>
      <c r="I34" s="21" t="s">
        <v>804</v>
      </c>
    </row>
    <row r="35" spans="1:9" ht="21" customHeight="1">
      <c r="A35" s="20">
        <f t="shared" si="0"/>
        <v>31</v>
      </c>
      <c r="B35" s="21" t="s">
        <v>380</v>
      </c>
      <c r="C35" s="20" t="str">
        <f>IF(B35="","",IF(COUNTIF('01_Anggota'!$D$5:$D$1212,B35)=0,"NAMA TIDAK DITEMUKAN",INDEX('01_Anggota'!$B$5:$B$1212,MATCH(B35,'01_Anggota'!$D$5:$D$1212,0))))</f>
        <v>KKSUK-000181</v>
      </c>
      <c r="D35" s="23">
        <v>0</v>
      </c>
      <c r="E35" s="23">
        <v>150000</v>
      </c>
      <c r="F35" s="23">
        <v>100000</v>
      </c>
      <c r="G35" s="23">
        <v>0</v>
      </c>
      <c r="H35" s="42">
        <v>46106</v>
      </c>
      <c r="I35" s="21" t="s">
        <v>805</v>
      </c>
    </row>
    <row r="36" spans="1:9" ht="21" customHeight="1">
      <c r="A36" s="20">
        <f t="shared" si="0"/>
        <v>32</v>
      </c>
      <c r="B36" s="21" t="s">
        <v>380</v>
      </c>
      <c r="C36" s="20" t="str">
        <f>IF(B36="","",IF(COUNTIF('01_Anggota'!$D$5:$D$1212,B36)=0,"NAMA TIDAK DITEMUKAN",INDEX('01_Anggota'!$B$5:$B$1212,MATCH(B36,'01_Anggota'!$D$5:$D$1212,0))))</f>
        <v>KKSUK-000181</v>
      </c>
      <c r="D36" s="23">
        <v>0</v>
      </c>
      <c r="E36" s="23">
        <v>150000</v>
      </c>
      <c r="F36" s="23">
        <v>100000</v>
      </c>
      <c r="G36" s="23">
        <v>0</v>
      </c>
      <c r="H36" s="42">
        <v>46136</v>
      </c>
      <c r="I36" s="21" t="s">
        <v>806</v>
      </c>
    </row>
    <row r="37" spans="1:9" ht="21" customHeight="1">
      <c r="A37" s="20">
        <f t="shared" si="0"/>
        <v>33</v>
      </c>
      <c r="B37" s="21" t="s">
        <v>380</v>
      </c>
      <c r="C37" s="20" t="str">
        <f>IF(B37="","",IF(COUNTIF('01_Anggota'!$D$5:$D$1212,B37)=0,"NAMA TIDAK DITEMUKAN",INDEX('01_Anggota'!$B$5:$B$1212,MATCH(B37,'01_Anggota'!$D$5:$D$1212,0))))</f>
        <v>KKSUK-000181</v>
      </c>
      <c r="D37" s="23">
        <v>0</v>
      </c>
      <c r="E37" s="23">
        <v>150000</v>
      </c>
      <c r="F37" s="23">
        <v>100000</v>
      </c>
      <c r="G37" s="23">
        <v>0</v>
      </c>
      <c r="H37" s="42">
        <v>46167</v>
      </c>
      <c r="I37" s="21" t="s">
        <v>807</v>
      </c>
    </row>
    <row r="38" spans="1:9" ht="21" customHeight="1">
      <c r="A38" s="20">
        <f t="shared" si="0"/>
        <v>34</v>
      </c>
      <c r="B38" s="21" t="s">
        <v>391</v>
      </c>
      <c r="C38" s="20" t="str">
        <f>IF(B38="","",IF(COUNTIF('01_Anggota'!$D$5:$D$1212,B38)=0,"NAMA TIDAK DITEMUKAN",INDEX('01_Anggota'!$B$5:$B$1212,MATCH(B38,'01_Anggota'!$D$5:$D$1212,0))))</f>
        <v>KKSUK-000192</v>
      </c>
      <c r="D38" s="23">
        <v>0</v>
      </c>
      <c r="E38" s="23">
        <v>100000</v>
      </c>
      <c r="F38" s="23">
        <v>200000</v>
      </c>
      <c r="G38" s="23">
        <v>0</v>
      </c>
      <c r="H38" s="42">
        <v>46023</v>
      </c>
      <c r="I38" s="21" t="s">
        <v>802</v>
      </c>
    </row>
    <row r="39" spans="1:9" ht="21" customHeight="1">
      <c r="A39" s="20">
        <f t="shared" si="0"/>
        <v>35</v>
      </c>
      <c r="B39" s="21" t="s">
        <v>319</v>
      </c>
      <c r="C39" s="20" t="str">
        <f>IF(B39="","",IF(COUNTIF('01_Anggota'!$D$5:$D$1212,B39)=0,"NAMA TIDAK DITEMUKAN",INDEX('01_Anggota'!$B$5:$B$1212,MATCH(B39,'01_Anggota'!$D$5:$D$1212,0))))</f>
        <v>KKSUK-000120</v>
      </c>
      <c r="D39" s="23">
        <v>0</v>
      </c>
      <c r="E39" s="23">
        <v>1100000</v>
      </c>
      <c r="F39" s="23">
        <v>2200000</v>
      </c>
      <c r="G39" s="23">
        <v>413679</v>
      </c>
      <c r="H39" s="42">
        <v>46023</v>
      </c>
      <c r="I39" s="21" t="s">
        <v>802</v>
      </c>
    </row>
    <row r="40" spans="1:9" ht="21" customHeight="1">
      <c r="A40" s="20">
        <f t="shared" si="0"/>
        <v>36</v>
      </c>
      <c r="B40" s="21" t="s">
        <v>319</v>
      </c>
      <c r="C40" s="20" t="str">
        <f>IF(B40="","",IF(COUNTIF('01_Anggota'!$D$5:$D$1212,B40)=0,"NAMA TIDAK DITEMUKAN",INDEX('01_Anggota'!$B$5:$B$1212,MATCH(B40,'01_Anggota'!$D$5:$D$1212,0))))</f>
        <v>KKSUK-000120</v>
      </c>
      <c r="D40" s="23">
        <v>0</v>
      </c>
      <c r="E40" s="23">
        <v>100000</v>
      </c>
      <c r="F40" s="23">
        <v>100000</v>
      </c>
      <c r="G40" s="23">
        <v>0</v>
      </c>
      <c r="H40" s="42">
        <v>46045</v>
      </c>
      <c r="I40" s="21" t="s">
        <v>803</v>
      </c>
    </row>
    <row r="41" spans="1:9" ht="21" customHeight="1">
      <c r="A41" s="20">
        <f t="shared" si="0"/>
        <v>37</v>
      </c>
      <c r="B41" s="21" t="s">
        <v>319</v>
      </c>
      <c r="C41" s="20" t="str">
        <f>IF(B41="","",IF(COUNTIF('01_Anggota'!$D$5:$D$1212,B41)=0,"NAMA TIDAK DITEMUKAN",INDEX('01_Anggota'!$B$5:$B$1212,MATCH(B41,'01_Anggota'!$D$5:$D$1212,0))))</f>
        <v>KKSUK-000120</v>
      </c>
      <c r="D41" s="23">
        <v>0</v>
      </c>
      <c r="E41" s="23">
        <v>100000</v>
      </c>
      <c r="F41" s="23">
        <v>100000</v>
      </c>
      <c r="G41" s="23">
        <v>0</v>
      </c>
      <c r="H41" s="42">
        <v>46078</v>
      </c>
      <c r="I41" s="21" t="s">
        <v>804</v>
      </c>
    </row>
    <row r="42" spans="1:9" ht="21" customHeight="1">
      <c r="A42" s="20">
        <f t="shared" si="0"/>
        <v>38</v>
      </c>
      <c r="B42" s="21" t="s">
        <v>319</v>
      </c>
      <c r="C42" s="20" t="str">
        <f>IF(B42="","",IF(COUNTIF('01_Anggota'!$D$5:$D$1212,B42)=0,"NAMA TIDAK DITEMUKAN",INDEX('01_Anggota'!$B$5:$B$1212,MATCH(B42,'01_Anggota'!$D$5:$D$1212,0))))</f>
        <v>KKSUK-000120</v>
      </c>
      <c r="D42" s="23">
        <v>0</v>
      </c>
      <c r="E42" s="23">
        <v>100000</v>
      </c>
      <c r="F42" s="23">
        <v>100000</v>
      </c>
      <c r="G42" s="23">
        <v>0</v>
      </c>
      <c r="H42" s="42">
        <v>46106</v>
      </c>
      <c r="I42" s="21" t="s">
        <v>805</v>
      </c>
    </row>
    <row r="43" spans="1:9" ht="21" customHeight="1">
      <c r="A43" s="20">
        <f t="shared" si="0"/>
        <v>39</v>
      </c>
      <c r="B43" s="21" t="s">
        <v>319</v>
      </c>
      <c r="C43" s="20" t="str">
        <f>IF(B43="","",IF(COUNTIF('01_Anggota'!$D$5:$D$1212,B43)=0,"NAMA TIDAK DITEMUKAN",INDEX('01_Anggota'!$B$5:$B$1212,MATCH(B43,'01_Anggota'!$D$5:$D$1212,0))))</f>
        <v>KKSUK-000120</v>
      </c>
      <c r="D43" s="23">
        <v>0</v>
      </c>
      <c r="E43" s="23">
        <v>-500000</v>
      </c>
      <c r="F43" s="23">
        <v>0</v>
      </c>
      <c r="G43" s="23">
        <v>0</v>
      </c>
      <c r="H43" s="42">
        <v>46136</v>
      </c>
      <c r="I43" s="21" t="s">
        <v>806</v>
      </c>
    </row>
    <row r="44" spans="1:9" ht="21" customHeight="1">
      <c r="A44" s="20">
        <f t="shared" si="0"/>
        <v>40</v>
      </c>
      <c r="B44" s="21" t="s">
        <v>319</v>
      </c>
      <c r="C44" s="20" t="str">
        <f>IF(B44="","",IF(COUNTIF('01_Anggota'!$D$5:$D$1212,B44)=0,"NAMA TIDAK DITEMUKAN",INDEX('01_Anggota'!$B$5:$B$1212,MATCH(B44,'01_Anggota'!$D$5:$D$1212,0))))</f>
        <v>KKSUK-000120</v>
      </c>
      <c r="D44" s="23">
        <v>0</v>
      </c>
      <c r="E44" s="23">
        <v>100000</v>
      </c>
      <c r="F44" s="23">
        <v>100000</v>
      </c>
      <c r="G44" s="23">
        <v>0</v>
      </c>
      <c r="H44" s="42">
        <v>46136</v>
      </c>
      <c r="I44" s="21" t="s">
        <v>806</v>
      </c>
    </row>
    <row r="45" spans="1:9" ht="21" customHeight="1">
      <c r="A45" s="20">
        <f t="shared" si="0"/>
        <v>41</v>
      </c>
      <c r="B45" s="21" t="s">
        <v>319</v>
      </c>
      <c r="C45" s="20" t="str">
        <f>IF(B45="","",IF(COUNTIF('01_Anggota'!$D$5:$D$1212,B45)=0,"NAMA TIDAK DITEMUKAN",INDEX('01_Anggota'!$B$5:$B$1212,MATCH(B45,'01_Anggota'!$D$5:$D$1212,0))))</f>
        <v>KKSUK-000120</v>
      </c>
      <c r="D45" s="23">
        <v>0</v>
      </c>
      <c r="E45" s="23">
        <v>100000</v>
      </c>
      <c r="F45" s="23">
        <v>100000</v>
      </c>
      <c r="G45" s="23">
        <v>0</v>
      </c>
      <c r="H45" s="42">
        <v>46167</v>
      </c>
      <c r="I45" s="21" t="s">
        <v>807</v>
      </c>
    </row>
    <row r="46" spans="1:9" ht="21" customHeight="1">
      <c r="A46" s="20">
        <f t="shared" si="0"/>
        <v>42</v>
      </c>
      <c r="B46" s="21" t="s">
        <v>319</v>
      </c>
      <c r="C46" s="20" t="str">
        <f>IF(B46="","",IF(COUNTIF('01_Anggota'!$D$5:$D$1212,B46)=0,"NAMA TIDAK DITEMUKAN",INDEX('01_Anggota'!$B$5:$B$1212,MATCH(B46,'01_Anggota'!$D$5:$D$1212,0))))</f>
        <v>KKSUK-000120</v>
      </c>
      <c r="D46" s="23">
        <v>0</v>
      </c>
      <c r="E46" s="23">
        <v>100000</v>
      </c>
      <c r="F46" s="23">
        <v>100000</v>
      </c>
      <c r="G46" s="23">
        <v>0</v>
      </c>
      <c r="H46" s="42">
        <v>46198</v>
      </c>
      <c r="I46" s="21" t="s">
        <v>808</v>
      </c>
    </row>
    <row r="47" spans="1:9" ht="21" customHeight="1">
      <c r="A47" s="20">
        <f t="shared" si="0"/>
        <v>43</v>
      </c>
      <c r="B47" s="21" t="s">
        <v>319</v>
      </c>
      <c r="C47" s="20" t="str">
        <f>IF(B47="","",IF(COUNTIF('01_Anggota'!$D$5:$D$1212,B47)=0,"NAMA TIDAK DITEMUKAN",INDEX('01_Anggota'!$B$5:$B$1212,MATCH(B47,'01_Anggota'!$D$5:$D$1212,0))))</f>
        <v>KKSUK-000120</v>
      </c>
      <c r="D47" s="23">
        <v>0</v>
      </c>
      <c r="E47" s="23">
        <v>100000</v>
      </c>
      <c r="F47" s="23">
        <v>100000</v>
      </c>
      <c r="G47" s="23">
        <v>0</v>
      </c>
      <c r="H47" s="42">
        <v>46227</v>
      </c>
      <c r="I47" s="21" t="s">
        <v>809</v>
      </c>
    </row>
    <row r="48" spans="1:9" ht="21" customHeight="1">
      <c r="A48" s="20">
        <f t="shared" si="0"/>
        <v>44</v>
      </c>
      <c r="B48" s="21" t="s">
        <v>319</v>
      </c>
      <c r="C48" s="20" t="str">
        <f>IF(B48="","",IF(COUNTIF('01_Anggota'!$D$5:$D$1212,B48)=0,"NAMA TIDAK DITEMUKAN",INDEX('01_Anggota'!$B$5:$B$1212,MATCH(B48,'01_Anggota'!$D$5:$D$1212,0))))</f>
        <v>KKSUK-000120</v>
      </c>
      <c r="D48" s="23">
        <v>0</v>
      </c>
      <c r="E48" s="23">
        <v>100000</v>
      </c>
      <c r="F48" s="23">
        <v>100000</v>
      </c>
      <c r="G48" s="23">
        <v>0</v>
      </c>
      <c r="H48" s="42">
        <v>46258</v>
      </c>
      <c r="I48" s="21" t="s">
        <v>810</v>
      </c>
    </row>
    <row r="49" spans="1:9" ht="21" customHeight="1">
      <c r="A49" s="20">
        <f t="shared" si="0"/>
        <v>45</v>
      </c>
      <c r="B49" s="21" t="s">
        <v>350</v>
      </c>
      <c r="C49" s="20" t="str">
        <f>IF(B49="","",IF(COUNTIF('01_Anggota'!$D$5:$D$1212,B49)=0,"NAMA TIDAK DITEMUKAN",INDEX('01_Anggota'!$B$5:$B$1212,MATCH(B49,'01_Anggota'!$D$5:$D$1212,0))))</f>
        <v>KKSUK-000151</v>
      </c>
      <c r="D49" s="23">
        <v>0</v>
      </c>
      <c r="E49" s="23">
        <v>2800000</v>
      </c>
      <c r="F49" s="23">
        <v>1100000</v>
      </c>
      <c r="G49" s="23">
        <v>0</v>
      </c>
      <c r="H49" s="42">
        <v>46023</v>
      </c>
      <c r="I49" s="21" t="s">
        <v>802</v>
      </c>
    </row>
    <row r="50" spans="1:9" ht="21" customHeight="1">
      <c r="A50" s="20">
        <f t="shared" si="0"/>
        <v>46</v>
      </c>
      <c r="B50" s="21" t="s">
        <v>350</v>
      </c>
      <c r="C50" s="20" t="str">
        <f>IF(B50="","",IF(COUNTIF('01_Anggota'!$D$5:$D$1212,B50)=0,"NAMA TIDAK DITEMUKAN",INDEX('01_Anggota'!$B$5:$B$1212,MATCH(B50,'01_Anggota'!$D$5:$D$1212,0))))</f>
        <v>KKSUK-000151</v>
      </c>
      <c r="D50" s="23">
        <v>0</v>
      </c>
      <c r="E50" s="23">
        <v>250000</v>
      </c>
      <c r="F50" s="23">
        <v>100000</v>
      </c>
      <c r="G50" s="23">
        <v>0</v>
      </c>
      <c r="H50" s="42">
        <v>46045</v>
      </c>
      <c r="I50" s="21" t="s">
        <v>803</v>
      </c>
    </row>
    <row r="51" spans="1:9" ht="21" customHeight="1">
      <c r="A51" s="20">
        <f t="shared" si="0"/>
        <v>47</v>
      </c>
      <c r="B51" s="21" t="s">
        <v>350</v>
      </c>
      <c r="C51" s="20" t="str">
        <f>IF(B51="","",IF(COUNTIF('01_Anggota'!$D$5:$D$1212,B51)=0,"NAMA TIDAK DITEMUKAN",INDEX('01_Anggota'!$B$5:$B$1212,MATCH(B51,'01_Anggota'!$D$5:$D$1212,0))))</f>
        <v>KKSUK-000151</v>
      </c>
      <c r="D51" s="23">
        <v>0</v>
      </c>
      <c r="E51" s="23">
        <v>250000</v>
      </c>
      <c r="F51" s="23">
        <v>100000</v>
      </c>
      <c r="G51" s="23">
        <v>0</v>
      </c>
      <c r="H51" s="42">
        <v>46078</v>
      </c>
      <c r="I51" s="21" t="s">
        <v>804</v>
      </c>
    </row>
    <row r="52" spans="1:9" ht="21" customHeight="1">
      <c r="A52" s="20">
        <f t="shared" si="0"/>
        <v>48</v>
      </c>
      <c r="B52" s="21" t="s">
        <v>350</v>
      </c>
      <c r="C52" s="20" t="str">
        <f>IF(B52="","",IF(COUNTIF('01_Anggota'!$D$5:$D$1212,B52)=0,"NAMA TIDAK DITEMUKAN",INDEX('01_Anggota'!$B$5:$B$1212,MATCH(B52,'01_Anggota'!$D$5:$D$1212,0))))</f>
        <v>KKSUK-000151</v>
      </c>
      <c r="D52" s="23">
        <v>0</v>
      </c>
      <c r="E52" s="23">
        <v>250000</v>
      </c>
      <c r="F52" s="23">
        <v>100000</v>
      </c>
      <c r="G52" s="23">
        <v>0</v>
      </c>
      <c r="H52" s="42">
        <v>46106</v>
      </c>
      <c r="I52" s="21" t="s">
        <v>805</v>
      </c>
    </row>
    <row r="53" spans="1:9" ht="21" customHeight="1">
      <c r="A53" s="20">
        <f t="shared" si="0"/>
        <v>49</v>
      </c>
      <c r="B53" s="21" t="s">
        <v>350</v>
      </c>
      <c r="C53" s="20" t="str">
        <f>IF(B53="","",IF(COUNTIF('01_Anggota'!$D$5:$D$1212,B53)=0,"NAMA TIDAK DITEMUKAN",INDEX('01_Anggota'!$B$5:$B$1212,MATCH(B53,'01_Anggota'!$D$5:$D$1212,0))))</f>
        <v>KKSUK-000151</v>
      </c>
      <c r="D53" s="23">
        <v>0</v>
      </c>
      <c r="E53" s="23">
        <v>250000</v>
      </c>
      <c r="F53" s="23">
        <v>100000</v>
      </c>
      <c r="G53" s="23">
        <v>0</v>
      </c>
      <c r="H53" s="42">
        <v>46136</v>
      </c>
      <c r="I53" s="21" t="s">
        <v>806</v>
      </c>
    </row>
    <row r="54" spans="1:9" ht="21" customHeight="1">
      <c r="A54" s="20">
        <f t="shared" si="0"/>
        <v>50</v>
      </c>
      <c r="B54" s="21" t="s">
        <v>350</v>
      </c>
      <c r="C54" s="20" t="str">
        <f>IF(B54="","",IF(COUNTIF('01_Anggota'!$D$5:$D$1212,B54)=0,"NAMA TIDAK DITEMUKAN",INDEX('01_Anggota'!$B$5:$B$1212,MATCH(B54,'01_Anggota'!$D$5:$D$1212,0))))</f>
        <v>KKSUK-000151</v>
      </c>
      <c r="D54" s="23">
        <v>0</v>
      </c>
      <c r="E54" s="23">
        <v>250000</v>
      </c>
      <c r="F54" s="23">
        <v>100000</v>
      </c>
      <c r="G54" s="23">
        <v>0</v>
      </c>
      <c r="H54" s="42">
        <v>46167</v>
      </c>
      <c r="I54" s="21" t="s">
        <v>807</v>
      </c>
    </row>
    <row r="55" spans="1:9" ht="21" customHeight="1">
      <c r="A55" s="20">
        <f t="shared" si="0"/>
        <v>51</v>
      </c>
      <c r="B55" s="21" t="s">
        <v>350</v>
      </c>
      <c r="C55" s="20" t="str">
        <f>IF(B55="","",IF(COUNTIF('01_Anggota'!$D$5:$D$1212,B55)=0,"NAMA TIDAK DITEMUKAN",INDEX('01_Anggota'!$B$5:$B$1212,MATCH(B55,'01_Anggota'!$D$5:$D$1212,0))))</f>
        <v>KKSUK-000151</v>
      </c>
      <c r="D55" s="23">
        <v>0</v>
      </c>
      <c r="E55" s="23">
        <v>250000</v>
      </c>
      <c r="F55" s="23">
        <v>100000</v>
      </c>
      <c r="G55" s="23">
        <v>0</v>
      </c>
      <c r="H55" s="42">
        <v>46198</v>
      </c>
      <c r="I55" s="21" t="s">
        <v>808</v>
      </c>
    </row>
    <row r="56" spans="1:9" ht="21" customHeight="1">
      <c r="A56" s="20">
        <f t="shared" si="0"/>
        <v>52</v>
      </c>
      <c r="B56" s="21" t="s">
        <v>350</v>
      </c>
      <c r="C56" s="20" t="str">
        <f>IF(B56="","",IF(COUNTIF('01_Anggota'!$D$5:$D$1212,B56)=0,"NAMA TIDAK DITEMUKAN",INDEX('01_Anggota'!$B$5:$B$1212,MATCH(B56,'01_Anggota'!$D$5:$D$1212,0))))</f>
        <v>KKSUK-000151</v>
      </c>
      <c r="D56" s="23">
        <v>0</v>
      </c>
      <c r="E56" s="23">
        <v>250000</v>
      </c>
      <c r="F56" s="23">
        <v>100000</v>
      </c>
      <c r="G56" s="23">
        <v>0</v>
      </c>
      <c r="H56" s="42">
        <v>46227</v>
      </c>
      <c r="I56" s="21" t="s">
        <v>809</v>
      </c>
    </row>
    <row r="57" spans="1:9" ht="21" customHeight="1">
      <c r="A57" s="20">
        <f t="shared" si="0"/>
        <v>53</v>
      </c>
      <c r="B57" s="21" t="s">
        <v>350</v>
      </c>
      <c r="C57" s="20" t="str">
        <f>IF(B57="","",IF(COUNTIF('01_Anggota'!$D$5:$D$1212,B57)=0,"NAMA TIDAK DITEMUKAN",INDEX('01_Anggota'!$B$5:$B$1212,MATCH(B57,'01_Anggota'!$D$5:$D$1212,0))))</f>
        <v>KKSUK-000151</v>
      </c>
      <c r="D57" s="23">
        <v>0</v>
      </c>
      <c r="E57" s="23">
        <v>250000</v>
      </c>
      <c r="F57" s="23">
        <v>100000</v>
      </c>
      <c r="G57" s="23">
        <v>0</v>
      </c>
      <c r="H57" s="42">
        <v>46258</v>
      </c>
      <c r="I57" s="21" t="s">
        <v>810</v>
      </c>
    </row>
    <row r="58" spans="1:9" ht="21" customHeight="1">
      <c r="A58" s="20">
        <f t="shared" si="0"/>
        <v>54</v>
      </c>
      <c r="B58" s="21" t="s">
        <v>393</v>
      </c>
      <c r="C58" s="20" t="str">
        <f>IF(B58="","",IF(COUNTIF('01_Anggota'!$D$5:$D$1212,B58)=0,"NAMA TIDAK DITEMUKAN",INDEX('01_Anggota'!$B$5:$B$1212,MATCH(B58,'01_Anggota'!$D$5:$D$1212,0))))</f>
        <v>KKSUK-000194</v>
      </c>
      <c r="D58" s="23">
        <v>0</v>
      </c>
      <c r="E58" s="23">
        <v>100000</v>
      </c>
      <c r="F58" s="23">
        <v>200000</v>
      </c>
      <c r="G58" s="23">
        <v>0</v>
      </c>
      <c r="H58" s="42">
        <v>46023</v>
      </c>
      <c r="I58" s="21" t="s">
        <v>802</v>
      </c>
    </row>
    <row r="59" spans="1:9" ht="21" customHeight="1">
      <c r="A59" s="20">
        <f t="shared" si="0"/>
        <v>55</v>
      </c>
      <c r="B59" s="21" t="s">
        <v>264</v>
      </c>
      <c r="C59" s="20" t="str">
        <f>IF(B59="","",IF(COUNTIF('01_Anggota'!$D$5:$D$1212,B59)=0,"NAMA TIDAK DITEMUKAN",INDEX('01_Anggota'!$B$5:$B$1212,MATCH(B59,'01_Anggota'!$D$5:$D$1212,0))))</f>
        <v>KKSUK-000065</v>
      </c>
      <c r="D59" s="23">
        <v>0</v>
      </c>
      <c r="E59" s="23">
        <v>5150000</v>
      </c>
      <c r="F59" s="23">
        <v>6600000</v>
      </c>
      <c r="G59" s="23">
        <v>1828753</v>
      </c>
      <c r="H59" s="42">
        <v>46023</v>
      </c>
      <c r="I59" s="21" t="s">
        <v>802</v>
      </c>
    </row>
    <row r="60" spans="1:9" ht="21" customHeight="1">
      <c r="A60" s="20">
        <f t="shared" si="0"/>
        <v>56</v>
      </c>
      <c r="B60" s="21" t="s">
        <v>264</v>
      </c>
      <c r="C60" s="20" t="str">
        <f>IF(B60="","",IF(COUNTIF('01_Anggota'!$D$5:$D$1212,B60)=0,"NAMA TIDAK DITEMUKAN",INDEX('01_Anggota'!$B$5:$B$1212,MATCH(B60,'01_Anggota'!$D$5:$D$1212,0))))</f>
        <v>KKSUK-000065</v>
      </c>
      <c r="D60" s="23">
        <v>0</v>
      </c>
      <c r="E60" s="23">
        <v>300000</v>
      </c>
      <c r="F60" s="23">
        <v>200000</v>
      </c>
      <c r="G60" s="23">
        <v>0</v>
      </c>
      <c r="H60" s="42">
        <v>46045</v>
      </c>
      <c r="I60" s="21" t="s">
        <v>803</v>
      </c>
    </row>
    <row r="61" spans="1:9" ht="21" customHeight="1">
      <c r="A61" s="20">
        <f t="shared" si="0"/>
        <v>57</v>
      </c>
      <c r="B61" s="21" t="s">
        <v>264</v>
      </c>
      <c r="C61" s="20" t="str">
        <f>IF(B61="","",IF(COUNTIF('01_Anggota'!$D$5:$D$1212,B61)=0,"NAMA TIDAK DITEMUKAN",INDEX('01_Anggota'!$B$5:$B$1212,MATCH(B61,'01_Anggota'!$D$5:$D$1212,0))))</f>
        <v>KKSUK-000065</v>
      </c>
      <c r="D61" s="23">
        <v>0</v>
      </c>
      <c r="E61" s="23">
        <v>300000</v>
      </c>
      <c r="F61" s="23">
        <v>200000</v>
      </c>
      <c r="G61" s="23">
        <v>0</v>
      </c>
      <c r="H61" s="42">
        <v>46078</v>
      </c>
      <c r="I61" s="21" t="s">
        <v>804</v>
      </c>
    </row>
    <row r="62" spans="1:9" ht="21" customHeight="1">
      <c r="A62" s="20">
        <f t="shared" si="0"/>
        <v>58</v>
      </c>
      <c r="B62" s="21" t="s">
        <v>264</v>
      </c>
      <c r="C62" s="20" t="str">
        <f>IF(B62="","",IF(COUNTIF('01_Anggota'!$D$5:$D$1212,B62)=0,"NAMA TIDAK DITEMUKAN",INDEX('01_Anggota'!$B$5:$B$1212,MATCH(B62,'01_Anggota'!$D$5:$D$1212,0))))</f>
        <v>KKSUK-000065</v>
      </c>
      <c r="D62" s="23">
        <v>0</v>
      </c>
      <c r="E62" s="23">
        <v>300000</v>
      </c>
      <c r="F62" s="23">
        <v>200000</v>
      </c>
      <c r="G62" s="23">
        <v>0</v>
      </c>
      <c r="H62" s="42">
        <v>46106</v>
      </c>
      <c r="I62" s="21" t="s">
        <v>805</v>
      </c>
    </row>
    <row r="63" spans="1:9" ht="21" customHeight="1">
      <c r="A63" s="20">
        <f t="shared" si="0"/>
        <v>59</v>
      </c>
      <c r="B63" s="21" t="s">
        <v>264</v>
      </c>
      <c r="C63" s="20" t="str">
        <f>IF(B63="","",IF(COUNTIF('01_Anggota'!$D$5:$D$1212,B63)=0,"NAMA TIDAK DITEMUKAN",INDEX('01_Anggota'!$B$5:$B$1212,MATCH(B63,'01_Anggota'!$D$5:$D$1212,0))))</f>
        <v>KKSUK-000065</v>
      </c>
      <c r="D63" s="23">
        <v>0</v>
      </c>
      <c r="E63" s="23">
        <v>300000</v>
      </c>
      <c r="F63" s="23">
        <v>200000</v>
      </c>
      <c r="G63" s="23">
        <v>0</v>
      </c>
      <c r="H63" s="42">
        <v>46136</v>
      </c>
      <c r="I63" s="21" t="s">
        <v>806</v>
      </c>
    </row>
    <row r="64" spans="1:9" ht="21" customHeight="1">
      <c r="A64" s="20">
        <f t="shared" si="0"/>
        <v>60</v>
      </c>
      <c r="B64" s="21" t="s">
        <v>264</v>
      </c>
      <c r="C64" s="20" t="str">
        <f>IF(B64="","",IF(COUNTIF('01_Anggota'!$D$5:$D$1212,B64)=0,"NAMA TIDAK DITEMUKAN",INDEX('01_Anggota'!$B$5:$B$1212,MATCH(B64,'01_Anggota'!$D$5:$D$1212,0))))</f>
        <v>KKSUK-000065</v>
      </c>
      <c r="D64" s="23">
        <v>0</v>
      </c>
      <c r="E64" s="23">
        <v>300000</v>
      </c>
      <c r="F64" s="23">
        <v>200000</v>
      </c>
      <c r="G64" s="23">
        <v>0</v>
      </c>
      <c r="H64" s="42">
        <v>46167</v>
      </c>
      <c r="I64" s="21" t="s">
        <v>807</v>
      </c>
    </row>
    <row r="65" spans="1:9" ht="21" customHeight="1">
      <c r="A65" s="20">
        <f t="shared" si="0"/>
        <v>61</v>
      </c>
      <c r="B65" s="21" t="s">
        <v>264</v>
      </c>
      <c r="C65" s="20" t="str">
        <f>IF(B65="","",IF(COUNTIF('01_Anggota'!$D$5:$D$1212,B65)=0,"NAMA TIDAK DITEMUKAN",INDEX('01_Anggota'!$B$5:$B$1212,MATCH(B65,'01_Anggota'!$D$5:$D$1212,0))))</f>
        <v>KKSUK-000065</v>
      </c>
      <c r="D65" s="23">
        <v>0</v>
      </c>
      <c r="E65" s="23">
        <v>300000</v>
      </c>
      <c r="F65" s="23">
        <v>200000</v>
      </c>
      <c r="G65" s="23">
        <v>0</v>
      </c>
      <c r="H65" s="42">
        <v>46198</v>
      </c>
      <c r="I65" s="21" t="s">
        <v>808</v>
      </c>
    </row>
    <row r="66" spans="1:9" ht="21" customHeight="1">
      <c r="A66" s="20">
        <f t="shared" si="0"/>
        <v>62</v>
      </c>
      <c r="B66" s="21" t="s">
        <v>264</v>
      </c>
      <c r="C66" s="20" t="str">
        <f>IF(B66="","",IF(COUNTIF('01_Anggota'!$D$5:$D$1212,B66)=0,"NAMA TIDAK DITEMUKAN",INDEX('01_Anggota'!$B$5:$B$1212,MATCH(B66,'01_Anggota'!$D$5:$D$1212,0))))</f>
        <v>KKSUK-000065</v>
      </c>
      <c r="D66" s="23">
        <v>0</v>
      </c>
      <c r="E66" s="23">
        <v>300000</v>
      </c>
      <c r="F66" s="23">
        <v>200000</v>
      </c>
      <c r="G66" s="23">
        <v>0</v>
      </c>
      <c r="H66" s="42">
        <v>46227</v>
      </c>
      <c r="I66" s="21" t="s">
        <v>809</v>
      </c>
    </row>
    <row r="67" spans="1:9" ht="21" customHeight="1">
      <c r="A67" s="20">
        <f t="shared" si="0"/>
        <v>63</v>
      </c>
      <c r="B67" s="21" t="s">
        <v>264</v>
      </c>
      <c r="C67" s="20" t="str">
        <f>IF(B67="","",IF(COUNTIF('01_Anggota'!$D$5:$D$1212,B67)=0,"NAMA TIDAK DITEMUKAN",INDEX('01_Anggota'!$B$5:$B$1212,MATCH(B67,'01_Anggota'!$D$5:$D$1212,0))))</f>
        <v>KKSUK-000065</v>
      </c>
      <c r="D67" s="23">
        <v>0</v>
      </c>
      <c r="E67" s="23">
        <v>300000</v>
      </c>
      <c r="F67" s="23">
        <v>200000</v>
      </c>
      <c r="G67" s="23">
        <v>0</v>
      </c>
      <c r="H67" s="42">
        <v>46258</v>
      </c>
      <c r="I67" s="21" t="s">
        <v>810</v>
      </c>
    </row>
    <row r="68" spans="1:9" ht="21" customHeight="1">
      <c r="A68" s="20">
        <f t="shared" si="0"/>
        <v>64</v>
      </c>
      <c r="B68" s="21" t="s">
        <v>392</v>
      </c>
      <c r="C68" s="20" t="str">
        <f>IF(B68="","",IF(COUNTIF('01_Anggota'!$D$5:$D$1212,B68)=0,"NAMA TIDAK DITEMUKAN",INDEX('01_Anggota'!$B$5:$B$1212,MATCH(B68,'01_Anggota'!$D$5:$D$1212,0))))</f>
        <v>KKSUK-000193</v>
      </c>
      <c r="D68" s="23">
        <v>0</v>
      </c>
      <c r="E68" s="23">
        <v>100000</v>
      </c>
      <c r="F68" s="23">
        <v>200000</v>
      </c>
      <c r="G68" s="23">
        <v>0</v>
      </c>
      <c r="H68" s="42">
        <v>46023</v>
      </c>
      <c r="I68" s="21" t="s">
        <v>802</v>
      </c>
    </row>
    <row r="69" spans="1:9" ht="21" customHeight="1">
      <c r="A69" s="20">
        <f t="shared" ref="A69:A132" si="1">IF(B69="","",ROW()-4)</f>
        <v>65</v>
      </c>
      <c r="B69" s="21" t="s">
        <v>266</v>
      </c>
      <c r="C69" s="20" t="str">
        <f>IF(B69="","",IF(COUNTIF('01_Anggota'!$D$5:$D$1212,B69)=0,"NAMA TIDAK DITEMUKAN",INDEX('01_Anggota'!$B$5:$B$1212,MATCH(B69,'01_Anggota'!$D$5:$D$1212,0))))</f>
        <v>KKSUK-000067</v>
      </c>
      <c r="D69" s="23">
        <v>0</v>
      </c>
      <c r="E69" s="23">
        <v>3260000</v>
      </c>
      <c r="F69" s="23">
        <v>11232731</v>
      </c>
      <c r="G69" s="23">
        <v>4501436</v>
      </c>
      <c r="H69" s="42">
        <v>46023</v>
      </c>
      <c r="I69" s="21" t="s">
        <v>802</v>
      </c>
    </row>
    <row r="70" spans="1:9" ht="21" customHeight="1">
      <c r="A70" s="20">
        <f t="shared" si="1"/>
        <v>66</v>
      </c>
      <c r="B70" s="21" t="s">
        <v>266</v>
      </c>
      <c r="C70" s="20" t="str">
        <f>IF(B70="","",IF(COUNTIF('01_Anggota'!$D$5:$D$1212,B70)=0,"NAMA TIDAK DITEMUKAN",INDEX('01_Anggota'!$B$5:$B$1212,MATCH(B70,'01_Anggota'!$D$5:$D$1212,0))))</f>
        <v>KKSUK-000067</v>
      </c>
      <c r="D70" s="23">
        <v>0</v>
      </c>
      <c r="E70" s="23">
        <v>150000</v>
      </c>
      <c r="F70" s="23">
        <v>100000</v>
      </c>
      <c r="G70" s="23">
        <v>0</v>
      </c>
      <c r="H70" s="42">
        <v>46045</v>
      </c>
      <c r="I70" s="21" t="s">
        <v>803</v>
      </c>
    </row>
    <row r="71" spans="1:9" ht="21" customHeight="1">
      <c r="A71" s="20">
        <f t="shared" si="1"/>
        <v>67</v>
      </c>
      <c r="B71" s="21" t="s">
        <v>266</v>
      </c>
      <c r="C71" s="20" t="str">
        <f>IF(B71="","",IF(COUNTIF('01_Anggota'!$D$5:$D$1212,B71)=0,"NAMA TIDAK DITEMUKAN",INDEX('01_Anggota'!$B$5:$B$1212,MATCH(B71,'01_Anggota'!$D$5:$D$1212,0))))</f>
        <v>KKSUK-000067</v>
      </c>
      <c r="D71" s="23">
        <v>0</v>
      </c>
      <c r="E71" s="23">
        <v>150000</v>
      </c>
      <c r="F71" s="23">
        <v>100000</v>
      </c>
      <c r="G71" s="23">
        <v>0</v>
      </c>
      <c r="H71" s="42">
        <v>46078</v>
      </c>
      <c r="I71" s="21" t="s">
        <v>804</v>
      </c>
    </row>
    <row r="72" spans="1:9" ht="21" customHeight="1">
      <c r="A72" s="20">
        <f t="shared" si="1"/>
        <v>68</v>
      </c>
      <c r="B72" s="21" t="s">
        <v>266</v>
      </c>
      <c r="C72" s="20" t="str">
        <f>IF(B72="","",IF(COUNTIF('01_Anggota'!$D$5:$D$1212,B72)=0,"NAMA TIDAK DITEMUKAN",INDEX('01_Anggota'!$B$5:$B$1212,MATCH(B72,'01_Anggota'!$D$5:$D$1212,0))))</f>
        <v>KKSUK-000067</v>
      </c>
      <c r="D72" s="23">
        <v>0</v>
      </c>
      <c r="E72" s="23">
        <v>150000</v>
      </c>
      <c r="F72" s="23">
        <v>100000</v>
      </c>
      <c r="G72" s="23">
        <v>0</v>
      </c>
      <c r="H72" s="42">
        <v>46106</v>
      </c>
      <c r="I72" s="21" t="s">
        <v>805</v>
      </c>
    </row>
    <row r="73" spans="1:9" ht="21" customHeight="1">
      <c r="A73" s="20">
        <f t="shared" si="1"/>
        <v>69</v>
      </c>
      <c r="B73" s="21" t="s">
        <v>266</v>
      </c>
      <c r="C73" s="20" t="str">
        <f>IF(B73="","",IF(COUNTIF('01_Anggota'!$D$5:$D$1212,B73)=0,"NAMA TIDAK DITEMUKAN",INDEX('01_Anggota'!$B$5:$B$1212,MATCH(B73,'01_Anggota'!$D$5:$D$1212,0))))</f>
        <v>KKSUK-000067</v>
      </c>
      <c r="D73" s="23">
        <v>0</v>
      </c>
      <c r="E73" s="23">
        <v>100000</v>
      </c>
      <c r="F73" s="23">
        <v>150000</v>
      </c>
      <c r="G73" s="23">
        <v>0</v>
      </c>
      <c r="H73" s="42">
        <v>46136</v>
      </c>
      <c r="I73" s="21" t="s">
        <v>806</v>
      </c>
    </row>
    <row r="74" spans="1:9" ht="21" customHeight="1">
      <c r="A74" s="20">
        <f t="shared" si="1"/>
        <v>70</v>
      </c>
      <c r="B74" s="21" t="s">
        <v>266</v>
      </c>
      <c r="C74" s="20" t="str">
        <f>IF(B74="","",IF(COUNTIF('01_Anggota'!$D$5:$D$1212,B74)=0,"NAMA TIDAK DITEMUKAN",INDEX('01_Anggota'!$B$5:$B$1212,MATCH(B74,'01_Anggota'!$D$5:$D$1212,0))))</f>
        <v>KKSUK-000067</v>
      </c>
      <c r="D74" s="23">
        <v>0</v>
      </c>
      <c r="E74" s="23">
        <v>100000</v>
      </c>
      <c r="F74" s="23">
        <v>150000</v>
      </c>
      <c r="G74" s="23">
        <v>0</v>
      </c>
      <c r="H74" s="42">
        <v>46167</v>
      </c>
      <c r="I74" s="21" t="s">
        <v>807</v>
      </c>
    </row>
    <row r="75" spans="1:9" ht="21" customHeight="1">
      <c r="A75" s="20">
        <f t="shared" si="1"/>
        <v>71</v>
      </c>
      <c r="B75" s="21" t="s">
        <v>266</v>
      </c>
      <c r="C75" s="20" t="str">
        <f>IF(B75="","",IF(COUNTIF('01_Anggota'!$D$5:$D$1212,B75)=0,"NAMA TIDAK DITEMUKAN",INDEX('01_Anggota'!$B$5:$B$1212,MATCH(B75,'01_Anggota'!$D$5:$D$1212,0))))</f>
        <v>KKSUK-000067</v>
      </c>
      <c r="D75" s="23">
        <v>0</v>
      </c>
      <c r="E75" s="23">
        <v>100000</v>
      </c>
      <c r="F75" s="23">
        <v>150000</v>
      </c>
      <c r="G75" s="23">
        <v>0</v>
      </c>
      <c r="H75" s="42">
        <v>46198</v>
      </c>
      <c r="I75" s="21" t="s">
        <v>808</v>
      </c>
    </row>
    <row r="76" spans="1:9" ht="21" customHeight="1">
      <c r="A76" s="20">
        <f t="shared" si="1"/>
        <v>72</v>
      </c>
      <c r="B76" s="21" t="s">
        <v>266</v>
      </c>
      <c r="C76" s="20" t="str">
        <f>IF(B76="","",IF(COUNTIF('01_Anggota'!$D$5:$D$1212,B76)=0,"NAMA TIDAK DITEMUKAN",INDEX('01_Anggota'!$B$5:$B$1212,MATCH(B76,'01_Anggota'!$D$5:$D$1212,0))))</f>
        <v>KKSUK-000067</v>
      </c>
      <c r="D76" s="23">
        <v>0</v>
      </c>
      <c r="E76" s="23">
        <v>100000</v>
      </c>
      <c r="F76" s="23">
        <v>150000</v>
      </c>
      <c r="G76" s="23">
        <v>0</v>
      </c>
      <c r="H76" s="42">
        <v>46227</v>
      </c>
      <c r="I76" s="21" t="s">
        <v>809</v>
      </c>
    </row>
    <row r="77" spans="1:9" ht="21" customHeight="1">
      <c r="A77" s="20">
        <f t="shared" si="1"/>
        <v>73</v>
      </c>
      <c r="B77" s="21" t="s">
        <v>266</v>
      </c>
      <c r="C77" s="20" t="str">
        <f>IF(B77="","",IF(COUNTIF('01_Anggota'!$D$5:$D$1212,B77)=0,"NAMA TIDAK DITEMUKAN",INDEX('01_Anggota'!$B$5:$B$1212,MATCH(B77,'01_Anggota'!$D$5:$D$1212,0))))</f>
        <v>KKSUK-000067</v>
      </c>
      <c r="D77" s="23">
        <v>0</v>
      </c>
      <c r="E77" s="23">
        <v>100000</v>
      </c>
      <c r="F77" s="23">
        <v>150000</v>
      </c>
      <c r="G77" s="23">
        <v>0</v>
      </c>
      <c r="H77" s="42">
        <v>46258</v>
      </c>
      <c r="I77" s="21" t="s">
        <v>810</v>
      </c>
    </row>
    <row r="78" spans="1:9" ht="21" customHeight="1">
      <c r="A78" s="20">
        <f t="shared" si="1"/>
        <v>74</v>
      </c>
      <c r="B78" s="21" t="s">
        <v>355</v>
      </c>
      <c r="C78" s="20" t="str">
        <f>IF(B78="","",IF(COUNTIF('01_Anggota'!$D$5:$D$1212,B78)=0,"NAMA TIDAK DITEMUKAN",INDEX('01_Anggota'!$B$5:$B$1212,MATCH(B78,'01_Anggota'!$D$5:$D$1212,0))))</f>
        <v>KKSUK-000156</v>
      </c>
      <c r="D78" s="23">
        <v>0</v>
      </c>
      <c r="E78" s="23">
        <v>900000</v>
      </c>
      <c r="F78" s="23">
        <v>1000000</v>
      </c>
      <c r="G78" s="23">
        <v>0</v>
      </c>
      <c r="H78" s="42">
        <v>46023</v>
      </c>
      <c r="I78" s="21" t="s">
        <v>802</v>
      </c>
    </row>
    <row r="79" spans="1:9" ht="21" customHeight="1">
      <c r="A79" s="20">
        <f t="shared" si="1"/>
        <v>75</v>
      </c>
      <c r="B79" s="21" t="s">
        <v>355</v>
      </c>
      <c r="C79" s="20" t="str">
        <f>IF(B79="","",IF(COUNTIF('01_Anggota'!$D$5:$D$1212,B79)=0,"NAMA TIDAK DITEMUKAN",INDEX('01_Anggota'!$B$5:$B$1212,MATCH(B79,'01_Anggota'!$D$5:$D$1212,0))))</f>
        <v>KKSUK-000156</v>
      </c>
      <c r="D79" s="23">
        <v>0</v>
      </c>
      <c r="E79" s="23">
        <v>50000</v>
      </c>
      <c r="F79" s="23">
        <v>100000</v>
      </c>
      <c r="G79" s="23">
        <v>0</v>
      </c>
      <c r="H79" s="42">
        <v>46045</v>
      </c>
      <c r="I79" s="21" t="s">
        <v>803</v>
      </c>
    </row>
    <row r="80" spans="1:9" ht="21" customHeight="1">
      <c r="A80" s="20">
        <f t="shared" si="1"/>
        <v>76</v>
      </c>
      <c r="B80" s="21" t="s">
        <v>355</v>
      </c>
      <c r="C80" s="20" t="str">
        <f>IF(B80="","",IF(COUNTIF('01_Anggota'!$D$5:$D$1212,B80)=0,"NAMA TIDAK DITEMUKAN",INDEX('01_Anggota'!$B$5:$B$1212,MATCH(B80,'01_Anggota'!$D$5:$D$1212,0))))</f>
        <v>KKSUK-000156</v>
      </c>
      <c r="D80" s="23">
        <v>0</v>
      </c>
      <c r="E80" s="23">
        <v>50000</v>
      </c>
      <c r="F80" s="23">
        <v>100000</v>
      </c>
      <c r="G80" s="23">
        <v>0</v>
      </c>
      <c r="H80" s="42">
        <v>46078</v>
      </c>
      <c r="I80" s="21" t="s">
        <v>804</v>
      </c>
    </row>
    <row r="81" spans="1:9" ht="21" customHeight="1">
      <c r="A81" s="20">
        <f t="shared" si="1"/>
        <v>77</v>
      </c>
      <c r="B81" s="21" t="s">
        <v>355</v>
      </c>
      <c r="C81" s="20" t="str">
        <f>IF(B81="","",IF(COUNTIF('01_Anggota'!$D$5:$D$1212,B81)=0,"NAMA TIDAK DITEMUKAN",INDEX('01_Anggota'!$B$5:$B$1212,MATCH(B81,'01_Anggota'!$D$5:$D$1212,0))))</f>
        <v>KKSUK-000156</v>
      </c>
      <c r="D81" s="23">
        <v>0</v>
      </c>
      <c r="E81" s="23">
        <v>50000</v>
      </c>
      <c r="F81" s="23">
        <v>100000</v>
      </c>
      <c r="G81" s="23">
        <v>0</v>
      </c>
      <c r="H81" s="42">
        <v>46106</v>
      </c>
      <c r="I81" s="21" t="s">
        <v>805</v>
      </c>
    </row>
    <row r="82" spans="1:9" ht="21" customHeight="1">
      <c r="A82" s="20">
        <f t="shared" si="1"/>
        <v>78</v>
      </c>
      <c r="B82" s="21" t="s">
        <v>355</v>
      </c>
      <c r="C82" s="20" t="str">
        <f>IF(B82="","",IF(COUNTIF('01_Anggota'!$D$5:$D$1212,B82)=0,"NAMA TIDAK DITEMUKAN",INDEX('01_Anggota'!$B$5:$B$1212,MATCH(B82,'01_Anggota'!$D$5:$D$1212,0))))</f>
        <v>KKSUK-000156</v>
      </c>
      <c r="D82" s="23">
        <v>0</v>
      </c>
      <c r="E82" s="23">
        <v>50000</v>
      </c>
      <c r="F82" s="23">
        <v>100000</v>
      </c>
      <c r="G82" s="23">
        <v>0</v>
      </c>
      <c r="H82" s="42">
        <v>46136</v>
      </c>
      <c r="I82" s="21" t="s">
        <v>806</v>
      </c>
    </row>
    <row r="83" spans="1:9" ht="21" customHeight="1">
      <c r="A83" s="20">
        <f t="shared" si="1"/>
        <v>79</v>
      </c>
      <c r="B83" s="21" t="s">
        <v>355</v>
      </c>
      <c r="C83" s="20" t="str">
        <f>IF(B83="","",IF(COUNTIF('01_Anggota'!$D$5:$D$1212,B83)=0,"NAMA TIDAK DITEMUKAN",INDEX('01_Anggota'!$B$5:$B$1212,MATCH(B83,'01_Anggota'!$D$5:$D$1212,0))))</f>
        <v>KKSUK-000156</v>
      </c>
      <c r="D83" s="23">
        <v>0</v>
      </c>
      <c r="E83" s="23">
        <v>50000</v>
      </c>
      <c r="F83" s="23">
        <v>100000</v>
      </c>
      <c r="G83" s="23">
        <v>0</v>
      </c>
      <c r="H83" s="42">
        <v>46167</v>
      </c>
      <c r="I83" s="21" t="s">
        <v>807</v>
      </c>
    </row>
    <row r="84" spans="1:9" ht="21" customHeight="1">
      <c r="A84" s="20">
        <f t="shared" si="1"/>
        <v>80</v>
      </c>
      <c r="B84" s="21" t="s">
        <v>355</v>
      </c>
      <c r="C84" s="20" t="str">
        <f>IF(B84="","",IF(COUNTIF('01_Anggota'!$D$5:$D$1212,B84)=0,"NAMA TIDAK DITEMUKAN",INDEX('01_Anggota'!$B$5:$B$1212,MATCH(B84,'01_Anggota'!$D$5:$D$1212,0))))</f>
        <v>KKSUK-000156</v>
      </c>
      <c r="D84" s="23">
        <v>0</v>
      </c>
      <c r="E84" s="23">
        <v>50000</v>
      </c>
      <c r="F84" s="23">
        <v>100000</v>
      </c>
      <c r="G84" s="23">
        <v>0</v>
      </c>
      <c r="H84" s="42">
        <v>46198</v>
      </c>
      <c r="I84" s="21" t="s">
        <v>808</v>
      </c>
    </row>
    <row r="85" spans="1:9" ht="21" customHeight="1">
      <c r="A85" s="20">
        <f t="shared" si="1"/>
        <v>81</v>
      </c>
      <c r="B85" s="21" t="s">
        <v>355</v>
      </c>
      <c r="C85" s="20" t="str">
        <f>IF(B85="","",IF(COUNTIF('01_Anggota'!$D$5:$D$1212,B85)=0,"NAMA TIDAK DITEMUKAN",INDEX('01_Anggota'!$B$5:$B$1212,MATCH(B85,'01_Anggota'!$D$5:$D$1212,0))))</f>
        <v>KKSUK-000156</v>
      </c>
      <c r="D85" s="23">
        <v>0</v>
      </c>
      <c r="E85" s="23">
        <v>50000</v>
      </c>
      <c r="F85" s="23">
        <v>100000</v>
      </c>
      <c r="G85" s="23">
        <v>0</v>
      </c>
      <c r="H85" s="42">
        <v>46227</v>
      </c>
      <c r="I85" s="21" t="s">
        <v>809</v>
      </c>
    </row>
    <row r="86" spans="1:9" ht="21" customHeight="1">
      <c r="A86" s="20">
        <f t="shared" si="1"/>
        <v>82</v>
      </c>
      <c r="B86" s="21" t="s">
        <v>355</v>
      </c>
      <c r="C86" s="20" t="str">
        <f>IF(B86="","",IF(COUNTIF('01_Anggota'!$D$5:$D$1212,B86)=0,"NAMA TIDAK DITEMUKAN",INDEX('01_Anggota'!$B$5:$B$1212,MATCH(B86,'01_Anggota'!$D$5:$D$1212,0))))</f>
        <v>KKSUK-000156</v>
      </c>
      <c r="D86" s="23">
        <v>0</v>
      </c>
      <c r="E86" s="23">
        <v>50000</v>
      </c>
      <c r="F86" s="23">
        <v>100000</v>
      </c>
      <c r="G86" s="23">
        <v>0</v>
      </c>
      <c r="H86" s="42">
        <v>46258</v>
      </c>
      <c r="I86" s="21" t="s">
        <v>810</v>
      </c>
    </row>
    <row r="87" spans="1:9" ht="21" customHeight="1">
      <c r="A87" s="20">
        <f t="shared" si="1"/>
        <v>83</v>
      </c>
      <c r="B87" s="21" t="s">
        <v>398</v>
      </c>
      <c r="C87" s="20" t="str">
        <f>IF(B87="","",IF(COUNTIF('01_Anggota'!$D$5:$D$1212,B87)=0,"NAMA TIDAK DITEMUKAN",INDEX('01_Anggota'!$B$5:$B$1212,MATCH(B87,'01_Anggota'!$D$5:$D$1212,0))))</f>
        <v>KKSUK-000199</v>
      </c>
      <c r="D87" s="23">
        <v>0</v>
      </c>
      <c r="E87" s="23">
        <v>455000</v>
      </c>
      <c r="F87" s="23">
        <v>100000</v>
      </c>
      <c r="G87" s="23">
        <v>0</v>
      </c>
      <c r="H87" s="42">
        <v>46023</v>
      </c>
      <c r="I87" s="21" t="s">
        <v>802</v>
      </c>
    </row>
    <row r="88" spans="1:9" ht="21" customHeight="1">
      <c r="A88" s="20">
        <f t="shared" si="1"/>
        <v>84</v>
      </c>
      <c r="B88" s="21" t="s">
        <v>201</v>
      </c>
      <c r="C88" s="20" t="str">
        <f>IF(B88="","",IF(COUNTIF('01_Anggota'!$D$5:$D$1212,B88)=0,"NAMA TIDAK DITEMUKAN",INDEX('01_Anggota'!$B$5:$B$1212,MATCH(B88,'01_Anggota'!$D$5:$D$1212,0))))</f>
        <v>KKSUK-000002</v>
      </c>
      <c r="D88" s="23">
        <v>0</v>
      </c>
      <c r="E88" s="23">
        <v>3600000</v>
      </c>
      <c r="F88" s="23">
        <v>3600000</v>
      </c>
      <c r="G88" s="23">
        <v>1217271</v>
      </c>
      <c r="H88" s="42">
        <v>46023</v>
      </c>
      <c r="I88" s="21" t="s">
        <v>802</v>
      </c>
    </row>
    <row r="89" spans="1:9" ht="21" customHeight="1">
      <c r="A89" s="20">
        <f t="shared" si="1"/>
        <v>85</v>
      </c>
      <c r="B89" s="21" t="s">
        <v>201</v>
      </c>
      <c r="C89" s="20" t="str">
        <f>IF(B89="","",IF(COUNTIF('01_Anggota'!$D$5:$D$1212,B89)=0,"NAMA TIDAK DITEMUKAN",INDEX('01_Anggota'!$B$5:$B$1212,MATCH(B89,'01_Anggota'!$D$5:$D$1212,0))))</f>
        <v>KKSUK-000002</v>
      </c>
      <c r="D89" s="23">
        <v>0</v>
      </c>
      <c r="E89" s="23">
        <v>100000</v>
      </c>
      <c r="F89" s="23">
        <v>100000</v>
      </c>
      <c r="G89" s="23">
        <v>0</v>
      </c>
      <c r="H89" s="42">
        <v>46045</v>
      </c>
      <c r="I89" s="21" t="s">
        <v>803</v>
      </c>
    </row>
    <row r="90" spans="1:9" ht="21" customHeight="1">
      <c r="A90" s="20">
        <f t="shared" si="1"/>
        <v>86</v>
      </c>
      <c r="B90" s="21" t="s">
        <v>201</v>
      </c>
      <c r="C90" s="20" t="str">
        <f>IF(B90="","",IF(COUNTIF('01_Anggota'!$D$5:$D$1212,B90)=0,"NAMA TIDAK DITEMUKAN",INDEX('01_Anggota'!$B$5:$B$1212,MATCH(B90,'01_Anggota'!$D$5:$D$1212,0))))</f>
        <v>KKSUK-000002</v>
      </c>
      <c r="D90" s="23">
        <v>0</v>
      </c>
      <c r="E90" s="23">
        <v>100000</v>
      </c>
      <c r="F90" s="23">
        <v>100000</v>
      </c>
      <c r="G90" s="23">
        <v>0</v>
      </c>
      <c r="H90" s="42">
        <v>46078</v>
      </c>
      <c r="I90" s="21" t="s">
        <v>804</v>
      </c>
    </row>
    <row r="91" spans="1:9" ht="21" customHeight="1">
      <c r="A91" s="20">
        <f t="shared" si="1"/>
        <v>87</v>
      </c>
      <c r="B91" s="21" t="s">
        <v>201</v>
      </c>
      <c r="C91" s="20" t="str">
        <f>IF(B91="","",IF(COUNTIF('01_Anggota'!$D$5:$D$1212,B91)=0,"NAMA TIDAK DITEMUKAN",INDEX('01_Anggota'!$B$5:$B$1212,MATCH(B91,'01_Anggota'!$D$5:$D$1212,0))))</f>
        <v>KKSUK-000002</v>
      </c>
      <c r="D91" s="23">
        <v>0</v>
      </c>
      <c r="E91" s="23">
        <v>100000</v>
      </c>
      <c r="F91" s="23">
        <v>100000</v>
      </c>
      <c r="G91" s="23">
        <v>0</v>
      </c>
      <c r="H91" s="42">
        <v>46106</v>
      </c>
      <c r="I91" s="21" t="s">
        <v>805</v>
      </c>
    </row>
    <row r="92" spans="1:9" ht="21" customHeight="1">
      <c r="A92" s="20">
        <f t="shared" si="1"/>
        <v>88</v>
      </c>
      <c r="B92" s="21" t="s">
        <v>201</v>
      </c>
      <c r="C92" s="20" t="str">
        <f>IF(B92="","",IF(COUNTIF('01_Anggota'!$D$5:$D$1212,B92)=0,"NAMA TIDAK DITEMUKAN",INDEX('01_Anggota'!$B$5:$B$1212,MATCH(B92,'01_Anggota'!$D$5:$D$1212,0))))</f>
        <v>KKSUK-000002</v>
      </c>
      <c r="D92" s="23">
        <v>0</v>
      </c>
      <c r="E92" s="23">
        <v>100000</v>
      </c>
      <c r="F92" s="23">
        <v>100000</v>
      </c>
      <c r="G92" s="23">
        <v>0</v>
      </c>
      <c r="H92" s="42">
        <v>46136</v>
      </c>
      <c r="I92" s="21" t="s">
        <v>806</v>
      </c>
    </row>
    <row r="93" spans="1:9" ht="21" customHeight="1">
      <c r="A93" s="20">
        <f t="shared" si="1"/>
        <v>89</v>
      </c>
      <c r="B93" s="21" t="s">
        <v>201</v>
      </c>
      <c r="C93" s="20" t="str">
        <f>IF(B93="","",IF(COUNTIF('01_Anggota'!$D$5:$D$1212,B93)=0,"NAMA TIDAK DITEMUKAN",INDEX('01_Anggota'!$B$5:$B$1212,MATCH(B93,'01_Anggota'!$D$5:$D$1212,0))))</f>
        <v>KKSUK-000002</v>
      </c>
      <c r="D93" s="23">
        <v>0</v>
      </c>
      <c r="E93" s="23">
        <v>100000</v>
      </c>
      <c r="F93" s="23">
        <v>100000</v>
      </c>
      <c r="G93" s="23">
        <v>0</v>
      </c>
      <c r="H93" s="42">
        <v>46167</v>
      </c>
      <c r="I93" s="21" t="s">
        <v>807</v>
      </c>
    </row>
    <row r="94" spans="1:9" ht="21" customHeight="1">
      <c r="A94" s="20">
        <f t="shared" si="1"/>
        <v>90</v>
      </c>
      <c r="B94" s="21" t="s">
        <v>201</v>
      </c>
      <c r="C94" s="20" t="str">
        <f>IF(B94="","",IF(COUNTIF('01_Anggota'!$D$5:$D$1212,B94)=0,"NAMA TIDAK DITEMUKAN",INDEX('01_Anggota'!$B$5:$B$1212,MATCH(B94,'01_Anggota'!$D$5:$D$1212,0))))</f>
        <v>KKSUK-000002</v>
      </c>
      <c r="D94" s="23">
        <v>0</v>
      </c>
      <c r="E94" s="23">
        <v>100000</v>
      </c>
      <c r="F94" s="23">
        <v>100000</v>
      </c>
      <c r="G94" s="23">
        <v>0</v>
      </c>
      <c r="H94" s="42">
        <v>46198</v>
      </c>
      <c r="I94" s="21" t="s">
        <v>808</v>
      </c>
    </row>
    <row r="95" spans="1:9" ht="21" customHeight="1">
      <c r="A95" s="20">
        <f t="shared" si="1"/>
        <v>91</v>
      </c>
      <c r="B95" s="21" t="s">
        <v>201</v>
      </c>
      <c r="C95" s="20" t="str">
        <f>IF(B95="","",IF(COUNTIF('01_Anggota'!$D$5:$D$1212,B95)=0,"NAMA TIDAK DITEMUKAN",INDEX('01_Anggota'!$B$5:$B$1212,MATCH(B95,'01_Anggota'!$D$5:$D$1212,0))))</f>
        <v>KKSUK-000002</v>
      </c>
      <c r="D95" s="23">
        <v>0</v>
      </c>
      <c r="E95" s="23">
        <v>100000</v>
      </c>
      <c r="F95" s="23">
        <v>100000</v>
      </c>
      <c r="G95" s="23">
        <v>0</v>
      </c>
      <c r="H95" s="42">
        <v>46227</v>
      </c>
      <c r="I95" s="21" t="s">
        <v>809</v>
      </c>
    </row>
    <row r="96" spans="1:9" ht="21" customHeight="1">
      <c r="A96" s="20">
        <f t="shared" si="1"/>
        <v>92</v>
      </c>
      <c r="B96" s="21" t="s">
        <v>201</v>
      </c>
      <c r="C96" s="20" t="str">
        <f>IF(B96="","",IF(COUNTIF('01_Anggota'!$D$5:$D$1212,B96)=0,"NAMA TIDAK DITEMUKAN",INDEX('01_Anggota'!$B$5:$B$1212,MATCH(B96,'01_Anggota'!$D$5:$D$1212,0))))</f>
        <v>KKSUK-000002</v>
      </c>
      <c r="D96" s="23">
        <v>0</v>
      </c>
      <c r="E96" s="23">
        <v>100000</v>
      </c>
      <c r="F96" s="23">
        <v>100000</v>
      </c>
      <c r="G96" s="23">
        <v>0</v>
      </c>
      <c r="H96" s="42">
        <v>46258</v>
      </c>
      <c r="I96" s="21" t="s">
        <v>810</v>
      </c>
    </row>
    <row r="97" spans="1:9" ht="21" customHeight="1">
      <c r="A97" s="20">
        <f t="shared" si="1"/>
        <v>93</v>
      </c>
      <c r="B97" s="21" t="s">
        <v>343</v>
      </c>
      <c r="C97" s="20" t="str">
        <f>IF(B97="","",IF(COUNTIF('01_Anggota'!$D$5:$D$1212,B97)=0,"NAMA TIDAK DITEMUKAN",INDEX('01_Anggota'!$B$5:$B$1212,MATCH(B97,'01_Anggota'!$D$5:$D$1212,0))))</f>
        <v>KKSUK-000144</v>
      </c>
      <c r="D97" s="23">
        <v>0</v>
      </c>
      <c r="E97" s="23">
        <v>1100000</v>
      </c>
      <c r="F97" s="23">
        <v>1600000</v>
      </c>
      <c r="G97" s="23">
        <v>202867</v>
      </c>
      <c r="H97" s="42">
        <v>46023</v>
      </c>
      <c r="I97" s="21" t="s">
        <v>802</v>
      </c>
    </row>
    <row r="98" spans="1:9" ht="21" customHeight="1">
      <c r="A98" s="20">
        <f t="shared" si="1"/>
        <v>94</v>
      </c>
      <c r="B98" s="21" t="s">
        <v>343</v>
      </c>
      <c r="C98" s="20" t="str">
        <f>IF(B98="","",IF(COUNTIF('01_Anggota'!$D$5:$D$1212,B98)=0,"NAMA TIDAK DITEMUKAN",INDEX('01_Anggota'!$B$5:$B$1212,MATCH(B98,'01_Anggota'!$D$5:$D$1212,0))))</f>
        <v>KKSUK-000144</v>
      </c>
      <c r="D98" s="23">
        <v>0</v>
      </c>
      <c r="E98" s="23">
        <v>100000</v>
      </c>
      <c r="F98" s="23">
        <v>100000</v>
      </c>
      <c r="G98" s="23">
        <v>0</v>
      </c>
      <c r="H98" s="42">
        <v>46045</v>
      </c>
      <c r="I98" s="21" t="s">
        <v>803</v>
      </c>
    </row>
    <row r="99" spans="1:9" ht="21" customHeight="1">
      <c r="A99" s="20">
        <f t="shared" si="1"/>
        <v>95</v>
      </c>
      <c r="B99" s="21" t="s">
        <v>343</v>
      </c>
      <c r="C99" s="20" t="str">
        <f>IF(B99="","",IF(COUNTIF('01_Anggota'!$D$5:$D$1212,B99)=0,"NAMA TIDAK DITEMUKAN",INDEX('01_Anggota'!$B$5:$B$1212,MATCH(B99,'01_Anggota'!$D$5:$D$1212,0))))</f>
        <v>KKSUK-000144</v>
      </c>
      <c r="D99" s="23">
        <v>0</v>
      </c>
      <c r="E99" s="23">
        <v>100000</v>
      </c>
      <c r="F99" s="23">
        <v>100000</v>
      </c>
      <c r="G99" s="23">
        <v>0</v>
      </c>
      <c r="H99" s="42">
        <v>46078</v>
      </c>
      <c r="I99" s="21" t="s">
        <v>804</v>
      </c>
    </row>
    <row r="100" spans="1:9" ht="21" customHeight="1">
      <c r="A100" s="20">
        <f t="shared" si="1"/>
        <v>96</v>
      </c>
      <c r="B100" s="21" t="s">
        <v>343</v>
      </c>
      <c r="C100" s="20" t="str">
        <f>IF(B100="","",IF(COUNTIF('01_Anggota'!$D$5:$D$1212,B100)=0,"NAMA TIDAK DITEMUKAN",INDEX('01_Anggota'!$B$5:$B$1212,MATCH(B100,'01_Anggota'!$D$5:$D$1212,0))))</f>
        <v>KKSUK-000144</v>
      </c>
      <c r="D100" s="23">
        <v>0</v>
      </c>
      <c r="E100" s="23">
        <v>100000</v>
      </c>
      <c r="F100" s="23">
        <v>100000</v>
      </c>
      <c r="G100" s="23">
        <v>0</v>
      </c>
      <c r="H100" s="42">
        <v>46106</v>
      </c>
      <c r="I100" s="21" t="s">
        <v>805</v>
      </c>
    </row>
    <row r="101" spans="1:9" ht="21" customHeight="1">
      <c r="A101" s="20">
        <f t="shared" si="1"/>
        <v>97</v>
      </c>
      <c r="B101" s="21" t="s">
        <v>343</v>
      </c>
      <c r="C101" s="20" t="str">
        <f>IF(B101="","",IF(COUNTIF('01_Anggota'!$D$5:$D$1212,B101)=0,"NAMA TIDAK DITEMUKAN",INDEX('01_Anggota'!$B$5:$B$1212,MATCH(B101,'01_Anggota'!$D$5:$D$1212,0))))</f>
        <v>KKSUK-000144</v>
      </c>
      <c r="D101" s="23">
        <v>0</v>
      </c>
      <c r="E101" s="23">
        <v>100000</v>
      </c>
      <c r="F101" s="23">
        <v>100000</v>
      </c>
      <c r="G101" s="23">
        <v>0</v>
      </c>
      <c r="H101" s="42">
        <v>46136</v>
      </c>
      <c r="I101" s="21" t="s">
        <v>806</v>
      </c>
    </row>
    <row r="102" spans="1:9" ht="21" customHeight="1">
      <c r="A102" s="20">
        <f t="shared" si="1"/>
        <v>98</v>
      </c>
      <c r="B102" s="21" t="s">
        <v>343</v>
      </c>
      <c r="C102" s="20" t="str">
        <f>IF(B102="","",IF(COUNTIF('01_Anggota'!$D$5:$D$1212,B102)=0,"NAMA TIDAK DITEMUKAN",INDEX('01_Anggota'!$B$5:$B$1212,MATCH(B102,'01_Anggota'!$D$5:$D$1212,0))))</f>
        <v>KKSUK-000144</v>
      </c>
      <c r="D102" s="23">
        <v>0</v>
      </c>
      <c r="E102" s="23">
        <v>100000</v>
      </c>
      <c r="F102" s="23">
        <v>100000</v>
      </c>
      <c r="G102" s="23">
        <v>0</v>
      </c>
      <c r="H102" s="42">
        <v>46167</v>
      </c>
      <c r="I102" s="21" t="s">
        <v>807</v>
      </c>
    </row>
    <row r="103" spans="1:9" ht="21" customHeight="1">
      <c r="A103" s="20">
        <f t="shared" si="1"/>
        <v>99</v>
      </c>
      <c r="B103" s="21" t="s">
        <v>343</v>
      </c>
      <c r="C103" s="20" t="str">
        <f>IF(B103="","",IF(COUNTIF('01_Anggota'!$D$5:$D$1212,B103)=0,"NAMA TIDAK DITEMUKAN",INDEX('01_Anggota'!$B$5:$B$1212,MATCH(B103,'01_Anggota'!$D$5:$D$1212,0))))</f>
        <v>KKSUK-000144</v>
      </c>
      <c r="D103" s="23">
        <v>0</v>
      </c>
      <c r="E103" s="23">
        <v>100000</v>
      </c>
      <c r="F103" s="23">
        <v>100000</v>
      </c>
      <c r="G103" s="23">
        <v>0</v>
      </c>
      <c r="H103" s="42">
        <v>46198</v>
      </c>
      <c r="I103" s="21" t="s">
        <v>808</v>
      </c>
    </row>
    <row r="104" spans="1:9" ht="21" customHeight="1">
      <c r="A104" s="20">
        <f t="shared" si="1"/>
        <v>100</v>
      </c>
      <c r="B104" s="21" t="s">
        <v>343</v>
      </c>
      <c r="C104" s="20" t="str">
        <f>IF(B104="","",IF(COUNTIF('01_Anggota'!$D$5:$D$1212,B104)=0,"NAMA TIDAK DITEMUKAN",INDEX('01_Anggota'!$B$5:$B$1212,MATCH(B104,'01_Anggota'!$D$5:$D$1212,0))))</f>
        <v>KKSUK-000144</v>
      </c>
      <c r="D104" s="23">
        <v>0</v>
      </c>
      <c r="E104" s="23">
        <v>100000</v>
      </c>
      <c r="F104" s="23">
        <v>100000</v>
      </c>
      <c r="G104" s="23">
        <v>0</v>
      </c>
      <c r="H104" s="42">
        <v>46227</v>
      </c>
      <c r="I104" s="21" t="s">
        <v>809</v>
      </c>
    </row>
    <row r="105" spans="1:9" ht="21" customHeight="1">
      <c r="A105" s="20">
        <f t="shared" si="1"/>
        <v>101</v>
      </c>
      <c r="B105" s="21" t="s">
        <v>343</v>
      </c>
      <c r="C105" s="20" t="str">
        <f>IF(B105="","",IF(COUNTIF('01_Anggota'!$D$5:$D$1212,B105)=0,"NAMA TIDAK DITEMUKAN",INDEX('01_Anggota'!$B$5:$B$1212,MATCH(B105,'01_Anggota'!$D$5:$D$1212,0))))</f>
        <v>KKSUK-000144</v>
      </c>
      <c r="D105" s="23">
        <v>0</v>
      </c>
      <c r="E105" s="23">
        <v>100000</v>
      </c>
      <c r="F105" s="23">
        <v>100000</v>
      </c>
      <c r="G105" s="23">
        <v>0</v>
      </c>
      <c r="H105" s="42">
        <v>46258</v>
      </c>
      <c r="I105" s="21" t="s">
        <v>810</v>
      </c>
    </row>
    <row r="106" spans="1:9" ht="21" customHeight="1">
      <c r="A106" s="20">
        <f t="shared" si="1"/>
        <v>102</v>
      </c>
      <c r="B106" s="21" t="s">
        <v>399</v>
      </c>
      <c r="C106" s="20" t="str">
        <f>IF(B106="","",IF(COUNTIF('01_Anggota'!$D$5:$D$1212,B106)=0,"NAMA TIDAK DITEMUKAN",INDEX('01_Anggota'!$B$5:$B$1212,MATCH(B106,'01_Anggota'!$D$5:$D$1212,0))))</f>
        <v>KKSUK-000200</v>
      </c>
      <c r="D106" s="23">
        <v>0</v>
      </c>
      <c r="E106" s="23">
        <v>200000</v>
      </c>
      <c r="F106" s="23">
        <v>100000</v>
      </c>
      <c r="G106" s="23">
        <v>0</v>
      </c>
      <c r="H106" s="42">
        <v>46198</v>
      </c>
      <c r="I106" s="21" t="s">
        <v>808</v>
      </c>
    </row>
    <row r="107" spans="1:9" ht="21" customHeight="1">
      <c r="A107" s="20">
        <f t="shared" si="1"/>
        <v>103</v>
      </c>
      <c r="B107" s="21" t="s">
        <v>399</v>
      </c>
      <c r="C107" s="20" t="str">
        <f>IF(B107="","",IF(COUNTIF('01_Anggota'!$D$5:$D$1212,B107)=0,"NAMA TIDAK DITEMUKAN",INDEX('01_Anggota'!$B$5:$B$1212,MATCH(B107,'01_Anggota'!$D$5:$D$1212,0))))</f>
        <v>KKSUK-000200</v>
      </c>
      <c r="D107" s="23">
        <v>0</v>
      </c>
      <c r="E107" s="23">
        <v>250000</v>
      </c>
      <c r="F107" s="23">
        <v>100000</v>
      </c>
      <c r="G107" s="23">
        <v>0</v>
      </c>
      <c r="H107" s="42">
        <v>46227</v>
      </c>
      <c r="I107" s="21" t="s">
        <v>809</v>
      </c>
    </row>
    <row r="108" spans="1:9" ht="21" customHeight="1">
      <c r="A108" s="20">
        <f t="shared" si="1"/>
        <v>104</v>
      </c>
      <c r="B108" s="21" t="s">
        <v>399</v>
      </c>
      <c r="C108" s="20" t="str">
        <f>IF(B108="","",IF(COUNTIF('01_Anggota'!$D$5:$D$1212,B108)=0,"NAMA TIDAK DITEMUKAN",INDEX('01_Anggota'!$B$5:$B$1212,MATCH(B108,'01_Anggota'!$D$5:$D$1212,0))))</f>
        <v>KKSUK-000200</v>
      </c>
      <c r="D108" s="23">
        <v>0</v>
      </c>
      <c r="E108" s="23">
        <v>200000</v>
      </c>
      <c r="F108" s="23">
        <v>100000</v>
      </c>
      <c r="G108" s="23">
        <v>0</v>
      </c>
      <c r="H108" s="42">
        <v>46258</v>
      </c>
      <c r="I108" s="21" t="s">
        <v>810</v>
      </c>
    </row>
    <row r="109" spans="1:9" ht="21" customHeight="1">
      <c r="A109" s="20">
        <f t="shared" si="1"/>
        <v>105</v>
      </c>
      <c r="B109" s="21" t="s">
        <v>385</v>
      </c>
      <c r="C109" s="20" t="str">
        <f>IF(B109="","",IF(COUNTIF('01_Anggota'!$D$5:$D$1212,B109)=0,"NAMA TIDAK DITEMUKAN",INDEX('01_Anggota'!$B$5:$B$1212,MATCH(B109,'01_Anggota'!$D$5:$D$1212,0))))</f>
        <v>KKSUK-000186</v>
      </c>
      <c r="D109" s="23">
        <v>0</v>
      </c>
      <c r="E109" s="23">
        <v>600000</v>
      </c>
      <c r="F109" s="23">
        <v>600000</v>
      </c>
      <c r="G109" s="23">
        <v>0</v>
      </c>
      <c r="H109" s="42">
        <v>46023</v>
      </c>
      <c r="I109" s="21" t="s">
        <v>802</v>
      </c>
    </row>
    <row r="110" spans="1:9" ht="21" customHeight="1">
      <c r="A110" s="20">
        <f t="shared" si="1"/>
        <v>106</v>
      </c>
      <c r="B110" s="21" t="s">
        <v>385</v>
      </c>
      <c r="C110" s="20" t="str">
        <f>IF(B110="","",IF(COUNTIF('01_Anggota'!$D$5:$D$1212,B110)=0,"NAMA TIDAK DITEMUKAN",INDEX('01_Anggota'!$B$5:$B$1212,MATCH(B110,'01_Anggota'!$D$5:$D$1212,0))))</f>
        <v>KKSUK-000186</v>
      </c>
      <c r="D110" s="23">
        <v>0</v>
      </c>
      <c r="E110" s="23">
        <v>100000</v>
      </c>
      <c r="F110" s="23">
        <v>100000</v>
      </c>
      <c r="G110" s="23">
        <v>0</v>
      </c>
      <c r="H110" s="42">
        <v>46078</v>
      </c>
      <c r="I110" s="21" t="s">
        <v>804</v>
      </c>
    </row>
    <row r="111" spans="1:9" ht="21" customHeight="1">
      <c r="A111" s="20">
        <f t="shared" si="1"/>
        <v>107</v>
      </c>
      <c r="B111" s="21" t="s">
        <v>385</v>
      </c>
      <c r="C111" s="20" t="str">
        <f>IF(B111="","",IF(COUNTIF('01_Anggota'!$D$5:$D$1212,B111)=0,"NAMA TIDAK DITEMUKAN",INDEX('01_Anggota'!$B$5:$B$1212,MATCH(B111,'01_Anggota'!$D$5:$D$1212,0))))</f>
        <v>KKSUK-000186</v>
      </c>
      <c r="D111" s="23">
        <v>0</v>
      </c>
      <c r="E111" s="23">
        <v>100000</v>
      </c>
      <c r="F111" s="23">
        <v>100000</v>
      </c>
      <c r="G111" s="23">
        <v>0</v>
      </c>
      <c r="H111" s="42">
        <v>46106</v>
      </c>
      <c r="I111" s="21" t="s">
        <v>805</v>
      </c>
    </row>
    <row r="112" spans="1:9" ht="21" customHeight="1">
      <c r="A112" s="20">
        <f t="shared" si="1"/>
        <v>108</v>
      </c>
      <c r="B112" s="21" t="s">
        <v>385</v>
      </c>
      <c r="C112" s="20" t="str">
        <f>IF(B112="","",IF(COUNTIF('01_Anggota'!$D$5:$D$1212,B112)=0,"NAMA TIDAK DITEMUKAN",INDEX('01_Anggota'!$B$5:$B$1212,MATCH(B112,'01_Anggota'!$D$5:$D$1212,0))))</f>
        <v>KKSUK-000186</v>
      </c>
      <c r="D112" s="23">
        <v>0</v>
      </c>
      <c r="E112" s="23">
        <v>100000</v>
      </c>
      <c r="F112" s="23">
        <v>100000</v>
      </c>
      <c r="G112" s="23">
        <v>0</v>
      </c>
      <c r="H112" s="42">
        <v>46136</v>
      </c>
      <c r="I112" s="21" t="s">
        <v>806</v>
      </c>
    </row>
    <row r="113" spans="1:9" ht="21" customHeight="1">
      <c r="A113" s="20">
        <f t="shared" si="1"/>
        <v>109</v>
      </c>
      <c r="B113" s="21" t="s">
        <v>385</v>
      </c>
      <c r="C113" s="20" t="str">
        <f>IF(B113="","",IF(COUNTIF('01_Anggota'!$D$5:$D$1212,B113)=0,"NAMA TIDAK DITEMUKAN",INDEX('01_Anggota'!$B$5:$B$1212,MATCH(B113,'01_Anggota'!$D$5:$D$1212,0))))</f>
        <v>KKSUK-000186</v>
      </c>
      <c r="D113" s="23">
        <v>0</v>
      </c>
      <c r="E113" s="23">
        <v>-500000</v>
      </c>
      <c r="F113" s="23">
        <v>0</v>
      </c>
      <c r="G113" s="23">
        <v>0</v>
      </c>
      <c r="H113" s="42">
        <v>46198</v>
      </c>
      <c r="I113" s="21" t="s">
        <v>808</v>
      </c>
    </row>
    <row r="114" spans="1:9" ht="21" customHeight="1">
      <c r="A114" s="20">
        <f t="shared" si="1"/>
        <v>110</v>
      </c>
      <c r="B114" s="21" t="s">
        <v>385</v>
      </c>
      <c r="C114" s="20" t="str">
        <f>IF(B114="","",IF(COUNTIF('01_Anggota'!$D$5:$D$1212,B114)=0,"NAMA TIDAK DITEMUKAN",INDEX('01_Anggota'!$B$5:$B$1212,MATCH(B114,'01_Anggota'!$D$5:$D$1212,0))))</f>
        <v>KKSUK-000186</v>
      </c>
      <c r="D114" s="23">
        <v>0</v>
      </c>
      <c r="E114" s="23">
        <v>100000</v>
      </c>
      <c r="F114" s="23">
        <v>100000</v>
      </c>
      <c r="G114" s="23">
        <v>0</v>
      </c>
      <c r="H114" s="42">
        <v>46167</v>
      </c>
      <c r="I114" s="21" t="s">
        <v>807</v>
      </c>
    </row>
    <row r="115" spans="1:9" ht="21" customHeight="1">
      <c r="A115" s="20">
        <f t="shared" si="1"/>
        <v>111</v>
      </c>
      <c r="B115" s="21" t="s">
        <v>328</v>
      </c>
      <c r="C115" s="20" t="str">
        <f>IF(B115="","",IF(COUNTIF('01_Anggota'!$D$5:$D$1212,B115)=0,"NAMA TIDAK DITEMUKAN",INDEX('01_Anggota'!$B$5:$B$1212,MATCH(B115,'01_Anggota'!$D$5:$D$1212,0))))</f>
        <v>KKSUK-000129</v>
      </c>
      <c r="D115" s="23">
        <v>0</v>
      </c>
      <c r="E115" s="23">
        <v>3300000</v>
      </c>
      <c r="F115" s="23">
        <v>19637613</v>
      </c>
      <c r="G115" s="23">
        <v>9229849</v>
      </c>
      <c r="H115" s="42">
        <v>46023</v>
      </c>
      <c r="I115" s="21" t="s">
        <v>802</v>
      </c>
    </row>
    <row r="116" spans="1:9" ht="21" customHeight="1">
      <c r="A116" s="20">
        <f t="shared" si="1"/>
        <v>112</v>
      </c>
      <c r="B116" s="21" t="s">
        <v>328</v>
      </c>
      <c r="C116" s="20" t="str">
        <f>IF(B116="","",IF(COUNTIF('01_Anggota'!$D$5:$D$1212,B116)=0,"NAMA TIDAK DITEMUKAN",INDEX('01_Anggota'!$B$5:$B$1212,MATCH(B116,'01_Anggota'!$D$5:$D$1212,0))))</f>
        <v>KKSUK-000129</v>
      </c>
      <c r="D116" s="23">
        <v>0</v>
      </c>
      <c r="E116" s="23">
        <v>50000</v>
      </c>
      <c r="F116" s="23">
        <v>100000</v>
      </c>
      <c r="G116" s="23">
        <v>0</v>
      </c>
      <c r="H116" s="42">
        <v>46045</v>
      </c>
      <c r="I116" s="21" t="s">
        <v>803</v>
      </c>
    </row>
    <row r="117" spans="1:9" ht="21" customHeight="1">
      <c r="A117" s="20">
        <f t="shared" si="1"/>
        <v>113</v>
      </c>
      <c r="B117" s="21" t="s">
        <v>328</v>
      </c>
      <c r="C117" s="20" t="str">
        <f>IF(B117="","",IF(COUNTIF('01_Anggota'!$D$5:$D$1212,B117)=0,"NAMA TIDAK DITEMUKAN",INDEX('01_Anggota'!$B$5:$B$1212,MATCH(B117,'01_Anggota'!$D$5:$D$1212,0))))</f>
        <v>KKSUK-000129</v>
      </c>
      <c r="D117" s="23">
        <v>0</v>
      </c>
      <c r="E117" s="23">
        <v>50000</v>
      </c>
      <c r="F117" s="23">
        <v>100000</v>
      </c>
      <c r="G117" s="23">
        <v>0</v>
      </c>
      <c r="H117" s="42">
        <v>46078</v>
      </c>
      <c r="I117" s="21" t="s">
        <v>804</v>
      </c>
    </row>
    <row r="118" spans="1:9" ht="21" customHeight="1">
      <c r="A118" s="20">
        <f t="shared" si="1"/>
        <v>114</v>
      </c>
      <c r="B118" s="21" t="s">
        <v>328</v>
      </c>
      <c r="C118" s="20" t="str">
        <f>IF(B118="","",IF(COUNTIF('01_Anggota'!$D$5:$D$1212,B118)=0,"NAMA TIDAK DITEMUKAN",INDEX('01_Anggota'!$B$5:$B$1212,MATCH(B118,'01_Anggota'!$D$5:$D$1212,0))))</f>
        <v>KKSUK-000129</v>
      </c>
      <c r="D118" s="23">
        <v>0</v>
      </c>
      <c r="E118" s="23">
        <v>50000</v>
      </c>
      <c r="F118" s="23">
        <v>100000</v>
      </c>
      <c r="G118" s="23">
        <v>0</v>
      </c>
      <c r="H118" s="42">
        <v>46106</v>
      </c>
      <c r="I118" s="21" t="s">
        <v>805</v>
      </c>
    </row>
    <row r="119" spans="1:9" ht="21" customHeight="1">
      <c r="A119" s="20">
        <f t="shared" si="1"/>
        <v>115</v>
      </c>
      <c r="B119" s="21" t="s">
        <v>328</v>
      </c>
      <c r="C119" s="20" t="str">
        <f>IF(B119="","",IF(COUNTIF('01_Anggota'!$D$5:$D$1212,B119)=0,"NAMA TIDAK DITEMUKAN",INDEX('01_Anggota'!$B$5:$B$1212,MATCH(B119,'01_Anggota'!$D$5:$D$1212,0))))</f>
        <v>KKSUK-000129</v>
      </c>
      <c r="D119" s="23">
        <v>0</v>
      </c>
      <c r="E119" s="23">
        <v>50000</v>
      </c>
      <c r="F119" s="23">
        <v>150000</v>
      </c>
      <c r="G119" s="23">
        <v>0</v>
      </c>
      <c r="H119" s="42">
        <v>46136</v>
      </c>
      <c r="I119" s="21" t="s">
        <v>806</v>
      </c>
    </row>
    <row r="120" spans="1:9" ht="21" customHeight="1">
      <c r="A120" s="20">
        <f t="shared" si="1"/>
        <v>116</v>
      </c>
      <c r="B120" s="21" t="s">
        <v>328</v>
      </c>
      <c r="C120" s="20" t="str">
        <f>IF(B120="","",IF(COUNTIF('01_Anggota'!$D$5:$D$1212,B120)=0,"NAMA TIDAK DITEMUKAN",INDEX('01_Anggota'!$B$5:$B$1212,MATCH(B120,'01_Anggota'!$D$5:$D$1212,0))))</f>
        <v>KKSUK-000129</v>
      </c>
      <c r="D120" s="23">
        <v>0</v>
      </c>
      <c r="E120" s="23">
        <v>50000</v>
      </c>
      <c r="F120" s="23">
        <v>150000</v>
      </c>
      <c r="G120" s="23">
        <v>0</v>
      </c>
      <c r="H120" s="42">
        <v>46167</v>
      </c>
      <c r="I120" s="21" t="s">
        <v>807</v>
      </c>
    </row>
    <row r="121" spans="1:9" ht="21" customHeight="1">
      <c r="A121" s="20">
        <f t="shared" si="1"/>
        <v>117</v>
      </c>
      <c r="B121" s="21" t="s">
        <v>328</v>
      </c>
      <c r="C121" s="20" t="str">
        <f>IF(B121="","",IF(COUNTIF('01_Anggota'!$D$5:$D$1212,B121)=0,"NAMA TIDAK DITEMUKAN",INDEX('01_Anggota'!$B$5:$B$1212,MATCH(B121,'01_Anggota'!$D$5:$D$1212,0))))</f>
        <v>KKSUK-000129</v>
      </c>
      <c r="D121" s="23">
        <v>0</v>
      </c>
      <c r="E121" s="23">
        <v>50000</v>
      </c>
      <c r="F121" s="23">
        <v>150000</v>
      </c>
      <c r="G121" s="23">
        <v>0</v>
      </c>
      <c r="H121" s="42">
        <v>46198</v>
      </c>
      <c r="I121" s="21" t="s">
        <v>808</v>
      </c>
    </row>
    <row r="122" spans="1:9" ht="21" customHeight="1">
      <c r="A122" s="20">
        <f t="shared" si="1"/>
        <v>118</v>
      </c>
      <c r="B122" s="21" t="s">
        <v>328</v>
      </c>
      <c r="C122" s="20" t="str">
        <f>IF(B122="","",IF(COUNTIF('01_Anggota'!$D$5:$D$1212,B122)=0,"NAMA TIDAK DITEMUKAN",INDEX('01_Anggota'!$B$5:$B$1212,MATCH(B122,'01_Anggota'!$D$5:$D$1212,0))))</f>
        <v>KKSUK-000129</v>
      </c>
      <c r="D122" s="23">
        <v>0</v>
      </c>
      <c r="E122" s="23">
        <v>50000</v>
      </c>
      <c r="F122" s="23">
        <v>150000</v>
      </c>
      <c r="G122" s="23">
        <v>0</v>
      </c>
      <c r="H122" s="42">
        <v>46227</v>
      </c>
      <c r="I122" s="21" t="s">
        <v>809</v>
      </c>
    </row>
    <row r="123" spans="1:9" ht="21" customHeight="1">
      <c r="A123" s="20">
        <f t="shared" si="1"/>
        <v>119</v>
      </c>
      <c r="B123" s="21" t="s">
        <v>328</v>
      </c>
      <c r="C123" s="20" t="str">
        <f>IF(B123="","",IF(COUNTIF('01_Anggota'!$D$5:$D$1212,B123)=0,"NAMA TIDAK DITEMUKAN",INDEX('01_Anggota'!$B$5:$B$1212,MATCH(B123,'01_Anggota'!$D$5:$D$1212,0))))</f>
        <v>KKSUK-000129</v>
      </c>
      <c r="D123" s="23">
        <v>0</v>
      </c>
      <c r="E123" s="23">
        <v>50000</v>
      </c>
      <c r="F123" s="23">
        <v>150000</v>
      </c>
      <c r="G123" s="23">
        <v>0</v>
      </c>
      <c r="H123" s="42">
        <v>46258</v>
      </c>
      <c r="I123" s="21" t="s">
        <v>810</v>
      </c>
    </row>
    <row r="124" spans="1:9" ht="21" customHeight="1">
      <c r="A124" s="20">
        <f t="shared" si="1"/>
        <v>120</v>
      </c>
      <c r="B124" s="21" t="s">
        <v>261</v>
      </c>
      <c r="C124" s="20" t="str">
        <f>IF(B124="","",IF(COUNTIF('01_Anggota'!$D$5:$D$1212,B124)=0,"NAMA TIDAK DITEMUKAN",INDEX('01_Anggota'!$B$5:$B$1212,MATCH(B124,'01_Anggota'!$D$5:$D$1212,0))))</f>
        <v>KKSUK-000062</v>
      </c>
      <c r="D124" s="23">
        <v>0</v>
      </c>
      <c r="E124" s="23">
        <v>3100000</v>
      </c>
      <c r="F124" s="23">
        <v>4500000</v>
      </c>
      <c r="G124" s="23">
        <v>2459332</v>
      </c>
      <c r="H124" s="42">
        <v>46023</v>
      </c>
      <c r="I124" s="21" t="s">
        <v>802</v>
      </c>
    </row>
    <row r="125" spans="1:9" ht="21" customHeight="1">
      <c r="A125" s="20">
        <f t="shared" si="1"/>
        <v>121</v>
      </c>
      <c r="B125" s="21" t="s">
        <v>261</v>
      </c>
      <c r="C125" s="20" t="str">
        <f>IF(B125="","",IF(COUNTIF('01_Anggota'!$D$5:$D$1212,B125)=0,"NAMA TIDAK DITEMUKAN",INDEX('01_Anggota'!$B$5:$B$1212,MATCH(B125,'01_Anggota'!$D$5:$D$1212,0))))</f>
        <v>KKSUK-000062</v>
      </c>
      <c r="D125" s="23">
        <v>0</v>
      </c>
      <c r="E125" s="23">
        <v>400000</v>
      </c>
      <c r="F125" s="23">
        <v>100000</v>
      </c>
      <c r="G125" s="23">
        <v>0</v>
      </c>
      <c r="H125" s="42">
        <v>46045</v>
      </c>
      <c r="I125" s="21" t="s">
        <v>803</v>
      </c>
    </row>
    <row r="126" spans="1:9" ht="21" customHeight="1">
      <c r="A126" s="20">
        <f t="shared" si="1"/>
        <v>122</v>
      </c>
      <c r="B126" s="21" t="s">
        <v>261</v>
      </c>
      <c r="C126" s="20" t="str">
        <f>IF(B126="","",IF(COUNTIF('01_Anggota'!$D$5:$D$1212,B126)=0,"NAMA TIDAK DITEMUKAN",INDEX('01_Anggota'!$B$5:$B$1212,MATCH(B126,'01_Anggota'!$D$5:$D$1212,0))))</f>
        <v>KKSUK-000062</v>
      </c>
      <c r="D126" s="23">
        <v>0</v>
      </c>
      <c r="E126" s="23">
        <v>400000</v>
      </c>
      <c r="F126" s="23">
        <v>100000</v>
      </c>
      <c r="G126" s="23">
        <v>0</v>
      </c>
      <c r="H126" s="42">
        <v>46078</v>
      </c>
      <c r="I126" s="21" t="s">
        <v>804</v>
      </c>
    </row>
    <row r="127" spans="1:9" ht="21" customHeight="1">
      <c r="A127" s="20">
        <f t="shared" si="1"/>
        <v>123</v>
      </c>
      <c r="B127" s="21" t="s">
        <v>261</v>
      </c>
      <c r="C127" s="20" t="str">
        <f>IF(B127="","",IF(COUNTIF('01_Anggota'!$D$5:$D$1212,B127)=0,"NAMA TIDAK DITEMUKAN",INDEX('01_Anggota'!$B$5:$B$1212,MATCH(B127,'01_Anggota'!$D$5:$D$1212,0))))</f>
        <v>KKSUK-000062</v>
      </c>
      <c r="D127" s="23">
        <v>0</v>
      </c>
      <c r="E127" s="23">
        <v>400000</v>
      </c>
      <c r="F127" s="23">
        <v>100000</v>
      </c>
      <c r="G127" s="23">
        <v>0</v>
      </c>
      <c r="H127" s="42">
        <v>46106</v>
      </c>
      <c r="I127" s="21" t="s">
        <v>805</v>
      </c>
    </row>
    <row r="128" spans="1:9" ht="21" customHeight="1">
      <c r="A128" s="20">
        <f t="shared" si="1"/>
        <v>124</v>
      </c>
      <c r="B128" s="21" t="s">
        <v>261</v>
      </c>
      <c r="C128" s="20" t="str">
        <f>IF(B128="","",IF(COUNTIF('01_Anggota'!$D$5:$D$1212,B128)=0,"NAMA TIDAK DITEMUKAN",INDEX('01_Anggota'!$B$5:$B$1212,MATCH(B128,'01_Anggota'!$D$5:$D$1212,0))))</f>
        <v>KKSUK-000062</v>
      </c>
      <c r="D128" s="23">
        <v>0</v>
      </c>
      <c r="E128" s="23">
        <v>-1500000</v>
      </c>
      <c r="F128" s="23">
        <v>0</v>
      </c>
      <c r="G128" s="23">
        <v>0</v>
      </c>
      <c r="H128" s="42">
        <v>46106</v>
      </c>
      <c r="I128" s="21" t="s">
        <v>805</v>
      </c>
    </row>
    <row r="129" spans="1:9" ht="21" customHeight="1">
      <c r="A129" s="20">
        <f t="shared" si="1"/>
        <v>125</v>
      </c>
      <c r="B129" s="21" t="s">
        <v>261</v>
      </c>
      <c r="C129" s="20" t="str">
        <f>IF(B129="","",IF(COUNTIF('01_Anggota'!$D$5:$D$1212,B129)=0,"NAMA TIDAK DITEMUKAN",INDEX('01_Anggota'!$B$5:$B$1212,MATCH(B129,'01_Anggota'!$D$5:$D$1212,0))))</f>
        <v>KKSUK-000062</v>
      </c>
      <c r="D129" s="23">
        <v>0</v>
      </c>
      <c r="E129" s="23">
        <v>-2300000</v>
      </c>
      <c r="F129" s="23">
        <v>0</v>
      </c>
      <c r="G129" s="23">
        <v>0</v>
      </c>
      <c r="H129" s="42">
        <v>46023</v>
      </c>
      <c r="I129" s="21" t="s">
        <v>802</v>
      </c>
    </row>
    <row r="130" spans="1:9" ht="21" customHeight="1">
      <c r="A130" s="20">
        <f t="shared" si="1"/>
        <v>126</v>
      </c>
      <c r="B130" s="21" t="s">
        <v>261</v>
      </c>
      <c r="C130" s="20" t="str">
        <f>IF(B130="","",IF(COUNTIF('01_Anggota'!$D$5:$D$1212,B130)=0,"NAMA TIDAK DITEMUKAN",INDEX('01_Anggota'!$B$5:$B$1212,MATCH(B130,'01_Anggota'!$D$5:$D$1212,0))))</f>
        <v>KKSUK-000062</v>
      </c>
      <c r="D130" s="23">
        <v>0</v>
      </c>
      <c r="E130" s="23">
        <v>300000</v>
      </c>
      <c r="F130" s="23">
        <v>200000</v>
      </c>
      <c r="G130" s="23">
        <v>0</v>
      </c>
      <c r="H130" s="42">
        <v>46136</v>
      </c>
      <c r="I130" s="21" t="s">
        <v>806</v>
      </c>
    </row>
    <row r="131" spans="1:9" ht="21" customHeight="1">
      <c r="A131" s="20">
        <f t="shared" si="1"/>
        <v>127</v>
      </c>
      <c r="B131" s="21" t="s">
        <v>261</v>
      </c>
      <c r="C131" s="20" t="str">
        <f>IF(B131="","",IF(COUNTIF('01_Anggota'!$D$5:$D$1212,B131)=0,"NAMA TIDAK DITEMUKAN",INDEX('01_Anggota'!$B$5:$B$1212,MATCH(B131,'01_Anggota'!$D$5:$D$1212,0))))</f>
        <v>KKSUK-000062</v>
      </c>
      <c r="D131" s="23">
        <v>0</v>
      </c>
      <c r="E131" s="23">
        <v>300000</v>
      </c>
      <c r="F131" s="23">
        <v>200000</v>
      </c>
      <c r="G131" s="23">
        <v>0</v>
      </c>
      <c r="H131" s="42">
        <v>46167</v>
      </c>
      <c r="I131" s="21" t="s">
        <v>807</v>
      </c>
    </row>
    <row r="132" spans="1:9" ht="21" customHeight="1">
      <c r="A132" s="20">
        <f t="shared" si="1"/>
        <v>128</v>
      </c>
      <c r="B132" s="21" t="s">
        <v>261</v>
      </c>
      <c r="C132" s="20" t="str">
        <f>IF(B132="","",IF(COUNTIF('01_Anggota'!$D$5:$D$1212,B132)=0,"NAMA TIDAK DITEMUKAN",INDEX('01_Anggota'!$B$5:$B$1212,MATCH(B132,'01_Anggota'!$D$5:$D$1212,0))))</f>
        <v>KKSUK-000062</v>
      </c>
      <c r="D132" s="23">
        <v>0</v>
      </c>
      <c r="E132" s="23">
        <v>300000</v>
      </c>
      <c r="F132" s="23">
        <v>200000</v>
      </c>
      <c r="G132" s="23">
        <v>0</v>
      </c>
      <c r="H132" s="42">
        <v>46198</v>
      </c>
      <c r="I132" s="21" t="s">
        <v>808</v>
      </c>
    </row>
    <row r="133" spans="1:9" ht="21" customHeight="1">
      <c r="A133" s="20">
        <f t="shared" ref="A133:A196" si="2">IF(B133="","",ROW()-4)</f>
        <v>129</v>
      </c>
      <c r="B133" s="21" t="s">
        <v>261</v>
      </c>
      <c r="C133" s="20" t="str">
        <f>IF(B133="","",IF(COUNTIF('01_Anggota'!$D$5:$D$1212,B133)=0,"NAMA TIDAK DITEMUKAN",INDEX('01_Anggota'!$B$5:$B$1212,MATCH(B133,'01_Anggota'!$D$5:$D$1212,0))))</f>
        <v>KKSUK-000062</v>
      </c>
      <c r="D133" s="23">
        <v>0</v>
      </c>
      <c r="E133" s="23">
        <v>300000</v>
      </c>
      <c r="F133" s="23">
        <v>200000</v>
      </c>
      <c r="G133" s="23">
        <v>0</v>
      </c>
      <c r="H133" s="42">
        <v>46227</v>
      </c>
      <c r="I133" s="21" t="s">
        <v>809</v>
      </c>
    </row>
    <row r="134" spans="1:9" ht="21" customHeight="1">
      <c r="A134" s="20">
        <f t="shared" si="2"/>
        <v>130</v>
      </c>
      <c r="B134" s="21" t="s">
        <v>261</v>
      </c>
      <c r="C134" s="20" t="str">
        <f>IF(B134="","",IF(COUNTIF('01_Anggota'!$D$5:$D$1212,B134)=0,"NAMA TIDAK DITEMUKAN",INDEX('01_Anggota'!$B$5:$B$1212,MATCH(B134,'01_Anggota'!$D$5:$D$1212,0))))</f>
        <v>KKSUK-000062</v>
      </c>
      <c r="D134" s="23">
        <v>0</v>
      </c>
      <c r="E134" s="23">
        <v>300000</v>
      </c>
      <c r="F134" s="23">
        <v>200000</v>
      </c>
      <c r="G134" s="23">
        <v>0</v>
      </c>
      <c r="H134" s="42">
        <v>46258</v>
      </c>
      <c r="I134" s="21" t="s">
        <v>810</v>
      </c>
    </row>
    <row r="135" spans="1:9" ht="21" customHeight="1">
      <c r="A135" s="20">
        <f t="shared" si="2"/>
        <v>131</v>
      </c>
      <c r="B135" s="21" t="s">
        <v>326</v>
      </c>
      <c r="C135" s="20" t="str">
        <f>IF(B135="","",IF(COUNTIF('01_Anggota'!$D$5:$D$1212,B135)=0,"NAMA TIDAK DITEMUKAN",INDEX('01_Anggota'!$B$5:$B$1212,MATCH(B135,'01_Anggota'!$D$5:$D$1212,0))))</f>
        <v>KKSUK-000127</v>
      </c>
      <c r="D135" s="23">
        <v>0</v>
      </c>
      <c r="E135" s="23">
        <v>1100000</v>
      </c>
      <c r="F135" s="23">
        <v>2200000</v>
      </c>
      <c r="G135" s="23">
        <v>380410</v>
      </c>
      <c r="H135" s="42">
        <v>46023</v>
      </c>
      <c r="I135" s="21" t="s">
        <v>802</v>
      </c>
    </row>
    <row r="136" spans="1:9" ht="21" customHeight="1">
      <c r="A136" s="20">
        <f t="shared" si="2"/>
        <v>132</v>
      </c>
      <c r="B136" s="21" t="s">
        <v>326</v>
      </c>
      <c r="C136" s="20" t="str">
        <f>IF(B136="","",IF(COUNTIF('01_Anggota'!$D$5:$D$1212,B136)=0,"NAMA TIDAK DITEMUKAN",INDEX('01_Anggota'!$B$5:$B$1212,MATCH(B136,'01_Anggota'!$D$5:$D$1212,0))))</f>
        <v>KKSUK-000127</v>
      </c>
      <c r="D136" s="23">
        <v>0</v>
      </c>
      <c r="E136" s="23">
        <v>50000</v>
      </c>
      <c r="F136" s="23">
        <v>100000</v>
      </c>
      <c r="G136" s="23">
        <v>0</v>
      </c>
      <c r="H136" s="42">
        <v>46045</v>
      </c>
      <c r="I136" s="21" t="s">
        <v>803</v>
      </c>
    </row>
    <row r="137" spans="1:9" ht="21" customHeight="1">
      <c r="A137" s="20">
        <f t="shared" si="2"/>
        <v>133</v>
      </c>
      <c r="B137" s="21" t="s">
        <v>326</v>
      </c>
      <c r="C137" s="20" t="str">
        <f>IF(B137="","",IF(COUNTIF('01_Anggota'!$D$5:$D$1212,B137)=0,"NAMA TIDAK DITEMUKAN",INDEX('01_Anggota'!$B$5:$B$1212,MATCH(B137,'01_Anggota'!$D$5:$D$1212,0))))</f>
        <v>KKSUK-000127</v>
      </c>
      <c r="D137" s="23">
        <v>0</v>
      </c>
      <c r="E137" s="23">
        <v>50000</v>
      </c>
      <c r="F137" s="23">
        <v>100000</v>
      </c>
      <c r="G137" s="23">
        <v>0</v>
      </c>
      <c r="H137" s="42">
        <v>46078</v>
      </c>
      <c r="I137" s="21" t="s">
        <v>804</v>
      </c>
    </row>
    <row r="138" spans="1:9" ht="21" customHeight="1">
      <c r="A138" s="20">
        <f t="shared" si="2"/>
        <v>134</v>
      </c>
      <c r="B138" s="21" t="s">
        <v>326</v>
      </c>
      <c r="C138" s="20" t="str">
        <f>IF(B138="","",IF(COUNTIF('01_Anggota'!$D$5:$D$1212,B138)=0,"NAMA TIDAK DITEMUKAN",INDEX('01_Anggota'!$B$5:$B$1212,MATCH(B138,'01_Anggota'!$D$5:$D$1212,0))))</f>
        <v>KKSUK-000127</v>
      </c>
      <c r="D138" s="23">
        <v>0</v>
      </c>
      <c r="E138" s="23">
        <v>50000</v>
      </c>
      <c r="F138" s="23">
        <v>100000</v>
      </c>
      <c r="G138" s="23">
        <v>0</v>
      </c>
      <c r="H138" s="42">
        <v>46106</v>
      </c>
      <c r="I138" s="21" t="s">
        <v>805</v>
      </c>
    </row>
    <row r="139" spans="1:9" ht="21" customHeight="1">
      <c r="A139" s="20">
        <f t="shared" si="2"/>
        <v>135</v>
      </c>
      <c r="B139" s="21" t="s">
        <v>326</v>
      </c>
      <c r="C139" s="20" t="str">
        <f>IF(B139="","",IF(COUNTIF('01_Anggota'!$D$5:$D$1212,B139)=0,"NAMA TIDAK DITEMUKAN",INDEX('01_Anggota'!$B$5:$B$1212,MATCH(B139,'01_Anggota'!$D$5:$D$1212,0))))</f>
        <v>KKSUK-000127</v>
      </c>
      <c r="D139" s="23">
        <v>0</v>
      </c>
      <c r="E139" s="23">
        <v>50000</v>
      </c>
      <c r="F139" s="23">
        <v>100000</v>
      </c>
      <c r="G139" s="23">
        <v>0</v>
      </c>
      <c r="H139" s="42">
        <v>46136</v>
      </c>
      <c r="I139" s="21" t="s">
        <v>806</v>
      </c>
    </row>
    <row r="140" spans="1:9" ht="21" customHeight="1">
      <c r="A140" s="20">
        <f t="shared" si="2"/>
        <v>136</v>
      </c>
      <c r="B140" s="21" t="s">
        <v>326</v>
      </c>
      <c r="C140" s="20" t="str">
        <f>IF(B140="","",IF(COUNTIF('01_Anggota'!$D$5:$D$1212,B140)=0,"NAMA TIDAK DITEMUKAN",INDEX('01_Anggota'!$B$5:$B$1212,MATCH(B140,'01_Anggota'!$D$5:$D$1212,0))))</f>
        <v>KKSUK-000127</v>
      </c>
      <c r="D140" s="23">
        <v>0</v>
      </c>
      <c r="E140" s="23">
        <v>50000</v>
      </c>
      <c r="F140" s="23">
        <v>100000</v>
      </c>
      <c r="G140" s="23">
        <v>0</v>
      </c>
      <c r="H140" s="42">
        <v>46167</v>
      </c>
      <c r="I140" s="21" t="s">
        <v>807</v>
      </c>
    </row>
    <row r="141" spans="1:9" ht="21" customHeight="1">
      <c r="A141" s="20">
        <f t="shared" si="2"/>
        <v>137</v>
      </c>
      <c r="B141" s="21" t="s">
        <v>326</v>
      </c>
      <c r="C141" s="20" t="str">
        <f>IF(B141="","",IF(COUNTIF('01_Anggota'!$D$5:$D$1212,B141)=0,"NAMA TIDAK DITEMUKAN",INDEX('01_Anggota'!$B$5:$B$1212,MATCH(B141,'01_Anggota'!$D$5:$D$1212,0))))</f>
        <v>KKSUK-000127</v>
      </c>
      <c r="D141" s="23">
        <v>0</v>
      </c>
      <c r="E141" s="23">
        <v>50000</v>
      </c>
      <c r="F141" s="23">
        <v>100000</v>
      </c>
      <c r="G141" s="23">
        <v>0</v>
      </c>
      <c r="H141" s="42">
        <v>46198</v>
      </c>
      <c r="I141" s="21" t="s">
        <v>808</v>
      </c>
    </row>
    <row r="142" spans="1:9" ht="21" customHeight="1">
      <c r="A142" s="20">
        <f t="shared" si="2"/>
        <v>138</v>
      </c>
      <c r="B142" s="21" t="s">
        <v>326</v>
      </c>
      <c r="C142" s="20" t="str">
        <f>IF(B142="","",IF(COUNTIF('01_Anggota'!$D$5:$D$1212,B142)=0,"NAMA TIDAK DITEMUKAN",INDEX('01_Anggota'!$B$5:$B$1212,MATCH(B142,'01_Anggota'!$D$5:$D$1212,0))))</f>
        <v>KKSUK-000127</v>
      </c>
      <c r="D142" s="23">
        <v>0</v>
      </c>
      <c r="E142" s="23">
        <v>50000</v>
      </c>
      <c r="F142" s="23">
        <v>100000</v>
      </c>
      <c r="G142" s="23">
        <v>0</v>
      </c>
      <c r="H142" s="42">
        <v>46227</v>
      </c>
      <c r="I142" s="21" t="s">
        <v>809</v>
      </c>
    </row>
    <row r="143" spans="1:9" ht="21" customHeight="1">
      <c r="A143" s="20">
        <f t="shared" si="2"/>
        <v>139</v>
      </c>
      <c r="B143" s="21" t="s">
        <v>326</v>
      </c>
      <c r="C143" s="20" t="str">
        <f>IF(B143="","",IF(COUNTIF('01_Anggota'!$D$5:$D$1212,B143)=0,"NAMA TIDAK DITEMUKAN",INDEX('01_Anggota'!$B$5:$B$1212,MATCH(B143,'01_Anggota'!$D$5:$D$1212,0))))</f>
        <v>KKSUK-000127</v>
      </c>
      <c r="D143" s="23">
        <v>0</v>
      </c>
      <c r="E143" s="23">
        <v>50000</v>
      </c>
      <c r="F143" s="23">
        <v>100000</v>
      </c>
      <c r="G143" s="23">
        <v>0</v>
      </c>
      <c r="H143" s="42">
        <v>46258</v>
      </c>
      <c r="I143" s="21" t="s">
        <v>810</v>
      </c>
    </row>
    <row r="144" spans="1:9" ht="21" customHeight="1">
      <c r="A144" s="20">
        <f t="shared" si="2"/>
        <v>140</v>
      </c>
      <c r="B144" s="21" t="s">
        <v>316</v>
      </c>
      <c r="C144" s="20" t="str">
        <f>IF(B144="","",IF(COUNTIF('01_Anggota'!$D$5:$D$1212,B144)=0,"NAMA TIDAK DITEMUKAN",INDEX('01_Anggota'!$B$5:$B$1212,MATCH(B144,'01_Anggota'!$D$5:$D$1212,0))))</f>
        <v>KKSUK-000117</v>
      </c>
      <c r="D144" s="23">
        <v>0</v>
      </c>
      <c r="E144" s="23">
        <v>3967593</v>
      </c>
      <c r="F144" s="23">
        <v>3400000</v>
      </c>
      <c r="G144" s="23">
        <v>930313</v>
      </c>
      <c r="H144" s="42">
        <v>46023</v>
      </c>
      <c r="I144" s="21" t="s">
        <v>802</v>
      </c>
    </row>
    <row r="145" spans="1:9" ht="21" customHeight="1">
      <c r="A145" s="20">
        <f t="shared" si="2"/>
        <v>141</v>
      </c>
      <c r="B145" s="21" t="s">
        <v>316</v>
      </c>
      <c r="C145" s="20" t="str">
        <f>IF(B145="","",IF(COUNTIF('01_Anggota'!$D$5:$D$1212,B145)=0,"NAMA TIDAK DITEMUKAN",INDEX('01_Anggota'!$B$5:$B$1212,MATCH(B145,'01_Anggota'!$D$5:$D$1212,0))))</f>
        <v>KKSUK-000117</v>
      </c>
      <c r="D145" s="23">
        <v>0</v>
      </c>
      <c r="E145" s="23">
        <v>400000</v>
      </c>
      <c r="F145" s="23">
        <v>100000</v>
      </c>
      <c r="G145" s="23">
        <v>0</v>
      </c>
      <c r="H145" s="42">
        <v>46045</v>
      </c>
      <c r="I145" s="21" t="s">
        <v>803</v>
      </c>
    </row>
    <row r="146" spans="1:9" ht="21" customHeight="1">
      <c r="A146" s="20">
        <f t="shared" si="2"/>
        <v>142</v>
      </c>
      <c r="B146" s="21" t="s">
        <v>316</v>
      </c>
      <c r="C146" s="20" t="str">
        <f>IF(B146="","",IF(COUNTIF('01_Anggota'!$D$5:$D$1212,B146)=0,"NAMA TIDAK DITEMUKAN",INDEX('01_Anggota'!$B$5:$B$1212,MATCH(B146,'01_Anggota'!$D$5:$D$1212,0))))</f>
        <v>KKSUK-000117</v>
      </c>
      <c r="D146" s="23">
        <v>0</v>
      </c>
      <c r="E146" s="23">
        <v>-3000000</v>
      </c>
      <c r="F146" s="23">
        <v>0</v>
      </c>
      <c r="G146" s="23">
        <v>0</v>
      </c>
      <c r="H146" s="42">
        <v>46045</v>
      </c>
      <c r="I146" s="21" t="s">
        <v>803</v>
      </c>
    </row>
    <row r="147" spans="1:9" ht="21" customHeight="1">
      <c r="A147" s="20">
        <f t="shared" si="2"/>
        <v>143</v>
      </c>
      <c r="B147" s="21" t="s">
        <v>316</v>
      </c>
      <c r="C147" s="20" t="str">
        <f>IF(B147="","",IF(COUNTIF('01_Anggota'!$D$5:$D$1212,B147)=0,"NAMA TIDAK DITEMUKAN",INDEX('01_Anggota'!$B$5:$B$1212,MATCH(B147,'01_Anggota'!$D$5:$D$1212,0))))</f>
        <v>KKSUK-000117</v>
      </c>
      <c r="D147" s="23">
        <v>0</v>
      </c>
      <c r="E147" s="23">
        <v>400000</v>
      </c>
      <c r="F147" s="23">
        <v>100000</v>
      </c>
      <c r="G147" s="23">
        <v>0</v>
      </c>
      <c r="H147" s="42">
        <v>46078</v>
      </c>
      <c r="I147" s="21" t="s">
        <v>804</v>
      </c>
    </row>
    <row r="148" spans="1:9" ht="21" customHeight="1">
      <c r="A148" s="20">
        <f t="shared" si="2"/>
        <v>144</v>
      </c>
      <c r="B148" s="21" t="s">
        <v>316</v>
      </c>
      <c r="C148" s="20" t="str">
        <f>IF(B148="","",IF(COUNTIF('01_Anggota'!$D$5:$D$1212,B148)=0,"NAMA TIDAK DITEMUKAN",INDEX('01_Anggota'!$B$5:$B$1212,MATCH(B148,'01_Anggota'!$D$5:$D$1212,0))))</f>
        <v>KKSUK-000117</v>
      </c>
      <c r="D148" s="23">
        <v>0</v>
      </c>
      <c r="E148" s="23">
        <v>400000</v>
      </c>
      <c r="F148" s="23">
        <v>100000</v>
      </c>
      <c r="G148" s="23">
        <v>0</v>
      </c>
      <c r="H148" s="42">
        <v>46106</v>
      </c>
      <c r="I148" s="21" t="s">
        <v>805</v>
      </c>
    </row>
    <row r="149" spans="1:9" ht="21" customHeight="1">
      <c r="A149" s="20">
        <f t="shared" si="2"/>
        <v>145</v>
      </c>
      <c r="B149" s="21" t="s">
        <v>316</v>
      </c>
      <c r="C149" s="20" t="str">
        <f>IF(B149="","",IF(COUNTIF('01_Anggota'!$D$5:$D$1212,B149)=0,"NAMA TIDAK DITEMUKAN",INDEX('01_Anggota'!$B$5:$B$1212,MATCH(B149,'01_Anggota'!$D$5:$D$1212,0))))</f>
        <v>KKSUK-000117</v>
      </c>
      <c r="D149" s="23">
        <v>0</v>
      </c>
      <c r="E149" s="23">
        <v>400000</v>
      </c>
      <c r="F149" s="23">
        <v>100000</v>
      </c>
      <c r="G149" s="23">
        <v>0</v>
      </c>
      <c r="H149" s="42">
        <v>46136</v>
      </c>
      <c r="I149" s="21" t="s">
        <v>806</v>
      </c>
    </row>
    <row r="150" spans="1:9" ht="21" customHeight="1">
      <c r="A150" s="20">
        <f t="shared" si="2"/>
        <v>146</v>
      </c>
      <c r="B150" s="21" t="s">
        <v>316</v>
      </c>
      <c r="C150" s="20" t="str">
        <f>IF(B150="","",IF(COUNTIF('01_Anggota'!$D$5:$D$1212,B150)=0,"NAMA TIDAK DITEMUKAN",INDEX('01_Anggota'!$B$5:$B$1212,MATCH(B150,'01_Anggota'!$D$5:$D$1212,0))))</f>
        <v>KKSUK-000117</v>
      </c>
      <c r="D150" s="23">
        <v>0</v>
      </c>
      <c r="E150" s="23">
        <v>400000</v>
      </c>
      <c r="F150" s="23">
        <v>100000</v>
      </c>
      <c r="G150" s="23">
        <v>0</v>
      </c>
      <c r="H150" s="42">
        <v>46167</v>
      </c>
      <c r="I150" s="21" t="s">
        <v>807</v>
      </c>
    </row>
    <row r="151" spans="1:9" ht="21" customHeight="1">
      <c r="A151" s="20">
        <f t="shared" si="2"/>
        <v>147</v>
      </c>
      <c r="B151" s="21" t="s">
        <v>316</v>
      </c>
      <c r="C151" s="20" t="str">
        <f>IF(B151="","",IF(COUNTIF('01_Anggota'!$D$5:$D$1212,B151)=0,"NAMA TIDAK DITEMUKAN",INDEX('01_Anggota'!$B$5:$B$1212,MATCH(B151,'01_Anggota'!$D$5:$D$1212,0))))</f>
        <v>KKSUK-000117</v>
      </c>
      <c r="D151" s="23">
        <v>0</v>
      </c>
      <c r="E151" s="23">
        <v>400000</v>
      </c>
      <c r="F151" s="23">
        <v>100000</v>
      </c>
      <c r="G151" s="23">
        <v>0</v>
      </c>
      <c r="H151" s="42">
        <v>46198</v>
      </c>
      <c r="I151" s="21" t="s">
        <v>808</v>
      </c>
    </row>
    <row r="152" spans="1:9" ht="21" customHeight="1">
      <c r="A152" s="20">
        <f t="shared" si="2"/>
        <v>148</v>
      </c>
      <c r="B152" s="21" t="s">
        <v>316</v>
      </c>
      <c r="C152" s="20" t="str">
        <f>IF(B152="","",IF(COUNTIF('01_Anggota'!$D$5:$D$1212,B152)=0,"NAMA TIDAK DITEMUKAN",INDEX('01_Anggota'!$B$5:$B$1212,MATCH(B152,'01_Anggota'!$D$5:$D$1212,0))))</f>
        <v>KKSUK-000117</v>
      </c>
      <c r="D152" s="23">
        <v>0</v>
      </c>
      <c r="E152" s="23">
        <v>400000</v>
      </c>
      <c r="F152" s="23">
        <v>100000</v>
      </c>
      <c r="G152" s="23">
        <v>0</v>
      </c>
      <c r="H152" s="42">
        <v>46227</v>
      </c>
      <c r="I152" s="21" t="s">
        <v>809</v>
      </c>
    </row>
    <row r="153" spans="1:9" ht="21" customHeight="1">
      <c r="A153" s="20">
        <f t="shared" si="2"/>
        <v>149</v>
      </c>
      <c r="B153" s="21" t="s">
        <v>316</v>
      </c>
      <c r="C153" s="20" t="str">
        <f>IF(B153="","",IF(COUNTIF('01_Anggota'!$D$5:$D$1212,B153)=0,"NAMA TIDAK DITEMUKAN",INDEX('01_Anggota'!$B$5:$B$1212,MATCH(B153,'01_Anggota'!$D$5:$D$1212,0))))</f>
        <v>KKSUK-000117</v>
      </c>
      <c r="D153" s="23">
        <v>0</v>
      </c>
      <c r="E153" s="23">
        <v>400000</v>
      </c>
      <c r="F153" s="23">
        <v>100000</v>
      </c>
      <c r="G153" s="23">
        <v>0</v>
      </c>
      <c r="H153" s="42">
        <v>46258</v>
      </c>
      <c r="I153" s="21" t="s">
        <v>810</v>
      </c>
    </row>
    <row r="154" spans="1:9" ht="21" customHeight="1">
      <c r="A154" s="20">
        <f t="shared" si="2"/>
        <v>150</v>
      </c>
      <c r="B154" s="21" t="s">
        <v>316</v>
      </c>
      <c r="C154" s="20" t="str">
        <f>IF(B154="","",IF(COUNTIF('01_Anggota'!$D$5:$D$1212,B154)=0,"NAMA TIDAK DITEMUKAN",INDEX('01_Anggota'!$B$5:$B$1212,MATCH(B154,'01_Anggota'!$D$5:$D$1212,0))))</f>
        <v>KKSUK-000117</v>
      </c>
      <c r="D154" s="23">
        <v>0</v>
      </c>
      <c r="E154" s="23">
        <v>-3767593</v>
      </c>
      <c r="F154" s="23">
        <v>-4100000</v>
      </c>
      <c r="G154" s="23">
        <v>-930313</v>
      </c>
      <c r="H154" s="42">
        <v>46258</v>
      </c>
      <c r="I154" s="21" t="s">
        <v>810</v>
      </c>
    </row>
    <row r="155" spans="1:9" ht="21" customHeight="1">
      <c r="A155" s="20">
        <f t="shared" si="2"/>
        <v>151</v>
      </c>
      <c r="B155" s="21" t="s">
        <v>316</v>
      </c>
      <c r="C155" s="20" t="str">
        <f>IF(B155="","",IF(COUNTIF('01_Anggota'!$D$5:$D$1212,B155)=0,"NAMA TIDAK DITEMUKAN",INDEX('01_Anggota'!$B$5:$B$1212,MATCH(B155,'01_Anggota'!$D$5:$D$1212,0))))</f>
        <v>KKSUK-000117</v>
      </c>
      <c r="D155" s="23">
        <v>0</v>
      </c>
      <c r="E155" s="23">
        <v>-400000</v>
      </c>
      <c r="F155" s="23">
        <v>-100000</v>
      </c>
      <c r="G155" s="23">
        <v>0</v>
      </c>
      <c r="H155" s="42">
        <v>46258</v>
      </c>
      <c r="I155" s="21" t="s">
        <v>810</v>
      </c>
    </row>
    <row r="156" spans="1:9" ht="21" customHeight="1">
      <c r="A156" s="20">
        <f t="shared" si="2"/>
        <v>152</v>
      </c>
      <c r="B156" s="21" t="s">
        <v>215</v>
      </c>
      <c r="C156" s="20" t="str">
        <f>IF(B156="","",IF(COUNTIF('01_Anggota'!$D$5:$D$1212,B156)=0,"NAMA TIDAK DITEMUKAN",INDEX('01_Anggota'!$B$5:$B$1212,MATCH(B156,'01_Anggota'!$D$5:$D$1212,0))))</f>
        <v>KKSUK-000016</v>
      </c>
      <c r="D156" s="23">
        <v>0</v>
      </c>
      <c r="E156" s="23">
        <v>5200000</v>
      </c>
      <c r="F156" s="23">
        <v>19228346</v>
      </c>
      <c r="G156" s="23">
        <v>7825976</v>
      </c>
      <c r="H156" s="42">
        <v>46023</v>
      </c>
      <c r="I156" s="21" t="s">
        <v>802</v>
      </c>
    </row>
    <row r="157" spans="1:9" ht="21" customHeight="1">
      <c r="A157" s="20">
        <f t="shared" si="2"/>
        <v>153</v>
      </c>
      <c r="B157" s="21" t="s">
        <v>215</v>
      </c>
      <c r="C157" s="20" t="str">
        <f>IF(B157="","",IF(COUNTIF('01_Anggota'!$D$5:$D$1212,B157)=0,"NAMA TIDAK DITEMUKAN",INDEX('01_Anggota'!$B$5:$B$1212,MATCH(B157,'01_Anggota'!$D$5:$D$1212,0))))</f>
        <v>KKSUK-000016</v>
      </c>
      <c r="D157" s="23">
        <v>0</v>
      </c>
      <c r="E157" s="23">
        <v>100000</v>
      </c>
      <c r="F157" s="23">
        <v>200000</v>
      </c>
      <c r="G157" s="23">
        <v>0</v>
      </c>
      <c r="H157" s="42">
        <v>46045</v>
      </c>
      <c r="I157" s="21" t="s">
        <v>803</v>
      </c>
    </row>
    <row r="158" spans="1:9" ht="21" customHeight="1">
      <c r="A158" s="20">
        <f t="shared" si="2"/>
        <v>154</v>
      </c>
      <c r="B158" s="21" t="s">
        <v>215</v>
      </c>
      <c r="C158" s="20" t="str">
        <f>IF(B158="","",IF(COUNTIF('01_Anggota'!$D$5:$D$1212,B158)=0,"NAMA TIDAK DITEMUKAN",INDEX('01_Anggota'!$B$5:$B$1212,MATCH(B158,'01_Anggota'!$D$5:$D$1212,0))))</f>
        <v>KKSUK-000016</v>
      </c>
      <c r="D158" s="23">
        <v>0</v>
      </c>
      <c r="E158" s="23">
        <v>100000</v>
      </c>
      <c r="F158" s="23">
        <v>200000</v>
      </c>
      <c r="G158" s="23">
        <v>0</v>
      </c>
      <c r="H158" s="42">
        <v>46078</v>
      </c>
      <c r="I158" s="21" t="s">
        <v>804</v>
      </c>
    </row>
    <row r="159" spans="1:9" ht="21" customHeight="1">
      <c r="A159" s="20">
        <f t="shared" si="2"/>
        <v>155</v>
      </c>
      <c r="B159" s="21" t="s">
        <v>215</v>
      </c>
      <c r="C159" s="20" t="str">
        <f>IF(B159="","",IF(COUNTIF('01_Anggota'!$D$5:$D$1212,B159)=0,"NAMA TIDAK DITEMUKAN",INDEX('01_Anggota'!$B$5:$B$1212,MATCH(B159,'01_Anggota'!$D$5:$D$1212,0))))</f>
        <v>KKSUK-000016</v>
      </c>
      <c r="D159" s="23">
        <v>0</v>
      </c>
      <c r="E159" s="23">
        <v>100000</v>
      </c>
      <c r="F159" s="23">
        <v>200000</v>
      </c>
      <c r="G159" s="23">
        <v>0</v>
      </c>
      <c r="H159" s="42">
        <v>46106</v>
      </c>
      <c r="I159" s="21" t="s">
        <v>805</v>
      </c>
    </row>
    <row r="160" spans="1:9" ht="21" customHeight="1">
      <c r="A160" s="20">
        <f t="shared" si="2"/>
        <v>156</v>
      </c>
      <c r="B160" s="21" t="s">
        <v>215</v>
      </c>
      <c r="C160" s="20" t="str">
        <f>IF(B160="","",IF(COUNTIF('01_Anggota'!$D$5:$D$1212,B160)=0,"NAMA TIDAK DITEMUKAN",INDEX('01_Anggota'!$B$5:$B$1212,MATCH(B160,'01_Anggota'!$D$5:$D$1212,0))))</f>
        <v>KKSUK-000016</v>
      </c>
      <c r="D160" s="23">
        <v>0</v>
      </c>
      <c r="E160" s="23">
        <v>200000</v>
      </c>
      <c r="F160" s="23">
        <v>100000</v>
      </c>
      <c r="G160" s="23">
        <v>0</v>
      </c>
      <c r="H160" s="42">
        <v>46136</v>
      </c>
      <c r="I160" s="21" t="s">
        <v>806</v>
      </c>
    </row>
    <row r="161" spans="1:9" ht="21" customHeight="1">
      <c r="A161" s="20">
        <f t="shared" si="2"/>
        <v>157</v>
      </c>
      <c r="B161" s="21" t="s">
        <v>215</v>
      </c>
      <c r="C161" s="20" t="str">
        <f>IF(B161="","",IF(COUNTIF('01_Anggota'!$D$5:$D$1212,B161)=0,"NAMA TIDAK DITEMUKAN",INDEX('01_Anggota'!$B$5:$B$1212,MATCH(B161,'01_Anggota'!$D$5:$D$1212,0))))</f>
        <v>KKSUK-000016</v>
      </c>
      <c r="D161" s="23">
        <v>0</v>
      </c>
      <c r="E161" s="23">
        <v>200000</v>
      </c>
      <c r="F161" s="23">
        <v>100000</v>
      </c>
      <c r="G161" s="23">
        <v>0</v>
      </c>
      <c r="H161" s="42">
        <v>46167</v>
      </c>
      <c r="I161" s="21" t="s">
        <v>807</v>
      </c>
    </row>
    <row r="162" spans="1:9" ht="21" customHeight="1">
      <c r="A162" s="20">
        <f t="shared" si="2"/>
        <v>158</v>
      </c>
      <c r="B162" s="21" t="s">
        <v>215</v>
      </c>
      <c r="C162" s="20" t="str">
        <f>IF(B162="","",IF(COUNTIF('01_Anggota'!$D$5:$D$1212,B162)=0,"NAMA TIDAK DITEMUKAN",INDEX('01_Anggota'!$B$5:$B$1212,MATCH(B162,'01_Anggota'!$D$5:$D$1212,0))))</f>
        <v>KKSUK-000016</v>
      </c>
      <c r="D162" s="23">
        <v>0</v>
      </c>
      <c r="E162" s="23">
        <v>200000</v>
      </c>
      <c r="F162" s="23">
        <v>100000</v>
      </c>
      <c r="G162" s="23">
        <v>0</v>
      </c>
      <c r="H162" s="42">
        <v>46198</v>
      </c>
      <c r="I162" s="21" t="s">
        <v>808</v>
      </c>
    </row>
    <row r="163" spans="1:9" ht="21" customHeight="1">
      <c r="A163" s="20">
        <f t="shared" si="2"/>
        <v>159</v>
      </c>
      <c r="B163" s="21" t="s">
        <v>215</v>
      </c>
      <c r="C163" s="20" t="str">
        <f>IF(B163="","",IF(COUNTIF('01_Anggota'!$D$5:$D$1212,B163)=0,"NAMA TIDAK DITEMUKAN",INDEX('01_Anggota'!$B$5:$B$1212,MATCH(B163,'01_Anggota'!$D$5:$D$1212,0))))</f>
        <v>KKSUK-000016</v>
      </c>
      <c r="D163" s="23">
        <v>0</v>
      </c>
      <c r="E163" s="23">
        <v>200000</v>
      </c>
      <c r="F163" s="23">
        <v>100000</v>
      </c>
      <c r="G163" s="23">
        <v>0</v>
      </c>
      <c r="H163" s="42">
        <v>46227</v>
      </c>
      <c r="I163" s="21" t="s">
        <v>809</v>
      </c>
    </row>
    <row r="164" spans="1:9" ht="21" customHeight="1">
      <c r="A164" s="20">
        <f t="shared" si="2"/>
        <v>160</v>
      </c>
      <c r="B164" s="21" t="s">
        <v>215</v>
      </c>
      <c r="C164" s="20" t="str">
        <f>IF(B164="","",IF(COUNTIF('01_Anggota'!$D$5:$D$1212,B164)=0,"NAMA TIDAK DITEMUKAN",INDEX('01_Anggota'!$B$5:$B$1212,MATCH(B164,'01_Anggota'!$D$5:$D$1212,0))))</f>
        <v>KKSUK-000016</v>
      </c>
      <c r="D164" s="23">
        <v>0</v>
      </c>
      <c r="E164" s="23">
        <v>200000</v>
      </c>
      <c r="F164" s="23">
        <v>100000</v>
      </c>
      <c r="G164" s="23">
        <v>0</v>
      </c>
      <c r="H164" s="42">
        <v>46258</v>
      </c>
      <c r="I164" s="21" t="s">
        <v>810</v>
      </c>
    </row>
    <row r="165" spans="1:9" ht="21" customHeight="1">
      <c r="A165" s="20">
        <f t="shared" si="2"/>
        <v>161</v>
      </c>
      <c r="B165" s="21" t="s">
        <v>324</v>
      </c>
      <c r="C165" s="20" t="str">
        <f>IF(B165="","",IF(COUNTIF('01_Anggota'!$D$5:$D$1212,B165)=0,"NAMA TIDAK DITEMUKAN",INDEX('01_Anggota'!$B$5:$B$1212,MATCH(B165,'01_Anggota'!$D$5:$D$1212,0))))</f>
        <v>KKSUK-000125</v>
      </c>
      <c r="D165" s="23">
        <v>0</v>
      </c>
      <c r="E165" s="23">
        <v>3900000</v>
      </c>
      <c r="F165" s="23">
        <v>2600000</v>
      </c>
      <c r="G165" s="23">
        <v>1139362</v>
      </c>
      <c r="H165" s="42">
        <v>46023</v>
      </c>
      <c r="I165" s="21" t="s">
        <v>802</v>
      </c>
    </row>
    <row r="166" spans="1:9" ht="21" customHeight="1">
      <c r="A166" s="20">
        <f t="shared" si="2"/>
        <v>162</v>
      </c>
      <c r="B166" s="21" t="s">
        <v>324</v>
      </c>
      <c r="C166" s="20" t="str">
        <f>IF(B166="","",IF(COUNTIF('01_Anggota'!$D$5:$D$1212,B166)=0,"NAMA TIDAK DITEMUKAN",INDEX('01_Anggota'!$B$5:$B$1212,MATCH(B166,'01_Anggota'!$D$5:$D$1212,0))))</f>
        <v>KKSUK-000125</v>
      </c>
      <c r="D166" s="23">
        <v>0</v>
      </c>
      <c r="E166" s="23">
        <v>150000</v>
      </c>
      <c r="F166" s="23">
        <v>100000</v>
      </c>
      <c r="G166" s="23">
        <v>0</v>
      </c>
      <c r="H166" s="42">
        <v>46045</v>
      </c>
      <c r="I166" s="21" t="s">
        <v>803</v>
      </c>
    </row>
    <row r="167" spans="1:9" ht="21" customHeight="1">
      <c r="A167" s="20">
        <f t="shared" si="2"/>
        <v>163</v>
      </c>
      <c r="B167" s="21" t="s">
        <v>324</v>
      </c>
      <c r="C167" s="20" t="str">
        <f>IF(B167="","",IF(COUNTIF('01_Anggota'!$D$5:$D$1212,B167)=0,"NAMA TIDAK DITEMUKAN",INDEX('01_Anggota'!$B$5:$B$1212,MATCH(B167,'01_Anggota'!$D$5:$D$1212,0))))</f>
        <v>KKSUK-000125</v>
      </c>
      <c r="D167" s="23">
        <v>0</v>
      </c>
      <c r="E167" s="23">
        <v>150000</v>
      </c>
      <c r="F167" s="23">
        <v>100000</v>
      </c>
      <c r="G167" s="23">
        <v>0</v>
      </c>
      <c r="H167" s="42">
        <v>46078</v>
      </c>
      <c r="I167" s="21" t="s">
        <v>804</v>
      </c>
    </row>
    <row r="168" spans="1:9" ht="21" customHeight="1">
      <c r="A168" s="20">
        <f t="shared" si="2"/>
        <v>164</v>
      </c>
      <c r="B168" s="21" t="s">
        <v>324</v>
      </c>
      <c r="C168" s="20" t="str">
        <f>IF(B168="","",IF(COUNTIF('01_Anggota'!$D$5:$D$1212,B168)=0,"NAMA TIDAK DITEMUKAN",INDEX('01_Anggota'!$B$5:$B$1212,MATCH(B168,'01_Anggota'!$D$5:$D$1212,0))))</f>
        <v>KKSUK-000125</v>
      </c>
      <c r="D168" s="23">
        <v>0</v>
      </c>
      <c r="E168" s="23">
        <v>150000</v>
      </c>
      <c r="F168" s="23">
        <v>100000</v>
      </c>
      <c r="G168" s="23">
        <v>0</v>
      </c>
      <c r="H168" s="42">
        <v>46106</v>
      </c>
      <c r="I168" s="21" t="s">
        <v>805</v>
      </c>
    </row>
    <row r="169" spans="1:9" ht="21" customHeight="1">
      <c r="A169" s="20">
        <f t="shared" si="2"/>
        <v>165</v>
      </c>
      <c r="B169" s="21" t="s">
        <v>324</v>
      </c>
      <c r="C169" s="20" t="str">
        <f>IF(B169="","",IF(COUNTIF('01_Anggota'!$D$5:$D$1212,B169)=0,"NAMA TIDAK DITEMUKAN",INDEX('01_Anggota'!$B$5:$B$1212,MATCH(B169,'01_Anggota'!$D$5:$D$1212,0))))</f>
        <v>KKSUK-000125</v>
      </c>
      <c r="D169" s="23">
        <v>0</v>
      </c>
      <c r="E169" s="23">
        <v>150000</v>
      </c>
      <c r="F169" s="23">
        <v>100000</v>
      </c>
      <c r="G169" s="23">
        <v>0</v>
      </c>
      <c r="H169" s="42">
        <v>46136</v>
      </c>
      <c r="I169" s="21" t="s">
        <v>806</v>
      </c>
    </row>
    <row r="170" spans="1:9" ht="21" customHeight="1">
      <c r="A170" s="20">
        <f t="shared" si="2"/>
        <v>166</v>
      </c>
      <c r="B170" s="21" t="s">
        <v>324</v>
      </c>
      <c r="C170" s="20" t="str">
        <f>IF(B170="","",IF(COUNTIF('01_Anggota'!$D$5:$D$1212,B170)=0,"NAMA TIDAK DITEMUKAN",INDEX('01_Anggota'!$B$5:$B$1212,MATCH(B170,'01_Anggota'!$D$5:$D$1212,0))))</f>
        <v>KKSUK-000125</v>
      </c>
      <c r="D170" s="23">
        <v>0</v>
      </c>
      <c r="E170" s="23">
        <v>-4500000</v>
      </c>
      <c r="F170" s="23">
        <v>-3000000</v>
      </c>
      <c r="G170" s="23">
        <v>-1139362</v>
      </c>
      <c r="H170" s="42">
        <v>46167</v>
      </c>
      <c r="I170" s="21" t="s">
        <v>807</v>
      </c>
    </row>
    <row r="171" spans="1:9" ht="21" customHeight="1">
      <c r="A171" s="20">
        <f t="shared" si="2"/>
        <v>167</v>
      </c>
      <c r="B171" s="21" t="s">
        <v>372</v>
      </c>
      <c r="C171" s="20" t="str">
        <f>IF(B171="","",IF(COUNTIF('01_Anggota'!$D$5:$D$1212,B171)=0,"NAMA TIDAK DITEMUKAN",INDEX('01_Anggota'!$B$5:$B$1212,MATCH(B171,'01_Anggota'!$D$5:$D$1212,0))))</f>
        <v>KKSUK-000173</v>
      </c>
      <c r="D171" s="23">
        <v>0</v>
      </c>
      <c r="E171" s="23">
        <v>2100000</v>
      </c>
      <c r="F171" s="23">
        <v>1700000</v>
      </c>
      <c r="G171" s="23">
        <v>200238</v>
      </c>
      <c r="H171" s="42">
        <v>46023</v>
      </c>
      <c r="I171" s="21" t="s">
        <v>802</v>
      </c>
    </row>
    <row r="172" spans="1:9" ht="21" customHeight="1">
      <c r="A172" s="20">
        <f t="shared" si="2"/>
        <v>168</v>
      </c>
      <c r="B172" s="21" t="s">
        <v>372</v>
      </c>
      <c r="C172" s="20" t="str">
        <f>IF(B172="","",IF(COUNTIF('01_Anggota'!$D$5:$D$1212,B172)=0,"NAMA TIDAK DITEMUKAN",INDEX('01_Anggota'!$B$5:$B$1212,MATCH(B172,'01_Anggota'!$D$5:$D$1212,0))))</f>
        <v>KKSUK-000173</v>
      </c>
      <c r="D172" s="23">
        <v>0</v>
      </c>
      <c r="E172" s="23">
        <v>0</v>
      </c>
      <c r="F172" s="23">
        <v>0</v>
      </c>
      <c r="G172" s="23">
        <v>0</v>
      </c>
      <c r="H172" s="42">
        <v>46045</v>
      </c>
      <c r="I172" s="21" t="s">
        <v>803</v>
      </c>
    </row>
    <row r="173" spans="1:9" ht="21" customHeight="1">
      <c r="A173" s="20">
        <f t="shared" si="2"/>
        <v>169</v>
      </c>
      <c r="B173" s="21" t="s">
        <v>372</v>
      </c>
      <c r="C173" s="20" t="str">
        <f>IF(B173="","",IF(COUNTIF('01_Anggota'!$D$5:$D$1212,B173)=0,"NAMA TIDAK DITEMUKAN",INDEX('01_Anggota'!$B$5:$B$1212,MATCH(B173,'01_Anggota'!$D$5:$D$1212,0))))</f>
        <v>KKSUK-000173</v>
      </c>
      <c r="D173" s="23">
        <v>0</v>
      </c>
      <c r="E173" s="23">
        <v>200000</v>
      </c>
      <c r="F173" s="23">
        <v>100000</v>
      </c>
      <c r="G173" s="23">
        <v>0</v>
      </c>
      <c r="H173" s="42">
        <v>46078</v>
      </c>
      <c r="I173" s="21" t="s">
        <v>804</v>
      </c>
    </row>
    <row r="174" spans="1:9" ht="21" customHeight="1">
      <c r="A174" s="20">
        <f t="shared" si="2"/>
        <v>170</v>
      </c>
      <c r="B174" s="21" t="s">
        <v>372</v>
      </c>
      <c r="C174" s="20" t="str">
        <f>IF(B174="","",IF(COUNTIF('01_Anggota'!$D$5:$D$1212,B174)=0,"NAMA TIDAK DITEMUKAN",INDEX('01_Anggota'!$B$5:$B$1212,MATCH(B174,'01_Anggota'!$D$5:$D$1212,0))))</f>
        <v>KKSUK-000173</v>
      </c>
      <c r="D174" s="23">
        <v>0</v>
      </c>
      <c r="E174" s="23">
        <v>200000</v>
      </c>
      <c r="F174" s="23">
        <v>100000</v>
      </c>
      <c r="G174" s="23">
        <v>0</v>
      </c>
      <c r="H174" s="42">
        <v>46106</v>
      </c>
      <c r="I174" s="21" t="s">
        <v>805</v>
      </c>
    </row>
    <row r="175" spans="1:9" ht="21" customHeight="1">
      <c r="A175" s="20">
        <f t="shared" si="2"/>
        <v>171</v>
      </c>
      <c r="B175" s="21" t="s">
        <v>372</v>
      </c>
      <c r="C175" s="20" t="str">
        <f>IF(B175="","",IF(COUNTIF('01_Anggota'!$D$5:$D$1212,B175)=0,"NAMA TIDAK DITEMUKAN",INDEX('01_Anggota'!$B$5:$B$1212,MATCH(B175,'01_Anggota'!$D$5:$D$1212,0))))</f>
        <v>KKSUK-000173</v>
      </c>
      <c r="D175" s="23">
        <v>0</v>
      </c>
      <c r="E175" s="23">
        <v>200000</v>
      </c>
      <c r="F175" s="23">
        <v>100000</v>
      </c>
      <c r="G175" s="23">
        <v>0</v>
      </c>
      <c r="H175" s="42">
        <v>46136</v>
      </c>
      <c r="I175" s="21" t="s">
        <v>806</v>
      </c>
    </row>
    <row r="176" spans="1:9" ht="21" customHeight="1">
      <c r="A176" s="20">
        <f t="shared" si="2"/>
        <v>172</v>
      </c>
      <c r="B176" s="21" t="s">
        <v>372</v>
      </c>
      <c r="C176" s="20" t="str">
        <f>IF(B176="","",IF(COUNTIF('01_Anggota'!$D$5:$D$1212,B176)=0,"NAMA TIDAK DITEMUKAN",INDEX('01_Anggota'!$B$5:$B$1212,MATCH(B176,'01_Anggota'!$D$5:$D$1212,0))))</f>
        <v>KKSUK-000173</v>
      </c>
      <c r="D176" s="23">
        <v>0</v>
      </c>
      <c r="E176" s="23">
        <v>200000</v>
      </c>
      <c r="F176" s="23">
        <v>100000</v>
      </c>
      <c r="G176" s="23">
        <v>0</v>
      </c>
      <c r="H176" s="42">
        <v>46167</v>
      </c>
      <c r="I176" s="21" t="s">
        <v>807</v>
      </c>
    </row>
    <row r="177" spans="1:9" ht="21" customHeight="1">
      <c r="A177" s="20">
        <f t="shared" si="2"/>
        <v>173</v>
      </c>
      <c r="B177" s="21" t="s">
        <v>372</v>
      </c>
      <c r="C177" s="20" t="str">
        <f>IF(B177="","",IF(COUNTIF('01_Anggota'!$D$5:$D$1212,B177)=0,"NAMA TIDAK DITEMUKAN",INDEX('01_Anggota'!$B$5:$B$1212,MATCH(B177,'01_Anggota'!$D$5:$D$1212,0))))</f>
        <v>KKSUK-000173</v>
      </c>
      <c r="D177" s="23">
        <v>0</v>
      </c>
      <c r="E177" s="23">
        <v>200000</v>
      </c>
      <c r="F177" s="23">
        <v>100000</v>
      </c>
      <c r="G177" s="23">
        <v>0</v>
      </c>
      <c r="H177" s="42">
        <v>46198</v>
      </c>
      <c r="I177" s="21" t="s">
        <v>808</v>
      </c>
    </row>
    <row r="178" spans="1:9" ht="21" customHeight="1">
      <c r="A178" s="20">
        <f t="shared" si="2"/>
        <v>174</v>
      </c>
      <c r="B178" s="21" t="s">
        <v>372</v>
      </c>
      <c r="C178" s="20" t="str">
        <f>IF(B178="","",IF(COUNTIF('01_Anggota'!$D$5:$D$1212,B178)=0,"NAMA TIDAK DITEMUKAN",INDEX('01_Anggota'!$B$5:$B$1212,MATCH(B178,'01_Anggota'!$D$5:$D$1212,0))))</f>
        <v>KKSUK-000173</v>
      </c>
      <c r="D178" s="23">
        <v>0</v>
      </c>
      <c r="E178" s="23">
        <v>200000</v>
      </c>
      <c r="F178" s="23">
        <v>100000</v>
      </c>
      <c r="G178" s="23">
        <v>0</v>
      </c>
      <c r="H178" s="42">
        <v>46227</v>
      </c>
      <c r="I178" s="21" t="s">
        <v>809</v>
      </c>
    </row>
    <row r="179" spans="1:9" ht="21" customHeight="1">
      <c r="A179" s="20">
        <f t="shared" si="2"/>
        <v>175</v>
      </c>
      <c r="B179" s="21" t="s">
        <v>372</v>
      </c>
      <c r="C179" s="20" t="str">
        <f>IF(B179="","",IF(COUNTIF('01_Anggota'!$D$5:$D$1212,B179)=0,"NAMA TIDAK DITEMUKAN",INDEX('01_Anggota'!$B$5:$B$1212,MATCH(B179,'01_Anggota'!$D$5:$D$1212,0))))</f>
        <v>KKSUK-000173</v>
      </c>
      <c r="D179" s="23">
        <v>0</v>
      </c>
      <c r="E179" s="23">
        <v>200000</v>
      </c>
      <c r="F179" s="23">
        <v>100000</v>
      </c>
      <c r="G179" s="23">
        <v>0</v>
      </c>
      <c r="H179" s="42">
        <v>46258</v>
      </c>
      <c r="I179" s="21" t="s">
        <v>810</v>
      </c>
    </row>
    <row r="180" spans="1:9" ht="21" customHeight="1">
      <c r="A180" s="20">
        <f t="shared" si="2"/>
        <v>176</v>
      </c>
      <c r="B180" s="21" t="s">
        <v>320</v>
      </c>
      <c r="C180" s="20" t="str">
        <f>IF(B180="","",IF(COUNTIF('01_Anggota'!$D$5:$D$1212,B180)=0,"NAMA TIDAK DITEMUKAN",INDEX('01_Anggota'!$B$5:$B$1212,MATCH(B180,'01_Anggota'!$D$5:$D$1212,0))))</f>
        <v>KKSUK-000121</v>
      </c>
      <c r="D180" s="23">
        <v>0</v>
      </c>
      <c r="E180" s="23">
        <v>13175000</v>
      </c>
      <c r="F180" s="23">
        <v>11315734</v>
      </c>
      <c r="G180" s="23">
        <v>5418759</v>
      </c>
      <c r="H180" s="42">
        <v>46023</v>
      </c>
      <c r="I180" s="21" t="s">
        <v>802</v>
      </c>
    </row>
    <row r="181" spans="1:9" ht="21" customHeight="1">
      <c r="A181" s="20">
        <f t="shared" si="2"/>
        <v>177</v>
      </c>
      <c r="B181" s="21" t="s">
        <v>320</v>
      </c>
      <c r="C181" s="20" t="str">
        <f>IF(B181="","",IF(COUNTIF('01_Anggota'!$D$5:$D$1212,B181)=0,"NAMA TIDAK DITEMUKAN",INDEX('01_Anggota'!$B$5:$B$1212,MATCH(B181,'01_Anggota'!$D$5:$D$1212,0))))</f>
        <v>KKSUK-000121</v>
      </c>
      <c r="D181" s="23">
        <v>0</v>
      </c>
      <c r="E181" s="23">
        <v>175000</v>
      </c>
      <c r="F181" s="23">
        <v>100000</v>
      </c>
      <c r="G181" s="23">
        <v>0</v>
      </c>
      <c r="H181" s="42">
        <v>46045</v>
      </c>
      <c r="I181" s="21" t="s">
        <v>803</v>
      </c>
    </row>
    <row r="182" spans="1:9" ht="21" customHeight="1">
      <c r="A182" s="20">
        <f t="shared" si="2"/>
        <v>178</v>
      </c>
      <c r="B182" s="21" t="s">
        <v>320</v>
      </c>
      <c r="C182" s="20" t="str">
        <f>IF(B182="","",IF(COUNTIF('01_Anggota'!$D$5:$D$1212,B182)=0,"NAMA TIDAK DITEMUKAN",INDEX('01_Anggota'!$B$5:$B$1212,MATCH(B182,'01_Anggota'!$D$5:$D$1212,0))))</f>
        <v>KKSUK-000121</v>
      </c>
      <c r="D182" s="23">
        <v>0</v>
      </c>
      <c r="E182" s="23">
        <v>175000</v>
      </c>
      <c r="F182" s="23">
        <v>100000</v>
      </c>
      <c r="G182" s="23">
        <v>0</v>
      </c>
      <c r="H182" s="42">
        <v>46078</v>
      </c>
      <c r="I182" s="21" t="s">
        <v>804</v>
      </c>
    </row>
    <row r="183" spans="1:9" ht="21" customHeight="1">
      <c r="A183" s="20">
        <f t="shared" si="2"/>
        <v>179</v>
      </c>
      <c r="B183" s="21" t="s">
        <v>320</v>
      </c>
      <c r="C183" s="20" t="str">
        <f>IF(B183="","",IF(COUNTIF('01_Anggota'!$D$5:$D$1212,B183)=0,"NAMA TIDAK DITEMUKAN",INDEX('01_Anggota'!$B$5:$B$1212,MATCH(B183,'01_Anggota'!$D$5:$D$1212,0))))</f>
        <v>KKSUK-000121</v>
      </c>
      <c r="D183" s="23">
        <v>0</v>
      </c>
      <c r="E183" s="23">
        <v>175000</v>
      </c>
      <c r="F183" s="23">
        <v>100000</v>
      </c>
      <c r="G183" s="23">
        <v>0</v>
      </c>
      <c r="H183" s="42">
        <v>46106</v>
      </c>
      <c r="I183" s="21" t="s">
        <v>805</v>
      </c>
    </row>
    <row r="184" spans="1:9" ht="21" customHeight="1">
      <c r="A184" s="20">
        <f t="shared" si="2"/>
        <v>180</v>
      </c>
      <c r="B184" s="21" t="s">
        <v>320</v>
      </c>
      <c r="C184" s="20" t="str">
        <f>IF(B184="","",IF(COUNTIF('01_Anggota'!$D$5:$D$1212,B184)=0,"NAMA TIDAK DITEMUKAN",INDEX('01_Anggota'!$B$5:$B$1212,MATCH(B184,'01_Anggota'!$D$5:$D$1212,0))))</f>
        <v>KKSUK-000121</v>
      </c>
      <c r="D184" s="23">
        <v>0</v>
      </c>
      <c r="E184" s="23">
        <v>175000</v>
      </c>
      <c r="F184" s="23">
        <v>100000</v>
      </c>
      <c r="G184" s="23">
        <v>0</v>
      </c>
      <c r="H184" s="42">
        <v>46136</v>
      </c>
      <c r="I184" s="21" t="s">
        <v>806</v>
      </c>
    </row>
    <row r="185" spans="1:9" ht="21" customHeight="1">
      <c r="A185" s="20">
        <f t="shared" si="2"/>
        <v>181</v>
      </c>
      <c r="B185" s="21" t="s">
        <v>320</v>
      </c>
      <c r="C185" s="20" t="str">
        <f>IF(B185="","",IF(COUNTIF('01_Anggota'!$D$5:$D$1212,B185)=0,"NAMA TIDAK DITEMUKAN",INDEX('01_Anggota'!$B$5:$B$1212,MATCH(B185,'01_Anggota'!$D$5:$D$1212,0))))</f>
        <v>KKSUK-000121</v>
      </c>
      <c r="D185" s="23">
        <v>0</v>
      </c>
      <c r="E185" s="23">
        <v>175000</v>
      </c>
      <c r="F185" s="23">
        <v>100000</v>
      </c>
      <c r="G185" s="23">
        <v>0</v>
      </c>
      <c r="H185" s="42">
        <v>46167</v>
      </c>
      <c r="I185" s="21" t="s">
        <v>807</v>
      </c>
    </row>
    <row r="186" spans="1:9" ht="21" customHeight="1">
      <c r="A186" s="20">
        <f t="shared" si="2"/>
        <v>182</v>
      </c>
      <c r="B186" s="21" t="s">
        <v>320</v>
      </c>
      <c r="C186" s="20" t="str">
        <f>IF(B186="","",IF(COUNTIF('01_Anggota'!$D$5:$D$1212,B186)=0,"NAMA TIDAK DITEMUKAN",INDEX('01_Anggota'!$B$5:$B$1212,MATCH(B186,'01_Anggota'!$D$5:$D$1212,0))))</f>
        <v>KKSUK-000121</v>
      </c>
      <c r="D186" s="23">
        <v>0</v>
      </c>
      <c r="E186" s="23">
        <v>-7000000</v>
      </c>
      <c r="F186" s="23">
        <v>0</v>
      </c>
      <c r="G186" s="23">
        <v>0</v>
      </c>
      <c r="H186" s="42">
        <v>46198</v>
      </c>
      <c r="I186" s="21" t="s">
        <v>808</v>
      </c>
    </row>
    <row r="187" spans="1:9" ht="21" customHeight="1">
      <c r="A187" s="20">
        <f t="shared" si="2"/>
        <v>183</v>
      </c>
      <c r="B187" s="21" t="s">
        <v>320</v>
      </c>
      <c r="C187" s="20" t="str">
        <f>IF(B187="","",IF(COUNTIF('01_Anggota'!$D$5:$D$1212,B187)=0,"NAMA TIDAK DITEMUKAN",INDEX('01_Anggota'!$B$5:$B$1212,MATCH(B187,'01_Anggota'!$D$5:$D$1212,0))))</f>
        <v>KKSUK-000121</v>
      </c>
      <c r="D187" s="23">
        <v>0</v>
      </c>
      <c r="E187" s="23">
        <v>175000</v>
      </c>
      <c r="F187" s="23">
        <v>100000</v>
      </c>
      <c r="G187" s="23">
        <v>0</v>
      </c>
      <c r="H187" s="42">
        <v>46198</v>
      </c>
      <c r="I187" s="21" t="s">
        <v>808</v>
      </c>
    </row>
    <row r="188" spans="1:9" ht="21" customHeight="1">
      <c r="A188" s="20">
        <f t="shared" si="2"/>
        <v>184</v>
      </c>
      <c r="B188" s="21" t="s">
        <v>320</v>
      </c>
      <c r="C188" s="20" t="str">
        <f>IF(B188="","",IF(COUNTIF('01_Anggota'!$D$5:$D$1212,B188)=0,"NAMA TIDAK DITEMUKAN",INDEX('01_Anggota'!$B$5:$B$1212,MATCH(B188,'01_Anggota'!$D$5:$D$1212,0))))</f>
        <v>KKSUK-000121</v>
      </c>
      <c r="D188" s="23">
        <v>0</v>
      </c>
      <c r="E188" s="23">
        <v>175000</v>
      </c>
      <c r="F188" s="23">
        <v>100000</v>
      </c>
      <c r="G188" s="23">
        <v>0</v>
      </c>
      <c r="H188" s="42">
        <v>46227</v>
      </c>
      <c r="I188" s="21" t="s">
        <v>809</v>
      </c>
    </row>
    <row r="189" spans="1:9" ht="21" customHeight="1">
      <c r="A189" s="20">
        <f t="shared" si="2"/>
        <v>185</v>
      </c>
      <c r="B189" s="21" t="s">
        <v>320</v>
      </c>
      <c r="C189" s="20" t="str">
        <f>IF(B189="","",IF(COUNTIF('01_Anggota'!$D$5:$D$1212,B189)=0,"NAMA TIDAK DITEMUKAN",INDEX('01_Anggota'!$B$5:$B$1212,MATCH(B189,'01_Anggota'!$D$5:$D$1212,0))))</f>
        <v>KKSUK-000121</v>
      </c>
      <c r="D189" s="23">
        <v>0</v>
      </c>
      <c r="E189" s="23">
        <v>175000</v>
      </c>
      <c r="F189" s="23">
        <v>100000</v>
      </c>
      <c r="G189" s="23">
        <v>0</v>
      </c>
      <c r="H189" s="42">
        <v>46258</v>
      </c>
      <c r="I189" s="21" t="s">
        <v>810</v>
      </c>
    </row>
    <row r="190" spans="1:9" ht="21" customHeight="1">
      <c r="A190" s="20">
        <f t="shared" si="2"/>
        <v>186</v>
      </c>
      <c r="B190" s="21" t="s">
        <v>363</v>
      </c>
      <c r="C190" s="20" t="str">
        <f>IF(B190="","",IF(COUNTIF('01_Anggota'!$D$5:$D$1212,B190)=0,"NAMA TIDAK DITEMUKAN",INDEX('01_Anggota'!$B$5:$B$1212,MATCH(B190,'01_Anggota'!$D$5:$D$1212,0))))</f>
        <v>KKSUK-000164</v>
      </c>
      <c r="D190" s="23">
        <v>0</v>
      </c>
      <c r="E190" s="23">
        <v>2600000</v>
      </c>
      <c r="F190" s="23">
        <v>1300000</v>
      </c>
      <c r="G190" s="23">
        <v>68404</v>
      </c>
      <c r="H190" s="42">
        <v>46023</v>
      </c>
      <c r="I190" s="21" t="s">
        <v>802</v>
      </c>
    </row>
    <row r="191" spans="1:9" ht="21" customHeight="1">
      <c r="A191" s="20">
        <f t="shared" si="2"/>
        <v>187</v>
      </c>
      <c r="B191" s="21" t="s">
        <v>363</v>
      </c>
      <c r="C191" s="20" t="str">
        <f>IF(B191="","",IF(COUNTIF('01_Anggota'!$D$5:$D$1212,B191)=0,"NAMA TIDAK DITEMUKAN",INDEX('01_Anggota'!$B$5:$B$1212,MATCH(B191,'01_Anggota'!$D$5:$D$1212,0))))</f>
        <v>KKSUK-000164</v>
      </c>
      <c r="D191" s="23">
        <v>0</v>
      </c>
      <c r="E191" s="23">
        <v>200000</v>
      </c>
      <c r="F191" s="23">
        <v>100000</v>
      </c>
      <c r="G191" s="23">
        <v>0</v>
      </c>
      <c r="H191" s="42">
        <v>46045</v>
      </c>
      <c r="I191" s="21" t="s">
        <v>803</v>
      </c>
    </row>
    <row r="192" spans="1:9" ht="21" customHeight="1">
      <c r="A192" s="20">
        <f t="shared" si="2"/>
        <v>188</v>
      </c>
      <c r="B192" s="21" t="s">
        <v>363</v>
      </c>
      <c r="C192" s="20" t="str">
        <f>IF(B192="","",IF(COUNTIF('01_Anggota'!$D$5:$D$1212,B192)=0,"NAMA TIDAK DITEMUKAN",INDEX('01_Anggota'!$B$5:$B$1212,MATCH(B192,'01_Anggota'!$D$5:$D$1212,0))))</f>
        <v>KKSUK-000164</v>
      </c>
      <c r="D192" s="23">
        <v>0</v>
      </c>
      <c r="E192" s="23">
        <v>200000</v>
      </c>
      <c r="F192" s="23">
        <v>100000</v>
      </c>
      <c r="G192" s="23">
        <v>0</v>
      </c>
      <c r="H192" s="42">
        <v>46078</v>
      </c>
      <c r="I192" s="21" t="s">
        <v>804</v>
      </c>
    </row>
    <row r="193" spans="1:9" ht="21" customHeight="1">
      <c r="A193" s="20">
        <f t="shared" si="2"/>
        <v>189</v>
      </c>
      <c r="B193" s="21" t="s">
        <v>363</v>
      </c>
      <c r="C193" s="20" t="str">
        <f>IF(B193="","",IF(COUNTIF('01_Anggota'!$D$5:$D$1212,B193)=0,"NAMA TIDAK DITEMUKAN",INDEX('01_Anggota'!$B$5:$B$1212,MATCH(B193,'01_Anggota'!$D$5:$D$1212,0))))</f>
        <v>KKSUK-000164</v>
      </c>
      <c r="D193" s="23">
        <v>0</v>
      </c>
      <c r="E193" s="23">
        <v>200000</v>
      </c>
      <c r="F193" s="23">
        <v>100000</v>
      </c>
      <c r="G193" s="23">
        <v>0</v>
      </c>
      <c r="H193" s="42">
        <v>46106</v>
      </c>
      <c r="I193" s="21" t="s">
        <v>805</v>
      </c>
    </row>
    <row r="194" spans="1:9" ht="21" customHeight="1">
      <c r="A194" s="20">
        <f t="shared" si="2"/>
        <v>190</v>
      </c>
      <c r="B194" s="21" t="s">
        <v>363</v>
      </c>
      <c r="C194" s="20" t="str">
        <f>IF(B194="","",IF(COUNTIF('01_Anggota'!$D$5:$D$1212,B194)=0,"NAMA TIDAK DITEMUKAN",INDEX('01_Anggota'!$B$5:$B$1212,MATCH(B194,'01_Anggota'!$D$5:$D$1212,0))))</f>
        <v>KKSUK-000164</v>
      </c>
      <c r="D194" s="23">
        <v>0</v>
      </c>
      <c r="E194" s="23">
        <v>200000</v>
      </c>
      <c r="F194" s="23">
        <v>100000</v>
      </c>
      <c r="G194" s="23">
        <v>0</v>
      </c>
      <c r="H194" s="42">
        <v>46136</v>
      </c>
      <c r="I194" s="21" t="s">
        <v>806</v>
      </c>
    </row>
    <row r="195" spans="1:9" ht="21" customHeight="1">
      <c r="A195" s="20">
        <f t="shared" si="2"/>
        <v>191</v>
      </c>
      <c r="B195" s="21" t="s">
        <v>363</v>
      </c>
      <c r="C195" s="20" t="str">
        <f>IF(B195="","",IF(COUNTIF('01_Anggota'!$D$5:$D$1212,B195)=0,"NAMA TIDAK DITEMUKAN",INDEX('01_Anggota'!$B$5:$B$1212,MATCH(B195,'01_Anggota'!$D$5:$D$1212,0))))</f>
        <v>KKSUK-000164</v>
      </c>
      <c r="D195" s="23">
        <v>0</v>
      </c>
      <c r="E195" s="23">
        <v>200000</v>
      </c>
      <c r="F195" s="23">
        <v>100000</v>
      </c>
      <c r="G195" s="23">
        <v>0</v>
      </c>
      <c r="H195" s="42">
        <v>46167</v>
      </c>
      <c r="I195" s="21" t="s">
        <v>807</v>
      </c>
    </row>
    <row r="196" spans="1:9" ht="21" customHeight="1">
      <c r="A196" s="20">
        <f t="shared" si="2"/>
        <v>192</v>
      </c>
      <c r="B196" s="21" t="s">
        <v>363</v>
      </c>
      <c r="C196" s="20" t="str">
        <f>IF(B196="","",IF(COUNTIF('01_Anggota'!$D$5:$D$1212,B196)=0,"NAMA TIDAK DITEMUKAN",INDEX('01_Anggota'!$B$5:$B$1212,MATCH(B196,'01_Anggota'!$D$5:$D$1212,0))))</f>
        <v>KKSUK-000164</v>
      </c>
      <c r="D196" s="23">
        <v>0</v>
      </c>
      <c r="E196" s="23">
        <v>200000</v>
      </c>
      <c r="F196" s="23">
        <v>100000</v>
      </c>
      <c r="G196" s="23">
        <v>0</v>
      </c>
      <c r="H196" s="42">
        <v>46198</v>
      </c>
      <c r="I196" s="21" t="s">
        <v>808</v>
      </c>
    </row>
    <row r="197" spans="1:9" ht="21" customHeight="1">
      <c r="A197" s="20">
        <f t="shared" ref="A197:A260" si="3">IF(B197="","",ROW()-4)</f>
        <v>193</v>
      </c>
      <c r="B197" s="21" t="s">
        <v>363</v>
      </c>
      <c r="C197" s="20" t="str">
        <f>IF(B197="","",IF(COUNTIF('01_Anggota'!$D$5:$D$1212,B197)=0,"NAMA TIDAK DITEMUKAN",INDEX('01_Anggota'!$B$5:$B$1212,MATCH(B197,'01_Anggota'!$D$5:$D$1212,0))))</f>
        <v>KKSUK-000164</v>
      </c>
      <c r="D197" s="23">
        <v>0</v>
      </c>
      <c r="E197" s="23">
        <v>200000</v>
      </c>
      <c r="F197" s="23">
        <v>100000</v>
      </c>
      <c r="G197" s="23">
        <v>0</v>
      </c>
      <c r="H197" s="42">
        <v>46227</v>
      </c>
      <c r="I197" s="21" t="s">
        <v>809</v>
      </c>
    </row>
    <row r="198" spans="1:9" ht="21" customHeight="1">
      <c r="A198" s="20">
        <f t="shared" si="3"/>
        <v>194</v>
      </c>
      <c r="B198" s="21" t="s">
        <v>363</v>
      </c>
      <c r="C198" s="20" t="str">
        <f>IF(B198="","",IF(COUNTIF('01_Anggota'!$D$5:$D$1212,B198)=0,"NAMA TIDAK DITEMUKAN",INDEX('01_Anggota'!$B$5:$B$1212,MATCH(B198,'01_Anggota'!$D$5:$D$1212,0))))</f>
        <v>KKSUK-000164</v>
      </c>
      <c r="D198" s="23">
        <v>0</v>
      </c>
      <c r="E198" s="23">
        <v>200000</v>
      </c>
      <c r="F198" s="23">
        <v>100000</v>
      </c>
      <c r="G198" s="23">
        <v>0</v>
      </c>
      <c r="H198" s="42">
        <v>46258</v>
      </c>
      <c r="I198" s="21" t="s">
        <v>810</v>
      </c>
    </row>
    <row r="199" spans="1:9" ht="21" customHeight="1">
      <c r="A199" s="20">
        <f t="shared" si="3"/>
        <v>195</v>
      </c>
      <c r="B199" s="21" t="s">
        <v>359</v>
      </c>
      <c r="C199" s="20" t="str">
        <f>IF(B199="","",IF(COUNTIF('01_Anggota'!$D$5:$D$1212,B199)=0,"NAMA TIDAK DITEMUKAN",INDEX('01_Anggota'!$B$5:$B$1212,MATCH(B199,'01_Anggota'!$D$5:$D$1212,0))))</f>
        <v>KKSUK-000160</v>
      </c>
      <c r="D199" s="23">
        <v>0</v>
      </c>
      <c r="E199" s="23">
        <v>1800000</v>
      </c>
      <c r="F199" s="23">
        <v>1000000</v>
      </c>
      <c r="G199" s="23">
        <v>0</v>
      </c>
      <c r="H199" s="42">
        <v>46023</v>
      </c>
      <c r="I199" s="21" t="s">
        <v>802</v>
      </c>
    </row>
    <row r="200" spans="1:9" ht="21" customHeight="1">
      <c r="A200" s="20">
        <f t="shared" si="3"/>
        <v>196</v>
      </c>
      <c r="B200" s="21" t="s">
        <v>359</v>
      </c>
      <c r="C200" s="20" t="str">
        <f>IF(B200="","",IF(COUNTIF('01_Anggota'!$D$5:$D$1212,B200)=0,"NAMA TIDAK DITEMUKAN",INDEX('01_Anggota'!$B$5:$B$1212,MATCH(B200,'01_Anggota'!$D$5:$D$1212,0))))</f>
        <v>KKSUK-000160</v>
      </c>
      <c r="D200" s="23">
        <v>0</v>
      </c>
      <c r="E200" s="23">
        <v>150000</v>
      </c>
      <c r="F200" s="23">
        <v>100000</v>
      </c>
      <c r="G200" s="23">
        <v>0</v>
      </c>
      <c r="H200" s="42">
        <v>46045</v>
      </c>
      <c r="I200" s="21" t="s">
        <v>803</v>
      </c>
    </row>
    <row r="201" spans="1:9" ht="21" customHeight="1">
      <c r="A201" s="20">
        <f t="shared" si="3"/>
        <v>197</v>
      </c>
      <c r="B201" s="21" t="s">
        <v>359</v>
      </c>
      <c r="C201" s="20" t="str">
        <f>IF(B201="","",IF(COUNTIF('01_Anggota'!$D$5:$D$1212,B201)=0,"NAMA TIDAK DITEMUKAN",INDEX('01_Anggota'!$B$5:$B$1212,MATCH(B201,'01_Anggota'!$D$5:$D$1212,0))))</f>
        <v>KKSUK-000160</v>
      </c>
      <c r="D201" s="23">
        <v>0</v>
      </c>
      <c r="E201" s="23">
        <v>150000</v>
      </c>
      <c r="F201" s="23">
        <v>100000</v>
      </c>
      <c r="G201" s="23">
        <v>0</v>
      </c>
      <c r="H201" s="42">
        <v>46078</v>
      </c>
      <c r="I201" s="21" t="s">
        <v>804</v>
      </c>
    </row>
    <row r="202" spans="1:9" ht="21" customHeight="1">
      <c r="A202" s="20">
        <f t="shared" si="3"/>
        <v>198</v>
      </c>
      <c r="B202" s="21" t="s">
        <v>359</v>
      </c>
      <c r="C202" s="20" t="str">
        <f>IF(B202="","",IF(COUNTIF('01_Anggota'!$D$5:$D$1212,B202)=0,"NAMA TIDAK DITEMUKAN",INDEX('01_Anggota'!$B$5:$B$1212,MATCH(B202,'01_Anggota'!$D$5:$D$1212,0))))</f>
        <v>KKSUK-000160</v>
      </c>
      <c r="D202" s="23">
        <v>0</v>
      </c>
      <c r="E202" s="23">
        <v>150000</v>
      </c>
      <c r="F202" s="23">
        <v>100000</v>
      </c>
      <c r="G202" s="23">
        <v>0</v>
      </c>
      <c r="H202" s="42">
        <v>46106</v>
      </c>
      <c r="I202" s="21" t="s">
        <v>805</v>
      </c>
    </row>
    <row r="203" spans="1:9" ht="21" customHeight="1">
      <c r="A203" s="20">
        <f t="shared" si="3"/>
        <v>199</v>
      </c>
      <c r="B203" s="21" t="s">
        <v>359</v>
      </c>
      <c r="C203" s="20" t="str">
        <f>IF(B203="","",IF(COUNTIF('01_Anggota'!$D$5:$D$1212,B203)=0,"NAMA TIDAK DITEMUKAN",INDEX('01_Anggota'!$B$5:$B$1212,MATCH(B203,'01_Anggota'!$D$5:$D$1212,0))))</f>
        <v>KKSUK-000160</v>
      </c>
      <c r="D203" s="23">
        <v>0</v>
      </c>
      <c r="E203" s="23">
        <v>150000</v>
      </c>
      <c r="F203" s="23">
        <v>100000</v>
      </c>
      <c r="G203" s="23">
        <v>0</v>
      </c>
      <c r="H203" s="42">
        <v>46136</v>
      </c>
      <c r="I203" s="21" t="s">
        <v>806</v>
      </c>
    </row>
    <row r="204" spans="1:9" ht="21" customHeight="1">
      <c r="A204" s="20">
        <f t="shared" si="3"/>
        <v>200</v>
      </c>
      <c r="B204" s="21" t="s">
        <v>359</v>
      </c>
      <c r="C204" s="20" t="str">
        <f>IF(B204="","",IF(COUNTIF('01_Anggota'!$D$5:$D$1212,B204)=0,"NAMA TIDAK DITEMUKAN",INDEX('01_Anggota'!$B$5:$B$1212,MATCH(B204,'01_Anggota'!$D$5:$D$1212,0))))</f>
        <v>KKSUK-000160</v>
      </c>
      <c r="D204" s="23">
        <v>0</v>
      </c>
      <c r="E204" s="23">
        <v>150000</v>
      </c>
      <c r="F204" s="23">
        <v>100000</v>
      </c>
      <c r="G204" s="23">
        <v>0</v>
      </c>
      <c r="H204" s="42">
        <v>46167</v>
      </c>
      <c r="I204" s="21" t="s">
        <v>807</v>
      </c>
    </row>
    <row r="205" spans="1:9" ht="21" customHeight="1">
      <c r="A205" s="20">
        <f t="shared" si="3"/>
        <v>201</v>
      </c>
      <c r="B205" s="21" t="s">
        <v>359</v>
      </c>
      <c r="C205" s="20" t="str">
        <f>IF(B205="","",IF(COUNTIF('01_Anggota'!$D$5:$D$1212,B205)=0,"NAMA TIDAK DITEMUKAN",INDEX('01_Anggota'!$B$5:$B$1212,MATCH(B205,'01_Anggota'!$D$5:$D$1212,0))))</f>
        <v>KKSUK-000160</v>
      </c>
      <c r="D205" s="23">
        <v>0</v>
      </c>
      <c r="E205" s="23">
        <v>150000</v>
      </c>
      <c r="F205" s="23">
        <v>100000</v>
      </c>
      <c r="G205" s="23">
        <v>0</v>
      </c>
      <c r="H205" s="42">
        <v>46198</v>
      </c>
      <c r="I205" s="21" t="s">
        <v>808</v>
      </c>
    </row>
    <row r="206" spans="1:9" ht="21" customHeight="1">
      <c r="A206" s="20">
        <f t="shared" si="3"/>
        <v>202</v>
      </c>
      <c r="B206" s="21" t="s">
        <v>359</v>
      </c>
      <c r="C206" s="20" t="str">
        <f>IF(B206="","",IF(COUNTIF('01_Anggota'!$D$5:$D$1212,B206)=0,"NAMA TIDAK DITEMUKAN",INDEX('01_Anggota'!$B$5:$B$1212,MATCH(B206,'01_Anggota'!$D$5:$D$1212,0))))</f>
        <v>KKSUK-000160</v>
      </c>
      <c r="D206" s="23">
        <v>0</v>
      </c>
      <c r="E206" s="23">
        <v>150000</v>
      </c>
      <c r="F206" s="23">
        <v>100000</v>
      </c>
      <c r="G206" s="23">
        <v>0</v>
      </c>
      <c r="H206" s="42">
        <v>46227</v>
      </c>
      <c r="I206" s="21" t="s">
        <v>809</v>
      </c>
    </row>
    <row r="207" spans="1:9" ht="21" customHeight="1">
      <c r="A207" s="20">
        <f t="shared" si="3"/>
        <v>203</v>
      </c>
      <c r="B207" s="21" t="s">
        <v>359</v>
      </c>
      <c r="C207" s="20" t="str">
        <f>IF(B207="","",IF(COUNTIF('01_Anggota'!$D$5:$D$1212,B207)=0,"NAMA TIDAK DITEMUKAN",INDEX('01_Anggota'!$B$5:$B$1212,MATCH(B207,'01_Anggota'!$D$5:$D$1212,0))))</f>
        <v>KKSUK-000160</v>
      </c>
      <c r="D207" s="23">
        <v>0</v>
      </c>
      <c r="E207" s="23">
        <v>150000</v>
      </c>
      <c r="F207" s="23">
        <v>100000</v>
      </c>
      <c r="G207" s="23">
        <v>0</v>
      </c>
      <c r="H207" s="42">
        <v>46258</v>
      </c>
      <c r="I207" s="21" t="s">
        <v>810</v>
      </c>
    </row>
    <row r="208" spans="1:9" ht="21" customHeight="1">
      <c r="A208" s="20">
        <f t="shared" si="3"/>
        <v>204</v>
      </c>
      <c r="B208" s="21" t="s">
        <v>389</v>
      </c>
      <c r="C208" s="20" t="str">
        <f>IF(B208="","",IF(COUNTIF('01_Anggota'!$D$5:$D$1212,B208)=0,"NAMA TIDAK DITEMUKAN",INDEX('01_Anggota'!$B$5:$B$1212,MATCH(B208,'01_Anggota'!$D$5:$D$1212,0))))</f>
        <v>KKSUK-000190</v>
      </c>
      <c r="D208" s="23">
        <v>0</v>
      </c>
      <c r="E208" s="23">
        <v>500000</v>
      </c>
      <c r="F208" s="23">
        <v>400000</v>
      </c>
      <c r="G208" s="23">
        <v>0</v>
      </c>
      <c r="H208" s="42">
        <v>46023</v>
      </c>
      <c r="I208" s="21" t="s">
        <v>802</v>
      </c>
    </row>
    <row r="209" spans="1:9" ht="21" customHeight="1">
      <c r="A209" s="20">
        <f t="shared" si="3"/>
        <v>205</v>
      </c>
      <c r="B209" s="21" t="s">
        <v>389</v>
      </c>
      <c r="C209" s="20" t="str">
        <f>IF(B209="","",IF(COUNTIF('01_Anggota'!$D$5:$D$1212,B209)=0,"NAMA TIDAK DITEMUKAN",INDEX('01_Anggota'!$B$5:$B$1212,MATCH(B209,'01_Anggota'!$D$5:$D$1212,0))))</f>
        <v>KKSUK-000190</v>
      </c>
      <c r="D209" s="23">
        <v>0</v>
      </c>
      <c r="E209" s="23">
        <v>150000</v>
      </c>
      <c r="F209" s="23">
        <v>100000</v>
      </c>
      <c r="G209" s="23">
        <v>0</v>
      </c>
      <c r="H209" s="42">
        <v>46078</v>
      </c>
      <c r="I209" s="21" t="s">
        <v>804</v>
      </c>
    </row>
    <row r="210" spans="1:9" ht="21" customHeight="1">
      <c r="A210" s="20">
        <f t="shared" si="3"/>
        <v>206</v>
      </c>
      <c r="B210" s="21" t="s">
        <v>389</v>
      </c>
      <c r="C210" s="20" t="str">
        <f>IF(B210="","",IF(COUNTIF('01_Anggota'!$D$5:$D$1212,B210)=0,"NAMA TIDAK DITEMUKAN",INDEX('01_Anggota'!$B$5:$B$1212,MATCH(B210,'01_Anggota'!$D$5:$D$1212,0))))</f>
        <v>KKSUK-000190</v>
      </c>
      <c r="D210" s="23">
        <v>0</v>
      </c>
      <c r="E210" s="23">
        <v>150000</v>
      </c>
      <c r="F210" s="23">
        <v>100000</v>
      </c>
      <c r="G210" s="23">
        <v>0</v>
      </c>
      <c r="H210" s="42">
        <v>46106</v>
      </c>
      <c r="I210" s="21" t="s">
        <v>805</v>
      </c>
    </row>
    <row r="211" spans="1:9" ht="21" customHeight="1">
      <c r="A211" s="20">
        <f t="shared" si="3"/>
        <v>207</v>
      </c>
      <c r="B211" s="21" t="s">
        <v>389</v>
      </c>
      <c r="C211" s="20" t="str">
        <f>IF(B211="","",IF(COUNTIF('01_Anggota'!$D$5:$D$1212,B211)=0,"NAMA TIDAK DITEMUKAN",INDEX('01_Anggota'!$B$5:$B$1212,MATCH(B211,'01_Anggota'!$D$5:$D$1212,0))))</f>
        <v>KKSUK-000190</v>
      </c>
      <c r="D211" s="23">
        <v>0</v>
      </c>
      <c r="E211" s="23">
        <v>150000</v>
      </c>
      <c r="F211" s="23">
        <v>100000</v>
      </c>
      <c r="G211" s="23">
        <v>0</v>
      </c>
      <c r="H211" s="42">
        <v>46136</v>
      </c>
      <c r="I211" s="21" t="s">
        <v>806</v>
      </c>
    </row>
    <row r="212" spans="1:9" ht="21" customHeight="1">
      <c r="A212" s="20">
        <f t="shared" si="3"/>
        <v>208</v>
      </c>
      <c r="B212" s="21" t="s">
        <v>389</v>
      </c>
      <c r="C212" s="20" t="str">
        <f>IF(B212="","",IF(COUNTIF('01_Anggota'!$D$5:$D$1212,B212)=0,"NAMA TIDAK DITEMUKAN",INDEX('01_Anggota'!$B$5:$B$1212,MATCH(B212,'01_Anggota'!$D$5:$D$1212,0))))</f>
        <v>KKSUK-000190</v>
      </c>
      <c r="D212" s="23">
        <v>0</v>
      </c>
      <c r="E212" s="23">
        <v>150000</v>
      </c>
      <c r="F212" s="23">
        <v>100000</v>
      </c>
      <c r="G212" s="23">
        <v>0</v>
      </c>
      <c r="H212" s="42">
        <v>46167</v>
      </c>
      <c r="I212" s="21" t="s">
        <v>807</v>
      </c>
    </row>
    <row r="213" spans="1:9" ht="21" customHeight="1">
      <c r="A213" s="20">
        <f t="shared" si="3"/>
        <v>209</v>
      </c>
      <c r="B213" s="21" t="s">
        <v>337</v>
      </c>
      <c r="C213" s="20" t="str">
        <f>IF(B213="","",IF(COUNTIF('01_Anggota'!$D$5:$D$1212,B213)=0,"NAMA TIDAK DITEMUKAN",INDEX('01_Anggota'!$B$5:$B$1212,MATCH(B213,'01_Anggota'!$D$5:$D$1212,0))))</f>
        <v>KKSUK-000138</v>
      </c>
      <c r="D213" s="23">
        <v>0</v>
      </c>
      <c r="E213" s="23">
        <v>3300000</v>
      </c>
      <c r="F213" s="23">
        <v>10195194</v>
      </c>
      <c r="G213" s="23">
        <v>5345080</v>
      </c>
      <c r="H213" s="42">
        <v>46023</v>
      </c>
      <c r="I213" s="21" t="s">
        <v>802</v>
      </c>
    </row>
    <row r="214" spans="1:9" ht="21" customHeight="1">
      <c r="A214" s="20">
        <f t="shared" si="3"/>
        <v>210</v>
      </c>
      <c r="B214" s="21" t="s">
        <v>337</v>
      </c>
      <c r="C214" s="20" t="str">
        <f>IF(B214="","",IF(COUNTIF('01_Anggota'!$D$5:$D$1212,B214)=0,"NAMA TIDAK DITEMUKAN",INDEX('01_Anggota'!$B$5:$B$1212,MATCH(B214,'01_Anggota'!$D$5:$D$1212,0))))</f>
        <v>KKSUK-000138</v>
      </c>
      <c r="D214" s="23">
        <v>0</v>
      </c>
      <c r="E214" s="23">
        <v>100000</v>
      </c>
      <c r="F214" s="23">
        <v>100000</v>
      </c>
      <c r="G214" s="23">
        <v>0</v>
      </c>
      <c r="H214" s="42">
        <v>46045</v>
      </c>
      <c r="I214" s="21" t="s">
        <v>803</v>
      </c>
    </row>
    <row r="215" spans="1:9" ht="21" customHeight="1">
      <c r="A215" s="20">
        <f t="shared" si="3"/>
        <v>211</v>
      </c>
      <c r="B215" s="21" t="s">
        <v>337</v>
      </c>
      <c r="C215" s="20" t="str">
        <f>IF(B215="","",IF(COUNTIF('01_Anggota'!$D$5:$D$1212,B215)=0,"NAMA TIDAK DITEMUKAN",INDEX('01_Anggota'!$B$5:$B$1212,MATCH(B215,'01_Anggota'!$D$5:$D$1212,0))))</f>
        <v>KKSUK-000138</v>
      </c>
      <c r="D215" s="23">
        <v>0</v>
      </c>
      <c r="E215" s="23">
        <v>100000</v>
      </c>
      <c r="F215" s="23">
        <v>100000</v>
      </c>
      <c r="G215" s="23">
        <v>0</v>
      </c>
      <c r="H215" s="42">
        <v>46078</v>
      </c>
      <c r="I215" s="21" t="s">
        <v>804</v>
      </c>
    </row>
    <row r="216" spans="1:9" ht="21" customHeight="1">
      <c r="A216" s="20">
        <f t="shared" si="3"/>
        <v>212</v>
      </c>
      <c r="B216" s="21" t="s">
        <v>337</v>
      </c>
      <c r="C216" s="20" t="str">
        <f>IF(B216="","",IF(COUNTIF('01_Anggota'!$D$5:$D$1212,B216)=0,"NAMA TIDAK DITEMUKAN",INDEX('01_Anggota'!$B$5:$B$1212,MATCH(B216,'01_Anggota'!$D$5:$D$1212,0))))</f>
        <v>KKSUK-000138</v>
      </c>
      <c r="D216" s="23">
        <v>0</v>
      </c>
      <c r="E216" s="23">
        <v>100000</v>
      </c>
      <c r="F216" s="23">
        <v>100000</v>
      </c>
      <c r="G216" s="23">
        <v>0</v>
      </c>
      <c r="H216" s="42">
        <v>46106</v>
      </c>
      <c r="I216" s="21" t="s">
        <v>805</v>
      </c>
    </row>
    <row r="217" spans="1:9" ht="21" customHeight="1">
      <c r="A217" s="20">
        <f t="shared" si="3"/>
        <v>213</v>
      </c>
      <c r="B217" s="21" t="s">
        <v>337</v>
      </c>
      <c r="C217" s="20" t="str">
        <f>IF(B217="","",IF(COUNTIF('01_Anggota'!$D$5:$D$1212,B217)=0,"NAMA TIDAK DITEMUKAN",INDEX('01_Anggota'!$B$5:$B$1212,MATCH(B217,'01_Anggota'!$D$5:$D$1212,0))))</f>
        <v>KKSUK-000138</v>
      </c>
      <c r="D217" s="23">
        <v>0</v>
      </c>
      <c r="E217" s="23">
        <v>100000</v>
      </c>
      <c r="F217" s="23">
        <v>100000</v>
      </c>
      <c r="G217" s="23">
        <v>0</v>
      </c>
      <c r="H217" s="42">
        <v>46136</v>
      </c>
      <c r="I217" s="21" t="s">
        <v>806</v>
      </c>
    </row>
    <row r="218" spans="1:9" ht="21" customHeight="1">
      <c r="A218" s="20">
        <f t="shared" si="3"/>
        <v>214</v>
      </c>
      <c r="B218" s="21" t="s">
        <v>337</v>
      </c>
      <c r="C218" s="20" t="str">
        <f>IF(B218="","",IF(COUNTIF('01_Anggota'!$D$5:$D$1212,B218)=0,"NAMA TIDAK DITEMUKAN",INDEX('01_Anggota'!$B$5:$B$1212,MATCH(B218,'01_Anggota'!$D$5:$D$1212,0))))</f>
        <v>KKSUK-000138</v>
      </c>
      <c r="D218" s="23">
        <v>0</v>
      </c>
      <c r="E218" s="23">
        <v>100000</v>
      </c>
      <c r="F218" s="23">
        <v>100000</v>
      </c>
      <c r="G218" s="23">
        <v>0</v>
      </c>
      <c r="H218" s="42">
        <v>46167</v>
      </c>
      <c r="I218" s="21" t="s">
        <v>807</v>
      </c>
    </row>
    <row r="219" spans="1:9" ht="21" customHeight="1">
      <c r="A219" s="20">
        <f t="shared" si="3"/>
        <v>215</v>
      </c>
      <c r="B219" s="21" t="s">
        <v>337</v>
      </c>
      <c r="C219" s="20" t="str">
        <f>IF(B219="","",IF(COUNTIF('01_Anggota'!$D$5:$D$1212,B219)=0,"NAMA TIDAK DITEMUKAN",INDEX('01_Anggota'!$B$5:$B$1212,MATCH(B219,'01_Anggota'!$D$5:$D$1212,0))))</f>
        <v>KKSUK-000138</v>
      </c>
      <c r="D219" s="23">
        <v>0</v>
      </c>
      <c r="E219" s="23">
        <v>-2500000</v>
      </c>
      <c r="F219" s="23">
        <v>0</v>
      </c>
      <c r="G219" s="23">
        <v>0</v>
      </c>
      <c r="H219" s="42">
        <v>46198</v>
      </c>
      <c r="I219" s="21" t="s">
        <v>808</v>
      </c>
    </row>
    <row r="220" spans="1:9" ht="21" customHeight="1">
      <c r="A220" s="20">
        <f t="shared" si="3"/>
        <v>216</v>
      </c>
      <c r="B220" s="21" t="s">
        <v>337</v>
      </c>
      <c r="C220" s="20" t="str">
        <f>IF(B220="","",IF(COUNTIF('01_Anggota'!$D$5:$D$1212,B220)=0,"NAMA TIDAK DITEMUKAN",INDEX('01_Anggota'!$B$5:$B$1212,MATCH(B220,'01_Anggota'!$D$5:$D$1212,0))))</f>
        <v>KKSUK-000138</v>
      </c>
      <c r="D220" s="23">
        <v>0</v>
      </c>
      <c r="E220" s="23">
        <v>100000</v>
      </c>
      <c r="F220" s="23">
        <v>100000</v>
      </c>
      <c r="G220" s="23">
        <v>0</v>
      </c>
      <c r="H220" s="42">
        <v>46198</v>
      </c>
      <c r="I220" s="21" t="s">
        <v>808</v>
      </c>
    </row>
    <row r="221" spans="1:9" ht="21" customHeight="1">
      <c r="A221" s="20">
        <f t="shared" si="3"/>
        <v>217</v>
      </c>
      <c r="B221" s="21" t="s">
        <v>337</v>
      </c>
      <c r="C221" s="20" t="str">
        <f>IF(B221="","",IF(COUNTIF('01_Anggota'!$D$5:$D$1212,B221)=0,"NAMA TIDAK DITEMUKAN",INDEX('01_Anggota'!$B$5:$B$1212,MATCH(B221,'01_Anggota'!$D$5:$D$1212,0))))</f>
        <v>KKSUK-000138</v>
      </c>
      <c r="D221" s="23">
        <v>0</v>
      </c>
      <c r="E221" s="23">
        <v>100000</v>
      </c>
      <c r="F221" s="23">
        <v>100000</v>
      </c>
      <c r="G221" s="23">
        <v>0</v>
      </c>
      <c r="H221" s="42">
        <v>46227</v>
      </c>
      <c r="I221" s="21" t="s">
        <v>809</v>
      </c>
    </row>
    <row r="222" spans="1:9" ht="21" customHeight="1">
      <c r="A222" s="20">
        <f t="shared" si="3"/>
        <v>218</v>
      </c>
      <c r="B222" s="21" t="s">
        <v>337</v>
      </c>
      <c r="C222" s="20" t="str">
        <f>IF(B222="","",IF(COUNTIF('01_Anggota'!$D$5:$D$1212,B222)=0,"NAMA TIDAK DITEMUKAN",INDEX('01_Anggota'!$B$5:$B$1212,MATCH(B222,'01_Anggota'!$D$5:$D$1212,0))))</f>
        <v>KKSUK-000138</v>
      </c>
      <c r="D222" s="23">
        <v>0</v>
      </c>
      <c r="E222" s="23">
        <v>100000</v>
      </c>
      <c r="F222" s="23">
        <v>100000</v>
      </c>
      <c r="G222" s="23">
        <v>0</v>
      </c>
      <c r="H222" s="42">
        <v>46258</v>
      </c>
      <c r="I222" s="21" t="s">
        <v>810</v>
      </c>
    </row>
    <row r="223" spans="1:9" ht="21" customHeight="1">
      <c r="A223" s="20">
        <f t="shared" si="3"/>
        <v>219</v>
      </c>
      <c r="B223" s="21" t="s">
        <v>339</v>
      </c>
      <c r="C223" s="20" t="str">
        <f>IF(B223="","",IF(COUNTIF('01_Anggota'!$D$5:$D$1212,B223)=0,"NAMA TIDAK DITEMUKAN",INDEX('01_Anggota'!$B$5:$B$1212,MATCH(B223,'01_Anggota'!$D$5:$D$1212,0))))</f>
        <v>KKSUK-000140</v>
      </c>
      <c r="D223" s="23">
        <v>0</v>
      </c>
      <c r="E223" s="23">
        <v>1000000</v>
      </c>
      <c r="F223" s="23">
        <v>4000000</v>
      </c>
      <c r="G223" s="23">
        <v>1073551</v>
      </c>
      <c r="H223" s="42">
        <v>46023</v>
      </c>
      <c r="I223" s="21" t="s">
        <v>802</v>
      </c>
    </row>
    <row r="224" spans="1:9" ht="21" customHeight="1">
      <c r="A224" s="20">
        <f t="shared" si="3"/>
        <v>220</v>
      </c>
      <c r="B224" s="21" t="s">
        <v>339</v>
      </c>
      <c r="C224" s="20" t="str">
        <f>IF(B224="","",IF(COUNTIF('01_Anggota'!$D$5:$D$1212,B224)=0,"NAMA TIDAK DITEMUKAN",INDEX('01_Anggota'!$B$5:$B$1212,MATCH(B224,'01_Anggota'!$D$5:$D$1212,0))))</f>
        <v>KKSUK-000140</v>
      </c>
      <c r="D224" s="23">
        <v>0</v>
      </c>
      <c r="E224" s="23">
        <v>50000</v>
      </c>
      <c r="F224" s="23">
        <v>100000</v>
      </c>
      <c r="G224" s="23">
        <v>0</v>
      </c>
      <c r="H224" s="42">
        <v>46045</v>
      </c>
      <c r="I224" s="21" t="s">
        <v>803</v>
      </c>
    </row>
    <row r="225" spans="1:9" ht="21" customHeight="1">
      <c r="A225" s="20">
        <f t="shared" si="3"/>
        <v>221</v>
      </c>
      <c r="B225" s="21" t="s">
        <v>339</v>
      </c>
      <c r="C225" s="20" t="str">
        <f>IF(B225="","",IF(COUNTIF('01_Anggota'!$D$5:$D$1212,B225)=0,"NAMA TIDAK DITEMUKAN",INDEX('01_Anggota'!$B$5:$B$1212,MATCH(B225,'01_Anggota'!$D$5:$D$1212,0))))</f>
        <v>KKSUK-000140</v>
      </c>
      <c r="D225" s="23">
        <v>0</v>
      </c>
      <c r="E225" s="23">
        <v>50000</v>
      </c>
      <c r="F225" s="23">
        <v>100000</v>
      </c>
      <c r="G225" s="23">
        <v>0</v>
      </c>
      <c r="H225" s="42">
        <v>46078</v>
      </c>
      <c r="I225" s="21" t="s">
        <v>804</v>
      </c>
    </row>
    <row r="226" spans="1:9" ht="21" customHeight="1">
      <c r="A226" s="20">
        <f t="shared" si="3"/>
        <v>222</v>
      </c>
      <c r="B226" s="21" t="s">
        <v>339</v>
      </c>
      <c r="C226" s="20" t="str">
        <f>IF(B226="","",IF(COUNTIF('01_Anggota'!$D$5:$D$1212,B226)=0,"NAMA TIDAK DITEMUKAN",INDEX('01_Anggota'!$B$5:$B$1212,MATCH(B226,'01_Anggota'!$D$5:$D$1212,0))))</f>
        <v>KKSUK-000140</v>
      </c>
      <c r="D226" s="23">
        <v>0</v>
      </c>
      <c r="E226" s="23">
        <v>50000</v>
      </c>
      <c r="F226" s="23">
        <v>100000</v>
      </c>
      <c r="G226" s="23">
        <v>0</v>
      </c>
      <c r="H226" s="42">
        <v>46106</v>
      </c>
      <c r="I226" s="21" t="s">
        <v>805</v>
      </c>
    </row>
    <row r="227" spans="1:9" ht="21" customHeight="1">
      <c r="A227" s="20">
        <f t="shared" si="3"/>
        <v>223</v>
      </c>
      <c r="B227" s="21" t="s">
        <v>339</v>
      </c>
      <c r="C227" s="20" t="str">
        <f>IF(B227="","",IF(COUNTIF('01_Anggota'!$D$5:$D$1212,B227)=0,"NAMA TIDAK DITEMUKAN",INDEX('01_Anggota'!$B$5:$B$1212,MATCH(B227,'01_Anggota'!$D$5:$D$1212,0))))</f>
        <v>KKSUK-000140</v>
      </c>
      <c r="D227" s="23">
        <v>0</v>
      </c>
      <c r="E227" s="23">
        <v>50000</v>
      </c>
      <c r="F227" s="23">
        <v>100000</v>
      </c>
      <c r="G227" s="23">
        <v>0</v>
      </c>
      <c r="H227" s="42">
        <v>46136</v>
      </c>
      <c r="I227" s="21" t="s">
        <v>806</v>
      </c>
    </row>
    <row r="228" spans="1:9" ht="21" customHeight="1">
      <c r="A228" s="20">
        <f t="shared" si="3"/>
        <v>224</v>
      </c>
      <c r="B228" s="21" t="s">
        <v>339</v>
      </c>
      <c r="C228" s="20" t="str">
        <f>IF(B228="","",IF(COUNTIF('01_Anggota'!$D$5:$D$1212,B228)=0,"NAMA TIDAK DITEMUKAN",INDEX('01_Anggota'!$B$5:$B$1212,MATCH(B228,'01_Anggota'!$D$5:$D$1212,0))))</f>
        <v>KKSUK-000140</v>
      </c>
      <c r="D228" s="23">
        <v>0</v>
      </c>
      <c r="E228" s="23">
        <v>50000</v>
      </c>
      <c r="F228" s="23">
        <v>100000</v>
      </c>
      <c r="G228" s="23">
        <v>0</v>
      </c>
      <c r="H228" s="42">
        <v>46167</v>
      </c>
      <c r="I228" s="21" t="s">
        <v>807</v>
      </c>
    </row>
    <row r="229" spans="1:9" ht="21" customHeight="1">
      <c r="A229" s="20">
        <f t="shared" si="3"/>
        <v>225</v>
      </c>
      <c r="B229" s="21" t="s">
        <v>339</v>
      </c>
      <c r="C229" s="20" t="str">
        <f>IF(B229="","",IF(COUNTIF('01_Anggota'!$D$5:$D$1212,B229)=0,"NAMA TIDAK DITEMUKAN",INDEX('01_Anggota'!$B$5:$B$1212,MATCH(B229,'01_Anggota'!$D$5:$D$1212,0))))</f>
        <v>KKSUK-000140</v>
      </c>
      <c r="D229" s="23">
        <v>0</v>
      </c>
      <c r="E229" s="23">
        <v>50000</v>
      </c>
      <c r="F229" s="23">
        <v>100000</v>
      </c>
      <c r="G229" s="23">
        <v>0</v>
      </c>
      <c r="H229" s="42">
        <v>46198</v>
      </c>
      <c r="I229" s="21" t="s">
        <v>808</v>
      </c>
    </row>
    <row r="230" spans="1:9" ht="21" customHeight="1">
      <c r="A230" s="20">
        <f t="shared" si="3"/>
        <v>226</v>
      </c>
      <c r="B230" s="21" t="s">
        <v>339</v>
      </c>
      <c r="C230" s="20" t="str">
        <f>IF(B230="","",IF(COUNTIF('01_Anggota'!$D$5:$D$1212,B230)=0,"NAMA TIDAK DITEMUKAN",INDEX('01_Anggota'!$B$5:$B$1212,MATCH(B230,'01_Anggota'!$D$5:$D$1212,0))))</f>
        <v>KKSUK-000140</v>
      </c>
      <c r="D230" s="23">
        <v>0</v>
      </c>
      <c r="E230" s="23">
        <v>50000</v>
      </c>
      <c r="F230" s="23">
        <v>100000</v>
      </c>
      <c r="G230" s="23">
        <v>0</v>
      </c>
      <c r="H230" s="42">
        <v>46227</v>
      </c>
      <c r="I230" s="21" t="s">
        <v>809</v>
      </c>
    </row>
    <row r="231" spans="1:9" ht="21" customHeight="1">
      <c r="A231" s="20">
        <f t="shared" si="3"/>
        <v>227</v>
      </c>
      <c r="B231" s="21" t="s">
        <v>339</v>
      </c>
      <c r="C231" s="20" t="str">
        <f>IF(B231="","",IF(COUNTIF('01_Anggota'!$D$5:$D$1212,B231)=0,"NAMA TIDAK DITEMUKAN",INDEX('01_Anggota'!$B$5:$B$1212,MATCH(B231,'01_Anggota'!$D$5:$D$1212,0))))</f>
        <v>KKSUK-000140</v>
      </c>
      <c r="D231" s="23">
        <v>0</v>
      </c>
      <c r="E231" s="23">
        <v>50000</v>
      </c>
      <c r="F231" s="23">
        <v>100000</v>
      </c>
      <c r="G231" s="23">
        <v>0</v>
      </c>
      <c r="H231" s="42">
        <v>46258</v>
      </c>
      <c r="I231" s="21" t="s">
        <v>810</v>
      </c>
    </row>
    <row r="232" spans="1:9" ht="21" customHeight="1">
      <c r="A232" s="20">
        <f t="shared" si="3"/>
        <v>228</v>
      </c>
      <c r="B232" s="21" t="s">
        <v>202</v>
      </c>
      <c r="C232" s="20" t="str">
        <f>IF(B232="","",IF(COUNTIF('01_Anggota'!$D$5:$D$1212,B232)=0,"NAMA TIDAK DITEMUKAN",INDEX('01_Anggota'!$B$5:$B$1212,MATCH(B232,'01_Anggota'!$D$5:$D$1212,0))))</f>
        <v>KKSUK-000003</v>
      </c>
      <c r="D232" s="23">
        <v>0</v>
      </c>
      <c r="E232" s="23">
        <v>4850000</v>
      </c>
      <c r="F232" s="23">
        <v>10527206</v>
      </c>
      <c r="G232" s="23">
        <v>4682831</v>
      </c>
      <c r="H232" s="42">
        <v>46023</v>
      </c>
      <c r="I232" s="21" t="s">
        <v>802</v>
      </c>
    </row>
    <row r="233" spans="1:9" ht="21" customHeight="1">
      <c r="A233" s="20">
        <f t="shared" si="3"/>
        <v>229</v>
      </c>
      <c r="B233" s="21" t="s">
        <v>202</v>
      </c>
      <c r="C233" s="20" t="str">
        <f>IF(B233="","",IF(COUNTIF('01_Anggota'!$D$5:$D$1212,B233)=0,"NAMA TIDAK DITEMUKAN",INDEX('01_Anggota'!$B$5:$B$1212,MATCH(B233,'01_Anggota'!$D$5:$D$1212,0))))</f>
        <v>KKSUK-000003</v>
      </c>
      <c r="D233" s="23">
        <v>0</v>
      </c>
      <c r="E233" s="23">
        <v>50000</v>
      </c>
      <c r="F233" s="23">
        <v>100000</v>
      </c>
      <c r="G233" s="23">
        <v>0</v>
      </c>
      <c r="H233" s="42">
        <v>46045</v>
      </c>
      <c r="I233" s="21" t="s">
        <v>803</v>
      </c>
    </row>
    <row r="234" spans="1:9" ht="21" customHeight="1">
      <c r="A234" s="20">
        <f t="shared" si="3"/>
        <v>230</v>
      </c>
      <c r="B234" s="21" t="s">
        <v>202</v>
      </c>
      <c r="C234" s="20" t="str">
        <f>IF(B234="","",IF(COUNTIF('01_Anggota'!$D$5:$D$1212,B234)=0,"NAMA TIDAK DITEMUKAN",INDEX('01_Anggota'!$B$5:$B$1212,MATCH(B234,'01_Anggota'!$D$5:$D$1212,0))))</f>
        <v>KKSUK-000003</v>
      </c>
      <c r="D234" s="23">
        <v>0</v>
      </c>
      <c r="E234" s="23">
        <v>50000</v>
      </c>
      <c r="F234" s="23">
        <v>100000</v>
      </c>
      <c r="G234" s="23">
        <v>0</v>
      </c>
      <c r="H234" s="42">
        <v>46078</v>
      </c>
      <c r="I234" s="21" t="s">
        <v>804</v>
      </c>
    </row>
    <row r="235" spans="1:9" ht="21" customHeight="1">
      <c r="A235" s="20">
        <f t="shared" si="3"/>
        <v>231</v>
      </c>
      <c r="B235" s="21" t="s">
        <v>202</v>
      </c>
      <c r="C235" s="20" t="str">
        <f>IF(B235="","",IF(COUNTIF('01_Anggota'!$D$5:$D$1212,B235)=0,"NAMA TIDAK DITEMUKAN",INDEX('01_Anggota'!$B$5:$B$1212,MATCH(B235,'01_Anggota'!$D$5:$D$1212,0))))</f>
        <v>KKSUK-000003</v>
      </c>
      <c r="D235" s="23">
        <v>0</v>
      </c>
      <c r="E235" s="23">
        <v>50000</v>
      </c>
      <c r="F235" s="23">
        <v>100000</v>
      </c>
      <c r="G235" s="23">
        <v>0</v>
      </c>
      <c r="H235" s="42">
        <v>46106</v>
      </c>
      <c r="I235" s="21" t="s">
        <v>805</v>
      </c>
    </row>
    <row r="236" spans="1:9" ht="21" customHeight="1">
      <c r="A236" s="20">
        <f t="shared" si="3"/>
        <v>232</v>
      </c>
      <c r="B236" s="21" t="s">
        <v>202</v>
      </c>
      <c r="C236" s="20" t="str">
        <f>IF(B236="","",IF(COUNTIF('01_Anggota'!$D$5:$D$1212,B236)=0,"NAMA TIDAK DITEMUKAN",INDEX('01_Anggota'!$B$5:$B$1212,MATCH(B236,'01_Anggota'!$D$5:$D$1212,0))))</f>
        <v>KKSUK-000003</v>
      </c>
      <c r="D236" s="23">
        <v>0</v>
      </c>
      <c r="E236" s="23">
        <v>50000</v>
      </c>
      <c r="F236" s="23">
        <v>100000</v>
      </c>
      <c r="G236" s="23">
        <v>0</v>
      </c>
      <c r="H236" s="42">
        <v>46136</v>
      </c>
      <c r="I236" s="21" t="s">
        <v>806</v>
      </c>
    </row>
    <row r="237" spans="1:9" ht="21" customHeight="1">
      <c r="A237" s="20">
        <f t="shared" si="3"/>
        <v>233</v>
      </c>
      <c r="B237" s="21" t="s">
        <v>202</v>
      </c>
      <c r="C237" s="20" t="str">
        <f>IF(B237="","",IF(COUNTIF('01_Anggota'!$D$5:$D$1212,B237)=0,"NAMA TIDAK DITEMUKAN",INDEX('01_Anggota'!$B$5:$B$1212,MATCH(B237,'01_Anggota'!$D$5:$D$1212,0))))</f>
        <v>KKSUK-000003</v>
      </c>
      <c r="D237" s="23">
        <v>0</v>
      </c>
      <c r="E237" s="23">
        <v>50000</v>
      </c>
      <c r="F237" s="23">
        <v>100000</v>
      </c>
      <c r="G237" s="23">
        <v>0</v>
      </c>
      <c r="H237" s="42">
        <v>46167</v>
      </c>
      <c r="I237" s="21" t="s">
        <v>807</v>
      </c>
    </row>
    <row r="238" spans="1:9" ht="21" customHeight="1">
      <c r="A238" s="20">
        <f t="shared" si="3"/>
        <v>234</v>
      </c>
      <c r="B238" s="21" t="s">
        <v>202</v>
      </c>
      <c r="C238" s="20" t="str">
        <f>IF(B238="","",IF(COUNTIF('01_Anggota'!$D$5:$D$1212,B238)=0,"NAMA TIDAK DITEMUKAN",INDEX('01_Anggota'!$B$5:$B$1212,MATCH(B238,'01_Anggota'!$D$5:$D$1212,0))))</f>
        <v>KKSUK-000003</v>
      </c>
      <c r="D238" s="23">
        <v>0</v>
      </c>
      <c r="E238" s="23">
        <v>50000</v>
      </c>
      <c r="F238" s="23">
        <v>100000</v>
      </c>
      <c r="G238" s="23">
        <v>0</v>
      </c>
      <c r="H238" s="42">
        <v>46198</v>
      </c>
      <c r="I238" s="21" t="s">
        <v>808</v>
      </c>
    </row>
    <row r="239" spans="1:9" ht="21" customHeight="1">
      <c r="A239" s="20">
        <f t="shared" si="3"/>
        <v>235</v>
      </c>
      <c r="B239" s="21" t="s">
        <v>202</v>
      </c>
      <c r="C239" s="20" t="str">
        <f>IF(B239="","",IF(COUNTIF('01_Anggota'!$D$5:$D$1212,B239)=0,"NAMA TIDAK DITEMUKAN",INDEX('01_Anggota'!$B$5:$B$1212,MATCH(B239,'01_Anggota'!$D$5:$D$1212,0))))</f>
        <v>KKSUK-000003</v>
      </c>
      <c r="D239" s="23">
        <v>0</v>
      </c>
      <c r="E239" s="23">
        <v>50000</v>
      </c>
      <c r="F239" s="23">
        <v>100000</v>
      </c>
      <c r="G239" s="23">
        <v>0</v>
      </c>
      <c r="H239" s="42">
        <v>46227</v>
      </c>
      <c r="I239" s="21" t="s">
        <v>809</v>
      </c>
    </row>
    <row r="240" spans="1:9" ht="21" customHeight="1">
      <c r="A240" s="20">
        <f t="shared" si="3"/>
        <v>236</v>
      </c>
      <c r="B240" s="21" t="s">
        <v>202</v>
      </c>
      <c r="C240" s="20" t="str">
        <f>IF(B240="","",IF(COUNTIF('01_Anggota'!$D$5:$D$1212,B240)=0,"NAMA TIDAK DITEMUKAN",INDEX('01_Anggota'!$B$5:$B$1212,MATCH(B240,'01_Anggota'!$D$5:$D$1212,0))))</f>
        <v>KKSUK-000003</v>
      </c>
      <c r="D240" s="23">
        <v>0</v>
      </c>
      <c r="E240" s="23">
        <v>50000</v>
      </c>
      <c r="F240" s="23">
        <v>100000</v>
      </c>
      <c r="G240" s="23">
        <v>0</v>
      </c>
      <c r="H240" s="42">
        <v>46258</v>
      </c>
      <c r="I240" s="21" t="s">
        <v>810</v>
      </c>
    </row>
    <row r="241" spans="1:9" ht="21" customHeight="1">
      <c r="A241" s="20">
        <f t="shared" si="3"/>
        <v>237</v>
      </c>
      <c r="B241" s="21" t="s">
        <v>203</v>
      </c>
      <c r="C241" s="20" t="str">
        <f>IF(B241="","",IF(COUNTIF('01_Anggota'!$D$5:$D$1212,B241)=0,"NAMA TIDAK DITEMUKAN",INDEX('01_Anggota'!$B$5:$B$1212,MATCH(B241,'01_Anggota'!$D$5:$D$1212,0))))</f>
        <v>KKSUK-000004</v>
      </c>
      <c r="D241" s="23">
        <v>0</v>
      </c>
      <c r="E241" s="23">
        <v>4845000</v>
      </c>
      <c r="F241" s="23">
        <v>16860333</v>
      </c>
      <c r="G241" s="23">
        <v>4530258</v>
      </c>
      <c r="H241" s="42">
        <v>46023</v>
      </c>
      <c r="I241" s="21" t="s">
        <v>802</v>
      </c>
    </row>
    <row r="242" spans="1:9" ht="21" customHeight="1">
      <c r="A242" s="20">
        <f t="shared" si="3"/>
        <v>238</v>
      </c>
      <c r="B242" s="21" t="s">
        <v>203</v>
      </c>
      <c r="C242" s="20" t="str">
        <f>IF(B242="","",IF(COUNTIF('01_Anggota'!$D$5:$D$1212,B242)=0,"NAMA TIDAK DITEMUKAN",INDEX('01_Anggota'!$B$5:$B$1212,MATCH(B242,'01_Anggota'!$D$5:$D$1212,0))))</f>
        <v>KKSUK-000004</v>
      </c>
      <c r="D242" s="23">
        <v>0</v>
      </c>
      <c r="E242" s="23">
        <v>50000</v>
      </c>
      <c r="F242" s="23">
        <v>100000</v>
      </c>
      <c r="G242" s="23">
        <v>0</v>
      </c>
      <c r="H242" s="42">
        <v>46045</v>
      </c>
      <c r="I242" s="21" t="s">
        <v>803</v>
      </c>
    </row>
    <row r="243" spans="1:9" ht="21" customHeight="1">
      <c r="A243" s="20">
        <f t="shared" si="3"/>
        <v>239</v>
      </c>
      <c r="B243" s="21" t="s">
        <v>203</v>
      </c>
      <c r="C243" s="20" t="str">
        <f>IF(B243="","",IF(COUNTIF('01_Anggota'!$D$5:$D$1212,B243)=0,"NAMA TIDAK DITEMUKAN",INDEX('01_Anggota'!$B$5:$B$1212,MATCH(B243,'01_Anggota'!$D$5:$D$1212,0))))</f>
        <v>KKSUK-000004</v>
      </c>
      <c r="D243" s="23">
        <v>0</v>
      </c>
      <c r="E243" s="23">
        <v>50000</v>
      </c>
      <c r="F243" s="23">
        <v>100000</v>
      </c>
      <c r="G243" s="23">
        <v>0</v>
      </c>
      <c r="H243" s="42">
        <v>46078</v>
      </c>
      <c r="I243" s="21" t="s">
        <v>804</v>
      </c>
    </row>
    <row r="244" spans="1:9" ht="21" customHeight="1">
      <c r="A244" s="20">
        <f t="shared" si="3"/>
        <v>240</v>
      </c>
      <c r="B244" s="21" t="s">
        <v>203</v>
      </c>
      <c r="C244" s="20" t="str">
        <f>IF(B244="","",IF(COUNTIF('01_Anggota'!$D$5:$D$1212,B244)=0,"NAMA TIDAK DITEMUKAN",INDEX('01_Anggota'!$B$5:$B$1212,MATCH(B244,'01_Anggota'!$D$5:$D$1212,0))))</f>
        <v>KKSUK-000004</v>
      </c>
      <c r="D244" s="23">
        <v>0</v>
      </c>
      <c r="E244" s="23">
        <v>50000</v>
      </c>
      <c r="F244" s="23">
        <v>100000</v>
      </c>
      <c r="G244" s="23">
        <v>0</v>
      </c>
      <c r="H244" s="42">
        <v>46106</v>
      </c>
      <c r="I244" s="21" t="s">
        <v>805</v>
      </c>
    </row>
    <row r="245" spans="1:9" ht="21" customHeight="1">
      <c r="A245" s="20">
        <f t="shared" si="3"/>
        <v>241</v>
      </c>
      <c r="B245" s="21" t="s">
        <v>203</v>
      </c>
      <c r="C245" s="20" t="str">
        <f>IF(B245="","",IF(COUNTIF('01_Anggota'!$D$5:$D$1212,B245)=0,"NAMA TIDAK DITEMUKAN",INDEX('01_Anggota'!$B$5:$B$1212,MATCH(B245,'01_Anggota'!$D$5:$D$1212,0))))</f>
        <v>KKSUK-000004</v>
      </c>
      <c r="D245" s="23">
        <v>0</v>
      </c>
      <c r="E245" s="23">
        <v>50000</v>
      </c>
      <c r="F245" s="23">
        <v>100000</v>
      </c>
      <c r="G245" s="23">
        <v>0</v>
      </c>
      <c r="H245" s="42">
        <v>46136</v>
      </c>
      <c r="I245" s="21" t="s">
        <v>806</v>
      </c>
    </row>
    <row r="246" spans="1:9" ht="21" customHeight="1">
      <c r="A246" s="20">
        <f t="shared" si="3"/>
        <v>242</v>
      </c>
      <c r="B246" s="21" t="s">
        <v>203</v>
      </c>
      <c r="C246" s="20" t="str">
        <f>IF(B246="","",IF(COUNTIF('01_Anggota'!$D$5:$D$1212,B246)=0,"NAMA TIDAK DITEMUKAN",INDEX('01_Anggota'!$B$5:$B$1212,MATCH(B246,'01_Anggota'!$D$5:$D$1212,0))))</f>
        <v>KKSUK-000004</v>
      </c>
      <c r="D246" s="23">
        <v>0</v>
      </c>
      <c r="E246" s="23">
        <v>50000</v>
      </c>
      <c r="F246" s="23">
        <v>100000</v>
      </c>
      <c r="G246" s="23">
        <v>0</v>
      </c>
      <c r="H246" s="42">
        <v>46167</v>
      </c>
      <c r="I246" s="21" t="s">
        <v>807</v>
      </c>
    </row>
    <row r="247" spans="1:9" ht="21" customHeight="1">
      <c r="A247" s="20">
        <f t="shared" si="3"/>
        <v>243</v>
      </c>
      <c r="B247" s="21" t="s">
        <v>203</v>
      </c>
      <c r="C247" s="20" t="str">
        <f>IF(B247="","",IF(COUNTIF('01_Anggota'!$D$5:$D$1212,B247)=0,"NAMA TIDAK DITEMUKAN",INDEX('01_Anggota'!$B$5:$B$1212,MATCH(B247,'01_Anggota'!$D$5:$D$1212,0))))</f>
        <v>KKSUK-000004</v>
      </c>
      <c r="D247" s="23">
        <v>0</v>
      </c>
      <c r="E247" s="23">
        <v>50000</v>
      </c>
      <c r="F247" s="23">
        <v>100000</v>
      </c>
      <c r="G247" s="23">
        <v>0</v>
      </c>
      <c r="H247" s="42">
        <v>46198</v>
      </c>
      <c r="I247" s="21" t="s">
        <v>808</v>
      </c>
    </row>
    <row r="248" spans="1:9" ht="21" customHeight="1">
      <c r="A248" s="20">
        <f t="shared" si="3"/>
        <v>244</v>
      </c>
      <c r="B248" s="21" t="s">
        <v>203</v>
      </c>
      <c r="C248" s="20" t="str">
        <f>IF(B248="","",IF(COUNTIF('01_Anggota'!$D$5:$D$1212,B248)=0,"NAMA TIDAK DITEMUKAN",INDEX('01_Anggota'!$B$5:$B$1212,MATCH(B248,'01_Anggota'!$D$5:$D$1212,0))))</f>
        <v>KKSUK-000004</v>
      </c>
      <c r="D248" s="23">
        <v>0</v>
      </c>
      <c r="E248" s="23">
        <v>50000</v>
      </c>
      <c r="F248" s="23">
        <v>100000</v>
      </c>
      <c r="G248" s="23">
        <v>0</v>
      </c>
      <c r="H248" s="42">
        <v>46227</v>
      </c>
      <c r="I248" s="21" t="s">
        <v>809</v>
      </c>
    </row>
    <row r="249" spans="1:9" ht="21" customHeight="1">
      <c r="A249" s="20">
        <f t="shared" si="3"/>
        <v>245</v>
      </c>
      <c r="B249" s="21" t="s">
        <v>203</v>
      </c>
      <c r="C249" s="20" t="str">
        <f>IF(B249="","",IF(COUNTIF('01_Anggota'!$D$5:$D$1212,B249)=0,"NAMA TIDAK DITEMUKAN",INDEX('01_Anggota'!$B$5:$B$1212,MATCH(B249,'01_Anggota'!$D$5:$D$1212,0))))</f>
        <v>KKSUK-000004</v>
      </c>
      <c r="D249" s="23">
        <v>0</v>
      </c>
      <c r="E249" s="23">
        <v>50000</v>
      </c>
      <c r="F249" s="23">
        <v>100000</v>
      </c>
      <c r="G249" s="23">
        <v>0</v>
      </c>
      <c r="H249" s="42">
        <v>46258</v>
      </c>
      <c r="I249" s="21" t="s">
        <v>810</v>
      </c>
    </row>
    <row r="250" spans="1:9" ht="21" customHeight="1">
      <c r="A250" s="20">
        <f t="shared" si="3"/>
        <v>246</v>
      </c>
      <c r="B250" s="21" t="s">
        <v>388</v>
      </c>
      <c r="C250" s="20" t="str">
        <f>IF(B250="","",IF(COUNTIF('01_Anggota'!$D$5:$D$1212,B250)=0,"NAMA TIDAK DITEMUKAN",INDEX('01_Anggota'!$B$5:$B$1212,MATCH(B250,'01_Anggota'!$D$5:$D$1212,0))))</f>
        <v>KKSUK-000189</v>
      </c>
      <c r="D250" s="23">
        <v>0</v>
      </c>
      <c r="E250" s="23">
        <v>500000</v>
      </c>
      <c r="F250" s="23">
        <v>400000</v>
      </c>
      <c r="G250" s="23">
        <v>0</v>
      </c>
      <c r="H250" s="42">
        <v>46023</v>
      </c>
      <c r="I250" s="21" t="s">
        <v>802</v>
      </c>
    </row>
    <row r="251" spans="1:9" ht="21" customHeight="1">
      <c r="A251" s="20">
        <f t="shared" si="3"/>
        <v>247</v>
      </c>
      <c r="B251" s="21" t="s">
        <v>388</v>
      </c>
      <c r="C251" s="20" t="str">
        <f>IF(B251="","",IF(COUNTIF('01_Anggota'!$D$5:$D$1212,B251)=0,"NAMA TIDAK DITEMUKAN",INDEX('01_Anggota'!$B$5:$B$1212,MATCH(B251,'01_Anggota'!$D$5:$D$1212,0))))</f>
        <v>KKSUK-000189</v>
      </c>
      <c r="D251" s="23">
        <v>0</v>
      </c>
      <c r="E251" s="23">
        <v>150000</v>
      </c>
      <c r="F251" s="23">
        <v>100000</v>
      </c>
      <c r="G251" s="23">
        <v>0</v>
      </c>
      <c r="H251" s="42">
        <v>46078</v>
      </c>
      <c r="I251" s="21" t="s">
        <v>804</v>
      </c>
    </row>
    <row r="252" spans="1:9" ht="21" customHeight="1">
      <c r="A252" s="20">
        <f t="shared" si="3"/>
        <v>248</v>
      </c>
      <c r="B252" s="21" t="s">
        <v>388</v>
      </c>
      <c r="C252" s="20" t="str">
        <f>IF(B252="","",IF(COUNTIF('01_Anggota'!$D$5:$D$1212,B252)=0,"NAMA TIDAK DITEMUKAN",INDEX('01_Anggota'!$B$5:$B$1212,MATCH(B252,'01_Anggota'!$D$5:$D$1212,0))))</f>
        <v>KKSUK-000189</v>
      </c>
      <c r="D252" s="23">
        <v>0</v>
      </c>
      <c r="E252" s="23">
        <v>150000</v>
      </c>
      <c r="F252" s="23">
        <v>100000</v>
      </c>
      <c r="G252" s="23">
        <v>0</v>
      </c>
      <c r="H252" s="42">
        <v>46106</v>
      </c>
      <c r="I252" s="21" t="s">
        <v>805</v>
      </c>
    </row>
    <row r="253" spans="1:9" ht="21" customHeight="1">
      <c r="A253" s="20">
        <f t="shared" si="3"/>
        <v>249</v>
      </c>
      <c r="B253" s="21" t="s">
        <v>388</v>
      </c>
      <c r="C253" s="20" t="str">
        <f>IF(B253="","",IF(COUNTIF('01_Anggota'!$D$5:$D$1212,B253)=0,"NAMA TIDAK DITEMUKAN",INDEX('01_Anggota'!$B$5:$B$1212,MATCH(B253,'01_Anggota'!$D$5:$D$1212,0))))</f>
        <v>KKSUK-000189</v>
      </c>
      <c r="D253" s="23">
        <v>0</v>
      </c>
      <c r="E253" s="23">
        <v>150000</v>
      </c>
      <c r="F253" s="23">
        <v>100000</v>
      </c>
      <c r="G253" s="23">
        <v>0</v>
      </c>
      <c r="H253" s="42">
        <v>46136</v>
      </c>
      <c r="I253" s="21" t="s">
        <v>806</v>
      </c>
    </row>
    <row r="254" spans="1:9" ht="21" customHeight="1">
      <c r="A254" s="20">
        <f t="shared" si="3"/>
        <v>250</v>
      </c>
      <c r="B254" s="21" t="s">
        <v>388</v>
      </c>
      <c r="C254" s="20" t="str">
        <f>IF(B254="","",IF(COUNTIF('01_Anggota'!$D$5:$D$1212,B254)=0,"NAMA TIDAK DITEMUKAN",INDEX('01_Anggota'!$B$5:$B$1212,MATCH(B254,'01_Anggota'!$D$5:$D$1212,0))))</f>
        <v>KKSUK-000189</v>
      </c>
      <c r="D254" s="23">
        <v>0</v>
      </c>
      <c r="E254" s="23">
        <v>150000</v>
      </c>
      <c r="F254" s="23">
        <v>100000</v>
      </c>
      <c r="G254" s="23">
        <v>0</v>
      </c>
      <c r="H254" s="42">
        <v>46167</v>
      </c>
      <c r="I254" s="21" t="s">
        <v>807</v>
      </c>
    </row>
    <row r="255" spans="1:9" ht="21" customHeight="1">
      <c r="A255" s="20">
        <f t="shared" si="3"/>
        <v>251</v>
      </c>
      <c r="B255" s="21" t="s">
        <v>306</v>
      </c>
      <c r="C255" s="20" t="str">
        <f>IF(B255="","",IF(COUNTIF('01_Anggota'!$D$5:$D$1212,B255)=0,"NAMA TIDAK DITEMUKAN",INDEX('01_Anggota'!$B$5:$B$1212,MATCH(B255,'01_Anggota'!$D$5:$D$1212,0))))</f>
        <v>KKSUK-000107</v>
      </c>
      <c r="D255" s="23">
        <v>0</v>
      </c>
      <c r="E255" s="23">
        <v>1500000</v>
      </c>
      <c r="F255" s="23">
        <v>3000000</v>
      </c>
      <c r="G255" s="23">
        <v>955050</v>
      </c>
      <c r="H255" s="42">
        <v>46023</v>
      </c>
      <c r="I255" s="21" t="s">
        <v>802</v>
      </c>
    </row>
    <row r="256" spans="1:9" ht="21" customHeight="1">
      <c r="A256" s="20">
        <f t="shared" si="3"/>
        <v>252</v>
      </c>
      <c r="B256" s="21" t="s">
        <v>306</v>
      </c>
      <c r="C256" s="20" t="str">
        <f>IF(B256="","",IF(COUNTIF('01_Anggota'!$D$5:$D$1212,B256)=0,"NAMA TIDAK DITEMUKAN",INDEX('01_Anggota'!$B$5:$B$1212,MATCH(B256,'01_Anggota'!$D$5:$D$1212,0))))</f>
        <v>KKSUK-000107</v>
      </c>
      <c r="D256" s="23">
        <v>0</v>
      </c>
      <c r="E256" s="23">
        <v>100000</v>
      </c>
      <c r="F256" s="23">
        <v>100000</v>
      </c>
      <c r="G256" s="23">
        <v>0</v>
      </c>
      <c r="H256" s="42">
        <v>46045</v>
      </c>
      <c r="I256" s="21" t="s">
        <v>803</v>
      </c>
    </row>
    <row r="257" spans="1:9" ht="21" customHeight="1">
      <c r="A257" s="20">
        <f t="shared" si="3"/>
        <v>253</v>
      </c>
      <c r="B257" s="21" t="s">
        <v>306</v>
      </c>
      <c r="C257" s="20" t="str">
        <f>IF(B257="","",IF(COUNTIF('01_Anggota'!$D$5:$D$1212,B257)=0,"NAMA TIDAK DITEMUKAN",INDEX('01_Anggota'!$B$5:$B$1212,MATCH(B257,'01_Anggota'!$D$5:$D$1212,0))))</f>
        <v>KKSUK-000107</v>
      </c>
      <c r="D257" s="23">
        <v>0</v>
      </c>
      <c r="E257" s="23">
        <v>100000</v>
      </c>
      <c r="F257" s="23">
        <v>100000</v>
      </c>
      <c r="G257" s="23">
        <v>0</v>
      </c>
      <c r="H257" s="42">
        <v>46078</v>
      </c>
      <c r="I257" s="21" t="s">
        <v>804</v>
      </c>
    </row>
    <row r="258" spans="1:9" ht="21" customHeight="1">
      <c r="A258" s="20">
        <f t="shared" si="3"/>
        <v>254</v>
      </c>
      <c r="B258" s="21" t="s">
        <v>306</v>
      </c>
      <c r="C258" s="20" t="str">
        <f>IF(B258="","",IF(COUNTIF('01_Anggota'!$D$5:$D$1212,B258)=0,"NAMA TIDAK DITEMUKAN",INDEX('01_Anggota'!$B$5:$B$1212,MATCH(B258,'01_Anggota'!$D$5:$D$1212,0))))</f>
        <v>KKSUK-000107</v>
      </c>
      <c r="D258" s="23">
        <v>0</v>
      </c>
      <c r="E258" s="23">
        <v>100000</v>
      </c>
      <c r="F258" s="23">
        <v>100000</v>
      </c>
      <c r="G258" s="23">
        <v>0</v>
      </c>
      <c r="H258" s="42">
        <v>46106</v>
      </c>
      <c r="I258" s="21" t="s">
        <v>805</v>
      </c>
    </row>
    <row r="259" spans="1:9" ht="21" customHeight="1">
      <c r="A259" s="20">
        <f t="shared" si="3"/>
        <v>255</v>
      </c>
      <c r="B259" s="21" t="s">
        <v>306</v>
      </c>
      <c r="C259" s="20" t="str">
        <f>IF(B259="","",IF(COUNTIF('01_Anggota'!$D$5:$D$1212,B259)=0,"NAMA TIDAK DITEMUKAN",INDEX('01_Anggota'!$B$5:$B$1212,MATCH(B259,'01_Anggota'!$D$5:$D$1212,0))))</f>
        <v>KKSUK-000107</v>
      </c>
      <c r="D259" s="23">
        <v>0</v>
      </c>
      <c r="E259" s="23">
        <v>100000</v>
      </c>
      <c r="F259" s="23">
        <v>100000</v>
      </c>
      <c r="G259" s="23">
        <v>0</v>
      </c>
      <c r="H259" s="42">
        <v>46136</v>
      </c>
      <c r="I259" s="21" t="s">
        <v>806</v>
      </c>
    </row>
    <row r="260" spans="1:9" ht="21" customHeight="1">
      <c r="A260" s="20">
        <f t="shared" si="3"/>
        <v>256</v>
      </c>
      <c r="B260" s="21" t="s">
        <v>306</v>
      </c>
      <c r="C260" s="20" t="str">
        <f>IF(B260="","",IF(COUNTIF('01_Anggota'!$D$5:$D$1212,B260)=0,"NAMA TIDAK DITEMUKAN",INDEX('01_Anggota'!$B$5:$B$1212,MATCH(B260,'01_Anggota'!$D$5:$D$1212,0))))</f>
        <v>KKSUK-000107</v>
      </c>
      <c r="D260" s="23">
        <v>0</v>
      </c>
      <c r="E260" s="23">
        <v>100000</v>
      </c>
      <c r="F260" s="23">
        <v>100000</v>
      </c>
      <c r="G260" s="23">
        <v>0</v>
      </c>
      <c r="H260" s="42">
        <v>46167</v>
      </c>
      <c r="I260" s="21" t="s">
        <v>807</v>
      </c>
    </row>
    <row r="261" spans="1:9" ht="21" customHeight="1">
      <c r="A261" s="20">
        <f t="shared" ref="A261:A324" si="4">IF(B261="","",ROW()-4)</f>
        <v>257</v>
      </c>
      <c r="B261" s="21" t="s">
        <v>306</v>
      </c>
      <c r="C261" s="20" t="str">
        <f>IF(B261="","",IF(COUNTIF('01_Anggota'!$D$5:$D$1212,B261)=0,"NAMA TIDAK DITEMUKAN",INDEX('01_Anggota'!$B$5:$B$1212,MATCH(B261,'01_Anggota'!$D$5:$D$1212,0))))</f>
        <v>KKSUK-000107</v>
      </c>
      <c r="D261" s="23">
        <v>0</v>
      </c>
      <c r="E261" s="23">
        <v>100000</v>
      </c>
      <c r="F261" s="23">
        <v>100000</v>
      </c>
      <c r="G261" s="23">
        <v>0</v>
      </c>
      <c r="H261" s="42">
        <v>46198</v>
      </c>
      <c r="I261" s="21" t="s">
        <v>808</v>
      </c>
    </row>
    <row r="262" spans="1:9" ht="21" customHeight="1">
      <c r="A262" s="20">
        <f t="shared" si="4"/>
        <v>258</v>
      </c>
      <c r="B262" s="21" t="s">
        <v>306</v>
      </c>
      <c r="C262" s="20" t="str">
        <f>IF(B262="","",IF(COUNTIF('01_Anggota'!$D$5:$D$1212,B262)=0,"NAMA TIDAK DITEMUKAN",INDEX('01_Anggota'!$B$5:$B$1212,MATCH(B262,'01_Anggota'!$D$5:$D$1212,0))))</f>
        <v>KKSUK-000107</v>
      </c>
      <c r="D262" s="23">
        <v>0</v>
      </c>
      <c r="E262" s="23">
        <v>100000</v>
      </c>
      <c r="F262" s="23">
        <v>100000</v>
      </c>
      <c r="G262" s="23">
        <v>0</v>
      </c>
      <c r="H262" s="42">
        <v>46227</v>
      </c>
      <c r="I262" s="21" t="s">
        <v>809</v>
      </c>
    </row>
    <row r="263" spans="1:9" ht="21" customHeight="1">
      <c r="A263" s="20">
        <f t="shared" si="4"/>
        <v>259</v>
      </c>
      <c r="B263" s="21" t="s">
        <v>306</v>
      </c>
      <c r="C263" s="20" t="str">
        <f>IF(B263="","",IF(COUNTIF('01_Anggota'!$D$5:$D$1212,B263)=0,"NAMA TIDAK DITEMUKAN",INDEX('01_Anggota'!$B$5:$B$1212,MATCH(B263,'01_Anggota'!$D$5:$D$1212,0))))</f>
        <v>KKSUK-000107</v>
      </c>
      <c r="D263" s="23">
        <v>0</v>
      </c>
      <c r="E263" s="23">
        <v>100000</v>
      </c>
      <c r="F263" s="23">
        <v>100000</v>
      </c>
      <c r="G263" s="23">
        <v>0</v>
      </c>
      <c r="H263" s="42">
        <v>46258</v>
      </c>
      <c r="I263" s="21" t="s">
        <v>810</v>
      </c>
    </row>
    <row r="264" spans="1:9" ht="21" customHeight="1">
      <c r="A264" s="20">
        <f t="shared" si="4"/>
        <v>260</v>
      </c>
      <c r="B264" s="21" t="s">
        <v>204</v>
      </c>
      <c r="C264" s="20" t="str">
        <f>IF(B264="","",IF(COUNTIF('01_Anggota'!$D$5:$D$1212,B264)=0,"NAMA TIDAK DITEMUKAN",INDEX('01_Anggota'!$B$5:$B$1212,MATCH(B264,'01_Anggota'!$D$5:$D$1212,0))))</f>
        <v>KKSUK-000005</v>
      </c>
      <c r="D264" s="23">
        <v>0</v>
      </c>
      <c r="E264" s="23">
        <v>68085000</v>
      </c>
      <c r="F264" s="23">
        <v>18038976</v>
      </c>
      <c r="G264" s="23">
        <v>18995938</v>
      </c>
      <c r="H264" s="42">
        <v>46023</v>
      </c>
      <c r="I264" s="21" t="s">
        <v>802</v>
      </c>
    </row>
    <row r="265" spans="1:9" ht="21" customHeight="1">
      <c r="A265" s="20">
        <f t="shared" si="4"/>
        <v>261</v>
      </c>
      <c r="B265" s="21" t="s">
        <v>204</v>
      </c>
      <c r="C265" s="20" t="str">
        <f>IF(B265="","",IF(COUNTIF('01_Anggota'!$D$5:$D$1212,B265)=0,"NAMA TIDAK DITEMUKAN",INDEX('01_Anggota'!$B$5:$B$1212,MATCH(B265,'01_Anggota'!$D$5:$D$1212,0))))</f>
        <v>KKSUK-000005</v>
      </c>
      <c r="D265" s="23">
        <v>0</v>
      </c>
      <c r="E265" s="23">
        <v>1775000</v>
      </c>
      <c r="F265" s="23">
        <v>100000</v>
      </c>
      <c r="G265" s="23">
        <v>0</v>
      </c>
      <c r="H265" s="42">
        <v>46045</v>
      </c>
      <c r="I265" s="21" t="s">
        <v>803</v>
      </c>
    </row>
    <row r="266" spans="1:9" ht="21" customHeight="1">
      <c r="A266" s="20">
        <f t="shared" si="4"/>
        <v>262</v>
      </c>
      <c r="B266" s="21" t="s">
        <v>204</v>
      </c>
      <c r="C266" s="20" t="str">
        <f>IF(B266="","",IF(COUNTIF('01_Anggota'!$D$5:$D$1212,B266)=0,"NAMA TIDAK DITEMUKAN",INDEX('01_Anggota'!$B$5:$B$1212,MATCH(B266,'01_Anggota'!$D$5:$D$1212,0))))</f>
        <v>KKSUK-000005</v>
      </c>
      <c r="D266" s="23">
        <v>0</v>
      </c>
      <c r="E266" s="23">
        <v>1775000</v>
      </c>
      <c r="F266" s="23">
        <v>100000</v>
      </c>
      <c r="G266" s="23">
        <v>0</v>
      </c>
      <c r="H266" s="42">
        <v>46078</v>
      </c>
      <c r="I266" s="21" t="s">
        <v>804</v>
      </c>
    </row>
    <row r="267" spans="1:9" ht="21" customHeight="1">
      <c r="A267" s="20">
        <f t="shared" si="4"/>
        <v>263</v>
      </c>
      <c r="B267" s="21" t="s">
        <v>204</v>
      </c>
      <c r="C267" s="20" t="str">
        <f>IF(B267="","",IF(COUNTIF('01_Anggota'!$D$5:$D$1212,B267)=0,"NAMA TIDAK DITEMUKAN",INDEX('01_Anggota'!$B$5:$B$1212,MATCH(B267,'01_Anggota'!$D$5:$D$1212,0))))</f>
        <v>KKSUK-000005</v>
      </c>
      <c r="D267" s="23">
        <v>0</v>
      </c>
      <c r="E267" s="23">
        <v>1775000</v>
      </c>
      <c r="F267" s="23">
        <v>100000</v>
      </c>
      <c r="G267" s="23">
        <v>0</v>
      </c>
      <c r="H267" s="42">
        <v>46106</v>
      </c>
      <c r="I267" s="21" t="s">
        <v>805</v>
      </c>
    </row>
    <row r="268" spans="1:9" ht="21" customHeight="1">
      <c r="A268" s="20">
        <f t="shared" si="4"/>
        <v>264</v>
      </c>
      <c r="B268" s="21" t="s">
        <v>204</v>
      </c>
      <c r="C268" s="20" t="str">
        <f>IF(B268="","",IF(COUNTIF('01_Anggota'!$D$5:$D$1212,B268)=0,"NAMA TIDAK DITEMUKAN",INDEX('01_Anggota'!$B$5:$B$1212,MATCH(B268,'01_Anggota'!$D$5:$D$1212,0))))</f>
        <v>KKSUK-000005</v>
      </c>
      <c r="D268" s="23">
        <v>0</v>
      </c>
      <c r="E268" s="23">
        <v>1775000</v>
      </c>
      <c r="F268" s="23">
        <v>100000</v>
      </c>
      <c r="G268" s="23">
        <v>0</v>
      </c>
      <c r="H268" s="42">
        <v>46136</v>
      </c>
      <c r="I268" s="21" t="s">
        <v>806</v>
      </c>
    </row>
    <row r="269" spans="1:9" ht="21" customHeight="1">
      <c r="A269" s="20">
        <f t="shared" si="4"/>
        <v>265</v>
      </c>
      <c r="B269" s="21" t="s">
        <v>204</v>
      </c>
      <c r="C269" s="20" t="str">
        <f>IF(B269="","",IF(COUNTIF('01_Anggota'!$D$5:$D$1212,B269)=0,"NAMA TIDAK DITEMUKAN",INDEX('01_Anggota'!$B$5:$B$1212,MATCH(B269,'01_Anggota'!$D$5:$D$1212,0))))</f>
        <v>KKSUK-000005</v>
      </c>
      <c r="D269" s="23">
        <v>0</v>
      </c>
      <c r="E269" s="23">
        <v>1775000</v>
      </c>
      <c r="F269" s="23">
        <v>100000</v>
      </c>
      <c r="G269" s="23">
        <v>0</v>
      </c>
      <c r="H269" s="42">
        <v>46167</v>
      </c>
      <c r="I269" s="21" t="s">
        <v>807</v>
      </c>
    </row>
    <row r="270" spans="1:9" ht="21" customHeight="1">
      <c r="A270" s="20">
        <f t="shared" si="4"/>
        <v>266</v>
      </c>
      <c r="B270" s="21" t="s">
        <v>204</v>
      </c>
      <c r="C270" s="20" t="str">
        <f>IF(B270="","",IF(COUNTIF('01_Anggota'!$D$5:$D$1212,B270)=0,"NAMA TIDAK DITEMUKAN",INDEX('01_Anggota'!$B$5:$B$1212,MATCH(B270,'01_Anggota'!$D$5:$D$1212,0))))</f>
        <v>KKSUK-000005</v>
      </c>
      <c r="D270" s="23">
        <v>0</v>
      </c>
      <c r="E270" s="23">
        <v>1775000</v>
      </c>
      <c r="F270" s="23">
        <v>100000</v>
      </c>
      <c r="G270" s="23">
        <v>0</v>
      </c>
      <c r="H270" s="42">
        <v>46198</v>
      </c>
      <c r="I270" s="21" t="s">
        <v>808</v>
      </c>
    </row>
    <row r="271" spans="1:9" ht="21" customHeight="1">
      <c r="A271" s="20">
        <f t="shared" si="4"/>
        <v>267</v>
      </c>
      <c r="B271" s="21" t="s">
        <v>204</v>
      </c>
      <c r="C271" s="20" t="str">
        <f>IF(B271="","",IF(COUNTIF('01_Anggota'!$D$5:$D$1212,B271)=0,"NAMA TIDAK DITEMUKAN",INDEX('01_Anggota'!$B$5:$B$1212,MATCH(B271,'01_Anggota'!$D$5:$D$1212,0))))</f>
        <v>KKSUK-000005</v>
      </c>
      <c r="D271" s="23">
        <v>0</v>
      </c>
      <c r="E271" s="23">
        <v>1775000</v>
      </c>
      <c r="F271" s="23">
        <v>100000</v>
      </c>
      <c r="G271" s="23">
        <v>0</v>
      </c>
      <c r="H271" s="42">
        <v>46227</v>
      </c>
      <c r="I271" s="21" t="s">
        <v>809</v>
      </c>
    </row>
    <row r="272" spans="1:9" ht="21" customHeight="1">
      <c r="A272" s="20">
        <f t="shared" si="4"/>
        <v>268</v>
      </c>
      <c r="B272" s="21" t="s">
        <v>204</v>
      </c>
      <c r="C272" s="20" t="str">
        <f>IF(B272="","",IF(COUNTIF('01_Anggota'!$D$5:$D$1212,B272)=0,"NAMA TIDAK DITEMUKAN",INDEX('01_Anggota'!$B$5:$B$1212,MATCH(B272,'01_Anggota'!$D$5:$D$1212,0))))</f>
        <v>KKSUK-000005</v>
      </c>
      <c r="D272" s="23">
        <v>0</v>
      </c>
      <c r="E272" s="23">
        <v>1775000</v>
      </c>
      <c r="F272" s="23">
        <v>100000</v>
      </c>
      <c r="G272" s="23">
        <v>0</v>
      </c>
      <c r="H272" s="42">
        <v>46258</v>
      </c>
      <c r="I272" s="21" t="s">
        <v>810</v>
      </c>
    </row>
    <row r="273" spans="1:9" ht="21" customHeight="1">
      <c r="A273" s="20">
        <f t="shared" si="4"/>
        <v>269</v>
      </c>
      <c r="B273" s="21" t="s">
        <v>205</v>
      </c>
      <c r="C273" s="20" t="str">
        <f>IF(B273="","",IF(COUNTIF('01_Anggota'!$D$5:$D$1212,B273)=0,"NAMA TIDAK DITEMUKAN",INDEX('01_Anggota'!$B$5:$B$1212,MATCH(B273,'01_Anggota'!$D$5:$D$1212,0))))</f>
        <v>KKSUK-000006</v>
      </c>
      <c r="D273" s="23">
        <v>0</v>
      </c>
      <c r="E273" s="23">
        <v>14899000</v>
      </c>
      <c r="F273" s="23">
        <v>17329845</v>
      </c>
      <c r="G273" s="23">
        <v>19495094</v>
      </c>
      <c r="H273" s="42">
        <v>46023</v>
      </c>
      <c r="I273" s="21" t="s">
        <v>802</v>
      </c>
    </row>
    <row r="274" spans="1:9" ht="21" customHeight="1">
      <c r="A274" s="20">
        <f t="shared" si="4"/>
        <v>270</v>
      </c>
      <c r="B274" s="21" t="s">
        <v>205</v>
      </c>
      <c r="C274" s="20" t="str">
        <f>IF(B274="","",IF(COUNTIF('01_Anggota'!$D$5:$D$1212,B274)=0,"NAMA TIDAK DITEMUKAN",INDEX('01_Anggota'!$B$5:$B$1212,MATCH(B274,'01_Anggota'!$D$5:$D$1212,0))))</f>
        <v>KKSUK-000006</v>
      </c>
      <c r="D274" s="23">
        <v>0</v>
      </c>
      <c r="E274" s="23">
        <v>-14899000</v>
      </c>
      <c r="F274" s="23">
        <v>-17329845</v>
      </c>
      <c r="G274" s="23">
        <v>-19495094</v>
      </c>
      <c r="H274" s="42">
        <v>46106</v>
      </c>
      <c r="I274" s="21" t="s">
        <v>805</v>
      </c>
    </row>
    <row r="275" spans="1:9" ht="21" customHeight="1">
      <c r="A275" s="20">
        <f t="shared" si="4"/>
        <v>271</v>
      </c>
      <c r="B275" s="21" t="s">
        <v>267</v>
      </c>
      <c r="C275" s="20" t="str">
        <f>IF(B275="","",IF(COUNTIF('01_Anggota'!$D$5:$D$1212,B275)=0,"NAMA TIDAK DITEMUKAN",INDEX('01_Anggota'!$B$5:$B$1212,MATCH(B275,'01_Anggota'!$D$5:$D$1212,0))))</f>
        <v>KKSUK-000068</v>
      </c>
      <c r="D275" s="23">
        <v>0</v>
      </c>
      <c r="E275" s="23">
        <v>5400000</v>
      </c>
      <c r="F275" s="23">
        <v>12477776</v>
      </c>
      <c r="G275" s="23">
        <v>6118167</v>
      </c>
      <c r="H275" s="42">
        <v>46023</v>
      </c>
      <c r="I275" s="21" t="s">
        <v>802</v>
      </c>
    </row>
    <row r="276" spans="1:9" ht="21" customHeight="1">
      <c r="A276" s="20">
        <f t="shared" si="4"/>
        <v>272</v>
      </c>
      <c r="B276" s="21" t="s">
        <v>267</v>
      </c>
      <c r="C276" s="20" t="str">
        <f>IF(B276="","",IF(COUNTIF('01_Anggota'!$D$5:$D$1212,B276)=0,"NAMA TIDAK DITEMUKAN",INDEX('01_Anggota'!$B$5:$B$1212,MATCH(B276,'01_Anggota'!$D$5:$D$1212,0))))</f>
        <v>KKSUK-000068</v>
      </c>
      <c r="D276" s="23">
        <v>0</v>
      </c>
      <c r="E276" s="23">
        <v>100000</v>
      </c>
      <c r="F276" s="23">
        <v>100000</v>
      </c>
      <c r="G276" s="23">
        <v>0</v>
      </c>
      <c r="H276" s="42">
        <v>46045</v>
      </c>
      <c r="I276" s="21" t="s">
        <v>803</v>
      </c>
    </row>
    <row r="277" spans="1:9" ht="21" customHeight="1">
      <c r="A277" s="20">
        <f t="shared" si="4"/>
        <v>273</v>
      </c>
      <c r="B277" s="21" t="s">
        <v>267</v>
      </c>
      <c r="C277" s="20" t="str">
        <f>IF(B277="","",IF(COUNTIF('01_Anggota'!$D$5:$D$1212,B277)=0,"NAMA TIDAK DITEMUKAN",INDEX('01_Anggota'!$B$5:$B$1212,MATCH(B277,'01_Anggota'!$D$5:$D$1212,0))))</f>
        <v>KKSUK-000068</v>
      </c>
      <c r="D277" s="23">
        <v>0</v>
      </c>
      <c r="E277" s="23">
        <v>100000</v>
      </c>
      <c r="F277" s="23">
        <v>100000</v>
      </c>
      <c r="G277" s="23">
        <v>0</v>
      </c>
      <c r="H277" s="42">
        <v>46078</v>
      </c>
      <c r="I277" s="21" t="s">
        <v>804</v>
      </c>
    </row>
    <row r="278" spans="1:9" ht="21" customHeight="1">
      <c r="A278" s="20">
        <f t="shared" si="4"/>
        <v>274</v>
      </c>
      <c r="B278" s="21" t="s">
        <v>267</v>
      </c>
      <c r="C278" s="20" t="str">
        <f>IF(B278="","",IF(COUNTIF('01_Anggota'!$D$5:$D$1212,B278)=0,"NAMA TIDAK DITEMUKAN",INDEX('01_Anggota'!$B$5:$B$1212,MATCH(B278,'01_Anggota'!$D$5:$D$1212,0))))</f>
        <v>KKSUK-000068</v>
      </c>
      <c r="D278" s="23">
        <v>0</v>
      </c>
      <c r="E278" s="23">
        <v>100000</v>
      </c>
      <c r="F278" s="23">
        <v>100000</v>
      </c>
      <c r="G278" s="23">
        <v>0</v>
      </c>
      <c r="H278" s="42">
        <v>46106</v>
      </c>
      <c r="I278" s="21" t="s">
        <v>805</v>
      </c>
    </row>
    <row r="279" spans="1:9" ht="21" customHeight="1">
      <c r="A279" s="20">
        <f t="shared" si="4"/>
        <v>275</v>
      </c>
      <c r="B279" s="21" t="s">
        <v>267</v>
      </c>
      <c r="C279" s="20" t="str">
        <f>IF(B279="","",IF(COUNTIF('01_Anggota'!$D$5:$D$1212,B279)=0,"NAMA TIDAK DITEMUKAN",INDEX('01_Anggota'!$B$5:$B$1212,MATCH(B279,'01_Anggota'!$D$5:$D$1212,0))))</f>
        <v>KKSUK-000068</v>
      </c>
      <c r="D279" s="23">
        <v>0</v>
      </c>
      <c r="E279" s="23">
        <v>100000</v>
      </c>
      <c r="F279" s="23">
        <v>100000</v>
      </c>
      <c r="G279" s="23">
        <v>0</v>
      </c>
      <c r="H279" s="42">
        <v>46136</v>
      </c>
      <c r="I279" s="21" t="s">
        <v>806</v>
      </c>
    </row>
    <row r="280" spans="1:9" ht="21" customHeight="1">
      <c r="A280" s="20">
        <f t="shared" si="4"/>
        <v>276</v>
      </c>
      <c r="B280" s="21" t="s">
        <v>267</v>
      </c>
      <c r="C280" s="20" t="str">
        <f>IF(B280="","",IF(COUNTIF('01_Anggota'!$D$5:$D$1212,B280)=0,"NAMA TIDAK DITEMUKAN",INDEX('01_Anggota'!$B$5:$B$1212,MATCH(B280,'01_Anggota'!$D$5:$D$1212,0))))</f>
        <v>KKSUK-000068</v>
      </c>
      <c r="D280" s="23">
        <v>0</v>
      </c>
      <c r="E280" s="23">
        <v>100000</v>
      </c>
      <c r="F280" s="23">
        <v>100000</v>
      </c>
      <c r="G280" s="23">
        <v>0</v>
      </c>
      <c r="H280" s="42">
        <v>46167</v>
      </c>
      <c r="I280" s="21" t="s">
        <v>807</v>
      </c>
    </row>
    <row r="281" spans="1:9" ht="21" customHeight="1">
      <c r="A281" s="20">
        <f t="shared" si="4"/>
        <v>277</v>
      </c>
      <c r="B281" s="21" t="s">
        <v>267</v>
      </c>
      <c r="C281" s="20" t="str">
        <f>IF(B281="","",IF(COUNTIF('01_Anggota'!$D$5:$D$1212,B281)=0,"NAMA TIDAK DITEMUKAN",INDEX('01_Anggota'!$B$5:$B$1212,MATCH(B281,'01_Anggota'!$D$5:$D$1212,0))))</f>
        <v>KKSUK-000068</v>
      </c>
      <c r="D281" s="23">
        <v>0</v>
      </c>
      <c r="E281" s="23">
        <v>100000</v>
      </c>
      <c r="F281" s="23">
        <v>100000</v>
      </c>
      <c r="G281" s="23">
        <v>0</v>
      </c>
      <c r="H281" s="42">
        <v>46198</v>
      </c>
      <c r="I281" s="21" t="s">
        <v>808</v>
      </c>
    </row>
    <row r="282" spans="1:9" ht="21" customHeight="1">
      <c r="A282" s="20">
        <f t="shared" si="4"/>
        <v>278</v>
      </c>
      <c r="B282" s="21" t="s">
        <v>267</v>
      </c>
      <c r="C282" s="20" t="str">
        <f>IF(B282="","",IF(COUNTIF('01_Anggota'!$D$5:$D$1212,B282)=0,"NAMA TIDAK DITEMUKAN",INDEX('01_Anggota'!$B$5:$B$1212,MATCH(B282,'01_Anggota'!$D$5:$D$1212,0))))</f>
        <v>KKSUK-000068</v>
      </c>
      <c r="D282" s="23">
        <v>0</v>
      </c>
      <c r="E282" s="23">
        <v>100000</v>
      </c>
      <c r="F282" s="23">
        <v>100000</v>
      </c>
      <c r="G282" s="23">
        <v>0</v>
      </c>
      <c r="H282" s="42">
        <v>46227</v>
      </c>
      <c r="I282" s="21" t="s">
        <v>809</v>
      </c>
    </row>
    <row r="283" spans="1:9" ht="21" customHeight="1">
      <c r="A283" s="20">
        <f t="shared" si="4"/>
        <v>279</v>
      </c>
      <c r="B283" s="21" t="s">
        <v>267</v>
      </c>
      <c r="C283" s="20" t="str">
        <f>IF(B283="","",IF(COUNTIF('01_Anggota'!$D$5:$D$1212,B283)=0,"NAMA TIDAK DITEMUKAN",INDEX('01_Anggota'!$B$5:$B$1212,MATCH(B283,'01_Anggota'!$D$5:$D$1212,0))))</f>
        <v>KKSUK-000068</v>
      </c>
      <c r="D283" s="23">
        <v>0</v>
      </c>
      <c r="E283" s="23">
        <v>0</v>
      </c>
      <c r="F283" s="23">
        <v>0</v>
      </c>
      <c r="G283" s="23">
        <v>0</v>
      </c>
      <c r="H283" s="42">
        <v>46258</v>
      </c>
      <c r="I283" s="21" t="s">
        <v>810</v>
      </c>
    </row>
    <row r="284" spans="1:9" ht="21" customHeight="1">
      <c r="A284" s="20">
        <f t="shared" si="4"/>
        <v>280</v>
      </c>
      <c r="B284" s="21" t="s">
        <v>267</v>
      </c>
      <c r="C284" s="20" t="str">
        <f>IF(B284="","",IF(COUNTIF('01_Anggota'!$D$5:$D$1212,B284)=0,"NAMA TIDAK DITEMUKAN",INDEX('01_Anggota'!$B$5:$B$1212,MATCH(B284,'01_Anggota'!$D$5:$D$1212,0))))</f>
        <v>KKSUK-000068</v>
      </c>
      <c r="D284" s="23">
        <v>0</v>
      </c>
      <c r="E284" s="23">
        <v>100000</v>
      </c>
      <c r="F284" s="23">
        <v>100000</v>
      </c>
      <c r="G284" s="23">
        <v>0</v>
      </c>
      <c r="H284" s="42">
        <v>46258</v>
      </c>
      <c r="I284" s="21" t="s">
        <v>810</v>
      </c>
    </row>
    <row r="285" spans="1:9" ht="21" customHeight="1">
      <c r="A285" s="20">
        <f t="shared" si="4"/>
        <v>281</v>
      </c>
      <c r="B285" s="21" t="s">
        <v>321</v>
      </c>
      <c r="C285" s="20" t="str">
        <f>IF(B285="","",IF(COUNTIF('01_Anggota'!$D$5:$D$1212,B285)=0,"NAMA TIDAK DITEMUKAN",INDEX('01_Anggota'!$B$5:$B$1212,MATCH(B285,'01_Anggota'!$D$5:$D$1212,0))))</f>
        <v>KKSUK-000122</v>
      </c>
      <c r="D285" s="23">
        <v>0</v>
      </c>
      <c r="E285" s="23">
        <v>4800000</v>
      </c>
      <c r="F285" s="23">
        <v>10693212</v>
      </c>
      <c r="G285" s="23">
        <v>6685647</v>
      </c>
      <c r="H285" s="42">
        <v>46023</v>
      </c>
      <c r="I285" s="21" t="s">
        <v>802</v>
      </c>
    </row>
    <row r="286" spans="1:9" ht="21" customHeight="1">
      <c r="A286" s="20">
        <f t="shared" si="4"/>
        <v>282</v>
      </c>
      <c r="B286" s="21" t="s">
        <v>321</v>
      </c>
      <c r="C286" s="20" t="str">
        <f>IF(B286="","",IF(COUNTIF('01_Anggota'!$D$5:$D$1212,B286)=0,"NAMA TIDAK DITEMUKAN",INDEX('01_Anggota'!$B$5:$B$1212,MATCH(B286,'01_Anggota'!$D$5:$D$1212,0))))</f>
        <v>KKSUK-000122</v>
      </c>
      <c r="D286" s="23">
        <v>0</v>
      </c>
      <c r="E286" s="23">
        <v>200000</v>
      </c>
      <c r="F286" s="23">
        <v>100000</v>
      </c>
      <c r="G286" s="23">
        <v>0</v>
      </c>
      <c r="H286" s="42">
        <v>46045</v>
      </c>
      <c r="I286" s="21" t="s">
        <v>803</v>
      </c>
    </row>
    <row r="287" spans="1:9" ht="21" customHeight="1">
      <c r="A287" s="20">
        <f t="shared" si="4"/>
        <v>283</v>
      </c>
      <c r="B287" s="21" t="s">
        <v>321</v>
      </c>
      <c r="C287" s="20" t="str">
        <f>IF(B287="","",IF(COUNTIF('01_Anggota'!$D$5:$D$1212,B287)=0,"NAMA TIDAK DITEMUKAN",INDEX('01_Anggota'!$B$5:$B$1212,MATCH(B287,'01_Anggota'!$D$5:$D$1212,0))))</f>
        <v>KKSUK-000122</v>
      </c>
      <c r="D287" s="23">
        <v>0</v>
      </c>
      <c r="E287" s="23">
        <v>-2500000</v>
      </c>
      <c r="F287" s="23">
        <v>0</v>
      </c>
      <c r="G287" s="23">
        <v>0</v>
      </c>
      <c r="H287" s="42">
        <v>46045</v>
      </c>
      <c r="I287" s="21" t="s">
        <v>803</v>
      </c>
    </row>
    <row r="288" spans="1:9" ht="21" customHeight="1">
      <c r="A288" s="20">
        <f t="shared" si="4"/>
        <v>284</v>
      </c>
      <c r="B288" s="21" t="s">
        <v>321</v>
      </c>
      <c r="C288" s="20" t="str">
        <f>IF(B288="","",IF(COUNTIF('01_Anggota'!$D$5:$D$1212,B288)=0,"NAMA TIDAK DITEMUKAN",INDEX('01_Anggota'!$B$5:$B$1212,MATCH(B288,'01_Anggota'!$D$5:$D$1212,0))))</f>
        <v>KKSUK-000122</v>
      </c>
      <c r="D288" s="23">
        <v>0</v>
      </c>
      <c r="E288" s="23">
        <v>200000</v>
      </c>
      <c r="F288" s="23">
        <v>100000</v>
      </c>
      <c r="G288" s="23">
        <v>0</v>
      </c>
      <c r="H288" s="42">
        <v>46078</v>
      </c>
      <c r="I288" s="21" t="s">
        <v>804</v>
      </c>
    </row>
    <row r="289" spans="1:9" ht="21" customHeight="1">
      <c r="A289" s="20">
        <f t="shared" si="4"/>
        <v>285</v>
      </c>
      <c r="B289" s="21" t="s">
        <v>321</v>
      </c>
      <c r="C289" s="20" t="str">
        <f>IF(B289="","",IF(COUNTIF('01_Anggota'!$D$5:$D$1212,B289)=0,"NAMA TIDAK DITEMUKAN",INDEX('01_Anggota'!$B$5:$B$1212,MATCH(B289,'01_Anggota'!$D$5:$D$1212,0))))</f>
        <v>KKSUK-000122</v>
      </c>
      <c r="D289" s="23">
        <v>0</v>
      </c>
      <c r="E289" s="23">
        <v>200000</v>
      </c>
      <c r="F289" s="23">
        <v>100000</v>
      </c>
      <c r="G289" s="23">
        <v>0</v>
      </c>
      <c r="H289" s="42">
        <v>46106</v>
      </c>
      <c r="I289" s="21" t="s">
        <v>805</v>
      </c>
    </row>
    <row r="290" spans="1:9" ht="21" customHeight="1">
      <c r="A290" s="20">
        <f t="shared" si="4"/>
        <v>286</v>
      </c>
      <c r="B290" s="21" t="s">
        <v>321</v>
      </c>
      <c r="C290" s="20" t="str">
        <f>IF(B290="","",IF(COUNTIF('01_Anggota'!$D$5:$D$1212,B290)=0,"NAMA TIDAK DITEMUKAN",INDEX('01_Anggota'!$B$5:$B$1212,MATCH(B290,'01_Anggota'!$D$5:$D$1212,0))))</f>
        <v>KKSUK-000122</v>
      </c>
      <c r="D290" s="23">
        <v>0</v>
      </c>
      <c r="E290" s="23">
        <v>200000</v>
      </c>
      <c r="F290" s="23">
        <v>100000</v>
      </c>
      <c r="G290" s="23">
        <v>0</v>
      </c>
      <c r="H290" s="42">
        <v>46136</v>
      </c>
      <c r="I290" s="21" t="s">
        <v>806</v>
      </c>
    </row>
    <row r="291" spans="1:9" ht="21" customHeight="1">
      <c r="A291" s="20">
        <f t="shared" si="4"/>
        <v>287</v>
      </c>
      <c r="B291" s="21" t="s">
        <v>321</v>
      </c>
      <c r="C291" s="20" t="str">
        <f>IF(B291="","",IF(COUNTIF('01_Anggota'!$D$5:$D$1212,B291)=0,"NAMA TIDAK DITEMUKAN",INDEX('01_Anggota'!$B$5:$B$1212,MATCH(B291,'01_Anggota'!$D$5:$D$1212,0))))</f>
        <v>KKSUK-000122</v>
      </c>
      <c r="D291" s="23">
        <v>0</v>
      </c>
      <c r="E291" s="23">
        <v>200000</v>
      </c>
      <c r="F291" s="23">
        <v>100000</v>
      </c>
      <c r="G291" s="23">
        <v>0</v>
      </c>
      <c r="H291" s="42">
        <v>46167</v>
      </c>
      <c r="I291" s="21" t="s">
        <v>807</v>
      </c>
    </row>
    <row r="292" spans="1:9" ht="21" customHeight="1">
      <c r="A292" s="20">
        <f t="shared" si="4"/>
        <v>288</v>
      </c>
      <c r="B292" s="21" t="s">
        <v>321</v>
      </c>
      <c r="C292" s="20" t="str">
        <f>IF(B292="","",IF(COUNTIF('01_Anggota'!$D$5:$D$1212,B292)=0,"NAMA TIDAK DITEMUKAN",INDEX('01_Anggota'!$B$5:$B$1212,MATCH(B292,'01_Anggota'!$D$5:$D$1212,0))))</f>
        <v>KKSUK-000122</v>
      </c>
      <c r="D292" s="23">
        <v>0</v>
      </c>
      <c r="E292" s="23">
        <v>200000</v>
      </c>
      <c r="F292" s="23">
        <v>100000</v>
      </c>
      <c r="G292" s="23">
        <v>0</v>
      </c>
      <c r="H292" s="42">
        <v>46198</v>
      </c>
      <c r="I292" s="21" t="s">
        <v>808</v>
      </c>
    </row>
    <row r="293" spans="1:9" ht="21" customHeight="1">
      <c r="A293" s="20">
        <f t="shared" si="4"/>
        <v>289</v>
      </c>
      <c r="B293" s="21" t="s">
        <v>321</v>
      </c>
      <c r="C293" s="20" t="str">
        <f>IF(B293="","",IF(COUNTIF('01_Anggota'!$D$5:$D$1212,B293)=0,"NAMA TIDAK DITEMUKAN",INDEX('01_Anggota'!$B$5:$B$1212,MATCH(B293,'01_Anggota'!$D$5:$D$1212,0))))</f>
        <v>KKSUK-000122</v>
      </c>
      <c r="D293" s="23">
        <v>0</v>
      </c>
      <c r="E293" s="23">
        <v>-2500000</v>
      </c>
      <c r="F293" s="23">
        <v>0</v>
      </c>
      <c r="G293" s="23">
        <v>0</v>
      </c>
      <c r="H293" s="42">
        <v>46227</v>
      </c>
      <c r="I293" s="21" t="s">
        <v>809</v>
      </c>
    </row>
    <row r="294" spans="1:9" ht="21" customHeight="1">
      <c r="A294" s="20">
        <f t="shared" si="4"/>
        <v>290</v>
      </c>
      <c r="B294" s="21" t="s">
        <v>321</v>
      </c>
      <c r="C294" s="20" t="str">
        <f>IF(B294="","",IF(COUNTIF('01_Anggota'!$D$5:$D$1212,B294)=0,"NAMA TIDAK DITEMUKAN",INDEX('01_Anggota'!$B$5:$B$1212,MATCH(B294,'01_Anggota'!$D$5:$D$1212,0))))</f>
        <v>KKSUK-000122</v>
      </c>
      <c r="D294" s="23">
        <v>0</v>
      </c>
      <c r="E294" s="23">
        <v>200000</v>
      </c>
      <c r="F294" s="23">
        <v>100000</v>
      </c>
      <c r="G294" s="23">
        <v>0</v>
      </c>
      <c r="H294" s="42">
        <v>46227</v>
      </c>
      <c r="I294" s="21" t="s">
        <v>809</v>
      </c>
    </row>
    <row r="295" spans="1:9" ht="21" customHeight="1">
      <c r="A295" s="20">
        <f t="shared" si="4"/>
        <v>291</v>
      </c>
      <c r="B295" s="21" t="s">
        <v>321</v>
      </c>
      <c r="C295" s="20" t="str">
        <f>IF(B295="","",IF(COUNTIF('01_Anggota'!$D$5:$D$1212,B295)=0,"NAMA TIDAK DITEMUKAN",INDEX('01_Anggota'!$B$5:$B$1212,MATCH(B295,'01_Anggota'!$D$5:$D$1212,0))))</f>
        <v>KKSUK-000122</v>
      </c>
      <c r="D295" s="23">
        <v>0</v>
      </c>
      <c r="E295" s="23">
        <v>200000</v>
      </c>
      <c r="F295" s="23">
        <v>100000</v>
      </c>
      <c r="G295" s="23">
        <v>0</v>
      </c>
      <c r="H295" s="42">
        <v>46258</v>
      </c>
      <c r="I295" s="21" t="s">
        <v>810</v>
      </c>
    </row>
    <row r="296" spans="1:9" ht="21" customHeight="1">
      <c r="A296" s="20">
        <f t="shared" si="4"/>
        <v>292</v>
      </c>
      <c r="B296" s="21" t="s">
        <v>258</v>
      </c>
      <c r="C296" s="20" t="str">
        <f>IF(B296="","",IF(COUNTIF('01_Anggota'!$D$5:$D$1212,B296)=0,"NAMA TIDAK DITEMUKAN",INDEX('01_Anggota'!$B$5:$B$1212,MATCH(B296,'01_Anggota'!$D$5:$D$1212,0))))</f>
        <v>KKSUK-000059</v>
      </c>
      <c r="D296" s="23">
        <v>0</v>
      </c>
      <c r="E296" s="23">
        <v>2000000</v>
      </c>
      <c r="F296" s="23">
        <v>6394054</v>
      </c>
      <c r="G296" s="23">
        <v>3343129</v>
      </c>
      <c r="H296" s="42">
        <v>46023</v>
      </c>
      <c r="I296" s="21" t="s">
        <v>802</v>
      </c>
    </row>
    <row r="297" spans="1:9" ht="21" customHeight="1">
      <c r="A297" s="20">
        <f t="shared" si="4"/>
        <v>293</v>
      </c>
      <c r="B297" s="21" t="s">
        <v>258</v>
      </c>
      <c r="C297" s="20" t="str">
        <f>IF(B297="","",IF(COUNTIF('01_Anggota'!$D$5:$D$1212,B297)=0,"NAMA TIDAK DITEMUKAN",INDEX('01_Anggota'!$B$5:$B$1212,MATCH(B297,'01_Anggota'!$D$5:$D$1212,0))))</f>
        <v>KKSUK-000059</v>
      </c>
      <c r="D297" s="23">
        <v>0</v>
      </c>
      <c r="E297" s="23">
        <v>150000</v>
      </c>
      <c r="F297" s="23">
        <v>100000</v>
      </c>
      <c r="G297" s="23">
        <v>0</v>
      </c>
      <c r="H297" s="42">
        <v>46045</v>
      </c>
      <c r="I297" s="21" t="s">
        <v>803</v>
      </c>
    </row>
    <row r="298" spans="1:9" ht="21" customHeight="1">
      <c r="A298" s="20">
        <f t="shared" si="4"/>
        <v>294</v>
      </c>
      <c r="B298" s="21" t="s">
        <v>258</v>
      </c>
      <c r="C298" s="20" t="str">
        <f>IF(B298="","",IF(COUNTIF('01_Anggota'!$D$5:$D$1212,B298)=0,"NAMA TIDAK DITEMUKAN",INDEX('01_Anggota'!$B$5:$B$1212,MATCH(B298,'01_Anggota'!$D$5:$D$1212,0))))</f>
        <v>KKSUK-000059</v>
      </c>
      <c r="D298" s="23">
        <v>0</v>
      </c>
      <c r="E298" s="23">
        <v>150000</v>
      </c>
      <c r="F298" s="23">
        <v>100000</v>
      </c>
      <c r="G298" s="23">
        <v>0</v>
      </c>
      <c r="H298" s="42">
        <v>46078</v>
      </c>
      <c r="I298" s="21" t="s">
        <v>804</v>
      </c>
    </row>
    <row r="299" spans="1:9" ht="21" customHeight="1">
      <c r="A299" s="20">
        <f t="shared" si="4"/>
        <v>295</v>
      </c>
      <c r="B299" s="21" t="s">
        <v>258</v>
      </c>
      <c r="C299" s="20" t="str">
        <f>IF(B299="","",IF(COUNTIF('01_Anggota'!$D$5:$D$1212,B299)=0,"NAMA TIDAK DITEMUKAN",INDEX('01_Anggota'!$B$5:$B$1212,MATCH(B299,'01_Anggota'!$D$5:$D$1212,0))))</f>
        <v>KKSUK-000059</v>
      </c>
      <c r="D299" s="23">
        <v>0</v>
      </c>
      <c r="E299" s="23">
        <v>150000</v>
      </c>
      <c r="F299" s="23">
        <v>100000</v>
      </c>
      <c r="G299" s="23">
        <v>0</v>
      </c>
      <c r="H299" s="42">
        <v>46106</v>
      </c>
      <c r="I299" s="21" t="s">
        <v>805</v>
      </c>
    </row>
    <row r="300" spans="1:9" ht="21" customHeight="1">
      <c r="A300" s="20">
        <f t="shared" si="4"/>
        <v>296</v>
      </c>
      <c r="B300" s="21" t="s">
        <v>258</v>
      </c>
      <c r="C300" s="20" t="str">
        <f>IF(B300="","",IF(COUNTIF('01_Anggota'!$D$5:$D$1212,B300)=0,"NAMA TIDAK DITEMUKAN",INDEX('01_Anggota'!$B$5:$B$1212,MATCH(B300,'01_Anggota'!$D$5:$D$1212,0))))</f>
        <v>KKSUK-000059</v>
      </c>
      <c r="D300" s="23">
        <v>0</v>
      </c>
      <c r="E300" s="23">
        <v>150000</v>
      </c>
      <c r="F300" s="23">
        <v>100000</v>
      </c>
      <c r="G300" s="23">
        <v>0</v>
      </c>
      <c r="H300" s="42">
        <v>46136</v>
      </c>
      <c r="I300" s="21" t="s">
        <v>806</v>
      </c>
    </row>
    <row r="301" spans="1:9" ht="21" customHeight="1">
      <c r="A301" s="20">
        <f t="shared" si="4"/>
        <v>297</v>
      </c>
      <c r="B301" s="21" t="s">
        <v>258</v>
      </c>
      <c r="C301" s="20" t="str">
        <f>IF(B301="","",IF(COUNTIF('01_Anggota'!$D$5:$D$1212,B301)=0,"NAMA TIDAK DITEMUKAN",INDEX('01_Anggota'!$B$5:$B$1212,MATCH(B301,'01_Anggota'!$D$5:$D$1212,0))))</f>
        <v>KKSUK-000059</v>
      </c>
      <c r="D301" s="23">
        <v>0</v>
      </c>
      <c r="E301" s="23">
        <v>150000</v>
      </c>
      <c r="F301" s="23">
        <v>100000</v>
      </c>
      <c r="G301" s="23">
        <v>0</v>
      </c>
      <c r="H301" s="42">
        <v>46167</v>
      </c>
      <c r="I301" s="21" t="s">
        <v>807</v>
      </c>
    </row>
    <row r="302" spans="1:9" ht="21" customHeight="1">
      <c r="A302" s="20">
        <f t="shared" si="4"/>
        <v>298</v>
      </c>
      <c r="B302" s="21" t="s">
        <v>258</v>
      </c>
      <c r="C302" s="20" t="str">
        <f>IF(B302="","",IF(COUNTIF('01_Anggota'!$D$5:$D$1212,B302)=0,"NAMA TIDAK DITEMUKAN",INDEX('01_Anggota'!$B$5:$B$1212,MATCH(B302,'01_Anggota'!$D$5:$D$1212,0))))</f>
        <v>KKSUK-000059</v>
      </c>
      <c r="D302" s="23">
        <v>0</v>
      </c>
      <c r="E302" s="23">
        <v>150000</v>
      </c>
      <c r="F302" s="23">
        <v>100000</v>
      </c>
      <c r="G302" s="23">
        <v>0</v>
      </c>
      <c r="H302" s="42">
        <v>46198</v>
      </c>
      <c r="I302" s="21" t="s">
        <v>808</v>
      </c>
    </row>
    <row r="303" spans="1:9" ht="21" customHeight="1">
      <c r="A303" s="20">
        <f t="shared" si="4"/>
        <v>299</v>
      </c>
      <c r="B303" s="21" t="s">
        <v>258</v>
      </c>
      <c r="C303" s="20" t="str">
        <f>IF(B303="","",IF(COUNTIF('01_Anggota'!$D$5:$D$1212,B303)=0,"NAMA TIDAK DITEMUKAN",INDEX('01_Anggota'!$B$5:$B$1212,MATCH(B303,'01_Anggota'!$D$5:$D$1212,0))))</f>
        <v>KKSUK-000059</v>
      </c>
      <c r="D303" s="23">
        <v>0</v>
      </c>
      <c r="E303" s="23">
        <v>150000</v>
      </c>
      <c r="F303" s="23">
        <v>100000</v>
      </c>
      <c r="G303" s="23">
        <v>0</v>
      </c>
      <c r="H303" s="42">
        <v>46227</v>
      </c>
      <c r="I303" s="21" t="s">
        <v>809</v>
      </c>
    </row>
    <row r="304" spans="1:9" ht="21" customHeight="1">
      <c r="A304" s="20">
        <f t="shared" si="4"/>
        <v>300</v>
      </c>
      <c r="B304" s="21" t="s">
        <v>258</v>
      </c>
      <c r="C304" s="20" t="str">
        <f>IF(B304="","",IF(COUNTIF('01_Anggota'!$D$5:$D$1212,B304)=0,"NAMA TIDAK DITEMUKAN",INDEX('01_Anggota'!$B$5:$B$1212,MATCH(B304,'01_Anggota'!$D$5:$D$1212,0))))</f>
        <v>KKSUK-000059</v>
      </c>
      <c r="D304" s="23">
        <v>0</v>
      </c>
      <c r="E304" s="23">
        <v>150000</v>
      </c>
      <c r="F304" s="23">
        <v>100000</v>
      </c>
      <c r="G304" s="23">
        <v>0</v>
      </c>
      <c r="H304" s="42">
        <v>46258</v>
      </c>
      <c r="I304" s="21" t="s">
        <v>810</v>
      </c>
    </row>
    <row r="305" spans="1:9" ht="21" customHeight="1">
      <c r="A305" s="20">
        <f t="shared" si="4"/>
        <v>301</v>
      </c>
      <c r="B305" s="21" t="s">
        <v>402</v>
      </c>
      <c r="C305" s="20" t="str">
        <f>IF(B305="","",IF(COUNTIF('01_Anggota'!$D$5:$D$1212,B305)=0,"NAMA TIDAK DITEMUKAN",INDEX('01_Anggota'!$B$5:$B$1212,MATCH(B305,'01_Anggota'!$D$5:$D$1212,0))))</f>
        <v>KKSUK-000203</v>
      </c>
      <c r="D305" s="23">
        <v>0</v>
      </c>
      <c r="E305" s="23">
        <v>100000</v>
      </c>
      <c r="F305" s="23">
        <v>150000</v>
      </c>
      <c r="G305" s="23">
        <v>0</v>
      </c>
      <c r="H305" s="42">
        <v>46198</v>
      </c>
      <c r="I305" s="21" t="s">
        <v>808</v>
      </c>
    </row>
    <row r="306" spans="1:9" ht="21" customHeight="1">
      <c r="A306" s="20">
        <f t="shared" si="4"/>
        <v>302</v>
      </c>
      <c r="B306" s="21" t="s">
        <v>402</v>
      </c>
      <c r="C306" s="20" t="str">
        <f>IF(B306="","",IF(COUNTIF('01_Anggota'!$D$5:$D$1212,B306)=0,"NAMA TIDAK DITEMUKAN",INDEX('01_Anggota'!$B$5:$B$1212,MATCH(B306,'01_Anggota'!$D$5:$D$1212,0))))</f>
        <v>KKSUK-000203</v>
      </c>
      <c r="D306" s="23">
        <v>0</v>
      </c>
      <c r="E306" s="23">
        <v>100000</v>
      </c>
      <c r="F306" s="23">
        <v>150000</v>
      </c>
      <c r="G306" s="23">
        <v>0</v>
      </c>
      <c r="H306" s="42">
        <v>46227</v>
      </c>
      <c r="I306" s="21" t="s">
        <v>809</v>
      </c>
    </row>
    <row r="307" spans="1:9" ht="21" customHeight="1">
      <c r="A307" s="20">
        <f t="shared" si="4"/>
        <v>303</v>
      </c>
      <c r="B307" s="21" t="s">
        <v>402</v>
      </c>
      <c r="C307" s="20" t="str">
        <f>IF(B307="","",IF(COUNTIF('01_Anggota'!$D$5:$D$1212,B307)=0,"NAMA TIDAK DITEMUKAN",INDEX('01_Anggota'!$B$5:$B$1212,MATCH(B307,'01_Anggota'!$D$5:$D$1212,0))))</f>
        <v>KKSUK-000203</v>
      </c>
      <c r="D307" s="23">
        <v>0</v>
      </c>
      <c r="E307" s="23">
        <v>100000</v>
      </c>
      <c r="F307" s="23">
        <v>150000</v>
      </c>
      <c r="G307" s="23">
        <v>0</v>
      </c>
      <c r="H307" s="42">
        <v>46258</v>
      </c>
      <c r="I307" s="21" t="s">
        <v>810</v>
      </c>
    </row>
    <row r="308" spans="1:9" ht="21" customHeight="1">
      <c r="A308" s="20">
        <f t="shared" si="4"/>
        <v>304</v>
      </c>
      <c r="B308" s="21" t="s">
        <v>263</v>
      </c>
      <c r="C308" s="20" t="str">
        <f>IF(B308="","",IF(COUNTIF('01_Anggota'!$D$5:$D$1212,B308)=0,"NAMA TIDAK DITEMUKAN",INDEX('01_Anggota'!$B$5:$B$1212,MATCH(B308,'01_Anggota'!$D$5:$D$1212,0))))</f>
        <v>KKSUK-000064</v>
      </c>
      <c r="D308" s="23">
        <v>0</v>
      </c>
      <c r="E308" s="23">
        <v>8750000</v>
      </c>
      <c r="F308" s="23">
        <v>3500000</v>
      </c>
      <c r="G308" s="23">
        <v>2094883</v>
      </c>
      <c r="H308" s="42">
        <v>46023</v>
      </c>
      <c r="I308" s="21" t="s">
        <v>802</v>
      </c>
    </row>
    <row r="309" spans="1:9" ht="21" customHeight="1">
      <c r="A309" s="20">
        <f t="shared" si="4"/>
        <v>305</v>
      </c>
      <c r="B309" s="21" t="s">
        <v>263</v>
      </c>
      <c r="C309" s="20" t="str">
        <f>IF(B309="","",IF(COUNTIF('01_Anggota'!$D$5:$D$1212,B309)=0,"NAMA TIDAK DITEMUKAN",INDEX('01_Anggota'!$B$5:$B$1212,MATCH(B309,'01_Anggota'!$D$5:$D$1212,0))))</f>
        <v>KKSUK-000064</v>
      </c>
      <c r="D309" s="23">
        <v>0</v>
      </c>
      <c r="E309" s="23">
        <v>250000</v>
      </c>
      <c r="F309" s="23">
        <v>100000</v>
      </c>
      <c r="G309" s="23">
        <v>0</v>
      </c>
      <c r="H309" s="42">
        <v>46045</v>
      </c>
      <c r="I309" s="21" t="s">
        <v>803</v>
      </c>
    </row>
    <row r="310" spans="1:9" ht="21" customHeight="1">
      <c r="A310" s="20">
        <f t="shared" si="4"/>
        <v>306</v>
      </c>
      <c r="B310" s="21" t="s">
        <v>263</v>
      </c>
      <c r="C310" s="20" t="str">
        <f>IF(B310="","",IF(COUNTIF('01_Anggota'!$D$5:$D$1212,B310)=0,"NAMA TIDAK DITEMUKAN",INDEX('01_Anggota'!$B$5:$B$1212,MATCH(B310,'01_Anggota'!$D$5:$D$1212,0))))</f>
        <v>KKSUK-000064</v>
      </c>
      <c r="D310" s="23">
        <v>0</v>
      </c>
      <c r="E310" s="23">
        <v>250000</v>
      </c>
      <c r="F310" s="23">
        <v>100000</v>
      </c>
      <c r="G310" s="23">
        <v>0</v>
      </c>
      <c r="H310" s="42">
        <v>46078</v>
      </c>
      <c r="I310" s="21" t="s">
        <v>804</v>
      </c>
    </row>
    <row r="311" spans="1:9" ht="21" customHeight="1">
      <c r="A311" s="20">
        <f t="shared" si="4"/>
        <v>307</v>
      </c>
      <c r="B311" s="21" t="s">
        <v>263</v>
      </c>
      <c r="C311" s="20" t="str">
        <f>IF(B311="","",IF(COUNTIF('01_Anggota'!$D$5:$D$1212,B311)=0,"NAMA TIDAK DITEMUKAN",INDEX('01_Anggota'!$B$5:$B$1212,MATCH(B311,'01_Anggota'!$D$5:$D$1212,0))))</f>
        <v>KKSUK-000064</v>
      </c>
      <c r="D311" s="23">
        <v>0</v>
      </c>
      <c r="E311" s="23">
        <v>250000</v>
      </c>
      <c r="F311" s="23">
        <v>100000</v>
      </c>
      <c r="G311" s="23">
        <v>0</v>
      </c>
      <c r="H311" s="42">
        <v>46106</v>
      </c>
      <c r="I311" s="21" t="s">
        <v>805</v>
      </c>
    </row>
    <row r="312" spans="1:9" ht="21" customHeight="1">
      <c r="A312" s="20">
        <f t="shared" si="4"/>
        <v>308</v>
      </c>
      <c r="B312" s="21" t="s">
        <v>263</v>
      </c>
      <c r="C312" s="20" t="str">
        <f>IF(B312="","",IF(COUNTIF('01_Anggota'!$D$5:$D$1212,B312)=0,"NAMA TIDAK DITEMUKAN",INDEX('01_Anggota'!$B$5:$B$1212,MATCH(B312,'01_Anggota'!$D$5:$D$1212,0))))</f>
        <v>KKSUK-000064</v>
      </c>
      <c r="D312" s="23">
        <v>0</v>
      </c>
      <c r="E312" s="23">
        <v>250000</v>
      </c>
      <c r="F312" s="23">
        <v>100000</v>
      </c>
      <c r="G312" s="23">
        <v>0</v>
      </c>
      <c r="H312" s="42">
        <v>46136</v>
      </c>
      <c r="I312" s="21" t="s">
        <v>806</v>
      </c>
    </row>
    <row r="313" spans="1:9" ht="21" customHeight="1">
      <c r="A313" s="20">
        <f t="shared" si="4"/>
        <v>309</v>
      </c>
      <c r="B313" s="21" t="s">
        <v>263</v>
      </c>
      <c r="C313" s="20" t="str">
        <f>IF(B313="","",IF(COUNTIF('01_Anggota'!$D$5:$D$1212,B313)=0,"NAMA TIDAK DITEMUKAN",INDEX('01_Anggota'!$B$5:$B$1212,MATCH(B313,'01_Anggota'!$D$5:$D$1212,0))))</f>
        <v>KKSUK-000064</v>
      </c>
      <c r="D313" s="23">
        <v>0</v>
      </c>
      <c r="E313" s="23">
        <v>250000</v>
      </c>
      <c r="F313" s="23">
        <v>100000</v>
      </c>
      <c r="G313" s="23">
        <v>0</v>
      </c>
      <c r="H313" s="42">
        <v>46167</v>
      </c>
      <c r="I313" s="21" t="s">
        <v>807</v>
      </c>
    </row>
    <row r="314" spans="1:9" ht="21" customHeight="1">
      <c r="A314" s="20">
        <f t="shared" si="4"/>
        <v>310</v>
      </c>
      <c r="B314" s="21" t="s">
        <v>263</v>
      </c>
      <c r="C314" s="20" t="str">
        <f>IF(B314="","",IF(COUNTIF('01_Anggota'!$D$5:$D$1212,B314)=0,"NAMA TIDAK DITEMUKAN",INDEX('01_Anggota'!$B$5:$B$1212,MATCH(B314,'01_Anggota'!$D$5:$D$1212,0))))</f>
        <v>KKSUK-000064</v>
      </c>
      <c r="D314" s="23">
        <v>0</v>
      </c>
      <c r="E314" s="23">
        <v>250000</v>
      </c>
      <c r="F314" s="23">
        <v>100000</v>
      </c>
      <c r="G314" s="23">
        <v>0</v>
      </c>
      <c r="H314" s="42">
        <v>46198</v>
      </c>
      <c r="I314" s="21" t="s">
        <v>808</v>
      </c>
    </row>
    <row r="315" spans="1:9" ht="21" customHeight="1">
      <c r="A315" s="20">
        <f t="shared" si="4"/>
        <v>311</v>
      </c>
      <c r="B315" s="21" t="s">
        <v>263</v>
      </c>
      <c r="C315" s="20" t="str">
        <f>IF(B315="","",IF(COUNTIF('01_Anggota'!$D$5:$D$1212,B315)=0,"NAMA TIDAK DITEMUKAN",INDEX('01_Anggota'!$B$5:$B$1212,MATCH(B315,'01_Anggota'!$D$5:$D$1212,0))))</f>
        <v>KKSUK-000064</v>
      </c>
      <c r="D315" s="23">
        <v>0</v>
      </c>
      <c r="E315" s="23">
        <v>250000</v>
      </c>
      <c r="F315" s="23">
        <v>100000</v>
      </c>
      <c r="G315" s="23">
        <v>0</v>
      </c>
      <c r="H315" s="42">
        <v>46227</v>
      </c>
      <c r="I315" s="21" t="s">
        <v>809</v>
      </c>
    </row>
    <row r="316" spans="1:9" ht="21" customHeight="1">
      <c r="A316" s="20">
        <f t="shared" si="4"/>
        <v>312</v>
      </c>
      <c r="B316" s="21" t="s">
        <v>263</v>
      </c>
      <c r="C316" s="20" t="str">
        <f>IF(B316="","",IF(COUNTIF('01_Anggota'!$D$5:$D$1212,B316)=0,"NAMA TIDAK DITEMUKAN",INDEX('01_Anggota'!$B$5:$B$1212,MATCH(B316,'01_Anggota'!$D$5:$D$1212,0))))</f>
        <v>KKSUK-000064</v>
      </c>
      <c r="D316" s="23">
        <v>0</v>
      </c>
      <c r="E316" s="23">
        <v>250000</v>
      </c>
      <c r="F316" s="23">
        <v>100000</v>
      </c>
      <c r="G316" s="23">
        <v>0</v>
      </c>
      <c r="H316" s="42">
        <v>46258</v>
      </c>
      <c r="I316" s="21" t="s">
        <v>810</v>
      </c>
    </row>
    <row r="317" spans="1:9" ht="21" customHeight="1">
      <c r="A317" s="20">
        <f t="shared" si="4"/>
        <v>313</v>
      </c>
      <c r="B317" s="21" t="s">
        <v>257</v>
      </c>
      <c r="C317" s="20" t="str">
        <f>IF(B317="","",IF(COUNTIF('01_Anggota'!$D$5:$D$1212,B317)=0,"NAMA TIDAK DITEMUKAN",INDEX('01_Anggota'!$B$5:$B$1212,MATCH(B317,'01_Anggota'!$D$5:$D$1212,0))))</f>
        <v>KKSUK-000058</v>
      </c>
      <c r="D317" s="23">
        <v>0</v>
      </c>
      <c r="E317" s="23">
        <v>4950000</v>
      </c>
      <c r="F317" s="23">
        <v>10610209</v>
      </c>
      <c r="G317" s="23">
        <v>4712444</v>
      </c>
      <c r="H317" s="42">
        <v>46023</v>
      </c>
      <c r="I317" s="21" t="s">
        <v>802</v>
      </c>
    </row>
    <row r="318" spans="1:9" ht="21" customHeight="1">
      <c r="A318" s="20">
        <f t="shared" si="4"/>
        <v>314</v>
      </c>
      <c r="B318" s="21" t="s">
        <v>257</v>
      </c>
      <c r="C318" s="20" t="str">
        <f>IF(B318="","",IF(COUNTIF('01_Anggota'!$D$5:$D$1212,B318)=0,"NAMA TIDAK DITEMUKAN",INDEX('01_Anggota'!$B$5:$B$1212,MATCH(B318,'01_Anggota'!$D$5:$D$1212,0))))</f>
        <v>KKSUK-000058</v>
      </c>
      <c r="D318" s="23">
        <v>0</v>
      </c>
      <c r="E318" s="23">
        <v>150000</v>
      </c>
      <c r="F318" s="23">
        <v>100000</v>
      </c>
      <c r="G318" s="23">
        <v>0</v>
      </c>
      <c r="H318" s="42">
        <v>46045</v>
      </c>
      <c r="I318" s="21" t="s">
        <v>803</v>
      </c>
    </row>
    <row r="319" spans="1:9" ht="21" customHeight="1">
      <c r="A319" s="20">
        <f t="shared" si="4"/>
        <v>315</v>
      </c>
      <c r="B319" s="21" t="s">
        <v>257</v>
      </c>
      <c r="C319" s="20" t="str">
        <f>IF(B319="","",IF(COUNTIF('01_Anggota'!$D$5:$D$1212,B319)=0,"NAMA TIDAK DITEMUKAN",INDEX('01_Anggota'!$B$5:$B$1212,MATCH(B319,'01_Anggota'!$D$5:$D$1212,0))))</f>
        <v>KKSUK-000058</v>
      </c>
      <c r="D319" s="23">
        <v>0</v>
      </c>
      <c r="E319" s="23">
        <v>150000</v>
      </c>
      <c r="F319" s="23">
        <v>100000</v>
      </c>
      <c r="G319" s="23">
        <v>0</v>
      </c>
      <c r="H319" s="42">
        <v>46078</v>
      </c>
      <c r="I319" s="21" t="s">
        <v>804</v>
      </c>
    </row>
    <row r="320" spans="1:9" ht="21" customHeight="1">
      <c r="A320" s="20">
        <f t="shared" si="4"/>
        <v>316</v>
      </c>
      <c r="B320" s="21" t="s">
        <v>257</v>
      </c>
      <c r="C320" s="20" t="str">
        <f>IF(B320="","",IF(COUNTIF('01_Anggota'!$D$5:$D$1212,B320)=0,"NAMA TIDAK DITEMUKAN",INDEX('01_Anggota'!$B$5:$B$1212,MATCH(B320,'01_Anggota'!$D$5:$D$1212,0))))</f>
        <v>KKSUK-000058</v>
      </c>
      <c r="D320" s="23">
        <v>0</v>
      </c>
      <c r="E320" s="23">
        <v>150000</v>
      </c>
      <c r="F320" s="23">
        <v>100000</v>
      </c>
      <c r="G320" s="23">
        <v>0</v>
      </c>
      <c r="H320" s="42">
        <v>46106</v>
      </c>
      <c r="I320" s="21" t="s">
        <v>805</v>
      </c>
    </row>
    <row r="321" spans="1:9" ht="21" customHeight="1">
      <c r="A321" s="20">
        <f t="shared" si="4"/>
        <v>317</v>
      </c>
      <c r="B321" s="21" t="s">
        <v>257</v>
      </c>
      <c r="C321" s="20" t="str">
        <f>IF(B321="","",IF(COUNTIF('01_Anggota'!$D$5:$D$1212,B321)=0,"NAMA TIDAK DITEMUKAN",INDEX('01_Anggota'!$B$5:$B$1212,MATCH(B321,'01_Anggota'!$D$5:$D$1212,0))))</f>
        <v>KKSUK-000058</v>
      </c>
      <c r="D321" s="23">
        <v>0</v>
      </c>
      <c r="E321" s="23">
        <v>-4000000</v>
      </c>
      <c r="F321" s="23">
        <v>0</v>
      </c>
      <c r="G321" s="23">
        <v>0</v>
      </c>
      <c r="H321" s="42">
        <v>46136</v>
      </c>
      <c r="I321" s="21" t="s">
        <v>806</v>
      </c>
    </row>
    <row r="322" spans="1:9" ht="21" customHeight="1">
      <c r="A322" s="20">
        <f t="shared" si="4"/>
        <v>318</v>
      </c>
      <c r="B322" s="21" t="s">
        <v>257</v>
      </c>
      <c r="C322" s="20" t="str">
        <f>IF(B322="","",IF(COUNTIF('01_Anggota'!$D$5:$D$1212,B322)=0,"NAMA TIDAK DITEMUKAN",INDEX('01_Anggota'!$B$5:$B$1212,MATCH(B322,'01_Anggota'!$D$5:$D$1212,0))))</f>
        <v>KKSUK-000058</v>
      </c>
      <c r="D322" s="23">
        <v>0</v>
      </c>
      <c r="E322" s="23">
        <v>150000</v>
      </c>
      <c r="F322" s="23">
        <v>100000</v>
      </c>
      <c r="G322" s="23">
        <v>0</v>
      </c>
      <c r="H322" s="42">
        <v>46136</v>
      </c>
      <c r="I322" s="21" t="s">
        <v>806</v>
      </c>
    </row>
    <row r="323" spans="1:9" ht="21" customHeight="1">
      <c r="A323" s="20">
        <f t="shared" si="4"/>
        <v>319</v>
      </c>
      <c r="B323" s="21" t="s">
        <v>257</v>
      </c>
      <c r="C323" s="20" t="str">
        <f>IF(B323="","",IF(COUNTIF('01_Anggota'!$D$5:$D$1212,B323)=0,"NAMA TIDAK DITEMUKAN",INDEX('01_Anggota'!$B$5:$B$1212,MATCH(B323,'01_Anggota'!$D$5:$D$1212,0))))</f>
        <v>KKSUK-000058</v>
      </c>
      <c r="D323" s="23">
        <v>0</v>
      </c>
      <c r="E323" s="23">
        <v>150000</v>
      </c>
      <c r="F323" s="23">
        <v>100000</v>
      </c>
      <c r="G323" s="23">
        <v>0</v>
      </c>
      <c r="H323" s="42">
        <v>46167</v>
      </c>
      <c r="I323" s="21" t="s">
        <v>807</v>
      </c>
    </row>
    <row r="324" spans="1:9" ht="21" customHeight="1">
      <c r="A324" s="20">
        <f t="shared" si="4"/>
        <v>320</v>
      </c>
      <c r="B324" s="21" t="s">
        <v>257</v>
      </c>
      <c r="C324" s="20" t="str">
        <f>IF(B324="","",IF(COUNTIF('01_Anggota'!$D$5:$D$1212,B324)=0,"NAMA TIDAK DITEMUKAN",INDEX('01_Anggota'!$B$5:$B$1212,MATCH(B324,'01_Anggota'!$D$5:$D$1212,0))))</f>
        <v>KKSUK-000058</v>
      </c>
      <c r="D324" s="23">
        <v>0</v>
      </c>
      <c r="E324" s="23">
        <v>150000</v>
      </c>
      <c r="F324" s="23">
        <v>100000</v>
      </c>
      <c r="G324" s="23">
        <v>0</v>
      </c>
      <c r="H324" s="42">
        <v>46198</v>
      </c>
      <c r="I324" s="21" t="s">
        <v>808</v>
      </c>
    </row>
    <row r="325" spans="1:9" ht="21" customHeight="1">
      <c r="A325" s="20">
        <f t="shared" ref="A325:A388" si="5">IF(B325="","",ROW()-4)</f>
        <v>321</v>
      </c>
      <c r="B325" s="21" t="s">
        <v>257</v>
      </c>
      <c r="C325" s="20" t="str">
        <f>IF(B325="","",IF(COUNTIF('01_Anggota'!$D$5:$D$1212,B325)=0,"NAMA TIDAK DITEMUKAN",INDEX('01_Anggota'!$B$5:$B$1212,MATCH(B325,'01_Anggota'!$D$5:$D$1212,0))))</f>
        <v>KKSUK-000058</v>
      </c>
      <c r="D325" s="23">
        <v>0</v>
      </c>
      <c r="E325" s="23">
        <v>150000</v>
      </c>
      <c r="F325" s="23">
        <v>100000</v>
      </c>
      <c r="G325" s="23">
        <v>0</v>
      </c>
      <c r="H325" s="42">
        <v>46227</v>
      </c>
      <c r="I325" s="21" t="s">
        <v>809</v>
      </c>
    </row>
    <row r="326" spans="1:9" ht="21" customHeight="1">
      <c r="A326" s="20">
        <f t="shared" si="5"/>
        <v>322</v>
      </c>
      <c r="B326" s="21" t="s">
        <v>257</v>
      </c>
      <c r="C326" s="20" t="str">
        <f>IF(B326="","",IF(COUNTIF('01_Anggota'!$D$5:$D$1212,B326)=0,"NAMA TIDAK DITEMUKAN",INDEX('01_Anggota'!$B$5:$B$1212,MATCH(B326,'01_Anggota'!$D$5:$D$1212,0))))</f>
        <v>KKSUK-000058</v>
      </c>
      <c r="D326" s="23">
        <v>0</v>
      </c>
      <c r="E326" s="23">
        <v>150000</v>
      </c>
      <c r="F326" s="23">
        <v>100000</v>
      </c>
      <c r="G326" s="23">
        <v>0</v>
      </c>
      <c r="H326" s="42">
        <v>46258</v>
      </c>
      <c r="I326" s="21" t="s">
        <v>810</v>
      </c>
    </row>
    <row r="327" spans="1:9" ht="21" customHeight="1">
      <c r="A327" s="20">
        <f t="shared" si="5"/>
        <v>323</v>
      </c>
      <c r="B327" s="21" t="s">
        <v>367</v>
      </c>
      <c r="C327" s="20" t="str">
        <f>IF(B327="","",IF(COUNTIF('01_Anggota'!$D$5:$D$1212,B327)=0,"NAMA TIDAK DITEMUKAN",INDEX('01_Anggota'!$B$5:$B$1212,MATCH(B327,'01_Anggota'!$D$5:$D$1212,0))))</f>
        <v>KKSUK-000168</v>
      </c>
      <c r="D327" s="23">
        <v>0</v>
      </c>
      <c r="E327" s="23">
        <v>6620000</v>
      </c>
      <c r="F327" s="23">
        <v>9375000</v>
      </c>
      <c r="G327" s="23">
        <v>4223026</v>
      </c>
      <c r="H327" s="42">
        <v>46023</v>
      </c>
      <c r="I327" s="21" t="s">
        <v>802</v>
      </c>
    </row>
    <row r="328" spans="1:9" ht="21" customHeight="1">
      <c r="A328" s="20">
        <f t="shared" si="5"/>
        <v>324</v>
      </c>
      <c r="B328" s="21" t="s">
        <v>367</v>
      </c>
      <c r="C328" s="20" t="str">
        <f>IF(B328="","",IF(COUNTIF('01_Anggota'!$D$5:$D$1212,B328)=0,"NAMA TIDAK DITEMUKAN",INDEX('01_Anggota'!$B$5:$B$1212,MATCH(B328,'01_Anggota'!$D$5:$D$1212,0))))</f>
        <v>KKSUK-000168</v>
      </c>
      <c r="D328" s="23">
        <v>0</v>
      </c>
      <c r="E328" s="23">
        <v>100000</v>
      </c>
      <c r="F328" s="23">
        <v>100000</v>
      </c>
      <c r="G328" s="23">
        <v>0</v>
      </c>
      <c r="H328" s="42">
        <v>46045</v>
      </c>
      <c r="I328" s="21" t="s">
        <v>803</v>
      </c>
    </row>
    <row r="329" spans="1:9" ht="21" customHeight="1">
      <c r="A329" s="20">
        <f t="shared" si="5"/>
        <v>325</v>
      </c>
      <c r="B329" s="21" t="s">
        <v>367</v>
      </c>
      <c r="C329" s="20" t="str">
        <f>IF(B329="","",IF(COUNTIF('01_Anggota'!$D$5:$D$1212,B329)=0,"NAMA TIDAK DITEMUKAN",INDEX('01_Anggota'!$B$5:$B$1212,MATCH(B329,'01_Anggota'!$D$5:$D$1212,0))))</f>
        <v>KKSUK-000168</v>
      </c>
      <c r="D329" s="23">
        <v>0</v>
      </c>
      <c r="E329" s="23">
        <v>100000</v>
      </c>
      <c r="F329" s="23">
        <v>100000</v>
      </c>
      <c r="G329" s="23">
        <v>0</v>
      </c>
      <c r="H329" s="42">
        <v>46078</v>
      </c>
      <c r="I329" s="21" t="s">
        <v>804</v>
      </c>
    </row>
    <row r="330" spans="1:9" ht="21" customHeight="1">
      <c r="A330" s="20">
        <f t="shared" si="5"/>
        <v>326</v>
      </c>
      <c r="B330" s="21" t="s">
        <v>367</v>
      </c>
      <c r="C330" s="20" t="str">
        <f>IF(B330="","",IF(COUNTIF('01_Anggota'!$D$5:$D$1212,B330)=0,"NAMA TIDAK DITEMUKAN",INDEX('01_Anggota'!$B$5:$B$1212,MATCH(B330,'01_Anggota'!$D$5:$D$1212,0))))</f>
        <v>KKSUK-000168</v>
      </c>
      <c r="D330" s="23">
        <v>0</v>
      </c>
      <c r="E330" s="23">
        <v>100000</v>
      </c>
      <c r="F330" s="23">
        <v>100000</v>
      </c>
      <c r="G330" s="23">
        <v>0</v>
      </c>
      <c r="H330" s="42">
        <v>46106</v>
      </c>
      <c r="I330" s="21" t="s">
        <v>805</v>
      </c>
    </row>
    <row r="331" spans="1:9" ht="21" customHeight="1">
      <c r="A331" s="20">
        <f t="shared" si="5"/>
        <v>327</v>
      </c>
      <c r="B331" s="21" t="s">
        <v>367</v>
      </c>
      <c r="C331" s="20" t="str">
        <f>IF(B331="","",IF(COUNTIF('01_Anggota'!$D$5:$D$1212,B331)=0,"NAMA TIDAK DITEMUKAN",INDEX('01_Anggota'!$B$5:$B$1212,MATCH(B331,'01_Anggota'!$D$5:$D$1212,0))))</f>
        <v>KKSUK-000168</v>
      </c>
      <c r="D331" s="23">
        <v>0</v>
      </c>
      <c r="E331" s="23">
        <v>100000</v>
      </c>
      <c r="F331" s="23">
        <v>100000</v>
      </c>
      <c r="G331" s="23">
        <v>0</v>
      </c>
      <c r="H331" s="42">
        <v>46136</v>
      </c>
      <c r="I331" s="21" t="s">
        <v>806</v>
      </c>
    </row>
    <row r="332" spans="1:9" ht="21" customHeight="1">
      <c r="A332" s="20">
        <f t="shared" si="5"/>
        <v>328</v>
      </c>
      <c r="B332" s="21" t="s">
        <v>367</v>
      </c>
      <c r="C332" s="20" t="str">
        <f>IF(B332="","",IF(COUNTIF('01_Anggota'!$D$5:$D$1212,B332)=0,"NAMA TIDAK DITEMUKAN",INDEX('01_Anggota'!$B$5:$B$1212,MATCH(B332,'01_Anggota'!$D$5:$D$1212,0))))</f>
        <v>KKSUK-000168</v>
      </c>
      <c r="D332" s="23">
        <v>0</v>
      </c>
      <c r="E332" s="23">
        <v>100000</v>
      </c>
      <c r="F332" s="23">
        <v>100000</v>
      </c>
      <c r="G332" s="23">
        <v>0</v>
      </c>
      <c r="H332" s="42">
        <v>46167</v>
      </c>
      <c r="I332" s="21" t="s">
        <v>807</v>
      </c>
    </row>
    <row r="333" spans="1:9" ht="21" customHeight="1">
      <c r="A333" s="20">
        <f t="shared" si="5"/>
        <v>329</v>
      </c>
      <c r="B333" s="21" t="s">
        <v>367</v>
      </c>
      <c r="C333" s="20" t="str">
        <f>IF(B333="","",IF(COUNTIF('01_Anggota'!$D$5:$D$1212,B333)=0,"NAMA TIDAK DITEMUKAN",INDEX('01_Anggota'!$B$5:$B$1212,MATCH(B333,'01_Anggota'!$D$5:$D$1212,0))))</f>
        <v>KKSUK-000168</v>
      </c>
      <c r="D333" s="23">
        <v>0</v>
      </c>
      <c r="E333" s="23">
        <v>100000</v>
      </c>
      <c r="F333" s="23">
        <v>100000</v>
      </c>
      <c r="G333" s="23">
        <v>0</v>
      </c>
      <c r="H333" s="42">
        <v>46198</v>
      </c>
      <c r="I333" s="21" t="s">
        <v>808</v>
      </c>
    </row>
    <row r="334" spans="1:9" ht="21" customHeight="1">
      <c r="A334" s="20">
        <f t="shared" si="5"/>
        <v>330</v>
      </c>
      <c r="B334" s="21" t="s">
        <v>367</v>
      </c>
      <c r="C334" s="20" t="str">
        <f>IF(B334="","",IF(COUNTIF('01_Anggota'!$D$5:$D$1212,B334)=0,"NAMA TIDAK DITEMUKAN",INDEX('01_Anggota'!$B$5:$B$1212,MATCH(B334,'01_Anggota'!$D$5:$D$1212,0))))</f>
        <v>KKSUK-000168</v>
      </c>
      <c r="D334" s="23">
        <v>0</v>
      </c>
      <c r="E334" s="23">
        <v>100000</v>
      </c>
      <c r="F334" s="23">
        <v>100000</v>
      </c>
      <c r="G334" s="23">
        <v>0</v>
      </c>
      <c r="H334" s="42">
        <v>46227</v>
      </c>
      <c r="I334" s="21" t="s">
        <v>809</v>
      </c>
    </row>
    <row r="335" spans="1:9" ht="21" customHeight="1">
      <c r="A335" s="20">
        <f t="shared" si="5"/>
        <v>331</v>
      </c>
      <c r="B335" s="21" t="s">
        <v>367</v>
      </c>
      <c r="C335" s="20" t="str">
        <f>IF(B335="","",IF(COUNTIF('01_Anggota'!$D$5:$D$1212,B335)=0,"NAMA TIDAK DITEMUKAN",INDEX('01_Anggota'!$B$5:$B$1212,MATCH(B335,'01_Anggota'!$D$5:$D$1212,0))))</f>
        <v>KKSUK-000168</v>
      </c>
      <c r="D335" s="23">
        <v>0</v>
      </c>
      <c r="E335" s="23">
        <v>100000</v>
      </c>
      <c r="F335" s="23">
        <v>100000</v>
      </c>
      <c r="G335" s="23">
        <v>0</v>
      </c>
      <c r="H335" s="42">
        <v>46258</v>
      </c>
      <c r="I335" s="21" t="s">
        <v>810</v>
      </c>
    </row>
    <row r="336" spans="1:9" ht="21" customHeight="1">
      <c r="A336" s="20">
        <f t="shared" si="5"/>
        <v>332</v>
      </c>
      <c r="B336" s="21" t="s">
        <v>381</v>
      </c>
      <c r="C336" s="20" t="str">
        <f>IF(B336="","",IF(COUNTIF('01_Anggota'!$D$5:$D$1212,B336)=0,"NAMA TIDAK DITEMUKAN",INDEX('01_Anggota'!$B$5:$B$1212,MATCH(B336,'01_Anggota'!$D$5:$D$1212,0))))</f>
        <v>KKSUK-000182</v>
      </c>
      <c r="D336" s="23">
        <v>0</v>
      </c>
      <c r="E336" s="23">
        <v>600000</v>
      </c>
      <c r="F336" s="23">
        <v>600000</v>
      </c>
      <c r="G336" s="23">
        <v>0</v>
      </c>
      <c r="H336" s="42">
        <v>46023</v>
      </c>
      <c r="I336" s="21" t="s">
        <v>802</v>
      </c>
    </row>
    <row r="337" spans="1:9" ht="21" customHeight="1">
      <c r="A337" s="20">
        <f t="shared" si="5"/>
        <v>333</v>
      </c>
      <c r="B337" s="21" t="s">
        <v>381</v>
      </c>
      <c r="C337" s="20" t="str">
        <f>IF(B337="","",IF(COUNTIF('01_Anggota'!$D$5:$D$1212,B337)=0,"NAMA TIDAK DITEMUKAN",INDEX('01_Anggota'!$B$5:$B$1212,MATCH(B337,'01_Anggota'!$D$5:$D$1212,0))))</f>
        <v>KKSUK-000182</v>
      </c>
      <c r="D337" s="23">
        <v>0</v>
      </c>
      <c r="E337" s="23">
        <v>100000</v>
      </c>
      <c r="F337" s="23">
        <v>100000</v>
      </c>
      <c r="G337" s="23">
        <v>0</v>
      </c>
      <c r="H337" s="42">
        <v>46078</v>
      </c>
      <c r="I337" s="21" t="s">
        <v>804</v>
      </c>
    </row>
    <row r="338" spans="1:9" ht="21" customHeight="1">
      <c r="A338" s="20">
        <f t="shared" si="5"/>
        <v>334</v>
      </c>
      <c r="B338" s="21" t="s">
        <v>381</v>
      </c>
      <c r="C338" s="20" t="str">
        <f>IF(B338="","",IF(COUNTIF('01_Anggota'!$D$5:$D$1212,B338)=0,"NAMA TIDAK DITEMUKAN",INDEX('01_Anggota'!$B$5:$B$1212,MATCH(B338,'01_Anggota'!$D$5:$D$1212,0))))</f>
        <v>KKSUK-000182</v>
      </c>
      <c r="D338" s="23">
        <v>0</v>
      </c>
      <c r="E338" s="23">
        <v>100000</v>
      </c>
      <c r="F338" s="23">
        <v>100000</v>
      </c>
      <c r="G338" s="23">
        <v>0</v>
      </c>
      <c r="H338" s="42">
        <v>46106</v>
      </c>
      <c r="I338" s="21" t="s">
        <v>805</v>
      </c>
    </row>
    <row r="339" spans="1:9" ht="21" customHeight="1">
      <c r="A339" s="20">
        <f t="shared" si="5"/>
        <v>335</v>
      </c>
      <c r="B339" s="21" t="s">
        <v>381</v>
      </c>
      <c r="C339" s="20" t="str">
        <f>IF(B339="","",IF(COUNTIF('01_Anggota'!$D$5:$D$1212,B339)=0,"NAMA TIDAK DITEMUKAN",INDEX('01_Anggota'!$B$5:$B$1212,MATCH(B339,'01_Anggota'!$D$5:$D$1212,0))))</f>
        <v>KKSUK-000182</v>
      </c>
      <c r="D339" s="23">
        <v>0</v>
      </c>
      <c r="E339" s="23">
        <v>100000</v>
      </c>
      <c r="F339" s="23">
        <v>100000</v>
      </c>
      <c r="G339" s="23">
        <v>0</v>
      </c>
      <c r="H339" s="42">
        <v>46136</v>
      </c>
      <c r="I339" s="21" t="s">
        <v>806</v>
      </c>
    </row>
    <row r="340" spans="1:9" ht="21" customHeight="1">
      <c r="A340" s="20">
        <f t="shared" si="5"/>
        <v>336</v>
      </c>
      <c r="B340" s="21" t="s">
        <v>381</v>
      </c>
      <c r="C340" s="20" t="str">
        <f>IF(B340="","",IF(COUNTIF('01_Anggota'!$D$5:$D$1212,B340)=0,"NAMA TIDAK DITEMUKAN",INDEX('01_Anggota'!$B$5:$B$1212,MATCH(B340,'01_Anggota'!$D$5:$D$1212,0))))</f>
        <v>KKSUK-000182</v>
      </c>
      <c r="D340" s="23">
        <v>0</v>
      </c>
      <c r="E340" s="23">
        <v>100000</v>
      </c>
      <c r="F340" s="23">
        <v>100000</v>
      </c>
      <c r="G340" s="23">
        <v>0</v>
      </c>
      <c r="H340" s="42">
        <v>46167</v>
      </c>
      <c r="I340" s="21" t="s">
        <v>807</v>
      </c>
    </row>
    <row r="341" spans="1:9" ht="21" customHeight="1">
      <c r="A341" s="20">
        <f t="shared" si="5"/>
        <v>337</v>
      </c>
      <c r="B341" s="21" t="s">
        <v>354</v>
      </c>
      <c r="C341" s="20" t="str">
        <f>IF(B341="","",IF(COUNTIF('01_Anggota'!$D$5:$D$1212,B341)=0,"NAMA TIDAK DITEMUKAN",INDEX('01_Anggota'!$B$5:$B$1212,MATCH(B341,'01_Anggota'!$D$5:$D$1212,0))))</f>
        <v>KKSUK-000155</v>
      </c>
      <c r="D341" s="23">
        <v>0</v>
      </c>
      <c r="E341" s="23">
        <v>1500000</v>
      </c>
      <c r="F341" s="23">
        <v>1000000</v>
      </c>
      <c r="G341" s="23">
        <v>0</v>
      </c>
      <c r="H341" s="42">
        <v>46023</v>
      </c>
      <c r="I341" s="21" t="s">
        <v>802</v>
      </c>
    </row>
    <row r="342" spans="1:9" ht="21" customHeight="1">
      <c r="A342" s="20">
        <f t="shared" si="5"/>
        <v>338</v>
      </c>
      <c r="B342" s="21" t="s">
        <v>354</v>
      </c>
      <c r="C342" s="20" t="str">
        <f>IF(B342="","",IF(COUNTIF('01_Anggota'!$D$5:$D$1212,B342)=0,"NAMA TIDAK DITEMUKAN",INDEX('01_Anggota'!$B$5:$B$1212,MATCH(B342,'01_Anggota'!$D$5:$D$1212,0))))</f>
        <v>KKSUK-000155</v>
      </c>
      <c r="D342" s="23">
        <v>0</v>
      </c>
      <c r="E342" s="23">
        <v>150000</v>
      </c>
      <c r="F342" s="23">
        <v>100000</v>
      </c>
      <c r="G342" s="23">
        <v>0</v>
      </c>
      <c r="H342" s="42">
        <v>46045</v>
      </c>
      <c r="I342" s="21" t="s">
        <v>803</v>
      </c>
    </row>
    <row r="343" spans="1:9" ht="21" customHeight="1">
      <c r="A343" s="20">
        <f t="shared" si="5"/>
        <v>339</v>
      </c>
      <c r="B343" s="21" t="s">
        <v>354</v>
      </c>
      <c r="C343" s="20" t="str">
        <f>IF(B343="","",IF(COUNTIF('01_Anggota'!$D$5:$D$1212,B343)=0,"NAMA TIDAK DITEMUKAN",INDEX('01_Anggota'!$B$5:$B$1212,MATCH(B343,'01_Anggota'!$D$5:$D$1212,0))))</f>
        <v>KKSUK-000155</v>
      </c>
      <c r="D343" s="23">
        <v>0</v>
      </c>
      <c r="E343" s="23">
        <v>150000</v>
      </c>
      <c r="F343" s="23">
        <v>100000</v>
      </c>
      <c r="G343" s="23">
        <v>0</v>
      </c>
      <c r="H343" s="42">
        <v>46078</v>
      </c>
      <c r="I343" s="21" t="s">
        <v>804</v>
      </c>
    </row>
    <row r="344" spans="1:9" ht="21" customHeight="1">
      <c r="A344" s="20">
        <f t="shared" si="5"/>
        <v>340</v>
      </c>
      <c r="B344" s="21" t="s">
        <v>354</v>
      </c>
      <c r="C344" s="20" t="str">
        <f>IF(B344="","",IF(COUNTIF('01_Anggota'!$D$5:$D$1212,B344)=0,"NAMA TIDAK DITEMUKAN",INDEX('01_Anggota'!$B$5:$B$1212,MATCH(B344,'01_Anggota'!$D$5:$D$1212,0))))</f>
        <v>KKSUK-000155</v>
      </c>
      <c r="D344" s="23">
        <v>0</v>
      </c>
      <c r="E344" s="23">
        <v>150000</v>
      </c>
      <c r="F344" s="23">
        <v>100000</v>
      </c>
      <c r="G344" s="23">
        <v>0</v>
      </c>
      <c r="H344" s="42">
        <v>46106</v>
      </c>
      <c r="I344" s="21" t="s">
        <v>805</v>
      </c>
    </row>
    <row r="345" spans="1:9" ht="21" customHeight="1">
      <c r="A345" s="20">
        <f t="shared" si="5"/>
        <v>341</v>
      </c>
      <c r="B345" s="21" t="s">
        <v>354</v>
      </c>
      <c r="C345" s="20" t="str">
        <f>IF(B345="","",IF(COUNTIF('01_Anggota'!$D$5:$D$1212,B345)=0,"NAMA TIDAK DITEMUKAN",INDEX('01_Anggota'!$B$5:$B$1212,MATCH(B345,'01_Anggota'!$D$5:$D$1212,0))))</f>
        <v>KKSUK-000155</v>
      </c>
      <c r="D345" s="23">
        <v>0</v>
      </c>
      <c r="E345" s="23">
        <v>150000</v>
      </c>
      <c r="F345" s="23">
        <v>100000</v>
      </c>
      <c r="G345" s="23">
        <v>0</v>
      </c>
      <c r="H345" s="42">
        <v>46136</v>
      </c>
      <c r="I345" s="21" t="s">
        <v>806</v>
      </c>
    </row>
    <row r="346" spans="1:9" ht="21" customHeight="1">
      <c r="A346" s="20">
        <f t="shared" si="5"/>
        <v>342</v>
      </c>
      <c r="B346" s="21" t="s">
        <v>354</v>
      </c>
      <c r="C346" s="20" t="str">
        <f>IF(B346="","",IF(COUNTIF('01_Anggota'!$D$5:$D$1212,B346)=0,"NAMA TIDAK DITEMUKAN",INDEX('01_Anggota'!$B$5:$B$1212,MATCH(B346,'01_Anggota'!$D$5:$D$1212,0))))</f>
        <v>KKSUK-000155</v>
      </c>
      <c r="D346" s="23">
        <v>0</v>
      </c>
      <c r="E346" s="23">
        <v>150000</v>
      </c>
      <c r="F346" s="23">
        <v>100000</v>
      </c>
      <c r="G346" s="23">
        <v>0</v>
      </c>
      <c r="H346" s="42">
        <v>46167</v>
      </c>
      <c r="I346" s="21" t="s">
        <v>807</v>
      </c>
    </row>
    <row r="347" spans="1:9" ht="21" customHeight="1">
      <c r="A347" s="20">
        <f t="shared" si="5"/>
        <v>343</v>
      </c>
      <c r="B347" s="21" t="s">
        <v>354</v>
      </c>
      <c r="C347" s="20" t="str">
        <f>IF(B347="","",IF(COUNTIF('01_Anggota'!$D$5:$D$1212,B347)=0,"NAMA TIDAK DITEMUKAN",INDEX('01_Anggota'!$B$5:$B$1212,MATCH(B347,'01_Anggota'!$D$5:$D$1212,0))))</f>
        <v>KKSUK-000155</v>
      </c>
      <c r="D347" s="23">
        <v>0</v>
      </c>
      <c r="E347" s="23">
        <v>150000</v>
      </c>
      <c r="F347" s="23">
        <v>100000</v>
      </c>
      <c r="G347" s="23">
        <v>0</v>
      </c>
      <c r="H347" s="42">
        <v>46198</v>
      </c>
      <c r="I347" s="21" t="s">
        <v>808</v>
      </c>
    </row>
    <row r="348" spans="1:9" ht="21" customHeight="1">
      <c r="A348" s="20">
        <f t="shared" si="5"/>
        <v>344</v>
      </c>
      <c r="B348" s="21" t="s">
        <v>354</v>
      </c>
      <c r="C348" s="20" t="str">
        <f>IF(B348="","",IF(COUNTIF('01_Anggota'!$D$5:$D$1212,B348)=0,"NAMA TIDAK DITEMUKAN",INDEX('01_Anggota'!$B$5:$B$1212,MATCH(B348,'01_Anggota'!$D$5:$D$1212,0))))</f>
        <v>KKSUK-000155</v>
      </c>
      <c r="D348" s="23">
        <v>0</v>
      </c>
      <c r="E348" s="23">
        <v>150000</v>
      </c>
      <c r="F348" s="23">
        <v>100000</v>
      </c>
      <c r="G348" s="23">
        <v>0</v>
      </c>
      <c r="H348" s="42">
        <v>46227</v>
      </c>
      <c r="I348" s="21" t="s">
        <v>809</v>
      </c>
    </row>
    <row r="349" spans="1:9" ht="21" customHeight="1">
      <c r="A349" s="20">
        <f t="shared" si="5"/>
        <v>345</v>
      </c>
      <c r="B349" s="21" t="s">
        <v>354</v>
      </c>
      <c r="C349" s="20" t="str">
        <f>IF(B349="","",IF(COUNTIF('01_Anggota'!$D$5:$D$1212,B349)=0,"NAMA TIDAK DITEMUKAN",INDEX('01_Anggota'!$B$5:$B$1212,MATCH(B349,'01_Anggota'!$D$5:$D$1212,0))))</f>
        <v>KKSUK-000155</v>
      </c>
      <c r="D349" s="23">
        <v>0</v>
      </c>
      <c r="E349" s="23">
        <v>150000</v>
      </c>
      <c r="F349" s="23">
        <v>100000</v>
      </c>
      <c r="G349" s="23">
        <v>0</v>
      </c>
      <c r="H349" s="42">
        <v>46258</v>
      </c>
      <c r="I349" s="21" t="s">
        <v>810</v>
      </c>
    </row>
    <row r="350" spans="1:9" ht="21" customHeight="1">
      <c r="A350" s="20">
        <f t="shared" si="5"/>
        <v>346</v>
      </c>
      <c r="B350" s="21" t="s">
        <v>268</v>
      </c>
      <c r="C350" s="20" t="str">
        <f>IF(B350="","",IF(COUNTIF('01_Anggota'!$D$5:$D$1212,B350)=0,"NAMA TIDAK DITEMUKAN",INDEX('01_Anggota'!$B$5:$B$1212,MATCH(B350,'01_Anggota'!$D$5:$D$1212,0))))</f>
        <v>KKSUK-000069</v>
      </c>
      <c r="D350" s="23">
        <v>0</v>
      </c>
      <c r="E350" s="23">
        <v>3650000</v>
      </c>
      <c r="F350" s="23">
        <v>19082459</v>
      </c>
      <c r="G350" s="23">
        <v>19513434</v>
      </c>
      <c r="H350" s="42">
        <v>46023</v>
      </c>
      <c r="I350" s="21" t="s">
        <v>802</v>
      </c>
    </row>
    <row r="351" spans="1:9" ht="21" customHeight="1">
      <c r="A351" s="20">
        <f t="shared" si="5"/>
        <v>347</v>
      </c>
      <c r="B351" s="21" t="s">
        <v>268</v>
      </c>
      <c r="C351" s="20" t="str">
        <f>IF(B351="","",IF(COUNTIF('01_Anggota'!$D$5:$D$1212,B351)=0,"NAMA TIDAK DITEMUKAN",INDEX('01_Anggota'!$B$5:$B$1212,MATCH(B351,'01_Anggota'!$D$5:$D$1212,0))))</f>
        <v>KKSUK-000069</v>
      </c>
      <c r="D351" s="23">
        <v>0</v>
      </c>
      <c r="E351" s="23">
        <v>500000</v>
      </c>
      <c r="F351" s="23">
        <v>200000</v>
      </c>
      <c r="G351" s="23">
        <v>0</v>
      </c>
      <c r="H351" s="42">
        <v>46045</v>
      </c>
      <c r="I351" s="21" t="s">
        <v>803</v>
      </c>
    </row>
    <row r="352" spans="1:9" ht="21" customHeight="1">
      <c r="A352" s="20">
        <f t="shared" si="5"/>
        <v>348</v>
      </c>
      <c r="B352" s="21" t="s">
        <v>268</v>
      </c>
      <c r="C352" s="20" t="str">
        <f>IF(B352="","",IF(COUNTIF('01_Anggota'!$D$5:$D$1212,B352)=0,"NAMA TIDAK DITEMUKAN",INDEX('01_Anggota'!$B$5:$B$1212,MATCH(B352,'01_Anggota'!$D$5:$D$1212,0))))</f>
        <v>KKSUK-000069</v>
      </c>
      <c r="D352" s="23">
        <v>0</v>
      </c>
      <c r="E352" s="23">
        <v>500000</v>
      </c>
      <c r="F352" s="23">
        <v>200000</v>
      </c>
      <c r="G352" s="23">
        <v>0</v>
      </c>
      <c r="H352" s="42">
        <v>46078</v>
      </c>
      <c r="I352" s="21" t="s">
        <v>804</v>
      </c>
    </row>
    <row r="353" spans="1:9" ht="21" customHeight="1">
      <c r="A353" s="20">
        <f t="shared" si="5"/>
        <v>349</v>
      </c>
      <c r="B353" s="21" t="s">
        <v>268</v>
      </c>
      <c r="C353" s="20" t="str">
        <f>IF(B353="","",IF(COUNTIF('01_Anggota'!$D$5:$D$1212,B353)=0,"NAMA TIDAK DITEMUKAN",INDEX('01_Anggota'!$B$5:$B$1212,MATCH(B353,'01_Anggota'!$D$5:$D$1212,0))))</f>
        <v>KKSUK-000069</v>
      </c>
      <c r="D353" s="23">
        <v>0</v>
      </c>
      <c r="E353" s="23">
        <v>500000</v>
      </c>
      <c r="F353" s="23">
        <v>200000</v>
      </c>
      <c r="G353" s="23">
        <v>0</v>
      </c>
      <c r="H353" s="42">
        <v>46106</v>
      </c>
      <c r="I353" s="21" t="s">
        <v>805</v>
      </c>
    </row>
    <row r="354" spans="1:9" ht="21" customHeight="1">
      <c r="A354" s="20">
        <f t="shared" si="5"/>
        <v>350</v>
      </c>
      <c r="B354" s="21" t="s">
        <v>268</v>
      </c>
      <c r="C354" s="20" t="str">
        <f>IF(B354="","",IF(COUNTIF('01_Anggota'!$D$5:$D$1212,B354)=0,"NAMA TIDAK DITEMUKAN",INDEX('01_Anggota'!$B$5:$B$1212,MATCH(B354,'01_Anggota'!$D$5:$D$1212,0))))</f>
        <v>KKSUK-000069</v>
      </c>
      <c r="D354" s="23">
        <v>0</v>
      </c>
      <c r="E354" s="23">
        <v>600000</v>
      </c>
      <c r="F354" s="23">
        <v>100000</v>
      </c>
      <c r="G354" s="23">
        <v>0</v>
      </c>
      <c r="H354" s="42">
        <v>46136</v>
      </c>
      <c r="I354" s="21" t="s">
        <v>806</v>
      </c>
    </row>
    <row r="355" spans="1:9" ht="21" customHeight="1">
      <c r="A355" s="20">
        <f t="shared" si="5"/>
        <v>351</v>
      </c>
      <c r="B355" s="21" t="s">
        <v>268</v>
      </c>
      <c r="C355" s="20" t="str">
        <f>IF(B355="","",IF(COUNTIF('01_Anggota'!$D$5:$D$1212,B355)=0,"NAMA TIDAK DITEMUKAN",INDEX('01_Anggota'!$B$5:$B$1212,MATCH(B355,'01_Anggota'!$D$5:$D$1212,0))))</f>
        <v>KKSUK-000069</v>
      </c>
      <c r="D355" s="23">
        <v>0</v>
      </c>
      <c r="E355" s="23">
        <v>600000</v>
      </c>
      <c r="F355" s="23">
        <v>100000</v>
      </c>
      <c r="G355" s="23">
        <v>0</v>
      </c>
      <c r="H355" s="42">
        <v>46167</v>
      </c>
      <c r="I355" s="21" t="s">
        <v>807</v>
      </c>
    </row>
    <row r="356" spans="1:9" ht="21" customHeight="1">
      <c r="A356" s="20">
        <f t="shared" si="5"/>
        <v>352</v>
      </c>
      <c r="B356" s="21" t="s">
        <v>268</v>
      </c>
      <c r="C356" s="20" t="str">
        <f>IF(B356="","",IF(COUNTIF('01_Anggota'!$D$5:$D$1212,B356)=0,"NAMA TIDAK DITEMUKAN",INDEX('01_Anggota'!$B$5:$B$1212,MATCH(B356,'01_Anggota'!$D$5:$D$1212,0))))</f>
        <v>KKSUK-000069</v>
      </c>
      <c r="D356" s="23">
        <v>0</v>
      </c>
      <c r="E356" s="23">
        <v>600000</v>
      </c>
      <c r="F356" s="23">
        <v>100000</v>
      </c>
      <c r="G356" s="23">
        <v>0</v>
      </c>
      <c r="H356" s="42">
        <v>46198</v>
      </c>
      <c r="I356" s="21" t="s">
        <v>808</v>
      </c>
    </row>
    <row r="357" spans="1:9" ht="21" customHeight="1">
      <c r="A357" s="20">
        <f t="shared" si="5"/>
        <v>353</v>
      </c>
      <c r="B357" s="21" t="s">
        <v>268</v>
      </c>
      <c r="C357" s="20" t="str">
        <f>IF(B357="","",IF(COUNTIF('01_Anggota'!$D$5:$D$1212,B357)=0,"NAMA TIDAK DITEMUKAN",INDEX('01_Anggota'!$B$5:$B$1212,MATCH(B357,'01_Anggota'!$D$5:$D$1212,0))))</f>
        <v>KKSUK-000069</v>
      </c>
      <c r="D357" s="23">
        <v>0</v>
      </c>
      <c r="E357" s="23">
        <v>-3000000</v>
      </c>
      <c r="F357" s="23">
        <v>0</v>
      </c>
      <c r="G357" s="23">
        <v>0</v>
      </c>
      <c r="H357" s="42">
        <v>46227</v>
      </c>
      <c r="I357" s="21" t="s">
        <v>809</v>
      </c>
    </row>
    <row r="358" spans="1:9" ht="21" customHeight="1">
      <c r="A358" s="20">
        <f t="shared" si="5"/>
        <v>354</v>
      </c>
      <c r="B358" s="21" t="s">
        <v>268</v>
      </c>
      <c r="C358" s="20" t="str">
        <f>IF(B358="","",IF(COUNTIF('01_Anggota'!$D$5:$D$1212,B358)=0,"NAMA TIDAK DITEMUKAN",INDEX('01_Anggota'!$B$5:$B$1212,MATCH(B358,'01_Anggota'!$D$5:$D$1212,0))))</f>
        <v>KKSUK-000069</v>
      </c>
      <c r="D358" s="23">
        <v>0</v>
      </c>
      <c r="E358" s="23">
        <v>600000</v>
      </c>
      <c r="F358" s="23">
        <v>100000</v>
      </c>
      <c r="G358" s="23">
        <v>0</v>
      </c>
      <c r="H358" s="42">
        <v>46227</v>
      </c>
      <c r="I358" s="21" t="s">
        <v>809</v>
      </c>
    </row>
    <row r="359" spans="1:9" ht="21" customHeight="1">
      <c r="A359" s="20">
        <f t="shared" si="5"/>
        <v>355</v>
      </c>
      <c r="B359" s="21" t="s">
        <v>268</v>
      </c>
      <c r="C359" s="20" t="str">
        <f>IF(B359="","",IF(COUNTIF('01_Anggota'!$D$5:$D$1212,B359)=0,"NAMA TIDAK DITEMUKAN",INDEX('01_Anggota'!$B$5:$B$1212,MATCH(B359,'01_Anggota'!$D$5:$D$1212,0))))</f>
        <v>KKSUK-000069</v>
      </c>
      <c r="D359" s="23">
        <v>0</v>
      </c>
      <c r="E359" s="23">
        <v>600000</v>
      </c>
      <c r="F359" s="23">
        <v>100000</v>
      </c>
      <c r="G359" s="23">
        <v>0</v>
      </c>
      <c r="H359" s="42">
        <v>46258</v>
      </c>
      <c r="I359" s="21" t="s">
        <v>810</v>
      </c>
    </row>
    <row r="360" spans="1:9" ht="21" customHeight="1">
      <c r="A360" s="20">
        <f t="shared" si="5"/>
        <v>356</v>
      </c>
      <c r="B360" s="21" t="s">
        <v>360</v>
      </c>
      <c r="C360" s="20" t="str">
        <f>IF(B360="","",IF(COUNTIF('01_Anggota'!$D$5:$D$1212,B360)=0,"NAMA TIDAK DITEMUKAN",INDEX('01_Anggota'!$B$5:$B$1212,MATCH(B360,'01_Anggota'!$D$5:$D$1212,0))))</f>
        <v>KKSUK-000161</v>
      </c>
      <c r="D360" s="23">
        <v>0</v>
      </c>
      <c r="E360" s="23">
        <v>850000</v>
      </c>
      <c r="F360" s="23">
        <v>600000</v>
      </c>
      <c r="G360" s="23">
        <v>0</v>
      </c>
      <c r="H360" s="42">
        <v>46023</v>
      </c>
      <c r="I360" s="21" t="s">
        <v>802</v>
      </c>
    </row>
    <row r="361" spans="1:9" ht="21" customHeight="1">
      <c r="A361" s="20">
        <f t="shared" si="5"/>
        <v>357</v>
      </c>
      <c r="B361" s="21" t="s">
        <v>360</v>
      </c>
      <c r="C361" s="20" t="str">
        <f>IF(B361="","",IF(COUNTIF('01_Anggota'!$D$5:$D$1212,B361)=0,"NAMA TIDAK DITEMUKAN",INDEX('01_Anggota'!$B$5:$B$1212,MATCH(B361,'01_Anggota'!$D$5:$D$1212,0))))</f>
        <v>KKSUK-000161</v>
      </c>
      <c r="D361" s="23">
        <v>0</v>
      </c>
      <c r="E361" s="23">
        <v>50000</v>
      </c>
      <c r="F361" s="23">
        <v>100000</v>
      </c>
      <c r="G361" s="23">
        <v>0</v>
      </c>
      <c r="H361" s="42">
        <v>46045</v>
      </c>
      <c r="I361" s="21" t="s">
        <v>803</v>
      </c>
    </row>
    <row r="362" spans="1:9" ht="21" customHeight="1">
      <c r="A362" s="20">
        <f t="shared" si="5"/>
        <v>358</v>
      </c>
      <c r="B362" s="21" t="s">
        <v>360</v>
      </c>
      <c r="C362" s="20" t="str">
        <f>IF(B362="","",IF(COUNTIF('01_Anggota'!$D$5:$D$1212,B362)=0,"NAMA TIDAK DITEMUKAN",INDEX('01_Anggota'!$B$5:$B$1212,MATCH(B362,'01_Anggota'!$D$5:$D$1212,0))))</f>
        <v>KKSUK-000161</v>
      </c>
      <c r="D362" s="23">
        <v>0</v>
      </c>
      <c r="E362" s="23">
        <v>50000</v>
      </c>
      <c r="F362" s="23">
        <v>100000</v>
      </c>
      <c r="G362" s="23">
        <v>0</v>
      </c>
      <c r="H362" s="42">
        <v>46078</v>
      </c>
      <c r="I362" s="21" t="s">
        <v>804</v>
      </c>
    </row>
    <row r="363" spans="1:9" ht="21" customHeight="1">
      <c r="A363" s="20">
        <f t="shared" si="5"/>
        <v>359</v>
      </c>
      <c r="B363" s="21" t="s">
        <v>360</v>
      </c>
      <c r="C363" s="20" t="str">
        <f>IF(B363="","",IF(COUNTIF('01_Anggota'!$D$5:$D$1212,B363)=0,"NAMA TIDAK DITEMUKAN",INDEX('01_Anggota'!$B$5:$B$1212,MATCH(B363,'01_Anggota'!$D$5:$D$1212,0))))</f>
        <v>KKSUK-000161</v>
      </c>
      <c r="D363" s="23">
        <v>0</v>
      </c>
      <c r="E363" s="23">
        <v>50000</v>
      </c>
      <c r="F363" s="23">
        <v>100000</v>
      </c>
      <c r="G363" s="23">
        <v>0</v>
      </c>
      <c r="H363" s="42">
        <v>46106</v>
      </c>
      <c r="I363" s="21" t="s">
        <v>805</v>
      </c>
    </row>
    <row r="364" spans="1:9" ht="21" customHeight="1">
      <c r="A364" s="20">
        <f t="shared" si="5"/>
        <v>360</v>
      </c>
      <c r="B364" s="21" t="s">
        <v>360</v>
      </c>
      <c r="C364" s="20" t="str">
        <f>IF(B364="","",IF(COUNTIF('01_Anggota'!$D$5:$D$1212,B364)=0,"NAMA TIDAK DITEMUKAN",INDEX('01_Anggota'!$B$5:$B$1212,MATCH(B364,'01_Anggota'!$D$5:$D$1212,0))))</f>
        <v>KKSUK-000161</v>
      </c>
      <c r="D364" s="23">
        <v>0</v>
      </c>
      <c r="E364" s="23">
        <v>50000</v>
      </c>
      <c r="F364" s="23">
        <v>100000</v>
      </c>
      <c r="G364" s="23">
        <v>0</v>
      </c>
      <c r="H364" s="42">
        <v>46136</v>
      </c>
      <c r="I364" s="21" t="s">
        <v>806</v>
      </c>
    </row>
    <row r="365" spans="1:9" ht="21" customHeight="1">
      <c r="A365" s="20">
        <f t="shared" si="5"/>
        <v>361</v>
      </c>
      <c r="B365" s="21" t="s">
        <v>360</v>
      </c>
      <c r="C365" s="20" t="str">
        <f>IF(B365="","",IF(COUNTIF('01_Anggota'!$D$5:$D$1212,B365)=0,"NAMA TIDAK DITEMUKAN",INDEX('01_Anggota'!$B$5:$B$1212,MATCH(B365,'01_Anggota'!$D$5:$D$1212,0))))</f>
        <v>KKSUK-000161</v>
      </c>
      <c r="D365" s="23">
        <v>0</v>
      </c>
      <c r="E365" s="23">
        <v>50000</v>
      </c>
      <c r="F365" s="23">
        <v>100000</v>
      </c>
      <c r="G365" s="23">
        <v>0</v>
      </c>
      <c r="H365" s="42">
        <v>46167</v>
      </c>
      <c r="I365" s="21" t="s">
        <v>807</v>
      </c>
    </row>
    <row r="366" spans="1:9" ht="21" customHeight="1">
      <c r="A366" s="20">
        <f t="shared" si="5"/>
        <v>362</v>
      </c>
      <c r="B366" s="21" t="s">
        <v>360</v>
      </c>
      <c r="C366" s="20" t="str">
        <f>IF(B366="","",IF(COUNTIF('01_Anggota'!$D$5:$D$1212,B366)=0,"NAMA TIDAK DITEMUKAN",INDEX('01_Anggota'!$B$5:$B$1212,MATCH(B366,'01_Anggota'!$D$5:$D$1212,0))))</f>
        <v>KKSUK-000161</v>
      </c>
      <c r="D366" s="23">
        <v>0</v>
      </c>
      <c r="E366" s="23">
        <v>50000</v>
      </c>
      <c r="F366" s="23">
        <v>100000</v>
      </c>
      <c r="G366" s="23">
        <v>0</v>
      </c>
      <c r="H366" s="42">
        <v>46198</v>
      </c>
      <c r="I366" s="21" t="s">
        <v>808</v>
      </c>
    </row>
    <row r="367" spans="1:9" ht="21" customHeight="1">
      <c r="A367" s="20">
        <f t="shared" si="5"/>
        <v>363</v>
      </c>
      <c r="B367" s="21" t="s">
        <v>360</v>
      </c>
      <c r="C367" s="20" t="str">
        <f>IF(B367="","",IF(COUNTIF('01_Anggota'!$D$5:$D$1212,B367)=0,"NAMA TIDAK DITEMUKAN",INDEX('01_Anggota'!$B$5:$B$1212,MATCH(B367,'01_Anggota'!$D$5:$D$1212,0))))</f>
        <v>KKSUK-000161</v>
      </c>
      <c r="D367" s="23">
        <v>0</v>
      </c>
      <c r="E367" s="23">
        <v>50000</v>
      </c>
      <c r="F367" s="23">
        <v>100000</v>
      </c>
      <c r="G367" s="23">
        <v>0</v>
      </c>
      <c r="H367" s="42">
        <v>46227</v>
      </c>
      <c r="I367" s="21" t="s">
        <v>809</v>
      </c>
    </row>
    <row r="368" spans="1:9" ht="21" customHeight="1">
      <c r="A368" s="20">
        <f t="shared" si="5"/>
        <v>364</v>
      </c>
      <c r="B368" s="21" t="s">
        <v>360</v>
      </c>
      <c r="C368" s="20" t="str">
        <f>IF(B368="","",IF(COUNTIF('01_Anggota'!$D$5:$D$1212,B368)=0,"NAMA TIDAK DITEMUKAN",INDEX('01_Anggota'!$B$5:$B$1212,MATCH(B368,'01_Anggota'!$D$5:$D$1212,0))))</f>
        <v>KKSUK-000161</v>
      </c>
      <c r="D368" s="23">
        <v>0</v>
      </c>
      <c r="E368" s="23">
        <v>-1000000</v>
      </c>
      <c r="F368" s="23">
        <v>0</v>
      </c>
      <c r="G368" s="23">
        <v>0</v>
      </c>
      <c r="H368" s="42">
        <v>46258</v>
      </c>
      <c r="I368" s="21" t="s">
        <v>810</v>
      </c>
    </row>
    <row r="369" spans="1:9" ht="21" customHeight="1">
      <c r="A369" s="20">
        <f t="shared" si="5"/>
        <v>365</v>
      </c>
      <c r="B369" s="21" t="s">
        <v>360</v>
      </c>
      <c r="C369" s="20" t="str">
        <f>IF(B369="","",IF(COUNTIF('01_Anggota'!$D$5:$D$1212,B369)=0,"NAMA TIDAK DITEMUKAN",INDEX('01_Anggota'!$B$5:$B$1212,MATCH(B369,'01_Anggota'!$D$5:$D$1212,0))))</f>
        <v>KKSUK-000161</v>
      </c>
      <c r="D369" s="23">
        <v>0</v>
      </c>
      <c r="E369" s="23">
        <v>50000</v>
      </c>
      <c r="F369" s="23">
        <v>100000</v>
      </c>
      <c r="G369" s="23">
        <v>0</v>
      </c>
      <c r="H369" s="42">
        <v>46258</v>
      </c>
      <c r="I369" s="21" t="s">
        <v>810</v>
      </c>
    </row>
    <row r="370" spans="1:9" ht="21" customHeight="1">
      <c r="A370" s="20">
        <f t="shared" si="5"/>
        <v>366</v>
      </c>
      <c r="B370" s="21" t="s">
        <v>206</v>
      </c>
      <c r="C370" s="20" t="str">
        <f>IF(B370="","",IF(COUNTIF('01_Anggota'!$D$5:$D$1212,B370)=0,"NAMA TIDAK DITEMUKAN",INDEX('01_Anggota'!$B$5:$B$1212,MATCH(B370,'01_Anggota'!$D$5:$D$1212,0))))</f>
        <v>KKSUK-000007</v>
      </c>
      <c r="D370" s="23">
        <v>0</v>
      </c>
      <c r="E370" s="23">
        <v>2045000</v>
      </c>
      <c r="F370" s="23">
        <v>11357236</v>
      </c>
      <c r="G370" s="23">
        <v>3615949</v>
      </c>
      <c r="H370" s="42">
        <v>46023</v>
      </c>
      <c r="I370" s="21" t="s">
        <v>802</v>
      </c>
    </row>
    <row r="371" spans="1:9" ht="21" customHeight="1">
      <c r="A371" s="20">
        <f t="shared" si="5"/>
        <v>367</v>
      </c>
      <c r="B371" s="21" t="s">
        <v>206</v>
      </c>
      <c r="C371" s="20" t="str">
        <f>IF(B371="","",IF(COUNTIF('01_Anggota'!$D$5:$D$1212,B371)=0,"NAMA TIDAK DITEMUKAN",INDEX('01_Anggota'!$B$5:$B$1212,MATCH(B371,'01_Anggota'!$D$5:$D$1212,0))))</f>
        <v>KKSUK-000007</v>
      </c>
      <c r="D371" s="23">
        <v>0</v>
      </c>
      <c r="E371" s="23">
        <v>125000</v>
      </c>
      <c r="F371" s="23">
        <v>100000</v>
      </c>
      <c r="G371" s="23">
        <v>0</v>
      </c>
      <c r="H371" s="42">
        <v>46045</v>
      </c>
      <c r="I371" s="21" t="s">
        <v>803</v>
      </c>
    </row>
    <row r="372" spans="1:9" ht="21" customHeight="1">
      <c r="A372" s="20">
        <f t="shared" si="5"/>
        <v>368</v>
      </c>
      <c r="B372" s="21" t="s">
        <v>206</v>
      </c>
      <c r="C372" s="20" t="str">
        <f>IF(B372="","",IF(COUNTIF('01_Anggota'!$D$5:$D$1212,B372)=0,"NAMA TIDAK DITEMUKAN",INDEX('01_Anggota'!$B$5:$B$1212,MATCH(B372,'01_Anggota'!$D$5:$D$1212,0))))</f>
        <v>KKSUK-000007</v>
      </c>
      <c r="D372" s="23">
        <v>0</v>
      </c>
      <c r="E372" s="23">
        <v>125000</v>
      </c>
      <c r="F372" s="23">
        <v>100000</v>
      </c>
      <c r="G372" s="23">
        <v>0</v>
      </c>
      <c r="H372" s="42">
        <v>46078</v>
      </c>
      <c r="I372" s="21" t="s">
        <v>804</v>
      </c>
    </row>
    <row r="373" spans="1:9" ht="21" customHeight="1">
      <c r="A373" s="20">
        <f t="shared" si="5"/>
        <v>369</v>
      </c>
      <c r="B373" s="21" t="s">
        <v>206</v>
      </c>
      <c r="C373" s="20" t="str">
        <f>IF(B373="","",IF(COUNTIF('01_Anggota'!$D$5:$D$1212,B373)=0,"NAMA TIDAK DITEMUKAN",INDEX('01_Anggota'!$B$5:$B$1212,MATCH(B373,'01_Anggota'!$D$5:$D$1212,0))))</f>
        <v>KKSUK-000007</v>
      </c>
      <c r="D373" s="23">
        <v>0</v>
      </c>
      <c r="E373" s="23">
        <v>125000</v>
      </c>
      <c r="F373" s="23">
        <v>100000</v>
      </c>
      <c r="G373" s="23">
        <v>0</v>
      </c>
      <c r="H373" s="42">
        <v>46106</v>
      </c>
      <c r="I373" s="21" t="s">
        <v>805</v>
      </c>
    </row>
    <row r="374" spans="1:9" ht="21" customHeight="1">
      <c r="A374" s="20">
        <f t="shared" si="5"/>
        <v>370</v>
      </c>
      <c r="B374" s="21" t="s">
        <v>206</v>
      </c>
      <c r="C374" s="20" t="str">
        <f>IF(B374="","",IF(COUNTIF('01_Anggota'!$D$5:$D$1212,B374)=0,"NAMA TIDAK DITEMUKAN",INDEX('01_Anggota'!$B$5:$B$1212,MATCH(B374,'01_Anggota'!$D$5:$D$1212,0))))</f>
        <v>KKSUK-000007</v>
      </c>
      <c r="D374" s="23">
        <v>0</v>
      </c>
      <c r="E374" s="23">
        <v>125000</v>
      </c>
      <c r="F374" s="23">
        <v>100000</v>
      </c>
      <c r="G374" s="23">
        <v>0</v>
      </c>
      <c r="H374" s="42">
        <v>46136</v>
      </c>
      <c r="I374" s="21" t="s">
        <v>806</v>
      </c>
    </row>
    <row r="375" spans="1:9" ht="21" customHeight="1">
      <c r="A375" s="20">
        <f t="shared" si="5"/>
        <v>371</v>
      </c>
      <c r="B375" s="21" t="s">
        <v>206</v>
      </c>
      <c r="C375" s="20" t="str">
        <f>IF(B375="","",IF(COUNTIF('01_Anggota'!$D$5:$D$1212,B375)=0,"NAMA TIDAK DITEMUKAN",INDEX('01_Anggota'!$B$5:$B$1212,MATCH(B375,'01_Anggota'!$D$5:$D$1212,0))))</f>
        <v>KKSUK-000007</v>
      </c>
      <c r="D375" s="23">
        <v>0</v>
      </c>
      <c r="E375" s="23">
        <v>125000</v>
      </c>
      <c r="F375" s="23">
        <v>100000</v>
      </c>
      <c r="G375" s="23">
        <v>0</v>
      </c>
      <c r="H375" s="42">
        <v>46167</v>
      </c>
      <c r="I375" s="21" t="s">
        <v>807</v>
      </c>
    </row>
    <row r="376" spans="1:9" ht="21" customHeight="1">
      <c r="A376" s="20">
        <f t="shared" si="5"/>
        <v>372</v>
      </c>
      <c r="B376" s="21" t="s">
        <v>206</v>
      </c>
      <c r="C376" s="20" t="str">
        <f>IF(B376="","",IF(COUNTIF('01_Anggota'!$D$5:$D$1212,B376)=0,"NAMA TIDAK DITEMUKAN",INDEX('01_Anggota'!$B$5:$B$1212,MATCH(B376,'01_Anggota'!$D$5:$D$1212,0))))</f>
        <v>KKSUK-000007</v>
      </c>
      <c r="D376" s="23">
        <v>0</v>
      </c>
      <c r="E376" s="23">
        <v>125000</v>
      </c>
      <c r="F376" s="23">
        <v>100000</v>
      </c>
      <c r="G376" s="23">
        <v>0</v>
      </c>
      <c r="H376" s="42">
        <v>46198</v>
      </c>
      <c r="I376" s="21" t="s">
        <v>808</v>
      </c>
    </row>
    <row r="377" spans="1:9" ht="21" customHeight="1">
      <c r="A377" s="20">
        <f t="shared" si="5"/>
        <v>373</v>
      </c>
      <c r="B377" s="21" t="s">
        <v>206</v>
      </c>
      <c r="C377" s="20" t="str">
        <f>IF(B377="","",IF(COUNTIF('01_Anggota'!$D$5:$D$1212,B377)=0,"NAMA TIDAK DITEMUKAN",INDEX('01_Anggota'!$B$5:$B$1212,MATCH(B377,'01_Anggota'!$D$5:$D$1212,0))))</f>
        <v>KKSUK-000007</v>
      </c>
      <c r="D377" s="23">
        <v>0</v>
      </c>
      <c r="E377" s="23">
        <v>125000</v>
      </c>
      <c r="F377" s="23">
        <v>100000</v>
      </c>
      <c r="G377" s="23">
        <v>0</v>
      </c>
      <c r="H377" s="42">
        <v>46227</v>
      </c>
      <c r="I377" s="21" t="s">
        <v>809</v>
      </c>
    </row>
    <row r="378" spans="1:9" ht="21" customHeight="1">
      <c r="A378" s="20">
        <f t="shared" si="5"/>
        <v>374</v>
      </c>
      <c r="B378" s="21" t="s">
        <v>206</v>
      </c>
      <c r="C378" s="20" t="str">
        <f>IF(B378="","",IF(COUNTIF('01_Anggota'!$D$5:$D$1212,B378)=0,"NAMA TIDAK DITEMUKAN",INDEX('01_Anggota'!$B$5:$B$1212,MATCH(B378,'01_Anggota'!$D$5:$D$1212,0))))</f>
        <v>KKSUK-000007</v>
      </c>
      <c r="D378" s="23">
        <v>0</v>
      </c>
      <c r="E378" s="23">
        <v>125000</v>
      </c>
      <c r="F378" s="23">
        <v>100000</v>
      </c>
      <c r="G378" s="23">
        <v>0</v>
      </c>
      <c r="H378" s="42">
        <v>46258</v>
      </c>
      <c r="I378" s="21" t="s">
        <v>810</v>
      </c>
    </row>
    <row r="379" spans="1:9" ht="21" customHeight="1">
      <c r="A379" s="20">
        <f t="shared" si="5"/>
        <v>375</v>
      </c>
      <c r="B379" s="21" t="s">
        <v>315</v>
      </c>
      <c r="C379" s="20" t="str">
        <f>IF(B379="","",IF(COUNTIF('01_Anggota'!$D$5:$D$1212,B379)=0,"NAMA TIDAK DITEMUKAN",INDEX('01_Anggota'!$B$5:$B$1212,MATCH(B379,'01_Anggota'!$D$5:$D$1212,0))))</f>
        <v>KKSUK-000116</v>
      </c>
      <c r="D379" s="23">
        <v>0</v>
      </c>
      <c r="E379" s="23">
        <v>350000</v>
      </c>
      <c r="F379" s="23">
        <v>2400000</v>
      </c>
      <c r="G379" s="23">
        <v>496595</v>
      </c>
      <c r="H379" s="42">
        <v>46023</v>
      </c>
      <c r="I379" s="21" t="s">
        <v>802</v>
      </c>
    </row>
    <row r="380" spans="1:9" ht="21" customHeight="1">
      <c r="A380" s="20">
        <f t="shared" si="5"/>
        <v>376</v>
      </c>
      <c r="B380" s="21" t="s">
        <v>315</v>
      </c>
      <c r="C380" s="20" t="str">
        <f>IF(B380="","",IF(COUNTIF('01_Anggota'!$D$5:$D$1212,B380)=0,"NAMA TIDAK DITEMUKAN",INDEX('01_Anggota'!$B$5:$B$1212,MATCH(B380,'01_Anggota'!$D$5:$D$1212,0))))</f>
        <v>KKSUK-000116</v>
      </c>
      <c r="D380" s="23">
        <v>0</v>
      </c>
      <c r="E380" s="23">
        <v>50000</v>
      </c>
      <c r="F380" s="23">
        <v>100000</v>
      </c>
      <c r="G380" s="23">
        <v>0</v>
      </c>
      <c r="H380" s="42">
        <v>46045</v>
      </c>
      <c r="I380" s="21" t="s">
        <v>803</v>
      </c>
    </row>
    <row r="381" spans="1:9" ht="21" customHeight="1">
      <c r="A381" s="20">
        <f t="shared" si="5"/>
        <v>377</v>
      </c>
      <c r="B381" s="21" t="s">
        <v>315</v>
      </c>
      <c r="C381" s="20" t="str">
        <f>IF(B381="","",IF(COUNTIF('01_Anggota'!$D$5:$D$1212,B381)=0,"NAMA TIDAK DITEMUKAN",INDEX('01_Anggota'!$B$5:$B$1212,MATCH(B381,'01_Anggota'!$D$5:$D$1212,0))))</f>
        <v>KKSUK-000116</v>
      </c>
      <c r="D381" s="23">
        <v>0</v>
      </c>
      <c r="E381" s="23">
        <v>50000</v>
      </c>
      <c r="F381" s="23">
        <v>100000</v>
      </c>
      <c r="G381" s="23">
        <v>0</v>
      </c>
      <c r="H381" s="42">
        <v>46078</v>
      </c>
      <c r="I381" s="21" t="s">
        <v>804</v>
      </c>
    </row>
    <row r="382" spans="1:9" ht="21" customHeight="1">
      <c r="A382" s="20">
        <f t="shared" si="5"/>
        <v>378</v>
      </c>
      <c r="B382" s="21" t="s">
        <v>315</v>
      </c>
      <c r="C382" s="20" t="str">
        <f>IF(B382="","",IF(COUNTIF('01_Anggota'!$D$5:$D$1212,B382)=0,"NAMA TIDAK DITEMUKAN",INDEX('01_Anggota'!$B$5:$B$1212,MATCH(B382,'01_Anggota'!$D$5:$D$1212,0))))</f>
        <v>KKSUK-000116</v>
      </c>
      <c r="D382" s="23">
        <v>0</v>
      </c>
      <c r="E382" s="23">
        <v>50000</v>
      </c>
      <c r="F382" s="23">
        <v>100000</v>
      </c>
      <c r="G382" s="23">
        <v>0</v>
      </c>
      <c r="H382" s="42">
        <v>46106</v>
      </c>
      <c r="I382" s="21" t="s">
        <v>805</v>
      </c>
    </row>
    <row r="383" spans="1:9" ht="21" customHeight="1">
      <c r="A383" s="20">
        <f t="shared" si="5"/>
        <v>379</v>
      </c>
      <c r="B383" s="21" t="s">
        <v>315</v>
      </c>
      <c r="C383" s="20" t="str">
        <f>IF(B383="","",IF(COUNTIF('01_Anggota'!$D$5:$D$1212,B383)=0,"NAMA TIDAK DITEMUKAN",INDEX('01_Anggota'!$B$5:$B$1212,MATCH(B383,'01_Anggota'!$D$5:$D$1212,0))))</f>
        <v>KKSUK-000116</v>
      </c>
      <c r="D383" s="23">
        <v>0</v>
      </c>
      <c r="E383" s="23">
        <v>50000</v>
      </c>
      <c r="F383" s="23">
        <v>100000</v>
      </c>
      <c r="G383" s="23">
        <v>0</v>
      </c>
      <c r="H383" s="42">
        <v>46136</v>
      </c>
      <c r="I383" s="21" t="s">
        <v>806</v>
      </c>
    </row>
    <row r="384" spans="1:9" ht="21" customHeight="1">
      <c r="A384" s="20">
        <f t="shared" si="5"/>
        <v>380</v>
      </c>
      <c r="B384" s="21" t="s">
        <v>315</v>
      </c>
      <c r="C384" s="20" t="str">
        <f>IF(B384="","",IF(COUNTIF('01_Anggota'!$D$5:$D$1212,B384)=0,"NAMA TIDAK DITEMUKAN",INDEX('01_Anggota'!$B$5:$B$1212,MATCH(B384,'01_Anggota'!$D$5:$D$1212,0))))</f>
        <v>KKSUK-000116</v>
      </c>
      <c r="D384" s="23">
        <v>0</v>
      </c>
      <c r="E384" s="23">
        <v>50000</v>
      </c>
      <c r="F384" s="23">
        <v>100000</v>
      </c>
      <c r="G384" s="23">
        <v>0</v>
      </c>
      <c r="H384" s="42">
        <v>46167</v>
      </c>
      <c r="I384" s="21" t="s">
        <v>807</v>
      </c>
    </row>
    <row r="385" spans="1:9" ht="21" customHeight="1">
      <c r="A385" s="20">
        <f t="shared" si="5"/>
        <v>381</v>
      </c>
      <c r="B385" s="21" t="s">
        <v>315</v>
      </c>
      <c r="C385" s="20" t="str">
        <f>IF(B385="","",IF(COUNTIF('01_Anggota'!$D$5:$D$1212,B385)=0,"NAMA TIDAK DITEMUKAN",INDEX('01_Anggota'!$B$5:$B$1212,MATCH(B385,'01_Anggota'!$D$5:$D$1212,0))))</f>
        <v>KKSUK-000116</v>
      </c>
      <c r="D385" s="23">
        <v>0</v>
      </c>
      <c r="E385" s="23">
        <v>50000</v>
      </c>
      <c r="F385" s="23">
        <v>100000</v>
      </c>
      <c r="G385" s="23">
        <v>0</v>
      </c>
      <c r="H385" s="42">
        <v>46198</v>
      </c>
      <c r="I385" s="21" t="s">
        <v>808</v>
      </c>
    </row>
    <row r="386" spans="1:9" ht="21" customHeight="1">
      <c r="A386" s="20">
        <f t="shared" si="5"/>
        <v>382</v>
      </c>
      <c r="B386" s="21" t="s">
        <v>315</v>
      </c>
      <c r="C386" s="20" t="str">
        <f>IF(B386="","",IF(COUNTIF('01_Anggota'!$D$5:$D$1212,B386)=0,"NAMA TIDAK DITEMUKAN",INDEX('01_Anggota'!$B$5:$B$1212,MATCH(B386,'01_Anggota'!$D$5:$D$1212,0))))</f>
        <v>KKSUK-000116</v>
      </c>
      <c r="D386" s="23">
        <v>0</v>
      </c>
      <c r="E386" s="23">
        <v>50000</v>
      </c>
      <c r="F386" s="23">
        <v>100000</v>
      </c>
      <c r="G386" s="23">
        <v>0</v>
      </c>
      <c r="H386" s="42">
        <v>46227</v>
      </c>
      <c r="I386" s="21" t="s">
        <v>809</v>
      </c>
    </row>
    <row r="387" spans="1:9" ht="21" customHeight="1">
      <c r="A387" s="20">
        <f t="shared" si="5"/>
        <v>383</v>
      </c>
      <c r="B387" s="21" t="s">
        <v>315</v>
      </c>
      <c r="C387" s="20" t="str">
        <f>IF(B387="","",IF(COUNTIF('01_Anggota'!$D$5:$D$1212,B387)=0,"NAMA TIDAK DITEMUKAN",INDEX('01_Anggota'!$B$5:$B$1212,MATCH(B387,'01_Anggota'!$D$5:$D$1212,0))))</f>
        <v>KKSUK-000116</v>
      </c>
      <c r="D387" s="23">
        <v>0</v>
      </c>
      <c r="E387" s="23">
        <v>50000</v>
      </c>
      <c r="F387" s="23">
        <v>100000</v>
      </c>
      <c r="G387" s="23">
        <v>0</v>
      </c>
      <c r="H387" s="42">
        <v>46258</v>
      </c>
      <c r="I387" s="21" t="s">
        <v>810</v>
      </c>
    </row>
    <row r="388" spans="1:9" ht="21" customHeight="1">
      <c r="A388" s="20">
        <f t="shared" si="5"/>
        <v>384</v>
      </c>
      <c r="B388" s="21" t="s">
        <v>346</v>
      </c>
      <c r="C388" s="20" t="str">
        <f>IF(B388="","",IF(COUNTIF('01_Anggota'!$D$5:$D$1212,B388)=0,"NAMA TIDAK DITEMUKAN",INDEX('01_Anggota'!$B$5:$B$1212,MATCH(B388,'01_Anggota'!$D$5:$D$1212,0))))</f>
        <v>KKSUK-000147</v>
      </c>
      <c r="D388" s="23">
        <v>0</v>
      </c>
      <c r="E388" s="23">
        <v>3250000</v>
      </c>
      <c r="F388" s="23">
        <v>1400000</v>
      </c>
      <c r="G388" s="23">
        <v>304300</v>
      </c>
      <c r="H388" s="42">
        <v>46023</v>
      </c>
      <c r="I388" s="21" t="s">
        <v>802</v>
      </c>
    </row>
    <row r="389" spans="1:9" ht="21" customHeight="1">
      <c r="A389" s="20">
        <f t="shared" ref="A389:A452" si="6">IF(B389="","",ROW()-4)</f>
        <v>385</v>
      </c>
      <c r="B389" s="21" t="s">
        <v>346</v>
      </c>
      <c r="C389" s="20" t="str">
        <f>IF(B389="","",IF(COUNTIF('01_Anggota'!$D$5:$D$1212,B389)=0,"NAMA TIDAK DITEMUKAN",INDEX('01_Anggota'!$B$5:$B$1212,MATCH(B389,'01_Anggota'!$D$5:$D$1212,0))))</f>
        <v>KKSUK-000147</v>
      </c>
      <c r="D389" s="23">
        <v>0</v>
      </c>
      <c r="E389" s="23">
        <v>500000</v>
      </c>
      <c r="F389" s="23">
        <v>100000</v>
      </c>
      <c r="G389" s="23">
        <v>0</v>
      </c>
      <c r="H389" s="42">
        <v>46045</v>
      </c>
      <c r="I389" s="21" t="s">
        <v>803</v>
      </c>
    </row>
    <row r="390" spans="1:9" ht="21" customHeight="1">
      <c r="A390" s="20">
        <f t="shared" si="6"/>
        <v>386</v>
      </c>
      <c r="B390" s="21" t="s">
        <v>346</v>
      </c>
      <c r="C390" s="20" t="str">
        <f>IF(B390="","",IF(COUNTIF('01_Anggota'!$D$5:$D$1212,B390)=0,"NAMA TIDAK DITEMUKAN",INDEX('01_Anggota'!$B$5:$B$1212,MATCH(B390,'01_Anggota'!$D$5:$D$1212,0))))</f>
        <v>KKSUK-000147</v>
      </c>
      <c r="D390" s="23">
        <v>0</v>
      </c>
      <c r="E390" s="23">
        <v>500000</v>
      </c>
      <c r="F390" s="23">
        <v>100000</v>
      </c>
      <c r="G390" s="23">
        <v>0</v>
      </c>
      <c r="H390" s="42">
        <v>46078</v>
      </c>
      <c r="I390" s="21" t="s">
        <v>804</v>
      </c>
    </row>
    <row r="391" spans="1:9" ht="21" customHeight="1">
      <c r="A391" s="20">
        <f t="shared" si="6"/>
        <v>387</v>
      </c>
      <c r="B391" s="21" t="s">
        <v>346</v>
      </c>
      <c r="C391" s="20" t="str">
        <f>IF(B391="","",IF(COUNTIF('01_Anggota'!$D$5:$D$1212,B391)=0,"NAMA TIDAK DITEMUKAN",INDEX('01_Anggota'!$B$5:$B$1212,MATCH(B391,'01_Anggota'!$D$5:$D$1212,0))))</f>
        <v>KKSUK-000147</v>
      </c>
      <c r="D391" s="23">
        <v>0</v>
      </c>
      <c r="E391" s="23">
        <v>500000</v>
      </c>
      <c r="F391" s="23">
        <v>100000</v>
      </c>
      <c r="G391" s="23">
        <v>0</v>
      </c>
      <c r="H391" s="42">
        <v>46106</v>
      </c>
      <c r="I391" s="21" t="s">
        <v>805</v>
      </c>
    </row>
    <row r="392" spans="1:9" ht="21" customHeight="1">
      <c r="A392" s="20">
        <f t="shared" si="6"/>
        <v>388</v>
      </c>
      <c r="B392" s="21" t="s">
        <v>346</v>
      </c>
      <c r="C392" s="20" t="str">
        <f>IF(B392="","",IF(COUNTIF('01_Anggota'!$D$5:$D$1212,B392)=0,"NAMA TIDAK DITEMUKAN",INDEX('01_Anggota'!$B$5:$B$1212,MATCH(B392,'01_Anggota'!$D$5:$D$1212,0))))</f>
        <v>KKSUK-000147</v>
      </c>
      <c r="D392" s="23">
        <v>0</v>
      </c>
      <c r="E392" s="23">
        <v>500000</v>
      </c>
      <c r="F392" s="23">
        <v>100000</v>
      </c>
      <c r="G392" s="23">
        <v>0</v>
      </c>
      <c r="H392" s="42">
        <v>46136</v>
      </c>
      <c r="I392" s="21" t="s">
        <v>806</v>
      </c>
    </row>
    <row r="393" spans="1:9" ht="21" customHeight="1">
      <c r="A393" s="20">
        <f t="shared" si="6"/>
        <v>389</v>
      </c>
      <c r="B393" s="21" t="s">
        <v>346</v>
      </c>
      <c r="C393" s="20" t="str">
        <f>IF(B393="","",IF(COUNTIF('01_Anggota'!$D$5:$D$1212,B393)=0,"NAMA TIDAK DITEMUKAN",INDEX('01_Anggota'!$B$5:$B$1212,MATCH(B393,'01_Anggota'!$D$5:$D$1212,0))))</f>
        <v>KKSUK-000147</v>
      </c>
      <c r="D393" s="23">
        <v>0</v>
      </c>
      <c r="E393" s="23">
        <v>500000</v>
      </c>
      <c r="F393" s="23">
        <v>100000</v>
      </c>
      <c r="G393" s="23">
        <v>0</v>
      </c>
      <c r="H393" s="42">
        <v>46167</v>
      </c>
      <c r="I393" s="21" t="s">
        <v>807</v>
      </c>
    </row>
    <row r="394" spans="1:9" ht="21" customHeight="1">
      <c r="A394" s="20">
        <f t="shared" si="6"/>
        <v>390</v>
      </c>
      <c r="B394" s="21" t="s">
        <v>346</v>
      </c>
      <c r="C394" s="20" t="str">
        <f>IF(B394="","",IF(COUNTIF('01_Anggota'!$D$5:$D$1212,B394)=0,"NAMA TIDAK DITEMUKAN",INDEX('01_Anggota'!$B$5:$B$1212,MATCH(B394,'01_Anggota'!$D$5:$D$1212,0))))</f>
        <v>KKSUK-000147</v>
      </c>
      <c r="D394" s="23">
        <v>0</v>
      </c>
      <c r="E394" s="23">
        <v>500000</v>
      </c>
      <c r="F394" s="23">
        <v>100000</v>
      </c>
      <c r="G394" s="23">
        <v>0</v>
      </c>
      <c r="H394" s="42">
        <v>46198</v>
      </c>
      <c r="I394" s="21" t="s">
        <v>808</v>
      </c>
    </row>
    <row r="395" spans="1:9" ht="21" customHeight="1">
      <c r="A395" s="20">
        <f t="shared" si="6"/>
        <v>391</v>
      </c>
      <c r="B395" s="21" t="s">
        <v>346</v>
      </c>
      <c r="C395" s="20" t="str">
        <f>IF(B395="","",IF(COUNTIF('01_Anggota'!$D$5:$D$1212,B395)=0,"NAMA TIDAK DITEMUKAN",INDEX('01_Anggota'!$B$5:$B$1212,MATCH(B395,'01_Anggota'!$D$5:$D$1212,0))))</f>
        <v>KKSUK-000147</v>
      </c>
      <c r="D395" s="23">
        <v>0</v>
      </c>
      <c r="E395" s="23">
        <v>-5000000</v>
      </c>
      <c r="F395" s="23">
        <v>0</v>
      </c>
      <c r="G395" s="23">
        <v>0</v>
      </c>
      <c r="H395" s="42">
        <v>46258</v>
      </c>
      <c r="I395" s="21" t="s">
        <v>810</v>
      </c>
    </row>
    <row r="396" spans="1:9" ht="21" customHeight="1">
      <c r="A396" s="20">
        <f t="shared" si="6"/>
        <v>392</v>
      </c>
      <c r="B396" s="21" t="s">
        <v>346</v>
      </c>
      <c r="C396" s="20" t="str">
        <f>IF(B396="","",IF(COUNTIF('01_Anggota'!$D$5:$D$1212,B396)=0,"NAMA TIDAK DITEMUKAN",INDEX('01_Anggota'!$B$5:$B$1212,MATCH(B396,'01_Anggota'!$D$5:$D$1212,0))))</f>
        <v>KKSUK-000147</v>
      </c>
      <c r="D396" s="23">
        <v>0</v>
      </c>
      <c r="E396" s="23">
        <v>500000</v>
      </c>
      <c r="F396" s="23">
        <v>100000</v>
      </c>
      <c r="G396" s="23">
        <v>0</v>
      </c>
      <c r="H396" s="42">
        <v>46227</v>
      </c>
      <c r="I396" s="21" t="s">
        <v>809</v>
      </c>
    </row>
    <row r="397" spans="1:9" ht="21" customHeight="1">
      <c r="A397" s="20">
        <f t="shared" si="6"/>
        <v>393</v>
      </c>
      <c r="B397" s="21" t="s">
        <v>346</v>
      </c>
      <c r="C397" s="20" t="str">
        <f>IF(B397="","",IF(COUNTIF('01_Anggota'!$D$5:$D$1212,B397)=0,"NAMA TIDAK DITEMUKAN",INDEX('01_Anggota'!$B$5:$B$1212,MATCH(B397,'01_Anggota'!$D$5:$D$1212,0))))</f>
        <v>KKSUK-000147</v>
      </c>
      <c r="D397" s="23">
        <v>0</v>
      </c>
      <c r="E397" s="23">
        <v>500000</v>
      </c>
      <c r="F397" s="23">
        <v>100000</v>
      </c>
      <c r="G397" s="23">
        <v>0</v>
      </c>
      <c r="H397" s="42">
        <v>46258</v>
      </c>
      <c r="I397" s="21" t="s">
        <v>810</v>
      </c>
    </row>
    <row r="398" spans="1:9" ht="21" customHeight="1">
      <c r="A398" s="20">
        <f t="shared" si="6"/>
        <v>394</v>
      </c>
      <c r="B398" s="21" t="s">
        <v>207</v>
      </c>
      <c r="C398" s="20" t="str">
        <f>IF(B398="","",IF(COUNTIF('01_Anggota'!$D$5:$D$1212,B398)=0,"NAMA TIDAK DITEMUKAN",INDEX('01_Anggota'!$B$5:$B$1212,MATCH(B398,'01_Anggota'!$D$5:$D$1212,0))))</f>
        <v>KKSUK-000008</v>
      </c>
      <c r="D398" s="23">
        <v>0</v>
      </c>
      <c r="E398" s="23">
        <v>3039000</v>
      </c>
      <c r="F398" s="23">
        <v>17272028</v>
      </c>
      <c r="G398" s="23">
        <v>7810885</v>
      </c>
      <c r="H398" s="42">
        <v>46023</v>
      </c>
      <c r="I398" s="21" t="s">
        <v>802</v>
      </c>
    </row>
    <row r="399" spans="1:9" ht="21" customHeight="1">
      <c r="A399" s="20">
        <f t="shared" si="6"/>
        <v>395</v>
      </c>
      <c r="B399" s="21" t="s">
        <v>207</v>
      </c>
      <c r="C399" s="20" t="str">
        <f>IF(B399="","",IF(COUNTIF('01_Anggota'!$D$5:$D$1212,B399)=0,"NAMA TIDAK DITEMUKAN",INDEX('01_Anggota'!$B$5:$B$1212,MATCH(B399,'01_Anggota'!$D$5:$D$1212,0))))</f>
        <v>KKSUK-000008</v>
      </c>
      <c r="D399" s="23">
        <v>0</v>
      </c>
      <c r="E399" s="23">
        <v>75000</v>
      </c>
      <c r="F399" s="23">
        <v>100000</v>
      </c>
      <c r="G399" s="23">
        <v>0</v>
      </c>
      <c r="H399" s="42">
        <v>46045</v>
      </c>
      <c r="I399" s="21" t="s">
        <v>803</v>
      </c>
    </row>
    <row r="400" spans="1:9" ht="21" customHeight="1">
      <c r="A400" s="20">
        <f t="shared" si="6"/>
        <v>396</v>
      </c>
      <c r="B400" s="21" t="s">
        <v>207</v>
      </c>
      <c r="C400" s="20" t="str">
        <f>IF(B400="","",IF(COUNTIF('01_Anggota'!$D$5:$D$1212,B400)=0,"NAMA TIDAK DITEMUKAN",INDEX('01_Anggota'!$B$5:$B$1212,MATCH(B400,'01_Anggota'!$D$5:$D$1212,0))))</f>
        <v>KKSUK-000008</v>
      </c>
      <c r="D400" s="23">
        <v>0</v>
      </c>
      <c r="E400" s="23">
        <v>75000</v>
      </c>
      <c r="F400" s="23">
        <v>100000</v>
      </c>
      <c r="G400" s="23">
        <v>0</v>
      </c>
      <c r="H400" s="42">
        <v>46078</v>
      </c>
      <c r="I400" s="21" t="s">
        <v>804</v>
      </c>
    </row>
    <row r="401" spans="1:9" ht="21" customHeight="1">
      <c r="A401" s="20">
        <f t="shared" si="6"/>
        <v>397</v>
      </c>
      <c r="B401" s="21" t="s">
        <v>207</v>
      </c>
      <c r="C401" s="20" t="str">
        <f>IF(B401="","",IF(COUNTIF('01_Anggota'!$D$5:$D$1212,B401)=0,"NAMA TIDAK DITEMUKAN",INDEX('01_Anggota'!$B$5:$B$1212,MATCH(B401,'01_Anggota'!$D$5:$D$1212,0))))</f>
        <v>KKSUK-000008</v>
      </c>
      <c r="D401" s="23">
        <v>0</v>
      </c>
      <c r="E401" s="23">
        <v>75000</v>
      </c>
      <c r="F401" s="23">
        <v>100000</v>
      </c>
      <c r="G401" s="23">
        <v>0</v>
      </c>
      <c r="H401" s="42">
        <v>46106</v>
      </c>
      <c r="I401" s="21" t="s">
        <v>805</v>
      </c>
    </row>
    <row r="402" spans="1:9" ht="21" customHeight="1">
      <c r="A402" s="20">
        <f t="shared" si="6"/>
        <v>398</v>
      </c>
      <c r="B402" s="21" t="s">
        <v>207</v>
      </c>
      <c r="C402" s="20" t="str">
        <f>IF(B402="","",IF(COUNTIF('01_Anggota'!$D$5:$D$1212,B402)=0,"NAMA TIDAK DITEMUKAN",INDEX('01_Anggota'!$B$5:$B$1212,MATCH(B402,'01_Anggota'!$D$5:$D$1212,0))))</f>
        <v>KKSUK-000008</v>
      </c>
      <c r="D402" s="23">
        <v>0</v>
      </c>
      <c r="E402" s="23">
        <v>75000</v>
      </c>
      <c r="F402" s="23">
        <v>100000</v>
      </c>
      <c r="G402" s="23">
        <v>0</v>
      </c>
      <c r="H402" s="42">
        <v>46136</v>
      </c>
      <c r="I402" s="21" t="s">
        <v>806</v>
      </c>
    </row>
    <row r="403" spans="1:9" ht="21" customHeight="1">
      <c r="A403" s="20">
        <f t="shared" si="6"/>
        <v>399</v>
      </c>
      <c r="B403" s="21" t="s">
        <v>207</v>
      </c>
      <c r="C403" s="20" t="str">
        <f>IF(B403="","",IF(COUNTIF('01_Anggota'!$D$5:$D$1212,B403)=0,"NAMA TIDAK DITEMUKAN",INDEX('01_Anggota'!$B$5:$B$1212,MATCH(B403,'01_Anggota'!$D$5:$D$1212,0))))</f>
        <v>KKSUK-000008</v>
      </c>
      <c r="D403" s="23">
        <v>0</v>
      </c>
      <c r="E403" s="23">
        <v>75000</v>
      </c>
      <c r="F403" s="23">
        <v>100000</v>
      </c>
      <c r="G403" s="23">
        <v>0</v>
      </c>
      <c r="H403" s="42">
        <v>46167</v>
      </c>
      <c r="I403" s="21" t="s">
        <v>807</v>
      </c>
    </row>
    <row r="404" spans="1:9" ht="21" customHeight="1">
      <c r="A404" s="20">
        <f t="shared" si="6"/>
        <v>400</v>
      </c>
      <c r="B404" s="21" t="s">
        <v>207</v>
      </c>
      <c r="C404" s="20" t="str">
        <f>IF(B404="","",IF(COUNTIF('01_Anggota'!$D$5:$D$1212,B404)=0,"NAMA TIDAK DITEMUKAN",INDEX('01_Anggota'!$B$5:$B$1212,MATCH(B404,'01_Anggota'!$D$5:$D$1212,0))))</f>
        <v>KKSUK-000008</v>
      </c>
      <c r="D404" s="23">
        <v>0</v>
      </c>
      <c r="E404" s="23">
        <v>75000</v>
      </c>
      <c r="F404" s="23">
        <v>100000</v>
      </c>
      <c r="G404" s="23">
        <v>0</v>
      </c>
      <c r="H404" s="42">
        <v>46198</v>
      </c>
      <c r="I404" s="21" t="s">
        <v>808</v>
      </c>
    </row>
    <row r="405" spans="1:9" ht="21" customHeight="1">
      <c r="A405" s="20">
        <f t="shared" si="6"/>
        <v>401</v>
      </c>
      <c r="B405" s="21" t="s">
        <v>207</v>
      </c>
      <c r="C405" s="20" t="str">
        <f>IF(B405="","",IF(COUNTIF('01_Anggota'!$D$5:$D$1212,B405)=0,"NAMA TIDAK DITEMUKAN",INDEX('01_Anggota'!$B$5:$B$1212,MATCH(B405,'01_Anggota'!$D$5:$D$1212,0))))</f>
        <v>KKSUK-000008</v>
      </c>
      <c r="D405" s="23">
        <v>0</v>
      </c>
      <c r="E405" s="23">
        <v>75000</v>
      </c>
      <c r="F405" s="23">
        <v>100000</v>
      </c>
      <c r="G405" s="23">
        <v>0</v>
      </c>
      <c r="H405" s="42">
        <v>46227</v>
      </c>
      <c r="I405" s="21" t="s">
        <v>809</v>
      </c>
    </row>
    <row r="406" spans="1:9" ht="21" customHeight="1">
      <c r="A406" s="20">
        <f t="shared" si="6"/>
        <v>402</v>
      </c>
      <c r="B406" s="21" t="s">
        <v>207</v>
      </c>
      <c r="C406" s="20" t="str">
        <f>IF(B406="","",IF(COUNTIF('01_Anggota'!$D$5:$D$1212,B406)=0,"NAMA TIDAK DITEMUKAN",INDEX('01_Anggota'!$B$5:$B$1212,MATCH(B406,'01_Anggota'!$D$5:$D$1212,0))))</f>
        <v>KKSUK-000008</v>
      </c>
      <c r="D406" s="23">
        <v>0</v>
      </c>
      <c r="E406" s="23">
        <v>75000</v>
      </c>
      <c r="F406" s="23">
        <v>100000</v>
      </c>
      <c r="G406" s="23">
        <v>0</v>
      </c>
      <c r="H406" s="42">
        <v>46258</v>
      </c>
      <c r="I406" s="21" t="s">
        <v>810</v>
      </c>
    </row>
    <row r="407" spans="1:9" ht="21" customHeight="1">
      <c r="A407" s="20">
        <f t="shared" si="6"/>
        <v>403</v>
      </c>
      <c r="B407" s="21" t="s">
        <v>208</v>
      </c>
      <c r="C407" s="20" t="str">
        <f>IF(B407="","",IF(COUNTIF('01_Anggota'!$D$5:$D$1212,B407)=0,"NAMA TIDAK DITEMUKAN",INDEX('01_Anggota'!$B$5:$B$1212,MATCH(B407,'01_Anggota'!$D$5:$D$1212,0))))</f>
        <v>KKSUK-000009</v>
      </c>
      <c r="D407" s="23">
        <v>0</v>
      </c>
      <c r="E407" s="23">
        <v>2300000</v>
      </c>
      <c r="F407" s="23">
        <v>9780179</v>
      </c>
      <c r="G407" s="23">
        <v>3564663</v>
      </c>
      <c r="H407" s="42">
        <v>46023</v>
      </c>
      <c r="I407" s="21" t="s">
        <v>802</v>
      </c>
    </row>
    <row r="408" spans="1:9" ht="21" customHeight="1">
      <c r="A408" s="20">
        <f t="shared" si="6"/>
        <v>404</v>
      </c>
      <c r="B408" s="21" t="s">
        <v>208</v>
      </c>
      <c r="C408" s="20" t="str">
        <f>IF(B408="","",IF(COUNTIF('01_Anggota'!$D$5:$D$1212,B408)=0,"NAMA TIDAK DITEMUKAN",INDEX('01_Anggota'!$B$5:$B$1212,MATCH(B408,'01_Anggota'!$D$5:$D$1212,0))))</f>
        <v>KKSUK-000009</v>
      </c>
      <c r="D408" s="23">
        <v>0</v>
      </c>
      <c r="E408" s="23">
        <v>100000</v>
      </c>
      <c r="F408" s="23">
        <v>100000</v>
      </c>
      <c r="G408" s="23">
        <v>0</v>
      </c>
      <c r="H408" s="42">
        <v>46045</v>
      </c>
      <c r="I408" s="21" t="s">
        <v>803</v>
      </c>
    </row>
    <row r="409" spans="1:9" ht="21" customHeight="1">
      <c r="A409" s="20">
        <f t="shared" si="6"/>
        <v>405</v>
      </c>
      <c r="B409" s="21" t="s">
        <v>208</v>
      </c>
      <c r="C409" s="20" t="str">
        <f>IF(B409="","",IF(COUNTIF('01_Anggota'!$D$5:$D$1212,B409)=0,"NAMA TIDAK DITEMUKAN",INDEX('01_Anggota'!$B$5:$B$1212,MATCH(B409,'01_Anggota'!$D$5:$D$1212,0))))</f>
        <v>KKSUK-000009</v>
      </c>
      <c r="D409" s="23">
        <v>0</v>
      </c>
      <c r="E409" s="23">
        <v>100000</v>
      </c>
      <c r="F409" s="23">
        <v>100000</v>
      </c>
      <c r="G409" s="23">
        <v>0</v>
      </c>
      <c r="H409" s="42">
        <v>46078</v>
      </c>
      <c r="I409" s="21" t="s">
        <v>804</v>
      </c>
    </row>
    <row r="410" spans="1:9" ht="21" customHeight="1">
      <c r="A410" s="20">
        <f t="shared" si="6"/>
        <v>406</v>
      </c>
      <c r="B410" s="21" t="s">
        <v>208</v>
      </c>
      <c r="C410" s="20" t="str">
        <f>IF(B410="","",IF(COUNTIF('01_Anggota'!$D$5:$D$1212,B410)=0,"NAMA TIDAK DITEMUKAN",INDEX('01_Anggota'!$B$5:$B$1212,MATCH(B410,'01_Anggota'!$D$5:$D$1212,0))))</f>
        <v>KKSUK-000009</v>
      </c>
      <c r="D410" s="23">
        <v>0</v>
      </c>
      <c r="E410" s="23">
        <v>100000</v>
      </c>
      <c r="F410" s="23">
        <v>100000</v>
      </c>
      <c r="G410" s="23">
        <v>0</v>
      </c>
      <c r="H410" s="42">
        <v>46106</v>
      </c>
      <c r="I410" s="21" t="s">
        <v>805</v>
      </c>
    </row>
    <row r="411" spans="1:9" ht="21" customHeight="1">
      <c r="A411" s="20">
        <f t="shared" si="6"/>
        <v>407</v>
      </c>
      <c r="B411" s="21" t="s">
        <v>208</v>
      </c>
      <c r="C411" s="20" t="str">
        <f>IF(B411="","",IF(COUNTIF('01_Anggota'!$D$5:$D$1212,B411)=0,"NAMA TIDAK DITEMUKAN",INDEX('01_Anggota'!$B$5:$B$1212,MATCH(B411,'01_Anggota'!$D$5:$D$1212,0))))</f>
        <v>KKSUK-000009</v>
      </c>
      <c r="D411" s="23">
        <v>0</v>
      </c>
      <c r="E411" s="23">
        <v>100000</v>
      </c>
      <c r="F411" s="23">
        <v>100000</v>
      </c>
      <c r="G411" s="23">
        <v>0</v>
      </c>
      <c r="H411" s="42">
        <v>46136</v>
      </c>
      <c r="I411" s="21" t="s">
        <v>806</v>
      </c>
    </row>
    <row r="412" spans="1:9" ht="21" customHeight="1">
      <c r="A412" s="20">
        <f t="shared" si="6"/>
        <v>408</v>
      </c>
      <c r="B412" s="21" t="s">
        <v>208</v>
      </c>
      <c r="C412" s="20" t="str">
        <f>IF(B412="","",IF(COUNTIF('01_Anggota'!$D$5:$D$1212,B412)=0,"NAMA TIDAK DITEMUKAN",INDEX('01_Anggota'!$B$5:$B$1212,MATCH(B412,'01_Anggota'!$D$5:$D$1212,0))))</f>
        <v>KKSUK-000009</v>
      </c>
      <c r="D412" s="23">
        <v>0</v>
      </c>
      <c r="E412" s="23">
        <v>100000</v>
      </c>
      <c r="F412" s="23">
        <v>100000</v>
      </c>
      <c r="G412" s="23">
        <v>0</v>
      </c>
      <c r="H412" s="42">
        <v>46167</v>
      </c>
      <c r="I412" s="21" t="s">
        <v>807</v>
      </c>
    </row>
    <row r="413" spans="1:9" ht="21" customHeight="1">
      <c r="A413" s="20">
        <f t="shared" si="6"/>
        <v>409</v>
      </c>
      <c r="B413" s="21" t="s">
        <v>208</v>
      </c>
      <c r="C413" s="20" t="str">
        <f>IF(B413="","",IF(COUNTIF('01_Anggota'!$D$5:$D$1212,B413)=0,"NAMA TIDAK DITEMUKAN",INDEX('01_Anggota'!$B$5:$B$1212,MATCH(B413,'01_Anggota'!$D$5:$D$1212,0))))</f>
        <v>KKSUK-000009</v>
      </c>
      <c r="D413" s="23">
        <v>0</v>
      </c>
      <c r="E413" s="23">
        <v>100000</v>
      </c>
      <c r="F413" s="23">
        <v>100000</v>
      </c>
      <c r="G413" s="23">
        <v>0</v>
      </c>
      <c r="H413" s="42">
        <v>46198</v>
      </c>
      <c r="I413" s="21" t="s">
        <v>808</v>
      </c>
    </row>
    <row r="414" spans="1:9" ht="21" customHeight="1">
      <c r="A414" s="20">
        <f t="shared" si="6"/>
        <v>410</v>
      </c>
      <c r="B414" s="21" t="s">
        <v>208</v>
      </c>
      <c r="C414" s="20" t="str">
        <f>IF(B414="","",IF(COUNTIF('01_Anggota'!$D$5:$D$1212,B414)=0,"NAMA TIDAK DITEMUKAN",INDEX('01_Anggota'!$B$5:$B$1212,MATCH(B414,'01_Anggota'!$D$5:$D$1212,0))))</f>
        <v>KKSUK-000009</v>
      </c>
      <c r="D414" s="23">
        <v>0</v>
      </c>
      <c r="E414" s="23">
        <v>100000</v>
      </c>
      <c r="F414" s="23">
        <v>100000</v>
      </c>
      <c r="G414" s="23">
        <v>0</v>
      </c>
      <c r="H414" s="42">
        <v>46227</v>
      </c>
      <c r="I414" s="21" t="s">
        <v>809</v>
      </c>
    </row>
    <row r="415" spans="1:9" ht="21" customHeight="1">
      <c r="A415" s="20">
        <f t="shared" si="6"/>
        <v>411</v>
      </c>
      <c r="B415" s="21" t="s">
        <v>208</v>
      </c>
      <c r="C415" s="20" t="str">
        <f>IF(B415="","",IF(COUNTIF('01_Anggota'!$D$5:$D$1212,B415)=0,"NAMA TIDAK DITEMUKAN",INDEX('01_Anggota'!$B$5:$B$1212,MATCH(B415,'01_Anggota'!$D$5:$D$1212,0))))</f>
        <v>KKSUK-000009</v>
      </c>
      <c r="D415" s="23">
        <v>0</v>
      </c>
      <c r="E415" s="23">
        <v>100000</v>
      </c>
      <c r="F415" s="23">
        <v>100000</v>
      </c>
      <c r="G415" s="23">
        <v>0</v>
      </c>
      <c r="H415" s="42">
        <v>46258</v>
      </c>
      <c r="I415" s="21" t="s">
        <v>810</v>
      </c>
    </row>
    <row r="416" spans="1:9" ht="21" customHeight="1">
      <c r="A416" s="20">
        <f t="shared" si="6"/>
        <v>412</v>
      </c>
      <c r="B416" s="21" t="s">
        <v>300</v>
      </c>
      <c r="C416" s="20" t="str">
        <f>IF(B416="","",IF(COUNTIF('01_Anggota'!$D$5:$D$1212,B416)=0,"NAMA TIDAK DITEMUKAN",INDEX('01_Anggota'!$B$5:$B$1212,MATCH(B416,'01_Anggota'!$D$5:$D$1212,0))))</f>
        <v>KKSUK-000101</v>
      </c>
      <c r="D416" s="23">
        <v>0</v>
      </c>
      <c r="E416" s="23">
        <v>3500000</v>
      </c>
      <c r="F416" s="23">
        <v>11585283</v>
      </c>
      <c r="G416" s="23">
        <v>5729499</v>
      </c>
      <c r="H416" s="42">
        <v>46023</v>
      </c>
      <c r="I416" s="21" t="s">
        <v>802</v>
      </c>
    </row>
    <row r="417" spans="1:9" ht="21" customHeight="1">
      <c r="A417" s="20">
        <f t="shared" si="6"/>
        <v>413</v>
      </c>
      <c r="B417" s="21" t="s">
        <v>300</v>
      </c>
      <c r="C417" s="20" t="str">
        <f>IF(B417="","",IF(COUNTIF('01_Anggota'!$D$5:$D$1212,B417)=0,"NAMA TIDAK DITEMUKAN",INDEX('01_Anggota'!$B$5:$B$1212,MATCH(B417,'01_Anggota'!$D$5:$D$1212,0))))</f>
        <v>KKSUK-000101</v>
      </c>
      <c r="D417" s="23">
        <v>0</v>
      </c>
      <c r="E417" s="23">
        <v>0</v>
      </c>
      <c r="F417" s="23">
        <v>0</v>
      </c>
      <c r="G417" s="23">
        <v>0</v>
      </c>
      <c r="H417" s="42">
        <v>46045</v>
      </c>
      <c r="I417" s="21" t="s">
        <v>803</v>
      </c>
    </row>
    <row r="418" spans="1:9" ht="21" customHeight="1">
      <c r="A418" s="20">
        <f t="shared" si="6"/>
        <v>414</v>
      </c>
      <c r="B418" s="21" t="s">
        <v>300</v>
      </c>
      <c r="C418" s="20" t="str">
        <f>IF(B418="","",IF(COUNTIF('01_Anggota'!$D$5:$D$1212,B418)=0,"NAMA TIDAK DITEMUKAN",INDEX('01_Anggota'!$B$5:$B$1212,MATCH(B418,'01_Anggota'!$D$5:$D$1212,0))))</f>
        <v>KKSUK-000101</v>
      </c>
      <c r="D418" s="23">
        <v>0</v>
      </c>
      <c r="E418" s="23">
        <v>200000</v>
      </c>
      <c r="F418" s="23">
        <v>100000</v>
      </c>
      <c r="G418" s="23">
        <v>0</v>
      </c>
      <c r="H418" s="42">
        <v>46078</v>
      </c>
      <c r="I418" s="21" t="s">
        <v>804</v>
      </c>
    </row>
    <row r="419" spans="1:9" ht="21" customHeight="1">
      <c r="A419" s="20">
        <f t="shared" si="6"/>
        <v>415</v>
      </c>
      <c r="B419" s="21" t="s">
        <v>300</v>
      </c>
      <c r="C419" s="20" t="str">
        <f>IF(B419="","",IF(COUNTIF('01_Anggota'!$D$5:$D$1212,B419)=0,"NAMA TIDAK DITEMUKAN",INDEX('01_Anggota'!$B$5:$B$1212,MATCH(B419,'01_Anggota'!$D$5:$D$1212,0))))</f>
        <v>KKSUK-000101</v>
      </c>
      <c r="D419" s="23">
        <v>0</v>
      </c>
      <c r="E419" s="23">
        <v>200000</v>
      </c>
      <c r="F419" s="23">
        <v>100000</v>
      </c>
      <c r="G419" s="23">
        <v>0</v>
      </c>
      <c r="H419" s="42">
        <v>46106</v>
      </c>
      <c r="I419" s="21" t="s">
        <v>805</v>
      </c>
    </row>
    <row r="420" spans="1:9" ht="21" customHeight="1">
      <c r="A420" s="20">
        <f t="shared" si="6"/>
        <v>416</v>
      </c>
      <c r="B420" s="21" t="s">
        <v>300</v>
      </c>
      <c r="C420" s="20" t="str">
        <f>IF(B420="","",IF(COUNTIF('01_Anggota'!$D$5:$D$1212,B420)=0,"NAMA TIDAK DITEMUKAN",INDEX('01_Anggota'!$B$5:$B$1212,MATCH(B420,'01_Anggota'!$D$5:$D$1212,0))))</f>
        <v>KKSUK-000101</v>
      </c>
      <c r="D420" s="23">
        <v>0</v>
      </c>
      <c r="E420" s="23">
        <v>-3900000</v>
      </c>
      <c r="F420" s="23">
        <v>-11785283</v>
      </c>
      <c r="G420" s="23">
        <v>-5729499</v>
      </c>
      <c r="H420" s="42">
        <v>46106</v>
      </c>
      <c r="I420" s="21" t="s">
        <v>805</v>
      </c>
    </row>
    <row r="421" spans="1:9" ht="21" customHeight="1">
      <c r="A421" s="20">
        <f t="shared" si="6"/>
        <v>417</v>
      </c>
      <c r="B421" s="21" t="s">
        <v>396</v>
      </c>
      <c r="C421" s="20" t="str">
        <f>IF(B421="","",IF(COUNTIF('01_Anggota'!$D$5:$D$1212,B421)=0,"NAMA TIDAK DITEMUKAN",INDEX('01_Anggota'!$B$5:$B$1212,MATCH(B421,'01_Anggota'!$D$5:$D$1212,0))))</f>
        <v>KKSUK-000197</v>
      </c>
      <c r="D421" s="23">
        <v>0</v>
      </c>
      <c r="E421" s="23">
        <v>0</v>
      </c>
      <c r="F421" s="23">
        <v>200000</v>
      </c>
      <c r="G421" s="23">
        <v>0</v>
      </c>
      <c r="H421" s="42">
        <v>46023</v>
      </c>
      <c r="I421" s="21" t="s">
        <v>802</v>
      </c>
    </row>
    <row r="422" spans="1:9" ht="21" customHeight="1">
      <c r="A422" s="20">
        <f t="shared" si="6"/>
        <v>418</v>
      </c>
      <c r="B422" s="21" t="s">
        <v>390</v>
      </c>
      <c r="C422" s="20" t="str">
        <f>IF(B422="","",IF(COUNTIF('01_Anggota'!$D$5:$D$1212,B422)=0,"NAMA TIDAK DITEMUKAN",INDEX('01_Anggota'!$B$5:$B$1212,MATCH(B422,'01_Anggota'!$D$5:$D$1212,0))))</f>
        <v>KKSUK-000191</v>
      </c>
      <c r="D422" s="23">
        <v>0</v>
      </c>
      <c r="E422" s="23">
        <v>500000</v>
      </c>
      <c r="F422" s="23">
        <v>400000</v>
      </c>
      <c r="G422" s="23">
        <v>0</v>
      </c>
      <c r="H422" s="42">
        <v>46023</v>
      </c>
      <c r="I422" s="21" t="s">
        <v>802</v>
      </c>
    </row>
    <row r="423" spans="1:9" ht="21" customHeight="1">
      <c r="A423" s="20">
        <f t="shared" si="6"/>
        <v>419</v>
      </c>
      <c r="B423" s="21" t="s">
        <v>390</v>
      </c>
      <c r="C423" s="20" t="str">
        <f>IF(B423="","",IF(COUNTIF('01_Anggota'!$D$5:$D$1212,B423)=0,"NAMA TIDAK DITEMUKAN",INDEX('01_Anggota'!$B$5:$B$1212,MATCH(B423,'01_Anggota'!$D$5:$D$1212,0))))</f>
        <v>KKSUK-000191</v>
      </c>
      <c r="D423" s="23">
        <v>0</v>
      </c>
      <c r="E423" s="23">
        <v>150000</v>
      </c>
      <c r="F423" s="23">
        <v>100000</v>
      </c>
      <c r="G423" s="23">
        <v>0</v>
      </c>
      <c r="H423" s="42">
        <v>46078</v>
      </c>
      <c r="I423" s="21" t="s">
        <v>804</v>
      </c>
    </row>
    <row r="424" spans="1:9" ht="21" customHeight="1">
      <c r="A424" s="20">
        <f t="shared" si="6"/>
        <v>420</v>
      </c>
      <c r="B424" s="21" t="s">
        <v>390</v>
      </c>
      <c r="C424" s="20" t="str">
        <f>IF(B424="","",IF(COUNTIF('01_Anggota'!$D$5:$D$1212,B424)=0,"NAMA TIDAK DITEMUKAN",INDEX('01_Anggota'!$B$5:$B$1212,MATCH(B424,'01_Anggota'!$D$5:$D$1212,0))))</f>
        <v>KKSUK-000191</v>
      </c>
      <c r="D424" s="23">
        <v>0</v>
      </c>
      <c r="E424" s="23">
        <v>150000</v>
      </c>
      <c r="F424" s="23">
        <v>100000</v>
      </c>
      <c r="G424" s="23">
        <v>0</v>
      </c>
      <c r="H424" s="42">
        <v>46106</v>
      </c>
      <c r="I424" s="21" t="s">
        <v>805</v>
      </c>
    </row>
    <row r="425" spans="1:9" ht="21" customHeight="1">
      <c r="A425" s="20">
        <f t="shared" si="6"/>
        <v>421</v>
      </c>
      <c r="B425" s="21" t="s">
        <v>390</v>
      </c>
      <c r="C425" s="20" t="str">
        <f>IF(B425="","",IF(COUNTIF('01_Anggota'!$D$5:$D$1212,B425)=0,"NAMA TIDAK DITEMUKAN",INDEX('01_Anggota'!$B$5:$B$1212,MATCH(B425,'01_Anggota'!$D$5:$D$1212,0))))</f>
        <v>KKSUK-000191</v>
      </c>
      <c r="D425" s="23">
        <v>0</v>
      </c>
      <c r="E425" s="23">
        <v>150000</v>
      </c>
      <c r="F425" s="23">
        <v>100000</v>
      </c>
      <c r="G425" s="23">
        <v>0</v>
      </c>
      <c r="H425" s="42">
        <v>46136</v>
      </c>
      <c r="I425" s="21" t="s">
        <v>806</v>
      </c>
    </row>
    <row r="426" spans="1:9" ht="21" customHeight="1">
      <c r="A426" s="20">
        <f t="shared" si="6"/>
        <v>422</v>
      </c>
      <c r="B426" s="21" t="s">
        <v>390</v>
      </c>
      <c r="C426" s="20" t="str">
        <f>IF(B426="","",IF(COUNTIF('01_Anggota'!$D$5:$D$1212,B426)=0,"NAMA TIDAK DITEMUKAN",INDEX('01_Anggota'!$B$5:$B$1212,MATCH(B426,'01_Anggota'!$D$5:$D$1212,0))))</f>
        <v>KKSUK-000191</v>
      </c>
      <c r="D426" s="23">
        <v>0</v>
      </c>
      <c r="E426" s="23">
        <v>150000</v>
      </c>
      <c r="F426" s="23">
        <v>100000</v>
      </c>
      <c r="G426" s="23">
        <v>0</v>
      </c>
      <c r="H426" s="42">
        <v>46167</v>
      </c>
      <c r="I426" s="21" t="s">
        <v>807</v>
      </c>
    </row>
    <row r="427" spans="1:9" ht="21" customHeight="1">
      <c r="A427" s="20">
        <f t="shared" si="6"/>
        <v>423</v>
      </c>
      <c r="B427" s="21" t="s">
        <v>209</v>
      </c>
      <c r="C427" s="20" t="str">
        <f>IF(B427="","",IF(COUNTIF('01_Anggota'!$D$5:$D$1212,B427)=0,"NAMA TIDAK DITEMUKAN",INDEX('01_Anggota'!$B$5:$B$1212,MATCH(B427,'01_Anggota'!$D$5:$D$1212,0))))</f>
        <v>KKSUK-000010</v>
      </c>
      <c r="D427" s="23">
        <v>0</v>
      </c>
      <c r="E427" s="23">
        <v>2859909</v>
      </c>
      <c r="F427" s="23">
        <v>10440239</v>
      </c>
      <c r="G427" s="23">
        <v>4289241</v>
      </c>
      <c r="H427" s="42">
        <v>46023</v>
      </c>
      <c r="I427" s="21" t="s">
        <v>802</v>
      </c>
    </row>
    <row r="428" spans="1:9" ht="21" customHeight="1">
      <c r="A428" s="20">
        <f t="shared" si="6"/>
        <v>424</v>
      </c>
      <c r="B428" s="21" t="s">
        <v>209</v>
      </c>
      <c r="C428" s="20" t="str">
        <f>IF(B428="","",IF(COUNTIF('01_Anggota'!$D$5:$D$1212,B428)=0,"NAMA TIDAK DITEMUKAN",INDEX('01_Anggota'!$B$5:$B$1212,MATCH(B428,'01_Anggota'!$D$5:$D$1212,0))))</f>
        <v>KKSUK-000010</v>
      </c>
      <c r="D428" s="23">
        <v>0</v>
      </c>
      <c r="E428" s="23">
        <v>125000</v>
      </c>
      <c r="F428" s="23">
        <v>100000</v>
      </c>
      <c r="G428" s="23">
        <v>0</v>
      </c>
      <c r="H428" s="42">
        <v>46045</v>
      </c>
      <c r="I428" s="21" t="s">
        <v>803</v>
      </c>
    </row>
    <row r="429" spans="1:9" ht="21" customHeight="1">
      <c r="A429" s="20">
        <f t="shared" si="6"/>
        <v>425</v>
      </c>
      <c r="B429" s="21" t="s">
        <v>209</v>
      </c>
      <c r="C429" s="20" t="str">
        <f>IF(B429="","",IF(COUNTIF('01_Anggota'!$D$5:$D$1212,B429)=0,"NAMA TIDAK DITEMUKAN",INDEX('01_Anggota'!$B$5:$B$1212,MATCH(B429,'01_Anggota'!$D$5:$D$1212,0))))</f>
        <v>KKSUK-000010</v>
      </c>
      <c r="D429" s="23">
        <v>0</v>
      </c>
      <c r="E429" s="23">
        <v>125000</v>
      </c>
      <c r="F429" s="23">
        <v>100000</v>
      </c>
      <c r="G429" s="23">
        <v>0</v>
      </c>
      <c r="H429" s="42">
        <v>46078</v>
      </c>
      <c r="I429" s="21" t="s">
        <v>804</v>
      </c>
    </row>
    <row r="430" spans="1:9" ht="21" customHeight="1">
      <c r="A430" s="20">
        <f t="shared" si="6"/>
        <v>426</v>
      </c>
      <c r="B430" s="21" t="s">
        <v>209</v>
      </c>
      <c r="C430" s="20" t="str">
        <f>IF(B430="","",IF(COUNTIF('01_Anggota'!$D$5:$D$1212,B430)=0,"NAMA TIDAK DITEMUKAN",INDEX('01_Anggota'!$B$5:$B$1212,MATCH(B430,'01_Anggota'!$D$5:$D$1212,0))))</f>
        <v>KKSUK-000010</v>
      </c>
      <c r="D430" s="23">
        <v>0</v>
      </c>
      <c r="E430" s="23">
        <v>125000</v>
      </c>
      <c r="F430" s="23">
        <v>100000</v>
      </c>
      <c r="G430" s="23">
        <v>0</v>
      </c>
      <c r="H430" s="42">
        <v>46106</v>
      </c>
      <c r="I430" s="21" t="s">
        <v>805</v>
      </c>
    </row>
    <row r="431" spans="1:9" ht="21" customHeight="1">
      <c r="A431" s="20">
        <f t="shared" si="6"/>
        <v>427</v>
      </c>
      <c r="B431" s="21" t="s">
        <v>209</v>
      </c>
      <c r="C431" s="20" t="str">
        <f>IF(B431="","",IF(COUNTIF('01_Anggota'!$D$5:$D$1212,B431)=0,"NAMA TIDAK DITEMUKAN",INDEX('01_Anggota'!$B$5:$B$1212,MATCH(B431,'01_Anggota'!$D$5:$D$1212,0))))</f>
        <v>KKSUK-000010</v>
      </c>
      <c r="D431" s="23">
        <v>0</v>
      </c>
      <c r="E431" s="23">
        <v>125000</v>
      </c>
      <c r="F431" s="23">
        <v>100000</v>
      </c>
      <c r="G431" s="23">
        <v>0</v>
      </c>
      <c r="H431" s="42">
        <v>46136</v>
      </c>
      <c r="I431" s="21" t="s">
        <v>806</v>
      </c>
    </row>
    <row r="432" spans="1:9" ht="21" customHeight="1">
      <c r="A432" s="20">
        <f t="shared" si="6"/>
        <v>428</v>
      </c>
      <c r="B432" s="21" t="s">
        <v>209</v>
      </c>
      <c r="C432" s="20" t="str">
        <f>IF(B432="","",IF(COUNTIF('01_Anggota'!$D$5:$D$1212,B432)=0,"NAMA TIDAK DITEMUKAN",INDEX('01_Anggota'!$B$5:$B$1212,MATCH(B432,'01_Anggota'!$D$5:$D$1212,0))))</f>
        <v>KKSUK-000010</v>
      </c>
      <c r="D432" s="23">
        <v>0</v>
      </c>
      <c r="E432" s="23">
        <v>125000</v>
      </c>
      <c r="F432" s="23">
        <v>100000</v>
      </c>
      <c r="G432" s="23">
        <v>0</v>
      </c>
      <c r="H432" s="42">
        <v>46167</v>
      </c>
      <c r="I432" s="21" t="s">
        <v>807</v>
      </c>
    </row>
    <row r="433" spans="1:9" ht="21" customHeight="1">
      <c r="A433" s="20">
        <f t="shared" si="6"/>
        <v>429</v>
      </c>
      <c r="B433" s="21" t="s">
        <v>209</v>
      </c>
      <c r="C433" s="20" t="str">
        <f>IF(B433="","",IF(COUNTIF('01_Anggota'!$D$5:$D$1212,B433)=0,"NAMA TIDAK DITEMUKAN",INDEX('01_Anggota'!$B$5:$B$1212,MATCH(B433,'01_Anggota'!$D$5:$D$1212,0))))</f>
        <v>KKSUK-000010</v>
      </c>
      <c r="D433" s="23">
        <v>0</v>
      </c>
      <c r="E433" s="23">
        <v>-1500000</v>
      </c>
      <c r="F433" s="23">
        <v>0</v>
      </c>
      <c r="G433" s="23">
        <v>0</v>
      </c>
      <c r="H433" s="42">
        <v>46198</v>
      </c>
      <c r="I433" s="21" t="s">
        <v>808</v>
      </c>
    </row>
    <row r="434" spans="1:9" ht="21" customHeight="1">
      <c r="A434" s="20">
        <f t="shared" si="6"/>
        <v>430</v>
      </c>
      <c r="B434" s="21" t="s">
        <v>209</v>
      </c>
      <c r="C434" s="20" t="str">
        <f>IF(B434="","",IF(COUNTIF('01_Anggota'!$D$5:$D$1212,B434)=0,"NAMA TIDAK DITEMUKAN",INDEX('01_Anggota'!$B$5:$B$1212,MATCH(B434,'01_Anggota'!$D$5:$D$1212,0))))</f>
        <v>KKSUK-000010</v>
      </c>
      <c r="D434" s="23">
        <v>0</v>
      </c>
      <c r="E434" s="23">
        <v>125000</v>
      </c>
      <c r="F434" s="23">
        <v>100000</v>
      </c>
      <c r="G434" s="23">
        <v>0</v>
      </c>
      <c r="H434" s="42">
        <v>46198</v>
      </c>
      <c r="I434" s="21" t="s">
        <v>808</v>
      </c>
    </row>
    <row r="435" spans="1:9" ht="21" customHeight="1">
      <c r="A435" s="20">
        <f t="shared" si="6"/>
        <v>431</v>
      </c>
      <c r="B435" s="21" t="s">
        <v>209</v>
      </c>
      <c r="C435" s="20" t="str">
        <f>IF(B435="","",IF(COUNTIF('01_Anggota'!$D$5:$D$1212,B435)=0,"NAMA TIDAK DITEMUKAN",INDEX('01_Anggota'!$B$5:$B$1212,MATCH(B435,'01_Anggota'!$D$5:$D$1212,0))))</f>
        <v>KKSUK-000010</v>
      </c>
      <c r="D435" s="23">
        <v>0</v>
      </c>
      <c r="E435" s="23">
        <v>125000</v>
      </c>
      <c r="F435" s="23">
        <v>100000</v>
      </c>
      <c r="G435" s="23">
        <v>0</v>
      </c>
      <c r="H435" s="42">
        <v>46227</v>
      </c>
      <c r="I435" s="21" t="s">
        <v>809</v>
      </c>
    </row>
    <row r="436" spans="1:9" ht="21" customHeight="1">
      <c r="A436" s="20">
        <f t="shared" si="6"/>
        <v>432</v>
      </c>
      <c r="B436" s="21" t="s">
        <v>209</v>
      </c>
      <c r="C436" s="20" t="str">
        <f>IF(B436="","",IF(COUNTIF('01_Anggota'!$D$5:$D$1212,B436)=0,"NAMA TIDAK DITEMUKAN",INDEX('01_Anggota'!$B$5:$B$1212,MATCH(B436,'01_Anggota'!$D$5:$D$1212,0))))</f>
        <v>KKSUK-000010</v>
      </c>
      <c r="D436" s="23">
        <v>0</v>
      </c>
      <c r="E436" s="23">
        <v>125000</v>
      </c>
      <c r="F436" s="23">
        <v>100000</v>
      </c>
      <c r="G436" s="23">
        <v>0</v>
      </c>
      <c r="H436" s="42">
        <v>46258</v>
      </c>
      <c r="I436" s="21" t="s">
        <v>810</v>
      </c>
    </row>
    <row r="437" spans="1:9" ht="21" customHeight="1">
      <c r="A437" s="20">
        <f t="shared" si="6"/>
        <v>433</v>
      </c>
      <c r="B437" s="21" t="s">
        <v>248</v>
      </c>
      <c r="C437" s="20" t="str">
        <f>IF(B437="","",IF(COUNTIF('01_Anggota'!$D$5:$D$1212,B437)=0,"NAMA TIDAK DITEMUKAN",INDEX('01_Anggota'!$B$5:$B$1212,MATCH(B437,'01_Anggota'!$D$5:$D$1212,0))))</f>
        <v>KKSUK-000049</v>
      </c>
      <c r="D437" s="23">
        <v>0</v>
      </c>
      <c r="E437" s="23">
        <v>10005000</v>
      </c>
      <c r="F437" s="23">
        <v>15914099</v>
      </c>
      <c r="G437" s="23">
        <v>7617366</v>
      </c>
      <c r="H437" s="42">
        <v>46023</v>
      </c>
      <c r="I437" s="21" t="s">
        <v>802</v>
      </c>
    </row>
    <row r="438" spans="1:9" ht="21" customHeight="1">
      <c r="A438" s="20">
        <f t="shared" si="6"/>
        <v>434</v>
      </c>
      <c r="B438" s="21" t="s">
        <v>248</v>
      </c>
      <c r="C438" s="20" t="str">
        <f>IF(B438="","",IF(COUNTIF('01_Anggota'!$D$5:$D$1212,B438)=0,"NAMA TIDAK DITEMUKAN",INDEX('01_Anggota'!$B$5:$B$1212,MATCH(B438,'01_Anggota'!$D$5:$D$1212,0))))</f>
        <v>KKSUK-000049</v>
      </c>
      <c r="D438" s="23">
        <v>0</v>
      </c>
      <c r="E438" s="23">
        <v>75000</v>
      </c>
      <c r="F438" s="23">
        <v>100000</v>
      </c>
      <c r="G438" s="23">
        <v>0</v>
      </c>
      <c r="H438" s="42">
        <v>46045</v>
      </c>
      <c r="I438" s="21" t="s">
        <v>803</v>
      </c>
    </row>
    <row r="439" spans="1:9" ht="21" customHeight="1">
      <c r="A439" s="20">
        <f t="shared" si="6"/>
        <v>435</v>
      </c>
      <c r="B439" s="21" t="s">
        <v>248</v>
      </c>
      <c r="C439" s="20" t="str">
        <f>IF(B439="","",IF(COUNTIF('01_Anggota'!$D$5:$D$1212,B439)=0,"NAMA TIDAK DITEMUKAN",INDEX('01_Anggota'!$B$5:$B$1212,MATCH(B439,'01_Anggota'!$D$5:$D$1212,0))))</f>
        <v>KKSUK-000049</v>
      </c>
      <c r="D439" s="23">
        <v>0</v>
      </c>
      <c r="E439" s="23">
        <v>75000</v>
      </c>
      <c r="F439" s="23">
        <v>100000</v>
      </c>
      <c r="G439" s="23">
        <v>0</v>
      </c>
      <c r="H439" s="42">
        <v>46078</v>
      </c>
      <c r="I439" s="21" t="s">
        <v>804</v>
      </c>
    </row>
    <row r="440" spans="1:9" ht="21" customHeight="1">
      <c r="A440" s="20">
        <f t="shared" si="6"/>
        <v>436</v>
      </c>
      <c r="B440" s="21" t="s">
        <v>248</v>
      </c>
      <c r="C440" s="20" t="str">
        <f>IF(B440="","",IF(COUNTIF('01_Anggota'!$D$5:$D$1212,B440)=0,"NAMA TIDAK DITEMUKAN",INDEX('01_Anggota'!$B$5:$B$1212,MATCH(B440,'01_Anggota'!$D$5:$D$1212,0))))</f>
        <v>KKSUK-000049</v>
      </c>
      <c r="D440" s="23">
        <v>0</v>
      </c>
      <c r="E440" s="23">
        <v>75000</v>
      </c>
      <c r="F440" s="23">
        <v>100000</v>
      </c>
      <c r="G440" s="23">
        <v>0</v>
      </c>
      <c r="H440" s="42">
        <v>46106</v>
      </c>
      <c r="I440" s="21" t="s">
        <v>805</v>
      </c>
    </row>
    <row r="441" spans="1:9" ht="21" customHeight="1">
      <c r="A441" s="20">
        <f t="shared" si="6"/>
        <v>437</v>
      </c>
      <c r="B441" s="21" t="s">
        <v>248</v>
      </c>
      <c r="C441" s="20" t="str">
        <f>IF(B441="","",IF(COUNTIF('01_Anggota'!$D$5:$D$1212,B441)=0,"NAMA TIDAK DITEMUKAN",INDEX('01_Anggota'!$B$5:$B$1212,MATCH(B441,'01_Anggota'!$D$5:$D$1212,0))))</f>
        <v>KKSUK-000049</v>
      </c>
      <c r="D441" s="23">
        <v>0</v>
      </c>
      <c r="E441" s="23">
        <v>75000</v>
      </c>
      <c r="F441" s="23">
        <v>100000</v>
      </c>
      <c r="G441" s="23">
        <v>0</v>
      </c>
      <c r="H441" s="42">
        <v>46136</v>
      </c>
      <c r="I441" s="21" t="s">
        <v>806</v>
      </c>
    </row>
    <row r="442" spans="1:9" ht="21" customHeight="1">
      <c r="A442" s="20">
        <f t="shared" si="6"/>
        <v>438</v>
      </c>
      <c r="B442" s="21" t="s">
        <v>248</v>
      </c>
      <c r="C442" s="20" t="str">
        <f>IF(B442="","",IF(COUNTIF('01_Anggota'!$D$5:$D$1212,B442)=0,"NAMA TIDAK DITEMUKAN",INDEX('01_Anggota'!$B$5:$B$1212,MATCH(B442,'01_Anggota'!$D$5:$D$1212,0))))</f>
        <v>KKSUK-000049</v>
      </c>
      <c r="D442" s="23">
        <v>0</v>
      </c>
      <c r="E442" s="23">
        <v>75000</v>
      </c>
      <c r="F442" s="23">
        <v>100000</v>
      </c>
      <c r="G442" s="23">
        <v>0</v>
      </c>
      <c r="H442" s="42">
        <v>46167</v>
      </c>
      <c r="I442" s="21" t="s">
        <v>807</v>
      </c>
    </row>
    <row r="443" spans="1:9" ht="21" customHeight="1">
      <c r="A443" s="20">
        <f t="shared" si="6"/>
        <v>439</v>
      </c>
      <c r="B443" s="21" t="s">
        <v>248</v>
      </c>
      <c r="C443" s="20" t="str">
        <f>IF(B443="","",IF(COUNTIF('01_Anggota'!$D$5:$D$1212,B443)=0,"NAMA TIDAK DITEMUKAN",INDEX('01_Anggota'!$B$5:$B$1212,MATCH(B443,'01_Anggota'!$D$5:$D$1212,0))))</f>
        <v>KKSUK-000049</v>
      </c>
      <c r="D443" s="23">
        <v>0</v>
      </c>
      <c r="E443" s="23">
        <v>75000</v>
      </c>
      <c r="F443" s="23">
        <v>100000</v>
      </c>
      <c r="G443" s="23">
        <v>0</v>
      </c>
      <c r="H443" s="42">
        <v>46198</v>
      </c>
      <c r="I443" s="21" t="s">
        <v>808</v>
      </c>
    </row>
    <row r="444" spans="1:9" ht="21" customHeight="1">
      <c r="A444" s="20">
        <f t="shared" si="6"/>
        <v>440</v>
      </c>
      <c r="B444" s="21" t="s">
        <v>248</v>
      </c>
      <c r="C444" s="20" t="str">
        <f>IF(B444="","",IF(COUNTIF('01_Anggota'!$D$5:$D$1212,B444)=0,"NAMA TIDAK DITEMUKAN",INDEX('01_Anggota'!$B$5:$B$1212,MATCH(B444,'01_Anggota'!$D$5:$D$1212,0))))</f>
        <v>KKSUK-000049</v>
      </c>
      <c r="D444" s="23">
        <v>0</v>
      </c>
      <c r="E444" s="23">
        <v>75000</v>
      </c>
      <c r="F444" s="23">
        <v>100000</v>
      </c>
      <c r="G444" s="23">
        <v>0</v>
      </c>
      <c r="H444" s="42">
        <v>46227</v>
      </c>
      <c r="I444" s="21" t="s">
        <v>809</v>
      </c>
    </row>
    <row r="445" spans="1:9" ht="21" customHeight="1">
      <c r="A445" s="20">
        <f t="shared" si="6"/>
        <v>441</v>
      </c>
      <c r="B445" s="21" t="s">
        <v>248</v>
      </c>
      <c r="C445" s="20" t="str">
        <f>IF(B445="","",IF(COUNTIF('01_Anggota'!$D$5:$D$1212,B445)=0,"NAMA TIDAK DITEMUKAN",INDEX('01_Anggota'!$B$5:$B$1212,MATCH(B445,'01_Anggota'!$D$5:$D$1212,0))))</f>
        <v>KKSUK-000049</v>
      </c>
      <c r="D445" s="23">
        <v>0</v>
      </c>
      <c r="E445" s="23">
        <v>75000</v>
      </c>
      <c r="F445" s="23">
        <v>100000</v>
      </c>
      <c r="G445" s="23">
        <v>0</v>
      </c>
      <c r="H445" s="42">
        <v>46258</v>
      </c>
      <c r="I445" s="21" t="s">
        <v>810</v>
      </c>
    </row>
    <row r="446" spans="1:9" ht="21" customHeight="1">
      <c r="A446" s="20">
        <f t="shared" si="6"/>
        <v>442</v>
      </c>
      <c r="B446" s="21" t="s">
        <v>369</v>
      </c>
      <c r="C446" s="20" t="str">
        <f>IF(B446="","",IF(COUNTIF('01_Anggota'!$D$5:$D$1212,B446)=0,"NAMA TIDAK DITEMUKAN",INDEX('01_Anggota'!$B$5:$B$1212,MATCH(B446,'01_Anggota'!$D$5:$D$1212,0))))</f>
        <v>KKSUK-000170</v>
      </c>
      <c r="D446" s="23">
        <v>0</v>
      </c>
      <c r="E446" s="23">
        <v>1200000</v>
      </c>
      <c r="F446" s="23">
        <v>1200000</v>
      </c>
      <c r="G446" s="23">
        <v>56934</v>
      </c>
      <c r="H446" s="42">
        <v>46023</v>
      </c>
      <c r="I446" s="21" t="s">
        <v>802</v>
      </c>
    </row>
    <row r="447" spans="1:9" ht="21" customHeight="1">
      <c r="A447" s="20">
        <f t="shared" si="6"/>
        <v>443</v>
      </c>
      <c r="B447" s="21" t="s">
        <v>369</v>
      </c>
      <c r="C447" s="20" t="str">
        <f>IF(B447="","",IF(COUNTIF('01_Anggota'!$D$5:$D$1212,B447)=0,"NAMA TIDAK DITEMUKAN",INDEX('01_Anggota'!$B$5:$B$1212,MATCH(B447,'01_Anggota'!$D$5:$D$1212,0))))</f>
        <v>KKSUK-000170</v>
      </c>
      <c r="D447" s="23">
        <v>0</v>
      </c>
      <c r="E447" s="23">
        <v>100000</v>
      </c>
      <c r="F447" s="23">
        <v>100000</v>
      </c>
      <c r="G447" s="23">
        <v>0</v>
      </c>
      <c r="H447" s="42">
        <v>46045</v>
      </c>
      <c r="I447" s="21" t="s">
        <v>803</v>
      </c>
    </row>
    <row r="448" spans="1:9" ht="21" customHeight="1">
      <c r="A448" s="20">
        <f t="shared" si="6"/>
        <v>444</v>
      </c>
      <c r="B448" s="21" t="s">
        <v>369</v>
      </c>
      <c r="C448" s="20" t="str">
        <f>IF(B448="","",IF(COUNTIF('01_Anggota'!$D$5:$D$1212,B448)=0,"NAMA TIDAK DITEMUKAN",INDEX('01_Anggota'!$B$5:$B$1212,MATCH(B448,'01_Anggota'!$D$5:$D$1212,0))))</f>
        <v>KKSUK-000170</v>
      </c>
      <c r="D448" s="23">
        <v>0</v>
      </c>
      <c r="E448" s="23">
        <v>100000</v>
      </c>
      <c r="F448" s="23">
        <v>100000</v>
      </c>
      <c r="G448" s="23">
        <v>0</v>
      </c>
      <c r="H448" s="42">
        <v>46078</v>
      </c>
      <c r="I448" s="21" t="s">
        <v>804</v>
      </c>
    </row>
    <row r="449" spans="1:9" ht="21" customHeight="1">
      <c r="A449" s="20">
        <f t="shared" si="6"/>
        <v>445</v>
      </c>
      <c r="B449" s="21" t="s">
        <v>369</v>
      </c>
      <c r="C449" s="20" t="str">
        <f>IF(B449="","",IF(COUNTIF('01_Anggota'!$D$5:$D$1212,B449)=0,"NAMA TIDAK DITEMUKAN",INDEX('01_Anggota'!$B$5:$B$1212,MATCH(B449,'01_Anggota'!$D$5:$D$1212,0))))</f>
        <v>KKSUK-000170</v>
      </c>
      <c r="D449" s="23">
        <v>0</v>
      </c>
      <c r="E449" s="23">
        <v>100000</v>
      </c>
      <c r="F449" s="23">
        <v>100000</v>
      </c>
      <c r="G449" s="23">
        <v>0</v>
      </c>
      <c r="H449" s="42">
        <v>46106</v>
      </c>
      <c r="I449" s="21" t="s">
        <v>805</v>
      </c>
    </row>
    <row r="450" spans="1:9" ht="21" customHeight="1">
      <c r="A450" s="20">
        <f t="shared" si="6"/>
        <v>446</v>
      </c>
      <c r="B450" s="21" t="s">
        <v>369</v>
      </c>
      <c r="C450" s="20" t="str">
        <f>IF(B450="","",IF(COUNTIF('01_Anggota'!$D$5:$D$1212,B450)=0,"NAMA TIDAK DITEMUKAN",INDEX('01_Anggota'!$B$5:$B$1212,MATCH(B450,'01_Anggota'!$D$5:$D$1212,0))))</f>
        <v>KKSUK-000170</v>
      </c>
      <c r="D450" s="23">
        <v>0</v>
      </c>
      <c r="E450" s="23">
        <v>100000</v>
      </c>
      <c r="F450" s="23">
        <v>100000</v>
      </c>
      <c r="G450" s="23">
        <v>0</v>
      </c>
      <c r="H450" s="42">
        <v>46136</v>
      </c>
      <c r="I450" s="21" t="s">
        <v>806</v>
      </c>
    </row>
    <row r="451" spans="1:9" ht="21" customHeight="1">
      <c r="A451" s="20">
        <f t="shared" si="6"/>
        <v>447</v>
      </c>
      <c r="B451" s="21" t="s">
        <v>369</v>
      </c>
      <c r="C451" s="20" t="str">
        <f>IF(B451="","",IF(COUNTIF('01_Anggota'!$D$5:$D$1212,B451)=0,"NAMA TIDAK DITEMUKAN",INDEX('01_Anggota'!$B$5:$B$1212,MATCH(B451,'01_Anggota'!$D$5:$D$1212,0))))</f>
        <v>KKSUK-000170</v>
      </c>
      <c r="D451" s="23">
        <v>0</v>
      </c>
      <c r="E451" s="23">
        <v>100000</v>
      </c>
      <c r="F451" s="23">
        <v>100000</v>
      </c>
      <c r="G451" s="23">
        <v>0</v>
      </c>
      <c r="H451" s="42">
        <v>46167</v>
      </c>
      <c r="I451" s="21" t="s">
        <v>807</v>
      </c>
    </row>
    <row r="452" spans="1:9" ht="21" customHeight="1">
      <c r="A452" s="20">
        <f t="shared" si="6"/>
        <v>448</v>
      </c>
      <c r="B452" s="21" t="s">
        <v>369</v>
      </c>
      <c r="C452" s="20" t="str">
        <f>IF(B452="","",IF(COUNTIF('01_Anggota'!$D$5:$D$1212,B452)=0,"NAMA TIDAK DITEMUKAN",INDEX('01_Anggota'!$B$5:$B$1212,MATCH(B452,'01_Anggota'!$D$5:$D$1212,0))))</f>
        <v>KKSUK-000170</v>
      </c>
      <c r="D452" s="23">
        <v>0</v>
      </c>
      <c r="E452" s="23">
        <v>100000</v>
      </c>
      <c r="F452" s="23">
        <v>100000</v>
      </c>
      <c r="G452" s="23">
        <v>0</v>
      </c>
      <c r="H452" s="42">
        <v>46198</v>
      </c>
      <c r="I452" s="21" t="s">
        <v>808</v>
      </c>
    </row>
    <row r="453" spans="1:9" ht="21" customHeight="1">
      <c r="A453" s="20">
        <f t="shared" ref="A453:A516" si="7">IF(B453="","",ROW()-4)</f>
        <v>449</v>
      </c>
      <c r="B453" s="21" t="s">
        <v>369</v>
      </c>
      <c r="C453" s="20" t="str">
        <f>IF(B453="","",IF(COUNTIF('01_Anggota'!$D$5:$D$1212,B453)=0,"NAMA TIDAK DITEMUKAN",INDEX('01_Anggota'!$B$5:$B$1212,MATCH(B453,'01_Anggota'!$D$5:$D$1212,0))))</f>
        <v>KKSUK-000170</v>
      </c>
      <c r="D453" s="23">
        <v>0</v>
      </c>
      <c r="E453" s="23">
        <v>100000</v>
      </c>
      <c r="F453" s="23">
        <v>100000</v>
      </c>
      <c r="G453" s="23">
        <v>0</v>
      </c>
      <c r="H453" s="42">
        <v>46227</v>
      </c>
      <c r="I453" s="21" t="s">
        <v>809</v>
      </c>
    </row>
    <row r="454" spans="1:9" ht="21" customHeight="1">
      <c r="A454" s="20">
        <f t="shared" si="7"/>
        <v>450</v>
      </c>
      <c r="B454" s="21" t="s">
        <v>369</v>
      </c>
      <c r="C454" s="20" t="str">
        <f>IF(B454="","",IF(COUNTIF('01_Anggota'!$D$5:$D$1212,B454)=0,"NAMA TIDAK DITEMUKAN",INDEX('01_Anggota'!$B$5:$B$1212,MATCH(B454,'01_Anggota'!$D$5:$D$1212,0))))</f>
        <v>KKSUK-000170</v>
      </c>
      <c r="D454" s="23">
        <v>0</v>
      </c>
      <c r="E454" s="23">
        <v>-800000</v>
      </c>
      <c r="F454" s="23">
        <v>0</v>
      </c>
      <c r="G454" s="23">
        <v>0</v>
      </c>
      <c r="H454" s="42">
        <v>46258</v>
      </c>
      <c r="I454" s="21" t="s">
        <v>810</v>
      </c>
    </row>
    <row r="455" spans="1:9" ht="21" customHeight="1">
      <c r="A455" s="20">
        <f t="shared" si="7"/>
        <v>451</v>
      </c>
      <c r="B455" s="21" t="s">
        <v>369</v>
      </c>
      <c r="C455" s="20" t="str">
        <f>IF(B455="","",IF(COUNTIF('01_Anggota'!$D$5:$D$1212,B455)=0,"NAMA TIDAK DITEMUKAN",INDEX('01_Anggota'!$B$5:$B$1212,MATCH(B455,'01_Anggota'!$D$5:$D$1212,0))))</f>
        <v>KKSUK-000170</v>
      </c>
      <c r="D455" s="23">
        <v>0</v>
      </c>
      <c r="E455" s="23">
        <v>100000</v>
      </c>
      <c r="F455" s="23">
        <v>100000</v>
      </c>
      <c r="G455" s="23">
        <v>0</v>
      </c>
      <c r="H455" s="42">
        <v>46258</v>
      </c>
      <c r="I455" s="21" t="s">
        <v>810</v>
      </c>
    </row>
    <row r="456" spans="1:9" ht="21" customHeight="1">
      <c r="A456" s="20">
        <f t="shared" si="7"/>
        <v>452</v>
      </c>
      <c r="B456" s="21" t="s">
        <v>210</v>
      </c>
      <c r="C456" s="20" t="str">
        <f>IF(B456="","",IF(COUNTIF('01_Anggota'!$D$5:$D$1212,B456)=0,"NAMA TIDAK DITEMUKAN",INDEX('01_Anggota'!$B$5:$B$1212,MATCH(B456,'01_Anggota'!$D$5:$D$1212,0))))</f>
        <v>KKSUK-000011</v>
      </c>
      <c r="D456" s="23">
        <v>0</v>
      </c>
      <c r="E456" s="23">
        <v>5928149</v>
      </c>
      <c r="F456" s="23">
        <v>10278196.839707701</v>
      </c>
      <c r="G456" s="23">
        <v>2939331</v>
      </c>
      <c r="H456" s="42">
        <v>46023</v>
      </c>
      <c r="I456" s="21" t="s">
        <v>802</v>
      </c>
    </row>
    <row r="457" spans="1:9" ht="21" customHeight="1">
      <c r="A457" s="20">
        <f t="shared" si="7"/>
        <v>453</v>
      </c>
      <c r="B457" s="21" t="s">
        <v>210</v>
      </c>
      <c r="C457" s="20" t="str">
        <f>IF(B457="","",IF(COUNTIF('01_Anggota'!$D$5:$D$1212,B457)=0,"NAMA TIDAK DITEMUKAN",INDEX('01_Anggota'!$B$5:$B$1212,MATCH(B457,'01_Anggota'!$D$5:$D$1212,0))))</f>
        <v>KKSUK-000011</v>
      </c>
      <c r="D457" s="23">
        <v>0</v>
      </c>
      <c r="E457" s="23">
        <v>50000</v>
      </c>
      <c r="F457" s="23">
        <v>100000</v>
      </c>
      <c r="G457" s="23">
        <v>0</v>
      </c>
      <c r="H457" s="42">
        <v>46045</v>
      </c>
      <c r="I457" s="21" t="s">
        <v>803</v>
      </c>
    </row>
    <row r="458" spans="1:9" ht="21" customHeight="1">
      <c r="A458" s="20">
        <f t="shared" si="7"/>
        <v>454</v>
      </c>
      <c r="B458" s="21" t="s">
        <v>210</v>
      </c>
      <c r="C458" s="20" t="str">
        <f>IF(B458="","",IF(COUNTIF('01_Anggota'!$D$5:$D$1212,B458)=0,"NAMA TIDAK DITEMUKAN",INDEX('01_Anggota'!$B$5:$B$1212,MATCH(B458,'01_Anggota'!$D$5:$D$1212,0))))</f>
        <v>KKSUK-000011</v>
      </c>
      <c r="D458" s="23">
        <v>0</v>
      </c>
      <c r="E458" s="23">
        <v>50000</v>
      </c>
      <c r="F458" s="23">
        <v>100000</v>
      </c>
      <c r="G458" s="23">
        <v>0</v>
      </c>
      <c r="H458" s="42">
        <v>46078</v>
      </c>
      <c r="I458" s="21" t="s">
        <v>804</v>
      </c>
    </row>
    <row r="459" spans="1:9" ht="21" customHeight="1">
      <c r="A459" s="20">
        <f t="shared" si="7"/>
        <v>455</v>
      </c>
      <c r="B459" s="21" t="s">
        <v>210</v>
      </c>
      <c r="C459" s="20" t="str">
        <f>IF(B459="","",IF(COUNTIF('01_Anggota'!$D$5:$D$1212,B459)=0,"NAMA TIDAK DITEMUKAN",INDEX('01_Anggota'!$B$5:$B$1212,MATCH(B459,'01_Anggota'!$D$5:$D$1212,0))))</f>
        <v>KKSUK-000011</v>
      </c>
      <c r="D459" s="23">
        <v>0</v>
      </c>
      <c r="E459" s="23">
        <v>50000</v>
      </c>
      <c r="F459" s="23">
        <v>100000</v>
      </c>
      <c r="G459" s="23">
        <v>0</v>
      </c>
      <c r="H459" s="42">
        <v>46106</v>
      </c>
      <c r="I459" s="21" t="s">
        <v>805</v>
      </c>
    </row>
    <row r="460" spans="1:9" ht="21" customHeight="1">
      <c r="A460" s="20">
        <f t="shared" si="7"/>
        <v>456</v>
      </c>
      <c r="B460" s="21" t="s">
        <v>210</v>
      </c>
      <c r="C460" s="20" t="str">
        <f>IF(B460="","",IF(COUNTIF('01_Anggota'!$D$5:$D$1212,B460)=0,"NAMA TIDAK DITEMUKAN",INDEX('01_Anggota'!$B$5:$B$1212,MATCH(B460,'01_Anggota'!$D$5:$D$1212,0))))</f>
        <v>KKSUK-000011</v>
      </c>
      <c r="D460" s="23">
        <v>0</v>
      </c>
      <c r="E460" s="23">
        <v>50000</v>
      </c>
      <c r="F460" s="23">
        <v>100000</v>
      </c>
      <c r="G460" s="23">
        <v>0</v>
      </c>
      <c r="H460" s="42">
        <v>46136</v>
      </c>
      <c r="I460" s="21" t="s">
        <v>806</v>
      </c>
    </row>
    <row r="461" spans="1:9" ht="21" customHeight="1">
      <c r="A461" s="20">
        <f t="shared" si="7"/>
        <v>457</v>
      </c>
      <c r="B461" s="21" t="s">
        <v>210</v>
      </c>
      <c r="C461" s="20" t="str">
        <f>IF(B461="","",IF(COUNTIF('01_Anggota'!$D$5:$D$1212,B461)=0,"NAMA TIDAK DITEMUKAN",INDEX('01_Anggota'!$B$5:$B$1212,MATCH(B461,'01_Anggota'!$D$5:$D$1212,0))))</f>
        <v>KKSUK-000011</v>
      </c>
      <c r="D461" s="23">
        <v>0</v>
      </c>
      <c r="E461" s="23">
        <v>50000</v>
      </c>
      <c r="F461" s="23">
        <v>100000</v>
      </c>
      <c r="G461" s="23">
        <v>0</v>
      </c>
      <c r="H461" s="42">
        <v>46167</v>
      </c>
      <c r="I461" s="21" t="s">
        <v>807</v>
      </c>
    </row>
    <row r="462" spans="1:9" ht="21" customHeight="1">
      <c r="A462" s="20">
        <f t="shared" si="7"/>
        <v>458</v>
      </c>
      <c r="B462" s="21" t="s">
        <v>210</v>
      </c>
      <c r="C462" s="20" t="str">
        <f>IF(B462="","",IF(COUNTIF('01_Anggota'!$D$5:$D$1212,B462)=0,"NAMA TIDAK DITEMUKAN",INDEX('01_Anggota'!$B$5:$B$1212,MATCH(B462,'01_Anggota'!$D$5:$D$1212,0))))</f>
        <v>KKSUK-000011</v>
      </c>
      <c r="D462" s="23">
        <v>0</v>
      </c>
      <c r="E462" s="23">
        <v>50000</v>
      </c>
      <c r="F462" s="23">
        <v>100000</v>
      </c>
      <c r="G462" s="23">
        <v>0</v>
      </c>
      <c r="H462" s="42">
        <v>46198</v>
      </c>
      <c r="I462" s="21" t="s">
        <v>808</v>
      </c>
    </row>
    <row r="463" spans="1:9" ht="21" customHeight="1">
      <c r="A463" s="20">
        <f t="shared" si="7"/>
        <v>459</v>
      </c>
      <c r="B463" s="21" t="s">
        <v>210</v>
      </c>
      <c r="C463" s="20" t="str">
        <f>IF(B463="","",IF(COUNTIF('01_Anggota'!$D$5:$D$1212,B463)=0,"NAMA TIDAK DITEMUKAN",INDEX('01_Anggota'!$B$5:$B$1212,MATCH(B463,'01_Anggota'!$D$5:$D$1212,0))))</f>
        <v>KKSUK-000011</v>
      </c>
      <c r="D463" s="23">
        <v>0</v>
      </c>
      <c r="E463" s="23">
        <v>50000</v>
      </c>
      <c r="F463" s="23">
        <v>100000</v>
      </c>
      <c r="G463" s="23">
        <v>0</v>
      </c>
      <c r="H463" s="42">
        <v>46227</v>
      </c>
      <c r="I463" s="21" t="s">
        <v>809</v>
      </c>
    </row>
    <row r="464" spans="1:9" ht="21" customHeight="1">
      <c r="A464" s="20">
        <f t="shared" si="7"/>
        <v>460</v>
      </c>
      <c r="B464" s="21" t="s">
        <v>210</v>
      </c>
      <c r="C464" s="20" t="str">
        <f>IF(B464="","",IF(COUNTIF('01_Anggota'!$D$5:$D$1212,B464)=0,"NAMA TIDAK DITEMUKAN",INDEX('01_Anggota'!$B$5:$B$1212,MATCH(B464,'01_Anggota'!$D$5:$D$1212,0))))</f>
        <v>KKSUK-000011</v>
      </c>
      <c r="D464" s="23">
        <v>0</v>
      </c>
      <c r="E464" s="23">
        <v>50000</v>
      </c>
      <c r="F464" s="23">
        <v>100000</v>
      </c>
      <c r="G464" s="23">
        <v>0</v>
      </c>
      <c r="H464" s="42">
        <v>46258</v>
      </c>
      <c r="I464" s="21" t="s">
        <v>810</v>
      </c>
    </row>
    <row r="465" spans="1:9" ht="21" customHeight="1">
      <c r="A465" s="20">
        <f t="shared" si="7"/>
        <v>461</v>
      </c>
      <c r="B465" s="21" t="s">
        <v>299</v>
      </c>
      <c r="C465" s="20" t="str">
        <f>IF(B465="","",IF(COUNTIF('01_Anggota'!$D$5:$D$1212,B465)=0,"NAMA TIDAK DITEMUKAN",INDEX('01_Anggota'!$B$5:$B$1212,MATCH(B465,'01_Anggota'!$D$5:$D$1212,0))))</f>
        <v>KKSUK-000100</v>
      </c>
      <c r="D465" s="23">
        <v>0</v>
      </c>
      <c r="E465" s="23">
        <v>1450000</v>
      </c>
      <c r="F465" s="23">
        <v>11066725.172695899</v>
      </c>
      <c r="G465" s="23">
        <v>5104060</v>
      </c>
      <c r="H465" s="42">
        <v>46023</v>
      </c>
      <c r="I465" s="21" t="s">
        <v>802</v>
      </c>
    </row>
    <row r="466" spans="1:9" ht="21" customHeight="1">
      <c r="A466" s="20">
        <f t="shared" si="7"/>
        <v>462</v>
      </c>
      <c r="B466" s="21" t="s">
        <v>299</v>
      </c>
      <c r="C466" s="20" t="str">
        <f>IF(B466="","",IF(COUNTIF('01_Anggota'!$D$5:$D$1212,B466)=0,"NAMA TIDAK DITEMUKAN",INDEX('01_Anggota'!$B$5:$B$1212,MATCH(B466,'01_Anggota'!$D$5:$D$1212,0))))</f>
        <v>KKSUK-000100</v>
      </c>
      <c r="D466" s="23">
        <v>0</v>
      </c>
      <c r="E466" s="23">
        <v>75000</v>
      </c>
      <c r="F466" s="23">
        <v>100000</v>
      </c>
      <c r="G466" s="23">
        <v>0</v>
      </c>
      <c r="H466" s="42">
        <v>46045</v>
      </c>
      <c r="I466" s="21" t="s">
        <v>803</v>
      </c>
    </row>
    <row r="467" spans="1:9" ht="21" customHeight="1">
      <c r="A467" s="20">
        <f t="shared" si="7"/>
        <v>463</v>
      </c>
      <c r="B467" s="21" t="s">
        <v>299</v>
      </c>
      <c r="C467" s="20" t="str">
        <f>IF(B467="","",IF(COUNTIF('01_Anggota'!$D$5:$D$1212,B467)=0,"NAMA TIDAK DITEMUKAN",INDEX('01_Anggota'!$B$5:$B$1212,MATCH(B467,'01_Anggota'!$D$5:$D$1212,0))))</f>
        <v>KKSUK-000100</v>
      </c>
      <c r="D467" s="23">
        <v>0</v>
      </c>
      <c r="E467" s="23">
        <v>75000</v>
      </c>
      <c r="F467" s="23">
        <v>100000</v>
      </c>
      <c r="G467" s="23">
        <v>0</v>
      </c>
      <c r="H467" s="42">
        <v>46078</v>
      </c>
      <c r="I467" s="21" t="s">
        <v>804</v>
      </c>
    </row>
    <row r="468" spans="1:9" ht="21" customHeight="1">
      <c r="A468" s="20">
        <f t="shared" si="7"/>
        <v>464</v>
      </c>
      <c r="B468" s="21" t="s">
        <v>299</v>
      </c>
      <c r="C468" s="20" t="str">
        <f>IF(B468="","",IF(COUNTIF('01_Anggota'!$D$5:$D$1212,B468)=0,"NAMA TIDAK DITEMUKAN",INDEX('01_Anggota'!$B$5:$B$1212,MATCH(B468,'01_Anggota'!$D$5:$D$1212,0))))</f>
        <v>KKSUK-000100</v>
      </c>
      <c r="D468" s="23">
        <v>0</v>
      </c>
      <c r="E468" s="23">
        <v>75000</v>
      </c>
      <c r="F468" s="23">
        <v>100000</v>
      </c>
      <c r="G468" s="23">
        <v>0</v>
      </c>
      <c r="H468" s="42">
        <v>46106</v>
      </c>
      <c r="I468" s="21" t="s">
        <v>805</v>
      </c>
    </row>
    <row r="469" spans="1:9" ht="21" customHeight="1">
      <c r="A469" s="20">
        <f t="shared" si="7"/>
        <v>465</v>
      </c>
      <c r="B469" s="21" t="s">
        <v>299</v>
      </c>
      <c r="C469" s="20" t="str">
        <f>IF(B469="","",IF(COUNTIF('01_Anggota'!$D$5:$D$1212,B469)=0,"NAMA TIDAK DITEMUKAN",INDEX('01_Anggota'!$B$5:$B$1212,MATCH(B469,'01_Anggota'!$D$5:$D$1212,0))))</f>
        <v>KKSUK-000100</v>
      </c>
      <c r="D469" s="23">
        <v>0</v>
      </c>
      <c r="E469" s="23">
        <v>75000</v>
      </c>
      <c r="F469" s="23">
        <v>100000</v>
      </c>
      <c r="G469" s="23">
        <v>0</v>
      </c>
      <c r="H469" s="42">
        <v>46136</v>
      </c>
      <c r="I469" s="21" t="s">
        <v>806</v>
      </c>
    </row>
    <row r="470" spans="1:9" ht="21" customHeight="1">
      <c r="A470" s="20">
        <f t="shared" si="7"/>
        <v>466</v>
      </c>
      <c r="B470" s="21" t="s">
        <v>299</v>
      </c>
      <c r="C470" s="20" t="str">
        <f>IF(B470="","",IF(COUNTIF('01_Anggota'!$D$5:$D$1212,B470)=0,"NAMA TIDAK DITEMUKAN",INDEX('01_Anggota'!$B$5:$B$1212,MATCH(B470,'01_Anggota'!$D$5:$D$1212,0))))</f>
        <v>KKSUK-000100</v>
      </c>
      <c r="D470" s="23">
        <v>0</v>
      </c>
      <c r="E470" s="23">
        <v>75000</v>
      </c>
      <c r="F470" s="23">
        <v>100000</v>
      </c>
      <c r="G470" s="23">
        <v>0</v>
      </c>
      <c r="H470" s="42">
        <v>46167</v>
      </c>
      <c r="I470" s="21" t="s">
        <v>807</v>
      </c>
    </row>
    <row r="471" spans="1:9" ht="21" customHeight="1">
      <c r="A471" s="20">
        <f t="shared" si="7"/>
        <v>467</v>
      </c>
      <c r="B471" s="21" t="s">
        <v>299</v>
      </c>
      <c r="C471" s="20" t="str">
        <f>IF(B471="","",IF(COUNTIF('01_Anggota'!$D$5:$D$1212,B471)=0,"NAMA TIDAK DITEMUKAN",INDEX('01_Anggota'!$B$5:$B$1212,MATCH(B471,'01_Anggota'!$D$5:$D$1212,0))))</f>
        <v>KKSUK-000100</v>
      </c>
      <c r="D471" s="23">
        <v>0</v>
      </c>
      <c r="E471" s="23">
        <v>75000</v>
      </c>
      <c r="F471" s="23">
        <v>100000</v>
      </c>
      <c r="G471" s="23">
        <v>0</v>
      </c>
      <c r="H471" s="42">
        <v>46198</v>
      </c>
      <c r="I471" s="21" t="s">
        <v>808</v>
      </c>
    </row>
    <row r="472" spans="1:9" ht="21" customHeight="1">
      <c r="A472" s="20">
        <f t="shared" si="7"/>
        <v>468</v>
      </c>
      <c r="B472" s="21" t="s">
        <v>299</v>
      </c>
      <c r="C472" s="20" t="str">
        <f>IF(B472="","",IF(COUNTIF('01_Anggota'!$D$5:$D$1212,B472)=0,"NAMA TIDAK DITEMUKAN",INDEX('01_Anggota'!$B$5:$B$1212,MATCH(B472,'01_Anggota'!$D$5:$D$1212,0))))</f>
        <v>KKSUK-000100</v>
      </c>
      <c r="D472" s="23">
        <v>0</v>
      </c>
      <c r="E472" s="23">
        <v>75000</v>
      </c>
      <c r="F472" s="23">
        <v>100000</v>
      </c>
      <c r="G472" s="23">
        <v>0</v>
      </c>
      <c r="H472" s="42">
        <v>46227</v>
      </c>
      <c r="I472" s="21" t="s">
        <v>809</v>
      </c>
    </row>
    <row r="473" spans="1:9" ht="21" customHeight="1">
      <c r="A473" s="20">
        <f t="shared" si="7"/>
        <v>469</v>
      </c>
      <c r="B473" s="21" t="s">
        <v>299</v>
      </c>
      <c r="C473" s="20" t="str">
        <f>IF(B473="","",IF(COUNTIF('01_Anggota'!$D$5:$D$1212,B473)=0,"NAMA TIDAK DITEMUKAN",INDEX('01_Anggota'!$B$5:$B$1212,MATCH(B473,'01_Anggota'!$D$5:$D$1212,0))))</f>
        <v>KKSUK-000100</v>
      </c>
      <c r="D473" s="23">
        <v>0</v>
      </c>
      <c r="E473" s="23">
        <v>-1500000</v>
      </c>
      <c r="F473" s="23">
        <v>0</v>
      </c>
      <c r="G473" s="23">
        <v>0</v>
      </c>
      <c r="H473" s="42">
        <v>46258</v>
      </c>
      <c r="I473" s="21" t="s">
        <v>810</v>
      </c>
    </row>
    <row r="474" spans="1:9" ht="21" customHeight="1">
      <c r="A474" s="20">
        <f t="shared" si="7"/>
        <v>470</v>
      </c>
      <c r="B474" s="21" t="s">
        <v>299</v>
      </c>
      <c r="C474" s="20" t="str">
        <f>IF(B474="","",IF(COUNTIF('01_Anggota'!$D$5:$D$1212,B474)=0,"NAMA TIDAK DITEMUKAN",INDEX('01_Anggota'!$B$5:$B$1212,MATCH(B474,'01_Anggota'!$D$5:$D$1212,0))))</f>
        <v>KKSUK-000100</v>
      </c>
      <c r="D474" s="23">
        <v>0</v>
      </c>
      <c r="E474" s="23">
        <v>75000</v>
      </c>
      <c r="F474" s="23">
        <v>100000</v>
      </c>
      <c r="G474" s="23">
        <v>0</v>
      </c>
      <c r="H474" s="42">
        <v>46258</v>
      </c>
      <c r="I474" s="21" t="s">
        <v>810</v>
      </c>
    </row>
    <row r="475" spans="1:9" ht="21" customHeight="1">
      <c r="A475" s="20">
        <f t="shared" si="7"/>
        <v>471</v>
      </c>
      <c r="B475" s="21" t="s">
        <v>309</v>
      </c>
      <c r="C475" s="20" t="str">
        <f>IF(B475="","",IF(COUNTIF('01_Anggota'!$D$5:$D$1212,B475)=0,"NAMA TIDAK DITEMUKAN",INDEX('01_Anggota'!$B$5:$B$1212,MATCH(B475,'01_Anggota'!$D$5:$D$1212,0))))</f>
        <v>KKSUK-000110</v>
      </c>
      <c r="D475" s="23">
        <v>0</v>
      </c>
      <c r="E475" s="23">
        <v>3200000</v>
      </c>
      <c r="F475" s="23">
        <v>3200000</v>
      </c>
      <c r="G475" s="23">
        <v>1484323</v>
      </c>
      <c r="H475" s="42">
        <v>46023</v>
      </c>
      <c r="I475" s="21" t="s">
        <v>802</v>
      </c>
    </row>
    <row r="476" spans="1:9" ht="21" customHeight="1">
      <c r="A476" s="20">
        <f t="shared" si="7"/>
        <v>472</v>
      </c>
      <c r="B476" s="21" t="s">
        <v>309</v>
      </c>
      <c r="C476" s="20" t="str">
        <f>IF(B476="","",IF(COUNTIF('01_Anggota'!$D$5:$D$1212,B476)=0,"NAMA TIDAK DITEMUKAN",INDEX('01_Anggota'!$B$5:$B$1212,MATCH(B476,'01_Anggota'!$D$5:$D$1212,0))))</f>
        <v>KKSUK-000110</v>
      </c>
      <c r="D476" s="23">
        <v>0</v>
      </c>
      <c r="E476" s="23">
        <v>100000</v>
      </c>
      <c r="F476" s="23">
        <v>100000</v>
      </c>
      <c r="G476" s="23">
        <v>0</v>
      </c>
      <c r="H476" s="42">
        <v>46045</v>
      </c>
      <c r="I476" s="21" t="s">
        <v>803</v>
      </c>
    </row>
    <row r="477" spans="1:9" ht="21" customHeight="1">
      <c r="A477" s="20">
        <f t="shared" si="7"/>
        <v>473</v>
      </c>
      <c r="B477" s="21" t="s">
        <v>309</v>
      </c>
      <c r="C477" s="20" t="str">
        <f>IF(B477="","",IF(COUNTIF('01_Anggota'!$D$5:$D$1212,B477)=0,"NAMA TIDAK DITEMUKAN",INDEX('01_Anggota'!$B$5:$B$1212,MATCH(B477,'01_Anggota'!$D$5:$D$1212,0))))</f>
        <v>KKSUK-000110</v>
      </c>
      <c r="D477" s="23">
        <v>0</v>
      </c>
      <c r="E477" s="23">
        <v>100000</v>
      </c>
      <c r="F477" s="23">
        <v>100000</v>
      </c>
      <c r="G477" s="23">
        <v>0</v>
      </c>
      <c r="H477" s="42">
        <v>46078</v>
      </c>
      <c r="I477" s="21" t="s">
        <v>804</v>
      </c>
    </row>
    <row r="478" spans="1:9" ht="21" customHeight="1">
      <c r="A478" s="20">
        <f t="shared" si="7"/>
        <v>474</v>
      </c>
      <c r="B478" s="21" t="s">
        <v>309</v>
      </c>
      <c r="C478" s="20" t="str">
        <f>IF(B478="","",IF(COUNTIF('01_Anggota'!$D$5:$D$1212,B478)=0,"NAMA TIDAK DITEMUKAN",INDEX('01_Anggota'!$B$5:$B$1212,MATCH(B478,'01_Anggota'!$D$5:$D$1212,0))))</f>
        <v>KKSUK-000110</v>
      </c>
      <c r="D478" s="23">
        <v>0</v>
      </c>
      <c r="E478" s="23">
        <v>100000</v>
      </c>
      <c r="F478" s="23">
        <v>100000</v>
      </c>
      <c r="G478" s="23">
        <v>0</v>
      </c>
      <c r="H478" s="42">
        <v>46106</v>
      </c>
      <c r="I478" s="21" t="s">
        <v>805</v>
      </c>
    </row>
    <row r="479" spans="1:9" ht="21" customHeight="1">
      <c r="A479" s="20">
        <f t="shared" si="7"/>
        <v>475</v>
      </c>
      <c r="B479" s="21" t="s">
        <v>309</v>
      </c>
      <c r="C479" s="20" t="str">
        <f>IF(B479="","",IF(COUNTIF('01_Anggota'!$D$5:$D$1212,B479)=0,"NAMA TIDAK DITEMUKAN",INDEX('01_Anggota'!$B$5:$B$1212,MATCH(B479,'01_Anggota'!$D$5:$D$1212,0))))</f>
        <v>KKSUK-000110</v>
      </c>
      <c r="D479" s="23">
        <v>0</v>
      </c>
      <c r="E479" s="23">
        <v>50000</v>
      </c>
      <c r="F479" s="23">
        <v>150000</v>
      </c>
      <c r="G479" s="23">
        <v>0</v>
      </c>
      <c r="H479" s="42">
        <v>46136</v>
      </c>
      <c r="I479" s="21" t="s">
        <v>806</v>
      </c>
    </row>
    <row r="480" spans="1:9" ht="21" customHeight="1">
      <c r="A480" s="20">
        <f t="shared" si="7"/>
        <v>476</v>
      </c>
      <c r="B480" s="21" t="s">
        <v>309</v>
      </c>
      <c r="C480" s="20" t="str">
        <f>IF(B480="","",IF(COUNTIF('01_Anggota'!$D$5:$D$1212,B480)=0,"NAMA TIDAK DITEMUKAN",INDEX('01_Anggota'!$B$5:$B$1212,MATCH(B480,'01_Anggota'!$D$5:$D$1212,0))))</f>
        <v>KKSUK-000110</v>
      </c>
      <c r="D480" s="23">
        <v>0</v>
      </c>
      <c r="E480" s="23">
        <v>-2500000</v>
      </c>
      <c r="F480" s="23">
        <v>0</v>
      </c>
      <c r="G480" s="23">
        <v>0</v>
      </c>
      <c r="H480" s="42">
        <v>46136</v>
      </c>
      <c r="I480" s="21" t="s">
        <v>806</v>
      </c>
    </row>
    <row r="481" spans="1:9" ht="21" customHeight="1">
      <c r="A481" s="20">
        <f t="shared" si="7"/>
        <v>477</v>
      </c>
      <c r="B481" s="21" t="s">
        <v>309</v>
      </c>
      <c r="C481" s="20" t="str">
        <f>IF(B481="","",IF(COUNTIF('01_Anggota'!$D$5:$D$1212,B481)=0,"NAMA TIDAK DITEMUKAN",INDEX('01_Anggota'!$B$5:$B$1212,MATCH(B481,'01_Anggota'!$D$5:$D$1212,0))))</f>
        <v>KKSUK-000110</v>
      </c>
      <c r="D481" s="23">
        <v>0</v>
      </c>
      <c r="E481" s="23">
        <v>50000</v>
      </c>
      <c r="F481" s="23">
        <v>150000</v>
      </c>
      <c r="G481" s="23">
        <v>0</v>
      </c>
      <c r="H481" s="42">
        <v>46167</v>
      </c>
      <c r="I481" s="21" t="s">
        <v>807</v>
      </c>
    </row>
    <row r="482" spans="1:9" ht="21" customHeight="1">
      <c r="A482" s="20">
        <f t="shared" si="7"/>
        <v>478</v>
      </c>
      <c r="B482" s="21" t="s">
        <v>309</v>
      </c>
      <c r="C482" s="20" t="str">
        <f>IF(B482="","",IF(COUNTIF('01_Anggota'!$D$5:$D$1212,B482)=0,"NAMA TIDAK DITEMUKAN",INDEX('01_Anggota'!$B$5:$B$1212,MATCH(B482,'01_Anggota'!$D$5:$D$1212,0))))</f>
        <v>KKSUK-000110</v>
      </c>
      <c r="D482" s="23">
        <v>0</v>
      </c>
      <c r="E482" s="23">
        <v>350000</v>
      </c>
      <c r="F482" s="23">
        <v>150000</v>
      </c>
      <c r="G482" s="23">
        <v>0</v>
      </c>
      <c r="H482" s="42">
        <v>46198</v>
      </c>
      <c r="I482" s="21" t="s">
        <v>808</v>
      </c>
    </row>
    <row r="483" spans="1:9" ht="21" customHeight="1">
      <c r="A483" s="20">
        <f t="shared" si="7"/>
        <v>479</v>
      </c>
      <c r="B483" s="21" t="s">
        <v>309</v>
      </c>
      <c r="C483" s="20" t="str">
        <f>IF(B483="","",IF(COUNTIF('01_Anggota'!$D$5:$D$1212,B483)=0,"NAMA TIDAK DITEMUKAN",INDEX('01_Anggota'!$B$5:$B$1212,MATCH(B483,'01_Anggota'!$D$5:$D$1212,0))))</f>
        <v>KKSUK-000110</v>
      </c>
      <c r="D483" s="23">
        <v>0</v>
      </c>
      <c r="E483" s="23">
        <v>350000</v>
      </c>
      <c r="F483" s="23">
        <v>150000</v>
      </c>
      <c r="G483" s="23">
        <v>0</v>
      </c>
      <c r="H483" s="42">
        <v>46227</v>
      </c>
      <c r="I483" s="21" t="s">
        <v>809</v>
      </c>
    </row>
    <row r="484" spans="1:9" ht="21" customHeight="1">
      <c r="A484" s="20">
        <f t="shared" si="7"/>
        <v>480</v>
      </c>
      <c r="B484" s="21" t="s">
        <v>309</v>
      </c>
      <c r="C484" s="20" t="str">
        <f>IF(B484="","",IF(COUNTIF('01_Anggota'!$D$5:$D$1212,B484)=0,"NAMA TIDAK DITEMUKAN",INDEX('01_Anggota'!$B$5:$B$1212,MATCH(B484,'01_Anggota'!$D$5:$D$1212,0))))</f>
        <v>KKSUK-000110</v>
      </c>
      <c r="D484" s="23">
        <v>0</v>
      </c>
      <c r="E484" s="23">
        <v>350000</v>
      </c>
      <c r="F484" s="23">
        <v>150000</v>
      </c>
      <c r="G484" s="23">
        <v>0</v>
      </c>
      <c r="H484" s="42">
        <v>46258</v>
      </c>
      <c r="I484" s="21" t="s">
        <v>810</v>
      </c>
    </row>
    <row r="485" spans="1:9" ht="21" customHeight="1">
      <c r="A485" s="20">
        <f t="shared" si="7"/>
        <v>481</v>
      </c>
      <c r="B485" s="21" t="s">
        <v>812</v>
      </c>
      <c r="C485" s="20" t="str">
        <f>IF(B485="","",IF(COUNTIF('01_Anggota'!$D$5:$D$1212,B485)=0,"NAMA TIDAK DITEMUKAN",INDEX('01_Anggota'!$B$5:$B$1212,MATCH(B485,'01_Anggota'!$D$5:$D$1212,0))))</f>
        <v>NAMA TIDAK DITEMUKAN</v>
      </c>
      <c r="D485" s="23">
        <v>0</v>
      </c>
      <c r="E485" s="23">
        <v>6655000</v>
      </c>
      <c r="F485" s="23">
        <v>16267444</v>
      </c>
      <c r="G485" s="23">
        <v>8361372</v>
      </c>
      <c r="H485" s="42">
        <v>46023</v>
      </c>
      <c r="I485" s="21" t="s">
        <v>802</v>
      </c>
    </row>
    <row r="486" spans="1:9" ht="21" customHeight="1">
      <c r="A486" s="20">
        <f t="shared" si="7"/>
        <v>482</v>
      </c>
      <c r="B486" s="21" t="s">
        <v>812</v>
      </c>
      <c r="C486" s="20" t="str">
        <f>IF(B486="","",IF(COUNTIF('01_Anggota'!$D$5:$D$1212,B486)=0,"NAMA TIDAK DITEMUKAN",INDEX('01_Anggota'!$B$5:$B$1212,MATCH(B486,'01_Anggota'!$D$5:$D$1212,0))))</f>
        <v>NAMA TIDAK DITEMUKAN</v>
      </c>
      <c r="D486" s="23">
        <v>0</v>
      </c>
      <c r="E486" s="23">
        <v>-6655000</v>
      </c>
      <c r="F486" s="23">
        <v>-16267444.380552299</v>
      </c>
      <c r="G486" s="23">
        <v>-8361372</v>
      </c>
      <c r="H486" s="42">
        <v>46023</v>
      </c>
      <c r="I486" s="21" t="s">
        <v>802</v>
      </c>
    </row>
    <row r="487" spans="1:9" ht="21" customHeight="1">
      <c r="A487" s="20">
        <f t="shared" si="7"/>
        <v>483</v>
      </c>
      <c r="B487" s="21" t="s">
        <v>211</v>
      </c>
      <c r="C487" s="20" t="str">
        <f>IF(B487="","",IF(COUNTIF('01_Anggota'!$D$5:$D$1212,B487)=0,"NAMA TIDAK DITEMUKAN",INDEX('01_Anggota'!$B$5:$B$1212,MATCH(B487,'01_Anggota'!$D$5:$D$1212,0))))</f>
        <v>KKSUK-000012</v>
      </c>
      <c r="D487" s="23">
        <v>0</v>
      </c>
      <c r="E487" s="23">
        <v>1915000</v>
      </c>
      <c r="F487" s="23">
        <v>9939098.4198538605</v>
      </c>
      <c r="G487" s="23">
        <v>2693715</v>
      </c>
      <c r="H487" s="42">
        <v>46023</v>
      </c>
      <c r="I487" s="21" t="s">
        <v>802</v>
      </c>
    </row>
    <row r="488" spans="1:9" ht="21" customHeight="1">
      <c r="A488" s="20">
        <f t="shared" si="7"/>
        <v>484</v>
      </c>
      <c r="B488" s="21" t="s">
        <v>211</v>
      </c>
      <c r="C488" s="20" t="str">
        <f>IF(B488="","",IF(COUNTIF('01_Anggota'!$D$5:$D$1212,B488)=0,"NAMA TIDAK DITEMUKAN",INDEX('01_Anggota'!$B$5:$B$1212,MATCH(B488,'01_Anggota'!$D$5:$D$1212,0))))</f>
        <v>KKSUK-000012</v>
      </c>
      <c r="D488" s="23">
        <v>0</v>
      </c>
      <c r="E488" s="23">
        <v>150000</v>
      </c>
      <c r="F488" s="23">
        <v>150000</v>
      </c>
      <c r="G488" s="23">
        <v>0</v>
      </c>
      <c r="H488" s="42">
        <v>46045</v>
      </c>
      <c r="I488" s="21" t="s">
        <v>803</v>
      </c>
    </row>
    <row r="489" spans="1:9" ht="21" customHeight="1">
      <c r="A489" s="20">
        <f t="shared" si="7"/>
        <v>485</v>
      </c>
      <c r="B489" s="21" t="s">
        <v>211</v>
      </c>
      <c r="C489" s="20" t="str">
        <f>IF(B489="","",IF(COUNTIF('01_Anggota'!$D$5:$D$1212,B489)=0,"NAMA TIDAK DITEMUKAN",INDEX('01_Anggota'!$B$5:$B$1212,MATCH(B489,'01_Anggota'!$D$5:$D$1212,0))))</f>
        <v>KKSUK-000012</v>
      </c>
      <c r="D489" s="23">
        <v>0</v>
      </c>
      <c r="E489" s="23">
        <v>-1500000</v>
      </c>
      <c r="F489" s="23">
        <v>0</v>
      </c>
      <c r="G489" s="23">
        <v>0</v>
      </c>
      <c r="H489" s="42">
        <v>46045</v>
      </c>
      <c r="I489" s="21" t="s">
        <v>803</v>
      </c>
    </row>
    <row r="490" spans="1:9" ht="21" customHeight="1">
      <c r="A490" s="20">
        <f t="shared" si="7"/>
        <v>486</v>
      </c>
      <c r="B490" s="21" t="s">
        <v>211</v>
      </c>
      <c r="C490" s="20" t="str">
        <f>IF(B490="","",IF(COUNTIF('01_Anggota'!$D$5:$D$1212,B490)=0,"NAMA TIDAK DITEMUKAN",INDEX('01_Anggota'!$B$5:$B$1212,MATCH(B490,'01_Anggota'!$D$5:$D$1212,0))))</f>
        <v>KKSUK-000012</v>
      </c>
      <c r="D490" s="23">
        <v>0</v>
      </c>
      <c r="E490" s="23">
        <v>150000</v>
      </c>
      <c r="F490" s="23">
        <v>150000</v>
      </c>
      <c r="G490" s="23">
        <v>0</v>
      </c>
      <c r="H490" s="42">
        <v>46078</v>
      </c>
      <c r="I490" s="21" t="s">
        <v>804</v>
      </c>
    </row>
    <row r="491" spans="1:9" ht="21" customHeight="1">
      <c r="A491" s="20">
        <f t="shared" si="7"/>
        <v>487</v>
      </c>
      <c r="B491" s="21" t="s">
        <v>211</v>
      </c>
      <c r="C491" s="20" t="str">
        <f>IF(B491="","",IF(COUNTIF('01_Anggota'!$D$5:$D$1212,B491)=0,"NAMA TIDAK DITEMUKAN",INDEX('01_Anggota'!$B$5:$B$1212,MATCH(B491,'01_Anggota'!$D$5:$D$1212,0))))</f>
        <v>KKSUK-000012</v>
      </c>
      <c r="D491" s="23">
        <v>0</v>
      </c>
      <c r="E491" s="23">
        <v>150000</v>
      </c>
      <c r="F491" s="23">
        <v>150000</v>
      </c>
      <c r="G491" s="23">
        <v>0</v>
      </c>
      <c r="H491" s="42">
        <v>46106</v>
      </c>
      <c r="I491" s="21" t="s">
        <v>805</v>
      </c>
    </row>
    <row r="492" spans="1:9" ht="21" customHeight="1">
      <c r="A492" s="20">
        <f t="shared" si="7"/>
        <v>488</v>
      </c>
      <c r="B492" s="21" t="s">
        <v>211</v>
      </c>
      <c r="C492" s="20" t="str">
        <f>IF(B492="","",IF(COUNTIF('01_Anggota'!$D$5:$D$1212,B492)=0,"NAMA TIDAK DITEMUKAN",INDEX('01_Anggota'!$B$5:$B$1212,MATCH(B492,'01_Anggota'!$D$5:$D$1212,0))))</f>
        <v>KKSUK-000012</v>
      </c>
      <c r="D492" s="23">
        <v>0</v>
      </c>
      <c r="E492" s="23">
        <v>100000</v>
      </c>
      <c r="F492" s="23">
        <v>200000</v>
      </c>
      <c r="G492" s="23">
        <v>0</v>
      </c>
      <c r="H492" s="42">
        <v>46136</v>
      </c>
      <c r="I492" s="21" t="s">
        <v>806</v>
      </c>
    </row>
    <row r="493" spans="1:9" ht="21" customHeight="1">
      <c r="A493" s="20">
        <f t="shared" si="7"/>
        <v>489</v>
      </c>
      <c r="B493" s="21" t="s">
        <v>211</v>
      </c>
      <c r="C493" s="20" t="str">
        <f>IF(B493="","",IF(COUNTIF('01_Anggota'!$D$5:$D$1212,B493)=0,"NAMA TIDAK DITEMUKAN",INDEX('01_Anggota'!$B$5:$B$1212,MATCH(B493,'01_Anggota'!$D$5:$D$1212,0))))</f>
        <v>KKSUK-000012</v>
      </c>
      <c r="D493" s="23">
        <v>0</v>
      </c>
      <c r="E493" s="23">
        <v>100000</v>
      </c>
      <c r="F493" s="23">
        <v>200000</v>
      </c>
      <c r="G493" s="23">
        <v>0</v>
      </c>
      <c r="H493" s="42">
        <v>46167</v>
      </c>
      <c r="I493" s="21" t="s">
        <v>807</v>
      </c>
    </row>
    <row r="494" spans="1:9" ht="21" customHeight="1">
      <c r="A494" s="20">
        <f t="shared" si="7"/>
        <v>490</v>
      </c>
      <c r="B494" s="21" t="s">
        <v>211</v>
      </c>
      <c r="C494" s="20" t="str">
        <f>IF(B494="","",IF(COUNTIF('01_Anggota'!$D$5:$D$1212,B494)=0,"NAMA TIDAK DITEMUKAN",INDEX('01_Anggota'!$B$5:$B$1212,MATCH(B494,'01_Anggota'!$D$5:$D$1212,0))))</f>
        <v>KKSUK-000012</v>
      </c>
      <c r="D494" s="23">
        <v>0</v>
      </c>
      <c r="E494" s="23">
        <v>100000</v>
      </c>
      <c r="F494" s="23">
        <v>200000</v>
      </c>
      <c r="G494" s="23">
        <v>0</v>
      </c>
      <c r="H494" s="42">
        <v>46198</v>
      </c>
      <c r="I494" s="21" t="s">
        <v>808</v>
      </c>
    </row>
    <row r="495" spans="1:9" ht="21" customHeight="1">
      <c r="A495" s="20">
        <f t="shared" si="7"/>
        <v>491</v>
      </c>
      <c r="B495" s="21" t="s">
        <v>211</v>
      </c>
      <c r="C495" s="20" t="str">
        <f>IF(B495="","",IF(COUNTIF('01_Anggota'!$D$5:$D$1212,B495)=0,"NAMA TIDAK DITEMUKAN",INDEX('01_Anggota'!$B$5:$B$1212,MATCH(B495,'01_Anggota'!$D$5:$D$1212,0))))</f>
        <v>KKSUK-000012</v>
      </c>
      <c r="D495" s="23">
        <v>0</v>
      </c>
      <c r="E495" s="23">
        <v>100000</v>
      </c>
      <c r="F495" s="23">
        <v>200000</v>
      </c>
      <c r="G495" s="23">
        <v>0</v>
      </c>
      <c r="H495" s="42">
        <v>46227</v>
      </c>
      <c r="I495" s="21" t="s">
        <v>809</v>
      </c>
    </row>
    <row r="496" spans="1:9" ht="21" customHeight="1">
      <c r="A496" s="20">
        <f t="shared" si="7"/>
        <v>492</v>
      </c>
      <c r="B496" s="21" t="s">
        <v>211</v>
      </c>
      <c r="C496" s="20" t="str">
        <f>IF(B496="","",IF(COUNTIF('01_Anggota'!$D$5:$D$1212,B496)=0,"NAMA TIDAK DITEMUKAN",INDEX('01_Anggota'!$B$5:$B$1212,MATCH(B496,'01_Anggota'!$D$5:$D$1212,0))))</f>
        <v>KKSUK-000012</v>
      </c>
      <c r="D496" s="23">
        <v>0</v>
      </c>
      <c r="E496" s="23">
        <v>100000</v>
      </c>
      <c r="F496" s="23">
        <v>200000</v>
      </c>
      <c r="G496" s="23">
        <v>0</v>
      </c>
      <c r="H496" s="42">
        <v>46258</v>
      </c>
      <c r="I496" s="21" t="s">
        <v>810</v>
      </c>
    </row>
    <row r="497" spans="1:9" ht="21" customHeight="1">
      <c r="A497" s="20">
        <f t="shared" si="7"/>
        <v>493</v>
      </c>
      <c r="B497" s="21" t="s">
        <v>370</v>
      </c>
      <c r="C497" s="20" t="str">
        <f>IF(B497="","",IF(COUNTIF('01_Anggota'!$D$5:$D$1212,B497)=0,"NAMA TIDAK DITEMUKAN",INDEX('01_Anggota'!$B$5:$B$1212,MATCH(B497,'01_Anggota'!$D$5:$D$1212,0))))</f>
        <v>KKSUK-000171</v>
      </c>
      <c r="D497" s="23">
        <v>0</v>
      </c>
      <c r="E497" s="23">
        <v>800000</v>
      </c>
      <c r="F497" s="23">
        <v>800000</v>
      </c>
      <c r="G497" s="23">
        <v>0</v>
      </c>
      <c r="H497" s="42">
        <v>46023</v>
      </c>
      <c r="I497" s="21" t="s">
        <v>802</v>
      </c>
    </row>
    <row r="498" spans="1:9" ht="21" customHeight="1">
      <c r="A498" s="20">
        <f t="shared" si="7"/>
        <v>494</v>
      </c>
      <c r="B498" s="21" t="s">
        <v>370</v>
      </c>
      <c r="C498" s="20" t="str">
        <f>IF(B498="","",IF(COUNTIF('01_Anggota'!$D$5:$D$1212,B498)=0,"NAMA TIDAK DITEMUKAN",INDEX('01_Anggota'!$B$5:$B$1212,MATCH(B498,'01_Anggota'!$D$5:$D$1212,0))))</f>
        <v>KKSUK-000171</v>
      </c>
      <c r="D498" s="23">
        <v>0</v>
      </c>
      <c r="E498" s="23">
        <v>100000</v>
      </c>
      <c r="F498" s="23">
        <v>100000</v>
      </c>
      <c r="G498" s="23">
        <v>0</v>
      </c>
      <c r="H498" s="42">
        <v>46045</v>
      </c>
      <c r="I498" s="21" t="s">
        <v>803</v>
      </c>
    </row>
    <row r="499" spans="1:9" ht="21" customHeight="1">
      <c r="A499" s="20">
        <f t="shared" si="7"/>
        <v>495</v>
      </c>
      <c r="B499" s="21" t="s">
        <v>370</v>
      </c>
      <c r="C499" s="20" t="str">
        <f>IF(B499="","",IF(COUNTIF('01_Anggota'!$D$5:$D$1212,B499)=0,"NAMA TIDAK DITEMUKAN",INDEX('01_Anggota'!$B$5:$B$1212,MATCH(B499,'01_Anggota'!$D$5:$D$1212,0))))</f>
        <v>KKSUK-000171</v>
      </c>
      <c r="D499" s="23">
        <v>0</v>
      </c>
      <c r="E499" s="23">
        <v>100000</v>
      </c>
      <c r="F499" s="23">
        <v>100000</v>
      </c>
      <c r="G499" s="23">
        <v>0</v>
      </c>
      <c r="H499" s="42">
        <v>46078</v>
      </c>
      <c r="I499" s="21" t="s">
        <v>804</v>
      </c>
    </row>
    <row r="500" spans="1:9" ht="21" customHeight="1">
      <c r="A500" s="20">
        <f t="shared" si="7"/>
        <v>496</v>
      </c>
      <c r="B500" s="21" t="s">
        <v>370</v>
      </c>
      <c r="C500" s="20" t="str">
        <f>IF(B500="","",IF(COUNTIF('01_Anggota'!$D$5:$D$1212,B500)=0,"NAMA TIDAK DITEMUKAN",INDEX('01_Anggota'!$B$5:$B$1212,MATCH(B500,'01_Anggota'!$D$5:$D$1212,0))))</f>
        <v>KKSUK-000171</v>
      </c>
      <c r="D500" s="23">
        <v>0</v>
      </c>
      <c r="E500" s="23">
        <v>100000</v>
      </c>
      <c r="F500" s="23">
        <v>100000</v>
      </c>
      <c r="G500" s="23">
        <v>0</v>
      </c>
      <c r="H500" s="42">
        <v>46106</v>
      </c>
      <c r="I500" s="21" t="s">
        <v>805</v>
      </c>
    </row>
    <row r="501" spans="1:9" ht="21" customHeight="1">
      <c r="A501" s="20">
        <f t="shared" si="7"/>
        <v>497</v>
      </c>
      <c r="B501" s="21" t="s">
        <v>370</v>
      </c>
      <c r="C501" s="20" t="str">
        <f>IF(B501="","",IF(COUNTIF('01_Anggota'!$D$5:$D$1212,B501)=0,"NAMA TIDAK DITEMUKAN",INDEX('01_Anggota'!$B$5:$B$1212,MATCH(B501,'01_Anggota'!$D$5:$D$1212,0))))</f>
        <v>KKSUK-000171</v>
      </c>
      <c r="D501" s="23">
        <v>0</v>
      </c>
      <c r="E501" s="23">
        <v>100000</v>
      </c>
      <c r="F501" s="23">
        <v>100000</v>
      </c>
      <c r="G501" s="23">
        <v>0</v>
      </c>
      <c r="H501" s="42">
        <v>46136</v>
      </c>
      <c r="I501" s="21" t="s">
        <v>806</v>
      </c>
    </row>
    <row r="502" spans="1:9" ht="21" customHeight="1">
      <c r="A502" s="20">
        <f t="shared" si="7"/>
        <v>498</v>
      </c>
      <c r="B502" s="21" t="s">
        <v>370</v>
      </c>
      <c r="C502" s="20" t="str">
        <f>IF(B502="","",IF(COUNTIF('01_Anggota'!$D$5:$D$1212,B502)=0,"NAMA TIDAK DITEMUKAN",INDEX('01_Anggota'!$B$5:$B$1212,MATCH(B502,'01_Anggota'!$D$5:$D$1212,0))))</f>
        <v>KKSUK-000171</v>
      </c>
      <c r="D502" s="23">
        <v>0</v>
      </c>
      <c r="E502" s="23">
        <v>100000</v>
      </c>
      <c r="F502" s="23">
        <v>100000</v>
      </c>
      <c r="G502" s="23">
        <v>0</v>
      </c>
      <c r="H502" s="42">
        <v>46167</v>
      </c>
      <c r="I502" s="21" t="s">
        <v>807</v>
      </c>
    </row>
    <row r="503" spans="1:9" ht="21" customHeight="1">
      <c r="A503" s="20">
        <f t="shared" si="7"/>
        <v>499</v>
      </c>
      <c r="B503" s="21" t="s">
        <v>370</v>
      </c>
      <c r="C503" s="20" t="str">
        <f>IF(B503="","",IF(COUNTIF('01_Anggota'!$D$5:$D$1212,B503)=0,"NAMA TIDAK DITEMUKAN",INDEX('01_Anggota'!$B$5:$B$1212,MATCH(B503,'01_Anggota'!$D$5:$D$1212,0))))</f>
        <v>KKSUK-000171</v>
      </c>
      <c r="D503" s="23">
        <v>0</v>
      </c>
      <c r="E503" s="23">
        <v>100000</v>
      </c>
      <c r="F503" s="23">
        <v>100000</v>
      </c>
      <c r="G503" s="23">
        <v>0</v>
      </c>
      <c r="H503" s="42">
        <v>46198</v>
      </c>
      <c r="I503" s="21" t="s">
        <v>808</v>
      </c>
    </row>
    <row r="504" spans="1:9" ht="21" customHeight="1">
      <c r="A504" s="20">
        <f t="shared" si="7"/>
        <v>500</v>
      </c>
      <c r="B504" s="21" t="s">
        <v>370</v>
      </c>
      <c r="C504" s="20" t="str">
        <f>IF(B504="","",IF(COUNTIF('01_Anggota'!$D$5:$D$1212,B504)=0,"NAMA TIDAK DITEMUKAN",INDEX('01_Anggota'!$B$5:$B$1212,MATCH(B504,'01_Anggota'!$D$5:$D$1212,0))))</f>
        <v>KKSUK-000171</v>
      </c>
      <c r="D504" s="23">
        <v>0</v>
      </c>
      <c r="E504" s="23">
        <v>100000</v>
      </c>
      <c r="F504" s="23">
        <v>100000</v>
      </c>
      <c r="G504" s="23">
        <v>0</v>
      </c>
      <c r="H504" s="42">
        <v>46227</v>
      </c>
      <c r="I504" s="21" t="s">
        <v>809</v>
      </c>
    </row>
    <row r="505" spans="1:9" ht="21" customHeight="1">
      <c r="A505" s="20">
        <f t="shared" si="7"/>
        <v>501</v>
      </c>
      <c r="B505" s="21" t="s">
        <v>370</v>
      </c>
      <c r="C505" s="20" t="str">
        <f>IF(B505="","",IF(COUNTIF('01_Anggota'!$D$5:$D$1212,B505)=0,"NAMA TIDAK DITEMUKAN",INDEX('01_Anggota'!$B$5:$B$1212,MATCH(B505,'01_Anggota'!$D$5:$D$1212,0))))</f>
        <v>KKSUK-000171</v>
      </c>
      <c r="D505" s="23">
        <v>0</v>
      </c>
      <c r="E505" s="23">
        <v>100000</v>
      </c>
      <c r="F505" s="23">
        <v>100000</v>
      </c>
      <c r="G505" s="23">
        <v>0</v>
      </c>
      <c r="H505" s="42">
        <v>46258</v>
      </c>
      <c r="I505" s="21" t="s">
        <v>810</v>
      </c>
    </row>
    <row r="506" spans="1:9" ht="21" customHeight="1">
      <c r="A506" s="20">
        <f t="shared" si="7"/>
        <v>502</v>
      </c>
      <c r="B506" s="21" t="s">
        <v>401</v>
      </c>
      <c r="C506" s="20" t="str">
        <f>IF(B506="","",IF(COUNTIF('01_Anggota'!$D$5:$D$1212,B506)=0,"NAMA TIDAK DITEMUKAN",INDEX('01_Anggota'!$B$5:$B$1212,MATCH(B506,'01_Anggota'!$D$5:$D$1212,0))))</f>
        <v>KKSUK-000202</v>
      </c>
      <c r="D506" s="23">
        <v>0</v>
      </c>
      <c r="E506" s="23">
        <v>150000</v>
      </c>
      <c r="F506" s="23">
        <v>100000</v>
      </c>
      <c r="G506" s="23">
        <v>0</v>
      </c>
      <c r="H506" s="42">
        <v>46167</v>
      </c>
      <c r="I506" s="21" t="s">
        <v>807</v>
      </c>
    </row>
    <row r="507" spans="1:9" ht="21" customHeight="1">
      <c r="A507" s="20">
        <f t="shared" si="7"/>
        <v>503</v>
      </c>
      <c r="B507" s="21" t="s">
        <v>401</v>
      </c>
      <c r="C507" s="20" t="str">
        <f>IF(B507="","",IF(COUNTIF('01_Anggota'!$D$5:$D$1212,B507)=0,"NAMA TIDAK DITEMUKAN",INDEX('01_Anggota'!$B$5:$B$1212,MATCH(B507,'01_Anggota'!$D$5:$D$1212,0))))</f>
        <v>KKSUK-000202</v>
      </c>
      <c r="D507" s="23">
        <v>0</v>
      </c>
      <c r="E507" s="23">
        <v>200000</v>
      </c>
      <c r="F507" s="23">
        <v>100000</v>
      </c>
      <c r="G507" s="23">
        <v>0</v>
      </c>
      <c r="H507" s="42">
        <v>46198</v>
      </c>
      <c r="I507" s="21" t="s">
        <v>808</v>
      </c>
    </row>
    <row r="508" spans="1:9" ht="21" customHeight="1">
      <c r="A508" s="20">
        <f t="shared" si="7"/>
        <v>504</v>
      </c>
      <c r="B508" s="21" t="s">
        <v>401</v>
      </c>
      <c r="C508" s="20" t="str">
        <f>IF(B508="","",IF(COUNTIF('01_Anggota'!$D$5:$D$1212,B508)=0,"NAMA TIDAK DITEMUKAN",INDEX('01_Anggota'!$B$5:$B$1212,MATCH(B508,'01_Anggota'!$D$5:$D$1212,0))))</f>
        <v>KKSUK-000202</v>
      </c>
      <c r="D508" s="23">
        <v>0</v>
      </c>
      <c r="E508" s="23">
        <v>200000</v>
      </c>
      <c r="F508" s="23">
        <v>100000</v>
      </c>
      <c r="G508" s="23">
        <v>0</v>
      </c>
      <c r="H508" s="42">
        <v>46227</v>
      </c>
      <c r="I508" s="21" t="s">
        <v>809</v>
      </c>
    </row>
    <row r="509" spans="1:9" ht="21" customHeight="1">
      <c r="A509" s="20">
        <f t="shared" si="7"/>
        <v>505</v>
      </c>
      <c r="B509" s="21" t="s">
        <v>401</v>
      </c>
      <c r="C509" s="20" t="str">
        <f>IF(B509="","",IF(COUNTIF('01_Anggota'!$D$5:$D$1212,B509)=0,"NAMA TIDAK DITEMUKAN",INDEX('01_Anggota'!$B$5:$B$1212,MATCH(B509,'01_Anggota'!$D$5:$D$1212,0))))</f>
        <v>KKSUK-000202</v>
      </c>
      <c r="D509" s="23">
        <v>0</v>
      </c>
      <c r="E509" s="23">
        <v>200000</v>
      </c>
      <c r="F509" s="23">
        <v>100000</v>
      </c>
      <c r="G509" s="23">
        <v>0</v>
      </c>
      <c r="H509" s="42">
        <v>46258</v>
      </c>
      <c r="I509" s="21" t="s">
        <v>810</v>
      </c>
    </row>
    <row r="510" spans="1:9" ht="21" customHeight="1">
      <c r="A510" s="20">
        <f t="shared" si="7"/>
        <v>506</v>
      </c>
      <c r="B510" s="21" t="s">
        <v>269</v>
      </c>
      <c r="C510" s="20" t="str">
        <f>IF(B510="","",IF(COUNTIF('01_Anggota'!$D$5:$D$1212,B510)=0,"NAMA TIDAK DITEMUKAN",INDEX('01_Anggota'!$B$5:$B$1212,MATCH(B510,'01_Anggota'!$D$5:$D$1212,0))))</f>
        <v>KKSUK-000070</v>
      </c>
      <c r="D510" s="23">
        <v>0</v>
      </c>
      <c r="E510" s="23">
        <v>3813593</v>
      </c>
      <c r="F510" s="23">
        <v>17459614.87867</v>
      </c>
      <c r="G510" s="23">
        <v>9841232</v>
      </c>
      <c r="H510" s="42">
        <v>46023</v>
      </c>
      <c r="I510" s="21" t="s">
        <v>802</v>
      </c>
    </row>
    <row r="511" spans="1:9" ht="21" customHeight="1">
      <c r="A511" s="20">
        <f t="shared" si="7"/>
        <v>507</v>
      </c>
      <c r="B511" s="21" t="s">
        <v>269</v>
      </c>
      <c r="C511" s="20" t="str">
        <f>IF(B511="","",IF(COUNTIF('01_Anggota'!$D$5:$D$1212,B511)=0,"NAMA TIDAK DITEMUKAN",INDEX('01_Anggota'!$B$5:$B$1212,MATCH(B511,'01_Anggota'!$D$5:$D$1212,0))))</f>
        <v>KKSUK-000070</v>
      </c>
      <c r="D511" s="23">
        <v>0</v>
      </c>
      <c r="E511" s="23">
        <v>200000</v>
      </c>
      <c r="F511" s="23">
        <v>100000</v>
      </c>
      <c r="G511" s="23">
        <v>0</v>
      </c>
      <c r="H511" s="42">
        <v>46045</v>
      </c>
      <c r="I511" s="21" t="s">
        <v>803</v>
      </c>
    </row>
    <row r="512" spans="1:9" ht="21" customHeight="1">
      <c r="A512" s="20">
        <f t="shared" si="7"/>
        <v>508</v>
      </c>
      <c r="B512" s="21" t="s">
        <v>269</v>
      </c>
      <c r="C512" s="20" t="str">
        <f>IF(B512="","",IF(COUNTIF('01_Anggota'!$D$5:$D$1212,B512)=0,"NAMA TIDAK DITEMUKAN",INDEX('01_Anggota'!$B$5:$B$1212,MATCH(B512,'01_Anggota'!$D$5:$D$1212,0))))</f>
        <v>KKSUK-000070</v>
      </c>
      <c r="D512" s="23">
        <v>0</v>
      </c>
      <c r="E512" s="23">
        <v>200000</v>
      </c>
      <c r="F512" s="23">
        <v>100000</v>
      </c>
      <c r="G512" s="23">
        <v>0</v>
      </c>
      <c r="H512" s="42">
        <v>46078</v>
      </c>
      <c r="I512" s="21" t="s">
        <v>804</v>
      </c>
    </row>
    <row r="513" spans="1:9" ht="21" customHeight="1">
      <c r="A513" s="20">
        <f t="shared" si="7"/>
        <v>509</v>
      </c>
      <c r="B513" s="21" t="s">
        <v>269</v>
      </c>
      <c r="C513" s="20" t="str">
        <f>IF(B513="","",IF(COUNTIF('01_Anggota'!$D$5:$D$1212,B513)=0,"NAMA TIDAK DITEMUKAN",INDEX('01_Anggota'!$B$5:$B$1212,MATCH(B513,'01_Anggota'!$D$5:$D$1212,0))))</f>
        <v>KKSUK-000070</v>
      </c>
      <c r="D513" s="23">
        <v>0</v>
      </c>
      <c r="E513" s="23">
        <v>200000</v>
      </c>
      <c r="F513" s="23">
        <v>100000</v>
      </c>
      <c r="G513" s="23">
        <v>0</v>
      </c>
      <c r="H513" s="42">
        <v>46106</v>
      </c>
      <c r="I513" s="21" t="s">
        <v>805</v>
      </c>
    </row>
    <row r="514" spans="1:9" ht="21" customHeight="1">
      <c r="A514" s="20">
        <f t="shared" si="7"/>
        <v>510</v>
      </c>
      <c r="B514" s="21" t="s">
        <v>269</v>
      </c>
      <c r="C514" s="20" t="str">
        <f>IF(B514="","",IF(COUNTIF('01_Anggota'!$D$5:$D$1212,B514)=0,"NAMA TIDAK DITEMUKAN",INDEX('01_Anggota'!$B$5:$B$1212,MATCH(B514,'01_Anggota'!$D$5:$D$1212,0))))</f>
        <v>KKSUK-000070</v>
      </c>
      <c r="D514" s="23">
        <v>0</v>
      </c>
      <c r="E514" s="23">
        <v>200000</v>
      </c>
      <c r="F514" s="23">
        <v>100000</v>
      </c>
      <c r="G514" s="23">
        <v>0</v>
      </c>
      <c r="H514" s="42">
        <v>46136</v>
      </c>
      <c r="I514" s="21" t="s">
        <v>806</v>
      </c>
    </row>
    <row r="515" spans="1:9" ht="21" customHeight="1">
      <c r="A515" s="20">
        <f t="shared" si="7"/>
        <v>511</v>
      </c>
      <c r="B515" s="21" t="s">
        <v>269</v>
      </c>
      <c r="C515" s="20" t="str">
        <f>IF(B515="","",IF(COUNTIF('01_Anggota'!$D$5:$D$1212,B515)=0,"NAMA TIDAK DITEMUKAN",INDEX('01_Anggota'!$B$5:$B$1212,MATCH(B515,'01_Anggota'!$D$5:$D$1212,0))))</f>
        <v>KKSUK-000070</v>
      </c>
      <c r="D515" s="23">
        <v>0</v>
      </c>
      <c r="E515" s="23">
        <v>0</v>
      </c>
      <c r="F515" s="23">
        <v>0</v>
      </c>
      <c r="G515" s="23">
        <v>0</v>
      </c>
      <c r="H515" s="42">
        <v>46167</v>
      </c>
      <c r="I515" s="21" t="s">
        <v>807</v>
      </c>
    </row>
    <row r="516" spans="1:9" ht="21" customHeight="1">
      <c r="A516" s="20">
        <f t="shared" si="7"/>
        <v>512</v>
      </c>
      <c r="B516" s="21" t="s">
        <v>269</v>
      </c>
      <c r="C516" s="20" t="str">
        <f>IF(B516="","",IF(COUNTIF('01_Anggota'!$D$5:$D$1212,B516)=0,"NAMA TIDAK DITEMUKAN",INDEX('01_Anggota'!$B$5:$B$1212,MATCH(B516,'01_Anggota'!$D$5:$D$1212,0))))</f>
        <v>KKSUK-000070</v>
      </c>
      <c r="D516" s="23">
        <v>0</v>
      </c>
      <c r="E516" s="23">
        <v>200000</v>
      </c>
      <c r="F516" s="23">
        <v>100000</v>
      </c>
      <c r="G516" s="23">
        <v>0</v>
      </c>
      <c r="H516" s="42">
        <v>46167</v>
      </c>
      <c r="I516" s="21" t="s">
        <v>807</v>
      </c>
    </row>
    <row r="517" spans="1:9" ht="21" customHeight="1">
      <c r="A517" s="20">
        <f t="shared" ref="A517:A580" si="8">IF(B517="","",ROW()-4)</f>
        <v>513</v>
      </c>
      <c r="B517" s="21" t="s">
        <v>269</v>
      </c>
      <c r="C517" s="20" t="str">
        <f>IF(B517="","",IF(COUNTIF('01_Anggota'!$D$5:$D$1212,B517)=0,"NAMA TIDAK DITEMUKAN",INDEX('01_Anggota'!$B$5:$B$1212,MATCH(B517,'01_Anggota'!$D$5:$D$1212,0))))</f>
        <v>KKSUK-000070</v>
      </c>
      <c r="D517" s="23">
        <v>0</v>
      </c>
      <c r="E517" s="23">
        <v>200000</v>
      </c>
      <c r="F517" s="23">
        <v>100000</v>
      </c>
      <c r="G517" s="23">
        <v>0</v>
      </c>
      <c r="H517" s="42">
        <v>46198</v>
      </c>
      <c r="I517" s="21" t="s">
        <v>808</v>
      </c>
    </row>
    <row r="518" spans="1:9" ht="21" customHeight="1">
      <c r="A518" s="20">
        <f t="shared" si="8"/>
        <v>514</v>
      </c>
      <c r="B518" s="21" t="s">
        <v>269</v>
      </c>
      <c r="C518" s="20" t="str">
        <f>IF(B518="","",IF(COUNTIF('01_Anggota'!$D$5:$D$1212,B518)=0,"NAMA TIDAK DITEMUKAN",INDEX('01_Anggota'!$B$5:$B$1212,MATCH(B518,'01_Anggota'!$D$5:$D$1212,0))))</f>
        <v>KKSUK-000070</v>
      </c>
      <c r="D518" s="23">
        <v>0</v>
      </c>
      <c r="E518" s="23">
        <v>200000</v>
      </c>
      <c r="F518" s="23">
        <v>100000</v>
      </c>
      <c r="G518" s="23">
        <v>0</v>
      </c>
      <c r="H518" s="42">
        <v>46227</v>
      </c>
      <c r="I518" s="21" t="s">
        <v>809</v>
      </c>
    </row>
    <row r="519" spans="1:9" ht="21" customHeight="1">
      <c r="A519" s="20">
        <f t="shared" si="8"/>
        <v>515</v>
      </c>
      <c r="B519" s="21" t="s">
        <v>269</v>
      </c>
      <c r="C519" s="20" t="str">
        <f>IF(B519="","",IF(COUNTIF('01_Anggota'!$D$5:$D$1212,B519)=0,"NAMA TIDAK DITEMUKAN",INDEX('01_Anggota'!$B$5:$B$1212,MATCH(B519,'01_Anggota'!$D$5:$D$1212,0))))</f>
        <v>KKSUK-000070</v>
      </c>
      <c r="D519" s="23">
        <v>0</v>
      </c>
      <c r="E519" s="23">
        <v>200000</v>
      </c>
      <c r="F519" s="23">
        <v>100000</v>
      </c>
      <c r="G519" s="23">
        <v>0</v>
      </c>
      <c r="H519" s="42">
        <v>46258</v>
      </c>
      <c r="I519" s="21" t="s">
        <v>810</v>
      </c>
    </row>
    <row r="520" spans="1:9" ht="21" customHeight="1">
      <c r="A520" s="20">
        <f t="shared" si="8"/>
        <v>516</v>
      </c>
      <c r="B520" s="21" t="s">
        <v>212</v>
      </c>
      <c r="C520" s="20" t="str">
        <f>IF(B520="","",IF(COUNTIF('01_Anggota'!$D$5:$D$1212,B520)=0,"NAMA TIDAK DITEMUKAN",INDEX('01_Anggota'!$B$5:$B$1212,MATCH(B520,'01_Anggota'!$D$5:$D$1212,0))))</f>
        <v>KKSUK-000013</v>
      </c>
      <c r="D520" s="23">
        <v>0</v>
      </c>
      <c r="E520" s="23">
        <v>1425093</v>
      </c>
      <c r="F520" s="23">
        <v>16856183.196478002</v>
      </c>
      <c r="G520" s="23">
        <v>10008843</v>
      </c>
      <c r="H520" s="42">
        <v>46023</v>
      </c>
      <c r="I520" s="21" t="s">
        <v>802</v>
      </c>
    </row>
    <row r="521" spans="1:9" ht="21" customHeight="1">
      <c r="A521" s="20">
        <f t="shared" si="8"/>
        <v>517</v>
      </c>
      <c r="B521" s="21" t="s">
        <v>212</v>
      </c>
      <c r="C521" s="20" t="str">
        <f>IF(B521="","",IF(COUNTIF('01_Anggota'!$D$5:$D$1212,B521)=0,"NAMA TIDAK DITEMUKAN",INDEX('01_Anggota'!$B$5:$B$1212,MATCH(B521,'01_Anggota'!$D$5:$D$1212,0))))</f>
        <v>KKSUK-000013</v>
      </c>
      <c r="D521" s="23">
        <v>0</v>
      </c>
      <c r="E521" s="23">
        <v>200000</v>
      </c>
      <c r="F521" s="23">
        <v>100000</v>
      </c>
      <c r="G521" s="23">
        <v>0</v>
      </c>
      <c r="H521" s="42">
        <v>46045</v>
      </c>
      <c r="I521" s="21" t="s">
        <v>803</v>
      </c>
    </row>
    <row r="522" spans="1:9" ht="21" customHeight="1">
      <c r="A522" s="20">
        <f t="shared" si="8"/>
        <v>518</v>
      </c>
      <c r="B522" s="21" t="s">
        <v>212</v>
      </c>
      <c r="C522" s="20" t="str">
        <f>IF(B522="","",IF(COUNTIF('01_Anggota'!$D$5:$D$1212,B522)=0,"NAMA TIDAK DITEMUKAN",INDEX('01_Anggota'!$B$5:$B$1212,MATCH(B522,'01_Anggota'!$D$5:$D$1212,0))))</f>
        <v>KKSUK-000013</v>
      </c>
      <c r="D522" s="23">
        <v>0</v>
      </c>
      <c r="E522" s="23">
        <v>200000</v>
      </c>
      <c r="F522" s="23">
        <v>100000</v>
      </c>
      <c r="G522" s="23">
        <v>0</v>
      </c>
      <c r="H522" s="42">
        <v>46078</v>
      </c>
      <c r="I522" s="21" t="s">
        <v>804</v>
      </c>
    </row>
    <row r="523" spans="1:9" ht="21" customHeight="1">
      <c r="A523" s="20">
        <f t="shared" si="8"/>
        <v>519</v>
      </c>
      <c r="B523" s="21" t="s">
        <v>212</v>
      </c>
      <c r="C523" s="20" t="str">
        <f>IF(B523="","",IF(COUNTIF('01_Anggota'!$D$5:$D$1212,B523)=0,"NAMA TIDAK DITEMUKAN",INDEX('01_Anggota'!$B$5:$B$1212,MATCH(B523,'01_Anggota'!$D$5:$D$1212,0))))</f>
        <v>KKSUK-000013</v>
      </c>
      <c r="D523" s="23">
        <v>0</v>
      </c>
      <c r="E523" s="23">
        <v>200000</v>
      </c>
      <c r="F523" s="23">
        <v>100000</v>
      </c>
      <c r="G523" s="23">
        <v>0</v>
      </c>
      <c r="H523" s="42">
        <v>46106</v>
      </c>
      <c r="I523" s="21" t="s">
        <v>805</v>
      </c>
    </row>
    <row r="524" spans="1:9" ht="21" customHeight="1">
      <c r="A524" s="20">
        <f t="shared" si="8"/>
        <v>520</v>
      </c>
      <c r="B524" s="21" t="s">
        <v>212</v>
      </c>
      <c r="C524" s="20" t="str">
        <f>IF(B524="","",IF(COUNTIF('01_Anggota'!$D$5:$D$1212,B524)=0,"NAMA TIDAK DITEMUKAN",INDEX('01_Anggota'!$B$5:$B$1212,MATCH(B524,'01_Anggota'!$D$5:$D$1212,0))))</f>
        <v>KKSUK-000013</v>
      </c>
      <c r="D524" s="23">
        <v>0</v>
      </c>
      <c r="E524" s="23">
        <v>200000</v>
      </c>
      <c r="F524" s="23">
        <v>150000</v>
      </c>
      <c r="G524" s="23">
        <v>0</v>
      </c>
      <c r="H524" s="42">
        <v>46136</v>
      </c>
      <c r="I524" s="21" t="s">
        <v>806</v>
      </c>
    </row>
    <row r="525" spans="1:9" ht="21" customHeight="1">
      <c r="A525" s="20">
        <f t="shared" si="8"/>
        <v>521</v>
      </c>
      <c r="B525" s="21" t="s">
        <v>212</v>
      </c>
      <c r="C525" s="20" t="str">
        <f>IF(B525="","",IF(COUNTIF('01_Anggota'!$D$5:$D$1212,B525)=0,"NAMA TIDAK DITEMUKAN",INDEX('01_Anggota'!$B$5:$B$1212,MATCH(B525,'01_Anggota'!$D$5:$D$1212,0))))</f>
        <v>KKSUK-000013</v>
      </c>
      <c r="D525" s="23">
        <v>0</v>
      </c>
      <c r="E525" s="23">
        <v>200000</v>
      </c>
      <c r="F525" s="23">
        <v>150000</v>
      </c>
      <c r="G525" s="23">
        <v>0</v>
      </c>
      <c r="H525" s="42">
        <v>46167</v>
      </c>
      <c r="I525" s="21" t="s">
        <v>807</v>
      </c>
    </row>
    <row r="526" spans="1:9" ht="21" customHeight="1">
      <c r="A526" s="20">
        <f t="shared" si="8"/>
        <v>522</v>
      </c>
      <c r="B526" s="21" t="s">
        <v>212</v>
      </c>
      <c r="C526" s="20" t="str">
        <f>IF(B526="","",IF(COUNTIF('01_Anggota'!$D$5:$D$1212,B526)=0,"NAMA TIDAK DITEMUKAN",INDEX('01_Anggota'!$B$5:$B$1212,MATCH(B526,'01_Anggota'!$D$5:$D$1212,0))))</f>
        <v>KKSUK-000013</v>
      </c>
      <c r="D526" s="23">
        <v>0</v>
      </c>
      <c r="E526" s="23">
        <v>200000</v>
      </c>
      <c r="F526" s="23">
        <v>150000</v>
      </c>
      <c r="G526" s="23">
        <v>0</v>
      </c>
      <c r="H526" s="42">
        <v>46198</v>
      </c>
      <c r="I526" s="21" t="s">
        <v>808</v>
      </c>
    </row>
    <row r="527" spans="1:9" ht="21" customHeight="1">
      <c r="A527" s="20">
        <f t="shared" si="8"/>
        <v>523</v>
      </c>
      <c r="B527" s="21" t="s">
        <v>212</v>
      </c>
      <c r="C527" s="20" t="str">
        <f>IF(B527="","",IF(COUNTIF('01_Anggota'!$D$5:$D$1212,B527)=0,"NAMA TIDAK DITEMUKAN",INDEX('01_Anggota'!$B$5:$B$1212,MATCH(B527,'01_Anggota'!$D$5:$D$1212,0))))</f>
        <v>KKSUK-000013</v>
      </c>
      <c r="D527" s="23">
        <v>0</v>
      </c>
      <c r="E527" s="23">
        <v>200000</v>
      </c>
      <c r="F527" s="23">
        <v>150000</v>
      </c>
      <c r="G527" s="23">
        <v>0</v>
      </c>
      <c r="H527" s="42">
        <v>46227</v>
      </c>
      <c r="I527" s="21" t="s">
        <v>809</v>
      </c>
    </row>
    <row r="528" spans="1:9" ht="21" customHeight="1">
      <c r="A528" s="20">
        <f t="shared" si="8"/>
        <v>524</v>
      </c>
      <c r="B528" s="21" t="s">
        <v>212</v>
      </c>
      <c r="C528" s="20" t="str">
        <f>IF(B528="","",IF(COUNTIF('01_Anggota'!$D$5:$D$1212,B528)=0,"NAMA TIDAK DITEMUKAN",INDEX('01_Anggota'!$B$5:$B$1212,MATCH(B528,'01_Anggota'!$D$5:$D$1212,0))))</f>
        <v>KKSUK-000013</v>
      </c>
      <c r="D528" s="23">
        <v>0</v>
      </c>
      <c r="E528" s="23">
        <v>200000</v>
      </c>
      <c r="F528" s="23">
        <v>150000</v>
      </c>
      <c r="G528" s="23">
        <v>0</v>
      </c>
      <c r="H528" s="42">
        <v>46258</v>
      </c>
      <c r="I528" s="21" t="s">
        <v>810</v>
      </c>
    </row>
    <row r="529" spans="1:9" ht="21" customHeight="1">
      <c r="A529" s="20">
        <f t="shared" si="8"/>
        <v>525</v>
      </c>
      <c r="B529" s="21" t="s">
        <v>394</v>
      </c>
      <c r="C529" s="20" t="str">
        <f>IF(B529="","",IF(COUNTIF('01_Anggota'!$D$5:$D$1212,B529)=0,"NAMA TIDAK DITEMUKAN",INDEX('01_Anggota'!$B$5:$B$1212,MATCH(B529,'01_Anggota'!$D$5:$D$1212,0))))</f>
        <v>KKSUK-000195</v>
      </c>
      <c r="D529" s="23">
        <v>0</v>
      </c>
      <c r="E529" s="23">
        <v>0</v>
      </c>
      <c r="F529" s="23">
        <v>200000</v>
      </c>
      <c r="G529" s="23">
        <v>0</v>
      </c>
      <c r="H529" s="42">
        <v>46023</v>
      </c>
      <c r="I529" s="21" t="s">
        <v>802</v>
      </c>
    </row>
    <row r="530" spans="1:9" ht="21" customHeight="1">
      <c r="A530" s="20">
        <f t="shared" si="8"/>
        <v>526</v>
      </c>
      <c r="B530" s="21" t="s">
        <v>270</v>
      </c>
      <c r="C530" s="20" t="str">
        <f>IF(B530="","",IF(COUNTIF('01_Anggota'!$D$5:$D$1212,B530)=0,"NAMA TIDAK DITEMUKAN",INDEX('01_Anggota'!$B$5:$B$1212,MATCH(B530,'01_Anggota'!$D$5:$D$1212,0))))</f>
        <v>KKSUK-000071</v>
      </c>
      <c r="D530" s="23">
        <v>0</v>
      </c>
      <c r="E530" s="23">
        <v>4300000</v>
      </c>
      <c r="F530" s="23">
        <v>12436274.382622899</v>
      </c>
      <c r="G530" s="23">
        <v>7099071</v>
      </c>
      <c r="H530" s="42">
        <v>46023</v>
      </c>
      <c r="I530" s="21" t="s">
        <v>802</v>
      </c>
    </row>
    <row r="531" spans="1:9" ht="21" customHeight="1">
      <c r="A531" s="20">
        <f t="shared" si="8"/>
        <v>527</v>
      </c>
      <c r="B531" s="21" t="s">
        <v>270</v>
      </c>
      <c r="C531" s="20" t="str">
        <f>IF(B531="","",IF(COUNTIF('01_Anggota'!$D$5:$D$1212,B531)=0,"NAMA TIDAK DITEMUKAN",INDEX('01_Anggota'!$B$5:$B$1212,MATCH(B531,'01_Anggota'!$D$5:$D$1212,0))))</f>
        <v>KKSUK-000071</v>
      </c>
      <c r="D531" s="23">
        <v>0</v>
      </c>
      <c r="E531" s="23">
        <v>100000</v>
      </c>
      <c r="F531" s="23">
        <v>100000</v>
      </c>
      <c r="G531" s="23">
        <v>0</v>
      </c>
      <c r="H531" s="42">
        <v>46045</v>
      </c>
      <c r="I531" s="21" t="s">
        <v>803</v>
      </c>
    </row>
    <row r="532" spans="1:9" ht="21" customHeight="1">
      <c r="A532" s="20">
        <f t="shared" si="8"/>
        <v>528</v>
      </c>
      <c r="B532" s="21" t="s">
        <v>270</v>
      </c>
      <c r="C532" s="20" t="str">
        <f>IF(B532="","",IF(COUNTIF('01_Anggota'!$D$5:$D$1212,B532)=0,"NAMA TIDAK DITEMUKAN",INDEX('01_Anggota'!$B$5:$B$1212,MATCH(B532,'01_Anggota'!$D$5:$D$1212,0))))</f>
        <v>KKSUK-000071</v>
      </c>
      <c r="D532" s="23">
        <v>0</v>
      </c>
      <c r="E532" s="23">
        <v>100000</v>
      </c>
      <c r="F532" s="23">
        <v>100000</v>
      </c>
      <c r="G532" s="23">
        <v>0</v>
      </c>
      <c r="H532" s="42">
        <v>46078</v>
      </c>
      <c r="I532" s="21" t="s">
        <v>804</v>
      </c>
    </row>
    <row r="533" spans="1:9" ht="21" customHeight="1">
      <c r="A533" s="20">
        <f t="shared" si="8"/>
        <v>529</v>
      </c>
      <c r="B533" s="21" t="s">
        <v>270</v>
      </c>
      <c r="C533" s="20" t="str">
        <f>IF(B533="","",IF(COUNTIF('01_Anggota'!$D$5:$D$1212,B533)=0,"NAMA TIDAK DITEMUKAN",INDEX('01_Anggota'!$B$5:$B$1212,MATCH(B533,'01_Anggota'!$D$5:$D$1212,0))))</f>
        <v>KKSUK-000071</v>
      </c>
      <c r="D533" s="23">
        <v>0</v>
      </c>
      <c r="E533" s="23">
        <v>100000</v>
      </c>
      <c r="F533" s="23">
        <v>100000</v>
      </c>
      <c r="G533" s="23">
        <v>0</v>
      </c>
      <c r="H533" s="42">
        <v>46106</v>
      </c>
      <c r="I533" s="21" t="s">
        <v>805</v>
      </c>
    </row>
    <row r="534" spans="1:9" ht="21" customHeight="1">
      <c r="A534" s="20">
        <f t="shared" si="8"/>
        <v>530</v>
      </c>
      <c r="B534" s="21" t="s">
        <v>270</v>
      </c>
      <c r="C534" s="20" t="str">
        <f>IF(B534="","",IF(COUNTIF('01_Anggota'!$D$5:$D$1212,B534)=0,"NAMA TIDAK DITEMUKAN",INDEX('01_Anggota'!$B$5:$B$1212,MATCH(B534,'01_Anggota'!$D$5:$D$1212,0))))</f>
        <v>KKSUK-000071</v>
      </c>
      <c r="D534" s="23">
        <v>0</v>
      </c>
      <c r="E534" s="23">
        <v>100000</v>
      </c>
      <c r="F534" s="23">
        <v>100000</v>
      </c>
      <c r="G534" s="23">
        <v>0</v>
      </c>
      <c r="H534" s="42">
        <v>46136</v>
      </c>
      <c r="I534" s="21" t="s">
        <v>806</v>
      </c>
    </row>
    <row r="535" spans="1:9" ht="21" customHeight="1">
      <c r="A535" s="20">
        <f t="shared" si="8"/>
        <v>531</v>
      </c>
      <c r="B535" s="21" t="s">
        <v>270</v>
      </c>
      <c r="C535" s="20" t="str">
        <f>IF(B535="","",IF(COUNTIF('01_Anggota'!$D$5:$D$1212,B535)=0,"NAMA TIDAK DITEMUKAN",INDEX('01_Anggota'!$B$5:$B$1212,MATCH(B535,'01_Anggota'!$D$5:$D$1212,0))))</f>
        <v>KKSUK-000071</v>
      </c>
      <c r="D535" s="23">
        <v>0</v>
      </c>
      <c r="E535" s="23">
        <v>100000</v>
      </c>
      <c r="F535" s="23">
        <v>100000</v>
      </c>
      <c r="G535" s="23">
        <v>0</v>
      </c>
      <c r="H535" s="42">
        <v>46167</v>
      </c>
      <c r="I535" s="21" t="s">
        <v>807</v>
      </c>
    </row>
    <row r="536" spans="1:9" ht="21" customHeight="1">
      <c r="A536" s="20">
        <f t="shared" si="8"/>
        <v>532</v>
      </c>
      <c r="B536" s="21" t="s">
        <v>270</v>
      </c>
      <c r="C536" s="20" t="str">
        <f>IF(B536="","",IF(COUNTIF('01_Anggota'!$D$5:$D$1212,B536)=0,"NAMA TIDAK DITEMUKAN",INDEX('01_Anggota'!$B$5:$B$1212,MATCH(B536,'01_Anggota'!$D$5:$D$1212,0))))</f>
        <v>KKSUK-000071</v>
      </c>
      <c r="D536" s="23">
        <v>0</v>
      </c>
      <c r="E536" s="23">
        <v>100000</v>
      </c>
      <c r="F536" s="23">
        <v>100000</v>
      </c>
      <c r="G536" s="23">
        <v>0</v>
      </c>
      <c r="H536" s="42">
        <v>46198</v>
      </c>
      <c r="I536" s="21" t="s">
        <v>808</v>
      </c>
    </row>
    <row r="537" spans="1:9" ht="21" customHeight="1">
      <c r="A537" s="20">
        <f t="shared" si="8"/>
        <v>533</v>
      </c>
      <c r="B537" s="21" t="s">
        <v>270</v>
      </c>
      <c r="C537" s="20" t="str">
        <f>IF(B537="","",IF(COUNTIF('01_Anggota'!$D$5:$D$1212,B537)=0,"NAMA TIDAK DITEMUKAN",INDEX('01_Anggota'!$B$5:$B$1212,MATCH(B537,'01_Anggota'!$D$5:$D$1212,0))))</f>
        <v>KKSUK-000071</v>
      </c>
      <c r="D537" s="23">
        <v>0</v>
      </c>
      <c r="E537" s="23">
        <v>100000</v>
      </c>
      <c r="F537" s="23">
        <v>100000</v>
      </c>
      <c r="G537" s="23">
        <v>0</v>
      </c>
      <c r="H537" s="42">
        <v>46227</v>
      </c>
      <c r="I537" s="21" t="s">
        <v>809</v>
      </c>
    </row>
    <row r="538" spans="1:9" ht="21" customHeight="1">
      <c r="A538" s="20">
        <f t="shared" si="8"/>
        <v>534</v>
      </c>
      <c r="B538" s="21" t="s">
        <v>270</v>
      </c>
      <c r="C538" s="20" t="str">
        <f>IF(B538="","",IF(COUNTIF('01_Anggota'!$D$5:$D$1212,B538)=0,"NAMA TIDAK DITEMUKAN",INDEX('01_Anggota'!$B$5:$B$1212,MATCH(B538,'01_Anggota'!$D$5:$D$1212,0))))</f>
        <v>KKSUK-000071</v>
      </c>
      <c r="D538" s="23">
        <v>0</v>
      </c>
      <c r="E538" s="23">
        <v>100000</v>
      </c>
      <c r="F538" s="23">
        <v>100000</v>
      </c>
      <c r="G538" s="23">
        <v>0</v>
      </c>
      <c r="H538" s="42">
        <v>46258</v>
      </c>
      <c r="I538" s="21" t="s">
        <v>810</v>
      </c>
    </row>
    <row r="539" spans="1:9" ht="21" customHeight="1">
      <c r="A539" s="20">
        <f t="shared" si="8"/>
        <v>535</v>
      </c>
      <c r="B539" s="21" t="s">
        <v>400</v>
      </c>
      <c r="C539" s="20" t="str">
        <f>IF(B539="","",IF(COUNTIF('01_Anggota'!$D$5:$D$1212,B539)=0,"NAMA TIDAK DITEMUKAN",INDEX('01_Anggota'!$B$5:$B$1212,MATCH(B539,'01_Anggota'!$D$5:$D$1212,0))))</f>
        <v>KKSUK-000201</v>
      </c>
      <c r="D539" s="23">
        <v>0</v>
      </c>
      <c r="E539" s="23">
        <v>100000</v>
      </c>
      <c r="F539" s="23">
        <v>100000</v>
      </c>
      <c r="G539" s="23">
        <v>0</v>
      </c>
      <c r="H539" s="42">
        <v>46167</v>
      </c>
      <c r="I539" s="21" t="s">
        <v>807</v>
      </c>
    </row>
    <row r="540" spans="1:9" ht="21" customHeight="1">
      <c r="A540" s="20">
        <f t="shared" si="8"/>
        <v>536</v>
      </c>
      <c r="B540" s="21" t="s">
        <v>400</v>
      </c>
      <c r="C540" s="20" t="str">
        <f>IF(B540="","",IF(COUNTIF('01_Anggota'!$D$5:$D$1212,B540)=0,"NAMA TIDAK DITEMUKAN",INDEX('01_Anggota'!$B$5:$B$1212,MATCH(B540,'01_Anggota'!$D$5:$D$1212,0))))</f>
        <v>KKSUK-000201</v>
      </c>
      <c r="D540" s="23">
        <v>0</v>
      </c>
      <c r="E540" s="23">
        <v>100000</v>
      </c>
      <c r="F540" s="23">
        <v>100000</v>
      </c>
      <c r="G540" s="23">
        <v>0</v>
      </c>
      <c r="H540" s="42">
        <v>46198</v>
      </c>
      <c r="I540" s="21" t="s">
        <v>808</v>
      </c>
    </row>
    <row r="541" spans="1:9" ht="21" customHeight="1">
      <c r="A541" s="20">
        <f t="shared" si="8"/>
        <v>537</v>
      </c>
      <c r="B541" s="21" t="s">
        <v>400</v>
      </c>
      <c r="C541" s="20" t="str">
        <f>IF(B541="","",IF(COUNTIF('01_Anggota'!$D$5:$D$1212,B541)=0,"NAMA TIDAK DITEMUKAN",INDEX('01_Anggota'!$B$5:$B$1212,MATCH(B541,'01_Anggota'!$D$5:$D$1212,0))))</f>
        <v>KKSUK-000201</v>
      </c>
      <c r="D541" s="23">
        <v>0</v>
      </c>
      <c r="E541" s="23">
        <v>100000</v>
      </c>
      <c r="F541" s="23">
        <v>100000</v>
      </c>
      <c r="G541" s="23">
        <v>0</v>
      </c>
      <c r="H541" s="42">
        <v>46227</v>
      </c>
      <c r="I541" s="21" t="s">
        <v>809</v>
      </c>
    </row>
    <row r="542" spans="1:9" ht="21" customHeight="1">
      <c r="A542" s="20">
        <f t="shared" si="8"/>
        <v>538</v>
      </c>
      <c r="B542" s="21" t="s">
        <v>400</v>
      </c>
      <c r="C542" s="20" t="str">
        <f>IF(B542="","",IF(COUNTIF('01_Anggota'!$D$5:$D$1212,B542)=0,"NAMA TIDAK DITEMUKAN",INDEX('01_Anggota'!$B$5:$B$1212,MATCH(B542,'01_Anggota'!$D$5:$D$1212,0))))</f>
        <v>KKSUK-000201</v>
      </c>
      <c r="D542" s="23">
        <v>0</v>
      </c>
      <c r="E542" s="23">
        <v>100000</v>
      </c>
      <c r="F542" s="23">
        <v>100000</v>
      </c>
      <c r="G542" s="23">
        <v>0</v>
      </c>
      <c r="H542" s="42">
        <v>46258</v>
      </c>
      <c r="I542" s="21" t="s">
        <v>810</v>
      </c>
    </row>
    <row r="543" spans="1:9" ht="21" customHeight="1">
      <c r="A543" s="20">
        <f t="shared" si="8"/>
        <v>539</v>
      </c>
      <c r="B543" s="21" t="s">
        <v>351</v>
      </c>
      <c r="C543" s="20" t="str">
        <f>IF(B543="","",IF(COUNTIF('01_Anggota'!$D$5:$D$1212,B543)=0,"NAMA TIDAK DITEMUKAN",INDEX('01_Anggota'!$B$5:$B$1212,MATCH(B543,'01_Anggota'!$D$5:$D$1212,0))))</f>
        <v>KKSUK-000152</v>
      </c>
      <c r="D543" s="23">
        <v>0</v>
      </c>
      <c r="E543" s="23">
        <v>3300000</v>
      </c>
      <c r="F543" s="23">
        <v>1100000</v>
      </c>
      <c r="G543" s="23">
        <v>0</v>
      </c>
      <c r="H543" s="42">
        <v>46023</v>
      </c>
      <c r="I543" s="21" t="s">
        <v>802</v>
      </c>
    </row>
    <row r="544" spans="1:9" ht="21" customHeight="1">
      <c r="A544" s="20">
        <f t="shared" si="8"/>
        <v>540</v>
      </c>
      <c r="B544" s="21" t="s">
        <v>351</v>
      </c>
      <c r="C544" s="20" t="str">
        <f>IF(B544="","",IF(COUNTIF('01_Anggota'!$D$5:$D$1212,B544)=0,"NAMA TIDAK DITEMUKAN",INDEX('01_Anggota'!$B$5:$B$1212,MATCH(B544,'01_Anggota'!$D$5:$D$1212,0))))</f>
        <v>KKSUK-000152</v>
      </c>
      <c r="D544" s="23">
        <v>0</v>
      </c>
      <c r="E544" s="23">
        <v>300000</v>
      </c>
      <c r="F544" s="23">
        <v>100000</v>
      </c>
      <c r="G544" s="23">
        <v>0</v>
      </c>
      <c r="H544" s="42">
        <v>46045</v>
      </c>
      <c r="I544" s="21" t="s">
        <v>803</v>
      </c>
    </row>
    <row r="545" spans="1:9" ht="21" customHeight="1">
      <c r="A545" s="20">
        <f t="shared" si="8"/>
        <v>541</v>
      </c>
      <c r="B545" s="21" t="s">
        <v>351</v>
      </c>
      <c r="C545" s="20" t="str">
        <f>IF(B545="","",IF(COUNTIF('01_Anggota'!$D$5:$D$1212,B545)=0,"NAMA TIDAK DITEMUKAN",INDEX('01_Anggota'!$B$5:$B$1212,MATCH(B545,'01_Anggota'!$D$5:$D$1212,0))))</f>
        <v>KKSUK-000152</v>
      </c>
      <c r="D545" s="23">
        <v>0</v>
      </c>
      <c r="E545" s="23">
        <v>300000</v>
      </c>
      <c r="F545" s="23">
        <v>100000</v>
      </c>
      <c r="G545" s="23">
        <v>0</v>
      </c>
      <c r="H545" s="42">
        <v>46078</v>
      </c>
      <c r="I545" s="21" t="s">
        <v>804</v>
      </c>
    </row>
    <row r="546" spans="1:9" ht="21" customHeight="1">
      <c r="A546" s="20">
        <f t="shared" si="8"/>
        <v>542</v>
      </c>
      <c r="B546" s="21" t="s">
        <v>351</v>
      </c>
      <c r="C546" s="20" t="str">
        <f>IF(B546="","",IF(COUNTIF('01_Anggota'!$D$5:$D$1212,B546)=0,"NAMA TIDAK DITEMUKAN",INDEX('01_Anggota'!$B$5:$B$1212,MATCH(B546,'01_Anggota'!$D$5:$D$1212,0))))</f>
        <v>KKSUK-000152</v>
      </c>
      <c r="D546" s="23">
        <v>0</v>
      </c>
      <c r="E546" s="23">
        <v>300000</v>
      </c>
      <c r="F546" s="23">
        <v>100000</v>
      </c>
      <c r="G546" s="23">
        <v>0</v>
      </c>
      <c r="H546" s="42">
        <v>46106</v>
      </c>
      <c r="I546" s="21" t="s">
        <v>805</v>
      </c>
    </row>
    <row r="547" spans="1:9" ht="21" customHeight="1">
      <c r="A547" s="20">
        <f t="shared" si="8"/>
        <v>543</v>
      </c>
      <c r="B547" s="21" t="s">
        <v>351</v>
      </c>
      <c r="C547" s="20" t="str">
        <f>IF(B547="","",IF(COUNTIF('01_Anggota'!$D$5:$D$1212,B547)=0,"NAMA TIDAK DITEMUKAN",INDEX('01_Anggota'!$B$5:$B$1212,MATCH(B547,'01_Anggota'!$D$5:$D$1212,0))))</f>
        <v>KKSUK-000152</v>
      </c>
      <c r="D547" s="23">
        <v>0</v>
      </c>
      <c r="E547" s="23">
        <v>300000</v>
      </c>
      <c r="F547" s="23">
        <v>100000</v>
      </c>
      <c r="G547" s="23">
        <v>0</v>
      </c>
      <c r="H547" s="42">
        <v>46136</v>
      </c>
      <c r="I547" s="21" t="s">
        <v>806</v>
      </c>
    </row>
    <row r="548" spans="1:9" ht="21" customHeight="1">
      <c r="A548" s="20">
        <f t="shared" si="8"/>
        <v>544</v>
      </c>
      <c r="B548" s="21" t="s">
        <v>351</v>
      </c>
      <c r="C548" s="20" t="str">
        <f>IF(B548="","",IF(COUNTIF('01_Anggota'!$D$5:$D$1212,B548)=0,"NAMA TIDAK DITEMUKAN",INDEX('01_Anggota'!$B$5:$B$1212,MATCH(B548,'01_Anggota'!$D$5:$D$1212,0))))</f>
        <v>KKSUK-000152</v>
      </c>
      <c r="D548" s="23">
        <v>0</v>
      </c>
      <c r="E548" s="23">
        <v>300000</v>
      </c>
      <c r="F548" s="23">
        <v>100000</v>
      </c>
      <c r="G548" s="23">
        <v>0</v>
      </c>
      <c r="H548" s="42">
        <v>46167</v>
      </c>
      <c r="I548" s="21" t="s">
        <v>807</v>
      </c>
    </row>
    <row r="549" spans="1:9" ht="21" customHeight="1">
      <c r="A549" s="20">
        <f t="shared" si="8"/>
        <v>545</v>
      </c>
      <c r="B549" s="21" t="s">
        <v>351</v>
      </c>
      <c r="C549" s="20" t="str">
        <f>IF(B549="","",IF(COUNTIF('01_Anggota'!$D$5:$D$1212,B549)=0,"NAMA TIDAK DITEMUKAN",INDEX('01_Anggota'!$B$5:$B$1212,MATCH(B549,'01_Anggota'!$D$5:$D$1212,0))))</f>
        <v>KKSUK-000152</v>
      </c>
      <c r="D549" s="23">
        <v>0</v>
      </c>
      <c r="E549" s="23">
        <v>300000</v>
      </c>
      <c r="F549" s="23">
        <v>100000</v>
      </c>
      <c r="G549" s="23">
        <v>0</v>
      </c>
      <c r="H549" s="42">
        <v>46198</v>
      </c>
      <c r="I549" s="21" t="s">
        <v>808</v>
      </c>
    </row>
    <row r="550" spans="1:9" ht="21" customHeight="1">
      <c r="A550" s="20">
        <f t="shared" si="8"/>
        <v>546</v>
      </c>
      <c r="B550" s="21" t="s">
        <v>351</v>
      </c>
      <c r="C550" s="20" t="str">
        <f>IF(B550="","",IF(COUNTIF('01_Anggota'!$D$5:$D$1212,B550)=0,"NAMA TIDAK DITEMUKAN",INDEX('01_Anggota'!$B$5:$B$1212,MATCH(B550,'01_Anggota'!$D$5:$D$1212,0))))</f>
        <v>KKSUK-000152</v>
      </c>
      <c r="D550" s="23">
        <v>0</v>
      </c>
      <c r="E550" s="23">
        <v>-2000000</v>
      </c>
      <c r="F550" s="23">
        <v>0</v>
      </c>
      <c r="G550" s="23">
        <v>0</v>
      </c>
      <c r="H550" s="42">
        <v>46227</v>
      </c>
      <c r="I550" s="21" t="s">
        <v>809</v>
      </c>
    </row>
    <row r="551" spans="1:9" ht="21" customHeight="1">
      <c r="A551" s="20">
        <f t="shared" si="8"/>
        <v>547</v>
      </c>
      <c r="B551" s="21" t="s">
        <v>351</v>
      </c>
      <c r="C551" s="20" t="str">
        <f>IF(B551="","",IF(COUNTIF('01_Anggota'!$D$5:$D$1212,B551)=0,"NAMA TIDAK DITEMUKAN",INDEX('01_Anggota'!$B$5:$B$1212,MATCH(B551,'01_Anggota'!$D$5:$D$1212,0))))</f>
        <v>KKSUK-000152</v>
      </c>
      <c r="D551" s="23">
        <v>0</v>
      </c>
      <c r="E551" s="23">
        <v>300000</v>
      </c>
      <c r="F551" s="23">
        <v>100000</v>
      </c>
      <c r="G551" s="23">
        <v>0</v>
      </c>
      <c r="H551" s="42">
        <v>46227</v>
      </c>
      <c r="I551" s="21" t="s">
        <v>809</v>
      </c>
    </row>
    <row r="552" spans="1:9" ht="21" customHeight="1">
      <c r="A552" s="20">
        <f t="shared" si="8"/>
        <v>548</v>
      </c>
      <c r="B552" s="21" t="s">
        <v>351</v>
      </c>
      <c r="C552" s="20" t="str">
        <f>IF(B552="","",IF(COUNTIF('01_Anggota'!$D$5:$D$1212,B552)=0,"NAMA TIDAK DITEMUKAN",INDEX('01_Anggota'!$B$5:$B$1212,MATCH(B552,'01_Anggota'!$D$5:$D$1212,0))))</f>
        <v>KKSUK-000152</v>
      </c>
      <c r="D552" s="23">
        <v>0</v>
      </c>
      <c r="E552" s="23">
        <v>300000</v>
      </c>
      <c r="F552" s="23">
        <v>100000</v>
      </c>
      <c r="G552" s="23">
        <v>0</v>
      </c>
      <c r="H552" s="42">
        <v>46258</v>
      </c>
      <c r="I552" s="21" t="s">
        <v>810</v>
      </c>
    </row>
    <row r="553" spans="1:9" ht="21" customHeight="1">
      <c r="A553" s="20">
        <f t="shared" si="8"/>
        <v>549</v>
      </c>
      <c r="B553" s="21" t="s">
        <v>386</v>
      </c>
      <c r="C553" s="20" t="str">
        <f>IF(B553="","",IF(COUNTIF('01_Anggota'!$D$5:$D$1212,B553)=0,"NAMA TIDAK DITEMUKAN",INDEX('01_Anggota'!$B$5:$B$1212,MATCH(B553,'01_Anggota'!$D$5:$D$1212,0))))</f>
        <v>KKSUK-000187</v>
      </c>
      <c r="D553" s="23">
        <v>0</v>
      </c>
      <c r="E553" s="23">
        <v>900000</v>
      </c>
      <c r="F553" s="23">
        <v>900000</v>
      </c>
      <c r="G553" s="23">
        <v>0</v>
      </c>
      <c r="H553" s="42">
        <v>46023</v>
      </c>
      <c r="I553" s="21" t="s">
        <v>802</v>
      </c>
    </row>
    <row r="554" spans="1:9" ht="21" customHeight="1">
      <c r="A554" s="20">
        <f t="shared" si="8"/>
        <v>550</v>
      </c>
      <c r="B554" s="21" t="s">
        <v>386</v>
      </c>
      <c r="C554" s="20" t="str">
        <f>IF(B554="","",IF(COUNTIF('01_Anggota'!$D$5:$D$1212,B554)=0,"NAMA TIDAK DITEMUKAN",INDEX('01_Anggota'!$B$5:$B$1212,MATCH(B554,'01_Anggota'!$D$5:$D$1212,0))))</f>
        <v>KKSUK-000187</v>
      </c>
      <c r="D554" s="23">
        <v>0</v>
      </c>
      <c r="E554" s="23">
        <v>100000</v>
      </c>
      <c r="F554" s="23">
        <v>100000</v>
      </c>
      <c r="G554" s="23">
        <v>0</v>
      </c>
      <c r="H554" s="42">
        <v>46023</v>
      </c>
      <c r="I554" s="21" t="s">
        <v>802</v>
      </c>
    </row>
    <row r="555" spans="1:9" ht="21" customHeight="1">
      <c r="A555" s="20">
        <f t="shared" si="8"/>
        <v>551</v>
      </c>
      <c r="B555" s="21" t="s">
        <v>386</v>
      </c>
      <c r="C555" s="20" t="str">
        <f>IF(B555="","",IF(COUNTIF('01_Anggota'!$D$5:$D$1212,B555)=0,"NAMA TIDAK DITEMUKAN",INDEX('01_Anggota'!$B$5:$B$1212,MATCH(B555,'01_Anggota'!$D$5:$D$1212,0))))</f>
        <v>KKSUK-000187</v>
      </c>
      <c r="D555" s="23">
        <v>0</v>
      </c>
      <c r="E555" s="23">
        <v>100000</v>
      </c>
      <c r="F555" s="23">
        <v>100000</v>
      </c>
      <c r="G555" s="23">
        <v>0</v>
      </c>
      <c r="H555" s="42">
        <v>46045</v>
      </c>
      <c r="I555" s="21" t="s">
        <v>803</v>
      </c>
    </row>
    <row r="556" spans="1:9" ht="21" customHeight="1">
      <c r="A556" s="20">
        <f t="shared" si="8"/>
        <v>552</v>
      </c>
      <c r="B556" s="21" t="s">
        <v>386</v>
      </c>
      <c r="C556" s="20" t="str">
        <f>IF(B556="","",IF(COUNTIF('01_Anggota'!$D$5:$D$1212,B556)=0,"NAMA TIDAK DITEMUKAN",INDEX('01_Anggota'!$B$5:$B$1212,MATCH(B556,'01_Anggota'!$D$5:$D$1212,0))))</f>
        <v>KKSUK-000187</v>
      </c>
      <c r="D556" s="23">
        <v>0</v>
      </c>
      <c r="E556" s="23">
        <v>100000</v>
      </c>
      <c r="F556" s="23">
        <v>100000</v>
      </c>
      <c r="G556" s="23">
        <v>0</v>
      </c>
      <c r="H556" s="42">
        <v>46136</v>
      </c>
      <c r="I556" s="21" t="s">
        <v>806</v>
      </c>
    </row>
    <row r="557" spans="1:9" ht="21" customHeight="1">
      <c r="A557" s="20">
        <f t="shared" si="8"/>
        <v>553</v>
      </c>
      <c r="B557" s="21" t="s">
        <v>386</v>
      </c>
      <c r="C557" s="20" t="str">
        <f>IF(B557="","",IF(COUNTIF('01_Anggota'!$D$5:$D$1212,B557)=0,"NAMA TIDAK DITEMUKAN",INDEX('01_Anggota'!$B$5:$B$1212,MATCH(B557,'01_Anggota'!$D$5:$D$1212,0))))</f>
        <v>KKSUK-000187</v>
      </c>
      <c r="D557" s="23">
        <v>0</v>
      </c>
      <c r="E557" s="23">
        <v>100000</v>
      </c>
      <c r="F557" s="23">
        <v>100000</v>
      </c>
      <c r="G557" s="23">
        <v>0</v>
      </c>
      <c r="H557" s="42">
        <v>46167</v>
      </c>
      <c r="I557" s="21" t="s">
        <v>807</v>
      </c>
    </row>
    <row r="558" spans="1:9" ht="21" customHeight="1">
      <c r="A558" s="20">
        <f t="shared" si="8"/>
        <v>554</v>
      </c>
      <c r="B558" s="21" t="s">
        <v>386</v>
      </c>
      <c r="C558" s="20" t="str">
        <f>IF(B558="","",IF(COUNTIF('01_Anggota'!$D$5:$D$1212,B558)=0,"NAMA TIDAK DITEMUKAN",INDEX('01_Anggota'!$B$5:$B$1212,MATCH(B558,'01_Anggota'!$D$5:$D$1212,0))))</f>
        <v>KKSUK-000187</v>
      </c>
      <c r="D558" s="23">
        <v>0</v>
      </c>
      <c r="E558" s="23">
        <v>100000</v>
      </c>
      <c r="F558" s="23">
        <v>100000</v>
      </c>
      <c r="G558" s="23">
        <v>0</v>
      </c>
      <c r="H558" s="42">
        <v>46198</v>
      </c>
      <c r="I558" s="21" t="s">
        <v>808</v>
      </c>
    </row>
    <row r="559" spans="1:9" ht="21" customHeight="1">
      <c r="A559" s="20">
        <f t="shared" si="8"/>
        <v>555</v>
      </c>
      <c r="B559" s="21" t="s">
        <v>386</v>
      </c>
      <c r="C559" s="20" t="str">
        <f>IF(B559="","",IF(COUNTIF('01_Anggota'!$D$5:$D$1212,B559)=0,"NAMA TIDAK DITEMUKAN",INDEX('01_Anggota'!$B$5:$B$1212,MATCH(B559,'01_Anggota'!$D$5:$D$1212,0))))</f>
        <v>KKSUK-000187</v>
      </c>
      <c r="D559" s="23">
        <v>0</v>
      </c>
      <c r="E559" s="23">
        <v>100000</v>
      </c>
      <c r="F559" s="23">
        <v>100000</v>
      </c>
      <c r="G559" s="23">
        <v>0</v>
      </c>
      <c r="H559" s="42">
        <v>46106</v>
      </c>
      <c r="I559" s="21" t="s">
        <v>805</v>
      </c>
    </row>
    <row r="560" spans="1:9" ht="21" customHeight="1">
      <c r="A560" s="20">
        <f t="shared" si="8"/>
        <v>556</v>
      </c>
      <c r="B560" s="21" t="s">
        <v>386</v>
      </c>
      <c r="C560" s="20" t="str">
        <f>IF(B560="","",IF(COUNTIF('01_Anggota'!$D$5:$D$1212,B560)=0,"NAMA TIDAK DITEMUKAN",INDEX('01_Anggota'!$B$5:$B$1212,MATCH(B560,'01_Anggota'!$D$5:$D$1212,0))))</f>
        <v>KKSUK-000187</v>
      </c>
      <c r="D560" s="23">
        <v>0</v>
      </c>
      <c r="E560" s="23">
        <v>100000</v>
      </c>
      <c r="F560" s="23">
        <v>100000</v>
      </c>
      <c r="G560" s="23">
        <v>0</v>
      </c>
      <c r="H560" s="42">
        <v>46078</v>
      </c>
      <c r="I560" s="21" t="s">
        <v>804</v>
      </c>
    </row>
    <row r="561" spans="1:9" ht="21" customHeight="1">
      <c r="A561" s="20">
        <f t="shared" si="8"/>
        <v>557</v>
      </c>
      <c r="B561" s="21" t="s">
        <v>386</v>
      </c>
      <c r="C561" s="20" t="str">
        <f>IF(B561="","",IF(COUNTIF('01_Anggota'!$D$5:$D$1212,B561)=0,"NAMA TIDAK DITEMUKAN",INDEX('01_Anggota'!$B$5:$B$1212,MATCH(B561,'01_Anggota'!$D$5:$D$1212,0))))</f>
        <v>KKSUK-000187</v>
      </c>
      <c r="D561" s="23">
        <v>0</v>
      </c>
      <c r="E561" s="23">
        <v>100000</v>
      </c>
      <c r="F561" s="23">
        <v>100000</v>
      </c>
      <c r="G561" s="23">
        <v>0</v>
      </c>
      <c r="H561" s="42">
        <v>46227</v>
      </c>
      <c r="I561" s="21" t="s">
        <v>809</v>
      </c>
    </row>
    <row r="562" spans="1:9" ht="21" customHeight="1">
      <c r="A562" s="20">
        <f t="shared" si="8"/>
        <v>558</v>
      </c>
      <c r="B562" s="21" t="s">
        <v>253</v>
      </c>
      <c r="C562" s="20" t="str">
        <f>IF(B562="","",IF(COUNTIF('01_Anggota'!$D$5:$D$1212,B562)=0,"NAMA TIDAK DITEMUKAN",INDEX('01_Anggota'!$B$5:$B$1212,MATCH(B562,'01_Anggota'!$D$5:$D$1212,0))))</f>
        <v>KKSUK-000054</v>
      </c>
      <c r="D562" s="23">
        <v>0</v>
      </c>
      <c r="E562" s="23">
        <v>5367593</v>
      </c>
      <c r="F562" s="23">
        <v>8784143.1561510693</v>
      </c>
      <c r="G562" s="23">
        <v>4907156</v>
      </c>
      <c r="H562" s="42">
        <v>46023</v>
      </c>
      <c r="I562" s="21" t="s">
        <v>802</v>
      </c>
    </row>
    <row r="563" spans="1:9" ht="21" customHeight="1">
      <c r="A563" s="20">
        <f t="shared" si="8"/>
        <v>559</v>
      </c>
      <c r="B563" s="21" t="s">
        <v>253</v>
      </c>
      <c r="C563" s="20" t="str">
        <f>IF(B563="","",IF(COUNTIF('01_Anggota'!$D$5:$D$1212,B563)=0,"NAMA TIDAK DITEMUKAN",INDEX('01_Anggota'!$B$5:$B$1212,MATCH(B563,'01_Anggota'!$D$5:$D$1212,0))))</f>
        <v>KKSUK-000054</v>
      </c>
      <c r="D563" s="23">
        <v>0</v>
      </c>
      <c r="E563" s="23">
        <v>100000</v>
      </c>
      <c r="F563" s="23">
        <v>100000</v>
      </c>
      <c r="G563" s="23">
        <v>0</v>
      </c>
      <c r="H563" s="42">
        <v>46045</v>
      </c>
      <c r="I563" s="21" t="s">
        <v>803</v>
      </c>
    </row>
    <row r="564" spans="1:9" ht="21" customHeight="1">
      <c r="A564" s="20">
        <f t="shared" si="8"/>
        <v>560</v>
      </c>
      <c r="B564" s="21" t="s">
        <v>253</v>
      </c>
      <c r="C564" s="20" t="str">
        <f>IF(B564="","",IF(COUNTIF('01_Anggota'!$D$5:$D$1212,B564)=0,"NAMA TIDAK DITEMUKAN",INDEX('01_Anggota'!$B$5:$B$1212,MATCH(B564,'01_Anggota'!$D$5:$D$1212,0))))</f>
        <v>KKSUK-000054</v>
      </c>
      <c r="D564" s="23">
        <v>0</v>
      </c>
      <c r="E564" s="23">
        <v>100000</v>
      </c>
      <c r="F564" s="23">
        <v>100000</v>
      </c>
      <c r="G564" s="23">
        <v>0</v>
      </c>
      <c r="H564" s="42">
        <v>46078</v>
      </c>
      <c r="I564" s="21" t="s">
        <v>804</v>
      </c>
    </row>
    <row r="565" spans="1:9" ht="21" customHeight="1">
      <c r="A565" s="20">
        <f t="shared" si="8"/>
        <v>561</v>
      </c>
      <c r="B565" s="21" t="s">
        <v>253</v>
      </c>
      <c r="C565" s="20" t="str">
        <f>IF(B565="","",IF(COUNTIF('01_Anggota'!$D$5:$D$1212,B565)=0,"NAMA TIDAK DITEMUKAN",INDEX('01_Anggota'!$B$5:$B$1212,MATCH(B565,'01_Anggota'!$D$5:$D$1212,0))))</f>
        <v>KKSUK-000054</v>
      </c>
      <c r="D565" s="23">
        <v>0</v>
      </c>
      <c r="E565" s="23">
        <v>100000</v>
      </c>
      <c r="F565" s="23">
        <v>100000</v>
      </c>
      <c r="G565" s="23">
        <v>0</v>
      </c>
      <c r="H565" s="42">
        <v>46106</v>
      </c>
      <c r="I565" s="21" t="s">
        <v>805</v>
      </c>
    </row>
    <row r="566" spans="1:9" ht="21" customHeight="1">
      <c r="A566" s="20">
        <f t="shared" si="8"/>
        <v>562</v>
      </c>
      <c r="B566" s="21" t="s">
        <v>253</v>
      </c>
      <c r="C566" s="20" t="str">
        <f>IF(B566="","",IF(COUNTIF('01_Anggota'!$D$5:$D$1212,B566)=0,"NAMA TIDAK DITEMUKAN",INDEX('01_Anggota'!$B$5:$B$1212,MATCH(B566,'01_Anggota'!$D$5:$D$1212,0))))</f>
        <v>KKSUK-000054</v>
      </c>
      <c r="D566" s="23">
        <v>0</v>
      </c>
      <c r="E566" s="23">
        <v>100000</v>
      </c>
      <c r="F566" s="23">
        <v>100000</v>
      </c>
      <c r="G566" s="23">
        <v>0</v>
      </c>
      <c r="H566" s="42">
        <v>46136</v>
      </c>
      <c r="I566" s="21" t="s">
        <v>806</v>
      </c>
    </row>
    <row r="567" spans="1:9" ht="21" customHeight="1">
      <c r="A567" s="20">
        <f t="shared" si="8"/>
        <v>563</v>
      </c>
      <c r="B567" s="21" t="s">
        <v>253</v>
      </c>
      <c r="C567" s="20" t="str">
        <f>IF(B567="","",IF(COUNTIF('01_Anggota'!$D$5:$D$1212,B567)=0,"NAMA TIDAK DITEMUKAN",INDEX('01_Anggota'!$B$5:$B$1212,MATCH(B567,'01_Anggota'!$D$5:$D$1212,0))))</f>
        <v>KKSUK-000054</v>
      </c>
      <c r="D567" s="23">
        <v>0</v>
      </c>
      <c r="E567" s="23">
        <v>100000</v>
      </c>
      <c r="F567" s="23">
        <v>100000</v>
      </c>
      <c r="G567" s="23">
        <v>0</v>
      </c>
      <c r="H567" s="42">
        <v>46167</v>
      </c>
      <c r="I567" s="21" t="s">
        <v>807</v>
      </c>
    </row>
    <row r="568" spans="1:9" ht="21" customHeight="1">
      <c r="A568" s="20">
        <f t="shared" si="8"/>
        <v>564</v>
      </c>
      <c r="B568" s="21" t="s">
        <v>253</v>
      </c>
      <c r="C568" s="20" t="str">
        <f>IF(B568="","",IF(COUNTIF('01_Anggota'!$D$5:$D$1212,B568)=0,"NAMA TIDAK DITEMUKAN",INDEX('01_Anggota'!$B$5:$B$1212,MATCH(B568,'01_Anggota'!$D$5:$D$1212,0))))</f>
        <v>KKSUK-000054</v>
      </c>
      <c r="D568" s="23">
        <v>0</v>
      </c>
      <c r="E568" s="23">
        <v>100000</v>
      </c>
      <c r="F568" s="23">
        <v>100000</v>
      </c>
      <c r="G568" s="23">
        <v>0</v>
      </c>
      <c r="H568" s="42">
        <v>46198</v>
      </c>
      <c r="I568" s="21" t="s">
        <v>808</v>
      </c>
    </row>
    <row r="569" spans="1:9" ht="21" customHeight="1">
      <c r="A569" s="20">
        <f t="shared" si="8"/>
        <v>565</v>
      </c>
      <c r="B569" s="21" t="s">
        <v>253</v>
      </c>
      <c r="C569" s="20" t="str">
        <f>IF(B569="","",IF(COUNTIF('01_Anggota'!$D$5:$D$1212,B569)=0,"NAMA TIDAK DITEMUKAN",INDEX('01_Anggota'!$B$5:$B$1212,MATCH(B569,'01_Anggota'!$D$5:$D$1212,0))))</f>
        <v>KKSUK-000054</v>
      </c>
      <c r="D569" s="23">
        <v>0</v>
      </c>
      <c r="E569" s="23">
        <v>100000</v>
      </c>
      <c r="F569" s="23">
        <v>100000</v>
      </c>
      <c r="G569" s="23">
        <v>0</v>
      </c>
      <c r="H569" s="42">
        <v>46227</v>
      </c>
      <c r="I569" s="21" t="s">
        <v>809</v>
      </c>
    </row>
    <row r="570" spans="1:9" ht="21" customHeight="1">
      <c r="A570" s="20">
        <f t="shared" si="8"/>
        <v>566</v>
      </c>
      <c r="B570" s="21" t="s">
        <v>253</v>
      </c>
      <c r="C570" s="20" t="str">
        <f>IF(B570="","",IF(COUNTIF('01_Anggota'!$D$5:$D$1212,B570)=0,"NAMA TIDAK DITEMUKAN",INDEX('01_Anggota'!$B$5:$B$1212,MATCH(B570,'01_Anggota'!$D$5:$D$1212,0))))</f>
        <v>KKSUK-000054</v>
      </c>
      <c r="D570" s="23">
        <v>0</v>
      </c>
      <c r="E570" s="23">
        <v>100000</v>
      </c>
      <c r="F570" s="23">
        <v>100000</v>
      </c>
      <c r="G570" s="23">
        <v>0</v>
      </c>
      <c r="H570" s="42">
        <v>46258</v>
      </c>
      <c r="I570" s="21" t="s">
        <v>810</v>
      </c>
    </row>
    <row r="571" spans="1:9" ht="21" customHeight="1">
      <c r="A571" s="20">
        <f t="shared" si="8"/>
        <v>567</v>
      </c>
      <c r="B571" s="21" t="s">
        <v>374</v>
      </c>
      <c r="C571" s="20" t="str">
        <f>IF(B571="","",IF(COUNTIF('01_Anggota'!$D$5:$D$1212,B571)=0,"NAMA TIDAK DITEMUKAN",INDEX('01_Anggota'!$B$5:$B$1212,MATCH(B571,'01_Anggota'!$D$5:$D$1212,0))))</f>
        <v>KKSUK-000175</v>
      </c>
      <c r="D571" s="23">
        <v>0</v>
      </c>
      <c r="E571" s="23">
        <v>900000</v>
      </c>
      <c r="F571" s="23">
        <v>3600000</v>
      </c>
      <c r="G571" s="23">
        <v>1265346</v>
      </c>
      <c r="H571" s="42">
        <v>46023</v>
      </c>
      <c r="I571" s="21" t="s">
        <v>802</v>
      </c>
    </row>
    <row r="572" spans="1:9" ht="21" customHeight="1">
      <c r="A572" s="20">
        <f t="shared" si="8"/>
        <v>568</v>
      </c>
      <c r="B572" s="21" t="s">
        <v>374</v>
      </c>
      <c r="C572" s="20" t="str">
        <f>IF(B572="","",IF(COUNTIF('01_Anggota'!$D$5:$D$1212,B572)=0,"NAMA TIDAK DITEMUKAN",INDEX('01_Anggota'!$B$5:$B$1212,MATCH(B572,'01_Anggota'!$D$5:$D$1212,0))))</f>
        <v>KKSUK-000175</v>
      </c>
      <c r="D572" s="23">
        <v>0</v>
      </c>
      <c r="E572" s="23">
        <v>100000</v>
      </c>
      <c r="F572" s="23">
        <v>100000</v>
      </c>
      <c r="G572" s="23">
        <v>0</v>
      </c>
      <c r="H572" s="42">
        <v>46045</v>
      </c>
      <c r="I572" s="21" t="s">
        <v>803</v>
      </c>
    </row>
    <row r="573" spans="1:9" ht="21" customHeight="1">
      <c r="A573" s="20">
        <f t="shared" si="8"/>
        <v>569</v>
      </c>
      <c r="B573" s="21" t="s">
        <v>374</v>
      </c>
      <c r="C573" s="20" t="str">
        <f>IF(B573="","",IF(COUNTIF('01_Anggota'!$D$5:$D$1212,B573)=0,"NAMA TIDAK DITEMUKAN",INDEX('01_Anggota'!$B$5:$B$1212,MATCH(B573,'01_Anggota'!$D$5:$D$1212,0))))</f>
        <v>KKSUK-000175</v>
      </c>
      <c r="D573" s="23">
        <v>0</v>
      </c>
      <c r="E573" s="23">
        <v>100000</v>
      </c>
      <c r="F573" s="23">
        <v>100000</v>
      </c>
      <c r="G573" s="23">
        <v>0</v>
      </c>
      <c r="H573" s="42">
        <v>46078</v>
      </c>
      <c r="I573" s="21" t="s">
        <v>804</v>
      </c>
    </row>
    <row r="574" spans="1:9" ht="21" customHeight="1">
      <c r="A574" s="20">
        <f t="shared" si="8"/>
        <v>570</v>
      </c>
      <c r="B574" s="21" t="s">
        <v>374</v>
      </c>
      <c r="C574" s="20" t="str">
        <f>IF(B574="","",IF(COUNTIF('01_Anggota'!$D$5:$D$1212,B574)=0,"NAMA TIDAK DITEMUKAN",INDEX('01_Anggota'!$B$5:$B$1212,MATCH(B574,'01_Anggota'!$D$5:$D$1212,0))))</f>
        <v>KKSUK-000175</v>
      </c>
      <c r="D574" s="23">
        <v>0</v>
      </c>
      <c r="E574" s="23">
        <v>-1100000</v>
      </c>
      <c r="F574" s="23">
        <v>-3800000</v>
      </c>
      <c r="G574" s="23">
        <v>-1265346</v>
      </c>
      <c r="H574" s="42">
        <v>46106</v>
      </c>
      <c r="I574" s="21" t="s">
        <v>805</v>
      </c>
    </row>
    <row r="575" spans="1:9" ht="21" customHeight="1">
      <c r="A575" s="20">
        <f t="shared" si="8"/>
        <v>571</v>
      </c>
      <c r="B575" s="21" t="s">
        <v>358</v>
      </c>
      <c r="C575" s="20" t="str">
        <f>IF(B575="","",IF(COUNTIF('01_Anggota'!$D$5:$D$1212,B575)=0,"NAMA TIDAK DITEMUKAN",INDEX('01_Anggota'!$B$5:$B$1212,MATCH(B575,'01_Anggota'!$D$5:$D$1212,0))))</f>
        <v>KKSUK-000159</v>
      </c>
      <c r="D575" s="23">
        <v>0</v>
      </c>
      <c r="E575" s="23">
        <v>800000</v>
      </c>
      <c r="F575" s="23">
        <v>1000000</v>
      </c>
      <c r="G575" s="23">
        <v>0</v>
      </c>
      <c r="H575" s="42">
        <v>46023</v>
      </c>
      <c r="I575" s="21" t="s">
        <v>802</v>
      </c>
    </row>
    <row r="576" spans="1:9" ht="21" customHeight="1">
      <c r="A576" s="20">
        <f t="shared" si="8"/>
        <v>572</v>
      </c>
      <c r="B576" s="21" t="s">
        <v>358</v>
      </c>
      <c r="C576" s="20" t="str">
        <f>IF(B576="","",IF(COUNTIF('01_Anggota'!$D$5:$D$1212,B576)=0,"NAMA TIDAK DITEMUKAN",INDEX('01_Anggota'!$B$5:$B$1212,MATCH(B576,'01_Anggota'!$D$5:$D$1212,0))))</f>
        <v>KKSUK-000159</v>
      </c>
      <c r="D576" s="23">
        <v>0</v>
      </c>
      <c r="E576" s="23">
        <v>50000</v>
      </c>
      <c r="F576" s="23">
        <v>100000</v>
      </c>
      <c r="G576" s="23">
        <v>0</v>
      </c>
      <c r="H576" s="42">
        <v>46045</v>
      </c>
      <c r="I576" s="21" t="s">
        <v>803</v>
      </c>
    </row>
    <row r="577" spans="1:9" ht="21" customHeight="1">
      <c r="A577" s="20">
        <f t="shared" si="8"/>
        <v>573</v>
      </c>
      <c r="B577" s="21" t="s">
        <v>358</v>
      </c>
      <c r="C577" s="20" t="str">
        <f>IF(B577="","",IF(COUNTIF('01_Anggota'!$D$5:$D$1212,B577)=0,"NAMA TIDAK DITEMUKAN",INDEX('01_Anggota'!$B$5:$B$1212,MATCH(B577,'01_Anggota'!$D$5:$D$1212,0))))</f>
        <v>KKSUK-000159</v>
      </c>
      <c r="D577" s="23">
        <v>0</v>
      </c>
      <c r="E577" s="23">
        <v>50000</v>
      </c>
      <c r="F577" s="23">
        <v>100000</v>
      </c>
      <c r="G577" s="23">
        <v>0</v>
      </c>
      <c r="H577" s="42">
        <v>46078</v>
      </c>
      <c r="I577" s="21" t="s">
        <v>804</v>
      </c>
    </row>
    <row r="578" spans="1:9" ht="21" customHeight="1">
      <c r="A578" s="20">
        <f t="shared" si="8"/>
        <v>574</v>
      </c>
      <c r="B578" s="21" t="s">
        <v>358</v>
      </c>
      <c r="C578" s="20" t="str">
        <f>IF(B578="","",IF(COUNTIF('01_Anggota'!$D$5:$D$1212,B578)=0,"NAMA TIDAK DITEMUKAN",INDEX('01_Anggota'!$B$5:$B$1212,MATCH(B578,'01_Anggota'!$D$5:$D$1212,0))))</f>
        <v>KKSUK-000159</v>
      </c>
      <c r="D578" s="23">
        <v>0</v>
      </c>
      <c r="E578" s="23">
        <v>50000</v>
      </c>
      <c r="F578" s="23">
        <v>100000</v>
      </c>
      <c r="G578" s="23">
        <v>0</v>
      </c>
      <c r="H578" s="42">
        <v>46106</v>
      </c>
      <c r="I578" s="21" t="s">
        <v>805</v>
      </c>
    </row>
    <row r="579" spans="1:9" ht="21" customHeight="1">
      <c r="A579" s="20">
        <f t="shared" si="8"/>
        <v>575</v>
      </c>
      <c r="B579" s="21" t="s">
        <v>358</v>
      </c>
      <c r="C579" s="20" t="str">
        <f>IF(B579="","",IF(COUNTIF('01_Anggota'!$D$5:$D$1212,B579)=0,"NAMA TIDAK DITEMUKAN",INDEX('01_Anggota'!$B$5:$B$1212,MATCH(B579,'01_Anggota'!$D$5:$D$1212,0))))</f>
        <v>KKSUK-000159</v>
      </c>
      <c r="D579" s="23">
        <v>0</v>
      </c>
      <c r="E579" s="23">
        <v>50000</v>
      </c>
      <c r="F579" s="23">
        <v>100000</v>
      </c>
      <c r="G579" s="23">
        <v>0</v>
      </c>
      <c r="H579" s="42">
        <v>46136</v>
      </c>
      <c r="I579" s="21" t="s">
        <v>806</v>
      </c>
    </row>
    <row r="580" spans="1:9" ht="21" customHeight="1">
      <c r="A580" s="20">
        <f t="shared" si="8"/>
        <v>576</v>
      </c>
      <c r="B580" s="21" t="s">
        <v>358</v>
      </c>
      <c r="C580" s="20" t="str">
        <f>IF(B580="","",IF(COUNTIF('01_Anggota'!$D$5:$D$1212,B580)=0,"NAMA TIDAK DITEMUKAN",INDEX('01_Anggota'!$B$5:$B$1212,MATCH(B580,'01_Anggota'!$D$5:$D$1212,0))))</f>
        <v>KKSUK-000159</v>
      </c>
      <c r="D580" s="23">
        <v>0</v>
      </c>
      <c r="E580" s="23">
        <v>50000</v>
      </c>
      <c r="F580" s="23">
        <v>100000</v>
      </c>
      <c r="G580" s="23">
        <v>0</v>
      </c>
      <c r="H580" s="42">
        <v>46167</v>
      </c>
      <c r="I580" s="21" t="s">
        <v>807</v>
      </c>
    </row>
    <row r="581" spans="1:9" ht="21" customHeight="1">
      <c r="A581" s="20">
        <f t="shared" ref="A581:A644" si="9">IF(B581="","",ROW()-4)</f>
        <v>577</v>
      </c>
      <c r="B581" s="21" t="s">
        <v>358</v>
      </c>
      <c r="C581" s="20" t="str">
        <f>IF(B581="","",IF(COUNTIF('01_Anggota'!$D$5:$D$1212,B581)=0,"NAMA TIDAK DITEMUKAN",INDEX('01_Anggota'!$B$5:$B$1212,MATCH(B581,'01_Anggota'!$D$5:$D$1212,0))))</f>
        <v>KKSUK-000159</v>
      </c>
      <c r="D581" s="23">
        <v>0</v>
      </c>
      <c r="E581" s="23">
        <v>50000</v>
      </c>
      <c r="F581" s="23">
        <v>100000</v>
      </c>
      <c r="G581" s="23">
        <v>0</v>
      </c>
      <c r="H581" s="42">
        <v>46198</v>
      </c>
      <c r="I581" s="21" t="s">
        <v>808</v>
      </c>
    </row>
    <row r="582" spans="1:9" ht="21" customHeight="1">
      <c r="A582" s="20">
        <f t="shared" si="9"/>
        <v>578</v>
      </c>
      <c r="B582" s="21" t="s">
        <v>358</v>
      </c>
      <c r="C582" s="20" t="str">
        <f>IF(B582="","",IF(COUNTIF('01_Anggota'!$D$5:$D$1212,B582)=0,"NAMA TIDAK DITEMUKAN",INDEX('01_Anggota'!$B$5:$B$1212,MATCH(B582,'01_Anggota'!$D$5:$D$1212,0))))</f>
        <v>KKSUK-000159</v>
      </c>
      <c r="D582" s="23">
        <v>0</v>
      </c>
      <c r="E582" s="23">
        <v>50000</v>
      </c>
      <c r="F582" s="23">
        <v>100000</v>
      </c>
      <c r="G582" s="23">
        <v>0</v>
      </c>
      <c r="H582" s="42">
        <v>46227</v>
      </c>
      <c r="I582" s="21" t="s">
        <v>809</v>
      </c>
    </row>
    <row r="583" spans="1:9" ht="21" customHeight="1">
      <c r="A583" s="20">
        <f t="shared" si="9"/>
        <v>579</v>
      </c>
      <c r="B583" s="21" t="s">
        <v>358</v>
      </c>
      <c r="C583" s="20" t="str">
        <f>IF(B583="","",IF(COUNTIF('01_Anggota'!$D$5:$D$1212,B583)=0,"NAMA TIDAK DITEMUKAN",INDEX('01_Anggota'!$B$5:$B$1212,MATCH(B583,'01_Anggota'!$D$5:$D$1212,0))))</f>
        <v>KKSUK-000159</v>
      </c>
      <c r="D583" s="23">
        <v>0</v>
      </c>
      <c r="E583" s="23">
        <v>50000</v>
      </c>
      <c r="F583" s="23">
        <v>100000</v>
      </c>
      <c r="G583" s="23">
        <v>0</v>
      </c>
      <c r="H583" s="42">
        <v>46258</v>
      </c>
      <c r="I583" s="21" t="s">
        <v>810</v>
      </c>
    </row>
    <row r="584" spans="1:9" ht="21" customHeight="1">
      <c r="A584" s="20">
        <f t="shared" si="9"/>
        <v>580</v>
      </c>
      <c r="B584" s="21" t="s">
        <v>260</v>
      </c>
      <c r="C584" s="20" t="str">
        <f>IF(B584="","",IF(COUNTIF('01_Anggota'!$D$5:$D$1212,B584)=0,"NAMA TIDAK DITEMUKAN",INDEX('01_Anggota'!$B$5:$B$1212,MATCH(B584,'01_Anggota'!$D$5:$D$1212,0))))</f>
        <v>KKSUK-000061</v>
      </c>
      <c r="D584" s="23">
        <v>0</v>
      </c>
      <c r="E584" s="23">
        <v>4350000</v>
      </c>
      <c r="F584" s="23">
        <v>10527205.786967199</v>
      </c>
      <c r="G584" s="23">
        <v>5331808</v>
      </c>
      <c r="H584" s="42">
        <v>46023</v>
      </c>
      <c r="I584" s="21" t="s">
        <v>802</v>
      </c>
    </row>
    <row r="585" spans="1:9" ht="21" customHeight="1">
      <c r="A585" s="20">
        <f t="shared" si="9"/>
        <v>581</v>
      </c>
      <c r="B585" s="21" t="s">
        <v>260</v>
      </c>
      <c r="C585" s="20" t="str">
        <f>IF(B585="","",IF(COUNTIF('01_Anggota'!$D$5:$D$1212,B585)=0,"NAMA TIDAK DITEMUKAN",INDEX('01_Anggota'!$B$5:$B$1212,MATCH(B585,'01_Anggota'!$D$5:$D$1212,0))))</f>
        <v>KKSUK-000061</v>
      </c>
      <c r="D585" s="23">
        <v>0</v>
      </c>
      <c r="E585" s="23">
        <v>0</v>
      </c>
      <c r="F585" s="23">
        <v>0</v>
      </c>
      <c r="G585" s="23">
        <v>0</v>
      </c>
      <c r="H585" s="42">
        <v>46045</v>
      </c>
      <c r="I585" s="21" t="s">
        <v>803</v>
      </c>
    </row>
    <row r="586" spans="1:9" ht="21" customHeight="1">
      <c r="A586" s="20">
        <f t="shared" si="9"/>
        <v>582</v>
      </c>
      <c r="B586" s="21" t="s">
        <v>260</v>
      </c>
      <c r="C586" s="20" t="str">
        <f>IF(B586="","",IF(COUNTIF('01_Anggota'!$D$5:$D$1212,B586)=0,"NAMA TIDAK DITEMUKAN",INDEX('01_Anggota'!$B$5:$B$1212,MATCH(B586,'01_Anggota'!$D$5:$D$1212,0))))</f>
        <v>KKSUK-000061</v>
      </c>
      <c r="D586" s="23">
        <v>0</v>
      </c>
      <c r="E586" s="23">
        <v>400000</v>
      </c>
      <c r="F586" s="23">
        <v>100000</v>
      </c>
      <c r="G586" s="23">
        <v>0</v>
      </c>
      <c r="H586" s="42">
        <v>46045</v>
      </c>
      <c r="I586" s="21" t="s">
        <v>803</v>
      </c>
    </row>
    <row r="587" spans="1:9" ht="21" customHeight="1">
      <c r="A587" s="20">
        <f t="shared" si="9"/>
        <v>583</v>
      </c>
      <c r="B587" s="21" t="s">
        <v>260</v>
      </c>
      <c r="C587" s="20" t="str">
        <f>IF(B587="","",IF(COUNTIF('01_Anggota'!$D$5:$D$1212,B587)=0,"NAMA TIDAK DITEMUKAN",INDEX('01_Anggota'!$B$5:$B$1212,MATCH(B587,'01_Anggota'!$D$5:$D$1212,0))))</f>
        <v>KKSUK-000061</v>
      </c>
      <c r="D587" s="23">
        <v>0</v>
      </c>
      <c r="E587" s="23">
        <v>400000</v>
      </c>
      <c r="F587" s="23">
        <v>100000</v>
      </c>
      <c r="G587" s="23">
        <v>0</v>
      </c>
      <c r="H587" s="42">
        <v>46078</v>
      </c>
      <c r="I587" s="21" t="s">
        <v>804</v>
      </c>
    </row>
    <row r="588" spans="1:9" ht="21" customHeight="1">
      <c r="A588" s="20">
        <f t="shared" si="9"/>
        <v>584</v>
      </c>
      <c r="B588" s="21" t="s">
        <v>260</v>
      </c>
      <c r="C588" s="20" t="str">
        <f>IF(B588="","",IF(COUNTIF('01_Anggota'!$D$5:$D$1212,B588)=0,"NAMA TIDAK DITEMUKAN",INDEX('01_Anggota'!$B$5:$B$1212,MATCH(B588,'01_Anggota'!$D$5:$D$1212,0))))</f>
        <v>KKSUK-000061</v>
      </c>
      <c r="D588" s="23">
        <v>0</v>
      </c>
      <c r="E588" s="23">
        <v>400000</v>
      </c>
      <c r="F588" s="23">
        <v>100000</v>
      </c>
      <c r="G588" s="23">
        <v>0</v>
      </c>
      <c r="H588" s="42">
        <v>46106</v>
      </c>
      <c r="I588" s="21" t="s">
        <v>805</v>
      </c>
    </row>
    <row r="589" spans="1:9" ht="21" customHeight="1">
      <c r="A589" s="20">
        <f t="shared" si="9"/>
        <v>585</v>
      </c>
      <c r="B589" s="21" t="s">
        <v>260</v>
      </c>
      <c r="C589" s="20" t="str">
        <f>IF(B589="","",IF(COUNTIF('01_Anggota'!$D$5:$D$1212,B589)=0,"NAMA TIDAK DITEMUKAN",INDEX('01_Anggota'!$B$5:$B$1212,MATCH(B589,'01_Anggota'!$D$5:$D$1212,0))))</f>
        <v>KKSUK-000061</v>
      </c>
      <c r="D589" s="23">
        <v>0</v>
      </c>
      <c r="E589" s="23">
        <v>400000</v>
      </c>
      <c r="F589" s="23">
        <v>100000</v>
      </c>
      <c r="G589" s="23">
        <v>0</v>
      </c>
      <c r="H589" s="42">
        <v>46136</v>
      </c>
      <c r="I589" s="21" t="s">
        <v>806</v>
      </c>
    </row>
    <row r="590" spans="1:9" ht="21" customHeight="1">
      <c r="A590" s="20">
        <f t="shared" si="9"/>
        <v>586</v>
      </c>
      <c r="B590" s="21" t="s">
        <v>260</v>
      </c>
      <c r="C590" s="20" t="str">
        <f>IF(B590="","",IF(COUNTIF('01_Anggota'!$D$5:$D$1212,B590)=0,"NAMA TIDAK DITEMUKAN",INDEX('01_Anggota'!$B$5:$B$1212,MATCH(B590,'01_Anggota'!$D$5:$D$1212,0))))</f>
        <v>KKSUK-000061</v>
      </c>
      <c r="D590" s="23">
        <v>0</v>
      </c>
      <c r="E590" s="23">
        <v>400000</v>
      </c>
      <c r="F590" s="23">
        <v>100000</v>
      </c>
      <c r="G590" s="23">
        <v>0</v>
      </c>
      <c r="H590" s="42">
        <v>46167</v>
      </c>
      <c r="I590" s="21" t="s">
        <v>807</v>
      </c>
    </row>
    <row r="591" spans="1:9" ht="21" customHeight="1">
      <c r="A591" s="20">
        <f t="shared" si="9"/>
        <v>587</v>
      </c>
      <c r="B591" s="21" t="s">
        <v>260</v>
      </c>
      <c r="C591" s="20" t="str">
        <f>IF(B591="","",IF(COUNTIF('01_Anggota'!$D$5:$D$1212,B591)=0,"NAMA TIDAK DITEMUKAN",INDEX('01_Anggota'!$B$5:$B$1212,MATCH(B591,'01_Anggota'!$D$5:$D$1212,0))))</f>
        <v>KKSUK-000061</v>
      </c>
      <c r="D591" s="23">
        <v>0</v>
      </c>
      <c r="E591" s="23">
        <v>400000</v>
      </c>
      <c r="F591" s="23">
        <v>100000</v>
      </c>
      <c r="G591" s="23">
        <v>0</v>
      </c>
      <c r="H591" s="42">
        <v>46198</v>
      </c>
      <c r="I591" s="21" t="s">
        <v>808</v>
      </c>
    </row>
    <row r="592" spans="1:9" ht="21" customHeight="1">
      <c r="A592" s="20">
        <f t="shared" si="9"/>
        <v>588</v>
      </c>
      <c r="B592" s="21" t="s">
        <v>260</v>
      </c>
      <c r="C592" s="20" t="str">
        <f>IF(B592="","",IF(COUNTIF('01_Anggota'!$D$5:$D$1212,B592)=0,"NAMA TIDAK DITEMUKAN",INDEX('01_Anggota'!$B$5:$B$1212,MATCH(B592,'01_Anggota'!$D$5:$D$1212,0))))</f>
        <v>KKSUK-000061</v>
      </c>
      <c r="D592" s="23">
        <v>0</v>
      </c>
      <c r="E592" s="23">
        <v>-3500000</v>
      </c>
      <c r="F592" s="23">
        <v>0</v>
      </c>
      <c r="G592" s="23">
        <v>0</v>
      </c>
      <c r="H592" s="42">
        <v>46227</v>
      </c>
      <c r="I592" s="21" t="s">
        <v>809</v>
      </c>
    </row>
    <row r="593" spans="1:9" ht="21" customHeight="1">
      <c r="A593" s="20">
        <f t="shared" si="9"/>
        <v>589</v>
      </c>
      <c r="B593" s="21" t="s">
        <v>260</v>
      </c>
      <c r="C593" s="20" t="str">
        <f>IF(B593="","",IF(COUNTIF('01_Anggota'!$D$5:$D$1212,B593)=0,"NAMA TIDAK DITEMUKAN",INDEX('01_Anggota'!$B$5:$B$1212,MATCH(B593,'01_Anggota'!$D$5:$D$1212,0))))</f>
        <v>KKSUK-000061</v>
      </c>
      <c r="D593" s="23">
        <v>0</v>
      </c>
      <c r="E593" s="23">
        <v>400000</v>
      </c>
      <c r="F593" s="23">
        <v>100000</v>
      </c>
      <c r="G593" s="23">
        <v>0</v>
      </c>
      <c r="H593" s="42">
        <v>46227</v>
      </c>
      <c r="I593" s="21" t="s">
        <v>809</v>
      </c>
    </row>
    <row r="594" spans="1:9" ht="21" customHeight="1">
      <c r="A594" s="20">
        <f t="shared" si="9"/>
        <v>590</v>
      </c>
      <c r="B594" s="21" t="s">
        <v>260</v>
      </c>
      <c r="C594" s="20" t="str">
        <f>IF(B594="","",IF(COUNTIF('01_Anggota'!$D$5:$D$1212,B594)=0,"NAMA TIDAK DITEMUKAN",INDEX('01_Anggota'!$B$5:$B$1212,MATCH(B594,'01_Anggota'!$D$5:$D$1212,0))))</f>
        <v>KKSUK-000061</v>
      </c>
      <c r="D594" s="23">
        <v>0</v>
      </c>
      <c r="E594" s="23">
        <v>400000</v>
      </c>
      <c r="F594" s="23">
        <v>100000</v>
      </c>
      <c r="G594" s="23">
        <v>0</v>
      </c>
      <c r="H594" s="42">
        <v>46258</v>
      </c>
      <c r="I594" s="21" t="s">
        <v>810</v>
      </c>
    </row>
    <row r="595" spans="1:9" ht="21" customHeight="1">
      <c r="A595" s="20">
        <f t="shared" si="9"/>
        <v>591</v>
      </c>
      <c r="B595" s="21" t="s">
        <v>213</v>
      </c>
      <c r="C595" s="20" t="str">
        <f>IF(B595="","",IF(COUNTIF('01_Anggota'!$D$5:$D$1212,B595)=0,"NAMA TIDAK DITEMUKAN",INDEX('01_Anggota'!$B$5:$B$1212,MATCH(B595,'01_Anggota'!$D$5:$D$1212,0))))</f>
        <v>KKSUK-000014</v>
      </c>
      <c r="D595" s="23">
        <v>0</v>
      </c>
      <c r="E595" s="23">
        <v>6490000</v>
      </c>
      <c r="F595" s="23">
        <v>15872597.854803201</v>
      </c>
      <c r="G595" s="23">
        <v>5917688</v>
      </c>
      <c r="H595" s="42">
        <v>46023</v>
      </c>
      <c r="I595" s="21" t="s">
        <v>802</v>
      </c>
    </row>
    <row r="596" spans="1:9" ht="21" customHeight="1">
      <c r="A596" s="20">
        <f t="shared" si="9"/>
        <v>592</v>
      </c>
      <c r="B596" s="21" t="s">
        <v>213</v>
      </c>
      <c r="C596" s="20" t="str">
        <f>IF(B596="","",IF(COUNTIF('01_Anggota'!$D$5:$D$1212,B596)=0,"NAMA TIDAK DITEMUKAN",INDEX('01_Anggota'!$B$5:$B$1212,MATCH(B596,'01_Anggota'!$D$5:$D$1212,0))))</f>
        <v>KKSUK-000014</v>
      </c>
      <c r="D596" s="23">
        <v>0</v>
      </c>
      <c r="E596" s="23">
        <v>-4000000</v>
      </c>
      <c r="F596" s="23">
        <v>0</v>
      </c>
      <c r="G596" s="23">
        <v>0</v>
      </c>
      <c r="H596" s="42">
        <v>46045</v>
      </c>
      <c r="I596" s="21" t="s">
        <v>803</v>
      </c>
    </row>
    <row r="597" spans="1:9" ht="21" customHeight="1">
      <c r="A597" s="20">
        <f t="shared" si="9"/>
        <v>593</v>
      </c>
      <c r="B597" s="21" t="s">
        <v>213</v>
      </c>
      <c r="C597" s="20" t="str">
        <f>IF(B597="","",IF(COUNTIF('01_Anggota'!$D$5:$D$1212,B597)=0,"NAMA TIDAK DITEMUKAN",INDEX('01_Anggota'!$B$5:$B$1212,MATCH(B597,'01_Anggota'!$D$5:$D$1212,0))))</f>
        <v>KKSUK-000014</v>
      </c>
      <c r="D597" s="23">
        <v>0</v>
      </c>
      <c r="E597" s="23">
        <v>150000</v>
      </c>
      <c r="F597" s="23">
        <v>100000</v>
      </c>
      <c r="G597" s="23">
        <v>0</v>
      </c>
      <c r="H597" s="42">
        <v>46045</v>
      </c>
      <c r="I597" s="21" t="s">
        <v>803</v>
      </c>
    </row>
    <row r="598" spans="1:9" ht="21" customHeight="1">
      <c r="A598" s="20">
        <f t="shared" si="9"/>
        <v>594</v>
      </c>
      <c r="B598" s="21" t="s">
        <v>213</v>
      </c>
      <c r="C598" s="20" t="str">
        <f>IF(B598="","",IF(COUNTIF('01_Anggota'!$D$5:$D$1212,B598)=0,"NAMA TIDAK DITEMUKAN",INDEX('01_Anggota'!$B$5:$B$1212,MATCH(B598,'01_Anggota'!$D$5:$D$1212,0))))</f>
        <v>KKSUK-000014</v>
      </c>
      <c r="D598" s="23">
        <v>0</v>
      </c>
      <c r="E598" s="23">
        <v>150000</v>
      </c>
      <c r="F598" s="23">
        <v>100000</v>
      </c>
      <c r="G598" s="23">
        <v>0</v>
      </c>
      <c r="H598" s="42">
        <v>46078</v>
      </c>
      <c r="I598" s="21" t="s">
        <v>804</v>
      </c>
    </row>
    <row r="599" spans="1:9" ht="21" customHeight="1">
      <c r="A599" s="20">
        <f t="shared" si="9"/>
        <v>595</v>
      </c>
      <c r="B599" s="21" t="s">
        <v>213</v>
      </c>
      <c r="C599" s="20" t="str">
        <f>IF(B599="","",IF(COUNTIF('01_Anggota'!$D$5:$D$1212,B599)=0,"NAMA TIDAK DITEMUKAN",INDEX('01_Anggota'!$B$5:$B$1212,MATCH(B599,'01_Anggota'!$D$5:$D$1212,0))))</f>
        <v>KKSUK-000014</v>
      </c>
      <c r="D599" s="23">
        <v>0</v>
      </c>
      <c r="E599" s="23">
        <v>150000</v>
      </c>
      <c r="F599" s="23">
        <v>100000</v>
      </c>
      <c r="G599" s="23">
        <v>0</v>
      </c>
      <c r="H599" s="42">
        <v>46106</v>
      </c>
      <c r="I599" s="21" t="s">
        <v>805</v>
      </c>
    </row>
    <row r="600" spans="1:9" ht="21" customHeight="1">
      <c r="A600" s="20">
        <f t="shared" si="9"/>
        <v>596</v>
      </c>
      <c r="B600" s="21" t="s">
        <v>213</v>
      </c>
      <c r="C600" s="20" t="str">
        <f>IF(B600="","",IF(COUNTIF('01_Anggota'!$D$5:$D$1212,B600)=0,"NAMA TIDAK DITEMUKAN",INDEX('01_Anggota'!$B$5:$B$1212,MATCH(B600,'01_Anggota'!$D$5:$D$1212,0))))</f>
        <v>KKSUK-000014</v>
      </c>
      <c r="D600" s="23">
        <v>0</v>
      </c>
      <c r="E600" s="23">
        <v>150000</v>
      </c>
      <c r="F600" s="23">
        <v>100000</v>
      </c>
      <c r="G600" s="23">
        <v>0</v>
      </c>
      <c r="H600" s="42">
        <v>46136</v>
      </c>
      <c r="I600" s="21" t="s">
        <v>806</v>
      </c>
    </row>
    <row r="601" spans="1:9" ht="21" customHeight="1">
      <c r="A601" s="20">
        <f t="shared" si="9"/>
        <v>597</v>
      </c>
      <c r="B601" s="21" t="s">
        <v>213</v>
      </c>
      <c r="C601" s="20" t="str">
        <f>IF(B601="","",IF(COUNTIF('01_Anggota'!$D$5:$D$1212,B601)=0,"NAMA TIDAK DITEMUKAN",INDEX('01_Anggota'!$B$5:$B$1212,MATCH(B601,'01_Anggota'!$D$5:$D$1212,0))))</f>
        <v>KKSUK-000014</v>
      </c>
      <c r="D601" s="23">
        <v>0</v>
      </c>
      <c r="E601" s="23">
        <v>150000</v>
      </c>
      <c r="F601" s="23">
        <v>100000</v>
      </c>
      <c r="G601" s="23">
        <v>0</v>
      </c>
      <c r="H601" s="42">
        <v>46167</v>
      </c>
      <c r="I601" s="21" t="s">
        <v>807</v>
      </c>
    </row>
    <row r="602" spans="1:9" ht="21" customHeight="1">
      <c r="A602" s="20">
        <f t="shared" si="9"/>
        <v>598</v>
      </c>
      <c r="B602" s="21" t="s">
        <v>213</v>
      </c>
      <c r="C602" s="20" t="str">
        <f>IF(B602="","",IF(COUNTIF('01_Anggota'!$D$5:$D$1212,B602)=0,"NAMA TIDAK DITEMUKAN",INDEX('01_Anggota'!$B$5:$B$1212,MATCH(B602,'01_Anggota'!$D$5:$D$1212,0))))</f>
        <v>KKSUK-000014</v>
      </c>
      <c r="D602" s="23">
        <v>0</v>
      </c>
      <c r="E602" s="23">
        <v>150000</v>
      </c>
      <c r="F602" s="23">
        <v>100000</v>
      </c>
      <c r="G602" s="23">
        <v>0</v>
      </c>
      <c r="H602" s="42">
        <v>46198</v>
      </c>
      <c r="I602" s="21" t="s">
        <v>808</v>
      </c>
    </row>
    <row r="603" spans="1:9" ht="21" customHeight="1">
      <c r="A603" s="20">
        <f t="shared" si="9"/>
        <v>599</v>
      </c>
      <c r="B603" s="21" t="s">
        <v>213</v>
      </c>
      <c r="C603" s="20" t="str">
        <f>IF(B603="","",IF(COUNTIF('01_Anggota'!$D$5:$D$1212,B603)=0,"NAMA TIDAK DITEMUKAN",INDEX('01_Anggota'!$B$5:$B$1212,MATCH(B603,'01_Anggota'!$D$5:$D$1212,0))))</f>
        <v>KKSUK-000014</v>
      </c>
      <c r="D603" s="23">
        <v>0</v>
      </c>
      <c r="E603" s="23">
        <v>150000</v>
      </c>
      <c r="F603" s="23">
        <v>100000</v>
      </c>
      <c r="G603" s="23">
        <v>0</v>
      </c>
      <c r="H603" s="42">
        <v>46227</v>
      </c>
      <c r="I603" s="21" t="s">
        <v>809</v>
      </c>
    </row>
    <row r="604" spans="1:9" ht="21" customHeight="1">
      <c r="A604" s="20">
        <f t="shared" si="9"/>
        <v>600</v>
      </c>
      <c r="B604" s="21" t="s">
        <v>213</v>
      </c>
      <c r="C604" s="20" t="str">
        <f>IF(B604="","",IF(COUNTIF('01_Anggota'!$D$5:$D$1212,B604)=0,"NAMA TIDAK DITEMUKAN",INDEX('01_Anggota'!$B$5:$B$1212,MATCH(B604,'01_Anggota'!$D$5:$D$1212,0))))</f>
        <v>KKSUK-000014</v>
      </c>
      <c r="D604" s="23">
        <v>0</v>
      </c>
      <c r="E604" s="23">
        <v>150000</v>
      </c>
      <c r="F604" s="23">
        <v>100000</v>
      </c>
      <c r="G604" s="23">
        <v>0</v>
      </c>
      <c r="H604" s="42">
        <v>46258</v>
      </c>
      <c r="I604" s="21" t="s">
        <v>810</v>
      </c>
    </row>
    <row r="605" spans="1:9" ht="21" customHeight="1">
      <c r="A605" s="20">
        <f t="shared" si="9"/>
        <v>601</v>
      </c>
      <c r="B605" s="21" t="s">
        <v>254</v>
      </c>
      <c r="C605" s="20" t="str">
        <f>IF(B605="","",IF(COUNTIF('01_Anggota'!$D$5:$D$1212,B605)=0,"NAMA TIDAK DITEMUKAN",INDEX('01_Anggota'!$B$5:$B$1212,MATCH(B605,'01_Anggota'!$D$5:$D$1212,0))))</f>
        <v>KKSUK-000055</v>
      </c>
      <c r="D605" s="23">
        <v>0</v>
      </c>
      <c r="E605" s="23">
        <v>3350000</v>
      </c>
      <c r="F605" s="23">
        <v>10278196.839707701</v>
      </c>
      <c r="G605" s="23">
        <v>5739852</v>
      </c>
      <c r="H605" s="42">
        <v>46023</v>
      </c>
      <c r="I605" s="21" t="s">
        <v>802</v>
      </c>
    </row>
    <row r="606" spans="1:9" ht="21" customHeight="1">
      <c r="A606" s="20">
        <f t="shared" si="9"/>
        <v>602</v>
      </c>
      <c r="B606" s="21" t="s">
        <v>254</v>
      </c>
      <c r="C606" s="20" t="str">
        <f>IF(B606="","",IF(COUNTIF('01_Anggota'!$D$5:$D$1212,B606)=0,"NAMA TIDAK DITEMUKAN",INDEX('01_Anggota'!$B$5:$B$1212,MATCH(B606,'01_Anggota'!$D$5:$D$1212,0))))</f>
        <v>KKSUK-000055</v>
      </c>
      <c r="D606" s="23">
        <v>0</v>
      </c>
      <c r="E606" s="23">
        <v>150000</v>
      </c>
      <c r="F606" s="23">
        <v>100000</v>
      </c>
      <c r="G606" s="23">
        <v>0</v>
      </c>
      <c r="H606" s="42">
        <v>46045</v>
      </c>
      <c r="I606" s="21" t="s">
        <v>803</v>
      </c>
    </row>
    <row r="607" spans="1:9" ht="21" customHeight="1">
      <c r="A607" s="20">
        <f t="shared" si="9"/>
        <v>603</v>
      </c>
      <c r="B607" s="21" t="s">
        <v>254</v>
      </c>
      <c r="C607" s="20" t="str">
        <f>IF(B607="","",IF(COUNTIF('01_Anggota'!$D$5:$D$1212,B607)=0,"NAMA TIDAK DITEMUKAN",INDEX('01_Anggota'!$B$5:$B$1212,MATCH(B607,'01_Anggota'!$D$5:$D$1212,0))))</f>
        <v>KKSUK-000055</v>
      </c>
      <c r="D607" s="23">
        <v>0</v>
      </c>
      <c r="E607" s="23">
        <v>150000</v>
      </c>
      <c r="F607" s="23">
        <v>100000</v>
      </c>
      <c r="G607" s="23">
        <v>0</v>
      </c>
      <c r="H607" s="42">
        <v>46078</v>
      </c>
      <c r="I607" s="21" t="s">
        <v>804</v>
      </c>
    </row>
    <row r="608" spans="1:9" ht="21" customHeight="1">
      <c r="A608" s="20">
        <f t="shared" si="9"/>
        <v>604</v>
      </c>
      <c r="B608" s="21" t="s">
        <v>254</v>
      </c>
      <c r="C608" s="20" t="str">
        <f>IF(B608="","",IF(COUNTIF('01_Anggota'!$D$5:$D$1212,B608)=0,"NAMA TIDAK DITEMUKAN",INDEX('01_Anggota'!$B$5:$B$1212,MATCH(B608,'01_Anggota'!$D$5:$D$1212,0))))</f>
        <v>KKSUK-000055</v>
      </c>
      <c r="D608" s="23">
        <v>0</v>
      </c>
      <c r="E608" s="23">
        <v>150000</v>
      </c>
      <c r="F608" s="23">
        <v>100000</v>
      </c>
      <c r="G608" s="23">
        <v>0</v>
      </c>
      <c r="H608" s="42">
        <v>46106</v>
      </c>
      <c r="I608" s="21" t="s">
        <v>805</v>
      </c>
    </row>
    <row r="609" spans="1:9" ht="21" customHeight="1">
      <c r="A609" s="20">
        <f t="shared" si="9"/>
        <v>605</v>
      </c>
      <c r="B609" s="21" t="s">
        <v>254</v>
      </c>
      <c r="C609" s="20" t="str">
        <f>IF(B609="","",IF(COUNTIF('01_Anggota'!$D$5:$D$1212,B609)=0,"NAMA TIDAK DITEMUKAN",INDEX('01_Anggota'!$B$5:$B$1212,MATCH(B609,'01_Anggota'!$D$5:$D$1212,0))))</f>
        <v>KKSUK-000055</v>
      </c>
      <c r="D609" s="23">
        <v>0</v>
      </c>
      <c r="E609" s="23">
        <v>150000</v>
      </c>
      <c r="F609" s="23">
        <v>100000</v>
      </c>
      <c r="G609" s="23">
        <v>0</v>
      </c>
      <c r="H609" s="42">
        <v>46136</v>
      </c>
      <c r="I609" s="21" t="s">
        <v>806</v>
      </c>
    </row>
    <row r="610" spans="1:9" ht="21" customHeight="1">
      <c r="A610" s="20">
        <f t="shared" si="9"/>
        <v>606</v>
      </c>
      <c r="B610" s="21" t="s">
        <v>254</v>
      </c>
      <c r="C610" s="20" t="str">
        <f>IF(B610="","",IF(COUNTIF('01_Anggota'!$D$5:$D$1212,B610)=0,"NAMA TIDAK DITEMUKAN",INDEX('01_Anggota'!$B$5:$B$1212,MATCH(B610,'01_Anggota'!$D$5:$D$1212,0))))</f>
        <v>KKSUK-000055</v>
      </c>
      <c r="D610" s="23">
        <v>0</v>
      </c>
      <c r="E610" s="23">
        <v>150000</v>
      </c>
      <c r="F610" s="23">
        <v>100000</v>
      </c>
      <c r="G610" s="23">
        <v>0</v>
      </c>
      <c r="H610" s="42">
        <v>46167</v>
      </c>
      <c r="I610" s="21" t="s">
        <v>807</v>
      </c>
    </row>
    <row r="611" spans="1:9" ht="21" customHeight="1">
      <c r="A611" s="20">
        <f t="shared" si="9"/>
        <v>607</v>
      </c>
      <c r="B611" s="21" t="s">
        <v>254</v>
      </c>
      <c r="C611" s="20" t="str">
        <f>IF(B611="","",IF(COUNTIF('01_Anggota'!$D$5:$D$1212,B611)=0,"NAMA TIDAK DITEMUKAN",INDEX('01_Anggota'!$B$5:$B$1212,MATCH(B611,'01_Anggota'!$D$5:$D$1212,0))))</f>
        <v>KKSUK-000055</v>
      </c>
      <c r="D611" s="23">
        <v>0</v>
      </c>
      <c r="E611" s="23">
        <v>-2500000</v>
      </c>
      <c r="F611" s="23">
        <v>0</v>
      </c>
      <c r="G611" s="23">
        <v>0</v>
      </c>
      <c r="H611" s="42">
        <v>46198</v>
      </c>
      <c r="I611" s="21" t="s">
        <v>808</v>
      </c>
    </row>
    <row r="612" spans="1:9" ht="21" customHeight="1">
      <c r="A612" s="20">
        <f t="shared" si="9"/>
        <v>608</v>
      </c>
      <c r="B612" s="21" t="s">
        <v>254</v>
      </c>
      <c r="C612" s="20" t="str">
        <f>IF(B612="","",IF(COUNTIF('01_Anggota'!$D$5:$D$1212,B612)=0,"NAMA TIDAK DITEMUKAN",INDEX('01_Anggota'!$B$5:$B$1212,MATCH(B612,'01_Anggota'!$D$5:$D$1212,0))))</f>
        <v>KKSUK-000055</v>
      </c>
      <c r="D612" s="23">
        <v>0</v>
      </c>
      <c r="E612" s="23">
        <v>150000</v>
      </c>
      <c r="F612" s="23">
        <v>100000</v>
      </c>
      <c r="G612" s="23">
        <v>0</v>
      </c>
      <c r="H612" s="42">
        <v>46198</v>
      </c>
      <c r="I612" s="21" t="s">
        <v>808</v>
      </c>
    </row>
    <row r="613" spans="1:9" ht="21" customHeight="1">
      <c r="A613" s="20">
        <f t="shared" si="9"/>
        <v>609</v>
      </c>
      <c r="B613" s="21" t="s">
        <v>254</v>
      </c>
      <c r="C613" s="20" t="str">
        <f>IF(B613="","",IF(COUNTIF('01_Anggota'!$D$5:$D$1212,B613)=0,"NAMA TIDAK DITEMUKAN",INDEX('01_Anggota'!$B$5:$B$1212,MATCH(B613,'01_Anggota'!$D$5:$D$1212,0))))</f>
        <v>KKSUK-000055</v>
      </c>
      <c r="D613" s="23">
        <v>0</v>
      </c>
      <c r="E613" s="23">
        <v>150000</v>
      </c>
      <c r="F613" s="23">
        <v>100000</v>
      </c>
      <c r="G613" s="23">
        <v>0</v>
      </c>
      <c r="H613" s="42">
        <v>46227</v>
      </c>
      <c r="I613" s="21" t="s">
        <v>809</v>
      </c>
    </row>
    <row r="614" spans="1:9" ht="21" customHeight="1">
      <c r="A614" s="20">
        <f t="shared" si="9"/>
        <v>610</v>
      </c>
      <c r="B614" s="21" t="s">
        <v>254</v>
      </c>
      <c r="C614" s="20" t="str">
        <f>IF(B614="","",IF(COUNTIF('01_Anggota'!$D$5:$D$1212,B614)=0,"NAMA TIDAK DITEMUKAN",INDEX('01_Anggota'!$B$5:$B$1212,MATCH(B614,'01_Anggota'!$D$5:$D$1212,0))))</f>
        <v>KKSUK-000055</v>
      </c>
      <c r="D614" s="23">
        <v>0</v>
      </c>
      <c r="E614" s="23">
        <v>150000</v>
      </c>
      <c r="F614" s="23">
        <v>100000</v>
      </c>
      <c r="G614" s="23">
        <v>0</v>
      </c>
      <c r="H614" s="42">
        <v>46258</v>
      </c>
      <c r="I614" s="21" t="s">
        <v>810</v>
      </c>
    </row>
    <row r="615" spans="1:9" ht="21" customHeight="1">
      <c r="A615" s="20">
        <f t="shared" si="9"/>
        <v>611</v>
      </c>
      <c r="B615" s="21" t="s">
        <v>373</v>
      </c>
      <c r="C615" s="20" t="str">
        <f>IF(B615="","",IF(COUNTIF('01_Anggota'!$D$5:$D$1212,B615)=0,"NAMA TIDAK DITEMUKAN",INDEX('01_Anggota'!$B$5:$B$1212,MATCH(B615,'01_Anggota'!$D$5:$D$1212,0))))</f>
        <v>KKSUK-000174</v>
      </c>
      <c r="D615" s="23">
        <v>0</v>
      </c>
      <c r="E615" s="23">
        <v>12300000</v>
      </c>
      <c r="F615" s="23">
        <v>8500000</v>
      </c>
      <c r="G615" s="23">
        <v>3713006</v>
      </c>
      <c r="H615" s="42">
        <v>46023</v>
      </c>
      <c r="I615" s="21" t="s">
        <v>802</v>
      </c>
    </row>
    <row r="616" spans="1:9" ht="21" customHeight="1">
      <c r="A616" s="20">
        <f t="shared" si="9"/>
        <v>612</v>
      </c>
      <c r="B616" s="21" t="s">
        <v>373</v>
      </c>
      <c r="C616" s="20" t="str">
        <f>IF(B616="","",IF(COUNTIF('01_Anggota'!$D$5:$D$1212,B616)=0,"NAMA TIDAK DITEMUKAN",INDEX('01_Anggota'!$B$5:$B$1212,MATCH(B616,'01_Anggota'!$D$5:$D$1212,0))))</f>
        <v>KKSUK-000174</v>
      </c>
      <c r="D616" s="23">
        <v>0</v>
      </c>
      <c r="E616" s="23">
        <v>400000</v>
      </c>
      <c r="F616" s="23">
        <v>100000</v>
      </c>
      <c r="G616" s="23">
        <v>0</v>
      </c>
      <c r="H616" s="42">
        <v>46035</v>
      </c>
      <c r="I616" s="21" t="s">
        <v>813</v>
      </c>
    </row>
    <row r="617" spans="1:9" ht="21" customHeight="1">
      <c r="A617" s="20">
        <f t="shared" si="9"/>
        <v>613</v>
      </c>
      <c r="B617" s="21" t="s">
        <v>373</v>
      </c>
      <c r="C617" s="20" t="str">
        <f>IF(B617="","",IF(COUNTIF('01_Anggota'!$D$5:$D$1212,B617)=0,"NAMA TIDAK DITEMUKAN",INDEX('01_Anggota'!$B$5:$B$1212,MATCH(B617,'01_Anggota'!$D$5:$D$1212,0))))</f>
        <v>KKSUK-000174</v>
      </c>
      <c r="D617" s="23">
        <v>0</v>
      </c>
      <c r="E617" s="23">
        <v>400000</v>
      </c>
      <c r="F617" s="23">
        <v>100000</v>
      </c>
      <c r="G617" s="23">
        <v>0</v>
      </c>
      <c r="H617" s="42">
        <v>46045</v>
      </c>
      <c r="I617" s="21" t="s">
        <v>803</v>
      </c>
    </row>
    <row r="618" spans="1:9" ht="21" customHeight="1">
      <c r="A618" s="20">
        <f t="shared" si="9"/>
        <v>614</v>
      </c>
      <c r="B618" s="21" t="s">
        <v>373</v>
      </c>
      <c r="C618" s="20" t="str">
        <f>IF(B618="","",IF(COUNTIF('01_Anggota'!$D$5:$D$1212,B618)=0,"NAMA TIDAK DITEMUKAN",INDEX('01_Anggota'!$B$5:$B$1212,MATCH(B618,'01_Anggota'!$D$5:$D$1212,0))))</f>
        <v>KKSUK-000174</v>
      </c>
      <c r="D618" s="23">
        <v>0</v>
      </c>
      <c r="E618" s="23">
        <v>400000</v>
      </c>
      <c r="F618" s="23">
        <v>100000</v>
      </c>
      <c r="G618" s="23">
        <v>0</v>
      </c>
      <c r="H618" s="42">
        <v>46106</v>
      </c>
      <c r="I618" s="21" t="s">
        <v>805</v>
      </c>
    </row>
    <row r="619" spans="1:9" ht="21" customHeight="1">
      <c r="A619" s="20">
        <f t="shared" si="9"/>
        <v>615</v>
      </c>
      <c r="B619" s="21" t="s">
        <v>373</v>
      </c>
      <c r="C619" s="20" t="str">
        <f>IF(B619="","",IF(COUNTIF('01_Anggota'!$D$5:$D$1212,B619)=0,"NAMA TIDAK DITEMUKAN",INDEX('01_Anggota'!$B$5:$B$1212,MATCH(B619,'01_Anggota'!$D$5:$D$1212,0))))</f>
        <v>KKSUK-000174</v>
      </c>
      <c r="D619" s="23">
        <v>0</v>
      </c>
      <c r="E619" s="23">
        <v>400000</v>
      </c>
      <c r="F619" s="23">
        <v>100000</v>
      </c>
      <c r="G619" s="23">
        <v>0</v>
      </c>
      <c r="H619" s="42">
        <v>46078</v>
      </c>
      <c r="I619" s="21" t="s">
        <v>804</v>
      </c>
    </row>
    <row r="620" spans="1:9" ht="21" customHeight="1">
      <c r="A620" s="20">
        <f t="shared" si="9"/>
        <v>616</v>
      </c>
      <c r="B620" s="21" t="s">
        <v>373</v>
      </c>
      <c r="C620" s="20" t="str">
        <f>IF(B620="","",IF(COUNTIF('01_Anggota'!$D$5:$D$1212,B620)=0,"NAMA TIDAK DITEMUKAN",INDEX('01_Anggota'!$B$5:$B$1212,MATCH(B620,'01_Anggota'!$D$5:$D$1212,0))))</f>
        <v>KKSUK-000174</v>
      </c>
      <c r="D620" s="23">
        <v>0</v>
      </c>
      <c r="E620" s="23">
        <v>400000</v>
      </c>
      <c r="F620" s="23">
        <v>100000</v>
      </c>
      <c r="G620" s="23">
        <v>0</v>
      </c>
      <c r="H620" s="42">
        <v>46136</v>
      </c>
      <c r="I620" s="21" t="s">
        <v>806</v>
      </c>
    </row>
    <row r="621" spans="1:9" ht="21" customHeight="1">
      <c r="A621" s="20">
        <f t="shared" si="9"/>
        <v>617</v>
      </c>
      <c r="B621" s="21" t="s">
        <v>373</v>
      </c>
      <c r="C621" s="20" t="str">
        <f>IF(B621="","",IF(COUNTIF('01_Anggota'!$D$5:$D$1212,B621)=0,"NAMA TIDAK DITEMUKAN",INDEX('01_Anggota'!$B$5:$B$1212,MATCH(B621,'01_Anggota'!$D$5:$D$1212,0))))</f>
        <v>KKSUK-000174</v>
      </c>
      <c r="D621" s="23">
        <v>0</v>
      </c>
      <c r="E621" s="23">
        <v>400000</v>
      </c>
      <c r="F621" s="23">
        <v>100000</v>
      </c>
      <c r="G621" s="23">
        <v>0</v>
      </c>
      <c r="H621" s="42">
        <v>46167</v>
      </c>
      <c r="I621" s="21" t="s">
        <v>807</v>
      </c>
    </row>
    <row r="622" spans="1:9" ht="21" customHeight="1">
      <c r="A622" s="20">
        <f t="shared" si="9"/>
        <v>618</v>
      </c>
      <c r="B622" s="21" t="s">
        <v>373</v>
      </c>
      <c r="C622" s="20" t="str">
        <f>IF(B622="","",IF(COUNTIF('01_Anggota'!$D$5:$D$1212,B622)=0,"NAMA TIDAK DITEMUKAN",INDEX('01_Anggota'!$B$5:$B$1212,MATCH(B622,'01_Anggota'!$D$5:$D$1212,0))))</f>
        <v>KKSUK-000174</v>
      </c>
      <c r="D622" s="23">
        <v>0</v>
      </c>
      <c r="E622" s="23">
        <v>400000</v>
      </c>
      <c r="F622" s="23">
        <v>100000</v>
      </c>
      <c r="G622" s="23">
        <v>0</v>
      </c>
      <c r="H622" s="42">
        <v>46198</v>
      </c>
      <c r="I622" s="21" t="s">
        <v>808</v>
      </c>
    </row>
    <row r="623" spans="1:9" ht="21" customHeight="1">
      <c r="A623" s="20">
        <f t="shared" si="9"/>
        <v>619</v>
      </c>
      <c r="B623" s="21" t="s">
        <v>373</v>
      </c>
      <c r="C623" s="20" t="str">
        <f>IF(B623="","",IF(COUNTIF('01_Anggota'!$D$5:$D$1212,B623)=0,"NAMA TIDAK DITEMUKAN",INDEX('01_Anggota'!$B$5:$B$1212,MATCH(B623,'01_Anggota'!$D$5:$D$1212,0))))</f>
        <v>KKSUK-000174</v>
      </c>
      <c r="D623" s="23">
        <v>0</v>
      </c>
      <c r="E623" s="23">
        <v>400000</v>
      </c>
      <c r="F623" s="23">
        <v>100000</v>
      </c>
      <c r="G623" s="23">
        <v>0</v>
      </c>
      <c r="H623" s="42">
        <v>46227</v>
      </c>
      <c r="I623" s="21" t="s">
        <v>809</v>
      </c>
    </row>
    <row r="624" spans="1:9" ht="21" customHeight="1">
      <c r="A624" s="20">
        <f t="shared" si="9"/>
        <v>620</v>
      </c>
      <c r="B624" s="21" t="s">
        <v>271</v>
      </c>
      <c r="C624" s="20" t="str">
        <f>IF(B624="","",IF(COUNTIF('01_Anggota'!$D$5:$D$1212,B624)=0,"NAMA TIDAK DITEMUKAN",INDEX('01_Anggota'!$B$5:$B$1212,MATCH(B624,'01_Anggota'!$D$5:$D$1212,0))))</f>
        <v>KKSUK-000072</v>
      </c>
      <c r="D624" s="23">
        <v>0</v>
      </c>
      <c r="E624" s="23">
        <v>2290000</v>
      </c>
      <c r="F624" s="23">
        <v>16320813.959870201</v>
      </c>
      <c r="G624" s="23">
        <v>6675050</v>
      </c>
      <c r="H624" s="42">
        <v>46023</v>
      </c>
      <c r="I624" s="21" t="s">
        <v>802</v>
      </c>
    </row>
    <row r="625" spans="1:9" ht="21" customHeight="1">
      <c r="A625" s="20">
        <f t="shared" si="9"/>
        <v>621</v>
      </c>
      <c r="B625" s="21" t="s">
        <v>271</v>
      </c>
      <c r="C625" s="20" t="str">
        <f>IF(B625="","",IF(COUNTIF('01_Anggota'!$D$5:$D$1212,B625)=0,"NAMA TIDAK DITEMUKAN",INDEX('01_Anggota'!$B$5:$B$1212,MATCH(B625,'01_Anggota'!$D$5:$D$1212,0))))</f>
        <v>KKSUK-000072</v>
      </c>
      <c r="D625" s="23">
        <v>0</v>
      </c>
      <c r="E625" s="23">
        <v>175000</v>
      </c>
      <c r="F625" s="23">
        <v>100000</v>
      </c>
      <c r="G625" s="23">
        <v>0</v>
      </c>
      <c r="H625" s="42">
        <v>46045</v>
      </c>
      <c r="I625" s="21" t="s">
        <v>803</v>
      </c>
    </row>
    <row r="626" spans="1:9" ht="21" customHeight="1">
      <c r="A626" s="20">
        <f t="shared" si="9"/>
        <v>622</v>
      </c>
      <c r="B626" s="21" t="s">
        <v>271</v>
      </c>
      <c r="C626" s="20" t="str">
        <f>IF(B626="","",IF(COUNTIF('01_Anggota'!$D$5:$D$1212,B626)=0,"NAMA TIDAK DITEMUKAN",INDEX('01_Anggota'!$B$5:$B$1212,MATCH(B626,'01_Anggota'!$D$5:$D$1212,0))))</f>
        <v>KKSUK-000072</v>
      </c>
      <c r="D626" s="23">
        <v>0</v>
      </c>
      <c r="E626" s="23">
        <v>175000</v>
      </c>
      <c r="F626" s="23">
        <v>100000</v>
      </c>
      <c r="G626" s="23">
        <v>0</v>
      </c>
      <c r="H626" s="42">
        <v>46078</v>
      </c>
      <c r="I626" s="21" t="s">
        <v>804</v>
      </c>
    </row>
    <row r="627" spans="1:9" ht="21" customHeight="1">
      <c r="A627" s="20">
        <f t="shared" si="9"/>
        <v>623</v>
      </c>
      <c r="B627" s="21" t="s">
        <v>271</v>
      </c>
      <c r="C627" s="20" t="str">
        <f>IF(B627="","",IF(COUNTIF('01_Anggota'!$D$5:$D$1212,B627)=0,"NAMA TIDAK DITEMUKAN",INDEX('01_Anggota'!$B$5:$B$1212,MATCH(B627,'01_Anggota'!$D$5:$D$1212,0))))</f>
        <v>KKSUK-000072</v>
      </c>
      <c r="D627" s="23">
        <v>0</v>
      </c>
      <c r="E627" s="23">
        <v>175000</v>
      </c>
      <c r="F627" s="23">
        <v>100000</v>
      </c>
      <c r="G627" s="23">
        <v>0</v>
      </c>
      <c r="H627" s="42">
        <v>46106</v>
      </c>
      <c r="I627" s="21" t="s">
        <v>805</v>
      </c>
    </row>
    <row r="628" spans="1:9" ht="21" customHeight="1">
      <c r="A628" s="20">
        <f t="shared" si="9"/>
        <v>624</v>
      </c>
      <c r="B628" s="21" t="s">
        <v>271</v>
      </c>
      <c r="C628" s="20" t="str">
        <f>IF(B628="","",IF(COUNTIF('01_Anggota'!$D$5:$D$1212,B628)=0,"NAMA TIDAK DITEMUKAN",INDEX('01_Anggota'!$B$5:$B$1212,MATCH(B628,'01_Anggota'!$D$5:$D$1212,0))))</f>
        <v>KKSUK-000072</v>
      </c>
      <c r="D628" s="23">
        <v>0</v>
      </c>
      <c r="E628" s="23">
        <v>175000</v>
      </c>
      <c r="F628" s="23">
        <v>100000</v>
      </c>
      <c r="G628" s="23">
        <v>0</v>
      </c>
      <c r="H628" s="42">
        <v>46136</v>
      </c>
      <c r="I628" s="21" t="s">
        <v>806</v>
      </c>
    </row>
    <row r="629" spans="1:9" ht="21" customHeight="1">
      <c r="A629" s="20">
        <f t="shared" si="9"/>
        <v>625</v>
      </c>
      <c r="B629" s="21" t="s">
        <v>271</v>
      </c>
      <c r="C629" s="20" t="str">
        <f>IF(B629="","",IF(COUNTIF('01_Anggota'!$D$5:$D$1212,B629)=0,"NAMA TIDAK DITEMUKAN",INDEX('01_Anggota'!$B$5:$B$1212,MATCH(B629,'01_Anggota'!$D$5:$D$1212,0))))</f>
        <v>KKSUK-000072</v>
      </c>
      <c r="D629" s="23">
        <v>0</v>
      </c>
      <c r="E629" s="23">
        <v>175000</v>
      </c>
      <c r="F629" s="23">
        <v>100000</v>
      </c>
      <c r="G629" s="23">
        <v>0</v>
      </c>
      <c r="H629" s="42">
        <v>46167</v>
      </c>
      <c r="I629" s="21" t="s">
        <v>807</v>
      </c>
    </row>
    <row r="630" spans="1:9" ht="21" customHeight="1">
      <c r="A630" s="20">
        <f t="shared" si="9"/>
        <v>626</v>
      </c>
      <c r="B630" s="21" t="s">
        <v>271</v>
      </c>
      <c r="C630" s="20" t="str">
        <f>IF(B630="","",IF(COUNTIF('01_Anggota'!$D$5:$D$1212,B630)=0,"NAMA TIDAK DITEMUKAN",INDEX('01_Anggota'!$B$5:$B$1212,MATCH(B630,'01_Anggota'!$D$5:$D$1212,0))))</f>
        <v>KKSUK-000072</v>
      </c>
      <c r="D630" s="23">
        <v>0</v>
      </c>
      <c r="E630" s="23">
        <v>175000</v>
      </c>
      <c r="F630" s="23">
        <v>100000</v>
      </c>
      <c r="G630" s="23">
        <v>0</v>
      </c>
      <c r="H630" s="42">
        <v>46198</v>
      </c>
      <c r="I630" s="21" t="s">
        <v>808</v>
      </c>
    </row>
    <row r="631" spans="1:9" ht="21" customHeight="1">
      <c r="A631" s="20">
        <f t="shared" si="9"/>
        <v>627</v>
      </c>
      <c r="B631" s="21" t="s">
        <v>271</v>
      </c>
      <c r="C631" s="20" t="str">
        <f>IF(B631="","",IF(COUNTIF('01_Anggota'!$D$5:$D$1212,B631)=0,"NAMA TIDAK DITEMUKAN",INDEX('01_Anggota'!$B$5:$B$1212,MATCH(B631,'01_Anggota'!$D$5:$D$1212,0))))</f>
        <v>KKSUK-000072</v>
      </c>
      <c r="D631" s="23">
        <v>0</v>
      </c>
      <c r="E631" s="23">
        <v>175000</v>
      </c>
      <c r="F631" s="23">
        <v>100000</v>
      </c>
      <c r="G631" s="23">
        <v>0</v>
      </c>
      <c r="H631" s="42">
        <v>46227</v>
      </c>
      <c r="I631" s="21" t="s">
        <v>809</v>
      </c>
    </row>
    <row r="632" spans="1:9" ht="21" customHeight="1">
      <c r="A632" s="20">
        <f t="shared" si="9"/>
        <v>628</v>
      </c>
      <c r="B632" s="21" t="s">
        <v>271</v>
      </c>
      <c r="C632" s="20" t="str">
        <f>IF(B632="","",IF(COUNTIF('01_Anggota'!$D$5:$D$1212,B632)=0,"NAMA TIDAK DITEMUKAN",INDEX('01_Anggota'!$B$5:$B$1212,MATCH(B632,'01_Anggota'!$D$5:$D$1212,0))))</f>
        <v>KKSUK-000072</v>
      </c>
      <c r="D632" s="23">
        <v>0</v>
      </c>
      <c r="E632" s="23">
        <v>175000</v>
      </c>
      <c r="F632" s="23">
        <v>100000</v>
      </c>
      <c r="G632" s="23">
        <v>0</v>
      </c>
      <c r="H632" s="42">
        <v>46258</v>
      </c>
      <c r="I632" s="21" t="s">
        <v>810</v>
      </c>
    </row>
    <row r="633" spans="1:9" ht="21" customHeight="1">
      <c r="A633" s="20">
        <f t="shared" si="9"/>
        <v>629</v>
      </c>
      <c r="B633" s="21" t="s">
        <v>303</v>
      </c>
      <c r="C633" s="20" t="str">
        <f>IF(B633="","",IF(COUNTIF('01_Anggota'!$D$5:$D$1212,B633)=0,"NAMA TIDAK DITEMUKAN",INDEX('01_Anggota'!$B$5:$B$1212,MATCH(B633,'01_Anggota'!$D$5:$D$1212,0))))</f>
        <v>KKSUK-000104</v>
      </c>
      <c r="D633" s="23">
        <v>0</v>
      </c>
      <c r="E633" s="23">
        <v>5625000</v>
      </c>
      <c r="F633" s="23">
        <v>11315734.1199554</v>
      </c>
      <c r="G633" s="23">
        <v>7371044</v>
      </c>
      <c r="H633" s="42">
        <v>46023</v>
      </c>
      <c r="I633" s="21" t="s">
        <v>802</v>
      </c>
    </row>
    <row r="634" spans="1:9" ht="21" customHeight="1">
      <c r="A634" s="20">
        <f t="shared" si="9"/>
        <v>630</v>
      </c>
      <c r="B634" s="21" t="s">
        <v>303</v>
      </c>
      <c r="C634" s="20" t="str">
        <f>IF(B634="","",IF(COUNTIF('01_Anggota'!$D$5:$D$1212,B634)=0,"NAMA TIDAK DITEMUKAN",INDEX('01_Anggota'!$B$5:$B$1212,MATCH(B634,'01_Anggota'!$D$5:$D$1212,0))))</f>
        <v>KKSUK-000104</v>
      </c>
      <c r="D634" s="23">
        <v>0</v>
      </c>
      <c r="E634" s="23">
        <v>125000</v>
      </c>
      <c r="F634" s="23">
        <v>100000</v>
      </c>
      <c r="G634" s="23">
        <v>0</v>
      </c>
      <c r="H634" s="42">
        <v>46045</v>
      </c>
      <c r="I634" s="21" t="s">
        <v>803</v>
      </c>
    </row>
    <row r="635" spans="1:9" ht="21" customHeight="1">
      <c r="A635" s="20">
        <f t="shared" si="9"/>
        <v>631</v>
      </c>
      <c r="B635" s="21" t="s">
        <v>303</v>
      </c>
      <c r="C635" s="20" t="str">
        <f>IF(B635="","",IF(COUNTIF('01_Anggota'!$D$5:$D$1212,B635)=0,"NAMA TIDAK DITEMUKAN",INDEX('01_Anggota'!$B$5:$B$1212,MATCH(B635,'01_Anggota'!$D$5:$D$1212,0))))</f>
        <v>KKSUK-000104</v>
      </c>
      <c r="D635" s="23">
        <v>0</v>
      </c>
      <c r="E635" s="23">
        <v>125000</v>
      </c>
      <c r="F635" s="23">
        <v>100000</v>
      </c>
      <c r="G635" s="23">
        <v>0</v>
      </c>
      <c r="H635" s="42">
        <v>46078</v>
      </c>
      <c r="I635" s="21" t="s">
        <v>804</v>
      </c>
    </row>
    <row r="636" spans="1:9" ht="21" customHeight="1">
      <c r="A636" s="20">
        <f t="shared" si="9"/>
        <v>632</v>
      </c>
      <c r="B636" s="21" t="s">
        <v>303</v>
      </c>
      <c r="C636" s="20" t="str">
        <f>IF(B636="","",IF(COUNTIF('01_Anggota'!$D$5:$D$1212,B636)=0,"NAMA TIDAK DITEMUKAN",INDEX('01_Anggota'!$B$5:$B$1212,MATCH(B636,'01_Anggota'!$D$5:$D$1212,0))))</f>
        <v>KKSUK-000104</v>
      </c>
      <c r="D636" s="23">
        <v>0</v>
      </c>
      <c r="E636" s="23">
        <v>125000</v>
      </c>
      <c r="F636" s="23">
        <v>100000</v>
      </c>
      <c r="G636" s="23">
        <v>0</v>
      </c>
      <c r="H636" s="42">
        <v>46106</v>
      </c>
      <c r="I636" s="21" t="s">
        <v>805</v>
      </c>
    </row>
    <row r="637" spans="1:9" ht="21" customHeight="1">
      <c r="A637" s="20">
        <f t="shared" si="9"/>
        <v>633</v>
      </c>
      <c r="B637" s="21" t="s">
        <v>303</v>
      </c>
      <c r="C637" s="20" t="str">
        <f>IF(B637="","",IF(COUNTIF('01_Anggota'!$D$5:$D$1212,B637)=0,"NAMA TIDAK DITEMUKAN",INDEX('01_Anggota'!$B$5:$B$1212,MATCH(B637,'01_Anggota'!$D$5:$D$1212,0))))</f>
        <v>KKSUK-000104</v>
      </c>
      <c r="D637" s="23">
        <v>0</v>
      </c>
      <c r="E637" s="23">
        <v>125000</v>
      </c>
      <c r="F637" s="23">
        <v>100000</v>
      </c>
      <c r="G637" s="23">
        <v>0</v>
      </c>
      <c r="H637" s="42">
        <v>46136</v>
      </c>
      <c r="I637" s="21" t="s">
        <v>806</v>
      </c>
    </row>
    <row r="638" spans="1:9" ht="21" customHeight="1">
      <c r="A638" s="20">
        <f t="shared" si="9"/>
        <v>634</v>
      </c>
      <c r="B638" s="21" t="s">
        <v>303</v>
      </c>
      <c r="C638" s="20" t="str">
        <f>IF(B638="","",IF(COUNTIF('01_Anggota'!$D$5:$D$1212,B638)=0,"NAMA TIDAK DITEMUKAN",INDEX('01_Anggota'!$B$5:$B$1212,MATCH(B638,'01_Anggota'!$D$5:$D$1212,0))))</f>
        <v>KKSUK-000104</v>
      </c>
      <c r="D638" s="23">
        <v>0</v>
      </c>
      <c r="E638" s="23">
        <v>125000</v>
      </c>
      <c r="F638" s="23">
        <v>100000</v>
      </c>
      <c r="G638" s="23">
        <v>0</v>
      </c>
      <c r="H638" s="42">
        <v>46167</v>
      </c>
      <c r="I638" s="21" t="s">
        <v>807</v>
      </c>
    </row>
    <row r="639" spans="1:9" ht="21" customHeight="1">
      <c r="A639" s="20">
        <f t="shared" si="9"/>
        <v>635</v>
      </c>
      <c r="B639" s="21" t="s">
        <v>303</v>
      </c>
      <c r="C639" s="20" t="str">
        <f>IF(B639="","",IF(COUNTIF('01_Anggota'!$D$5:$D$1212,B639)=0,"NAMA TIDAK DITEMUKAN",INDEX('01_Anggota'!$B$5:$B$1212,MATCH(B639,'01_Anggota'!$D$5:$D$1212,0))))</f>
        <v>KKSUK-000104</v>
      </c>
      <c r="D639" s="23">
        <v>0</v>
      </c>
      <c r="E639" s="23">
        <v>125000</v>
      </c>
      <c r="F639" s="23">
        <v>100000</v>
      </c>
      <c r="G639" s="23">
        <v>0</v>
      </c>
      <c r="H639" s="42">
        <v>46198</v>
      </c>
      <c r="I639" s="21" t="s">
        <v>808</v>
      </c>
    </row>
    <row r="640" spans="1:9" ht="21" customHeight="1">
      <c r="A640" s="20">
        <f t="shared" si="9"/>
        <v>636</v>
      </c>
      <c r="B640" s="21" t="s">
        <v>303</v>
      </c>
      <c r="C640" s="20" t="str">
        <f>IF(B640="","",IF(COUNTIF('01_Anggota'!$D$5:$D$1212,B640)=0,"NAMA TIDAK DITEMUKAN",INDEX('01_Anggota'!$B$5:$B$1212,MATCH(B640,'01_Anggota'!$D$5:$D$1212,0))))</f>
        <v>KKSUK-000104</v>
      </c>
      <c r="D640" s="23">
        <v>0</v>
      </c>
      <c r="E640" s="23">
        <v>125000</v>
      </c>
      <c r="F640" s="23">
        <v>100000</v>
      </c>
      <c r="G640" s="23">
        <v>0</v>
      </c>
      <c r="H640" s="42">
        <v>46227</v>
      </c>
      <c r="I640" s="21" t="s">
        <v>809</v>
      </c>
    </row>
    <row r="641" spans="1:9" ht="21" customHeight="1">
      <c r="A641" s="20">
        <f t="shared" si="9"/>
        <v>637</v>
      </c>
      <c r="B641" s="21" t="s">
        <v>303</v>
      </c>
      <c r="C641" s="20" t="str">
        <f>IF(B641="","",IF(COUNTIF('01_Anggota'!$D$5:$D$1212,B641)=0,"NAMA TIDAK DITEMUKAN",INDEX('01_Anggota'!$B$5:$B$1212,MATCH(B641,'01_Anggota'!$D$5:$D$1212,0))))</f>
        <v>KKSUK-000104</v>
      </c>
      <c r="D641" s="23">
        <v>0</v>
      </c>
      <c r="E641" s="23">
        <v>125000</v>
      </c>
      <c r="F641" s="23">
        <v>100000</v>
      </c>
      <c r="G641" s="23">
        <v>0</v>
      </c>
      <c r="H641" s="42">
        <v>46258</v>
      </c>
      <c r="I641" s="21" t="s">
        <v>810</v>
      </c>
    </row>
    <row r="642" spans="1:9" ht="21" customHeight="1">
      <c r="A642" s="20">
        <f t="shared" si="9"/>
        <v>638</v>
      </c>
      <c r="B642" s="21" t="s">
        <v>214</v>
      </c>
      <c r="C642" s="20" t="str">
        <f>IF(B642="","",IF(COUNTIF('01_Anggota'!$D$5:$D$1212,B642)=0,"NAMA TIDAK DITEMUKAN",INDEX('01_Anggota'!$B$5:$B$1212,MATCH(B642,'01_Anggota'!$D$5:$D$1212,0))))</f>
        <v>KKSUK-000015</v>
      </c>
      <c r="D642" s="23">
        <v>0</v>
      </c>
      <c r="E642" s="23">
        <v>2353500</v>
      </c>
      <c r="F642" s="23">
        <v>13541244.5584247</v>
      </c>
      <c r="G642" s="23">
        <v>6600785</v>
      </c>
      <c r="H642" s="42">
        <v>46023</v>
      </c>
      <c r="I642" s="21" t="s">
        <v>802</v>
      </c>
    </row>
    <row r="643" spans="1:9" ht="21" customHeight="1">
      <c r="A643" s="20">
        <f t="shared" si="9"/>
        <v>639</v>
      </c>
      <c r="B643" s="21" t="s">
        <v>214</v>
      </c>
      <c r="C643" s="20" t="str">
        <f>IF(B643="","",IF(COUNTIF('01_Anggota'!$D$5:$D$1212,B643)=0,"NAMA TIDAK DITEMUKAN",INDEX('01_Anggota'!$B$5:$B$1212,MATCH(B643,'01_Anggota'!$D$5:$D$1212,0))))</f>
        <v>KKSUK-000015</v>
      </c>
      <c r="D643" s="23">
        <v>0</v>
      </c>
      <c r="E643" s="23">
        <v>400000</v>
      </c>
      <c r="F643" s="23">
        <v>100000</v>
      </c>
      <c r="G643" s="23">
        <v>0</v>
      </c>
      <c r="H643" s="42">
        <v>46045</v>
      </c>
      <c r="I643" s="21" t="s">
        <v>803</v>
      </c>
    </row>
    <row r="644" spans="1:9" ht="21" customHeight="1">
      <c r="A644" s="20">
        <f t="shared" si="9"/>
        <v>640</v>
      </c>
      <c r="B644" s="21" t="s">
        <v>214</v>
      </c>
      <c r="C644" s="20" t="str">
        <f>IF(B644="","",IF(COUNTIF('01_Anggota'!$D$5:$D$1212,B644)=0,"NAMA TIDAK DITEMUKAN",INDEX('01_Anggota'!$B$5:$B$1212,MATCH(B644,'01_Anggota'!$D$5:$D$1212,0))))</f>
        <v>KKSUK-000015</v>
      </c>
      <c r="D644" s="23">
        <v>0</v>
      </c>
      <c r="E644" s="23">
        <v>-1600000</v>
      </c>
      <c r="F644" s="23">
        <v>0</v>
      </c>
      <c r="G644" s="23">
        <v>0</v>
      </c>
      <c r="H644" s="42">
        <v>46045</v>
      </c>
      <c r="I644" s="21" t="s">
        <v>803</v>
      </c>
    </row>
    <row r="645" spans="1:9" ht="21" customHeight="1">
      <c r="A645" s="20">
        <f t="shared" ref="A645:A708" si="10">IF(B645="","",ROW()-4)</f>
        <v>641</v>
      </c>
      <c r="B645" s="21" t="s">
        <v>214</v>
      </c>
      <c r="C645" s="20" t="str">
        <f>IF(B645="","",IF(COUNTIF('01_Anggota'!$D$5:$D$1212,B645)=0,"NAMA TIDAK DITEMUKAN",INDEX('01_Anggota'!$B$5:$B$1212,MATCH(B645,'01_Anggota'!$D$5:$D$1212,0))))</f>
        <v>KKSUK-000015</v>
      </c>
      <c r="D645" s="23">
        <v>0</v>
      </c>
      <c r="E645" s="23">
        <v>400000</v>
      </c>
      <c r="F645" s="23">
        <v>100000</v>
      </c>
      <c r="G645" s="23">
        <v>0</v>
      </c>
      <c r="H645" s="42">
        <v>46078</v>
      </c>
      <c r="I645" s="21" t="s">
        <v>804</v>
      </c>
    </row>
    <row r="646" spans="1:9" ht="21" customHeight="1">
      <c r="A646" s="20">
        <f t="shared" si="10"/>
        <v>642</v>
      </c>
      <c r="B646" s="21" t="s">
        <v>214</v>
      </c>
      <c r="C646" s="20" t="str">
        <f>IF(B646="","",IF(COUNTIF('01_Anggota'!$D$5:$D$1212,B646)=0,"NAMA TIDAK DITEMUKAN",INDEX('01_Anggota'!$B$5:$B$1212,MATCH(B646,'01_Anggota'!$D$5:$D$1212,0))))</f>
        <v>KKSUK-000015</v>
      </c>
      <c r="D646" s="23">
        <v>0</v>
      </c>
      <c r="E646" s="23">
        <v>400000</v>
      </c>
      <c r="F646" s="23">
        <v>100000</v>
      </c>
      <c r="G646" s="23">
        <v>0</v>
      </c>
      <c r="H646" s="42">
        <v>46106</v>
      </c>
      <c r="I646" s="21" t="s">
        <v>805</v>
      </c>
    </row>
    <row r="647" spans="1:9" ht="21" customHeight="1">
      <c r="A647" s="20">
        <f t="shared" si="10"/>
        <v>643</v>
      </c>
      <c r="B647" s="21" t="s">
        <v>214</v>
      </c>
      <c r="C647" s="20" t="str">
        <f>IF(B647="","",IF(COUNTIF('01_Anggota'!$D$5:$D$1212,B647)=0,"NAMA TIDAK DITEMUKAN",INDEX('01_Anggota'!$B$5:$B$1212,MATCH(B647,'01_Anggota'!$D$5:$D$1212,0))))</f>
        <v>KKSUK-000015</v>
      </c>
      <c r="D647" s="23">
        <v>0</v>
      </c>
      <c r="E647" s="23">
        <v>400000</v>
      </c>
      <c r="F647" s="23">
        <v>100000</v>
      </c>
      <c r="G647" s="23">
        <v>0</v>
      </c>
      <c r="H647" s="42">
        <v>46136</v>
      </c>
      <c r="I647" s="21" t="s">
        <v>806</v>
      </c>
    </row>
    <row r="648" spans="1:9" ht="21" customHeight="1">
      <c r="A648" s="20">
        <f t="shared" si="10"/>
        <v>644</v>
      </c>
      <c r="B648" s="21" t="s">
        <v>214</v>
      </c>
      <c r="C648" s="20" t="str">
        <f>IF(B648="","",IF(COUNTIF('01_Anggota'!$D$5:$D$1212,B648)=0,"NAMA TIDAK DITEMUKAN",INDEX('01_Anggota'!$B$5:$B$1212,MATCH(B648,'01_Anggota'!$D$5:$D$1212,0))))</f>
        <v>KKSUK-000015</v>
      </c>
      <c r="D648" s="23">
        <v>0</v>
      </c>
      <c r="E648" s="23">
        <v>400000</v>
      </c>
      <c r="F648" s="23">
        <v>100000</v>
      </c>
      <c r="G648" s="23">
        <v>0</v>
      </c>
      <c r="H648" s="42">
        <v>46167</v>
      </c>
      <c r="I648" s="21" t="s">
        <v>807</v>
      </c>
    </row>
    <row r="649" spans="1:9" ht="21" customHeight="1">
      <c r="A649" s="20">
        <f t="shared" si="10"/>
        <v>645</v>
      </c>
      <c r="B649" s="21" t="s">
        <v>214</v>
      </c>
      <c r="C649" s="20" t="str">
        <f>IF(B649="","",IF(COUNTIF('01_Anggota'!$D$5:$D$1212,B649)=0,"NAMA TIDAK DITEMUKAN",INDEX('01_Anggota'!$B$5:$B$1212,MATCH(B649,'01_Anggota'!$D$5:$D$1212,0))))</f>
        <v>KKSUK-000015</v>
      </c>
      <c r="D649" s="23">
        <v>0</v>
      </c>
      <c r="E649" s="23">
        <v>400000</v>
      </c>
      <c r="F649" s="23">
        <v>100000</v>
      </c>
      <c r="G649" s="23">
        <v>0</v>
      </c>
      <c r="H649" s="42">
        <v>46198</v>
      </c>
      <c r="I649" s="21" t="s">
        <v>808</v>
      </c>
    </row>
    <row r="650" spans="1:9" ht="21" customHeight="1">
      <c r="A650" s="20">
        <f t="shared" si="10"/>
        <v>646</v>
      </c>
      <c r="B650" s="21" t="s">
        <v>214</v>
      </c>
      <c r="C650" s="20" t="str">
        <f>IF(B650="","",IF(COUNTIF('01_Anggota'!$D$5:$D$1212,B650)=0,"NAMA TIDAK DITEMUKAN",INDEX('01_Anggota'!$B$5:$B$1212,MATCH(B650,'01_Anggota'!$D$5:$D$1212,0))))</f>
        <v>KKSUK-000015</v>
      </c>
      <c r="D650" s="23">
        <v>0</v>
      </c>
      <c r="E650" s="23">
        <v>-1500000</v>
      </c>
      <c r="F650" s="23">
        <v>0</v>
      </c>
      <c r="G650" s="23">
        <v>0</v>
      </c>
      <c r="H650" s="42">
        <v>46227</v>
      </c>
      <c r="I650" s="21" t="s">
        <v>809</v>
      </c>
    </row>
    <row r="651" spans="1:9" ht="21" customHeight="1">
      <c r="A651" s="20">
        <f t="shared" si="10"/>
        <v>647</v>
      </c>
      <c r="B651" s="21" t="s">
        <v>214</v>
      </c>
      <c r="C651" s="20" t="str">
        <f>IF(B651="","",IF(COUNTIF('01_Anggota'!$D$5:$D$1212,B651)=0,"NAMA TIDAK DITEMUKAN",INDEX('01_Anggota'!$B$5:$B$1212,MATCH(B651,'01_Anggota'!$D$5:$D$1212,0))))</f>
        <v>KKSUK-000015</v>
      </c>
      <c r="D651" s="23">
        <v>0</v>
      </c>
      <c r="E651" s="23">
        <v>400000</v>
      </c>
      <c r="F651" s="23">
        <v>100000</v>
      </c>
      <c r="G651" s="23">
        <v>0</v>
      </c>
      <c r="H651" s="42">
        <v>46227</v>
      </c>
      <c r="I651" s="21" t="s">
        <v>809</v>
      </c>
    </row>
    <row r="652" spans="1:9" ht="21" customHeight="1">
      <c r="A652" s="20">
        <f t="shared" si="10"/>
        <v>648</v>
      </c>
      <c r="B652" s="21" t="s">
        <v>214</v>
      </c>
      <c r="C652" s="20" t="str">
        <f>IF(B652="","",IF(COUNTIF('01_Anggota'!$D$5:$D$1212,B652)=0,"NAMA TIDAK DITEMUKAN",INDEX('01_Anggota'!$B$5:$B$1212,MATCH(B652,'01_Anggota'!$D$5:$D$1212,0))))</f>
        <v>KKSUK-000015</v>
      </c>
      <c r="D652" s="23">
        <v>0</v>
      </c>
      <c r="E652" s="23">
        <v>400000</v>
      </c>
      <c r="F652" s="23">
        <v>100000</v>
      </c>
      <c r="G652" s="23">
        <v>0</v>
      </c>
      <c r="H652" s="42">
        <v>46258</v>
      </c>
      <c r="I652" s="21" t="s">
        <v>810</v>
      </c>
    </row>
    <row r="653" spans="1:9" ht="21" customHeight="1">
      <c r="A653" s="20">
        <f t="shared" si="10"/>
        <v>649</v>
      </c>
      <c r="B653" s="21" t="s">
        <v>216</v>
      </c>
      <c r="C653" s="20" t="str">
        <f>IF(B653="","",IF(COUNTIF('01_Anggota'!$D$5:$D$1212,B653)=0,"NAMA TIDAK DITEMUKAN",INDEX('01_Anggota'!$B$5:$B$1212,MATCH(B653,'01_Anggota'!$D$5:$D$1212,0))))</f>
        <v>KKSUK-000017</v>
      </c>
      <c r="D653" s="23">
        <v>0</v>
      </c>
      <c r="E653" s="23">
        <v>4517593</v>
      </c>
      <c r="F653" s="23">
        <v>10527205.786967199</v>
      </c>
      <c r="G653" s="23">
        <v>5430056</v>
      </c>
      <c r="H653" s="42">
        <v>46023</v>
      </c>
      <c r="I653" s="21" t="s">
        <v>802</v>
      </c>
    </row>
    <row r="654" spans="1:9" ht="21" customHeight="1">
      <c r="A654" s="20">
        <f t="shared" si="10"/>
        <v>650</v>
      </c>
      <c r="B654" s="21" t="s">
        <v>216</v>
      </c>
      <c r="C654" s="20" t="str">
        <f>IF(B654="","",IF(COUNTIF('01_Anggota'!$D$5:$D$1212,B654)=0,"NAMA TIDAK DITEMUKAN",INDEX('01_Anggota'!$B$5:$B$1212,MATCH(B654,'01_Anggota'!$D$5:$D$1212,0))))</f>
        <v>KKSUK-000017</v>
      </c>
      <c r="D654" s="23">
        <v>0</v>
      </c>
      <c r="E654" s="23">
        <v>150000</v>
      </c>
      <c r="F654" s="23">
        <v>100000</v>
      </c>
      <c r="G654" s="23">
        <v>0</v>
      </c>
      <c r="H654" s="42">
        <v>46045</v>
      </c>
      <c r="I654" s="21" t="s">
        <v>803</v>
      </c>
    </row>
    <row r="655" spans="1:9" ht="21" customHeight="1">
      <c r="A655" s="20">
        <f t="shared" si="10"/>
        <v>651</v>
      </c>
      <c r="B655" s="21" t="s">
        <v>216</v>
      </c>
      <c r="C655" s="20" t="str">
        <f>IF(B655="","",IF(COUNTIF('01_Anggota'!$D$5:$D$1212,B655)=0,"NAMA TIDAK DITEMUKAN",INDEX('01_Anggota'!$B$5:$B$1212,MATCH(B655,'01_Anggota'!$D$5:$D$1212,0))))</f>
        <v>KKSUK-000017</v>
      </c>
      <c r="D655" s="23">
        <v>0</v>
      </c>
      <c r="E655" s="23">
        <v>150000</v>
      </c>
      <c r="F655" s="23">
        <v>100000</v>
      </c>
      <c r="G655" s="23">
        <v>0</v>
      </c>
      <c r="H655" s="42">
        <v>46078</v>
      </c>
      <c r="I655" s="21" t="s">
        <v>804</v>
      </c>
    </row>
    <row r="656" spans="1:9" ht="21" customHeight="1">
      <c r="A656" s="20">
        <f t="shared" si="10"/>
        <v>652</v>
      </c>
      <c r="B656" s="21" t="s">
        <v>216</v>
      </c>
      <c r="C656" s="20" t="str">
        <f>IF(B656="","",IF(COUNTIF('01_Anggota'!$D$5:$D$1212,B656)=0,"NAMA TIDAK DITEMUKAN",INDEX('01_Anggota'!$B$5:$B$1212,MATCH(B656,'01_Anggota'!$D$5:$D$1212,0))))</f>
        <v>KKSUK-000017</v>
      </c>
      <c r="D656" s="23">
        <v>0</v>
      </c>
      <c r="E656" s="23">
        <v>150000</v>
      </c>
      <c r="F656" s="23">
        <v>100000</v>
      </c>
      <c r="G656" s="23">
        <v>0</v>
      </c>
      <c r="H656" s="42">
        <v>46106</v>
      </c>
      <c r="I656" s="21" t="s">
        <v>805</v>
      </c>
    </row>
    <row r="657" spans="1:9" ht="21" customHeight="1">
      <c r="A657" s="20">
        <f t="shared" si="10"/>
        <v>653</v>
      </c>
      <c r="B657" s="21" t="s">
        <v>216</v>
      </c>
      <c r="C657" s="20" t="str">
        <f>IF(B657="","",IF(COUNTIF('01_Anggota'!$D$5:$D$1212,B657)=0,"NAMA TIDAK DITEMUKAN",INDEX('01_Anggota'!$B$5:$B$1212,MATCH(B657,'01_Anggota'!$D$5:$D$1212,0))))</f>
        <v>KKSUK-000017</v>
      </c>
      <c r="D657" s="23">
        <v>0</v>
      </c>
      <c r="E657" s="23">
        <v>150000</v>
      </c>
      <c r="F657" s="23">
        <v>100000</v>
      </c>
      <c r="G657" s="23">
        <v>0</v>
      </c>
      <c r="H657" s="42">
        <v>46136</v>
      </c>
      <c r="I657" s="21" t="s">
        <v>806</v>
      </c>
    </row>
    <row r="658" spans="1:9" ht="21" customHeight="1">
      <c r="A658" s="20">
        <f t="shared" si="10"/>
        <v>654</v>
      </c>
      <c r="B658" s="21" t="s">
        <v>216</v>
      </c>
      <c r="C658" s="20" t="str">
        <f>IF(B658="","",IF(COUNTIF('01_Anggota'!$D$5:$D$1212,B658)=0,"NAMA TIDAK DITEMUKAN",INDEX('01_Anggota'!$B$5:$B$1212,MATCH(B658,'01_Anggota'!$D$5:$D$1212,0))))</f>
        <v>KKSUK-000017</v>
      </c>
      <c r="D658" s="23">
        <v>0</v>
      </c>
      <c r="E658" s="23">
        <v>150000</v>
      </c>
      <c r="F658" s="23">
        <v>100000</v>
      </c>
      <c r="G658" s="23">
        <v>0</v>
      </c>
      <c r="H658" s="42">
        <v>46167</v>
      </c>
      <c r="I658" s="21" t="s">
        <v>807</v>
      </c>
    </row>
    <row r="659" spans="1:9" ht="21" customHeight="1">
      <c r="A659" s="20">
        <f t="shared" si="10"/>
        <v>655</v>
      </c>
      <c r="B659" s="21" t="s">
        <v>216</v>
      </c>
      <c r="C659" s="20" t="str">
        <f>IF(B659="","",IF(COUNTIF('01_Anggota'!$D$5:$D$1212,B659)=0,"NAMA TIDAK DITEMUKAN",INDEX('01_Anggota'!$B$5:$B$1212,MATCH(B659,'01_Anggota'!$D$5:$D$1212,0))))</f>
        <v>KKSUK-000017</v>
      </c>
      <c r="D659" s="23">
        <v>0</v>
      </c>
      <c r="E659" s="23">
        <v>-2000000</v>
      </c>
      <c r="F659" s="23">
        <v>0</v>
      </c>
      <c r="G659" s="23">
        <v>0</v>
      </c>
      <c r="H659" s="42">
        <v>46198</v>
      </c>
      <c r="I659" s="21" t="s">
        <v>808</v>
      </c>
    </row>
    <row r="660" spans="1:9" ht="21" customHeight="1">
      <c r="A660" s="20">
        <f t="shared" si="10"/>
        <v>656</v>
      </c>
      <c r="B660" s="21" t="s">
        <v>216</v>
      </c>
      <c r="C660" s="20" t="str">
        <f>IF(B660="","",IF(COUNTIF('01_Anggota'!$D$5:$D$1212,B660)=0,"NAMA TIDAK DITEMUKAN",INDEX('01_Anggota'!$B$5:$B$1212,MATCH(B660,'01_Anggota'!$D$5:$D$1212,0))))</f>
        <v>KKSUK-000017</v>
      </c>
      <c r="D660" s="23">
        <v>0</v>
      </c>
      <c r="E660" s="23">
        <v>150000</v>
      </c>
      <c r="F660" s="23">
        <v>100000</v>
      </c>
      <c r="G660" s="23">
        <v>0</v>
      </c>
      <c r="H660" s="42">
        <v>46198</v>
      </c>
      <c r="I660" s="21" t="s">
        <v>808</v>
      </c>
    </row>
    <row r="661" spans="1:9" ht="21" customHeight="1">
      <c r="A661" s="20">
        <f t="shared" si="10"/>
        <v>657</v>
      </c>
      <c r="B661" s="21" t="s">
        <v>216</v>
      </c>
      <c r="C661" s="20" t="str">
        <f>IF(B661="","",IF(COUNTIF('01_Anggota'!$D$5:$D$1212,B661)=0,"NAMA TIDAK DITEMUKAN",INDEX('01_Anggota'!$B$5:$B$1212,MATCH(B661,'01_Anggota'!$D$5:$D$1212,0))))</f>
        <v>KKSUK-000017</v>
      </c>
      <c r="D661" s="23">
        <v>0</v>
      </c>
      <c r="E661" s="23">
        <v>150000</v>
      </c>
      <c r="F661" s="23">
        <v>100000</v>
      </c>
      <c r="G661" s="23">
        <v>0</v>
      </c>
      <c r="H661" s="42">
        <v>46227</v>
      </c>
      <c r="I661" s="21" t="s">
        <v>809</v>
      </c>
    </row>
    <row r="662" spans="1:9" ht="21" customHeight="1">
      <c r="A662" s="20">
        <f t="shared" si="10"/>
        <v>658</v>
      </c>
      <c r="B662" s="21" t="s">
        <v>216</v>
      </c>
      <c r="C662" s="20" t="str">
        <f>IF(B662="","",IF(COUNTIF('01_Anggota'!$D$5:$D$1212,B662)=0,"NAMA TIDAK DITEMUKAN",INDEX('01_Anggota'!$B$5:$B$1212,MATCH(B662,'01_Anggota'!$D$5:$D$1212,0))))</f>
        <v>KKSUK-000017</v>
      </c>
      <c r="D662" s="23">
        <v>0</v>
      </c>
      <c r="E662" s="23">
        <v>150000</v>
      </c>
      <c r="F662" s="23">
        <v>100000</v>
      </c>
      <c r="G662" s="23">
        <v>0</v>
      </c>
      <c r="H662" s="42">
        <v>46258</v>
      </c>
      <c r="I662" s="21" t="s">
        <v>810</v>
      </c>
    </row>
    <row r="663" spans="1:9" ht="21" customHeight="1">
      <c r="A663" s="20">
        <f t="shared" si="10"/>
        <v>659</v>
      </c>
      <c r="B663" s="21" t="s">
        <v>217</v>
      </c>
      <c r="C663" s="20" t="str">
        <f>IF(B663="","",IF(COUNTIF('01_Anggota'!$D$5:$D$1212,B663)=0,"NAMA TIDAK DITEMUKAN",INDEX('01_Anggota'!$B$5:$B$1212,MATCH(B663,'01_Anggota'!$D$5:$D$1212,0))))</f>
        <v>KKSUK-000018</v>
      </c>
      <c r="D663" s="23">
        <v>0</v>
      </c>
      <c r="E663" s="23">
        <v>5529539</v>
      </c>
      <c r="F663" s="23">
        <v>10278196.839707701</v>
      </c>
      <c r="G663" s="23">
        <v>4190452</v>
      </c>
      <c r="H663" s="42">
        <v>46023</v>
      </c>
      <c r="I663" s="21" t="s">
        <v>802</v>
      </c>
    </row>
    <row r="664" spans="1:9" ht="21" customHeight="1">
      <c r="A664" s="20">
        <f t="shared" si="10"/>
        <v>660</v>
      </c>
      <c r="B664" s="21" t="s">
        <v>217</v>
      </c>
      <c r="C664" s="20" t="str">
        <f>IF(B664="","",IF(COUNTIF('01_Anggota'!$D$5:$D$1212,B664)=0,"NAMA TIDAK DITEMUKAN",INDEX('01_Anggota'!$B$5:$B$1212,MATCH(B664,'01_Anggota'!$D$5:$D$1212,0))))</f>
        <v>KKSUK-000018</v>
      </c>
      <c r="D664" s="23">
        <v>0</v>
      </c>
      <c r="E664" s="23">
        <v>100000</v>
      </c>
      <c r="F664" s="23">
        <v>100000</v>
      </c>
      <c r="G664" s="23">
        <v>0</v>
      </c>
      <c r="H664" s="42">
        <v>46045</v>
      </c>
      <c r="I664" s="21" t="s">
        <v>803</v>
      </c>
    </row>
    <row r="665" spans="1:9" ht="21" customHeight="1">
      <c r="A665" s="20">
        <f t="shared" si="10"/>
        <v>661</v>
      </c>
      <c r="B665" s="21" t="s">
        <v>217</v>
      </c>
      <c r="C665" s="20" t="str">
        <f>IF(B665="","",IF(COUNTIF('01_Anggota'!$D$5:$D$1212,B665)=0,"NAMA TIDAK DITEMUKAN",INDEX('01_Anggota'!$B$5:$B$1212,MATCH(B665,'01_Anggota'!$D$5:$D$1212,0))))</f>
        <v>KKSUK-000018</v>
      </c>
      <c r="D665" s="23">
        <v>0</v>
      </c>
      <c r="E665" s="23">
        <v>100000</v>
      </c>
      <c r="F665" s="23">
        <v>100000</v>
      </c>
      <c r="G665" s="23">
        <v>0</v>
      </c>
      <c r="H665" s="42">
        <v>46078</v>
      </c>
      <c r="I665" s="21" t="s">
        <v>804</v>
      </c>
    </row>
    <row r="666" spans="1:9" ht="21" customHeight="1">
      <c r="A666" s="20">
        <f t="shared" si="10"/>
        <v>662</v>
      </c>
      <c r="B666" s="21" t="s">
        <v>217</v>
      </c>
      <c r="C666" s="20" t="str">
        <f>IF(B666="","",IF(COUNTIF('01_Anggota'!$D$5:$D$1212,B666)=0,"NAMA TIDAK DITEMUKAN",INDEX('01_Anggota'!$B$5:$B$1212,MATCH(B666,'01_Anggota'!$D$5:$D$1212,0))))</f>
        <v>KKSUK-000018</v>
      </c>
      <c r="D666" s="23">
        <v>0</v>
      </c>
      <c r="E666" s="23">
        <v>100000</v>
      </c>
      <c r="F666" s="23">
        <v>100000</v>
      </c>
      <c r="G666" s="23">
        <v>0</v>
      </c>
      <c r="H666" s="42">
        <v>46106</v>
      </c>
      <c r="I666" s="21" t="s">
        <v>805</v>
      </c>
    </row>
    <row r="667" spans="1:9" ht="21" customHeight="1">
      <c r="A667" s="20">
        <f t="shared" si="10"/>
        <v>663</v>
      </c>
      <c r="B667" s="21" t="s">
        <v>217</v>
      </c>
      <c r="C667" s="20" t="str">
        <f>IF(B667="","",IF(COUNTIF('01_Anggota'!$D$5:$D$1212,B667)=0,"NAMA TIDAK DITEMUKAN",INDEX('01_Anggota'!$B$5:$B$1212,MATCH(B667,'01_Anggota'!$D$5:$D$1212,0))))</f>
        <v>KKSUK-000018</v>
      </c>
      <c r="D667" s="23">
        <v>0</v>
      </c>
      <c r="E667" s="23">
        <v>50000</v>
      </c>
      <c r="F667" s="23">
        <v>150000</v>
      </c>
      <c r="G667" s="23">
        <v>0</v>
      </c>
      <c r="H667" s="42">
        <v>46136</v>
      </c>
      <c r="I667" s="21" t="s">
        <v>806</v>
      </c>
    </row>
    <row r="668" spans="1:9" ht="21" customHeight="1">
      <c r="A668" s="20">
        <f t="shared" si="10"/>
        <v>664</v>
      </c>
      <c r="B668" s="21" t="s">
        <v>217</v>
      </c>
      <c r="C668" s="20" t="str">
        <f>IF(B668="","",IF(COUNTIF('01_Anggota'!$D$5:$D$1212,B668)=0,"NAMA TIDAK DITEMUKAN",INDEX('01_Anggota'!$B$5:$B$1212,MATCH(B668,'01_Anggota'!$D$5:$D$1212,0))))</f>
        <v>KKSUK-000018</v>
      </c>
      <c r="D668" s="23">
        <v>0</v>
      </c>
      <c r="E668" s="23">
        <v>50000</v>
      </c>
      <c r="F668" s="23">
        <v>150000</v>
      </c>
      <c r="G668" s="23">
        <v>0</v>
      </c>
      <c r="H668" s="42">
        <v>46167</v>
      </c>
      <c r="I668" s="21" t="s">
        <v>807</v>
      </c>
    </row>
    <row r="669" spans="1:9" ht="21" customHeight="1">
      <c r="A669" s="20">
        <f t="shared" si="10"/>
        <v>665</v>
      </c>
      <c r="B669" s="21" t="s">
        <v>217</v>
      </c>
      <c r="C669" s="20" t="str">
        <f>IF(B669="","",IF(COUNTIF('01_Anggota'!$D$5:$D$1212,B669)=0,"NAMA TIDAK DITEMUKAN",INDEX('01_Anggota'!$B$5:$B$1212,MATCH(B669,'01_Anggota'!$D$5:$D$1212,0))))</f>
        <v>KKSUK-000018</v>
      </c>
      <c r="D669" s="23">
        <v>0</v>
      </c>
      <c r="E669" s="23">
        <v>50000</v>
      </c>
      <c r="F669" s="23">
        <v>150000</v>
      </c>
      <c r="G669" s="23">
        <v>0</v>
      </c>
      <c r="H669" s="42">
        <v>46198</v>
      </c>
      <c r="I669" s="21" t="s">
        <v>808</v>
      </c>
    </row>
    <row r="670" spans="1:9" ht="21" customHeight="1">
      <c r="A670" s="20">
        <f t="shared" si="10"/>
        <v>666</v>
      </c>
      <c r="B670" s="21" t="s">
        <v>217</v>
      </c>
      <c r="C670" s="20" t="str">
        <f>IF(B670="","",IF(COUNTIF('01_Anggota'!$D$5:$D$1212,B670)=0,"NAMA TIDAK DITEMUKAN",INDEX('01_Anggota'!$B$5:$B$1212,MATCH(B670,'01_Anggota'!$D$5:$D$1212,0))))</f>
        <v>KKSUK-000018</v>
      </c>
      <c r="D670" s="23">
        <v>0</v>
      </c>
      <c r="E670" s="23">
        <v>-4000000</v>
      </c>
      <c r="F670" s="23">
        <v>0</v>
      </c>
      <c r="G670" s="23">
        <v>0</v>
      </c>
      <c r="H670" s="42">
        <v>46258</v>
      </c>
      <c r="I670" s="21" t="s">
        <v>810</v>
      </c>
    </row>
    <row r="671" spans="1:9" ht="21" customHeight="1">
      <c r="A671" s="20">
        <f t="shared" si="10"/>
        <v>667</v>
      </c>
      <c r="B671" s="21" t="s">
        <v>217</v>
      </c>
      <c r="C671" s="20" t="str">
        <f>IF(B671="","",IF(COUNTIF('01_Anggota'!$D$5:$D$1212,B671)=0,"NAMA TIDAK DITEMUKAN",INDEX('01_Anggota'!$B$5:$B$1212,MATCH(B671,'01_Anggota'!$D$5:$D$1212,0))))</f>
        <v>KKSUK-000018</v>
      </c>
      <c r="D671" s="23">
        <v>0</v>
      </c>
      <c r="E671" s="23">
        <v>50000</v>
      </c>
      <c r="F671" s="23">
        <v>150000</v>
      </c>
      <c r="G671" s="23">
        <v>0</v>
      </c>
      <c r="H671" s="42">
        <v>46227</v>
      </c>
      <c r="I671" s="21" t="s">
        <v>809</v>
      </c>
    </row>
    <row r="672" spans="1:9" ht="21" customHeight="1">
      <c r="A672" s="20">
        <f t="shared" si="10"/>
        <v>668</v>
      </c>
      <c r="B672" s="21" t="s">
        <v>217</v>
      </c>
      <c r="C672" s="20" t="str">
        <f>IF(B672="","",IF(COUNTIF('01_Anggota'!$D$5:$D$1212,B672)=0,"NAMA TIDAK DITEMUKAN",INDEX('01_Anggota'!$B$5:$B$1212,MATCH(B672,'01_Anggota'!$D$5:$D$1212,0))))</f>
        <v>KKSUK-000018</v>
      </c>
      <c r="D672" s="23">
        <v>0</v>
      </c>
      <c r="E672" s="23">
        <v>50000</v>
      </c>
      <c r="F672" s="23">
        <v>150000</v>
      </c>
      <c r="G672" s="23">
        <v>0</v>
      </c>
      <c r="H672" s="42">
        <v>46258</v>
      </c>
      <c r="I672" s="21" t="s">
        <v>810</v>
      </c>
    </row>
    <row r="673" spans="1:9" ht="21" customHeight="1">
      <c r="A673" s="20">
        <f t="shared" si="10"/>
        <v>669</v>
      </c>
      <c r="B673" s="21" t="s">
        <v>338</v>
      </c>
      <c r="C673" s="20" t="str">
        <f>IF(B673="","",IF(COUNTIF('01_Anggota'!$D$5:$D$1212,B673)=0,"NAMA TIDAK DITEMUKAN",INDEX('01_Anggota'!$B$5:$B$1212,MATCH(B673,'01_Anggota'!$D$5:$D$1212,0))))</f>
        <v>KKSUK-000139</v>
      </c>
      <c r="D673" s="23">
        <v>0</v>
      </c>
      <c r="E673" s="23">
        <v>4200000</v>
      </c>
      <c r="F673" s="23">
        <v>3500000</v>
      </c>
      <c r="G673" s="23">
        <v>1442591</v>
      </c>
      <c r="H673" s="42">
        <v>46023</v>
      </c>
      <c r="I673" s="21" t="s">
        <v>802</v>
      </c>
    </row>
    <row r="674" spans="1:9" ht="21" customHeight="1">
      <c r="A674" s="20">
        <f t="shared" si="10"/>
        <v>670</v>
      </c>
      <c r="B674" s="21" t="s">
        <v>338</v>
      </c>
      <c r="C674" s="20" t="str">
        <f>IF(B674="","",IF(COUNTIF('01_Anggota'!$D$5:$D$1212,B674)=0,"NAMA TIDAK DITEMUKAN",INDEX('01_Anggota'!$B$5:$B$1212,MATCH(B674,'01_Anggota'!$D$5:$D$1212,0))))</f>
        <v>KKSUK-000139</v>
      </c>
      <c r="D674" s="23">
        <v>0</v>
      </c>
      <c r="E674" s="23">
        <v>100000</v>
      </c>
      <c r="F674" s="23">
        <v>100000</v>
      </c>
      <c r="G674" s="23">
        <v>0</v>
      </c>
      <c r="H674" s="42">
        <v>46045</v>
      </c>
      <c r="I674" s="21" t="s">
        <v>803</v>
      </c>
    </row>
    <row r="675" spans="1:9" ht="21" customHeight="1">
      <c r="A675" s="20">
        <f t="shared" si="10"/>
        <v>671</v>
      </c>
      <c r="B675" s="21" t="s">
        <v>338</v>
      </c>
      <c r="C675" s="20" t="str">
        <f>IF(B675="","",IF(COUNTIF('01_Anggota'!$D$5:$D$1212,B675)=0,"NAMA TIDAK DITEMUKAN",INDEX('01_Anggota'!$B$5:$B$1212,MATCH(B675,'01_Anggota'!$D$5:$D$1212,0))))</f>
        <v>KKSUK-000139</v>
      </c>
      <c r="D675" s="23">
        <v>0</v>
      </c>
      <c r="E675" s="23">
        <v>-3000000</v>
      </c>
      <c r="F675" s="23">
        <v>0</v>
      </c>
      <c r="G675" s="23">
        <v>0</v>
      </c>
      <c r="H675" s="42">
        <v>46078</v>
      </c>
      <c r="I675" s="21" t="s">
        <v>804</v>
      </c>
    </row>
    <row r="676" spans="1:9" ht="21" customHeight="1">
      <c r="A676" s="20">
        <f t="shared" si="10"/>
        <v>672</v>
      </c>
      <c r="B676" s="21" t="s">
        <v>338</v>
      </c>
      <c r="C676" s="20" t="str">
        <f>IF(B676="","",IF(COUNTIF('01_Anggota'!$D$5:$D$1212,B676)=0,"NAMA TIDAK DITEMUKAN",INDEX('01_Anggota'!$B$5:$B$1212,MATCH(B676,'01_Anggota'!$D$5:$D$1212,0))))</f>
        <v>KKSUK-000139</v>
      </c>
      <c r="D676" s="23">
        <v>0</v>
      </c>
      <c r="E676" s="23">
        <v>100000</v>
      </c>
      <c r="F676" s="23">
        <v>100000</v>
      </c>
      <c r="G676" s="23">
        <v>0</v>
      </c>
      <c r="H676" s="42">
        <v>46078</v>
      </c>
      <c r="I676" s="21" t="s">
        <v>804</v>
      </c>
    </row>
    <row r="677" spans="1:9" ht="21" customHeight="1">
      <c r="A677" s="20">
        <f t="shared" si="10"/>
        <v>673</v>
      </c>
      <c r="B677" s="21" t="s">
        <v>338</v>
      </c>
      <c r="C677" s="20" t="str">
        <f>IF(B677="","",IF(COUNTIF('01_Anggota'!$D$5:$D$1212,B677)=0,"NAMA TIDAK DITEMUKAN",INDEX('01_Anggota'!$B$5:$B$1212,MATCH(B677,'01_Anggota'!$D$5:$D$1212,0))))</f>
        <v>KKSUK-000139</v>
      </c>
      <c r="D677" s="23">
        <v>0</v>
      </c>
      <c r="E677" s="23">
        <v>100000</v>
      </c>
      <c r="F677" s="23">
        <v>100000</v>
      </c>
      <c r="G677" s="23">
        <v>0</v>
      </c>
      <c r="H677" s="42">
        <v>46106</v>
      </c>
      <c r="I677" s="21" t="s">
        <v>805</v>
      </c>
    </row>
    <row r="678" spans="1:9" ht="21" customHeight="1">
      <c r="A678" s="20">
        <f t="shared" si="10"/>
        <v>674</v>
      </c>
      <c r="B678" s="21" t="s">
        <v>338</v>
      </c>
      <c r="C678" s="20" t="str">
        <f>IF(B678="","",IF(COUNTIF('01_Anggota'!$D$5:$D$1212,B678)=0,"NAMA TIDAK DITEMUKAN",INDEX('01_Anggota'!$B$5:$B$1212,MATCH(B678,'01_Anggota'!$D$5:$D$1212,0))))</f>
        <v>KKSUK-000139</v>
      </c>
      <c r="D678" s="23">
        <v>0</v>
      </c>
      <c r="E678" s="23">
        <v>100000</v>
      </c>
      <c r="F678" s="23">
        <v>100000</v>
      </c>
      <c r="G678" s="23">
        <v>0</v>
      </c>
      <c r="H678" s="42">
        <v>46136</v>
      </c>
      <c r="I678" s="21" t="s">
        <v>806</v>
      </c>
    </row>
    <row r="679" spans="1:9" ht="21" customHeight="1">
      <c r="A679" s="20">
        <f t="shared" si="10"/>
        <v>675</v>
      </c>
      <c r="B679" s="21" t="s">
        <v>338</v>
      </c>
      <c r="C679" s="20" t="str">
        <f>IF(B679="","",IF(COUNTIF('01_Anggota'!$D$5:$D$1212,B679)=0,"NAMA TIDAK DITEMUKAN",INDEX('01_Anggota'!$B$5:$B$1212,MATCH(B679,'01_Anggota'!$D$5:$D$1212,0))))</f>
        <v>KKSUK-000139</v>
      </c>
      <c r="D679" s="23">
        <v>0</v>
      </c>
      <c r="E679" s="23">
        <v>100000</v>
      </c>
      <c r="F679" s="23">
        <v>100000</v>
      </c>
      <c r="G679" s="23">
        <v>0</v>
      </c>
      <c r="H679" s="42">
        <v>46167</v>
      </c>
      <c r="I679" s="21" t="s">
        <v>807</v>
      </c>
    </row>
    <row r="680" spans="1:9" ht="21" customHeight="1">
      <c r="A680" s="20">
        <f t="shared" si="10"/>
        <v>676</v>
      </c>
      <c r="B680" s="21" t="s">
        <v>338</v>
      </c>
      <c r="C680" s="20" t="str">
        <f>IF(B680="","",IF(COUNTIF('01_Anggota'!$D$5:$D$1212,B680)=0,"NAMA TIDAK DITEMUKAN",INDEX('01_Anggota'!$B$5:$B$1212,MATCH(B680,'01_Anggota'!$D$5:$D$1212,0))))</f>
        <v>KKSUK-000139</v>
      </c>
      <c r="D680" s="23">
        <v>0</v>
      </c>
      <c r="E680" s="23">
        <v>100000</v>
      </c>
      <c r="F680" s="23">
        <v>100000</v>
      </c>
      <c r="G680" s="23">
        <v>0</v>
      </c>
      <c r="H680" s="42">
        <v>46198</v>
      </c>
      <c r="I680" s="21" t="s">
        <v>808</v>
      </c>
    </row>
    <row r="681" spans="1:9" ht="21" customHeight="1">
      <c r="A681" s="20">
        <f t="shared" si="10"/>
        <v>677</v>
      </c>
      <c r="B681" s="21" t="s">
        <v>338</v>
      </c>
      <c r="C681" s="20" t="str">
        <f>IF(B681="","",IF(COUNTIF('01_Anggota'!$D$5:$D$1212,B681)=0,"NAMA TIDAK DITEMUKAN",INDEX('01_Anggota'!$B$5:$B$1212,MATCH(B681,'01_Anggota'!$D$5:$D$1212,0))))</f>
        <v>KKSUK-000139</v>
      </c>
      <c r="D681" s="23">
        <v>0</v>
      </c>
      <c r="E681" s="23">
        <v>100000</v>
      </c>
      <c r="F681" s="23">
        <v>100000</v>
      </c>
      <c r="G681" s="23">
        <v>0</v>
      </c>
      <c r="H681" s="42">
        <v>46227</v>
      </c>
      <c r="I681" s="21" t="s">
        <v>809</v>
      </c>
    </row>
    <row r="682" spans="1:9" ht="21" customHeight="1">
      <c r="A682" s="20">
        <f t="shared" si="10"/>
        <v>678</v>
      </c>
      <c r="B682" s="21" t="s">
        <v>338</v>
      </c>
      <c r="C682" s="20" t="str">
        <f>IF(B682="","",IF(COUNTIF('01_Anggota'!$D$5:$D$1212,B682)=0,"NAMA TIDAK DITEMUKAN",INDEX('01_Anggota'!$B$5:$B$1212,MATCH(B682,'01_Anggota'!$D$5:$D$1212,0))))</f>
        <v>KKSUK-000139</v>
      </c>
      <c r="D682" s="23">
        <v>0</v>
      </c>
      <c r="E682" s="23">
        <v>-800000</v>
      </c>
      <c r="F682" s="23">
        <v>0</v>
      </c>
      <c r="G682" s="23">
        <v>0</v>
      </c>
      <c r="H682" s="42">
        <v>46258</v>
      </c>
      <c r="I682" s="21" t="s">
        <v>810</v>
      </c>
    </row>
    <row r="683" spans="1:9" ht="21" customHeight="1">
      <c r="A683" s="20">
        <f t="shared" si="10"/>
        <v>679</v>
      </c>
      <c r="B683" s="21" t="s">
        <v>338</v>
      </c>
      <c r="C683" s="20" t="str">
        <f>IF(B683="","",IF(COUNTIF('01_Anggota'!$D$5:$D$1212,B683)=0,"NAMA TIDAK DITEMUKAN",INDEX('01_Anggota'!$B$5:$B$1212,MATCH(B683,'01_Anggota'!$D$5:$D$1212,0))))</f>
        <v>KKSUK-000139</v>
      </c>
      <c r="D683" s="23">
        <v>0</v>
      </c>
      <c r="E683" s="23">
        <v>100000</v>
      </c>
      <c r="F683" s="23">
        <v>100000</v>
      </c>
      <c r="G683" s="23">
        <v>0</v>
      </c>
      <c r="H683" s="42">
        <v>46258</v>
      </c>
      <c r="I683" s="21" t="s">
        <v>810</v>
      </c>
    </row>
    <row r="684" spans="1:9" ht="21" customHeight="1">
      <c r="A684" s="20">
        <f t="shared" si="10"/>
        <v>680</v>
      </c>
      <c r="B684" s="21" t="s">
        <v>272</v>
      </c>
      <c r="C684" s="20" t="str">
        <f>IF(B684="","",IF(COUNTIF('01_Anggota'!$D$5:$D$1212,B684)=0,"NAMA TIDAK DITEMUKAN",INDEX('01_Anggota'!$B$5:$B$1212,MATCH(B684,'01_Anggota'!$D$5:$D$1212,0))))</f>
        <v>KKSUK-000073</v>
      </c>
      <c r="D684" s="23">
        <v>0</v>
      </c>
      <c r="E684" s="23">
        <v>3825000</v>
      </c>
      <c r="F684" s="23">
        <v>12477775.873832799</v>
      </c>
      <c r="G684" s="23">
        <v>6584674</v>
      </c>
      <c r="H684" s="42">
        <v>46023</v>
      </c>
      <c r="I684" s="21" t="s">
        <v>802</v>
      </c>
    </row>
    <row r="685" spans="1:9" ht="21" customHeight="1">
      <c r="A685" s="20">
        <f t="shared" si="10"/>
        <v>681</v>
      </c>
      <c r="B685" s="21" t="s">
        <v>272</v>
      </c>
      <c r="C685" s="20" t="str">
        <f>IF(B685="","",IF(COUNTIF('01_Anggota'!$D$5:$D$1212,B685)=0,"NAMA TIDAK DITEMUKAN",INDEX('01_Anggota'!$B$5:$B$1212,MATCH(B685,'01_Anggota'!$D$5:$D$1212,0))))</f>
        <v>KKSUK-000073</v>
      </c>
      <c r="D685" s="23">
        <v>0</v>
      </c>
      <c r="E685" s="23">
        <v>125000</v>
      </c>
      <c r="F685" s="23">
        <v>100000</v>
      </c>
      <c r="G685" s="23">
        <v>0</v>
      </c>
      <c r="H685" s="42">
        <v>46045</v>
      </c>
      <c r="I685" s="21" t="s">
        <v>803</v>
      </c>
    </row>
    <row r="686" spans="1:9" ht="21" customHeight="1">
      <c r="A686" s="20">
        <f t="shared" si="10"/>
        <v>682</v>
      </c>
      <c r="B686" s="21" t="s">
        <v>272</v>
      </c>
      <c r="C686" s="20" t="str">
        <f>IF(B686="","",IF(COUNTIF('01_Anggota'!$D$5:$D$1212,B686)=0,"NAMA TIDAK DITEMUKAN",INDEX('01_Anggota'!$B$5:$B$1212,MATCH(B686,'01_Anggota'!$D$5:$D$1212,0))))</f>
        <v>KKSUK-000073</v>
      </c>
      <c r="D686" s="23">
        <v>0</v>
      </c>
      <c r="E686" s="23">
        <v>125000</v>
      </c>
      <c r="F686" s="23">
        <v>100000</v>
      </c>
      <c r="G686" s="23">
        <v>0</v>
      </c>
      <c r="H686" s="42">
        <v>46078</v>
      </c>
      <c r="I686" s="21" t="s">
        <v>804</v>
      </c>
    </row>
    <row r="687" spans="1:9" ht="21" customHeight="1">
      <c r="A687" s="20">
        <f t="shared" si="10"/>
        <v>683</v>
      </c>
      <c r="B687" s="21" t="s">
        <v>272</v>
      </c>
      <c r="C687" s="20" t="str">
        <f>IF(B687="","",IF(COUNTIF('01_Anggota'!$D$5:$D$1212,B687)=0,"NAMA TIDAK DITEMUKAN",INDEX('01_Anggota'!$B$5:$B$1212,MATCH(B687,'01_Anggota'!$D$5:$D$1212,0))))</f>
        <v>KKSUK-000073</v>
      </c>
      <c r="D687" s="23">
        <v>0</v>
      </c>
      <c r="E687" s="23">
        <v>125000</v>
      </c>
      <c r="F687" s="23">
        <v>100000</v>
      </c>
      <c r="G687" s="23">
        <v>0</v>
      </c>
      <c r="H687" s="42">
        <v>46106</v>
      </c>
      <c r="I687" s="21" t="s">
        <v>805</v>
      </c>
    </row>
    <row r="688" spans="1:9" ht="21" customHeight="1">
      <c r="A688" s="20">
        <f t="shared" si="10"/>
        <v>684</v>
      </c>
      <c r="B688" s="21" t="s">
        <v>272</v>
      </c>
      <c r="C688" s="20" t="str">
        <f>IF(B688="","",IF(COUNTIF('01_Anggota'!$D$5:$D$1212,B688)=0,"NAMA TIDAK DITEMUKAN",INDEX('01_Anggota'!$B$5:$B$1212,MATCH(B688,'01_Anggota'!$D$5:$D$1212,0))))</f>
        <v>KKSUK-000073</v>
      </c>
      <c r="D688" s="23">
        <v>0</v>
      </c>
      <c r="E688" s="23">
        <v>125000</v>
      </c>
      <c r="F688" s="23">
        <v>100000</v>
      </c>
      <c r="G688" s="23">
        <v>0</v>
      </c>
      <c r="H688" s="42">
        <v>46136</v>
      </c>
      <c r="I688" s="21" t="s">
        <v>806</v>
      </c>
    </row>
    <row r="689" spans="1:9" ht="21" customHeight="1">
      <c r="A689" s="20">
        <f t="shared" si="10"/>
        <v>685</v>
      </c>
      <c r="B689" s="21" t="s">
        <v>272</v>
      </c>
      <c r="C689" s="20" t="str">
        <f>IF(B689="","",IF(COUNTIF('01_Anggota'!$D$5:$D$1212,B689)=0,"NAMA TIDAK DITEMUKAN",INDEX('01_Anggota'!$B$5:$B$1212,MATCH(B689,'01_Anggota'!$D$5:$D$1212,0))))</f>
        <v>KKSUK-000073</v>
      </c>
      <c r="D689" s="23">
        <v>0</v>
      </c>
      <c r="E689" s="23">
        <v>125000</v>
      </c>
      <c r="F689" s="23">
        <v>100000</v>
      </c>
      <c r="G689" s="23">
        <v>0</v>
      </c>
      <c r="H689" s="42">
        <v>46167</v>
      </c>
      <c r="I689" s="21" t="s">
        <v>807</v>
      </c>
    </row>
    <row r="690" spans="1:9" ht="21" customHeight="1">
      <c r="A690" s="20">
        <f t="shared" si="10"/>
        <v>686</v>
      </c>
      <c r="B690" s="21" t="s">
        <v>272</v>
      </c>
      <c r="C690" s="20" t="str">
        <f>IF(B690="","",IF(COUNTIF('01_Anggota'!$D$5:$D$1212,B690)=0,"NAMA TIDAK DITEMUKAN",INDEX('01_Anggota'!$B$5:$B$1212,MATCH(B690,'01_Anggota'!$D$5:$D$1212,0))))</f>
        <v>KKSUK-000073</v>
      </c>
      <c r="D690" s="23">
        <v>0</v>
      </c>
      <c r="E690" s="23">
        <v>125000</v>
      </c>
      <c r="F690" s="23">
        <v>100000</v>
      </c>
      <c r="G690" s="23">
        <v>0</v>
      </c>
      <c r="H690" s="42">
        <v>46198</v>
      </c>
      <c r="I690" s="21" t="s">
        <v>808</v>
      </c>
    </row>
    <row r="691" spans="1:9" ht="21" customHeight="1">
      <c r="A691" s="20">
        <f t="shared" si="10"/>
        <v>687</v>
      </c>
      <c r="B691" s="21" t="s">
        <v>272</v>
      </c>
      <c r="C691" s="20" t="str">
        <f>IF(B691="","",IF(COUNTIF('01_Anggota'!$D$5:$D$1212,B691)=0,"NAMA TIDAK DITEMUKAN",INDEX('01_Anggota'!$B$5:$B$1212,MATCH(B691,'01_Anggota'!$D$5:$D$1212,0))))</f>
        <v>KKSUK-000073</v>
      </c>
      <c r="D691" s="23">
        <v>0</v>
      </c>
      <c r="E691" s="23">
        <v>-3400000</v>
      </c>
      <c r="F691" s="23">
        <v>0</v>
      </c>
      <c r="G691" s="23">
        <v>0</v>
      </c>
      <c r="H691" s="42">
        <v>46227</v>
      </c>
      <c r="I691" s="21" t="s">
        <v>809</v>
      </c>
    </row>
    <row r="692" spans="1:9" ht="21" customHeight="1">
      <c r="A692" s="20">
        <f t="shared" si="10"/>
        <v>688</v>
      </c>
      <c r="B692" s="21" t="s">
        <v>272</v>
      </c>
      <c r="C692" s="20" t="str">
        <f>IF(B692="","",IF(COUNTIF('01_Anggota'!$D$5:$D$1212,B692)=0,"NAMA TIDAK DITEMUKAN",INDEX('01_Anggota'!$B$5:$B$1212,MATCH(B692,'01_Anggota'!$D$5:$D$1212,0))))</f>
        <v>KKSUK-000073</v>
      </c>
      <c r="D692" s="23">
        <v>0</v>
      </c>
      <c r="E692" s="23">
        <v>125000</v>
      </c>
      <c r="F692" s="23">
        <v>100000</v>
      </c>
      <c r="G692" s="23">
        <v>0</v>
      </c>
      <c r="H692" s="42">
        <v>46227</v>
      </c>
      <c r="I692" s="21" t="s">
        <v>809</v>
      </c>
    </row>
    <row r="693" spans="1:9" ht="21" customHeight="1">
      <c r="A693" s="20">
        <f t="shared" si="10"/>
        <v>689</v>
      </c>
      <c r="B693" s="21" t="s">
        <v>272</v>
      </c>
      <c r="C693" s="20" t="str">
        <f>IF(B693="","",IF(COUNTIF('01_Anggota'!$D$5:$D$1212,B693)=0,"NAMA TIDAK DITEMUKAN",INDEX('01_Anggota'!$B$5:$B$1212,MATCH(B693,'01_Anggota'!$D$5:$D$1212,0))))</f>
        <v>KKSUK-000073</v>
      </c>
      <c r="D693" s="23">
        <v>0</v>
      </c>
      <c r="E693" s="23">
        <v>125000</v>
      </c>
      <c r="F693" s="23">
        <v>100000</v>
      </c>
      <c r="G693" s="23">
        <v>0</v>
      </c>
      <c r="H693" s="42">
        <v>46258</v>
      </c>
      <c r="I693" s="21" t="s">
        <v>810</v>
      </c>
    </row>
    <row r="694" spans="1:9" ht="21" customHeight="1">
      <c r="A694" s="20">
        <f t="shared" si="10"/>
        <v>690</v>
      </c>
      <c r="B694" s="21" t="s">
        <v>362</v>
      </c>
      <c r="C694" s="20" t="str">
        <f>IF(B694="","",IF(COUNTIF('01_Anggota'!$D$5:$D$1212,B694)=0,"NAMA TIDAK DITEMUKAN",INDEX('01_Anggota'!$B$5:$B$1212,MATCH(B694,'01_Anggota'!$D$5:$D$1212,0))))</f>
        <v>KKSUK-000163</v>
      </c>
      <c r="D694" s="23">
        <v>0</v>
      </c>
      <c r="E694" s="23">
        <v>2200000</v>
      </c>
      <c r="F694" s="23">
        <v>1200000</v>
      </c>
      <c r="G694" s="23">
        <v>0</v>
      </c>
      <c r="H694" s="42">
        <v>46023</v>
      </c>
      <c r="I694" s="21" t="s">
        <v>802</v>
      </c>
    </row>
    <row r="695" spans="1:9" ht="21" customHeight="1">
      <c r="A695" s="20">
        <f t="shared" si="10"/>
        <v>691</v>
      </c>
      <c r="B695" s="21" t="s">
        <v>362</v>
      </c>
      <c r="C695" s="20" t="str">
        <f>IF(B695="","",IF(COUNTIF('01_Anggota'!$D$5:$D$1212,B695)=0,"NAMA TIDAK DITEMUKAN",INDEX('01_Anggota'!$B$5:$B$1212,MATCH(B695,'01_Anggota'!$D$5:$D$1212,0))))</f>
        <v>KKSUK-000163</v>
      </c>
      <c r="D695" s="23">
        <v>0</v>
      </c>
      <c r="E695" s="23">
        <v>200000</v>
      </c>
      <c r="F695" s="23">
        <v>100000</v>
      </c>
      <c r="G695" s="23">
        <v>0</v>
      </c>
      <c r="H695" s="42">
        <v>46045</v>
      </c>
      <c r="I695" s="21" t="s">
        <v>803</v>
      </c>
    </row>
    <row r="696" spans="1:9" ht="21" customHeight="1">
      <c r="A696" s="20">
        <f t="shared" si="10"/>
        <v>692</v>
      </c>
      <c r="B696" s="21" t="s">
        <v>362</v>
      </c>
      <c r="C696" s="20" t="str">
        <f>IF(B696="","",IF(COUNTIF('01_Anggota'!$D$5:$D$1212,B696)=0,"NAMA TIDAK DITEMUKAN",INDEX('01_Anggota'!$B$5:$B$1212,MATCH(B696,'01_Anggota'!$D$5:$D$1212,0))))</f>
        <v>KKSUK-000163</v>
      </c>
      <c r="D696" s="23">
        <v>0</v>
      </c>
      <c r="E696" s="23">
        <v>200000</v>
      </c>
      <c r="F696" s="23">
        <v>100000</v>
      </c>
      <c r="G696" s="23">
        <v>0</v>
      </c>
      <c r="H696" s="42">
        <v>46078</v>
      </c>
      <c r="I696" s="21" t="s">
        <v>804</v>
      </c>
    </row>
    <row r="697" spans="1:9" ht="21" customHeight="1">
      <c r="A697" s="20">
        <f t="shared" si="10"/>
        <v>693</v>
      </c>
      <c r="B697" s="21" t="s">
        <v>362</v>
      </c>
      <c r="C697" s="20" t="str">
        <f>IF(B697="","",IF(COUNTIF('01_Anggota'!$D$5:$D$1212,B697)=0,"NAMA TIDAK DITEMUKAN",INDEX('01_Anggota'!$B$5:$B$1212,MATCH(B697,'01_Anggota'!$D$5:$D$1212,0))))</f>
        <v>KKSUK-000163</v>
      </c>
      <c r="D697" s="23">
        <v>0</v>
      </c>
      <c r="E697" s="23">
        <v>200000</v>
      </c>
      <c r="F697" s="23">
        <v>100000</v>
      </c>
      <c r="G697" s="23">
        <v>0</v>
      </c>
      <c r="H697" s="42">
        <v>46106</v>
      </c>
      <c r="I697" s="21" t="s">
        <v>805</v>
      </c>
    </row>
    <row r="698" spans="1:9" ht="21" customHeight="1">
      <c r="A698" s="20">
        <f t="shared" si="10"/>
        <v>694</v>
      </c>
      <c r="B698" s="21" t="s">
        <v>362</v>
      </c>
      <c r="C698" s="20" t="str">
        <f>IF(B698="","",IF(COUNTIF('01_Anggota'!$D$5:$D$1212,B698)=0,"NAMA TIDAK DITEMUKAN",INDEX('01_Anggota'!$B$5:$B$1212,MATCH(B698,'01_Anggota'!$D$5:$D$1212,0))))</f>
        <v>KKSUK-000163</v>
      </c>
      <c r="D698" s="23">
        <v>0</v>
      </c>
      <c r="E698" s="23">
        <v>200000</v>
      </c>
      <c r="F698" s="23">
        <v>100000</v>
      </c>
      <c r="G698" s="23">
        <v>0</v>
      </c>
      <c r="H698" s="42">
        <v>46136</v>
      </c>
      <c r="I698" s="21" t="s">
        <v>806</v>
      </c>
    </row>
    <row r="699" spans="1:9" ht="21" customHeight="1">
      <c r="A699" s="20">
        <f t="shared" si="10"/>
        <v>695</v>
      </c>
      <c r="B699" s="21" t="s">
        <v>362</v>
      </c>
      <c r="C699" s="20" t="str">
        <f>IF(B699="","",IF(COUNTIF('01_Anggota'!$D$5:$D$1212,B699)=0,"NAMA TIDAK DITEMUKAN",INDEX('01_Anggota'!$B$5:$B$1212,MATCH(B699,'01_Anggota'!$D$5:$D$1212,0))))</f>
        <v>KKSUK-000163</v>
      </c>
      <c r="D699" s="23">
        <v>0</v>
      </c>
      <c r="E699" s="23">
        <v>200000</v>
      </c>
      <c r="F699" s="23">
        <v>100000</v>
      </c>
      <c r="G699" s="23">
        <v>0</v>
      </c>
      <c r="H699" s="42">
        <v>46167</v>
      </c>
      <c r="I699" s="21" t="s">
        <v>807</v>
      </c>
    </row>
    <row r="700" spans="1:9" ht="21" customHeight="1">
      <c r="A700" s="20">
        <f t="shared" si="10"/>
        <v>696</v>
      </c>
      <c r="B700" s="21" t="s">
        <v>362</v>
      </c>
      <c r="C700" s="20" t="str">
        <f>IF(B700="","",IF(COUNTIF('01_Anggota'!$D$5:$D$1212,B700)=0,"NAMA TIDAK DITEMUKAN",INDEX('01_Anggota'!$B$5:$B$1212,MATCH(B700,'01_Anggota'!$D$5:$D$1212,0))))</f>
        <v>KKSUK-000163</v>
      </c>
      <c r="D700" s="23">
        <v>0</v>
      </c>
      <c r="E700" s="23">
        <v>200000</v>
      </c>
      <c r="F700" s="23">
        <v>100000</v>
      </c>
      <c r="G700" s="23">
        <v>0</v>
      </c>
      <c r="H700" s="42">
        <v>46198</v>
      </c>
      <c r="I700" s="21" t="s">
        <v>808</v>
      </c>
    </row>
    <row r="701" spans="1:9" ht="21" customHeight="1">
      <c r="A701" s="20">
        <f t="shared" si="10"/>
        <v>697</v>
      </c>
      <c r="B701" s="21" t="s">
        <v>362</v>
      </c>
      <c r="C701" s="20" t="str">
        <f>IF(B701="","",IF(COUNTIF('01_Anggota'!$D$5:$D$1212,B701)=0,"NAMA TIDAK DITEMUKAN",INDEX('01_Anggota'!$B$5:$B$1212,MATCH(B701,'01_Anggota'!$D$5:$D$1212,0))))</f>
        <v>KKSUK-000163</v>
      </c>
      <c r="D701" s="23">
        <v>0</v>
      </c>
      <c r="E701" s="23">
        <v>-2000000</v>
      </c>
      <c r="F701" s="23">
        <v>0</v>
      </c>
      <c r="G701" s="23">
        <v>0</v>
      </c>
      <c r="H701" s="42">
        <v>46227</v>
      </c>
      <c r="I701" s="21" t="s">
        <v>809</v>
      </c>
    </row>
    <row r="702" spans="1:9" ht="21" customHeight="1">
      <c r="A702" s="20">
        <f t="shared" si="10"/>
        <v>698</v>
      </c>
      <c r="B702" s="21" t="s">
        <v>362</v>
      </c>
      <c r="C702" s="20" t="str">
        <f>IF(B702="","",IF(COUNTIF('01_Anggota'!$D$5:$D$1212,B702)=0,"NAMA TIDAK DITEMUKAN",INDEX('01_Anggota'!$B$5:$B$1212,MATCH(B702,'01_Anggota'!$D$5:$D$1212,0))))</f>
        <v>KKSUK-000163</v>
      </c>
      <c r="D702" s="23">
        <v>0</v>
      </c>
      <c r="E702" s="23">
        <v>200000</v>
      </c>
      <c r="F702" s="23">
        <v>100000</v>
      </c>
      <c r="G702" s="23">
        <v>0</v>
      </c>
      <c r="H702" s="42">
        <v>46227</v>
      </c>
      <c r="I702" s="21" t="s">
        <v>809</v>
      </c>
    </row>
    <row r="703" spans="1:9" ht="21" customHeight="1">
      <c r="A703" s="20">
        <f t="shared" si="10"/>
        <v>699</v>
      </c>
      <c r="B703" s="21" t="s">
        <v>362</v>
      </c>
      <c r="C703" s="20" t="str">
        <f>IF(B703="","",IF(COUNTIF('01_Anggota'!$D$5:$D$1212,B703)=0,"NAMA TIDAK DITEMUKAN",INDEX('01_Anggota'!$B$5:$B$1212,MATCH(B703,'01_Anggota'!$D$5:$D$1212,0))))</f>
        <v>KKSUK-000163</v>
      </c>
      <c r="D703" s="23">
        <v>0</v>
      </c>
      <c r="E703" s="23">
        <v>200000</v>
      </c>
      <c r="F703" s="23">
        <v>100000</v>
      </c>
      <c r="G703" s="23">
        <v>0</v>
      </c>
      <c r="H703" s="42">
        <v>46258</v>
      </c>
      <c r="I703" s="21" t="s">
        <v>810</v>
      </c>
    </row>
    <row r="704" spans="1:9" ht="21" customHeight="1">
      <c r="A704" s="20">
        <f t="shared" si="10"/>
        <v>700</v>
      </c>
      <c r="B704" s="21" t="s">
        <v>218</v>
      </c>
      <c r="C704" s="20" t="str">
        <f>IF(B704="","",IF(COUNTIF('01_Anggota'!$D$5:$D$1212,B704)=0,"NAMA TIDAK DITEMUKAN",INDEX('01_Anggota'!$B$5:$B$1212,MATCH(B704,'01_Anggota'!$D$5:$D$1212,0))))</f>
        <v>KKSUK-000019</v>
      </c>
      <c r="D704" s="23">
        <v>0</v>
      </c>
      <c r="E704" s="23">
        <v>1498000</v>
      </c>
      <c r="F704" s="23">
        <v>16860333.345598999</v>
      </c>
      <c r="G704" s="23">
        <v>6317594</v>
      </c>
      <c r="H704" s="42">
        <v>46023</v>
      </c>
      <c r="I704" s="21" t="s">
        <v>802</v>
      </c>
    </row>
    <row r="705" spans="1:9" ht="21" customHeight="1">
      <c r="A705" s="20">
        <f t="shared" si="10"/>
        <v>701</v>
      </c>
      <c r="B705" s="21" t="s">
        <v>218</v>
      </c>
      <c r="C705" s="20" t="str">
        <f>IF(B705="","",IF(COUNTIF('01_Anggota'!$D$5:$D$1212,B705)=0,"NAMA TIDAK DITEMUKAN",INDEX('01_Anggota'!$B$5:$B$1212,MATCH(B705,'01_Anggota'!$D$5:$D$1212,0))))</f>
        <v>KKSUK-000019</v>
      </c>
      <c r="D705" s="23">
        <v>0</v>
      </c>
      <c r="E705" s="23">
        <v>100000</v>
      </c>
      <c r="F705" s="23">
        <v>100000</v>
      </c>
      <c r="G705" s="23">
        <v>0</v>
      </c>
      <c r="H705" s="42">
        <v>46045</v>
      </c>
      <c r="I705" s="21" t="s">
        <v>803</v>
      </c>
    </row>
    <row r="706" spans="1:9" ht="21" customHeight="1">
      <c r="A706" s="20">
        <f t="shared" si="10"/>
        <v>702</v>
      </c>
      <c r="B706" s="21" t="s">
        <v>218</v>
      </c>
      <c r="C706" s="20" t="str">
        <f>IF(B706="","",IF(COUNTIF('01_Anggota'!$D$5:$D$1212,B706)=0,"NAMA TIDAK DITEMUKAN",INDEX('01_Anggota'!$B$5:$B$1212,MATCH(B706,'01_Anggota'!$D$5:$D$1212,0))))</f>
        <v>KKSUK-000019</v>
      </c>
      <c r="D706" s="23">
        <v>0</v>
      </c>
      <c r="E706" s="23">
        <v>100000</v>
      </c>
      <c r="F706" s="23">
        <v>100000</v>
      </c>
      <c r="G706" s="23">
        <v>0</v>
      </c>
      <c r="H706" s="42">
        <v>46078</v>
      </c>
      <c r="I706" s="21" t="s">
        <v>804</v>
      </c>
    </row>
    <row r="707" spans="1:9" ht="21" customHeight="1">
      <c r="A707" s="20">
        <f t="shared" si="10"/>
        <v>703</v>
      </c>
      <c r="B707" s="21" t="s">
        <v>218</v>
      </c>
      <c r="C707" s="20" t="str">
        <f>IF(B707="","",IF(COUNTIF('01_Anggota'!$D$5:$D$1212,B707)=0,"NAMA TIDAK DITEMUKAN",INDEX('01_Anggota'!$B$5:$B$1212,MATCH(B707,'01_Anggota'!$D$5:$D$1212,0))))</f>
        <v>KKSUK-000019</v>
      </c>
      <c r="D707" s="23">
        <v>0</v>
      </c>
      <c r="E707" s="23">
        <v>100000</v>
      </c>
      <c r="F707" s="23">
        <v>100000</v>
      </c>
      <c r="G707" s="23">
        <v>0</v>
      </c>
      <c r="H707" s="42">
        <v>46106</v>
      </c>
      <c r="I707" s="21" t="s">
        <v>805</v>
      </c>
    </row>
    <row r="708" spans="1:9" ht="21" customHeight="1">
      <c r="A708" s="20">
        <f t="shared" si="10"/>
        <v>704</v>
      </c>
      <c r="B708" s="21" t="s">
        <v>218</v>
      </c>
      <c r="C708" s="20" t="str">
        <f>IF(B708="","",IF(COUNTIF('01_Anggota'!$D$5:$D$1212,B708)=0,"NAMA TIDAK DITEMUKAN",INDEX('01_Anggota'!$B$5:$B$1212,MATCH(B708,'01_Anggota'!$D$5:$D$1212,0))))</f>
        <v>KKSUK-000019</v>
      </c>
      <c r="D708" s="23">
        <v>0</v>
      </c>
      <c r="E708" s="23">
        <v>100000</v>
      </c>
      <c r="F708" s="23">
        <v>100000</v>
      </c>
      <c r="G708" s="23">
        <v>0</v>
      </c>
      <c r="H708" s="42">
        <v>46136</v>
      </c>
      <c r="I708" s="21" t="s">
        <v>806</v>
      </c>
    </row>
    <row r="709" spans="1:9" ht="21" customHeight="1">
      <c r="A709" s="20">
        <f t="shared" ref="A709:A771" si="11">IF(B709="","",ROW()-4)</f>
        <v>705</v>
      </c>
      <c r="B709" s="21" t="s">
        <v>218</v>
      </c>
      <c r="C709" s="20" t="str">
        <f>IF(B709="","",IF(COUNTIF('01_Anggota'!$D$5:$D$1212,B709)=0,"NAMA TIDAK DITEMUKAN",INDEX('01_Anggota'!$B$5:$B$1212,MATCH(B709,'01_Anggota'!$D$5:$D$1212,0))))</f>
        <v>KKSUK-000019</v>
      </c>
      <c r="D709" s="23">
        <v>0</v>
      </c>
      <c r="E709" s="23">
        <v>100000</v>
      </c>
      <c r="F709" s="23">
        <v>100000</v>
      </c>
      <c r="G709" s="23">
        <v>0</v>
      </c>
      <c r="H709" s="42">
        <v>46167</v>
      </c>
      <c r="I709" s="21" t="s">
        <v>807</v>
      </c>
    </row>
    <row r="710" spans="1:9" ht="21" customHeight="1">
      <c r="A710" s="20">
        <f t="shared" si="11"/>
        <v>706</v>
      </c>
      <c r="B710" s="21" t="s">
        <v>218</v>
      </c>
      <c r="C710" s="20" t="str">
        <f>IF(B710="","",IF(COUNTIF('01_Anggota'!$D$5:$D$1212,B710)=0,"NAMA TIDAK DITEMUKAN",INDEX('01_Anggota'!$B$5:$B$1212,MATCH(B710,'01_Anggota'!$D$5:$D$1212,0))))</f>
        <v>KKSUK-000019</v>
      </c>
      <c r="D710" s="23">
        <v>0</v>
      </c>
      <c r="E710" s="23">
        <v>100000</v>
      </c>
      <c r="F710" s="23">
        <v>100000</v>
      </c>
      <c r="G710" s="23">
        <v>0</v>
      </c>
      <c r="H710" s="42">
        <v>46198</v>
      </c>
      <c r="I710" s="21" t="s">
        <v>808</v>
      </c>
    </row>
    <row r="711" spans="1:9" ht="21" customHeight="1">
      <c r="A711" s="20">
        <f t="shared" si="11"/>
        <v>707</v>
      </c>
      <c r="B711" s="21" t="s">
        <v>218</v>
      </c>
      <c r="C711" s="20" t="str">
        <f>IF(B711="","",IF(COUNTIF('01_Anggota'!$D$5:$D$1212,B711)=0,"NAMA TIDAK DITEMUKAN",INDEX('01_Anggota'!$B$5:$B$1212,MATCH(B711,'01_Anggota'!$D$5:$D$1212,0))))</f>
        <v>KKSUK-000019</v>
      </c>
      <c r="D711" s="23">
        <v>0</v>
      </c>
      <c r="E711" s="23">
        <v>-1600000</v>
      </c>
      <c r="F711" s="23">
        <v>0</v>
      </c>
      <c r="G711" s="23">
        <v>0</v>
      </c>
      <c r="H711" s="42">
        <v>46227</v>
      </c>
      <c r="I711" s="21" t="s">
        <v>809</v>
      </c>
    </row>
    <row r="712" spans="1:9" ht="21" customHeight="1">
      <c r="A712" s="20">
        <f t="shared" si="11"/>
        <v>708</v>
      </c>
      <c r="B712" s="21" t="s">
        <v>218</v>
      </c>
      <c r="C712" s="20" t="str">
        <f>IF(B712="","",IF(COUNTIF('01_Anggota'!$D$5:$D$1212,B712)=0,"NAMA TIDAK DITEMUKAN",INDEX('01_Anggota'!$B$5:$B$1212,MATCH(B712,'01_Anggota'!$D$5:$D$1212,0))))</f>
        <v>KKSUK-000019</v>
      </c>
      <c r="D712" s="23">
        <v>0</v>
      </c>
      <c r="E712" s="23">
        <v>100000</v>
      </c>
      <c r="F712" s="23">
        <v>100000</v>
      </c>
      <c r="G712" s="23">
        <v>0</v>
      </c>
      <c r="H712" s="42">
        <v>46227</v>
      </c>
      <c r="I712" s="21" t="s">
        <v>809</v>
      </c>
    </row>
    <row r="713" spans="1:9" ht="21" customHeight="1">
      <c r="A713" s="20">
        <f t="shared" si="11"/>
        <v>709</v>
      </c>
      <c r="B713" s="21" t="s">
        <v>218</v>
      </c>
      <c r="C713" s="20" t="str">
        <f>IF(B713="","",IF(COUNTIF('01_Anggota'!$D$5:$D$1212,B713)=0,"NAMA TIDAK DITEMUKAN",INDEX('01_Anggota'!$B$5:$B$1212,MATCH(B713,'01_Anggota'!$D$5:$D$1212,0))))</f>
        <v>KKSUK-000019</v>
      </c>
      <c r="D713" s="23">
        <v>0</v>
      </c>
      <c r="E713" s="23">
        <v>100000</v>
      </c>
      <c r="F713" s="23">
        <v>100000</v>
      </c>
      <c r="G713" s="23">
        <v>0</v>
      </c>
      <c r="H713" s="42">
        <v>46258</v>
      </c>
      <c r="I713" s="21" t="s">
        <v>810</v>
      </c>
    </row>
    <row r="714" spans="1:9" ht="21" customHeight="1">
      <c r="A714" s="20">
        <f t="shared" si="11"/>
        <v>710</v>
      </c>
      <c r="B714" s="21" t="s">
        <v>219</v>
      </c>
      <c r="C714" s="20" t="str">
        <f>IF(B714="","",IF(COUNTIF('01_Anggota'!$D$5:$D$1212,B714)=0,"NAMA TIDAK DITEMUKAN",INDEX('01_Anggota'!$B$5:$B$1212,MATCH(B714,'01_Anggota'!$D$5:$D$1212,0))))</f>
        <v>KKSUK-000020</v>
      </c>
      <c r="D714" s="23">
        <v>0</v>
      </c>
      <c r="E714" s="23">
        <v>2550000</v>
      </c>
      <c r="F714" s="23">
        <v>10693211.751806799</v>
      </c>
      <c r="G714" s="23">
        <v>4660459</v>
      </c>
      <c r="H714" s="42">
        <v>46023</v>
      </c>
      <c r="I714" s="21" t="s">
        <v>802</v>
      </c>
    </row>
    <row r="715" spans="1:9" ht="21" customHeight="1">
      <c r="A715" s="20">
        <f t="shared" si="11"/>
        <v>711</v>
      </c>
      <c r="B715" s="21" t="s">
        <v>219</v>
      </c>
      <c r="C715" s="20" t="str">
        <f>IF(B715="","",IF(COUNTIF('01_Anggota'!$D$5:$D$1212,B715)=0,"NAMA TIDAK DITEMUKAN",INDEX('01_Anggota'!$B$5:$B$1212,MATCH(B715,'01_Anggota'!$D$5:$D$1212,0))))</f>
        <v>KKSUK-000020</v>
      </c>
      <c r="D715" s="23">
        <v>0</v>
      </c>
      <c r="E715" s="23">
        <v>100000</v>
      </c>
      <c r="F715" s="23">
        <v>100000</v>
      </c>
      <c r="G715" s="23">
        <v>0</v>
      </c>
      <c r="H715" s="42">
        <v>46045</v>
      </c>
      <c r="I715" s="21" t="s">
        <v>803</v>
      </c>
    </row>
    <row r="716" spans="1:9" ht="21" customHeight="1">
      <c r="A716" s="20">
        <f t="shared" si="11"/>
        <v>712</v>
      </c>
      <c r="B716" s="21" t="s">
        <v>219</v>
      </c>
      <c r="C716" s="20" t="str">
        <f>IF(B716="","",IF(COUNTIF('01_Anggota'!$D$5:$D$1212,B716)=0,"NAMA TIDAK DITEMUKAN",INDEX('01_Anggota'!$B$5:$B$1212,MATCH(B716,'01_Anggota'!$D$5:$D$1212,0))))</f>
        <v>KKSUK-000020</v>
      </c>
      <c r="D716" s="23">
        <v>0</v>
      </c>
      <c r="E716" s="23">
        <v>100000</v>
      </c>
      <c r="F716" s="23">
        <v>100000</v>
      </c>
      <c r="G716" s="23">
        <v>0</v>
      </c>
      <c r="H716" s="42">
        <v>46078</v>
      </c>
      <c r="I716" s="21" t="s">
        <v>804</v>
      </c>
    </row>
    <row r="717" spans="1:9" ht="21" customHeight="1">
      <c r="A717" s="20">
        <f t="shared" si="11"/>
        <v>713</v>
      </c>
      <c r="B717" s="21" t="s">
        <v>219</v>
      </c>
      <c r="C717" s="20" t="str">
        <f>IF(B717="","",IF(COUNTIF('01_Anggota'!$D$5:$D$1212,B717)=0,"NAMA TIDAK DITEMUKAN",INDEX('01_Anggota'!$B$5:$B$1212,MATCH(B717,'01_Anggota'!$D$5:$D$1212,0))))</f>
        <v>KKSUK-000020</v>
      </c>
      <c r="D717" s="23">
        <v>0</v>
      </c>
      <c r="E717" s="23">
        <v>100000</v>
      </c>
      <c r="F717" s="23">
        <v>100000</v>
      </c>
      <c r="G717" s="23">
        <v>0</v>
      </c>
      <c r="H717" s="42">
        <v>46106</v>
      </c>
      <c r="I717" s="21" t="s">
        <v>805</v>
      </c>
    </row>
    <row r="718" spans="1:9" ht="21" customHeight="1">
      <c r="A718" s="20">
        <f t="shared" si="11"/>
        <v>714</v>
      </c>
      <c r="B718" s="21" t="s">
        <v>219</v>
      </c>
      <c r="C718" s="20" t="str">
        <f>IF(B718="","",IF(COUNTIF('01_Anggota'!$D$5:$D$1212,B718)=0,"NAMA TIDAK DITEMUKAN",INDEX('01_Anggota'!$B$5:$B$1212,MATCH(B718,'01_Anggota'!$D$5:$D$1212,0))))</f>
        <v>KKSUK-000020</v>
      </c>
      <c r="D718" s="23">
        <v>0</v>
      </c>
      <c r="E718" s="23">
        <v>100000</v>
      </c>
      <c r="F718" s="23">
        <v>100000</v>
      </c>
      <c r="G718" s="23">
        <v>0</v>
      </c>
      <c r="H718" s="42">
        <v>46136</v>
      </c>
      <c r="I718" s="21" t="s">
        <v>806</v>
      </c>
    </row>
    <row r="719" spans="1:9" ht="21" customHeight="1">
      <c r="A719" s="20">
        <f t="shared" si="11"/>
        <v>715</v>
      </c>
      <c r="B719" s="21" t="s">
        <v>219</v>
      </c>
      <c r="C719" s="20" t="str">
        <f>IF(B719="","",IF(COUNTIF('01_Anggota'!$D$5:$D$1212,B719)=0,"NAMA TIDAK DITEMUKAN",INDEX('01_Anggota'!$B$5:$B$1212,MATCH(B719,'01_Anggota'!$D$5:$D$1212,0))))</f>
        <v>KKSUK-000020</v>
      </c>
      <c r="D719" s="23">
        <v>0</v>
      </c>
      <c r="E719" s="23">
        <v>100000</v>
      </c>
      <c r="F719" s="23">
        <v>100000</v>
      </c>
      <c r="G719" s="23">
        <v>0</v>
      </c>
      <c r="H719" s="42">
        <v>46167</v>
      </c>
      <c r="I719" s="21" t="s">
        <v>807</v>
      </c>
    </row>
    <row r="720" spans="1:9" ht="21" customHeight="1">
      <c r="A720" s="20">
        <f t="shared" si="11"/>
        <v>716</v>
      </c>
      <c r="B720" s="21" t="s">
        <v>219</v>
      </c>
      <c r="C720" s="20" t="str">
        <f>IF(B720="","",IF(COUNTIF('01_Anggota'!$D$5:$D$1212,B720)=0,"NAMA TIDAK DITEMUKAN",INDEX('01_Anggota'!$B$5:$B$1212,MATCH(B720,'01_Anggota'!$D$5:$D$1212,0))))</f>
        <v>KKSUK-000020</v>
      </c>
      <c r="D720" s="23">
        <v>0</v>
      </c>
      <c r="E720" s="23">
        <v>100000</v>
      </c>
      <c r="F720" s="23">
        <v>100000</v>
      </c>
      <c r="G720" s="23">
        <v>0</v>
      </c>
      <c r="H720" s="42">
        <v>46198</v>
      </c>
      <c r="I720" s="21" t="s">
        <v>808</v>
      </c>
    </row>
    <row r="721" spans="1:9" ht="21" customHeight="1">
      <c r="A721" s="20">
        <f t="shared" si="11"/>
        <v>717</v>
      </c>
      <c r="B721" s="21" t="s">
        <v>219</v>
      </c>
      <c r="C721" s="20" t="str">
        <f>IF(B721="","",IF(COUNTIF('01_Anggota'!$D$5:$D$1212,B721)=0,"NAMA TIDAK DITEMUKAN",INDEX('01_Anggota'!$B$5:$B$1212,MATCH(B721,'01_Anggota'!$D$5:$D$1212,0))))</f>
        <v>KKSUK-000020</v>
      </c>
      <c r="D721" s="23">
        <v>0</v>
      </c>
      <c r="E721" s="23">
        <v>-2000000</v>
      </c>
      <c r="F721" s="23">
        <v>0</v>
      </c>
      <c r="G721" s="23">
        <v>0</v>
      </c>
      <c r="H721" s="42">
        <v>46227</v>
      </c>
      <c r="I721" s="21" t="s">
        <v>809</v>
      </c>
    </row>
    <row r="722" spans="1:9" ht="21" customHeight="1">
      <c r="A722" s="20">
        <f t="shared" si="11"/>
        <v>718</v>
      </c>
      <c r="B722" s="21" t="s">
        <v>219</v>
      </c>
      <c r="C722" s="20" t="str">
        <f>IF(B722="","",IF(COUNTIF('01_Anggota'!$D$5:$D$1212,B722)=0,"NAMA TIDAK DITEMUKAN",INDEX('01_Anggota'!$B$5:$B$1212,MATCH(B722,'01_Anggota'!$D$5:$D$1212,0))))</f>
        <v>KKSUK-000020</v>
      </c>
      <c r="D722" s="23">
        <v>0</v>
      </c>
      <c r="E722" s="23">
        <v>100000</v>
      </c>
      <c r="F722" s="23">
        <v>100000</v>
      </c>
      <c r="G722" s="23">
        <v>0</v>
      </c>
      <c r="H722" s="42">
        <v>46227</v>
      </c>
      <c r="I722" s="21" t="s">
        <v>809</v>
      </c>
    </row>
    <row r="723" spans="1:9" ht="21" customHeight="1">
      <c r="A723" s="20">
        <f t="shared" si="11"/>
        <v>719</v>
      </c>
      <c r="B723" s="21" t="s">
        <v>219</v>
      </c>
      <c r="C723" s="20" t="str">
        <f>IF(B723="","",IF(COUNTIF('01_Anggota'!$D$5:$D$1212,B723)=0,"NAMA TIDAK DITEMUKAN",INDEX('01_Anggota'!$B$5:$B$1212,MATCH(B723,'01_Anggota'!$D$5:$D$1212,0))))</f>
        <v>KKSUK-000020</v>
      </c>
      <c r="D723" s="23">
        <v>0</v>
      </c>
      <c r="E723" s="23">
        <v>100000</v>
      </c>
      <c r="F723" s="23">
        <v>100000</v>
      </c>
      <c r="G723" s="23">
        <v>0</v>
      </c>
      <c r="H723" s="42">
        <v>46258</v>
      </c>
      <c r="I723" s="21" t="s">
        <v>810</v>
      </c>
    </row>
    <row r="724" spans="1:9" ht="21" customHeight="1">
      <c r="A724" s="20">
        <f t="shared" si="11"/>
        <v>720</v>
      </c>
      <c r="B724" s="21" t="s">
        <v>302</v>
      </c>
      <c r="C724" s="20" t="str">
        <f>IF(B724="","",IF(COUNTIF('01_Anggota'!$D$5:$D$1212,B724)=0,"NAMA TIDAK DITEMUKAN",INDEX('01_Anggota'!$B$5:$B$1212,MATCH(B724,'01_Anggota'!$D$5:$D$1212,0))))</f>
        <v>KKSUK-000103</v>
      </c>
      <c r="D724" s="23">
        <v>0</v>
      </c>
      <c r="E724" s="23">
        <v>2500000</v>
      </c>
      <c r="F724" s="23">
        <v>5630029.8241981398</v>
      </c>
      <c r="G724" s="23">
        <v>3474000</v>
      </c>
      <c r="H724" s="42">
        <v>46023</v>
      </c>
      <c r="I724" s="21" t="s">
        <v>802</v>
      </c>
    </row>
    <row r="725" spans="1:9" ht="21" customHeight="1">
      <c r="A725" s="20">
        <f t="shared" si="11"/>
        <v>721</v>
      </c>
      <c r="B725" s="21" t="s">
        <v>302</v>
      </c>
      <c r="C725" s="20" t="str">
        <f>IF(B725="","",IF(COUNTIF('01_Anggota'!$D$5:$D$1212,B725)=0,"NAMA TIDAK DITEMUKAN",INDEX('01_Anggota'!$B$5:$B$1212,MATCH(B725,'01_Anggota'!$D$5:$D$1212,0))))</f>
        <v>KKSUK-000103</v>
      </c>
      <c r="D725" s="23">
        <v>0</v>
      </c>
      <c r="E725" s="23">
        <v>100000</v>
      </c>
      <c r="F725" s="23">
        <v>100000</v>
      </c>
      <c r="G725" s="23">
        <v>0</v>
      </c>
      <c r="H725" s="42">
        <v>46045</v>
      </c>
      <c r="I725" s="21" t="s">
        <v>803</v>
      </c>
    </row>
    <row r="726" spans="1:9" ht="21" customHeight="1">
      <c r="A726" s="20">
        <f t="shared" si="11"/>
        <v>722</v>
      </c>
      <c r="B726" s="21" t="s">
        <v>302</v>
      </c>
      <c r="C726" s="20" t="str">
        <f>IF(B726="","",IF(COUNTIF('01_Anggota'!$D$5:$D$1212,B726)=0,"NAMA TIDAK DITEMUKAN",INDEX('01_Anggota'!$B$5:$B$1212,MATCH(B726,'01_Anggota'!$D$5:$D$1212,0))))</f>
        <v>KKSUK-000103</v>
      </c>
      <c r="D726" s="23">
        <v>0</v>
      </c>
      <c r="E726" s="23">
        <v>100000</v>
      </c>
      <c r="F726" s="23">
        <v>100000</v>
      </c>
      <c r="G726" s="23">
        <v>0</v>
      </c>
      <c r="H726" s="42">
        <v>46078</v>
      </c>
      <c r="I726" s="21" t="s">
        <v>804</v>
      </c>
    </row>
    <row r="727" spans="1:9" ht="21" customHeight="1">
      <c r="A727" s="20">
        <f t="shared" si="11"/>
        <v>723</v>
      </c>
      <c r="B727" s="21" t="s">
        <v>302</v>
      </c>
      <c r="C727" s="20" t="str">
        <f>IF(B727="","",IF(COUNTIF('01_Anggota'!$D$5:$D$1212,B727)=0,"NAMA TIDAK DITEMUKAN",INDEX('01_Anggota'!$B$5:$B$1212,MATCH(B727,'01_Anggota'!$D$5:$D$1212,0))))</f>
        <v>KKSUK-000103</v>
      </c>
      <c r="D727" s="23">
        <v>0</v>
      </c>
      <c r="E727" s="23">
        <v>100000</v>
      </c>
      <c r="F727" s="23">
        <v>100000</v>
      </c>
      <c r="G727" s="23">
        <v>0</v>
      </c>
      <c r="H727" s="42">
        <v>46106</v>
      </c>
      <c r="I727" s="21" t="s">
        <v>805</v>
      </c>
    </row>
    <row r="728" spans="1:9" ht="21" customHeight="1">
      <c r="A728" s="20">
        <f t="shared" si="11"/>
        <v>724</v>
      </c>
      <c r="B728" s="21" t="s">
        <v>302</v>
      </c>
      <c r="C728" s="20" t="str">
        <f>IF(B728="","",IF(COUNTIF('01_Anggota'!$D$5:$D$1212,B728)=0,"NAMA TIDAK DITEMUKAN",INDEX('01_Anggota'!$B$5:$B$1212,MATCH(B728,'01_Anggota'!$D$5:$D$1212,0))))</f>
        <v>KKSUK-000103</v>
      </c>
      <c r="D728" s="23">
        <v>0</v>
      </c>
      <c r="E728" s="23">
        <v>100000</v>
      </c>
      <c r="F728" s="23">
        <v>100000</v>
      </c>
      <c r="G728" s="23">
        <v>0</v>
      </c>
      <c r="H728" s="42">
        <v>46136</v>
      </c>
      <c r="I728" s="21" t="s">
        <v>806</v>
      </c>
    </row>
    <row r="729" spans="1:9" ht="21" customHeight="1">
      <c r="A729" s="20">
        <f t="shared" si="11"/>
        <v>725</v>
      </c>
      <c r="B729" s="21" t="s">
        <v>302</v>
      </c>
      <c r="C729" s="20" t="str">
        <f>IF(B729="","",IF(COUNTIF('01_Anggota'!$D$5:$D$1212,B729)=0,"NAMA TIDAK DITEMUKAN",INDEX('01_Anggota'!$B$5:$B$1212,MATCH(B729,'01_Anggota'!$D$5:$D$1212,0))))</f>
        <v>KKSUK-000103</v>
      </c>
      <c r="D729" s="23">
        <v>0</v>
      </c>
      <c r="E729" s="23">
        <v>100000</v>
      </c>
      <c r="F729" s="23">
        <v>100000</v>
      </c>
      <c r="G729" s="23">
        <v>0</v>
      </c>
      <c r="H729" s="42">
        <v>46167</v>
      </c>
      <c r="I729" s="21" t="s">
        <v>807</v>
      </c>
    </row>
    <row r="730" spans="1:9" ht="21" customHeight="1">
      <c r="A730" s="20">
        <f t="shared" si="11"/>
        <v>726</v>
      </c>
      <c r="B730" s="21" t="s">
        <v>302</v>
      </c>
      <c r="C730" s="20" t="str">
        <f>IF(B730="","",IF(COUNTIF('01_Anggota'!$D$5:$D$1212,B730)=0,"NAMA TIDAK DITEMUKAN",INDEX('01_Anggota'!$B$5:$B$1212,MATCH(B730,'01_Anggota'!$D$5:$D$1212,0))))</f>
        <v>KKSUK-000103</v>
      </c>
      <c r="D730" s="23">
        <v>0</v>
      </c>
      <c r="E730" s="23">
        <v>100000</v>
      </c>
      <c r="F730" s="23">
        <v>100000</v>
      </c>
      <c r="G730" s="23">
        <v>0</v>
      </c>
      <c r="H730" s="42">
        <v>46198</v>
      </c>
      <c r="I730" s="21" t="s">
        <v>808</v>
      </c>
    </row>
    <row r="731" spans="1:9" ht="21" customHeight="1">
      <c r="A731" s="20">
        <f t="shared" si="11"/>
        <v>727</v>
      </c>
      <c r="B731" s="21" t="s">
        <v>302</v>
      </c>
      <c r="C731" s="20" t="str">
        <f>IF(B731="","",IF(COUNTIF('01_Anggota'!$D$5:$D$1212,B731)=0,"NAMA TIDAK DITEMUKAN",INDEX('01_Anggota'!$B$5:$B$1212,MATCH(B731,'01_Anggota'!$D$5:$D$1212,0))))</f>
        <v>KKSUK-000103</v>
      </c>
      <c r="D731" s="23">
        <v>0</v>
      </c>
      <c r="E731" s="23">
        <v>100000</v>
      </c>
      <c r="F731" s="23">
        <v>100000</v>
      </c>
      <c r="G731" s="23">
        <v>0</v>
      </c>
      <c r="H731" s="42">
        <v>46227</v>
      </c>
      <c r="I731" s="21" t="s">
        <v>809</v>
      </c>
    </row>
    <row r="732" spans="1:9" ht="21" customHeight="1">
      <c r="A732" s="20">
        <f t="shared" si="11"/>
        <v>728</v>
      </c>
      <c r="B732" s="21" t="s">
        <v>302</v>
      </c>
      <c r="C732" s="20" t="str">
        <f>IF(B732="","",IF(COUNTIF('01_Anggota'!$D$5:$D$1212,B732)=0,"NAMA TIDAK DITEMUKAN",INDEX('01_Anggota'!$B$5:$B$1212,MATCH(B732,'01_Anggota'!$D$5:$D$1212,0))))</f>
        <v>KKSUK-000103</v>
      </c>
      <c r="D732" s="23">
        <v>0</v>
      </c>
      <c r="E732" s="23">
        <v>100000</v>
      </c>
      <c r="F732" s="23">
        <v>100000</v>
      </c>
      <c r="G732" s="23">
        <v>0</v>
      </c>
      <c r="H732" s="42">
        <v>46258</v>
      </c>
      <c r="I732" s="21" t="s">
        <v>810</v>
      </c>
    </row>
    <row r="733" spans="1:9" ht="21" customHeight="1">
      <c r="A733" s="20">
        <f t="shared" si="11"/>
        <v>729</v>
      </c>
      <c r="B733" s="21" t="s">
        <v>273</v>
      </c>
      <c r="C733" s="20" t="str">
        <f>IF(B733="","",IF(COUNTIF('01_Anggota'!$D$5:$D$1212,B733)=0,"NAMA TIDAK DITEMUKAN",INDEX('01_Anggota'!$B$5:$B$1212,MATCH(B733,'01_Anggota'!$D$5:$D$1212,0))))</f>
        <v>KKSUK-000074</v>
      </c>
      <c r="D733" s="23">
        <v>0</v>
      </c>
      <c r="E733" s="23">
        <v>3150000</v>
      </c>
      <c r="F733" s="23">
        <v>12685283.3298823</v>
      </c>
      <c r="G733" s="23">
        <v>7826414</v>
      </c>
      <c r="H733" s="42">
        <v>46023</v>
      </c>
      <c r="I733" s="21" t="s">
        <v>802</v>
      </c>
    </row>
    <row r="734" spans="1:9" ht="21" customHeight="1">
      <c r="A734" s="20">
        <f t="shared" si="11"/>
        <v>730</v>
      </c>
      <c r="B734" s="21" t="s">
        <v>273</v>
      </c>
      <c r="C734" s="20" t="str">
        <f>IF(B734="","",IF(COUNTIF('01_Anggota'!$D$5:$D$1212,B734)=0,"NAMA TIDAK DITEMUKAN",INDEX('01_Anggota'!$B$5:$B$1212,MATCH(B734,'01_Anggota'!$D$5:$D$1212,0))))</f>
        <v>KKSUK-000074</v>
      </c>
      <c r="D734" s="23">
        <v>0</v>
      </c>
      <c r="E734" s="23">
        <v>100000</v>
      </c>
      <c r="F734" s="23">
        <v>100000</v>
      </c>
      <c r="G734" s="23">
        <v>0</v>
      </c>
      <c r="H734" s="42">
        <v>46045</v>
      </c>
      <c r="I734" s="21" t="s">
        <v>803</v>
      </c>
    </row>
    <row r="735" spans="1:9" ht="21" customHeight="1">
      <c r="A735" s="20">
        <f t="shared" si="11"/>
        <v>731</v>
      </c>
      <c r="B735" s="21" t="s">
        <v>273</v>
      </c>
      <c r="C735" s="20" t="str">
        <f>IF(B735="","",IF(COUNTIF('01_Anggota'!$D$5:$D$1212,B735)=0,"NAMA TIDAK DITEMUKAN",INDEX('01_Anggota'!$B$5:$B$1212,MATCH(B735,'01_Anggota'!$D$5:$D$1212,0))))</f>
        <v>KKSUK-000074</v>
      </c>
      <c r="D735" s="23">
        <v>0</v>
      </c>
      <c r="E735" s="23">
        <v>100000</v>
      </c>
      <c r="F735" s="23">
        <v>100000</v>
      </c>
      <c r="G735" s="23">
        <v>0</v>
      </c>
      <c r="H735" s="42">
        <v>46078</v>
      </c>
      <c r="I735" s="21" t="s">
        <v>804</v>
      </c>
    </row>
    <row r="736" spans="1:9" ht="21" customHeight="1">
      <c r="A736" s="20">
        <f t="shared" si="11"/>
        <v>732</v>
      </c>
      <c r="B736" s="21" t="s">
        <v>273</v>
      </c>
      <c r="C736" s="20" t="str">
        <f>IF(B736="","",IF(COUNTIF('01_Anggota'!$D$5:$D$1212,B736)=0,"NAMA TIDAK DITEMUKAN",INDEX('01_Anggota'!$B$5:$B$1212,MATCH(B736,'01_Anggota'!$D$5:$D$1212,0))))</f>
        <v>KKSUK-000074</v>
      </c>
      <c r="D736" s="23">
        <v>0</v>
      </c>
      <c r="E736" s="23">
        <v>100000</v>
      </c>
      <c r="F736" s="23">
        <v>100000</v>
      </c>
      <c r="G736" s="23">
        <v>0</v>
      </c>
      <c r="H736" s="42">
        <v>46106</v>
      </c>
      <c r="I736" s="21" t="s">
        <v>805</v>
      </c>
    </row>
    <row r="737" spans="1:9" ht="21" customHeight="1">
      <c r="A737" s="20">
        <f t="shared" si="11"/>
        <v>733</v>
      </c>
      <c r="B737" s="21" t="s">
        <v>273</v>
      </c>
      <c r="C737" s="20" t="str">
        <f>IF(B737="","",IF(COUNTIF('01_Anggota'!$D$5:$D$1212,B737)=0,"NAMA TIDAK DITEMUKAN",INDEX('01_Anggota'!$B$5:$B$1212,MATCH(B737,'01_Anggota'!$D$5:$D$1212,0))))</f>
        <v>KKSUK-000074</v>
      </c>
      <c r="D737" s="23">
        <v>0</v>
      </c>
      <c r="E737" s="23">
        <v>100000</v>
      </c>
      <c r="F737" s="23">
        <v>100000</v>
      </c>
      <c r="G737" s="23">
        <v>0</v>
      </c>
      <c r="H737" s="42">
        <v>46136</v>
      </c>
      <c r="I737" s="21" t="s">
        <v>806</v>
      </c>
    </row>
    <row r="738" spans="1:9" ht="21" customHeight="1">
      <c r="A738" s="20">
        <f t="shared" si="11"/>
        <v>734</v>
      </c>
      <c r="B738" s="21" t="s">
        <v>273</v>
      </c>
      <c r="C738" s="20" t="str">
        <f>IF(B738="","",IF(COUNTIF('01_Anggota'!$D$5:$D$1212,B738)=0,"NAMA TIDAK DITEMUKAN",INDEX('01_Anggota'!$B$5:$B$1212,MATCH(B738,'01_Anggota'!$D$5:$D$1212,0))))</f>
        <v>KKSUK-000074</v>
      </c>
      <c r="D738" s="23">
        <v>0</v>
      </c>
      <c r="E738" s="23">
        <v>100000</v>
      </c>
      <c r="F738" s="23">
        <v>100000</v>
      </c>
      <c r="G738" s="23">
        <v>0</v>
      </c>
      <c r="H738" s="42">
        <v>46167</v>
      </c>
      <c r="I738" s="21" t="s">
        <v>807</v>
      </c>
    </row>
    <row r="739" spans="1:9" ht="21" customHeight="1">
      <c r="A739" s="20">
        <f t="shared" si="11"/>
        <v>735</v>
      </c>
      <c r="B739" s="21" t="s">
        <v>273</v>
      </c>
      <c r="C739" s="20" t="str">
        <f>IF(B739="","",IF(COUNTIF('01_Anggota'!$D$5:$D$1212,B739)=0,"NAMA TIDAK DITEMUKAN",INDEX('01_Anggota'!$B$5:$B$1212,MATCH(B739,'01_Anggota'!$D$5:$D$1212,0))))</f>
        <v>KKSUK-000074</v>
      </c>
      <c r="D739" s="23">
        <v>0</v>
      </c>
      <c r="E739" s="23">
        <v>100000</v>
      </c>
      <c r="F739" s="23">
        <v>100000</v>
      </c>
      <c r="G739" s="23">
        <v>0</v>
      </c>
      <c r="H739" s="42">
        <v>46198</v>
      </c>
      <c r="I739" s="21" t="s">
        <v>808</v>
      </c>
    </row>
    <row r="740" spans="1:9" ht="21" customHeight="1">
      <c r="A740" s="20">
        <f t="shared" si="11"/>
        <v>736</v>
      </c>
      <c r="B740" s="21" t="s">
        <v>273</v>
      </c>
      <c r="C740" s="20" t="str">
        <f>IF(B740="","",IF(COUNTIF('01_Anggota'!$D$5:$D$1212,B740)=0,"NAMA TIDAK DITEMUKAN",INDEX('01_Anggota'!$B$5:$B$1212,MATCH(B740,'01_Anggota'!$D$5:$D$1212,0))))</f>
        <v>KKSUK-000074</v>
      </c>
      <c r="D740" s="23">
        <v>0</v>
      </c>
      <c r="E740" s="23">
        <v>100000</v>
      </c>
      <c r="F740" s="23">
        <v>100000</v>
      </c>
      <c r="G740" s="23">
        <v>0</v>
      </c>
      <c r="H740" s="42">
        <v>46227</v>
      </c>
      <c r="I740" s="21" t="s">
        <v>809</v>
      </c>
    </row>
    <row r="741" spans="1:9" ht="21" customHeight="1">
      <c r="A741" s="20">
        <f t="shared" si="11"/>
        <v>737</v>
      </c>
      <c r="B741" s="21" t="s">
        <v>273</v>
      </c>
      <c r="C741" s="20" t="str">
        <f>IF(B741="","",IF(COUNTIF('01_Anggota'!$D$5:$D$1212,B741)=0,"NAMA TIDAK DITEMUKAN",INDEX('01_Anggota'!$B$5:$B$1212,MATCH(B741,'01_Anggota'!$D$5:$D$1212,0))))</f>
        <v>KKSUK-000074</v>
      </c>
      <c r="D741" s="23">
        <v>0</v>
      </c>
      <c r="E741" s="23">
        <v>100000</v>
      </c>
      <c r="F741" s="23">
        <v>100000</v>
      </c>
      <c r="G741" s="23">
        <v>0</v>
      </c>
      <c r="H741" s="42">
        <v>46258</v>
      </c>
      <c r="I741" s="21" t="s">
        <v>810</v>
      </c>
    </row>
    <row r="742" spans="1:9" ht="21" customHeight="1">
      <c r="A742" s="20">
        <f t="shared" si="11"/>
        <v>738</v>
      </c>
      <c r="B742" s="21" t="s">
        <v>274</v>
      </c>
      <c r="C742" s="20" t="str">
        <f>IF(B742="","",IF(COUNTIF('01_Anggota'!$D$5:$D$1212,B742)=0,"NAMA TIDAK DITEMUKAN",INDEX('01_Anggota'!$B$5:$B$1212,MATCH(B742,'01_Anggota'!$D$5:$D$1212,0))))</f>
        <v>KKSUK-000075</v>
      </c>
      <c r="D742" s="23">
        <v>0</v>
      </c>
      <c r="E742" s="23">
        <v>10161000</v>
      </c>
      <c r="F742" s="23">
        <v>17464595.057615198</v>
      </c>
      <c r="G742" s="23">
        <v>8383390</v>
      </c>
      <c r="H742" s="42">
        <v>46023</v>
      </c>
      <c r="I742" s="21" t="s">
        <v>802</v>
      </c>
    </row>
    <row r="743" spans="1:9" ht="21" customHeight="1">
      <c r="A743" s="20">
        <f t="shared" si="11"/>
        <v>739</v>
      </c>
      <c r="B743" s="21" t="s">
        <v>274</v>
      </c>
      <c r="C743" s="20" t="str">
        <f>IF(B743="","",IF(COUNTIF('01_Anggota'!$D$5:$D$1212,B743)=0,"NAMA TIDAK DITEMUKAN",INDEX('01_Anggota'!$B$5:$B$1212,MATCH(B743,'01_Anggota'!$D$5:$D$1212,0))))</f>
        <v>KKSUK-000075</v>
      </c>
      <c r="D743" s="23">
        <v>0</v>
      </c>
      <c r="E743" s="23">
        <v>250000</v>
      </c>
      <c r="F743" s="23">
        <v>100000</v>
      </c>
      <c r="G743" s="23">
        <v>0</v>
      </c>
      <c r="H743" s="42">
        <v>46045</v>
      </c>
      <c r="I743" s="21" t="s">
        <v>803</v>
      </c>
    </row>
    <row r="744" spans="1:9" ht="21" customHeight="1">
      <c r="A744" s="20">
        <f t="shared" si="11"/>
        <v>740</v>
      </c>
      <c r="B744" s="21" t="s">
        <v>274</v>
      </c>
      <c r="C744" s="20" t="str">
        <f>IF(B744="","",IF(COUNTIF('01_Anggota'!$D$5:$D$1212,B744)=0,"NAMA TIDAK DITEMUKAN",INDEX('01_Anggota'!$B$5:$B$1212,MATCH(B744,'01_Anggota'!$D$5:$D$1212,0))))</f>
        <v>KKSUK-000075</v>
      </c>
      <c r="D744" s="23">
        <v>0</v>
      </c>
      <c r="E744" s="23">
        <v>250000</v>
      </c>
      <c r="F744" s="23">
        <v>100000</v>
      </c>
      <c r="G744" s="23">
        <v>0</v>
      </c>
      <c r="H744" s="42">
        <v>46078</v>
      </c>
      <c r="I744" s="21" t="s">
        <v>804</v>
      </c>
    </row>
    <row r="745" spans="1:9" ht="21" customHeight="1">
      <c r="A745" s="20">
        <f t="shared" si="11"/>
        <v>741</v>
      </c>
      <c r="B745" s="21" t="s">
        <v>274</v>
      </c>
      <c r="C745" s="20" t="str">
        <f>IF(B745="","",IF(COUNTIF('01_Anggota'!$D$5:$D$1212,B745)=0,"NAMA TIDAK DITEMUKAN",INDEX('01_Anggota'!$B$5:$B$1212,MATCH(B745,'01_Anggota'!$D$5:$D$1212,0))))</f>
        <v>KKSUK-000075</v>
      </c>
      <c r="D745" s="23">
        <v>0</v>
      </c>
      <c r="E745" s="23">
        <v>250000</v>
      </c>
      <c r="F745" s="23">
        <v>100000</v>
      </c>
      <c r="G745" s="23">
        <v>0</v>
      </c>
      <c r="H745" s="42">
        <v>46106</v>
      </c>
      <c r="I745" s="21" t="s">
        <v>805</v>
      </c>
    </row>
    <row r="746" spans="1:9" ht="21" customHeight="1">
      <c r="A746" s="20">
        <f t="shared" si="11"/>
        <v>742</v>
      </c>
      <c r="B746" s="21" t="s">
        <v>274</v>
      </c>
      <c r="C746" s="20" t="str">
        <f>IF(B746="","",IF(COUNTIF('01_Anggota'!$D$5:$D$1212,B746)=0,"NAMA TIDAK DITEMUKAN",INDEX('01_Anggota'!$B$5:$B$1212,MATCH(B746,'01_Anggota'!$D$5:$D$1212,0))))</f>
        <v>KKSUK-000075</v>
      </c>
      <c r="D746" s="23">
        <v>0</v>
      </c>
      <c r="E746" s="23">
        <v>250000</v>
      </c>
      <c r="F746" s="23">
        <v>100000</v>
      </c>
      <c r="G746" s="23">
        <v>0</v>
      </c>
      <c r="H746" s="42">
        <v>46136</v>
      </c>
      <c r="I746" s="21" t="s">
        <v>806</v>
      </c>
    </row>
    <row r="747" spans="1:9" ht="21" customHeight="1">
      <c r="A747" s="20">
        <f t="shared" si="11"/>
        <v>743</v>
      </c>
      <c r="B747" s="21" t="s">
        <v>274</v>
      </c>
      <c r="C747" s="20" t="str">
        <f>IF(B747="","",IF(COUNTIF('01_Anggota'!$D$5:$D$1212,B747)=0,"NAMA TIDAK DITEMUKAN",INDEX('01_Anggota'!$B$5:$B$1212,MATCH(B747,'01_Anggota'!$D$5:$D$1212,0))))</f>
        <v>KKSUK-000075</v>
      </c>
      <c r="D747" s="23">
        <v>0</v>
      </c>
      <c r="E747" s="23">
        <v>250000</v>
      </c>
      <c r="F747" s="23">
        <v>100000</v>
      </c>
      <c r="G747" s="23">
        <v>0</v>
      </c>
      <c r="H747" s="42">
        <v>46167</v>
      </c>
      <c r="I747" s="21" t="s">
        <v>807</v>
      </c>
    </row>
    <row r="748" spans="1:9" ht="21" customHeight="1">
      <c r="A748" s="20">
        <f t="shared" si="11"/>
        <v>744</v>
      </c>
      <c r="B748" s="21" t="s">
        <v>274</v>
      </c>
      <c r="C748" s="20" t="str">
        <f>IF(B748="","",IF(COUNTIF('01_Anggota'!$D$5:$D$1212,B748)=0,"NAMA TIDAK DITEMUKAN",INDEX('01_Anggota'!$B$5:$B$1212,MATCH(B748,'01_Anggota'!$D$5:$D$1212,0))))</f>
        <v>KKSUK-000075</v>
      </c>
      <c r="D748" s="23">
        <v>0</v>
      </c>
      <c r="E748" s="23">
        <v>250000</v>
      </c>
      <c r="F748" s="23">
        <v>100000</v>
      </c>
      <c r="G748" s="23">
        <v>0</v>
      </c>
      <c r="H748" s="42">
        <v>46198</v>
      </c>
      <c r="I748" s="21" t="s">
        <v>808</v>
      </c>
    </row>
    <row r="749" spans="1:9" ht="21" customHeight="1">
      <c r="A749" s="20">
        <f t="shared" si="11"/>
        <v>745</v>
      </c>
      <c r="B749" s="21" t="s">
        <v>274</v>
      </c>
      <c r="C749" s="20" t="str">
        <f>IF(B749="","",IF(COUNTIF('01_Anggota'!$D$5:$D$1212,B749)=0,"NAMA TIDAK DITEMUKAN",INDEX('01_Anggota'!$B$5:$B$1212,MATCH(B749,'01_Anggota'!$D$5:$D$1212,0))))</f>
        <v>KKSUK-000075</v>
      </c>
      <c r="D749" s="23">
        <v>0</v>
      </c>
      <c r="E749" s="23">
        <v>250000</v>
      </c>
      <c r="F749" s="23">
        <v>100000</v>
      </c>
      <c r="G749" s="23">
        <v>0</v>
      </c>
      <c r="H749" s="42">
        <v>46227</v>
      </c>
      <c r="I749" s="21" t="s">
        <v>809</v>
      </c>
    </row>
    <row r="750" spans="1:9" ht="21" customHeight="1">
      <c r="A750" s="20">
        <f t="shared" si="11"/>
        <v>746</v>
      </c>
      <c r="B750" s="21" t="s">
        <v>274</v>
      </c>
      <c r="C750" s="20" t="str">
        <f>IF(B750="","",IF(COUNTIF('01_Anggota'!$D$5:$D$1212,B750)=0,"NAMA TIDAK DITEMUKAN",INDEX('01_Anggota'!$B$5:$B$1212,MATCH(B750,'01_Anggota'!$D$5:$D$1212,0))))</f>
        <v>KKSUK-000075</v>
      </c>
      <c r="D750" s="23">
        <v>0</v>
      </c>
      <c r="E750" s="23">
        <v>250000</v>
      </c>
      <c r="F750" s="23">
        <v>100000</v>
      </c>
      <c r="G750" s="23">
        <v>0</v>
      </c>
      <c r="H750" s="42">
        <v>46258</v>
      </c>
      <c r="I750" s="21" t="s">
        <v>810</v>
      </c>
    </row>
    <row r="751" spans="1:9" ht="21" customHeight="1">
      <c r="A751" s="20">
        <f t="shared" si="11"/>
        <v>747</v>
      </c>
      <c r="B751" s="21" t="s">
        <v>364</v>
      </c>
      <c r="C751" s="20" t="str">
        <f>IF(B751="","",IF(COUNTIF('01_Anggota'!$D$5:$D$1212,B751)=0,"NAMA TIDAK DITEMUKAN",INDEX('01_Anggota'!$B$5:$B$1212,MATCH(B751,'01_Anggota'!$D$5:$D$1212,0))))</f>
        <v>KKSUK-000165</v>
      </c>
      <c r="D751" s="23">
        <v>0</v>
      </c>
      <c r="E751" s="23">
        <v>1600000</v>
      </c>
      <c r="F751" s="23">
        <v>800000</v>
      </c>
      <c r="G751" s="23">
        <v>0</v>
      </c>
      <c r="H751" s="42">
        <v>46023</v>
      </c>
      <c r="I751" s="21" t="s">
        <v>802</v>
      </c>
    </row>
    <row r="752" spans="1:9" ht="21" customHeight="1">
      <c r="A752" s="20">
        <f t="shared" si="11"/>
        <v>748</v>
      </c>
      <c r="B752" s="21" t="s">
        <v>364</v>
      </c>
      <c r="C752" s="20" t="str">
        <f>IF(B752="","",IF(COUNTIF('01_Anggota'!$D$5:$D$1212,B752)=0,"NAMA TIDAK DITEMUKAN",INDEX('01_Anggota'!$B$5:$B$1212,MATCH(B752,'01_Anggota'!$D$5:$D$1212,0))))</f>
        <v>KKSUK-000165</v>
      </c>
      <c r="D752" s="23">
        <v>0</v>
      </c>
      <c r="E752" s="23">
        <v>200000</v>
      </c>
      <c r="F752" s="23">
        <v>100000</v>
      </c>
      <c r="G752" s="23">
        <v>0</v>
      </c>
      <c r="H752" s="42">
        <v>46045</v>
      </c>
      <c r="I752" s="21" t="s">
        <v>803</v>
      </c>
    </row>
    <row r="753" spans="1:9" ht="21" customHeight="1">
      <c r="A753" s="20">
        <f t="shared" si="11"/>
        <v>749</v>
      </c>
      <c r="B753" s="21" t="s">
        <v>364</v>
      </c>
      <c r="C753" s="20" t="str">
        <f>IF(B753="","",IF(COUNTIF('01_Anggota'!$D$5:$D$1212,B753)=0,"NAMA TIDAK DITEMUKAN",INDEX('01_Anggota'!$B$5:$B$1212,MATCH(B753,'01_Anggota'!$D$5:$D$1212,0))))</f>
        <v>KKSUK-000165</v>
      </c>
      <c r="D753" s="23">
        <v>0</v>
      </c>
      <c r="E753" s="23">
        <v>200000</v>
      </c>
      <c r="F753" s="23">
        <v>100000</v>
      </c>
      <c r="G753" s="23">
        <v>0</v>
      </c>
      <c r="H753" s="42">
        <v>46078</v>
      </c>
      <c r="I753" s="21" t="s">
        <v>804</v>
      </c>
    </row>
    <row r="754" spans="1:9" ht="21" customHeight="1">
      <c r="A754" s="20">
        <f t="shared" si="11"/>
        <v>750</v>
      </c>
      <c r="B754" s="21" t="s">
        <v>364</v>
      </c>
      <c r="C754" s="20" t="str">
        <f>IF(B754="","",IF(COUNTIF('01_Anggota'!$D$5:$D$1212,B754)=0,"NAMA TIDAK DITEMUKAN",INDEX('01_Anggota'!$B$5:$B$1212,MATCH(B754,'01_Anggota'!$D$5:$D$1212,0))))</f>
        <v>KKSUK-000165</v>
      </c>
      <c r="D754" s="23">
        <v>0</v>
      </c>
      <c r="E754" s="23">
        <v>200000</v>
      </c>
      <c r="F754" s="23">
        <v>100000</v>
      </c>
      <c r="G754" s="23">
        <v>0</v>
      </c>
      <c r="H754" s="42">
        <v>46106</v>
      </c>
      <c r="I754" s="21" t="s">
        <v>805</v>
      </c>
    </row>
    <row r="755" spans="1:9" ht="21" customHeight="1">
      <c r="A755" s="20">
        <f t="shared" si="11"/>
        <v>751</v>
      </c>
      <c r="B755" s="21" t="s">
        <v>364</v>
      </c>
      <c r="C755" s="20" t="str">
        <f>IF(B755="","",IF(COUNTIF('01_Anggota'!$D$5:$D$1212,B755)=0,"NAMA TIDAK DITEMUKAN",INDEX('01_Anggota'!$B$5:$B$1212,MATCH(B755,'01_Anggota'!$D$5:$D$1212,0))))</f>
        <v>KKSUK-000165</v>
      </c>
      <c r="D755" s="23">
        <v>0</v>
      </c>
      <c r="E755" s="23">
        <v>200000</v>
      </c>
      <c r="F755" s="23">
        <v>100000</v>
      </c>
      <c r="G755" s="23">
        <v>0</v>
      </c>
      <c r="H755" s="42">
        <v>46136</v>
      </c>
      <c r="I755" s="21" t="s">
        <v>806</v>
      </c>
    </row>
    <row r="756" spans="1:9" ht="21" customHeight="1">
      <c r="A756" s="20">
        <f t="shared" si="11"/>
        <v>752</v>
      </c>
      <c r="B756" s="21" t="s">
        <v>364</v>
      </c>
      <c r="C756" s="20" t="str">
        <f>IF(B756="","",IF(COUNTIF('01_Anggota'!$D$5:$D$1212,B756)=0,"NAMA TIDAK DITEMUKAN",INDEX('01_Anggota'!$B$5:$B$1212,MATCH(B756,'01_Anggota'!$D$5:$D$1212,0))))</f>
        <v>KKSUK-000165</v>
      </c>
      <c r="D756" s="23">
        <v>0</v>
      </c>
      <c r="E756" s="23">
        <v>200000</v>
      </c>
      <c r="F756" s="23">
        <v>100000</v>
      </c>
      <c r="G756" s="23">
        <v>0</v>
      </c>
      <c r="H756" s="42">
        <v>46167</v>
      </c>
      <c r="I756" s="21" t="s">
        <v>807</v>
      </c>
    </row>
    <row r="757" spans="1:9" ht="21" customHeight="1">
      <c r="A757" s="20">
        <f t="shared" si="11"/>
        <v>753</v>
      </c>
      <c r="B757" s="21" t="s">
        <v>364</v>
      </c>
      <c r="C757" s="20" t="str">
        <f>IF(B757="","",IF(COUNTIF('01_Anggota'!$D$5:$D$1212,B757)=0,"NAMA TIDAK DITEMUKAN",INDEX('01_Anggota'!$B$5:$B$1212,MATCH(B757,'01_Anggota'!$D$5:$D$1212,0))))</f>
        <v>KKSUK-000165</v>
      </c>
      <c r="D757" s="23">
        <v>0</v>
      </c>
      <c r="E757" s="23">
        <v>200000</v>
      </c>
      <c r="F757" s="23">
        <v>100000</v>
      </c>
      <c r="G757" s="23">
        <v>0</v>
      </c>
      <c r="H757" s="42">
        <v>46198</v>
      </c>
      <c r="I757" s="21" t="s">
        <v>808</v>
      </c>
    </row>
    <row r="758" spans="1:9" ht="21" customHeight="1">
      <c r="A758" s="20">
        <f t="shared" si="11"/>
        <v>754</v>
      </c>
      <c r="B758" s="21" t="s">
        <v>364</v>
      </c>
      <c r="C758" s="20" t="str">
        <f>IF(B758="","",IF(COUNTIF('01_Anggota'!$D$5:$D$1212,B758)=0,"NAMA TIDAK DITEMUKAN",INDEX('01_Anggota'!$B$5:$B$1212,MATCH(B758,'01_Anggota'!$D$5:$D$1212,0))))</f>
        <v>KKSUK-000165</v>
      </c>
      <c r="D758" s="23">
        <v>0</v>
      </c>
      <c r="E758" s="23">
        <v>200000</v>
      </c>
      <c r="F758" s="23">
        <v>100000</v>
      </c>
      <c r="G758" s="23">
        <v>0</v>
      </c>
      <c r="H758" s="42">
        <v>46227</v>
      </c>
      <c r="I758" s="21" t="s">
        <v>809</v>
      </c>
    </row>
    <row r="759" spans="1:9" ht="21" customHeight="1">
      <c r="A759" s="20">
        <f t="shared" si="11"/>
        <v>755</v>
      </c>
      <c r="B759" s="21" t="s">
        <v>364</v>
      </c>
      <c r="C759" s="20" t="str">
        <f>IF(B759="","",IF(COUNTIF('01_Anggota'!$D$5:$D$1212,B759)=0,"NAMA TIDAK DITEMUKAN",INDEX('01_Anggota'!$B$5:$B$1212,MATCH(B759,'01_Anggota'!$D$5:$D$1212,0))))</f>
        <v>KKSUK-000165</v>
      </c>
      <c r="D759" s="23">
        <v>0</v>
      </c>
      <c r="E759" s="23">
        <v>400000</v>
      </c>
      <c r="F759" s="23">
        <v>100000</v>
      </c>
      <c r="G759" s="23">
        <v>0</v>
      </c>
      <c r="H759" s="42">
        <v>46258</v>
      </c>
      <c r="I759" s="21" t="s">
        <v>810</v>
      </c>
    </row>
    <row r="760" spans="1:9" ht="21" customHeight="1">
      <c r="A760" s="20">
        <f t="shared" si="11"/>
        <v>756</v>
      </c>
      <c r="B760" s="21" t="s">
        <v>275</v>
      </c>
      <c r="C760" s="20" t="str">
        <f>IF(B760="","",IF(COUNTIF('01_Anggota'!$D$5:$D$1212,B760)=0,"NAMA TIDAK DITEMUKAN",INDEX('01_Anggota'!$B$5:$B$1212,MATCH(B760,'01_Anggota'!$D$5:$D$1212,0))))</f>
        <v>KKSUK-000076</v>
      </c>
      <c r="D760" s="23">
        <v>0</v>
      </c>
      <c r="E760" s="23">
        <v>1925000</v>
      </c>
      <c r="F760" s="23">
        <v>12477775.873832799</v>
      </c>
      <c r="G760" s="23">
        <v>5917809</v>
      </c>
      <c r="H760" s="42">
        <v>46023</v>
      </c>
      <c r="I760" s="21" t="s">
        <v>802</v>
      </c>
    </row>
    <row r="761" spans="1:9" ht="21" customHeight="1">
      <c r="A761" s="20">
        <f t="shared" si="11"/>
        <v>757</v>
      </c>
      <c r="B761" s="21" t="s">
        <v>275</v>
      </c>
      <c r="C761" s="20" t="str">
        <f>IF(B761="","",IF(COUNTIF('01_Anggota'!$D$5:$D$1212,B761)=0,"NAMA TIDAK DITEMUKAN",INDEX('01_Anggota'!$B$5:$B$1212,MATCH(B761,'01_Anggota'!$D$5:$D$1212,0))))</f>
        <v>KKSUK-000076</v>
      </c>
      <c r="D761" s="23">
        <v>0</v>
      </c>
      <c r="E761" s="23">
        <v>100000</v>
      </c>
      <c r="F761" s="23">
        <v>100000</v>
      </c>
      <c r="G761" s="23">
        <v>0</v>
      </c>
      <c r="H761" s="42">
        <v>46045</v>
      </c>
      <c r="I761" s="21" t="s">
        <v>803</v>
      </c>
    </row>
    <row r="762" spans="1:9" ht="21" customHeight="1">
      <c r="A762" s="20">
        <f t="shared" si="11"/>
        <v>758</v>
      </c>
      <c r="B762" s="21" t="s">
        <v>275</v>
      </c>
      <c r="C762" s="20" t="str">
        <f>IF(B762="","",IF(COUNTIF('01_Anggota'!$D$5:$D$1212,B762)=0,"NAMA TIDAK DITEMUKAN",INDEX('01_Anggota'!$B$5:$B$1212,MATCH(B762,'01_Anggota'!$D$5:$D$1212,0))))</f>
        <v>KKSUK-000076</v>
      </c>
      <c r="D762" s="23">
        <v>0</v>
      </c>
      <c r="E762" s="23">
        <v>100000</v>
      </c>
      <c r="F762" s="23">
        <v>100000</v>
      </c>
      <c r="G762" s="23">
        <v>0</v>
      </c>
      <c r="H762" s="42">
        <v>46078</v>
      </c>
      <c r="I762" s="21" t="s">
        <v>804</v>
      </c>
    </row>
    <row r="763" spans="1:9" ht="21" customHeight="1">
      <c r="A763" s="20">
        <f t="shared" si="11"/>
        <v>759</v>
      </c>
      <c r="B763" s="21" t="s">
        <v>275</v>
      </c>
      <c r="C763" s="20" t="str">
        <f>IF(B763="","",IF(COUNTIF('01_Anggota'!$D$5:$D$1212,B763)=0,"NAMA TIDAK DITEMUKAN",INDEX('01_Anggota'!$B$5:$B$1212,MATCH(B763,'01_Anggota'!$D$5:$D$1212,0))))</f>
        <v>KKSUK-000076</v>
      </c>
      <c r="D763" s="23">
        <v>0</v>
      </c>
      <c r="E763" s="23">
        <v>100000</v>
      </c>
      <c r="F763" s="23">
        <v>100000</v>
      </c>
      <c r="G763" s="23">
        <v>0</v>
      </c>
      <c r="H763" s="42">
        <v>46106</v>
      </c>
      <c r="I763" s="21" t="s">
        <v>805</v>
      </c>
    </row>
    <row r="764" spans="1:9" ht="21" customHeight="1">
      <c r="A764" s="20">
        <f t="shared" si="11"/>
        <v>760</v>
      </c>
      <c r="B764" s="21" t="s">
        <v>275</v>
      </c>
      <c r="C764" s="20" t="str">
        <f>IF(B764="","",IF(COUNTIF('01_Anggota'!$D$5:$D$1212,B764)=0,"NAMA TIDAK DITEMUKAN",INDEX('01_Anggota'!$B$5:$B$1212,MATCH(B764,'01_Anggota'!$D$5:$D$1212,0))))</f>
        <v>KKSUK-000076</v>
      </c>
      <c r="D764" s="23">
        <v>0</v>
      </c>
      <c r="E764" s="23">
        <v>-1000000</v>
      </c>
      <c r="F764" s="23">
        <v>0</v>
      </c>
      <c r="G764" s="23">
        <v>0</v>
      </c>
      <c r="H764" s="42">
        <v>46136</v>
      </c>
      <c r="I764" s="21" t="s">
        <v>806</v>
      </c>
    </row>
    <row r="765" spans="1:9" ht="21" customHeight="1">
      <c r="A765" s="20">
        <f t="shared" si="11"/>
        <v>761</v>
      </c>
      <c r="B765" s="21" t="s">
        <v>275</v>
      </c>
      <c r="C765" s="20" t="str">
        <f>IF(B765="","",IF(COUNTIF('01_Anggota'!$D$5:$D$1212,B765)=0,"NAMA TIDAK DITEMUKAN",INDEX('01_Anggota'!$B$5:$B$1212,MATCH(B765,'01_Anggota'!$D$5:$D$1212,0))))</f>
        <v>KKSUK-000076</v>
      </c>
      <c r="D765" s="23">
        <v>0</v>
      </c>
      <c r="E765" s="23">
        <v>100000</v>
      </c>
      <c r="F765" s="23">
        <v>100000</v>
      </c>
      <c r="G765" s="23">
        <v>0</v>
      </c>
      <c r="H765" s="42">
        <v>46136</v>
      </c>
      <c r="I765" s="21" t="s">
        <v>806</v>
      </c>
    </row>
    <row r="766" spans="1:9" ht="21" customHeight="1">
      <c r="A766" s="20">
        <f t="shared" si="11"/>
        <v>762</v>
      </c>
      <c r="B766" s="21" t="s">
        <v>275</v>
      </c>
      <c r="C766" s="20" t="str">
        <f>IF(B766="","",IF(COUNTIF('01_Anggota'!$D$5:$D$1212,B766)=0,"NAMA TIDAK DITEMUKAN",INDEX('01_Anggota'!$B$5:$B$1212,MATCH(B766,'01_Anggota'!$D$5:$D$1212,0))))</f>
        <v>KKSUK-000076</v>
      </c>
      <c r="D766" s="23">
        <v>0</v>
      </c>
      <c r="E766" s="23">
        <v>100000</v>
      </c>
      <c r="F766" s="23">
        <v>100000</v>
      </c>
      <c r="G766" s="23">
        <v>0</v>
      </c>
      <c r="H766" s="42">
        <v>46167</v>
      </c>
      <c r="I766" s="21" t="s">
        <v>807</v>
      </c>
    </row>
    <row r="767" spans="1:9" ht="21" customHeight="1">
      <c r="A767" s="20">
        <f t="shared" si="11"/>
        <v>763</v>
      </c>
      <c r="B767" s="21" t="s">
        <v>275</v>
      </c>
      <c r="C767" s="20" t="str">
        <f>IF(B767="","",IF(COUNTIF('01_Anggota'!$D$5:$D$1212,B767)=0,"NAMA TIDAK DITEMUKAN",INDEX('01_Anggota'!$B$5:$B$1212,MATCH(B767,'01_Anggota'!$D$5:$D$1212,0))))</f>
        <v>KKSUK-000076</v>
      </c>
      <c r="D767" s="23">
        <v>0</v>
      </c>
      <c r="E767" s="23">
        <v>100000</v>
      </c>
      <c r="F767" s="23">
        <v>100000</v>
      </c>
      <c r="G767" s="23">
        <v>0</v>
      </c>
      <c r="H767" s="42">
        <v>46198</v>
      </c>
      <c r="I767" s="21" t="s">
        <v>808</v>
      </c>
    </row>
    <row r="768" spans="1:9" ht="21" customHeight="1">
      <c r="A768" s="20">
        <f t="shared" si="11"/>
        <v>764</v>
      </c>
      <c r="B768" s="21" t="s">
        <v>275</v>
      </c>
      <c r="C768" s="20" t="str">
        <f>IF(B768="","",IF(COUNTIF('01_Anggota'!$D$5:$D$1212,B768)=0,"NAMA TIDAK DITEMUKAN",INDEX('01_Anggota'!$B$5:$B$1212,MATCH(B768,'01_Anggota'!$D$5:$D$1212,0))))</f>
        <v>KKSUK-000076</v>
      </c>
      <c r="D768" s="23">
        <v>0</v>
      </c>
      <c r="E768" s="23">
        <v>100000</v>
      </c>
      <c r="F768" s="23">
        <v>100000</v>
      </c>
      <c r="G768" s="23">
        <v>0</v>
      </c>
      <c r="H768" s="42">
        <v>46227</v>
      </c>
      <c r="I768" s="21" t="s">
        <v>809</v>
      </c>
    </row>
    <row r="769" spans="1:9" ht="21" customHeight="1">
      <c r="A769" s="20">
        <f t="shared" si="11"/>
        <v>765</v>
      </c>
      <c r="B769" s="21" t="s">
        <v>275</v>
      </c>
      <c r="C769" s="20" t="str">
        <f>IF(B769="","",IF(COUNTIF('01_Anggota'!$D$5:$D$1212,B769)=0,"NAMA TIDAK DITEMUKAN",INDEX('01_Anggota'!$B$5:$B$1212,MATCH(B769,'01_Anggota'!$D$5:$D$1212,0))))</f>
        <v>KKSUK-000076</v>
      </c>
      <c r="D769" s="23">
        <v>0</v>
      </c>
      <c r="E769" s="23">
        <v>-1000000</v>
      </c>
      <c r="F769" s="23">
        <v>0</v>
      </c>
      <c r="G769" s="23">
        <v>0</v>
      </c>
      <c r="H769" s="42">
        <v>46267</v>
      </c>
      <c r="I769" s="21" t="s">
        <v>811</v>
      </c>
    </row>
    <row r="770" spans="1:9" ht="21" customHeight="1">
      <c r="A770" s="20">
        <f t="shared" si="11"/>
        <v>766</v>
      </c>
      <c r="B770" s="21" t="s">
        <v>275</v>
      </c>
      <c r="C770" s="20" t="str">
        <f>IF(B770="","",IF(COUNTIF('01_Anggota'!$D$5:$D$1212,B770)=0,"NAMA TIDAK DITEMUKAN",INDEX('01_Anggota'!$B$5:$B$1212,MATCH(B770,'01_Anggota'!$D$5:$D$1212,0))))</f>
        <v>KKSUK-000076</v>
      </c>
      <c r="D770" s="23">
        <v>0</v>
      </c>
      <c r="E770" s="23">
        <v>100000</v>
      </c>
      <c r="F770" s="23">
        <v>100000</v>
      </c>
      <c r="G770" s="23">
        <v>0</v>
      </c>
      <c r="H770" s="42">
        <v>46258</v>
      </c>
      <c r="I770" s="21" t="s">
        <v>810</v>
      </c>
    </row>
    <row r="771" spans="1:9" ht="21" customHeight="1">
      <c r="A771" s="20">
        <f t="shared" si="11"/>
        <v>767</v>
      </c>
      <c r="B771" s="21" t="s">
        <v>247</v>
      </c>
      <c r="C771" s="20" t="str">
        <f>IF(B771="","",IF(COUNTIF('01_Anggota'!$D$5:$D$1212,B771)=0,"NAMA TIDAK DITEMUKAN",INDEX('01_Anggota'!$B$5:$B$1212,MATCH(B771,'01_Anggota'!$D$5:$D$1212,0))))</f>
        <v>KKSUK-000048</v>
      </c>
      <c r="D771" s="23">
        <v>0</v>
      </c>
      <c r="E771" s="23">
        <v>857037</v>
      </c>
      <c r="F771" s="23">
        <v>10029188</v>
      </c>
      <c r="G771" s="23">
        <v>3669231</v>
      </c>
      <c r="H771" s="42">
        <v>46023</v>
      </c>
      <c r="I771" s="21" t="s">
        <v>802</v>
      </c>
    </row>
    <row r="772" spans="1:9" ht="21" customHeight="1">
      <c r="A772" s="20">
        <f t="shared" ref="A772:A835" si="12">IF(B772="","",ROW()-4)</f>
        <v>768</v>
      </c>
      <c r="B772" s="21" t="s">
        <v>247</v>
      </c>
      <c r="C772" s="20" t="str">
        <f>IF(B772="","",IF(COUNTIF('01_Anggota'!$D$5:$D$1212,B772)=0,"NAMA TIDAK DITEMUKAN",INDEX('01_Anggota'!$B$5:$B$1212,MATCH(B772,'01_Anggota'!$D$5:$D$1212,0))))</f>
        <v>KKSUK-000048</v>
      </c>
      <c r="D772" s="23">
        <v>0</v>
      </c>
      <c r="E772" s="23">
        <v>50000</v>
      </c>
      <c r="F772" s="23">
        <v>100000</v>
      </c>
      <c r="G772" s="23">
        <v>0</v>
      </c>
      <c r="H772" s="42">
        <v>46045</v>
      </c>
      <c r="I772" s="21" t="s">
        <v>803</v>
      </c>
    </row>
    <row r="773" spans="1:9" ht="21" customHeight="1">
      <c r="A773" s="20">
        <f t="shared" si="12"/>
        <v>769</v>
      </c>
      <c r="B773" s="21" t="s">
        <v>247</v>
      </c>
      <c r="C773" s="20" t="str">
        <f>IF(B773="","",IF(COUNTIF('01_Anggota'!$D$5:$D$1212,B773)=0,"NAMA TIDAK DITEMUKAN",INDEX('01_Anggota'!$B$5:$B$1212,MATCH(B773,'01_Anggota'!$D$5:$D$1212,0))))</f>
        <v>KKSUK-000048</v>
      </c>
      <c r="D773" s="23">
        <v>0</v>
      </c>
      <c r="E773" s="23">
        <v>-650000</v>
      </c>
      <c r="F773" s="23">
        <v>0</v>
      </c>
      <c r="G773" s="23">
        <v>0</v>
      </c>
      <c r="H773" s="42">
        <v>46045</v>
      </c>
      <c r="I773" s="21" t="s">
        <v>803</v>
      </c>
    </row>
    <row r="774" spans="1:9" ht="21" customHeight="1">
      <c r="A774" s="20">
        <f t="shared" si="12"/>
        <v>770</v>
      </c>
      <c r="B774" s="21" t="s">
        <v>247</v>
      </c>
      <c r="C774" s="20" t="str">
        <f>IF(B774="","",IF(COUNTIF('01_Anggota'!$D$5:$D$1212,B774)=0,"NAMA TIDAK DITEMUKAN",INDEX('01_Anggota'!$B$5:$B$1212,MATCH(B774,'01_Anggota'!$D$5:$D$1212,0))))</f>
        <v>KKSUK-000048</v>
      </c>
      <c r="D774" s="23">
        <v>0</v>
      </c>
      <c r="E774" s="23">
        <v>50000</v>
      </c>
      <c r="F774" s="23">
        <v>100000</v>
      </c>
      <c r="G774" s="23">
        <v>0</v>
      </c>
      <c r="H774" s="42">
        <v>46078</v>
      </c>
      <c r="I774" s="21" t="s">
        <v>804</v>
      </c>
    </row>
    <row r="775" spans="1:9" ht="21" customHeight="1">
      <c r="A775" s="20">
        <f t="shared" si="12"/>
        <v>771</v>
      </c>
      <c r="B775" s="21" t="s">
        <v>247</v>
      </c>
      <c r="C775" s="20" t="str">
        <f>IF(B775="","",IF(COUNTIF('01_Anggota'!$D$5:$D$1212,B775)=0,"NAMA TIDAK DITEMUKAN",INDEX('01_Anggota'!$B$5:$B$1212,MATCH(B775,'01_Anggota'!$D$5:$D$1212,0))))</f>
        <v>KKSUK-000048</v>
      </c>
      <c r="D775" s="23">
        <v>0</v>
      </c>
      <c r="E775" s="23">
        <v>-50000</v>
      </c>
      <c r="F775" s="23">
        <v>-100000</v>
      </c>
      <c r="G775" s="23">
        <v>0</v>
      </c>
      <c r="H775" s="42">
        <v>46106</v>
      </c>
      <c r="I775" s="21" t="s">
        <v>805</v>
      </c>
    </row>
    <row r="776" spans="1:9" ht="21" customHeight="1">
      <c r="A776" s="20">
        <f t="shared" si="12"/>
        <v>772</v>
      </c>
      <c r="B776" s="21" t="s">
        <v>247</v>
      </c>
      <c r="C776" s="20" t="str">
        <f>IF(B776="","",IF(COUNTIF('01_Anggota'!$D$5:$D$1212,B776)=0,"NAMA TIDAK DITEMUKAN",INDEX('01_Anggota'!$B$5:$B$1212,MATCH(B776,'01_Anggota'!$D$5:$D$1212,0))))</f>
        <v>KKSUK-000048</v>
      </c>
      <c r="D776" s="23">
        <v>0</v>
      </c>
      <c r="E776" s="23">
        <v>-257037</v>
      </c>
      <c r="F776" s="23">
        <v>-10129188</v>
      </c>
      <c r="G776" s="23">
        <v>-3669231</v>
      </c>
      <c r="H776" s="42">
        <v>46078</v>
      </c>
      <c r="I776" s="21" t="s">
        <v>804</v>
      </c>
    </row>
    <row r="777" spans="1:9" ht="21" customHeight="1">
      <c r="A777" s="20">
        <f t="shared" si="12"/>
        <v>773</v>
      </c>
      <c r="B777" s="21" t="s">
        <v>220</v>
      </c>
      <c r="C777" s="20" t="str">
        <f>IF(B777="","",IF(COUNTIF('01_Anggota'!$D$5:$D$1212,B777)=0,"NAMA TIDAK DITEMUKAN",INDEX('01_Anggota'!$B$5:$B$1212,MATCH(B777,'01_Anggota'!$D$5:$D$1212,0))))</f>
        <v>KKSUK-000021</v>
      </c>
      <c r="D777" s="23">
        <v>0</v>
      </c>
      <c r="E777" s="23">
        <v>6400000</v>
      </c>
      <c r="F777" s="23">
        <v>9946184.9100284595</v>
      </c>
      <c r="G777" s="23">
        <v>3884624</v>
      </c>
      <c r="H777" s="42">
        <v>46023</v>
      </c>
      <c r="I777" s="21" t="s">
        <v>802</v>
      </c>
    </row>
    <row r="778" spans="1:9" ht="21" customHeight="1">
      <c r="A778" s="20">
        <f t="shared" si="12"/>
        <v>774</v>
      </c>
      <c r="B778" s="21" t="s">
        <v>220</v>
      </c>
      <c r="C778" s="20" t="str">
        <f>IF(B778="","",IF(COUNTIF('01_Anggota'!$D$5:$D$1212,B778)=0,"NAMA TIDAK DITEMUKAN",INDEX('01_Anggota'!$B$5:$B$1212,MATCH(B778,'01_Anggota'!$D$5:$D$1212,0))))</f>
        <v>KKSUK-000021</v>
      </c>
      <c r="D778" s="23">
        <v>0</v>
      </c>
      <c r="E778" s="23">
        <v>100000</v>
      </c>
      <c r="F778" s="23">
        <v>100000</v>
      </c>
      <c r="G778" s="23">
        <v>0</v>
      </c>
      <c r="H778" s="42">
        <v>46045</v>
      </c>
      <c r="I778" s="21" t="s">
        <v>803</v>
      </c>
    </row>
    <row r="779" spans="1:9" ht="21" customHeight="1">
      <c r="A779" s="20">
        <f t="shared" si="12"/>
        <v>775</v>
      </c>
      <c r="B779" s="21" t="s">
        <v>220</v>
      </c>
      <c r="C779" s="20" t="str">
        <f>IF(B779="","",IF(COUNTIF('01_Anggota'!$D$5:$D$1212,B779)=0,"NAMA TIDAK DITEMUKAN",INDEX('01_Anggota'!$B$5:$B$1212,MATCH(B779,'01_Anggota'!$D$5:$D$1212,0))))</f>
        <v>KKSUK-000021</v>
      </c>
      <c r="D779" s="23">
        <v>0</v>
      </c>
      <c r="E779" s="23">
        <v>100000</v>
      </c>
      <c r="F779" s="23">
        <v>100000</v>
      </c>
      <c r="G779" s="23">
        <v>0</v>
      </c>
      <c r="H779" s="42">
        <v>46078</v>
      </c>
      <c r="I779" s="21" t="s">
        <v>804</v>
      </c>
    </row>
    <row r="780" spans="1:9" ht="21" customHeight="1">
      <c r="A780" s="20">
        <f t="shared" si="12"/>
        <v>776</v>
      </c>
      <c r="B780" s="21" t="s">
        <v>220</v>
      </c>
      <c r="C780" s="20" t="str">
        <f>IF(B780="","",IF(COUNTIF('01_Anggota'!$D$5:$D$1212,B780)=0,"NAMA TIDAK DITEMUKAN",INDEX('01_Anggota'!$B$5:$B$1212,MATCH(B780,'01_Anggota'!$D$5:$D$1212,0))))</f>
        <v>KKSUK-000021</v>
      </c>
      <c r="D780" s="23">
        <v>0</v>
      </c>
      <c r="E780" s="23">
        <v>100000</v>
      </c>
      <c r="F780" s="23">
        <v>100000</v>
      </c>
      <c r="G780" s="23">
        <v>0</v>
      </c>
      <c r="H780" s="42">
        <v>46106</v>
      </c>
      <c r="I780" s="21" t="s">
        <v>805</v>
      </c>
    </row>
    <row r="781" spans="1:9" ht="21" customHeight="1">
      <c r="A781" s="20">
        <f t="shared" si="12"/>
        <v>777</v>
      </c>
      <c r="B781" s="21" t="s">
        <v>220</v>
      </c>
      <c r="C781" s="20" t="str">
        <f>IF(B781="","",IF(COUNTIF('01_Anggota'!$D$5:$D$1212,B781)=0,"NAMA TIDAK DITEMUKAN",INDEX('01_Anggota'!$B$5:$B$1212,MATCH(B781,'01_Anggota'!$D$5:$D$1212,0))))</f>
        <v>KKSUK-000021</v>
      </c>
      <c r="D781" s="23">
        <v>0</v>
      </c>
      <c r="E781" s="23">
        <v>100000</v>
      </c>
      <c r="F781" s="23">
        <v>100000</v>
      </c>
      <c r="G781" s="23">
        <v>0</v>
      </c>
      <c r="H781" s="42">
        <v>46136</v>
      </c>
      <c r="I781" s="21" t="s">
        <v>806</v>
      </c>
    </row>
    <row r="782" spans="1:9" ht="21" customHeight="1">
      <c r="A782" s="20">
        <f t="shared" si="12"/>
        <v>778</v>
      </c>
      <c r="B782" s="21" t="s">
        <v>220</v>
      </c>
      <c r="C782" s="20" t="str">
        <f>IF(B782="","",IF(COUNTIF('01_Anggota'!$D$5:$D$1212,B782)=0,"NAMA TIDAK DITEMUKAN",INDEX('01_Anggota'!$B$5:$B$1212,MATCH(B782,'01_Anggota'!$D$5:$D$1212,0))))</f>
        <v>KKSUK-000021</v>
      </c>
      <c r="D782" s="23">
        <v>0</v>
      </c>
      <c r="E782" s="23">
        <v>100000</v>
      </c>
      <c r="F782" s="23">
        <v>100000</v>
      </c>
      <c r="G782" s="23">
        <v>0</v>
      </c>
      <c r="H782" s="42">
        <v>46167</v>
      </c>
      <c r="I782" s="21" t="s">
        <v>807</v>
      </c>
    </row>
    <row r="783" spans="1:9" ht="21" customHeight="1">
      <c r="A783" s="20">
        <f t="shared" si="12"/>
        <v>779</v>
      </c>
      <c r="B783" s="21" t="s">
        <v>220</v>
      </c>
      <c r="C783" s="20" t="str">
        <f>IF(B783="","",IF(COUNTIF('01_Anggota'!$D$5:$D$1212,B783)=0,"NAMA TIDAK DITEMUKAN",INDEX('01_Anggota'!$B$5:$B$1212,MATCH(B783,'01_Anggota'!$D$5:$D$1212,0))))</f>
        <v>KKSUK-000021</v>
      </c>
      <c r="D783" s="23">
        <v>0</v>
      </c>
      <c r="E783" s="23">
        <v>100000</v>
      </c>
      <c r="F783" s="23">
        <v>100000</v>
      </c>
      <c r="G783" s="23">
        <v>0</v>
      </c>
      <c r="H783" s="42">
        <v>46198</v>
      </c>
      <c r="I783" s="21" t="s">
        <v>808</v>
      </c>
    </row>
    <row r="784" spans="1:9" ht="21" customHeight="1">
      <c r="A784" s="20">
        <f t="shared" si="12"/>
        <v>780</v>
      </c>
      <c r="B784" s="21" t="s">
        <v>220</v>
      </c>
      <c r="C784" s="20" t="str">
        <f>IF(B784="","",IF(COUNTIF('01_Anggota'!$D$5:$D$1212,B784)=0,"NAMA TIDAK DITEMUKAN",INDEX('01_Anggota'!$B$5:$B$1212,MATCH(B784,'01_Anggota'!$D$5:$D$1212,0))))</f>
        <v>KKSUK-000021</v>
      </c>
      <c r="D784" s="23">
        <v>0</v>
      </c>
      <c r="E784" s="23">
        <v>100000</v>
      </c>
      <c r="F784" s="23">
        <v>100000</v>
      </c>
      <c r="G784" s="23">
        <v>0</v>
      </c>
      <c r="H784" s="42">
        <v>46227</v>
      </c>
      <c r="I784" s="21" t="s">
        <v>809</v>
      </c>
    </row>
    <row r="785" spans="1:9" ht="21" customHeight="1">
      <c r="A785" s="20">
        <f t="shared" si="12"/>
        <v>781</v>
      </c>
      <c r="B785" s="21" t="s">
        <v>220</v>
      </c>
      <c r="C785" s="20" t="str">
        <f>IF(B785="","",IF(COUNTIF('01_Anggota'!$D$5:$D$1212,B785)=0,"NAMA TIDAK DITEMUKAN",INDEX('01_Anggota'!$B$5:$B$1212,MATCH(B785,'01_Anggota'!$D$5:$D$1212,0))))</f>
        <v>KKSUK-000021</v>
      </c>
      <c r="D785" s="23">
        <v>0</v>
      </c>
      <c r="E785" s="23">
        <v>100000</v>
      </c>
      <c r="F785" s="23">
        <v>100000</v>
      </c>
      <c r="G785" s="23">
        <v>0</v>
      </c>
      <c r="H785" s="42">
        <v>46258</v>
      </c>
      <c r="I785" s="21" t="s">
        <v>810</v>
      </c>
    </row>
    <row r="786" spans="1:9" ht="21" customHeight="1">
      <c r="A786" s="20">
        <f t="shared" si="12"/>
        <v>782</v>
      </c>
      <c r="B786" s="21" t="s">
        <v>220</v>
      </c>
      <c r="C786" s="20" t="str">
        <f>IF(B786="","",IF(COUNTIF('01_Anggota'!$D$5:$D$1212,B786)=0,"NAMA TIDAK DITEMUKAN",INDEX('01_Anggota'!$B$5:$B$1212,MATCH(B786,'01_Anggota'!$D$5:$D$1212,0))))</f>
        <v>KKSUK-000021</v>
      </c>
      <c r="D786" s="23">
        <v>0</v>
      </c>
      <c r="E786" s="23">
        <v>-5000000</v>
      </c>
      <c r="F786" s="23">
        <v>0</v>
      </c>
      <c r="G786" s="23">
        <v>0</v>
      </c>
      <c r="H786" s="42">
        <v>46266</v>
      </c>
      <c r="I786" s="21" t="s">
        <v>811</v>
      </c>
    </row>
    <row r="787" spans="1:9" ht="21" customHeight="1">
      <c r="A787" s="20">
        <f t="shared" si="12"/>
        <v>783</v>
      </c>
      <c r="B787" s="21" t="s">
        <v>221</v>
      </c>
      <c r="C787" s="20" t="str">
        <f>IF(B787="","",IF(COUNTIF('01_Anggota'!$D$5:$D$1212,B787)=0,"NAMA TIDAK DITEMUKAN",INDEX('01_Anggota'!$B$5:$B$1212,MATCH(B787,'01_Anggota'!$D$5:$D$1212,0))))</f>
        <v>KKSUK-000022</v>
      </c>
      <c r="D787" s="23">
        <v>0</v>
      </c>
      <c r="E787" s="23">
        <v>6159892</v>
      </c>
      <c r="F787" s="23">
        <v>23393881.870105699</v>
      </c>
      <c r="G787" s="23">
        <v>13254093</v>
      </c>
      <c r="H787" s="42">
        <v>46023</v>
      </c>
      <c r="I787" s="21" t="s">
        <v>802</v>
      </c>
    </row>
    <row r="788" spans="1:9" ht="21" customHeight="1">
      <c r="A788" s="20">
        <f t="shared" si="12"/>
        <v>784</v>
      </c>
      <c r="B788" s="21" t="s">
        <v>221</v>
      </c>
      <c r="C788" s="20" t="str">
        <f>IF(B788="","",IF(COUNTIF('01_Anggota'!$D$5:$D$1212,B788)=0,"NAMA TIDAK DITEMUKAN",INDEX('01_Anggota'!$B$5:$B$1212,MATCH(B788,'01_Anggota'!$D$5:$D$1212,0))))</f>
        <v>KKSUK-000022</v>
      </c>
      <c r="D788" s="23">
        <v>0</v>
      </c>
      <c r="E788" s="23">
        <v>10000</v>
      </c>
      <c r="F788" s="23">
        <v>150000</v>
      </c>
      <c r="G788" s="23">
        <v>0</v>
      </c>
      <c r="H788" s="42">
        <v>46045</v>
      </c>
      <c r="I788" s="21" t="s">
        <v>803</v>
      </c>
    </row>
    <row r="789" spans="1:9" ht="21" customHeight="1">
      <c r="A789" s="20">
        <f t="shared" si="12"/>
        <v>785</v>
      </c>
      <c r="B789" s="21" t="s">
        <v>221</v>
      </c>
      <c r="C789" s="20" t="str">
        <f>IF(B789="","",IF(COUNTIF('01_Anggota'!$D$5:$D$1212,B789)=0,"NAMA TIDAK DITEMUKAN",INDEX('01_Anggota'!$B$5:$B$1212,MATCH(B789,'01_Anggota'!$D$5:$D$1212,0))))</f>
        <v>KKSUK-000022</v>
      </c>
      <c r="D789" s="23">
        <v>0</v>
      </c>
      <c r="E789" s="23">
        <v>10000</v>
      </c>
      <c r="F789" s="23">
        <v>150000</v>
      </c>
      <c r="G789" s="23">
        <v>0</v>
      </c>
      <c r="H789" s="42">
        <v>46078</v>
      </c>
      <c r="I789" s="21" t="s">
        <v>804</v>
      </c>
    </row>
    <row r="790" spans="1:9" ht="21" customHeight="1">
      <c r="A790" s="20">
        <f t="shared" si="12"/>
        <v>786</v>
      </c>
      <c r="B790" s="21" t="s">
        <v>221</v>
      </c>
      <c r="C790" s="20" t="str">
        <f>IF(B790="","",IF(COUNTIF('01_Anggota'!$D$5:$D$1212,B790)=0,"NAMA TIDAK DITEMUKAN",INDEX('01_Anggota'!$B$5:$B$1212,MATCH(B790,'01_Anggota'!$D$5:$D$1212,0))))</f>
        <v>KKSUK-000022</v>
      </c>
      <c r="D790" s="23">
        <v>0</v>
      </c>
      <c r="E790" s="23">
        <v>10000</v>
      </c>
      <c r="F790" s="23">
        <v>150000</v>
      </c>
      <c r="G790" s="23">
        <v>0</v>
      </c>
      <c r="H790" s="42">
        <v>46106</v>
      </c>
      <c r="I790" s="21" t="s">
        <v>805</v>
      </c>
    </row>
    <row r="791" spans="1:9" ht="21" customHeight="1">
      <c r="A791" s="20">
        <f t="shared" si="12"/>
        <v>787</v>
      </c>
      <c r="B791" s="21" t="s">
        <v>221</v>
      </c>
      <c r="C791" s="20" t="str">
        <f>IF(B791="","",IF(COUNTIF('01_Anggota'!$D$5:$D$1212,B791)=0,"NAMA TIDAK DITEMUKAN",INDEX('01_Anggota'!$B$5:$B$1212,MATCH(B791,'01_Anggota'!$D$5:$D$1212,0))))</f>
        <v>KKSUK-000022</v>
      </c>
      <c r="D791" s="23">
        <v>0</v>
      </c>
      <c r="E791" s="23">
        <v>10000</v>
      </c>
      <c r="F791" s="23">
        <v>150000</v>
      </c>
      <c r="G791" s="23">
        <v>0</v>
      </c>
      <c r="H791" s="42">
        <v>46136</v>
      </c>
      <c r="I791" s="21" t="s">
        <v>806</v>
      </c>
    </row>
    <row r="792" spans="1:9" ht="21" customHeight="1">
      <c r="A792" s="20">
        <f t="shared" si="12"/>
        <v>788</v>
      </c>
      <c r="B792" s="21" t="s">
        <v>221</v>
      </c>
      <c r="C792" s="20" t="str">
        <f>IF(B792="","",IF(COUNTIF('01_Anggota'!$D$5:$D$1212,B792)=0,"NAMA TIDAK DITEMUKAN",INDEX('01_Anggota'!$B$5:$B$1212,MATCH(B792,'01_Anggota'!$D$5:$D$1212,0))))</f>
        <v>KKSUK-000022</v>
      </c>
      <c r="D792" s="23">
        <v>0</v>
      </c>
      <c r="E792" s="23">
        <v>10000</v>
      </c>
      <c r="F792" s="23">
        <v>150000</v>
      </c>
      <c r="G792" s="23">
        <v>0</v>
      </c>
      <c r="H792" s="42">
        <v>46167</v>
      </c>
      <c r="I792" s="21" t="s">
        <v>807</v>
      </c>
    </row>
    <row r="793" spans="1:9" ht="21" customHeight="1">
      <c r="A793" s="20">
        <f t="shared" si="12"/>
        <v>789</v>
      </c>
      <c r="B793" s="21" t="s">
        <v>221</v>
      </c>
      <c r="C793" s="20" t="str">
        <f>IF(B793="","",IF(COUNTIF('01_Anggota'!$D$5:$D$1212,B793)=0,"NAMA TIDAK DITEMUKAN",INDEX('01_Anggota'!$B$5:$B$1212,MATCH(B793,'01_Anggota'!$D$5:$D$1212,0))))</f>
        <v>KKSUK-000022</v>
      </c>
      <c r="D793" s="23">
        <v>0</v>
      </c>
      <c r="E793" s="23">
        <v>10000</v>
      </c>
      <c r="F793" s="23">
        <v>150000</v>
      </c>
      <c r="G793" s="23">
        <v>0</v>
      </c>
      <c r="H793" s="42">
        <v>46198</v>
      </c>
      <c r="I793" s="21" t="s">
        <v>808</v>
      </c>
    </row>
    <row r="794" spans="1:9" ht="21" customHeight="1">
      <c r="A794" s="20">
        <f t="shared" si="12"/>
        <v>790</v>
      </c>
      <c r="B794" s="21" t="s">
        <v>221</v>
      </c>
      <c r="C794" s="20" t="str">
        <f>IF(B794="","",IF(COUNTIF('01_Anggota'!$D$5:$D$1212,B794)=0,"NAMA TIDAK DITEMUKAN",INDEX('01_Anggota'!$B$5:$B$1212,MATCH(B794,'01_Anggota'!$D$5:$D$1212,0))))</f>
        <v>KKSUK-000022</v>
      </c>
      <c r="D794" s="23">
        <v>0</v>
      </c>
      <c r="E794" s="23">
        <v>10000</v>
      </c>
      <c r="F794" s="23">
        <v>150000</v>
      </c>
      <c r="G794" s="23">
        <v>0</v>
      </c>
      <c r="H794" s="42">
        <v>46227</v>
      </c>
      <c r="I794" s="21" t="s">
        <v>809</v>
      </c>
    </row>
    <row r="795" spans="1:9" ht="21" customHeight="1">
      <c r="A795" s="20">
        <f t="shared" si="12"/>
        <v>791</v>
      </c>
      <c r="B795" s="21" t="s">
        <v>221</v>
      </c>
      <c r="C795" s="20" t="str">
        <f>IF(B795="","",IF(COUNTIF('01_Anggota'!$D$5:$D$1212,B795)=0,"NAMA TIDAK DITEMUKAN",INDEX('01_Anggota'!$B$5:$B$1212,MATCH(B795,'01_Anggota'!$D$5:$D$1212,0))))</f>
        <v>KKSUK-000022</v>
      </c>
      <c r="D795" s="23">
        <v>0</v>
      </c>
      <c r="E795" s="23">
        <v>10000</v>
      </c>
      <c r="F795" s="23">
        <v>150000</v>
      </c>
      <c r="G795" s="23">
        <v>0</v>
      </c>
      <c r="H795" s="42">
        <v>46258</v>
      </c>
      <c r="I795" s="21" t="s">
        <v>810</v>
      </c>
    </row>
    <row r="796" spans="1:9" ht="21" customHeight="1">
      <c r="A796" s="20">
        <f t="shared" si="12"/>
        <v>792</v>
      </c>
      <c r="B796" s="21" t="s">
        <v>222</v>
      </c>
      <c r="C796" s="20" t="str">
        <f>IF(B796="","",IF(COUNTIF('01_Anggota'!$D$5:$D$1212,B796)=0,"NAMA TIDAK DITEMUKAN",INDEX('01_Anggota'!$B$5:$B$1212,MATCH(B796,'01_Anggota'!$D$5:$D$1212,0))))</f>
        <v>KKSUK-000023</v>
      </c>
      <c r="D796" s="23">
        <v>0</v>
      </c>
      <c r="E796" s="23">
        <v>12230224</v>
      </c>
      <c r="F796" s="23">
        <v>27477628.605160501</v>
      </c>
      <c r="G796" s="23">
        <v>19859230</v>
      </c>
      <c r="H796" s="42">
        <v>46023</v>
      </c>
      <c r="I796" s="21" t="s">
        <v>802</v>
      </c>
    </row>
    <row r="797" spans="1:9" ht="21" customHeight="1">
      <c r="A797" s="20">
        <f t="shared" si="12"/>
        <v>793</v>
      </c>
      <c r="B797" s="21" t="s">
        <v>222</v>
      </c>
      <c r="C797" s="20" t="str">
        <f>IF(B797="","",IF(COUNTIF('01_Anggota'!$D$5:$D$1212,B797)=0,"NAMA TIDAK DITEMUKAN",INDEX('01_Anggota'!$B$5:$B$1212,MATCH(B797,'01_Anggota'!$D$5:$D$1212,0))))</f>
        <v>KKSUK-000023</v>
      </c>
      <c r="D797" s="23">
        <v>0</v>
      </c>
      <c r="E797" s="23">
        <v>200000</v>
      </c>
      <c r="F797" s="23">
        <v>150000</v>
      </c>
      <c r="G797" s="23">
        <v>0</v>
      </c>
      <c r="H797" s="42">
        <v>46045</v>
      </c>
      <c r="I797" s="21" t="s">
        <v>803</v>
      </c>
    </row>
    <row r="798" spans="1:9" ht="21" customHeight="1">
      <c r="A798" s="20">
        <f t="shared" si="12"/>
        <v>794</v>
      </c>
      <c r="B798" s="21" t="s">
        <v>222</v>
      </c>
      <c r="C798" s="20" t="str">
        <f>IF(B798="","",IF(COUNTIF('01_Anggota'!$D$5:$D$1212,B798)=0,"NAMA TIDAK DITEMUKAN",INDEX('01_Anggota'!$B$5:$B$1212,MATCH(B798,'01_Anggota'!$D$5:$D$1212,0))))</f>
        <v>KKSUK-000023</v>
      </c>
      <c r="D798" s="23">
        <v>0</v>
      </c>
      <c r="E798" s="23">
        <v>200000</v>
      </c>
      <c r="F798" s="23">
        <v>150000</v>
      </c>
      <c r="G798" s="23">
        <v>0</v>
      </c>
      <c r="H798" s="42">
        <v>46078</v>
      </c>
      <c r="I798" s="21" t="s">
        <v>804</v>
      </c>
    </row>
    <row r="799" spans="1:9" ht="21" customHeight="1">
      <c r="A799" s="20">
        <f t="shared" si="12"/>
        <v>795</v>
      </c>
      <c r="B799" s="21" t="s">
        <v>222</v>
      </c>
      <c r="C799" s="20" t="str">
        <f>IF(B799="","",IF(COUNTIF('01_Anggota'!$D$5:$D$1212,B799)=0,"NAMA TIDAK DITEMUKAN",INDEX('01_Anggota'!$B$5:$B$1212,MATCH(B799,'01_Anggota'!$D$5:$D$1212,0))))</f>
        <v>KKSUK-000023</v>
      </c>
      <c r="D799" s="23">
        <v>0</v>
      </c>
      <c r="E799" s="23">
        <v>200000</v>
      </c>
      <c r="F799" s="23">
        <v>150000</v>
      </c>
      <c r="G799" s="23">
        <v>0</v>
      </c>
      <c r="H799" s="42">
        <v>46106</v>
      </c>
      <c r="I799" s="21" t="s">
        <v>805</v>
      </c>
    </row>
    <row r="800" spans="1:9" ht="21" customHeight="1">
      <c r="A800" s="20">
        <f t="shared" si="12"/>
        <v>796</v>
      </c>
      <c r="B800" s="21" t="s">
        <v>222</v>
      </c>
      <c r="C800" s="20" t="str">
        <f>IF(B800="","",IF(COUNTIF('01_Anggota'!$D$5:$D$1212,B800)=0,"NAMA TIDAK DITEMUKAN",INDEX('01_Anggota'!$B$5:$B$1212,MATCH(B800,'01_Anggota'!$D$5:$D$1212,0))))</f>
        <v>KKSUK-000023</v>
      </c>
      <c r="D800" s="23">
        <v>0</v>
      </c>
      <c r="E800" s="23">
        <v>200000</v>
      </c>
      <c r="F800" s="23">
        <v>150000</v>
      </c>
      <c r="G800" s="23">
        <v>0</v>
      </c>
      <c r="H800" s="42">
        <v>46136</v>
      </c>
      <c r="I800" s="21" t="s">
        <v>806</v>
      </c>
    </row>
    <row r="801" spans="1:9" ht="21" customHeight="1">
      <c r="A801" s="20">
        <f t="shared" si="12"/>
        <v>797</v>
      </c>
      <c r="B801" s="21" t="s">
        <v>222</v>
      </c>
      <c r="C801" s="20" t="str">
        <f>IF(B801="","",IF(COUNTIF('01_Anggota'!$D$5:$D$1212,B801)=0,"NAMA TIDAK DITEMUKAN",INDEX('01_Anggota'!$B$5:$B$1212,MATCH(B801,'01_Anggota'!$D$5:$D$1212,0))))</f>
        <v>KKSUK-000023</v>
      </c>
      <c r="D801" s="23">
        <v>0</v>
      </c>
      <c r="E801" s="23">
        <v>200000</v>
      </c>
      <c r="F801" s="23">
        <v>150000</v>
      </c>
      <c r="G801" s="23">
        <v>0</v>
      </c>
      <c r="H801" s="42">
        <v>46167</v>
      </c>
      <c r="I801" s="21" t="s">
        <v>807</v>
      </c>
    </row>
    <row r="802" spans="1:9" ht="21" customHeight="1">
      <c r="A802" s="20">
        <f t="shared" si="12"/>
        <v>798</v>
      </c>
      <c r="B802" s="21" t="s">
        <v>222</v>
      </c>
      <c r="C802" s="20" t="str">
        <f>IF(B802="","",IF(COUNTIF('01_Anggota'!$D$5:$D$1212,B802)=0,"NAMA TIDAK DITEMUKAN",INDEX('01_Anggota'!$B$5:$B$1212,MATCH(B802,'01_Anggota'!$D$5:$D$1212,0))))</f>
        <v>KKSUK-000023</v>
      </c>
      <c r="D802" s="23">
        <v>0</v>
      </c>
      <c r="E802" s="23">
        <v>200000</v>
      </c>
      <c r="F802" s="23">
        <v>150000</v>
      </c>
      <c r="G802" s="23">
        <v>0</v>
      </c>
      <c r="H802" s="42">
        <v>46198</v>
      </c>
      <c r="I802" s="21" t="s">
        <v>808</v>
      </c>
    </row>
    <row r="803" spans="1:9" ht="21" customHeight="1">
      <c r="A803" s="20">
        <f t="shared" si="12"/>
        <v>799</v>
      </c>
      <c r="B803" s="21" t="s">
        <v>222</v>
      </c>
      <c r="C803" s="20" t="str">
        <f>IF(B803="","",IF(COUNTIF('01_Anggota'!$D$5:$D$1212,B803)=0,"NAMA TIDAK DITEMUKAN",INDEX('01_Anggota'!$B$5:$B$1212,MATCH(B803,'01_Anggota'!$D$5:$D$1212,0))))</f>
        <v>KKSUK-000023</v>
      </c>
      <c r="D803" s="23">
        <v>0</v>
      </c>
      <c r="E803" s="23">
        <v>200000</v>
      </c>
      <c r="F803" s="23">
        <v>150000</v>
      </c>
      <c r="G803" s="23">
        <v>0</v>
      </c>
      <c r="H803" s="42">
        <v>46227</v>
      </c>
      <c r="I803" s="21" t="s">
        <v>809</v>
      </c>
    </row>
    <row r="804" spans="1:9" ht="21" customHeight="1">
      <c r="A804" s="20">
        <f t="shared" si="12"/>
        <v>800</v>
      </c>
      <c r="B804" s="21" t="s">
        <v>222</v>
      </c>
      <c r="C804" s="20" t="str">
        <f>IF(B804="","",IF(COUNTIF('01_Anggota'!$D$5:$D$1212,B804)=0,"NAMA TIDAK DITEMUKAN",INDEX('01_Anggota'!$B$5:$B$1212,MATCH(B804,'01_Anggota'!$D$5:$D$1212,0))))</f>
        <v>KKSUK-000023</v>
      </c>
      <c r="D804" s="23">
        <v>0</v>
      </c>
      <c r="E804" s="23">
        <v>200000</v>
      </c>
      <c r="F804" s="23">
        <v>150000</v>
      </c>
      <c r="G804" s="23">
        <v>0</v>
      </c>
      <c r="H804" s="42">
        <v>46258</v>
      </c>
      <c r="I804" s="21" t="s">
        <v>810</v>
      </c>
    </row>
    <row r="805" spans="1:9" ht="21" customHeight="1">
      <c r="A805" s="20">
        <f t="shared" si="12"/>
        <v>801</v>
      </c>
      <c r="B805" s="21" t="s">
        <v>395</v>
      </c>
      <c r="C805" s="20" t="str">
        <f>IF(B805="","",IF(COUNTIF('01_Anggota'!$D$5:$D$1212,B805)=0,"NAMA TIDAK DITEMUKAN",INDEX('01_Anggota'!$B$5:$B$1212,MATCH(B805,'01_Anggota'!$D$5:$D$1212,0))))</f>
        <v>KKSUK-000196</v>
      </c>
      <c r="D805" s="23">
        <v>0</v>
      </c>
      <c r="E805" s="23">
        <v>400000</v>
      </c>
      <c r="F805" s="23">
        <v>200000</v>
      </c>
      <c r="G805" s="23">
        <v>0</v>
      </c>
      <c r="H805" s="42">
        <v>46023</v>
      </c>
      <c r="I805" s="21" t="s">
        <v>802</v>
      </c>
    </row>
    <row r="806" spans="1:9" ht="21" customHeight="1">
      <c r="A806" s="20">
        <f t="shared" si="12"/>
        <v>802</v>
      </c>
      <c r="B806" s="21" t="s">
        <v>322</v>
      </c>
      <c r="C806" s="20" t="str">
        <f>IF(B806="","",IF(COUNTIF('01_Anggota'!$D$5:$D$1212,B806)=0,"NAMA TIDAK DITEMUKAN",INDEX('01_Anggota'!$B$5:$B$1212,MATCH(B806,'01_Anggota'!$D$5:$D$1212,0))))</f>
        <v>KKSUK-000123</v>
      </c>
      <c r="D806" s="23">
        <v>0</v>
      </c>
      <c r="E806" s="23">
        <v>1200000</v>
      </c>
      <c r="F806" s="23">
        <v>2400000</v>
      </c>
      <c r="G806" s="23">
        <v>800896</v>
      </c>
      <c r="H806" s="42">
        <v>46023</v>
      </c>
      <c r="I806" s="21" t="s">
        <v>802</v>
      </c>
    </row>
    <row r="807" spans="1:9" ht="21" customHeight="1">
      <c r="A807" s="20">
        <f t="shared" si="12"/>
        <v>803</v>
      </c>
      <c r="B807" s="21" t="s">
        <v>322</v>
      </c>
      <c r="C807" s="20" t="str">
        <f>IF(B807="","",IF(COUNTIF('01_Anggota'!$D$5:$D$1212,B807)=0,"NAMA TIDAK DITEMUKAN",INDEX('01_Anggota'!$B$5:$B$1212,MATCH(B807,'01_Anggota'!$D$5:$D$1212,0))))</f>
        <v>KKSUK-000123</v>
      </c>
      <c r="D807" s="23">
        <v>0</v>
      </c>
      <c r="E807" s="23">
        <v>150000</v>
      </c>
      <c r="F807" s="23">
        <v>100000</v>
      </c>
      <c r="G807" s="23">
        <v>0</v>
      </c>
      <c r="H807" s="42">
        <v>46045</v>
      </c>
      <c r="I807" s="21" t="s">
        <v>803</v>
      </c>
    </row>
    <row r="808" spans="1:9" ht="21" customHeight="1">
      <c r="A808" s="20">
        <f t="shared" si="12"/>
        <v>804</v>
      </c>
      <c r="B808" s="21" t="s">
        <v>322</v>
      </c>
      <c r="C808" s="20" t="str">
        <f>IF(B808="","",IF(COUNTIF('01_Anggota'!$D$5:$D$1212,B808)=0,"NAMA TIDAK DITEMUKAN",INDEX('01_Anggota'!$B$5:$B$1212,MATCH(B808,'01_Anggota'!$D$5:$D$1212,0))))</f>
        <v>KKSUK-000123</v>
      </c>
      <c r="D808" s="23">
        <v>0</v>
      </c>
      <c r="E808" s="23">
        <v>150000</v>
      </c>
      <c r="F808" s="23">
        <v>100000</v>
      </c>
      <c r="G808" s="23">
        <v>0</v>
      </c>
      <c r="H808" s="42">
        <v>46078</v>
      </c>
      <c r="I808" s="21" t="s">
        <v>804</v>
      </c>
    </row>
    <row r="809" spans="1:9" ht="21" customHeight="1">
      <c r="A809" s="20">
        <f t="shared" si="12"/>
        <v>805</v>
      </c>
      <c r="B809" s="21" t="s">
        <v>322</v>
      </c>
      <c r="C809" s="20" t="str">
        <f>IF(B809="","",IF(COUNTIF('01_Anggota'!$D$5:$D$1212,B809)=0,"NAMA TIDAK DITEMUKAN",INDEX('01_Anggota'!$B$5:$B$1212,MATCH(B809,'01_Anggota'!$D$5:$D$1212,0))))</f>
        <v>KKSUK-000123</v>
      </c>
      <c r="D809" s="23">
        <v>0</v>
      </c>
      <c r="E809" s="23">
        <v>150000</v>
      </c>
      <c r="F809" s="23">
        <v>100000</v>
      </c>
      <c r="G809" s="23">
        <v>0</v>
      </c>
      <c r="H809" s="42">
        <v>46106</v>
      </c>
      <c r="I809" s="21" t="s">
        <v>805</v>
      </c>
    </row>
    <row r="810" spans="1:9" ht="21" customHeight="1">
      <c r="A810" s="20">
        <f t="shared" si="12"/>
        <v>806</v>
      </c>
      <c r="B810" s="21" t="s">
        <v>322</v>
      </c>
      <c r="C810" s="20" t="str">
        <f>IF(B810="","",IF(COUNTIF('01_Anggota'!$D$5:$D$1212,B810)=0,"NAMA TIDAK DITEMUKAN",INDEX('01_Anggota'!$B$5:$B$1212,MATCH(B810,'01_Anggota'!$D$5:$D$1212,0))))</f>
        <v>KKSUK-000123</v>
      </c>
      <c r="D810" s="23">
        <v>0</v>
      </c>
      <c r="E810" s="23">
        <v>150000</v>
      </c>
      <c r="F810" s="23">
        <v>100000</v>
      </c>
      <c r="G810" s="23">
        <v>0</v>
      </c>
      <c r="H810" s="42">
        <v>46136</v>
      </c>
      <c r="I810" s="21" t="s">
        <v>806</v>
      </c>
    </row>
    <row r="811" spans="1:9" ht="21" customHeight="1">
      <c r="A811" s="20">
        <f t="shared" si="12"/>
        <v>807</v>
      </c>
      <c r="B811" s="21" t="s">
        <v>322</v>
      </c>
      <c r="C811" s="20" t="str">
        <f>IF(B811="","",IF(COUNTIF('01_Anggota'!$D$5:$D$1212,B811)=0,"NAMA TIDAK DITEMUKAN",INDEX('01_Anggota'!$B$5:$B$1212,MATCH(B811,'01_Anggota'!$D$5:$D$1212,0))))</f>
        <v>KKSUK-000123</v>
      </c>
      <c r="D811" s="23">
        <v>0</v>
      </c>
      <c r="E811" s="23">
        <v>150000</v>
      </c>
      <c r="F811" s="23">
        <v>100000</v>
      </c>
      <c r="G811" s="23">
        <v>0</v>
      </c>
      <c r="H811" s="42">
        <v>46167</v>
      </c>
      <c r="I811" s="21" t="s">
        <v>807</v>
      </c>
    </row>
    <row r="812" spans="1:9" ht="21" customHeight="1">
      <c r="A812" s="20">
        <f t="shared" si="12"/>
        <v>808</v>
      </c>
      <c r="B812" s="21" t="s">
        <v>322</v>
      </c>
      <c r="C812" s="20" t="str">
        <f>IF(B812="","",IF(COUNTIF('01_Anggota'!$D$5:$D$1212,B812)=0,"NAMA TIDAK DITEMUKAN",INDEX('01_Anggota'!$B$5:$B$1212,MATCH(B812,'01_Anggota'!$D$5:$D$1212,0))))</f>
        <v>KKSUK-000123</v>
      </c>
      <c r="D812" s="23">
        <v>0</v>
      </c>
      <c r="E812" s="23">
        <v>150000</v>
      </c>
      <c r="F812" s="23">
        <v>100000</v>
      </c>
      <c r="G812" s="23">
        <v>0</v>
      </c>
      <c r="H812" s="42">
        <v>46198</v>
      </c>
      <c r="I812" s="21" t="s">
        <v>808</v>
      </c>
    </row>
    <row r="813" spans="1:9" ht="21" customHeight="1">
      <c r="A813" s="20">
        <f t="shared" si="12"/>
        <v>809</v>
      </c>
      <c r="B813" s="21" t="s">
        <v>322</v>
      </c>
      <c r="C813" s="20" t="str">
        <f>IF(B813="","",IF(COUNTIF('01_Anggota'!$D$5:$D$1212,B813)=0,"NAMA TIDAK DITEMUKAN",INDEX('01_Anggota'!$B$5:$B$1212,MATCH(B813,'01_Anggota'!$D$5:$D$1212,0))))</f>
        <v>KKSUK-000123</v>
      </c>
      <c r="D813" s="23">
        <v>0</v>
      </c>
      <c r="E813" s="23">
        <v>150000</v>
      </c>
      <c r="F813" s="23">
        <v>100000</v>
      </c>
      <c r="G813" s="23">
        <v>0</v>
      </c>
      <c r="H813" s="42">
        <v>46227</v>
      </c>
      <c r="I813" s="21" t="s">
        <v>809</v>
      </c>
    </row>
    <row r="814" spans="1:9" ht="21" customHeight="1">
      <c r="A814" s="20">
        <f t="shared" si="12"/>
        <v>810</v>
      </c>
      <c r="B814" s="21" t="s">
        <v>322</v>
      </c>
      <c r="C814" s="20" t="str">
        <f>IF(B814="","",IF(COUNTIF('01_Anggota'!$D$5:$D$1212,B814)=0,"NAMA TIDAK DITEMUKAN",INDEX('01_Anggota'!$B$5:$B$1212,MATCH(B814,'01_Anggota'!$D$5:$D$1212,0))))</f>
        <v>KKSUK-000123</v>
      </c>
      <c r="D814" s="23">
        <v>0</v>
      </c>
      <c r="E814" s="23">
        <v>150000</v>
      </c>
      <c r="F814" s="23">
        <v>100000</v>
      </c>
      <c r="G814" s="23">
        <v>0</v>
      </c>
      <c r="H814" s="42">
        <v>46258</v>
      </c>
      <c r="I814" s="21" t="s">
        <v>810</v>
      </c>
    </row>
    <row r="815" spans="1:9" ht="21" customHeight="1">
      <c r="A815" s="20">
        <f t="shared" si="12"/>
        <v>811</v>
      </c>
      <c r="B815" s="21" t="s">
        <v>223</v>
      </c>
      <c r="C815" s="20" t="str">
        <f>IF(B815="","",IF(COUNTIF('01_Anggota'!$D$5:$D$1212,B815)=0,"NAMA TIDAK DITEMUKAN",INDEX('01_Anggota'!$B$5:$B$1212,MATCH(B815,'01_Anggota'!$D$5:$D$1212,0))))</f>
        <v>KKSUK-000024</v>
      </c>
      <c r="D815" s="23">
        <v>0</v>
      </c>
      <c r="E815" s="23">
        <v>507500</v>
      </c>
      <c r="F815" s="23">
        <v>17639731.350520998</v>
      </c>
      <c r="G815" s="23">
        <v>7850238</v>
      </c>
      <c r="H815" s="42">
        <v>46023</v>
      </c>
      <c r="I815" s="21" t="s">
        <v>802</v>
      </c>
    </row>
    <row r="816" spans="1:9" ht="21" customHeight="1">
      <c r="A816" s="20">
        <f t="shared" si="12"/>
        <v>812</v>
      </c>
      <c r="B816" s="21" t="s">
        <v>223</v>
      </c>
      <c r="C816" s="20" t="str">
        <f>IF(B816="","",IF(COUNTIF('01_Anggota'!$D$5:$D$1212,B816)=0,"NAMA TIDAK DITEMUKAN",INDEX('01_Anggota'!$B$5:$B$1212,MATCH(B816,'01_Anggota'!$D$5:$D$1212,0))))</f>
        <v>KKSUK-000024</v>
      </c>
      <c r="D816" s="23">
        <v>0</v>
      </c>
      <c r="E816" s="23">
        <v>10000</v>
      </c>
      <c r="F816" s="23">
        <v>100000</v>
      </c>
      <c r="G816" s="23">
        <v>0</v>
      </c>
      <c r="H816" s="42">
        <v>46045</v>
      </c>
      <c r="I816" s="21" t="s">
        <v>803</v>
      </c>
    </row>
    <row r="817" spans="1:9" ht="21" customHeight="1">
      <c r="A817" s="20">
        <f t="shared" si="12"/>
        <v>813</v>
      </c>
      <c r="B817" s="21" t="s">
        <v>223</v>
      </c>
      <c r="C817" s="20" t="str">
        <f>IF(B817="","",IF(COUNTIF('01_Anggota'!$D$5:$D$1212,B817)=0,"NAMA TIDAK DITEMUKAN",INDEX('01_Anggota'!$B$5:$B$1212,MATCH(B817,'01_Anggota'!$D$5:$D$1212,0))))</f>
        <v>KKSUK-000024</v>
      </c>
      <c r="D817" s="23">
        <v>0</v>
      </c>
      <c r="E817" s="23">
        <v>10000</v>
      </c>
      <c r="F817" s="23">
        <v>100000</v>
      </c>
      <c r="G817" s="23">
        <v>0</v>
      </c>
      <c r="H817" s="42">
        <v>46078</v>
      </c>
      <c r="I817" s="21" t="s">
        <v>804</v>
      </c>
    </row>
    <row r="818" spans="1:9" ht="21" customHeight="1">
      <c r="A818" s="20">
        <f t="shared" si="12"/>
        <v>814</v>
      </c>
      <c r="B818" s="21" t="s">
        <v>223</v>
      </c>
      <c r="C818" s="20" t="str">
        <f>IF(B818="","",IF(COUNTIF('01_Anggota'!$D$5:$D$1212,B818)=0,"NAMA TIDAK DITEMUKAN",INDEX('01_Anggota'!$B$5:$B$1212,MATCH(B818,'01_Anggota'!$D$5:$D$1212,0))))</f>
        <v>KKSUK-000024</v>
      </c>
      <c r="D818" s="23">
        <v>0</v>
      </c>
      <c r="E818" s="23">
        <v>10000</v>
      </c>
      <c r="F818" s="23">
        <v>100000</v>
      </c>
      <c r="G818" s="23">
        <v>0</v>
      </c>
      <c r="H818" s="42">
        <v>46106</v>
      </c>
      <c r="I818" s="21" t="s">
        <v>805</v>
      </c>
    </row>
    <row r="819" spans="1:9" ht="21" customHeight="1">
      <c r="A819" s="20">
        <f t="shared" si="12"/>
        <v>815</v>
      </c>
      <c r="B819" s="21" t="s">
        <v>223</v>
      </c>
      <c r="C819" s="20" t="str">
        <f>IF(B819="","",IF(COUNTIF('01_Anggota'!$D$5:$D$1212,B819)=0,"NAMA TIDAK DITEMUKAN",INDEX('01_Anggota'!$B$5:$B$1212,MATCH(B819,'01_Anggota'!$D$5:$D$1212,0))))</f>
        <v>KKSUK-000024</v>
      </c>
      <c r="D819" s="23">
        <v>0</v>
      </c>
      <c r="E819" s="23">
        <v>10000</v>
      </c>
      <c r="F819" s="23">
        <v>100000</v>
      </c>
      <c r="G819" s="23">
        <v>0</v>
      </c>
      <c r="H819" s="42">
        <v>46136</v>
      </c>
      <c r="I819" s="21" t="s">
        <v>806</v>
      </c>
    </row>
    <row r="820" spans="1:9" ht="21" customHeight="1">
      <c r="A820" s="20">
        <f t="shared" si="12"/>
        <v>816</v>
      </c>
      <c r="B820" s="21" t="s">
        <v>223</v>
      </c>
      <c r="C820" s="20" t="str">
        <f>IF(B820="","",IF(COUNTIF('01_Anggota'!$D$5:$D$1212,B820)=0,"NAMA TIDAK DITEMUKAN",INDEX('01_Anggota'!$B$5:$B$1212,MATCH(B820,'01_Anggota'!$D$5:$D$1212,0))))</f>
        <v>KKSUK-000024</v>
      </c>
      <c r="D820" s="23">
        <v>0</v>
      </c>
      <c r="E820" s="23">
        <v>10000</v>
      </c>
      <c r="F820" s="23">
        <v>100000</v>
      </c>
      <c r="G820" s="23">
        <v>0</v>
      </c>
      <c r="H820" s="42">
        <v>46167</v>
      </c>
      <c r="I820" s="21" t="s">
        <v>807</v>
      </c>
    </row>
    <row r="821" spans="1:9" ht="21" customHeight="1">
      <c r="A821" s="20">
        <f t="shared" si="12"/>
        <v>817</v>
      </c>
      <c r="B821" s="21" t="s">
        <v>223</v>
      </c>
      <c r="C821" s="20" t="str">
        <f>IF(B821="","",IF(COUNTIF('01_Anggota'!$D$5:$D$1212,B821)=0,"NAMA TIDAK DITEMUKAN",INDEX('01_Anggota'!$B$5:$B$1212,MATCH(B821,'01_Anggota'!$D$5:$D$1212,0))))</f>
        <v>KKSUK-000024</v>
      </c>
      <c r="D821" s="23">
        <v>0</v>
      </c>
      <c r="E821" s="23">
        <v>10000</v>
      </c>
      <c r="F821" s="23">
        <v>100000</v>
      </c>
      <c r="G821" s="23">
        <v>0</v>
      </c>
      <c r="H821" s="42">
        <v>46198</v>
      </c>
      <c r="I821" s="21" t="s">
        <v>808</v>
      </c>
    </row>
    <row r="822" spans="1:9" ht="21" customHeight="1">
      <c r="A822" s="20">
        <f t="shared" si="12"/>
        <v>818</v>
      </c>
      <c r="B822" s="21" t="s">
        <v>223</v>
      </c>
      <c r="C822" s="20" t="str">
        <f>IF(B822="","",IF(COUNTIF('01_Anggota'!$D$5:$D$1212,B822)=0,"NAMA TIDAK DITEMUKAN",INDEX('01_Anggota'!$B$5:$B$1212,MATCH(B822,'01_Anggota'!$D$5:$D$1212,0))))</f>
        <v>KKSUK-000024</v>
      </c>
      <c r="D822" s="23">
        <v>0</v>
      </c>
      <c r="E822" s="23">
        <v>10000</v>
      </c>
      <c r="F822" s="23">
        <v>100000</v>
      </c>
      <c r="G822" s="23">
        <v>0</v>
      </c>
      <c r="H822" s="42">
        <v>46227</v>
      </c>
      <c r="I822" s="21" t="s">
        <v>809</v>
      </c>
    </row>
    <row r="823" spans="1:9" ht="21" customHeight="1">
      <c r="A823" s="20">
        <f t="shared" si="12"/>
        <v>819</v>
      </c>
      <c r="B823" s="21" t="s">
        <v>223</v>
      </c>
      <c r="C823" s="20" t="str">
        <f>IF(B823="","",IF(COUNTIF('01_Anggota'!$D$5:$D$1212,B823)=0,"NAMA TIDAK DITEMUKAN",INDEX('01_Anggota'!$B$5:$B$1212,MATCH(B823,'01_Anggota'!$D$5:$D$1212,0))))</f>
        <v>KKSUK-000024</v>
      </c>
      <c r="D823" s="23">
        <v>0</v>
      </c>
      <c r="E823" s="23">
        <v>10000</v>
      </c>
      <c r="F823" s="23">
        <v>100000</v>
      </c>
      <c r="G823" s="23">
        <v>0</v>
      </c>
      <c r="H823" s="42">
        <v>46258</v>
      </c>
      <c r="I823" s="21" t="s">
        <v>810</v>
      </c>
    </row>
    <row r="824" spans="1:9" ht="21" customHeight="1">
      <c r="A824" s="20">
        <f t="shared" si="12"/>
        <v>820</v>
      </c>
      <c r="B824" s="21" t="s">
        <v>224</v>
      </c>
      <c r="C824" s="20" t="str">
        <f>IF(B824="","",IF(COUNTIF('01_Anggota'!$D$5:$D$1212,B824)=0,"NAMA TIDAK DITEMUKAN",INDEX('01_Anggota'!$B$5:$B$1212,MATCH(B824,'01_Anggota'!$D$5:$D$1212,0))))</f>
        <v>KKSUK-000025</v>
      </c>
      <c r="D824" s="23">
        <v>0</v>
      </c>
      <c r="E824" s="23">
        <v>2925000</v>
      </c>
      <c r="F824" s="23">
        <v>16876933.942082901</v>
      </c>
      <c r="G824" s="23">
        <v>8509241</v>
      </c>
      <c r="H824" s="42">
        <v>46023</v>
      </c>
      <c r="I824" s="21" t="s">
        <v>802</v>
      </c>
    </row>
    <row r="825" spans="1:9" ht="21" customHeight="1">
      <c r="A825" s="20">
        <f t="shared" si="12"/>
        <v>821</v>
      </c>
      <c r="B825" s="21" t="s">
        <v>224</v>
      </c>
      <c r="C825" s="20" t="str">
        <f>IF(B825="","",IF(COUNTIF('01_Anggota'!$D$5:$D$1212,B825)=0,"NAMA TIDAK DITEMUKAN",INDEX('01_Anggota'!$B$5:$B$1212,MATCH(B825,'01_Anggota'!$D$5:$D$1212,0))))</f>
        <v>KKSUK-000025</v>
      </c>
      <c r="D825" s="23">
        <v>0</v>
      </c>
      <c r="E825" s="23">
        <v>50000</v>
      </c>
      <c r="F825" s="23">
        <v>100000</v>
      </c>
      <c r="G825" s="23">
        <v>0</v>
      </c>
      <c r="H825" s="42">
        <v>46045</v>
      </c>
      <c r="I825" s="21" t="s">
        <v>803</v>
      </c>
    </row>
    <row r="826" spans="1:9" ht="21" customHeight="1">
      <c r="A826" s="20">
        <f t="shared" si="12"/>
        <v>822</v>
      </c>
      <c r="B826" s="21" t="s">
        <v>224</v>
      </c>
      <c r="C826" s="20" t="str">
        <f>IF(B826="","",IF(COUNTIF('01_Anggota'!$D$5:$D$1212,B826)=0,"NAMA TIDAK DITEMUKAN",INDEX('01_Anggota'!$B$5:$B$1212,MATCH(B826,'01_Anggota'!$D$5:$D$1212,0))))</f>
        <v>KKSUK-000025</v>
      </c>
      <c r="D826" s="23">
        <v>0</v>
      </c>
      <c r="E826" s="23">
        <v>50000</v>
      </c>
      <c r="F826" s="23">
        <v>100000</v>
      </c>
      <c r="G826" s="23">
        <v>0</v>
      </c>
      <c r="H826" s="42">
        <v>46078</v>
      </c>
      <c r="I826" s="21" t="s">
        <v>804</v>
      </c>
    </row>
    <row r="827" spans="1:9" ht="21" customHeight="1">
      <c r="A827" s="20">
        <f t="shared" si="12"/>
        <v>823</v>
      </c>
      <c r="B827" s="21" t="s">
        <v>224</v>
      </c>
      <c r="C827" s="20" t="str">
        <f>IF(B827="","",IF(COUNTIF('01_Anggota'!$D$5:$D$1212,B827)=0,"NAMA TIDAK DITEMUKAN",INDEX('01_Anggota'!$B$5:$B$1212,MATCH(B827,'01_Anggota'!$D$5:$D$1212,0))))</f>
        <v>KKSUK-000025</v>
      </c>
      <c r="D827" s="23">
        <v>0</v>
      </c>
      <c r="E827" s="23">
        <v>50000</v>
      </c>
      <c r="F827" s="23">
        <v>100000</v>
      </c>
      <c r="G827" s="23">
        <v>0</v>
      </c>
      <c r="H827" s="42">
        <v>46106</v>
      </c>
      <c r="I827" s="21" t="s">
        <v>805</v>
      </c>
    </row>
    <row r="828" spans="1:9" ht="21" customHeight="1">
      <c r="A828" s="20">
        <f t="shared" si="12"/>
        <v>824</v>
      </c>
      <c r="B828" s="21" t="s">
        <v>224</v>
      </c>
      <c r="C828" s="20" t="str">
        <f>IF(B828="","",IF(COUNTIF('01_Anggota'!$D$5:$D$1212,B828)=0,"NAMA TIDAK DITEMUKAN",INDEX('01_Anggota'!$B$5:$B$1212,MATCH(B828,'01_Anggota'!$D$5:$D$1212,0))))</f>
        <v>KKSUK-000025</v>
      </c>
      <c r="D828" s="23">
        <v>0</v>
      </c>
      <c r="E828" s="23">
        <v>50000</v>
      </c>
      <c r="F828" s="23">
        <v>100000</v>
      </c>
      <c r="G828" s="23">
        <v>0</v>
      </c>
      <c r="H828" s="42">
        <v>46136</v>
      </c>
      <c r="I828" s="21" t="s">
        <v>806</v>
      </c>
    </row>
    <row r="829" spans="1:9" ht="21" customHeight="1">
      <c r="A829" s="20">
        <f t="shared" si="12"/>
        <v>825</v>
      </c>
      <c r="B829" s="21" t="s">
        <v>224</v>
      </c>
      <c r="C829" s="20" t="str">
        <f>IF(B829="","",IF(COUNTIF('01_Anggota'!$D$5:$D$1212,B829)=0,"NAMA TIDAK DITEMUKAN",INDEX('01_Anggota'!$B$5:$B$1212,MATCH(B829,'01_Anggota'!$D$5:$D$1212,0))))</f>
        <v>KKSUK-000025</v>
      </c>
      <c r="D829" s="23">
        <v>0</v>
      </c>
      <c r="E829" s="23">
        <v>50000</v>
      </c>
      <c r="F829" s="23">
        <v>100000</v>
      </c>
      <c r="G829" s="23">
        <v>0</v>
      </c>
      <c r="H829" s="42">
        <v>46167</v>
      </c>
      <c r="I829" s="21" t="s">
        <v>807</v>
      </c>
    </row>
    <row r="830" spans="1:9" ht="21" customHeight="1">
      <c r="A830" s="20">
        <f t="shared" si="12"/>
        <v>826</v>
      </c>
      <c r="B830" s="21" t="s">
        <v>224</v>
      </c>
      <c r="C830" s="20" t="str">
        <f>IF(B830="","",IF(COUNTIF('01_Anggota'!$D$5:$D$1212,B830)=0,"NAMA TIDAK DITEMUKAN",INDEX('01_Anggota'!$B$5:$B$1212,MATCH(B830,'01_Anggota'!$D$5:$D$1212,0))))</f>
        <v>KKSUK-000025</v>
      </c>
      <c r="D830" s="23">
        <v>0</v>
      </c>
      <c r="E830" s="23">
        <v>50000</v>
      </c>
      <c r="F830" s="23">
        <v>100000</v>
      </c>
      <c r="G830" s="23">
        <v>0</v>
      </c>
      <c r="H830" s="42">
        <v>46198</v>
      </c>
      <c r="I830" s="21" t="s">
        <v>808</v>
      </c>
    </row>
    <row r="831" spans="1:9" ht="21" customHeight="1">
      <c r="A831" s="20">
        <f t="shared" si="12"/>
        <v>827</v>
      </c>
      <c r="B831" s="21" t="s">
        <v>224</v>
      </c>
      <c r="C831" s="20" t="str">
        <f>IF(B831="","",IF(COUNTIF('01_Anggota'!$D$5:$D$1212,B831)=0,"NAMA TIDAK DITEMUKAN",INDEX('01_Anggota'!$B$5:$B$1212,MATCH(B831,'01_Anggota'!$D$5:$D$1212,0))))</f>
        <v>KKSUK-000025</v>
      </c>
      <c r="D831" s="23">
        <v>0</v>
      </c>
      <c r="E831" s="23">
        <v>50000</v>
      </c>
      <c r="F831" s="23">
        <v>100000</v>
      </c>
      <c r="G831" s="23">
        <v>0</v>
      </c>
      <c r="H831" s="42">
        <v>46227</v>
      </c>
      <c r="I831" s="21" t="s">
        <v>809</v>
      </c>
    </row>
    <row r="832" spans="1:9" ht="21" customHeight="1">
      <c r="A832" s="20">
        <f t="shared" si="12"/>
        <v>828</v>
      </c>
      <c r="B832" s="21" t="s">
        <v>224</v>
      </c>
      <c r="C832" s="20" t="str">
        <f>IF(B832="","",IF(COUNTIF('01_Anggota'!$D$5:$D$1212,B832)=0,"NAMA TIDAK DITEMUKAN",INDEX('01_Anggota'!$B$5:$B$1212,MATCH(B832,'01_Anggota'!$D$5:$D$1212,0))))</f>
        <v>KKSUK-000025</v>
      </c>
      <c r="D832" s="23">
        <v>0</v>
      </c>
      <c r="E832" s="23">
        <v>50000</v>
      </c>
      <c r="F832" s="23">
        <v>100000</v>
      </c>
      <c r="G832" s="23">
        <v>0</v>
      </c>
      <c r="H832" s="42">
        <v>46258</v>
      </c>
      <c r="I832" s="21" t="s">
        <v>810</v>
      </c>
    </row>
    <row r="833" spans="1:9" ht="21" customHeight="1">
      <c r="A833" s="20">
        <f t="shared" si="12"/>
        <v>829</v>
      </c>
      <c r="B833" s="21" t="s">
        <v>307</v>
      </c>
      <c r="C833" s="20" t="str">
        <f>IF(B833="","",IF(COUNTIF('01_Anggota'!$D$5:$D$1212,B833)=0,"NAMA TIDAK DITEMUKAN",INDEX('01_Anggota'!$B$5:$B$1212,MATCH(B833,'01_Anggota'!$D$5:$D$1212,0))))</f>
        <v>KKSUK-000108</v>
      </c>
      <c r="D833" s="23">
        <v>0</v>
      </c>
      <c r="E833" s="23">
        <v>2149999.9999999502</v>
      </c>
      <c r="F833" s="23">
        <v>11132161.050669899</v>
      </c>
      <c r="G833" s="23">
        <v>5391027</v>
      </c>
      <c r="H833" s="42">
        <v>46023</v>
      </c>
      <c r="I833" s="21" t="s">
        <v>802</v>
      </c>
    </row>
    <row r="834" spans="1:9" ht="21" customHeight="1">
      <c r="A834" s="20">
        <f t="shared" si="12"/>
        <v>830</v>
      </c>
      <c r="B834" s="21" t="s">
        <v>307</v>
      </c>
      <c r="C834" s="20" t="str">
        <f>IF(B834="","",IF(COUNTIF('01_Anggota'!$D$5:$D$1212,B834)=0,"NAMA TIDAK DITEMUKAN",INDEX('01_Anggota'!$B$5:$B$1212,MATCH(B834,'01_Anggota'!$D$5:$D$1212,0))))</f>
        <v>KKSUK-000108</v>
      </c>
      <c r="D834" s="23">
        <v>0</v>
      </c>
      <c r="E834" s="23">
        <v>100000</v>
      </c>
      <c r="F834" s="23">
        <v>150000</v>
      </c>
      <c r="G834" s="23">
        <v>0</v>
      </c>
      <c r="H834" s="42">
        <v>46045</v>
      </c>
      <c r="I834" s="21" t="s">
        <v>803</v>
      </c>
    </row>
    <row r="835" spans="1:9" ht="21" customHeight="1">
      <c r="A835" s="20">
        <f t="shared" si="12"/>
        <v>831</v>
      </c>
      <c r="B835" s="21" t="s">
        <v>307</v>
      </c>
      <c r="C835" s="20" t="str">
        <f>IF(B835="","",IF(COUNTIF('01_Anggota'!$D$5:$D$1212,B835)=0,"NAMA TIDAK DITEMUKAN",INDEX('01_Anggota'!$B$5:$B$1212,MATCH(B835,'01_Anggota'!$D$5:$D$1212,0))))</f>
        <v>KKSUK-000108</v>
      </c>
      <c r="D835" s="23">
        <v>0</v>
      </c>
      <c r="E835" s="23">
        <v>100000</v>
      </c>
      <c r="F835" s="23">
        <v>150000</v>
      </c>
      <c r="G835" s="23">
        <v>0</v>
      </c>
      <c r="H835" s="42">
        <v>46078</v>
      </c>
      <c r="I835" s="21" t="s">
        <v>804</v>
      </c>
    </row>
    <row r="836" spans="1:9" ht="21" customHeight="1">
      <c r="A836" s="20">
        <f t="shared" ref="A836:A899" si="13">IF(B836="","",ROW()-4)</f>
        <v>832</v>
      </c>
      <c r="B836" s="21" t="s">
        <v>307</v>
      </c>
      <c r="C836" s="20" t="str">
        <f>IF(B836="","",IF(COUNTIF('01_Anggota'!$D$5:$D$1212,B836)=0,"NAMA TIDAK DITEMUKAN",INDEX('01_Anggota'!$B$5:$B$1212,MATCH(B836,'01_Anggota'!$D$5:$D$1212,0))))</f>
        <v>KKSUK-000108</v>
      </c>
      <c r="D836" s="23">
        <v>0</v>
      </c>
      <c r="E836" s="23">
        <v>100000</v>
      </c>
      <c r="F836" s="23">
        <v>150000</v>
      </c>
      <c r="G836" s="23">
        <v>0</v>
      </c>
      <c r="H836" s="42">
        <v>46106</v>
      </c>
      <c r="I836" s="21" t="s">
        <v>805</v>
      </c>
    </row>
    <row r="837" spans="1:9" ht="21" customHeight="1">
      <c r="A837" s="20">
        <f t="shared" si="13"/>
        <v>833</v>
      </c>
      <c r="B837" s="21" t="s">
        <v>307</v>
      </c>
      <c r="C837" s="20" t="str">
        <f>IF(B837="","",IF(COUNTIF('01_Anggota'!$D$5:$D$1212,B837)=0,"NAMA TIDAK DITEMUKAN",INDEX('01_Anggota'!$B$5:$B$1212,MATCH(B837,'01_Anggota'!$D$5:$D$1212,0))))</f>
        <v>KKSUK-000108</v>
      </c>
      <c r="D837" s="23">
        <v>0</v>
      </c>
      <c r="E837" s="23">
        <v>150000</v>
      </c>
      <c r="F837" s="23">
        <v>100000</v>
      </c>
      <c r="G837" s="23">
        <v>0</v>
      </c>
      <c r="H837" s="42">
        <v>46136</v>
      </c>
      <c r="I837" s="21" t="s">
        <v>806</v>
      </c>
    </row>
    <row r="838" spans="1:9" ht="21" customHeight="1">
      <c r="A838" s="20">
        <f t="shared" si="13"/>
        <v>834</v>
      </c>
      <c r="B838" s="21" t="s">
        <v>307</v>
      </c>
      <c r="C838" s="20" t="str">
        <f>IF(B838="","",IF(COUNTIF('01_Anggota'!$D$5:$D$1212,B838)=0,"NAMA TIDAK DITEMUKAN",INDEX('01_Anggota'!$B$5:$B$1212,MATCH(B838,'01_Anggota'!$D$5:$D$1212,0))))</f>
        <v>KKSUK-000108</v>
      </c>
      <c r="D838" s="23">
        <v>0</v>
      </c>
      <c r="E838" s="23">
        <v>150000</v>
      </c>
      <c r="F838" s="23">
        <v>100000</v>
      </c>
      <c r="G838" s="23">
        <v>0</v>
      </c>
      <c r="H838" s="42">
        <v>46167</v>
      </c>
      <c r="I838" s="21" t="s">
        <v>807</v>
      </c>
    </row>
    <row r="839" spans="1:9" ht="21" customHeight="1">
      <c r="A839" s="20">
        <f t="shared" si="13"/>
        <v>835</v>
      </c>
      <c r="B839" s="21" t="s">
        <v>307</v>
      </c>
      <c r="C839" s="20" t="str">
        <f>IF(B839="","",IF(COUNTIF('01_Anggota'!$D$5:$D$1212,B839)=0,"NAMA TIDAK DITEMUKAN",INDEX('01_Anggota'!$B$5:$B$1212,MATCH(B839,'01_Anggota'!$D$5:$D$1212,0))))</f>
        <v>KKSUK-000108</v>
      </c>
      <c r="D839" s="23">
        <v>0</v>
      </c>
      <c r="E839" s="23">
        <v>150000</v>
      </c>
      <c r="F839" s="23">
        <v>100000</v>
      </c>
      <c r="G839" s="23">
        <v>0</v>
      </c>
      <c r="H839" s="42">
        <v>46198</v>
      </c>
      <c r="I839" s="21" t="s">
        <v>808</v>
      </c>
    </row>
    <row r="840" spans="1:9" ht="21" customHeight="1">
      <c r="A840" s="20">
        <f t="shared" si="13"/>
        <v>836</v>
      </c>
      <c r="B840" s="21" t="s">
        <v>307</v>
      </c>
      <c r="C840" s="20" t="str">
        <f>IF(B840="","",IF(COUNTIF('01_Anggota'!$D$5:$D$1212,B840)=0,"NAMA TIDAK DITEMUKAN",INDEX('01_Anggota'!$B$5:$B$1212,MATCH(B840,'01_Anggota'!$D$5:$D$1212,0))))</f>
        <v>KKSUK-000108</v>
      </c>
      <c r="D840" s="23">
        <v>0</v>
      </c>
      <c r="E840" s="23">
        <v>150000</v>
      </c>
      <c r="F840" s="23">
        <v>100000</v>
      </c>
      <c r="G840" s="23">
        <v>0</v>
      </c>
      <c r="H840" s="42">
        <v>46227</v>
      </c>
      <c r="I840" s="21" t="s">
        <v>809</v>
      </c>
    </row>
    <row r="841" spans="1:9" ht="21" customHeight="1">
      <c r="A841" s="20">
        <f t="shared" si="13"/>
        <v>837</v>
      </c>
      <c r="B841" s="21" t="s">
        <v>307</v>
      </c>
      <c r="C841" s="20" t="str">
        <f>IF(B841="","",IF(COUNTIF('01_Anggota'!$D$5:$D$1212,B841)=0,"NAMA TIDAK DITEMUKAN",INDEX('01_Anggota'!$B$5:$B$1212,MATCH(B841,'01_Anggota'!$D$5:$D$1212,0))))</f>
        <v>KKSUK-000108</v>
      </c>
      <c r="D841" s="23">
        <v>0</v>
      </c>
      <c r="E841" s="23">
        <v>150000</v>
      </c>
      <c r="F841" s="23">
        <v>100000</v>
      </c>
      <c r="G841" s="23">
        <v>0</v>
      </c>
      <c r="H841" s="42">
        <v>46258</v>
      </c>
      <c r="I841" s="21" t="s">
        <v>810</v>
      </c>
    </row>
    <row r="842" spans="1:9" ht="21" customHeight="1">
      <c r="A842" s="20">
        <f t="shared" si="13"/>
        <v>838</v>
      </c>
      <c r="B842" s="21" t="s">
        <v>301</v>
      </c>
      <c r="C842" s="20" t="str">
        <f>IF(B842="","",IF(COUNTIF('01_Anggota'!$D$5:$D$1212,B842)=0,"NAMA TIDAK DITEMUKAN",INDEX('01_Anggota'!$B$5:$B$1212,MATCH(B842,'01_Anggota'!$D$5:$D$1212,0))))</f>
        <v>KKSUK-000102</v>
      </c>
      <c r="D842" s="23">
        <v>0</v>
      </c>
      <c r="E842" s="23">
        <v>7300000</v>
      </c>
      <c r="F842" s="23">
        <v>11936274</v>
      </c>
      <c r="G842" s="23">
        <v>2525969</v>
      </c>
      <c r="H842" s="42">
        <v>46023</v>
      </c>
      <c r="I842" s="21" t="s">
        <v>802</v>
      </c>
    </row>
    <row r="843" spans="1:9" ht="21" customHeight="1">
      <c r="A843" s="20">
        <f t="shared" si="13"/>
        <v>839</v>
      </c>
      <c r="B843" s="21" t="s">
        <v>301</v>
      </c>
      <c r="C843" s="20" t="str">
        <f>IF(B843="","",IF(COUNTIF('01_Anggota'!$D$5:$D$1212,B843)=0,"NAMA TIDAK DITEMUKAN",INDEX('01_Anggota'!$B$5:$B$1212,MATCH(B843,'01_Anggota'!$D$5:$D$1212,0))))</f>
        <v>KKSUK-000102</v>
      </c>
      <c r="D843" s="23">
        <v>0</v>
      </c>
      <c r="E843" s="23">
        <v>0</v>
      </c>
      <c r="F843" s="23">
        <v>0</v>
      </c>
      <c r="G843" s="23">
        <v>0</v>
      </c>
      <c r="H843" s="42">
        <v>46045</v>
      </c>
      <c r="I843" s="21" t="s">
        <v>803</v>
      </c>
    </row>
    <row r="844" spans="1:9" ht="21" customHeight="1">
      <c r="A844" s="20">
        <f t="shared" si="13"/>
        <v>840</v>
      </c>
      <c r="B844" s="21" t="s">
        <v>301</v>
      </c>
      <c r="C844" s="20" t="str">
        <f>IF(B844="","",IF(COUNTIF('01_Anggota'!$D$5:$D$1212,B844)=0,"NAMA TIDAK DITEMUKAN",INDEX('01_Anggota'!$B$5:$B$1212,MATCH(B844,'01_Anggota'!$D$5:$D$1212,0))))</f>
        <v>KKSUK-000102</v>
      </c>
      <c r="D844" s="23">
        <v>0</v>
      </c>
      <c r="E844" s="23">
        <v>100000</v>
      </c>
      <c r="F844" s="23">
        <v>100000</v>
      </c>
      <c r="G844" s="23">
        <v>0</v>
      </c>
      <c r="H844" s="42">
        <v>46078</v>
      </c>
      <c r="I844" s="21" t="s">
        <v>804</v>
      </c>
    </row>
    <row r="845" spans="1:9" ht="21" customHeight="1">
      <c r="A845" s="20">
        <f t="shared" si="13"/>
        <v>841</v>
      </c>
      <c r="B845" s="21" t="s">
        <v>301</v>
      </c>
      <c r="C845" s="20" t="str">
        <f>IF(B845="","",IF(COUNTIF('01_Anggota'!$D$5:$D$1212,B845)=0,"NAMA TIDAK DITEMUKAN",INDEX('01_Anggota'!$B$5:$B$1212,MATCH(B845,'01_Anggota'!$D$5:$D$1212,0))))</f>
        <v>KKSUK-000102</v>
      </c>
      <c r="D845" s="23">
        <v>0</v>
      </c>
      <c r="E845" s="23">
        <v>100000</v>
      </c>
      <c r="F845" s="23">
        <v>100000</v>
      </c>
      <c r="G845" s="23">
        <v>0</v>
      </c>
      <c r="H845" s="42">
        <v>46106</v>
      </c>
      <c r="I845" s="21" t="s">
        <v>805</v>
      </c>
    </row>
    <row r="846" spans="1:9" ht="21" customHeight="1">
      <c r="A846" s="20">
        <f t="shared" si="13"/>
        <v>842</v>
      </c>
      <c r="B846" s="21" t="s">
        <v>301</v>
      </c>
      <c r="C846" s="20" t="str">
        <f>IF(B846="","",IF(COUNTIF('01_Anggota'!$D$5:$D$1212,B846)=0,"NAMA TIDAK DITEMUKAN",INDEX('01_Anggota'!$B$5:$B$1212,MATCH(B846,'01_Anggota'!$D$5:$D$1212,0))))</f>
        <v>KKSUK-000102</v>
      </c>
      <c r="D846" s="23">
        <v>0</v>
      </c>
      <c r="E846" s="23">
        <v>100000</v>
      </c>
      <c r="F846" s="23">
        <v>100000</v>
      </c>
      <c r="G846" s="23">
        <v>0</v>
      </c>
      <c r="H846" s="42">
        <v>46136</v>
      </c>
      <c r="I846" s="21" t="s">
        <v>806</v>
      </c>
    </row>
    <row r="847" spans="1:9" ht="21" customHeight="1">
      <c r="A847" s="20">
        <f t="shared" si="13"/>
        <v>843</v>
      </c>
      <c r="B847" s="21" t="s">
        <v>301</v>
      </c>
      <c r="C847" s="20" t="str">
        <f>IF(B847="","",IF(COUNTIF('01_Anggota'!$D$5:$D$1212,B847)=0,"NAMA TIDAK DITEMUKAN",INDEX('01_Anggota'!$B$5:$B$1212,MATCH(B847,'01_Anggota'!$D$5:$D$1212,0))))</f>
        <v>KKSUK-000102</v>
      </c>
      <c r="D847" s="23">
        <v>0</v>
      </c>
      <c r="E847" s="23">
        <v>100000</v>
      </c>
      <c r="F847" s="23">
        <v>100000</v>
      </c>
      <c r="G847" s="23">
        <v>0</v>
      </c>
      <c r="H847" s="42">
        <v>46167</v>
      </c>
      <c r="I847" s="21" t="s">
        <v>807</v>
      </c>
    </row>
    <row r="848" spans="1:9" ht="21" customHeight="1">
      <c r="A848" s="20">
        <f t="shared" si="13"/>
        <v>844</v>
      </c>
      <c r="B848" s="21" t="s">
        <v>301</v>
      </c>
      <c r="C848" s="20" t="str">
        <f>IF(B848="","",IF(COUNTIF('01_Anggota'!$D$5:$D$1212,B848)=0,"NAMA TIDAK DITEMUKAN",INDEX('01_Anggota'!$B$5:$B$1212,MATCH(B848,'01_Anggota'!$D$5:$D$1212,0))))</f>
        <v>KKSUK-000102</v>
      </c>
      <c r="D848" s="23">
        <v>0</v>
      </c>
      <c r="E848" s="23">
        <v>100000</v>
      </c>
      <c r="F848" s="23">
        <v>100000</v>
      </c>
      <c r="G848" s="23">
        <v>0</v>
      </c>
      <c r="H848" s="42">
        <v>46198</v>
      </c>
      <c r="I848" s="21" t="s">
        <v>808</v>
      </c>
    </row>
    <row r="849" spans="1:9" ht="21" customHeight="1">
      <c r="A849" s="20">
        <f t="shared" si="13"/>
        <v>845</v>
      </c>
      <c r="B849" s="21" t="s">
        <v>301</v>
      </c>
      <c r="C849" s="20" t="str">
        <f>IF(B849="","",IF(COUNTIF('01_Anggota'!$D$5:$D$1212,B849)=0,"NAMA TIDAK DITEMUKAN",INDEX('01_Anggota'!$B$5:$B$1212,MATCH(B849,'01_Anggota'!$D$5:$D$1212,0))))</f>
        <v>KKSUK-000102</v>
      </c>
      <c r="D849" s="23">
        <v>0</v>
      </c>
      <c r="E849" s="23">
        <v>100000</v>
      </c>
      <c r="F849" s="23">
        <v>100000</v>
      </c>
      <c r="G849" s="23">
        <v>0</v>
      </c>
      <c r="H849" s="42">
        <v>46227</v>
      </c>
      <c r="I849" s="21" t="s">
        <v>809</v>
      </c>
    </row>
    <row r="850" spans="1:9" ht="21" customHeight="1">
      <c r="A850" s="20">
        <f t="shared" si="13"/>
        <v>846</v>
      </c>
      <c r="B850" s="21" t="s">
        <v>301</v>
      </c>
      <c r="C850" s="20" t="str">
        <f>IF(B850="","",IF(COUNTIF('01_Anggota'!$D$5:$D$1212,B850)=0,"NAMA TIDAK DITEMUKAN",INDEX('01_Anggota'!$B$5:$B$1212,MATCH(B850,'01_Anggota'!$D$5:$D$1212,0))))</f>
        <v>KKSUK-000102</v>
      </c>
      <c r="D850" s="23">
        <v>0</v>
      </c>
      <c r="E850" s="23">
        <v>100000</v>
      </c>
      <c r="F850" s="23">
        <v>100000</v>
      </c>
      <c r="G850" s="23">
        <v>0</v>
      </c>
      <c r="H850" s="42">
        <v>46258</v>
      </c>
      <c r="I850" s="21" t="s">
        <v>810</v>
      </c>
    </row>
    <row r="851" spans="1:9" ht="21" customHeight="1">
      <c r="A851" s="20">
        <f t="shared" si="13"/>
        <v>847</v>
      </c>
      <c r="B851" s="21" t="s">
        <v>304</v>
      </c>
      <c r="C851" s="20" t="str">
        <f>IF(B851="","",IF(COUNTIF('01_Anggota'!$D$5:$D$1212,B851)=0,"NAMA TIDAK DITEMUKAN",INDEX('01_Anggota'!$B$5:$B$1212,MATCH(B851,'01_Anggota'!$D$5:$D$1212,0))))</f>
        <v>KKSUK-000105</v>
      </c>
      <c r="D851" s="23">
        <v>0</v>
      </c>
      <c r="E851" s="23">
        <v>3960000</v>
      </c>
      <c r="F851" s="23">
        <v>8414173</v>
      </c>
      <c r="G851" s="23">
        <v>5657444</v>
      </c>
      <c r="H851" s="42">
        <v>46023</v>
      </c>
      <c r="I851" s="21" t="s">
        <v>802</v>
      </c>
    </row>
    <row r="852" spans="1:9" ht="21" customHeight="1">
      <c r="A852" s="20">
        <f t="shared" si="13"/>
        <v>848</v>
      </c>
      <c r="B852" s="21" t="s">
        <v>304</v>
      </c>
      <c r="C852" s="20" t="str">
        <f>IF(B852="","",IF(COUNTIF('01_Anggota'!$D$5:$D$1212,B852)=0,"NAMA TIDAK DITEMUKAN",INDEX('01_Anggota'!$B$5:$B$1212,MATCH(B852,'01_Anggota'!$D$5:$D$1212,0))))</f>
        <v>KKSUK-000105</v>
      </c>
      <c r="D852" s="23">
        <v>0</v>
      </c>
      <c r="E852" s="23">
        <v>0</v>
      </c>
      <c r="F852" s="23">
        <v>0</v>
      </c>
      <c r="G852" s="23">
        <v>0</v>
      </c>
      <c r="H852" s="42">
        <v>46023</v>
      </c>
      <c r="I852" s="21" t="s">
        <v>802</v>
      </c>
    </row>
    <row r="853" spans="1:9" ht="21" customHeight="1">
      <c r="A853" s="20">
        <f t="shared" si="13"/>
        <v>849</v>
      </c>
      <c r="B853" s="21" t="s">
        <v>226</v>
      </c>
      <c r="C853" s="20" t="str">
        <f>IF(B853="","",IF(COUNTIF('01_Anggota'!$D$5:$D$1212,B853)=0,"NAMA TIDAK DITEMUKAN",INDEX('01_Anggota'!$B$5:$B$1212,MATCH(B853,'01_Anggota'!$D$5:$D$1212,0))))</f>
        <v>KKSUK-000027</v>
      </c>
      <c r="D853" s="23">
        <v>0</v>
      </c>
      <c r="E853" s="23">
        <v>5366299</v>
      </c>
      <c r="F853" s="23">
        <v>33469254.672582399</v>
      </c>
      <c r="G853" s="23">
        <v>7236336</v>
      </c>
      <c r="H853" s="42">
        <v>46023</v>
      </c>
      <c r="I853" s="21" t="s">
        <v>802</v>
      </c>
    </row>
    <row r="854" spans="1:9" ht="21" customHeight="1">
      <c r="A854" s="20">
        <f t="shared" si="13"/>
        <v>850</v>
      </c>
      <c r="B854" s="21" t="s">
        <v>226</v>
      </c>
      <c r="C854" s="20" t="str">
        <f>IF(B854="","",IF(COUNTIF('01_Anggota'!$D$5:$D$1212,B854)=0,"NAMA TIDAK DITEMUKAN",INDEX('01_Anggota'!$B$5:$B$1212,MATCH(B854,'01_Anggota'!$D$5:$D$1212,0))))</f>
        <v>KKSUK-000027</v>
      </c>
      <c r="D854" s="23">
        <v>0</v>
      </c>
      <c r="E854" s="23">
        <v>0</v>
      </c>
      <c r="F854" s="23">
        <v>-25000000</v>
      </c>
      <c r="G854" s="23">
        <v>0</v>
      </c>
      <c r="H854" s="42">
        <v>46106</v>
      </c>
      <c r="I854" s="21" t="s">
        <v>805</v>
      </c>
    </row>
    <row r="855" spans="1:9" ht="21" customHeight="1">
      <c r="A855" s="20">
        <f t="shared" si="13"/>
        <v>851</v>
      </c>
      <c r="B855" s="21" t="s">
        <v>329</v>
      </c>
      <c r="C855" s="20" t="str">
        <f>IF(B855="","",IF(COUNTIF('01_Anggota'!$D$5:$D$1212,B855)=0,"NAMA TIDAK DITEMUKAN",INDEX('01_Anggota'!$B$5:$B$1212,MATCH(B855,'01_Anggota'!$D$5:$D$1212,0))))</f>
        <v>KKSUK-000130</v>
      </c>
      <c r="D855" s="23">
        <v>0</v>
      </c>
      <c r="E855" s="23">
        <v>2510000</v>
      </c>
      <c r="F855" s="23">
        <v>18993509.993788201</v>
      </c>
      <c r="G855" s="23">
        <v>10479089</v>
      </c>
      <c r="H855" s="42">
        <v>46023</v>
      </c>
      <c r="I855" s="21" t="s">
        <v>802</v>
      </c>
    </row>
    <row r="856" spans="1:9" ht="21" customHeight="1">
      <c r="A856" s="20">
        <f t="shared" si="13"/>
        <v>852</v>
      </c>
      <c r="B856" s="21" t="s">
        <v>329</v>
      </c>
      <c r="C856" s="20" t="str">
        <f>IF(B856="","",IF(COUNTIF('01_Anggota'!$D$5:$D$1212,B856)=0,"NAMA TIDAK DITEMUKAN",INDEX('01_Anggota'!$B$5:$B$1212,MATCH(B856,'01_Anggota'!$D$5:$D$1212,0))))</f>
        <v>KKSUK-000130</v>
      </c>
      <c r="D856" s="23">
        <v>0</v>
      </c>
      <c r="E856" s="23">
        <v>50000</v>
      </c>
      <c r="F856" s="23">
        <v>100000</v>
      </c>
      <c r="G856" s="23">
        <v>0</v>
      </c>
      <c r="H856" s="42">
        <v>46045</v>
      </c>
      <c r="I856" s="21" t="s">
        <v>803</v>
      </c>
    </row>
    <row r="857" spans="1:9" ht="21" customHeight="1">
      <c r="A857" s="20">
        <f t="shared" si="13"/>
        <v>853</v>
      </c>
      <c r="B857" s="21" t="s">
        <v>329</v>
      </c>
      <c r="C857" s="20" t="str">
        <f>IF(B857="","",IF(COUNTIF('01_Anggota'!$D$5:$D$1212,B857)=0,"NAMA TIDAK DITEMUKAN",INDEX('01_Anggota'!$B$5:$B$1212,MATCH(B857,'01_Anggota'!$D$5:$D$1212,0))))</f>
        <v>KKSUK-000130</v>
      </c>
      <c r="D857" s="23">
        <v>0</v>
      </c>
      <c r="E857" s="23">
        <v>50000</v>
      </c>
      <c r="F857" s="23">
        <v>100000</v>
      </c>
      <c r="G857" s="23">
        <v>0</v>
      </c>
      <c r="H857" s="42">
        <v>46078</v>
      </c>
      <c r="I857" s="21" t="s">
        <v>804</v>
      </c>
    </row>
    <row r="858" spans="1:9" ht="21" customHeight="1">
      <c r="A858" s="20">
        <f t="shared" si="13"/>
        <v>854</v>
      </c>
      <c r="B858" s="21" t="s">
        <v>329</v>
      </c>
      <c r="C858" s="20" t="str">
        <f>IF(B858="","",IF(COUNTIF('01_Anggota'!$D$5:$D$1212,B858)=0,"NAMA TIDAK DITEMUKAN",INDEX('01_Anggota'!$B$5:$B$1212,MATCH(B858,'01_Anggota'!$D$5:$D$1212,0))))</f>
        <v>KKSUK-000130</v>
      </c>
      <c r="D858" s="23">
        <v>0</v>
      </c>
      <c r="E858" s="23">
        <v>50000</v>
      </c>
      <c r="F858" s="23">
        <v>100000</v>
      </c>
      <c r="G858" s="23">
        <v>0</v>
      </c>
      <c r="H858" s="42">
        <v>46106</v>
      </c>
      <c r="I858" s="21" t="s">
        <v>805</v>
      </c>
    </row>
    <row r="859" spans="1:9" ht="21" customHeight="1">
      <c r="A859" s="20">
        <f t="shared" si="13"/>
        <v>855</v>
      </c>
      <c r="B859" s="21" t="s">
        <v>329</v>
      </c>
      <c r="C859" s="20" t="str">
        <f>IF(B859="","",IF(COUNTIF('01_Anggota'!$D$5:$D$1212,B859)=0,"NAMA TIDAK DITEMUKAN",INDEX('01_Anggota'!$B$5:$B$1212,MATCH(B859,'01_Anggota'!$D$5:$D$1212,0))))</f>
        <v>KKSUK-000130</v>
      </c>
      <c r="D859" s="23">
        <v>0</v>
      </c>
      <c r="E859" s="23">
        <v>50000</v>
      </c>
      <c r="F859" s="23">
        <v>100000</v>
      </c>
      <c r="G859" s="23">
        <v>0</v>
      </c>
      <c r="H859" s="42">
        <v>46136</v>
      </c>
      <c r="I859" s="21" t="s">
        <v>806</v>
      </c>
    </row>
    <row r="860" spans="1:9" ht="21" customHeight="1">
      <c r="A860" s="20">
        <f t="shared" si="13"/>
        <v>856</v>
      </c>
      <c r="B860" s="21" t="s">
        <v>329</v>
      </c>
      <c r="C860" s="20" t="str">
        <f>IF(B860="","",IF(COUNTIF('01_Anggota'!$D$5:$D$1212,B860)=0,"NAMA TIDAK DITEMUKAN",INDEX('01_Anggota'!$B$5:$B$1212,MATCH(B860,'01_Anggota'!$D$5:$D$1212,0))))</f>
        <v>KKSUK-000130</v>
      </c>
      <c r="D860" s="23">
        <v>0</v>
      </c>
      <c r="E860" s="23">
        <v>50000</v>
      </c>
      <c r="F860" s="23">
        <v>100000</v>
      </c>
      <c r="G860" s="23">
        <v>0</v>
      </c>
      <c r="H860" s="42">
        <v>46167</v>
      </c>
      <c r="I860" s="21" t="s">
        <v>807</v>
      </c>
    </row>
    <row r="861" spans="1:9" ht="21" customHeight="1">
      <c r="A861" s="20">
        <f t="shared" si="13"/>
        <v>857</v>
      </c>
      <c r="B861" s="21" t="s">
        <v>329</v>
      </c>
      <c r="C861" s="20" t="str">
        <f>IF(B861="","",IF(COUNTIF('01_Anggota'!$D$5:$D$1212,B861)=0,"NAMA TIDAK DITEMUKAN",INDEX('01_Anggota'!$B$5:$B$1212,MATCH(B861,'01_Anggota'!$D$5:$D$1212,0))))</f>
        <v>KKSUK-000130</v>
      </c>
      <c r="D861" s="23">
        <v>0</v>
      </c>
      <c r="E861" s="23">
        <v>-2000000</v>
      </c>
      <c r="F861" s="23">
        <v>0</v>
      </c>
      <c r="G861" s="23">
        <v>0</v>
      </c>
      <c r="H861" s="42">
        <v>46198</v>
      </c>
      <c r="I861" s="21" t="s">
        <v>808</v>
      </c>
    </row>
    <row r="862" spans="1:9" ht="21" customHeight="1">
      <c r="A862" s="20">
        <f t="shared" si="13"/>
        <v>858</v>
      </c>
      <c r="B862" s="21" t="s">
        <v>329</v>
      </c>
      <c r="C862" s="20" t="str">
        <f>IF(B862="","",IF(COUNTIF('01_Anggota'!$D$5:$D$1212,B862)=0,"NAMA TIDAK DITEMUKAN",INDEX('01_Anggota'!$B$5:$B$1212,MATCH(B862,'01_Anggota'!$D$5:$D$1212,0))))</f>
        <v>KKSUK-000130</v>
      </c>
      <c r="D862" s="23">
        <v>0</v>
      </c>
      <c r="E862" s="23">
        <v>50000</v>
      </c>
      <c r="F862" s="23">
        <v>100000</v>
      </c>
      <c r="G862" s="23">
        <v>0</v>
      </c>
      <c r="H862" s="42">
        <v>46198</v>
      </c>
      <c r="I862" s="21" t="s">
        <v>808</v>
      </c>
    </row>
    <row r="863" spans="1:9" ht="21" customHeight="1">
      <c r="A863" s="20">
        <f t="shared" si="13"/>
        <v>859</v>
      </c>
      <c r="B863" s="21" t="s">
        <v>329</v>
      </c>
      <c r="C863" s="20" t="str">
        <f>IF(B863="","",IF(COUNTIF('01_Anggota'!$D$5:$D$1212,B863)=0,"NAMA TIDAK DITEMUKAN",INDEX('01_Anggota'!$B$5:$B$1212,MATCH(B863,'01_Anggota'!$D$5:$D$1212,0))))</f>
        <v>KKSUK-000130</v>
      </c>
      <c r="D863" s="23">
        <v>0</v>
      </c>
      <c r="E863" s="23">
        <v>50000</v>
      </c>
      <c r="F863" s="23">
        <v>100000</v>
      </c>
      <c r="G863" s="23">
        <v>0</v>
      </c>
      <c r="H863" s="42">
        <v>46227</v>
      </c>
      <c r="I863" s="21" t="s">
        <v>809</v>
      </c>
    </row>
    <row r="864" spans="1:9" ht="21" customHeight="1">
      <c r="A864" s="20">
        <f t="shared" si="13"/>
        <v>860</v>
      </c>
      <c r="B864" s="21" t="s">
        <v>329</v>
      </c>
      <c r="C864" s="20" t="str">
        <f>IF(B864="","",IF(COUNTIF('01_Anggota'!$D$5:$D$1212,B864)=0,"NAMA TIDAK DITEMUKAN",INDEX('01_Anggota'!$B$5:$B$1212,MATCH(B864,'01_Anggota'!$D$5:$D$1212,0))))</f>
        <v>KKSUK-000130</v>
      </c>
      <c r="D864" s="23">
        <v>0</v>
      </c>
      <c r="E864" s="23">
        <v>50000</v>
      </c>
      <c r="F864" s="23">
        <v>100000</v>
      </c>
      <c r="G864" s="23">
        <v>0</v>
      </c>
      <c r="H864" s="42">
        <v>46258</v>
      </c>
      <c r="I864" s="21" t="s">
        <v>810</v>
      </c>
    </row>
    <row r="865" spans="1:9" ht="21" customHeight="1">
      <c r="A865" s="20">
        <f t="shared" si="13"/>
        <v>861</v>
      </c>
      <c r="B865" s="21" t="s">
        <v>225</v>
      </c>
      <c r="C865" s="20" t="str">
        <f>IF(B865="","",IF(COUNTIF('01_Anggota'!$D$5:$D$1212,B865)=0,"NAMA TIDAK DITEMUKAN",INDEX('01_Anggota'!$B$5:$B$1212,MATCH(B865,'01_Anggota'!$D$5:$D$1212,0))))</f>
        <v>KKSUK-000026</v>
      </c>
      <c r="D865" s="23">
        <v>0</v>
      </c>
      <c r="E865" s="23">
        <v>9371000</v>
      </c>
      <c r="F865" s="23">
        <v>17212265.991059002</v>
      </c>
      <c r="G865" s="23">
        <v>8390411</v>
      </c>
      <c r="H865" s="42">
        <v>46023</v>
      </c>
      <c r="I865" s="21" t="s">
        <v>802</v>
      </c>
    </row>
    <row r="866" spans="1:9" ht="21" customHeight="1">
      <c r="A866" s="20">
        <f t="shared" si="13"/>
        <v>862</v>
      </c>
      <c r="B866" s="21" t="s">
        <v>225</v>
      </c>
      <c r="C866" s="20" t="str">
        <f>IF(B866="","",IF(COUNTIF('01_Anggota'!$D$5:$D$1212,B866)=0,"NAMA TIDAK DITEMUKAN",INDEX('01_Anggota'!$B$5:$B$1212,MATCH(B866,'01_Anggota'!$D$5:$D$1212,0))))</f>
        <v>KKSUK-000026</v>
      </c>
      <c r="D866" s="23">
        <v>0</v>
      </c>
      <c r="E866" s="23">
        <v>100000</v>
      </c>
      <c r="F866" s="23">
        <v>100000</v>
      </c>
      <c r="G866" s="23">
        <v>0</v>
      </c>
      <c r="H866" s="42">
        <v>46045</v>
      </c>
      <c r="I866" s="21" t="s">
        <v>803</v>
      </c>
    </row>
    <row r="867" spans="1:9" ht="21" customHeight="1">
      <c r="A867" s="20">
        <f t="shared" si="13"/>
        <v>863</v>
      </c>
      <c r="B867" s="21" t="s">
        <v>225</v>
      </c>
      <c r="C867" s="20" t="str">
        <f>IF(B867="","",IF(COUNTIF('01_Anggota'!$D$5:$D$1212,B867)=0,"NAMA TIDAK DITEMUKAN",INDEX('01_Anggota'!$B$5:$B$1212,MATCH(B867,'01_Anggota'!$D$5:$D$1212,0))))</f>
        <v>KKSUK-000026</v>
      </c>
      <c r="D867" s="23">
        <v>0</v>
      </c>
      <c r="E867" s="23">
        <v>100000</v>
      </c>
      <c r="F867" s="23">
        <v>100000</v>
      </c>
      <c r="G867" s="23">
        <v>0</v>
      </c>
      <c r="H867" s="42">
        <v>46078</v>
      </c>
      <c r="I867" s="21" t="s">
        <v>804</v>
      </c>
    </row>
    <row r="868" spans="1:9" ht="21" customHeight="1">
      <c r="A868" s="20">
        <f t="shared" si="13"/>
        <v>864</v>
      </c>
      <c r="B868" s="21" t="s">
        <v>225</v>
      </c>
      <c r="C868" s="20" t="str">
        <f>IF(B868="","",IF(COUNTIF('01_Anggota'!$D$5:$D$1212,B868)=0,"NAMA TIDAK DITEMUKAN",INDEX('01_Anggota'!$B$5:$B$1212,MATCH(B868,'01_Anggota'!$D$5:$D$1212,0))))</f>
        <v>KKSUK-000026</v>
      </c>
      <c r="D868" s="23">
        <v>0</v>
      </c>
      <c r="E868" s="23">
        <v>100000</v>
      </c>
      <c r="F868" s="23">
        <v>100000</v>
      </c>
      <c r="G868" s="23">
        <v>0</v>
      </c>
      <c r="H868" s="42">
        <v>46106</v>
      </c>
      <c r="I868" s="21" t="s">
        <v>805</v>
      </c>
    </row>
    <row r="869" spans="1:9" ht="21" customHeight="1">
      <c r="A869" s="20">
        <f t="shared" si="13"/>
        <v>865</v>
      </c>
      <c r="B869" s="21" t="s">
        <v>225</v>
      </c>
      <c r="C869" s="20" t="str">
        <f>IF(B869="","",IF(COUNTIF('01_Anggota'!$D$5:$D$1212,B869)=0,"NAMA TIDAK DITEMUKAN",INDEX('01_Anggota'!$B$5:$B$1212,MATCH(B869,'01_Anggota'!$D$5:$D$1212,0))))</f>
        <v>KKSUK-000026</v>
      </c>
      <c r="D869" s="23">
        <v>0</v>
      </c>
      <c r="E869" s="23">
        <v>100000</v>
      </c>
      <c r="F869" s="23">
        <v>100000</v>
      </c>
      <c r="G869" s="23">
        <v>0</v>
      </c>
      <c r="H869" s="42">
        <v>46136</v>
      </c>
      <c r="I869" s="21" t="s">
        <v>806</v>
      </c>
    </row>
    <row r="870" spans="1:9" ht="21" customHeight="1">
      <c r="A870" s="20">
        <f t="shared" si="13"/>
        <v>866</v>
      </c>
      <c r="B870" s="21" t="s">
        <v>225</v>
      </c>
      <c r="C870" s="20" t="str">
        <f>IF(B870="","",IF(COUNTIF('01_Anggota'!$D$5:$D$1212,B870)=0,"NAMA TIDAK DITEMUKAN",INDEX('01_Anggota'!$B$5:$B$1212,MATCH(B870,'01_Anggota'!$D$5:$D$1212,0))))</f>
        <v>KKSUK-000026</v>
      </c>
      <c r="D870" s="23">
        <v>0</v>
      </c>
      <c r="E870" s="23">
        <v>100000</v>
      </c>
      <c r="F870" s="23">
        <v>100000</v>
      </c>
      <c r="G870" s="23">
        <v>0</v>
      </c>
      <c r="H870" s="42">
        <v>46167</v>
      </c>
      <c r="I870" s="21" t="s">
        <v>807</v>
      </c>
    </row>
    <row r="871" spans="1:9" ht="21" customHeight="1">
      <c r="A871" s="20">
        <f t="shared" si="13"/>
        <v>867</v>
      </c>
      <c r="B871" s="21" t="s">
        <v>225</v>
      </c>
      <c r="C871" s="20" t="str">
        <f>IF(B871="","",IF(COUNTIF('01_Anggota'!$D$5:$D$1212,B871)=0,"NAMA TIDAK DITEMUKAN",INDEX('01_Anggota'!$B$5:$B$1212,MATCH(B871,'01_Anggota'!$D$5:$D$1212,0))))</f>
        <v>KKSUK-000026</v>
      </c>
      <c r="D871" s="23">
        <v>0</v>
      </c>
      <c r="E871" s="23">
        <v>100000</v>
      </c>
      <c r="F871" s="23">
        <v>100000</v>
      </c>
      <c r="G871" s="23">
        <v>0</v>
      </c>
      <c r="H871" s="42">
        <v>46198</v>
      </c>
      <c r="I871" s="21" t="s">
        <v>808</v>
      </c>
    </row>
    <row r="872" spans="1:9" ht="21" customHeight="1">
      <c r="A872" s="20">
        <f t="shared" si="13"/>
        <v>868</v>
      </c>
      <c r="B872" s="21" t="s">
        <v>225</v>
      </c>
      <c r="C872" s="20" t="str">
        <f>IF(B872="","",IF(COUNTIF('01_Anggota'!$D$5:$D$1212,B872)=0,"NAMA TIDAK DITEMUKAN",INDEX('01_Anggota'!$B$5:$B$1212,MATCH(B872,'01_Anggota'!$D$5:$D$1212,0))))</f>
        <v>KKSUK-000026</v>
      </c>
      <c r="D872" s="23">
        <v>0</v>
      </c>
      <c r="E872" s="23">
        <v>100000</v>
      </c>
      <c r="F872" s="23">
        <v>100000</v>
      </c>
      <c r="G872" s="23">
        <v>0</v>
      </c>
      <c r="H872" s="42">
        <v>46227</v>
      </c>
      <c r="I872" s="21" t="s">
        <v>809</v>
      </c>
    </row>
    <row r="873" spans="1:9" ht="21" customHeight="1">
      <c r="A873" s="20">
        <f t="shared" si="13"/>
        <v>869</v>
      </c>
      <c r="B873" s="21" t="s">
        <v>225</v>
      </c>
      <c r="C873" s="20" t="str">
        <f>IF(B873="","",IF(COUNTIF('01_Anggota'!$D$5:$D$1212,B873)=0,"NAMA TIDAK DITEMUKAN",INDEX('01_Anggota'!$B$5:$B$1212,MATCH(B873,'01_Anggota'!$D$5:$D$1212,0))))</f>
        <v>KKSUK-000026</v>
      </c>
      <c r="D873" s="23">
        <v>0</v>
      </c>
      <c r="E873" s="23">
        <v>100000</v>
      </c>
      <c r="F873" s="23">
        <v>100000</v>
      </c>
      <c r="G873" s="23">
        <v>0</v>
      </c>
      <c r="H873" s="42">
        <v>46258</v>
      </c>
      <c r="I873" s="21" t="s">
        <v>810</v>
      </c>
    </row>
    <row r="874" spans="1:9" ht="21" customHeight="1">
      <c r="A874" s="20">
        <f t="shared" si="13"/>
        <v>870</v>
      </c>
      <c r="B874" s="21" t="s">
        <v>298</v>
      </c>
      <c r="C874" s="20" t="str">
        <f>IF(B874="","",IF(COUNTIF('01_Anggota'!$D$5:$D$1212,B874)=0,"NAMA TIDAK DITEMUKAN",INDEX('01_Anggota'!$B$5:$B$1212,MATCH(B874,'01_Anggota'!$D$5:$D$1212,0))))</f>
        <v>KKSUK-000099</v>
      </c>
      <c r="D874" s="23">
        <v>0</v>
      </c>
      <c r="E874" s="23">
        <v>1820000</v>
      </c>
      <c r="F874" s="23">
        <v>11730749.032054501</v>
      </c>
      <c r="G874" s="23">
        <v>6105486</v>
      </c>
      <c r="H874" s="42">
        <v>46023</v>
      </c>
      <c r="I874" s="21" t="s">
        <v>802</v>
      </c>
    </row>
    <row r="875" spans="1:9" ht="21" customHeight="1">
      <c r="A875" s="20">
        <f t="shared" si="13"/>
        <v>871</v>
      </c>
      <c r="B875" s="21" t="s">
        <v>298</v>
      </c>
      <c r="C875" s="20" t="str">
        <f>IF(B875="","",IF(COUNTIF('01_Anggota'!$D$5:$D$1212,B875)=0,"NAMA TIDAK DITEMUKAN",INDEX('01_Anggota'!$B$5:$B$1212,MATCH(B875,'01_Anggota'!$D$5:$D$1212,0))))</f>
        <v>KKSUK-000099</v>
      </c>
      <c r="D875" s="23">
        <v>0</v>
      </c>
      <c r="E875" s="23">
        <v>75000</v>
      </c>
      <c r="F875" s="23">
        <v>100000</v>
      </c>
      <c r="G875" s="23">
        <v>0</v>
      </c>
      <c r="H875" s="42">
        <v>46045</v>
      </c>
      <c r="I875" s="21" t="s">
        <v>803</v>
      </c>
    </row>
    <row r="876" spans="1:9" ht="21" customHeight="1">
      <c r="A876" s="20">
        <f t="shared" si="13"/>
        <v>872</v>
      </c>
      <c r="B876" s="21" t="s">
        <v>298</v>
      </c>
      <c r="C876" s="20" t="str">
        <f>IF(B876="","",IF(COUNTIF('01_Anggota'!$D$5:$D$1212,B876)=0,"NAMA TIDAK DITEMUKAN",INDEX('01_Anggota'!$B$5:$B$1212,MATCH(B876,'01_Anggota'!$D$5:$D$1212,0))))</f>
        <v>KKSUK-000099</v>
      </c>
      <c r="D876" s="23">
        <v>0</v>
      </c>
      <c r="E876" s="23">
        <v>75000</v>
      </c>
      <c r="F876" s="23">
        <v>100000</v>
      </c>
      <c r="G876" s="23">
        <v>0</v>
      </c>
      <c r="H876" s="42">
        <v>46078</v>
      </c>
      <c r="I876" s="21" t="s">
        <v>804</v>
      </c>
    </row>
    <row r="877" spans="1:9" ht="21" customHeight="1">
      <c r="A877" s="20">
        <f t="shared" si="13"/>
        <v>873</v>
      </c>
      <c r="B877" s="21" t="s">
        <v>298</v>
      </c>
      <c r="C877" s="20" t="str">
        <f>IF(B877="","",IF(COUNTIF('01_Anggota'!$D$5:$D$1212,B877)=0,"NAMA TIDAK DITEMUKAN",INDEX('01_Anggota'!$B$5:$B$1212,MATCH(B877,'01_Anggota'!$D$5:$D$1212,0))))</f>
        <v>KKSUK-000099</v>
      </c>
      <c r="D877" s="23">
        <v>0</v>
      </c>
      <c r="E877" s="23">
        <v>75000</v>
      </c>
      <c r="F877" s="23">
        <v>100000</v>
      </c>
      <c r="G877" s="23">
        <v>0</v>
      </c>
      <c r="H877" s="42">
        <v>46106</v>
      </c>
      <c r="I877" s="21" t="s">
        <v>805</v>
      </c>
    </row>
    <row r="878" spans="1:9" ht="21" customHeight="1">
      <c r="A878" s="20">
        <f t="shared" si="13"/>
        <v>874</v>
      </c>
      <c r="B878" s="21" t="s">
        <v>298</v>
      </c>
      <c r="C878" s="20" t="str">
        <f>IF(B878="","",IF(COUNTIF('01_Anggota'!$D$5:$D$1212,B878)=0,"NAMA TIDAK DITEMUKAN",INDEX('01_Anggota'!$B$5:$B$1212,MATCH(B878,'01_Anggota'!$D$5:$D$1212,0))))</f>
        <v>KKSUK-000099</v>
      </c>
      <c r="D878" s="23">
        <v>0</v>
      </c>
      <c r="E878" s="23">
        <v>75000</v>
      </c>
      <c r="F878" s="23">
        <v>100000</v>
      </c>
      <c r="G878" s="23">
        <v>0</v>
      </c>
      <c r="H878" s="42">
        <v>46136</v>
      </c>
      <c r="I878" s="21" t="s">
        <v>806</v>
      </c>
    </row>
    <row r="879" spans="1:9" ht="21" customHeight="1">
      <c r="A879" s="20">
        <f t="shared" si="13"/>
        <v>875</v>
      </c>
      <c r="B879" s="21" t="s">
        <v>298</v>
      </c>
      <c r="C879" s="20" t="str">
        <f>IF(B879="","",IF(COUNTIF('01_Anggota'!$D$5:$D$1212,B879)=0,"NAMA TIDAK DITEMUKAN",INDEX('01_Anggota'!$B$5:$B$1212,MATCH(B879,'01_Anggota'!$D$5:$D$1212,0))))</f>
        <v>KKSUK-000099</v>
      </c>
      <c r="D879" s="23">
        <v>0</v>
      </c>
      <c r="E879" s="23">
        <v>75000</v>
      </c>
      <c r="F879" s="23">
        <v>100000</v>
      </c>
      <c r="G879" s="23">
        <v>0</v>
      </c>
      <c r="H879" s="42">
        <v>46167</v>
      </c>
      <c r="I879" s="21" t="s">
        <v>807</v>
      </c>
    </row>
    <row r="880" spans="1:9" ht="21" customHeight="1">
      <c r="A880" s="20">
        <f t="shared" si="13"/>
        <v>876</v>
      </c>
      <c r="B880" s="21" t="s">
        <v>298</v>
      </c>
      <c r="C880" s="20" t="str">
        <f>IF(B880="","",IF(COUNTIF('01_Anggota'!$D$5:$D$1212,B880)=0,"NAMA TIDAK DITEMUKAN",INDEX('01_Anggota'!$B$5:$B$1212,MATCH(B880,'01_Anggota'!$D$5:$D$1212,0))))</f>
        <v>KKSUK-000099</v>
      </c>
      <c r="D880" s="23">
        <v>0</v>
      </c>
      <c r="E880" s="23">
        <v>75000</v>
      </c>
      <c r="F880" s="23">
        <v>100000</v>
      </c>
      <c r="G880" s="23">
        <v>0</v>
      </c>
      <c r="H880" s="42">
        <v>46198</v>
      </c>
      <c r="I880" s="21" t="s">
        <v>808</v>
      </c>
    </row>
    <row r="881" spans="1:9" ht="21" customHeight="1">
      <c r="A881" s="20">
        <f t="shared" si="13"/>
        <v>877</v>
      </c>
      <c r="B881" s="21" t="s">
        <v>298</v>
      </c>
      <c r="C881" s="20" t="str">
        <f>IF(B881="","",IF(COUNTIF('01_Anggota'!$D$5:$D$1212,B881)=0,"NAMA TIDAK DITEMUKAN",INDEX('01_Anggota'!$B$5:$B$1212,MATCH(B881,'01_Anggota'!$D$5:$D$1212,0))))</f>
        <v>KKSUK-000099</v>
      </c>
      <c r="D881" s="23">
        <v>0</v>
      </c>
      <c r="E881" s="23">
        <v>75000</v>
      </c>
      <c r="F881" s="23">
        <v>100000</v>
      </c>
      <c r="G881" s="23">
        <v>0</v>
      </c>
      <c r="H881" s="42">
        <v>46227</v>
      </c>
      <c r="I881" s="21" t="s">
        <v>809</v>
      </c>
    </row>
    <row r="882" spans="1:9" ht="21" customHeight="1">
      <c r="A882" s="20">
        <f t="shared" si="13"/>
        <v>878</v>
      </c>
      <c r="B882" s="21" t="s">
        <v>298</v>
      </c>
      <c r="C882" s="20" t="str">
        <f>IF(B882="","",IF(COUNTIF('01_Anggota'!$D$5:$D$1212,B882)=0,"NAMA TIDAK DITEMUKAN",INDEX('01_Anggota'!$B$5:$B$1212,MATCH(B882,'01_Anggota'!$D$5:$D$1212,0))))</f>
        <v>KKSUK-000099</v>
      </c>
      <c r="D882" s="23">
        <v>0</v>
      </c>
      <c r="E882" s="23">
        <v>75000</v>
      </c>
      <c r="F882" s="23">
        <v>100000</v>
      </c>
      <c r="G882" s="23">
        <v>0</v>
      </c>
      <c r="H882" s="42">
        <v>46258</v>
      </c>
      <c r="I882" s="21" t="s">
        <v>810</v>
      </c>
    </row>
    <row r="883" spans="1:9" ht="21" customHeight="1">
      <c r="A883" s="20">
        <f t="shared" si="13"/>
        <v>879</v>
      </c>
      <c r="B883" s="21" t="s">
        <v>336</v>
      </c>
      <c r="C883" s="20" t="str">
        <f>IF(B883="","",IF(COUNTIF('01_Anggota'!$D$5:$D$1212,B883)=0,"NAMA TIDAK DITEMUKAN",INDEX('01_Anggota'!$B$5:$B$1212,MATCH(B883,'01_Anggota'!$D$5:$D$1212,0))))</f>
        <v>KKSUK-000137</v>
      </c>
      <c r="D883" s="23">
        <v>0</v>
      </c>
      <c r="E883" s="23">
        <v>4450000</v>
      </c>
      <c r="F883" s="23">
        <v>3900000</v>
      </c>
      <c r="G883" s="23">
        <v>2906440</v>
      </c>
      <c r="H883" s="42">
        <v>46023</v>
      </c>
      <c r="I883" s="21" t="s">
        <v>802</v>
      </c>
    </row>
    <row r="884" spans="1:9" ht="21" customHeight="1">
      <c r="A884" s="20">
        <f t="shared" si="13"/>
        <v>880</v>
      </c>
      <c r="B884" s="21" t="s">
        <v>336</v>
      </c>
      <c r="C884" s="20" t="str">
        <f>IF(B884="","",IF(COUNTIF('01_Anggota'!$D$5:$D$1212,B884)=0,"NAMA TIDAK DITEMUKAN",INDEX('01_Anggota'!$B$5:$B$1212,MATCH(B884,'01_Anggota'!$D$5:$D$1212,0))))</f>
        <v>KKSUK-000137</v>
      </c>
      <c r="D884" s="23">
        <v>0</v>
      </c>
      <c r="E884" s="23">
        <v>500000</v>
      </c>
      <c r="F884" s="23">
        <v>100000</v>
      </c>
      <c r="G884" s="23">
        <v>0</v>
      </c>
      <c r="H884" s="42">
        <v>46045</v>
      </c>
      <c r="I884" s="21" t="s">
        <v>803</v>
      </c>
    </row>
    <row r="885" spans="1:9" ht="21" customHeight="1">
      <c r="A885" s="20">
        <f t="shared" si="13"/>
        <v>881</v>
      </c>
      <c r="B885" s="21" t="s">
        <v>336</v>
      </c>
      <c r="C885" s="20" t="str">
        <f>IF(B885="","",IF(COUNTIF('01_Anggota'!$D$5:$D$1212,B885)=0,"NAMA TIDAK DITEMUKAN",INDEX('01_Anggota'!$B$5:$B$1212,MATCH(B885,'01_Anggota'!$D$5:$D$1212,0))))</f>
        <v>KKSUK-000137</v>
      </c>
      <c r="D885" s="23">
        <v>0</v>
      </c>
      <c r="E885" s="23">
        <v>-3300000</v>
      </c>
      <c r="F885" s="23">
        <v>0</v>
      </c>
      <c r="G885" s="23">
        <v>0</v>
      </c>
      <c r="H885" s="42">
        <v>46045</v>
      </c>
      <c r="I885" s="21" t="s">
        <v>803</v>
      </c>
    </row>
    <row r="886" spans="1:9" ht="21" customHeight="1">
      <c r="A886" s="20">
        <f t="shared" si="13"/>
        <v>882</v>
      </c>
      <c r="B886" s="21" t="s">
        <v>336</v>
      </c>
      <c r="C886" s="20" t="str">
        <f>IF(B886="","",IF(COUNTIF('01_Anggota'!$D$5:$D$1212,B886)=0,"NAMA TIDAK DITEMUKAN",INDEX('01_Anggota'!$B$5:$B$1212,MATCH(B886,'01_Anggota'!$D$5:$D$1212,0))))</f>
        <v>KKSUK-000137</v>
      </c>
      <c r="D886" s="23">
        <v>0</v>
      </c>
      <c r="E886" s="23">
        <v>500000</v>
      </c>
      <c r="F886" s="23">
        <v>100000</v>
      </c>
      <c r="G886" s="23">
        <v>0</v>
      </c>
      <c r="H886" s="42">
        <v>46078</v>
      </c>
      <c r="I886" s="21" t="s">
        <v>804</v>
      </c>
    </row>
    <row r="887" spans="1:9" ht="21" customHeight="1">
      <c r="A887" s="20">
        <f t="shared" si="13"/>
        <v>883</v>
      </c>
      <c r="B887" s="21" t="s">
        <v>336</v>
      </c>
      <c r="C887" s="20" t="str">
        <f>IF(B887="","",IF(COUNTIF('01_Anggota'!$D$5:$D$1212,B887)=0,"NAMA TIDAK DITEMUKAN",INDEX('01_Anggota'!$B$5:$B$1212,MATCH(B887,'01_Anggota'!$D$5:$D$1212,0))))</f>
        <v>KKSUK-000137</v>
      </c>
      <c r="D887" s="23">
        <v>0</v>
      </c>
      <c r="E887" s="23">
        <v>500000</v>
      </c>
      <c r="F887" s="23">
        <v>100000</v>
      </c>
      <c r="G887" s="23">
        <v>0</v>
      </c>
      <c r="H887" s="42">
        <v>46106</v>
      </c>
      <c r="I887" s="21" t="s">
        <v>805</v>
      </c>
    </row>
    <row r="888" spans="1:9" ht="21" customHeight="1">
      <c r="A888" s="20">
        <f t="shared" si="13"/>
        <v>884</v>
      </c>
      <c r="B888" s="21" t="s">
        <v>336</v>
      </c>
      <c r="C888" s="20" t="str">
        <f>IF(B888="","",IF(COUNTIF('01_Anggota'!$D$5:$D$1212,B888)=0,"NAMA TIDAK DITEMUKAN",INDEX('01_Anggota'!$B$5:$B$1212,MATCH(B888,'01_Anggota'!$D$5:$D$1212,0))))</f>
        <v>KKSUK-000137</v>
      </c>
      <c r="D888" s="23">
        <v>0</v>
      </c>
      <c r="E888" s="23">
        <v>500000</v>
      </c>
      <c r="F888" s="23">
        <v>100000</v>
      </c>
      <c r="G888" s="23">
        <v>0</v>
      </c>
      <c r="H888" s="42">
        <v>46136</v>
      </c>
      <c r="I888" s="21" t="s">
        <v>806</v>
      </c>
    </row>
    <row r="889" spans="1:9" ht="21" customHeight="1">
      <c r="A889" s="20">
        <f t="shared" si="13"/>
        <v>885</v>
      </c>
      <c r="B889" s="21" t="s">
        <v>336</v>
      </c>
      <c r="C889" s="20" t="str">
        <f>IF(B889="","",IF(COUNTIF('01_Anggota'!$D$5:$D$1212,B889)=0,"NAMA TIDAK DITEMUKAN",INDEX('01_Anggota'!$B$5:$B$1212,MATCH(B889,'01_Anggota'!$D$5:$D$1212,0))))</f>
        <v>KKSUK-000137</v>
      </c>
      <c r="D889" s="23">
        <v>0</v>
      </c>
      <c r="E889" s="23">
        <v>500000</v>
      </c>
      <c r="F889" s="23">
        <v>100000</v>
      </c>
      <c r="G889" s="23">
        <v>0</v>
      </c>
      <c r="H889" s="42">
        <v>46167</v>
      </c>
      <c r="I889" s="21" t="s">
        <v>807</v>
      </c>
    </row>
    <row r="890" spans="1:9" ht="21" customHeight="1">
      <c r="A890" s="20">
        <f t="shared" si="13"/>
        <v>886</v>
      </c>
      <c r="B890" s="21" t="s">
        <v>336</v>
      </c>
      <c r="C890" s="20" t="str">
        <f>IF(B890="","",IF(COUNTIF('01_Anggota'!$D$5:$D$1212,B890)=0,"NAMA TIDAK DITEMUKAN",INDEX('01_Anggota'!$B$5:$B$1212,MATCH(B890,'01_Anggota'!$D$5:$D$1212,0))))</f>
        <v>KKSUK-000137</v>
      </c>
      <c r="D890" s="23">
        <v>0</v>
      </c>
      <c r="E890" s="23">
        <v>500000</v>
      </c>
      <c r="F890" s="23">
        <v>100000</v>
      </c>
      <c r="G890" s="23">
        <v>0</v>
      </c>
      <c r="H890" s="42">
        <v>46198</v>
      </c>
      <c r="I890" s="21" t="s">
        <v>808</v>
      </c>
    </row>
    <row r="891" spans="1:9" ht="21" customHeight="1">
      <c r="A891" s="20">
        <f t="shared" si="13"/>
        <v>887</v>
      </c>
      <c r="B891" s="21" t="s">
        <v>336</v>
      </c>
      <c r="C891" s="20" t="str">
        <f>IF(B891="","",IF(COUNTIF('01_Anggota'!$D$5:$D$1212,B891)=0,"NAMA TIDAK DITEMUKAN",INDEX('01_Anggota'!$B$5:$B$1212,MATCH(B891,'01_Anggota'!$D$5:$D$1212,0))))</f>
        <v>KKSUK-000137</v>
      </c>
      <c r="D891" s="23">
        <v>0</v>
      </c>
      <c r="E891" s="23">
        <v>500000</v>
      </c>
      <c r="F891" s="23">
        <v>100000</v>
      </c>
      <c r="G891" s="23">
        <v>0</v>
      </c>
      <c r="H891" s="42">
        <v>46227</v>
      </c>
      <c r="I891" s="21" t="s">
        <v>809</v>
      </c>
    </row>
    <row r="892" spans="1:9" ht="21" customHeight="1">
      <c r="A892" s="20">
        <f t="shared" si="13"/>
        <v>888</v>
      </c>
      <c r="B892" s="21" t="s">
        <v>336</v>
      </c>
      <c r="C892" s="20" t="str">
        <f>IF(B892="","",IF(COUNTIF('01_Anggota'!$D$5:$D$1212,B892)=0,"NAMA TIDAK DITEMUKAN",INDEX('01_Anggota'!$B$5:$B$1212,MATCH(B892,'01_Anggota'!$D$5:$D$1212,0))))</f>
        <v>KKSUK-000137</v>
      </c>
      <c r="D892" s="23">
        <v>0</v>
      </c>
      <c r="E892" s="23">
        <v>500000</v>
      </c>
      <c r="F892" s="23">
        <v>100000</v>
      </c>
      <c r="G892" s="23">
        <v>0</v>
      </c>
      <c r="H892" s="42">
        <v>46258</v>
      </c>
      <c r="I892" s="21" t="s">
        <v>810</v>
      </c>
    </row>
    <row r="893" spans="1:9" ht="21" customHeight="1">
      <c r="A893" s="20">
        <f t="shared" si="13"/>
        <v>889</v>
      </c>
      <c r="B893" s="21" t="s">
        <v>276</v>
      </c>
      <c r="C893" s="20" t="str">
        <f>IF(B893="","",IF(COUNTIF('01_Anggota'!$D$5:$D$1212,B893)=0,"NAMA TIDAK DITEMUKAN",INDEX('01_Anggota'!$B$5:$B$1212,MATCH(B893,'01_Anggota'!$D$5:$D$1212,0))))</f>
        <v>KKSUK-000077</v>
      </c>
      <c r="D893" s="23">
        <v>0</v>
      </c>
      <c r="E893" s="23">
        <v>5100000</v>
      </c>
      <c r="F893" s="23">
        <v>12685283.3298823</v>
      </c>
      <c r="G893" s="23">
        <v>5039098</v>
      </c>
      <c r="H893" s="42">
        <v>46023</v>
      </c>
      <c r="I893" s="21" t="s">
        <v>802</v>
      </c>
    </row>
    <row r="894" spans="1:9" ht="21" customHeight="1">
      <c r="A894" s="20">
        <f t="shared" si="13"/>
        <v>890</v>
      </c>
      <c r="B894" s="21" t="s">
        <v>276</v>
      </c>
      <c r="C894" s="20" t="str">
        <f>IF(B894="","",IF(COUNTIF('01_Anggota'!$D$5:$D$1212,B894)=0,"NAMA TIDAK DITEMUKAN",INDEX('01_Anggota'!$B$5:$B$1212,MATCH(B894,'01_Anggota'!$D$5:$D$1212,0))))</f>
        <v>KKSUK-000077</v>
      </c>
      <c r="D894" s="23">
        <v>0</v>
      </c>
      <c r="E894" s="23">
        <v>300000</v>
      </c>
      <c r="F894" s="23">
        <v>100000</v>
      </c>
      <c r="G894" s="23">
        <v>0</v>
      </c>
      <c r="H894" s="42">
        <v>46045</v>
      </c>
      <c r="I894" s="21" t="s">
        <v>803</v>
      </c>
    </row>
    <row r="895" spans="1:9" ht="21" customHeight="1">
      <c r="A895" s="20">
        <f t="shared" si="13"/>
        <v>891</v>
      </c>
      <c r="B895" s="21" t="s">
        <v>276</v>
      </c>
      <c r="C895" s="20" t="str">
        <f>IF(B895="","",IF(COUNTIF('01_Anggota'!$D$5:$D$1212,B895)=0,"NAMA TIDAK DITEMUKAN",INDEX('01_Anggota'!$B$5:$B$1212,MATCH(B895,'01_Anggota'!$D$5:$D$1212,0))))</f>
        <v>KKSUK-000077</v>
      </c>
      <c r="D895" s="23">
        <v>0</v>
      </c>
      <c r="E895" s="23">
        <v>-2500000</v>
      </c>
      <c r="F895" s="23">
        <v>0</v>
      </c>
      <c r="G895" s="23">
        <v>0</v>
      </c>
      <c r="H895" s="42">
        <v>46045</v>
      </c>
      <c r="I895" s="21" t="s">
        <v>803</v>
      </c>
    </row>
    <row r="896" spans="1:9" ht="21" customHeight="1">
      <c r="A896" s="20">
        <f t="shared" si="13"/>
        <v>892</v>
      </c>
      <c r="B896" s="21" t="s">
        <v>276</v>
      </c>
      <c r="C896" s="20" t="str">
        <f>IF(B896="","",IF(COUNTIF('01_Anggota'!$D$5:$D$1212,B896)=0,"NAMA TIDAK DITEMUKAN",INDEX('01_Anggota'!$B$5:$B$1212,MATCH(B896,'01_Anggota'!$D$5:$D$1212,0))))</f>
        <v>KKSUK-000077</v>
      </c>
      <c r="D896" s="23">
        <v>0</v>
      </c>
      <c r="E896" s="23">
        <v>300000</v>
      </c>
      <c r="F896" s="23">
        <v>100000</v>
      </c>
      <c r="G896" s="23">
        <v>0</v>
      </c>
      <c r="H896" s="42">
        <v>46078</v>
      </c>
      <c r="I896" s="21" t="s">
        <v>804</v>
      </c>
    </row>
    <row r="897" spans="1:9" ht="21" customHeight="1">
      <c r="A897" s="20">
        <f t="shared" si="13"/>
        <v>893</v>
      </c>
      <c r="B897" s="21" t="s">
        <v>276</v>
      </c>
      <c r="C897" s="20" t="str">
        <f>IF(B897="","",IF(COUNTIF('01_Anggota'!$D$5:$D$1212,B897)=0,"NAMA TIDAK DITEMUKAN",INDEX('01_Anggota'!$B$5:$B$1212,MATCH(B897,'01_Anggota'!$D$5:$D$1212,0))))</f>
        <v>KKSUK-000077</v>
      </c>
      <c r="D897" s="23">
        <v>0</v>
      </c>
      <c r="E897" s="23">
        <v>300000</v>
      </c>
      <c r="F897" s="23">
        <v>100000</v>
      </c>
      <c r="G897" s="23">
        <v>0</v>
      </c>
      <c r="H897" s="42">
        <v>46106</v>
      </c>
      <c r="I897" s="21" t="s">
        <v>805</v>
      </c>
    </row>
    <row r="898" spans="1:9" ht="21" customHeight="1">
      <c r="A898" s="20">
        <f t="shared" si="13"/>
        <v>894</v>
      </c>
      <c r="B898" s="21" t="s">
        <v>276</v>
      </c>
      <c r="C898" s="20" t="str">
        <f>IF(B898="","",IF(COUNTIF('01_Anggota'!$D$5:$D$1212,B898)=0,"NAMA TIDAK DITEMUKAN",INDEX('01_Anggota'!$B$5:$B$1212,MATCH(B898,'01_Anggota'!$D$5:$D$1212,0))))</f>
        <v>KKSUK-000077</v>
      </c>
      <c r="D898" s="23">
        <v>0</v>
      </c>
      <c r="E898" s="23">
        <v>300000</v>
      </c>
      <c r="F898" s="23">
        <v>100000</v>
      </c>
      <c r="G898" s="23">
        <v>0</v>
      </c>
      <c r="H898" s="42">
        <v>46136</v>
      </c>
      <c r="I898" s="21" t="s">
        <v>806</v>
      </c>
    </row>
    <row r="899" spans="1:9" ht="21" customHeight="1">
      <c r="A899" s="20">
        <f t="shared" si="13"/>
        <v>895</v>
      </c>
      <c r="B899" s="21" t="s">
        <v>276</v>
      </c>
      <c r="C899" s="20" t="str">
        <f>IF(B899="","",IF(COUNTIF('01_Anggota'!$D$5:$D$1212,B899)=0,"NAMA TIDAK DITEMUKAN",INDEX('01_Anggota'!$B$5:$B$1212,MATCH(B899,'01_Anggota'!$D$5:$D$1212,0))))</f>
        <v>KKSUK-000077</v>
      </c>
      <c r="D899" s="23">
        <v>0</v>
      </c>
      <c r="E899" s="23">
        <v>300000</v>
      </c>
      <c r="F899" s="23">
        <v>100000</v>
      </c>
      <c r="G899" s="23">
        <v>0</v>
      </c>
      <c r="H899" s="42">
        <v>46167</v>
      </c>
      <c r="I899" s="21" t="s">
        <v>807</v>
      </c>
    </row>
    <row r="900" spans="1:9" ht="21" customHeight="1">
      <c r="A900" s="20">
        <f t="shared" ref="A900:A963" si="14">IF(B900="","",ROW()-4)</f>
        <v>896</v>
      </c>
      <c r="B900" s="21" t="s">
        <v>276</v>
      </c>
      <c r="C900" s="20" t="str">
        <f>IF(B900="","",IF(COUNTIF('01_Anggota'!$D$5:$D$1212,B900)=0,"NAMA TIDAK DITEMUKAN",INDEX('01_Anggota'!$B$5:$B$1212,MATCH(B900,'01_Anggota'!$D$5:$D$1212,0))))</f>
        <v>KKSUK-000077</v>
      </c>
      <c r="D900" s="23">
        <v>0</v>
      </c>
      <c r="E900" s="23">
        <v>300000</v>
      </c>
      <c r="F900" s="23">
        <v>100000</v>
      </c>
      <c r="G900" s="23">
        <v>0</v>
      </c>
      <c r="H900" s="42">
        <v>46198</v>
      </c>
      <c r="I900" s="21" t="s">
        <v>808</v>
      </c>
    </row>
    <row r="901" spans="1:9" ht="21" customHeight="1">
      <c r="A901" s="20">
        <f t="shared" si="14"/>
        <v>897</v>
      </c>
      <c r="B901" s="21" t="s">
        <v>276</v>
      </c>
      <c r="C901" s="20" t="str">
        <f>IF(B901="","",IF(COUNTIF('01_Anggota'!$D$5:$D$1212,B901)=0,"NAMA TIDAK DITEMUKAN",INDEX('01_Anggota'!$B$5:$B$1212,MATCH(B901,'01_Anggota'!$D$5:$D$1212,0))))</f>
        <v>KKSUK-000077</v>
      </c>
      <c r="D901" s="23">
        <v>0</v>
      </c>
      <c r="E901" s="23">
        <v>300000</v>
      </c>
      <c r="F901" s="23">
        <v>100000</v>
      </c>
      <c r="G901" s="23">
        <v>0</v>
      </c>
      <c r="H901" s="42">
        <v>46227</v>
      </c>
      <c r="I901" s="21" t="s">
        <v>809</v>
      </c>
    </row>
    <row r="902" spans="1:9" ht="21" customHeight="1">
      <c r="A902" s="20">
        <f t="shared" si="14"/>
        <v>898</v>
      </c>
      <c r="B902" s="21" t="s">
        <v>276</v>
      </c>
      <c r="C902" s="20" t="str">
        <f>IF(B902="","",IF(COUNTIF('01_Anggota'!$D$5:$D$1212,B902)=0,"NAMA TIDAK DITEMUKAN",INDEX('01_Anggota'!$B$5:$B$1212,MATCH(B902,'01_Anggota'!$D$5:$D$1212,0))))</f>
        <v>KKSUK-000077</v>
      </c>
      <c r="D902" s="23">
        <v>0</v>
      </c>
      <c r="E902" s="23">
        <v>300000</v>
      </c>
      <c r="F902" s="23">
        <v>100000</v>
      </c>
      <c r="G902" s="23">
        <v>0</v>
      </c>
      <c r="H902" s="42">
        <v>46258</v>
      </c>
      <c r="I902" s="21" t="s">
        <v>810</v>
      </c>
    </row>
    <row r="903" spans="1:9" ht="21" customHeight="1">
      <c r="A903" s="20">
        <f t="shared" si="14"/>
        <v>899</v>
      </c>
      <c r="B903" s="21" t="s">
        <v>308</v>
      </c>
      <c r="C903" s="20" t="str">
        <f>IF(B903="","",IF(COUNTIF('01_Anggota'!$D$5:$D$1212,B903)=0,"NAMA TIDAK DITEMUKAN",INDEX('01_Anggota'!$B$5:$B$1212,MATCH(B903,'01_Anggota'!$D$5:$D$1212,0))))</f>
        <v>KKSUK-000109</v>
      </c>
      <c r="D903" s="23">
        <v>0</v>
      </c>
      <c r="E903" s="23">
        <v>3500000</v>
      </c>
      <c r="F903" s="23">
        <v>3500000</v>
      </c>
      <c r="G903" s="23">
        <v>1217271</v>
      </c>
      <c r="H903" s="42">
        <v>46023</v>
      </c>
      <c r="I903" s="21" t="s">
        <v>802</v>
      </c>
    </row>
    <row r="904" spans="1:9" ht="21" customHeight="1">
      <c r="A904" s="20">
        <f t="shared" si="14"/>
        <v>900</v>
      </c>
      <c r="B904" s="21" t="s">
        <v>308</v>
      </c>
      <c r="C904" s="20" t="str">
        <f>IF(B904="","",IF(COUNTIF('01_Anggota'!$D$5:$D$1212,B904)=0,"NAMA TIDAK DITEMUKAN",INDEX('01_Anggota'!$B$5:$B$1212,MATCH(B904,'01_Anggota'!$D$5:$D$1212,0))))</f>
        <v>KKSUK-000109</v>
      </c>
      <c r="D904" s="23">
        <v>0</v>
      </c>
      <c r="E904" s="23">
        <v>100000</v>
      </c>
      <c r="F904" s="23">
        <v>100000</v>
      </c>
      <c r="G904" s="23">
        <v>0</v>
      </c>
      <c r="H904" s="42">
        <v>46045</v>
      </c>
      <c r="I904" s="21" t="s">
        <v>803</v>
      </c>
    </row>
    <row r="905" spans="1:9" ht="21" customHeight="1">
      <c r="A905" s="20">
        <f t="shared" si="14"/>
        <v>901</v>
      </c>
      <c r="B905" s="21" t="s">
        <v>308</v>
      </c>
      <c r="C905" s="20" t="str">
        <f>IF(B905="","",IF(COUNTIF('01_Anggota'!$D$5:$D$1212,B905)=0,"NAMA TIDAK DITEMUKAN",INDEX('01_Anggota'!$B$5:$B$1212,MATCH(B905,'01_Anggota'!$D$5:$D$1212,0))))</f>
        <v>KKSUK-000109</v>
      </c>
      <c r="D905" s="23">
        <v>0</v>
      </c>
      <c r="E905" s="23">
        <v>100000</v>
      </c>
      <c r="F905" s="23">
        <v>100000</v>
      </c>
      <c r="G905" s="23">
        <v>0</v>
      </c>
      <c r="H905" s="42">
        <v>46078</v>
      </c>
      <c r="I905" s="21" t="s">
        <v>804</v>
      </c>
    </row>
    <row r="906" spans="1:9" ht="21" customHeight="1">
      <c r="A906" s="20">
        <f t="shared" si="14"/>
        <v>902</v>
      </c>
      <c r="B906" s="21" t="s">
        <v>308</v>
      </c>
      <c r="C906" s="20" t="str">
        <f>IF(B906="","",IF(COUNTIF('01_Anggota'!$D$5:$D$1212,B906)=0,"NAMA TIDAK DITEMUKAN",INDEX('01_Anggota'!$B$5:$B$1212,MATCH(B906,'01_Anggota'!$D$5:$D$1212,0))))</f>
        <v>KKSUK-000109</v>
      </c>
      <c r="D906" s="23">
        <v>0</v>
      </c>
      <c r="E906" s="23">
        <v>100000</v>
      </c>
      <c r="F906" s="23">
        <v>100000</v>
      </c>
      <c r="G906" s="23">
        <v>0</v>
      </c>
      <c r="H906" s="42">
        <v>46106</v>
      </c>
      <c r="I906" s="21" t="s">
        <v>805</v>
      </c>
    </row>
    <row r="907" spans="1:9" ht="21" customHeight="1">
      <c r="A907" s="20">
        <f t="shared" si="14"/>
        <v>903</v>
      </c>
      <c r="B907" s="21" t="s">
        <v>308</v>
      </c>
      <c r="C907" s="20" t="str">
        <f>IF(B907="","",IF(COUNTIF('01_Anggota'!$D$5:$D$1212,B907)=0,"NAMA TIDAK DITEMUKAN",INDEX('01_Anggota'!$B$5:$B$1212,MATCH(B907,'01_Anggota'!$D$5:$D$1212,0))))</f>
        <v>KKSUK-000109</v>
      </c>
      <c r="D907" s="23">
        <v>0</v>
      </c>
      <c r="E907" s="23">
        <v>100000</v>
      </c>
      <c r="F907" s="23">
        <v>100000</v>
      </c>
      <c r="G907" s="23">
        <v>0</v>
      </c>
      <c r="H907" s="42">
        <v>46136</v>
      </c>
      <c r="I907" s="21" t="s">
        <v>806</v>
      </c>
    </row>
    <row r="908" spans="1:9" ht="21" customHeight="1">
      <c r="A908" s="20">
        <f t="shared" si="14"/>
        <v>904</v>
      </c>
      <c r="B908" s="21" t="s">
        <v>308</v>
      </c>
      <c r="C908" s="20" t="str">
        <f>IF(B908="","",IF(COUNTIF('01_Anggota'!$D$5:$D$1212,B908)=0,"NAMA TIDAK DITEMUKAN",INDEX('01_Anggota'!$B$5:$B$1212,MATCH(B908,'01_Anggota'!$D$5:$D$1212,0))))</f>
        <v>KKSUK-000109</v>
      </c>
      <c r="D908" s="23">
        <v>0</v>
      </c>
      <c r="E908" s="23">
        <v>100000</v>
      </c>
      <c r="F908" s="23">
        <v>100000</v>
      </c>
      <c r="G908" s="23">
        <v>0</v>
      </c>
      <c r="H908" s="42">
        <v>46167</v>
      </c>
      <c r="I908" s="21" t="s">
        <v>807</v>
      </c>
    </row>
    <row r="909" spans="1:9" ht="21" customHeight="1">
      <c r="A909" s="20">
        <f t="shared" si="14"/>
        <v>905</v>
      </c>
      <c r="B909" s="21" t="s">
        <v>308</v>
      </c>
      <c r="C909" s="20" t="str">
        <f>IF(B909="","",IF(COUNTIF('01_Anggota'!$D$5:$D$1212,B909)=0,"NAMA TIDAK DITEMUKAN",INDEX('01_Anggota'!$B$5:$B$1212,MATCH(B909,'01_Anggota'!$D$5:$D$1212,0))))</f>
        <v>KKSUK-000109</v>
      </c>
      <c r="D909" s="23">
        <v>0</v>
      </c>
      <c r="E909" s="23">
        <v>-3000000</v>
      </c>
      <c r="F909" s="23">
        <v>0</v>
      </c>
      <c r="G909" s="23">
        <v>0</v>
      </c>
      <c r="H909" s="42">
        <v>46198</v>
      </c>
      <c r="I909" s="21" t="s">
        <v>808</v>
      </c>
    </row>
    <row r="910" spans="1:9" ht="21" customHeight="1">
      <c r="A910" s="20">
        <f t="shared" si="14"/>
        <v>906</v>
      </c>
      <c r="B910" s="21" t="s">
        <v>308</v>
      </c>
      <c r="C910" s="20" t="str">
        <f>IF(B910="","",IF(COUNTIF('01_Anggota'!$D$5:$D$1212,B910)=0,"NAMA TIDAK DITEMUKAN",INDEX('01_Anggota'!$B$5:$B$1212,MATCH(B910,'01_Anggota'!$D$5:$D$1212,0))))</f>
        <v>KKSUK-000109</v>
      </c>
      <c r="D910" s="23">
        <v>0</v>
      </c>
      <c r="E910" s="23">
        <v>100000</v>
      </c>
      <c r="F910" s="23">
        <v>100000</v>
      </c>
      <c r="G910" s="23">
        <v>0</v>
      </c>
      <c r="H910" s="42">
        <v>46198</v>
      </c>
      <c r="I910" s="21" t="s">
        <v>808</v>
      </c>
    </row>
    <row r="911" spans="1:9" ht="21" customHeight="1">
      <c r="A911" s="20">
        <f t="shared" si="14"/>
        <v>907</v>
      </c>
      <c r="B911" s="21" t="s">
        <v>308</v>
      </c>
      <c r="C911" s="20" t="str">
        <f>IF(B911="","",IF(COUNTIF('01_Anggota'!$D$5:$D$1212,B911)=0,"NAMA TIDAK DITEMUKAN",INDEX('01_Anggota'!$B$5:$B$1212,MATCH(B911,'01_Anggota'!$D$5:$D$1212,0))))</f>
        <v>KKSUK-000109</v>
      </c>
      <c r="D911" s="23">
        <v>0</v>
      </c>
      <c r="E911" s="23">
        <v>100000</v>
      </c>
      <c r="F911" s="23">
        <v>100000</v>
      </c>
      <c r="G911" s="23">
        <v>0</v>
      </c>
      <c r="H911" s="42">
        <v>46227</v>
      </c>
      <c r="I911" s="21" t="s">
        <v>809</v>
      </c>
    </row>
    <row r="912" spans="1:9" ht="21" customHeight="1">
      <c r="A912" s="20">
        <f t="shared" si="14"/>
        <v>908</v>
      </c>
      <c r="B912" s="21" t="s">
        <v>308</v>
      </c>
      <c r="C912" s="20" t="str">
        <f>IF(B912="","",IF(COUNTIF('01_Anggota'!$D$5:$D$1212,B912)=0,"NAMA TIDAK DITEMUKAN",INDEX('01_Anggota'!$B$5:$B$1212,MATCH(B912,'01_Anggota'!$D$5:$D$1212,0))))</f>
        <v>KKSUK-000109</v>
      </c>
      <c r="D912" s="23">
        <v>0</v>
      </c>
      <c r="E912" s="23">
        <v>100000</v>
      </c>
      <c r="F912" s="23">
        <v>100000</v>
      </c>
      <c r="G912" s="23">
        <v>0</v>
      </c>
      <c r="H912" s="42">
        <v>46258</v>
      </c>
      <c r="I912" s="21" t="s">
        <v>810</v>
      </c>
    </row>
    <row r="913" spans="1:9" ht="21" customHeight="1">
      <c r="A913" s="20">
        <f t="shared" si="14"/>
        <v>909</v>
      </c>
      <c r="B913" s="21" t="s">
        <v>277</v>
      </c>
      <c r="C913" s="20" t="str">
        <f>IF(B913="","",IF(COUNTIF('01_Anggota'!$D$5:$D$1212,B913)=0,"NAMA TIDAK DITEMUKAN",INDEX('01_Anggota'!$B$5:$B$1212,MATCH(B913,'01_Anggota'!$D$5:$D$1212,0))))</f>
        <v>KKSUK-000078</v>
      </c>
      <c r="D913" s="23">
        <v>0</v>
      </c>
      <c r="E913" s="23">
        <v>2610000</v>
      </c>
      <c r="F913" s="23">
        <v>16320813.959870201</v>
      </c>
      <c r="G913" s="23">
        <v>4306062</v>
      </c>
      <c r="H913" s="42">
        <v>46023</v>
      </c>
      <c r="I913" s="21" t="s">
        <v>802</v>
      </c>
    </row>
    <row r="914" spans="1:9" ht="21" customHeight="1">
      <c r="A914" s="20">
        <f t="shared" si="14"/>
        <v>910</v>
      </c>
      <c r="B914" s="21" t="s">
        <v>277</v>
      </c>
      <c r="C914" s="20" t="str">
        <f>IF(B914="","",IF(COUNTIF('01_Anggota'!$D$5:$D$1212,B914)=0,"NAMA TIDAK DITEMUKAN",INDEX('01_Anggota'!$B$5:$B$1212,MATCH(B914,'01_Anggota'!$D$5:$D$1212,0))))</f>
        <v>KKSUK-000078</v>
      </c>
      <c r="D914" s="23">
        <v>0</v>
      </c>
      <c r="E914" s="23">
        <v>15000</v>
      </c>
      <c r="F914" s="23">
        <v>100000</v>
      </c>
      <c r="G914" s="23">
        <v>0</v>
      </c>
      <c r="H914" s="42">
        <v>46045</v>
      </c>
      <c r="I914" s="21" t="s">
        <v>803</v>
      </c>
    </row>
    <row r="915" spans="1:9" ht="21" customHeight="1">
      <c r="A915" s="20">
        <f t="shared" si="14"/>
        <v>911</v>
      </c>
      <c r="B915" s="21" t="s">
        <v>277</v>
      </c>
      <c r="C915" s="20" t="str">
        <f>IF(B915="","",IF(COUNTIF('01_Anggota'!$D$5:$D$1212,B915)=0,"NAMA TIDAK DITEMUKAN",INDEX('01_Anggota'!$B$5:$B$1212,MATCH(B915,'01_Anggota'!$D$5:$D$1212,0))))</f>
        <v>KKSUK-000078</v>
      </c>
      <c r="D915" s="23">
        <v>0</v>
      </c>
      <c r="E915" s="23">
        <v>15000</v>
      </c>
      <c r="F915" s="23">
        <v>100000</v>
      </c>
      <c r="G915" s="23">
        <v>0</v>
      </c>
      <c r="H915" s="42">
        <v>46078</v>
      </c>
      <c r="I915" s="21" t="s">
        <v>804</v>
      </c>
    </row>
    <row r="916" spans="1:9" ht="21" customHeight="1">
      <c r="A916" s="20">
        <f t="shared" si="14"/>
        <v>912</v>
      </c>
      <c r="B916" s="21" t="s">
        <v>277</v>
      </c>
      <c r="C916" s="20" t="str">
        <f>IF(B916="","",IF(COUNTIF('01_Anggota'!$D$5:$D$1212,B916)=0,"NAMA TIDAK DITEMUKAN",INDEX('01_Anggota'!$B$5:$B$1212,MATCH(B916,'01_Anggota'!$D$5:$D$1212,0))))</f>
        <v>KKSUK-000078</v>
      </c>
      <c r="D916" s="23">
        <v>0</v>
      </c>
      <c r="E916" s="23">
        <v>15000</v>
      </c>
      <c r="F916" s="23">
        <v>100000</v>
      </c>
      <c r="G916" s="23">
        <v>0</v>
      </c>
      <c r="H916" s="42">
        <v>46106</v>
      </c>
      <c r="I916" s="21" t="s">
        <v>805</v>
      </c>
    </row>
    <row r="917" spans="1:9" ht="21" customHeight="1">
      <c r="A917" s="20">
        <f t="shared" si="14"/>
        <v>913</v>
      </c>
      <c r="B917" s="21" t="s">
        <v>277</v>
      </c>
      <c r="C917" s="20" t="str">
        <f>IF(B917="","",IF(COUNTIF('01_Anggota'!$D$5:$D$1212,B917)=0,"NAMA TIDAK DITEMUKAN",INDEX('01_Anggota'!$B$5:$B$1212,MATCH(B917,'01_Anggota'!$D$5:$D$1212,0))))</f>
        <v>KKSUK-000078</v>
      </c>
      <c r="D917" s="23">
        <v>0</v>
      </c>
      <c r="E917" s="23">
        <v>15000</v>
      </c>
      <c r="F917" s="23">
        <v>100000</v>
      </c>
      <c r="G917" s="23">
        <v>0</v>
      </c>
      <c r="H917" s="42">
        <v>46136</v>
      </c>
      <c r="I917" s="21" t="s">
        <v>806</v>
      </c>
    </row>
    <row r="918" spans="1:9" ht="21" customHeight="1">
      <c r="A918" s="20">
        <f t="shared" si="14"/>
        <v>914</v>
      </c>
      <c r="B918" s="21" t="s">
        <v>277</v>
      </c>
      <c r="C918" s="20" t="str">
        <f>IF(B918="","",IF(COUNTIF('01_Anggota'!$D$5:$D$1212,B918)=0,"NAMA TIDAK DITEMUKAN",INDEX('01_Anggota'!$B$5:$B$1212,MATCH(B918,'01_Anggota'!$D$5:$D$1212,0))))</f>
        <v>KKSUK-000078</v>
      </c>
      <c r="D918" s="23">
        <v>0</v>
      </c>
      <c r="E918" s="23">
        <v>15000</v>
      </c>
      <c r="F918" s="23">
        <v>100000</v>
      </c>
      <c r="G918" s="23">
        <v>0</v>
      </c>
      <c r="H918" s="42">
        <v>46167</v>
      </c>
      <c r="I918" s="21" t="s">
        <v>807</v>
      </c>
    </row>
    <row r="919" spans="1:9" ht="21" customHeight="1">
      <c r="A919" s="20">
        <f t="shared" si="14"/>
        <v>915</v>
      </c>
      <c r="B919" s="21" t="s">
        <v>277</v>
      </c>
      <c r="C919" s="20" t="str">
        <f>IF(B919="","",IF(COUNTIF('01_Anggota'!$D$5:$D$1212,B919)=0,"NAMA TIDAK DITEMUKAN",INDEX('01_Anggota'!$B$5:$B$1212,MATCH(B919,'01_Anggota'!$D$5:$D$1212,0))))</f>
        <v>KKSUK-000078</v>
      </c>
      <c r="D919" s="23">
        <v>0</v>
      </c>
      <c r="E919" s="23">
        <v>15000</v>
      </c>
      <c r="F919" s="23">
        <v>100000</v>
      </c>
      <c r="G919" s="23">
        <v>0</v>
      </c>
      <c r="H919" s="42">
        <v>46198</v>
      </c>
      <c r="I919" s="21" t="s">
        <v>808</v>
      </c>
    </row>
    <row r="920" spans="1:9" ht="21" customHeight="1">
      <c r="A920" s="20">
        <f t="shared" si="14"/>
        <v>916</v>
      </c>
      <c r="B920" s="21" t="s">
        <v>277</v>
      </c>
      <c r="C920" s="20" t="str">
        <f>IF(B920="","",IF(COUNTIF('01_Anggota'!$D$5:$D$1212,B920)=0,"NAMA TIDAK DITEMUKAN",INDEX('01_Anggota'!$B$5:$B$1212,MATCH(B920,'01_Anggota'!$D$5:$D$1212,0))))</f>
        <v>KKSUK-000078</v>
      </c>
      <c r="D920" s="23">
        <v>0</v>
      </c>
      <c r="E920" s="23">
        <v>15000</v>
      </c>
      <c r="F920" s="23">
        <v>100000</v>
      </c>
      <c r="G920" s="23">
        <v>0</v>
      </c>
      <c r="H920" s="42">
        <v>46227</v>
      </c>
      <c r="I920" s="21" t="s">
        <v>809</v>
      </c>
    </row>
    <row r="921" spans="1:9" ht="21" customHeight="1">
      <c r="A921" s="20">
        <f t="shared" si="14"/>
        <v>917</v>
      </c>
      <c r="B921" s="21" t="s">
        <v>277</v>
      </c>
      <c r="C921" s="20" t="str">
        <f>IF(B921="","",IF(COUNTIF('01_Anggota'!$D$5:$D$1212,B921)=0,"NAMA TIDAK DITEMUKAN",INDEX('01_Anggota'!$B$5:$B$1212,MATCH(B921,'01_Anggota'!$D$5:$D$1212,0))))</f>
        <v>KKSUK-000078</v>
      </c>
      <c r="D921" s="23">
        <v>0</v>
      </c>
      <c r="E921" s="23">
        <v>15000</v>
      </c>
      <c r="F921" s="23">
        <v>100000</v>
      </c>
      <c r="G921" s="23">
        <v>0</v>
      </c>
      <c r="H921" s="42">
        <v>46258</v>
      </c>
      <c r="I921" s="21" t="s">
        <v>810</v>
      </c>
    </row>
    <row r="922" spans="1:9" ht="21" customHeight="1">
      <c r="A922" s="20">
        <f t="shared" si="14"/>
        <v>918</v>
      </c>
      <c r="B922" s="21" t="s">
        <v>259</v>
      </c>
      <c r="C922" s="20" t="str">
        <f>IF(B922="","",IF(COUNTIF('01_Anggota'!$D$5:$D$1212,B922)=0,"NAMA TIDAK DITEMUKAN",INDEX('01_Anggota'!$B$5:$B$1212,MATCH(B922,'01_Anggota'!$D$5:$D$1212,0))))</f>
        <v>KKSUK-000060</v>
      </c>
      <c r="D922" s="23">
        <v>0</v>
      </c>
      <c r="E922" s="23">
        <v>13381668</v>
      </c>
      <c r="F922" s="23">
        <v>5630030</v>
      </c>
      <c r="G922" s="23">
        <v>4736091</v>
      </c>
      <c r="H922" s="42">
        <v>46023</v>
      </c>
      <c r="I922" s="21" t="s">
        <v>802</v>
      </c>
    </row>
    <row r="923" spans="1:9" ht="21" customHeight="1">
      <c r="A923" s="20">
        <f t="shared" si="14"/>
        <v>919</v>
      </c>
      <c r="B923" s="21" t="s">
        <v>259</v>
      </c>
      <c r="C923" s="20" t="str">
        <f>IF(B923="","",IF(COUNTIF('01_Anggota'!$D$5:$D$1212,B923)=0,"NAMA TIDAK DITEMUKAN",INDEX('01_Anggota'!$B$5:$B$1212,MATCH(B923,'01_Anggota'!$D$5:$D$1212,0))))</f>
        <v>KKSUK-000060</v>
      </c>
      <c r="D923" s="23">
        <v>0</v>
      </c>
      <c r="E923" s="23">
        <v>400000</v>
      </c>
      <c r="F923" s="23">
        <v>100000</v>
      </c>
      <c r="G923" s="23">
        <v>0</v>
      </c>
      <c r="H923" s="42">
        <v>46045</v>
      </c>
      <c r="I923" s="21" t="s">
        <v>803</v>
      </c>
    </row>
    <row r="924" spans="1:9" ht="21" customHeight="1">
      <c r="A924" s="20">
        <f t="shared" si="14"/>
        <v>920</v>
      </c>
      <c r="B924" s="21" t="s">
        <v>259</v>
      </c>
      <c r="C924" s="20" t="str">
        <f>IF(B924="","",IF(COUNTIF('01_Anggota'!$D$5:$D$1212,B924)=0,"NAMA TIDAK DITEMUKAN",INDEX('01_Anggota'!$B$5:$B$1212,MATCH(B924,'01_Anggota'!$D$5:$D$1212,0))))</f>
        <v>KKSUK-000060</v>
      </c>
      <c r="D924" s="23">
        <v>0</v>
      </c>
      <c r="E924" s="23">
        <v>-3000000</v>
      </c>
      <c r="F924" s="23">
        <v>0</v>
      </c>
      <c r="G924" s="23">
        <v>0</v>
      </c>
      <c r="H924" s="42">
        <v>46045</v>
      </c>
      <c r="I924" s="21" t="s">
        <v>803</v>
      </c>
    </row>
    <row r="925" spans="1:9" ht="21" customHeight="1">
      <c r="A925" s="20">
        <f t="shared" si="14"/>
        <v>921</v>
      </c>
      <c r="B925" s="21" t="s">
        <v>259</v>
      </c>
      <c r="C925" s="20" t="str">
        <f>IF(B925="","",IF(COUNTIF('01_Anggota'!$D$5:$D$1212,B925)=0,"NAMA TIDAK DITEMUKAN",INDEX('01_Anggota'!$B$5:$B$1212,MATCH(B925,'01_Anggota'!$D$5:$D$1212,0))))</f>
        <v>KKSUK-000060</v>
      </c>
      <c r="D925" s="23">
        <v>0</v>
      </c>
      <c r="E925" s="23">
        <v>400000</v>
      </c>
      <c r="F925" s="23">
        <v>100000</v>
      </c>
      <c r="G925" s="23">
        <v>0</v>
      </c>
      <c r="H925" s="42">
        <v>46078</v>
      </c>
      <c r="I925" s="21" t="s">
        <v>804</v>
      </c>
    </row>
    <row r="926" spans="1:9" ht="21" customHeight="1">
      <c r="A926" s="20">
        <f t="shared" si="14"/>
        <v>922</v>
      </c>
      <c r="B926" s="21" t="s">
        <v>259</v>
      </c>
      <c r="C926" s="20" t="str">
        <f>IF(B926="","",IF(COUNTIF('01_Anggota'!$D$5:$D$1212,B926)=0,"NAMA TIDAK DITEMUKAN",INDEX('01_Anggota'!$B$5:$B$1212,MATCH(B926,'01_Anggota'!$D$5:$D$1212,0))))</f>
        <v>KKSUK-000060</v>
      </c>
      <c r="D926" s="23">
        <v>0</v>
      </c>
      <c r="E926" s="23">
        <v>400000</v>
      </c>
      <c r="F926" s="23">
        <v>100000</v>
      </c>
      <c r="G926" s="23">
        <v>0</v>
      </c>
      <c r="H926" s="42">
        <v>46106</v>
      </c>
      <c r="I926" s="21" t="s">
        <v>805</v>
      </c>
    </row>
    <row r="927" spans="1:9" ht="21" customHeight="1">
      <c r="A927" s="20">
        <f t="shared" si="14"/>
        <v>923</v>
      </c>
      <c r="B927" s="21" t="s">
        <v>259</v>
      </c>
      <c r="C927" s="20" t="str">
        <f>IF(B927="","",IF(COUNTIF('01_Anggota'!$D$5:$D$1212,B927)=0,"NAMA TIDAK DITEMUKAN",INDEX('01_Anggota'!$B$5:$B$1212,MATCH(B927,'01_Anggota'!$D$5:$D$1212,0))))</f>
        <v>KKSUK-000060</v>
      </c>
      <c r="D927" s="23">
        <v>0</v>
      </c>
      <c r="E927" s="23">
        <v>400000</v>
      </c>
      <c r="F927" s="23">
        <v>100000</v>
      </c>
      <c r="G927" s="23">
        <v>0</v>
      </c>
      <c r="H927" s="42">
        <v>46136</v>
      </c>
      <c r="I927" s="21" t="s">
        <v>806</v>
      </c>
    </row>
    <row r="928" spans="1:9" ht="21" customHeight="1">
      <c r="A928" s="20">
        <f t="shared" si="14"/>
        <v>924</v>
      </c>
      <c r="B928" s="21" t="s">
        <v>259</v>
      </c>
      <c r="C928" s="20" t="str">
        <f>IF(B928="","",IF(COUNTIF('01_Anggota'!$D$5:$D$1212,B928)=0,"NAMA TIDAK DITEMUKAN",INDEX('01_Anggota'!$B$5:$B$1212,MATCH(B928,'01_Anggota'!$D$5:$D$1212,0))))</f>
        <v>KKSUK-000060</v>
      </c>
      <c r="D928" s="23">
        <v>0</v>
      </c>
      <c r="E928" s="23">
        <v>400000</v>
      </c>
      <c r="F928" s="23">
        <v>100000</v>
      </c>
      <c r="G928" s="23">
        <v>0</v>
      </c>
      <c r="H928" s="42">
        <v>46167</v>
      </c>
      <c r="I928" s="21" t="s">
        <v>807</v>
      </c>
    </row>
    <row r="929" spans="1:9" ht="21" customHeight="1">
      <c r="A929" s="20">
        <f t="shared" si="14"/>
        <v>925</v>
      </c>
      <c r="B929" s="21" t="s">
        <v>259</v>
      </c>
      <c r="C929" s="20" t="str">
        <f>IF(B929="","",IF(COUNTIF('01_Anggota'!$D$5:$D$1212,B929)=0,"NAMA TIDAK DITEMUKAN",INDEX('01_Anggota'!$B$5:$B$1212,MATCH(B929,'01_Anggota'!$D$5:$D$1212,0))))</f>
        <v>KKSUK-000060</v>
      </c>
      <c r="D929" s="23">
        <v>0</v>
      </c>
      <c r="E929" s="23">
        <v>-12381668</v>
      </c>
      <c r="F929" s="23">
        <v>-6130030</v>
      </c>
      <c r="G929" s="23">
        <v>-4736091</v>
      </c>
      <c r="H929" s="42">
        <v>46198</v>
      </c>
      <c r="I929" s="21" t="s">
        <v>808</v>
      </c>
    </row>
    <row r="930" spans="1:9" ht="21" customHeight="1">
      <c r="A930" s="20">
        <f t="shared" si="14"/>
        <v>926</v>
      </c>
      <c r="B930" s="21" t="s">
        <v>397</v>
      </c>
      <c r="C930" s="20" t="str">
        <f>IF(B930="","",IF(COUNTIF('01_Anggota'!$D$5:$D$1212,B930)=0,"NAMA TIDAK DITEMUKAN",INDEX('01_Anggota'!$B$5:$B$1212,MATCH(B930,'01_Anggota'!$D$5:$D$1212,0))))</f>
        <v>KKSUK-000198</v>
      </c>
      <c r="D930" s="23">
        <v>0</v>
      </c>
      <c r="E930" s="23">
        <v>910000</v>
      </c>
      <c r="F930" s="23">
        <v>200000</v>
      </c>
      <c r="G930" s="23">
        <v>0</v>
      </c>
      <c r="H930" s="42">
        <v>46023</v>
      </c>
      <c r="I930" s="21" t="s">
        <v>802</v>
      </c>
    </row>
    <row r="931" spans="1:9" ht="21" customHeight="1">
      <c r="A931" s="20">
        <f t="shared" si="14"/>
        <v>927</v>
      </c>
      <c r="B931" s="21" t="s">
        <v>227</v>
      </c>
      <c r="C931" s="20" t="str">
        <f>IF(B931="","",IF(COUNTIF('01_Anggota'!$D$5:$D$1212,B931)=0,"NAMA TIDAK DITEMUKAN",INDEX('01_Anggota'!$B$5:$B$1212,MATCH(B931,'01_Anggota'!$D$5:$D$1212,0))))</f>
        <v>KKSUK-000028</v>
      </c>
      <c r="D931" s="23">
        <v>0</v>
      </c>
      <c r="E931" s="23">
        <v>2048058</v>
      </c>
      <c r="F931" s="23">
        <v>17492816.071637999</v>
      </c>
      <c r="G931" s="23">
        <v>5830118</v>
      </c>
      <c r="H931" s="42">
        <v>46023</v>
      </c>
      <c r="I931" s="21" t="s">
        <v>802</v>
      </c>
    </row>
    <row r="932" spans="1:9" ht="21" customHeight="1">
      <c r="A932" s="20">
        <f t="shared" si="14"/>
        <v>928</v>
      </c>
      <c r="B932" s="21" t="s">
        <v>227</v>
      </c>
      <c r="C932" s="20" t="str">
        <f>IF(B932="","",IF(COUNTIF('01_Anggota'!$D$5:$D$1212,B932)=0,"NAMA TIDAK DITEMUKAN",INDEX('01_Anggota'!$B$5:$B$1212,MATCH(B932,'01_Anggota'!$D$5:$D$1212,0))))</f>
        <v>KKSUK-000028</v>
      </c>
      <c r="D932" s="23">
        <v>0</v>
      </c>
      <c r="E932" s="23">
        <v>150000</v>
      </c>
      <c r="F932" s="23">
        <v>100000</v>
      </c>
      <c r="G932" s="23">
        <v>0</v>
      </c>
      <c r="H932" s="42">
        <v>46045</v>
      </c>
      <c r="I932" s="21" t="s">
        <v>803</v>
      </c>
    </row>
    <row r="933" spans="1:9" ht="21" customHeight="1">
      <c r="A933" s="20">
        <f t="shared" si="14"/>
        <v>929</v>
      </c>
      <c r="B933" s="21" t="s">
        <v>227</v>
      </c>
      <c r="C933" s="20" t="str">
        <f>IF(B933="","",IF(COUNTIF('01_Anggota'!$D$5:$D$1212,B933)=0,"NAMA TIDAK DITEMUKAN",INDEX('01_Anggota'!$B$5:$B$1212,MATCH(B933,'01_Anggota'!$D$5:$D$1212,0))))</f>
        <v>KKSUK-000028</v>
      </c>
      <c r="D933" s="23">
        <v>0</v>
      </c>
      <c r="E933" s="23">
        <v>400000</v>
      </c>
      <c r="F933" s="23">
        <v>100000</v>
      </c>
      <c r="G933" s="23">
        <v>0</v>
      </c>
      <c r="H933" s="42">
        <v>46078</v>
      </c>
      <c r="I933" s="21" t="s">
        <v>804</v>
      </c>
    </row>
    <row r="934" spans="1:9" ht="21" customHeight="1">
      <c r="A934" s="20">
        <f t="shared" si="14"/>
        <v>930</v>
      </c>
      <c r="B934" s="21" t="s">
        <v>227</v>
      </c>
      <c r="C934" s="20" t="str">
        <f>IF(B934="","",IF(COUNTIF('01_Anggota'!$D$5:$D$1212,B934)=0,"NAMA TIDAK DITEMUKAN",INDEX('01_Anggota'!$B$5:$B$1212,MATCH(B934,'01_Anggota'!$D$5:$D$1212,0))))</f>
        <v>KKSUK-000028</v>
      </c>
      <c r="D934" s="23">
        <v>0</v>
      </c>
      <c r="E934" s="23">
        <v>400000</v>
      </c>
      <c r="F934" s="23">
        <v>100000</v>
      </c>
      <c r="G934" s="23">
        <v>0</v>
      </c>
      <c r="H934" s="42">
        <v>46106</v>
      </c>
      <c r="I934" s="21" t="s">
        <v>805</v>
      </c>
    </row>
    <row r="935" spans="1:9" ht="21" customHeight="1">
      <c r="A935" s="20">
        <f t="shared" si="14"/>
        <v>931</v>
      </c>
      <c r="B935" s="21" t="s">
        <v>227</v>
      </c>
      <c r="C935" s="20" t="str">
        <f>IF(B935="","",IF(COUNTIF('01_Anggota'!$D$5:$D$1212,B935)=0,"NAMA TIDAK DITEMUKAN",INDEX('01_Anggota'!$B$5:$B$1212,MATCH(B935,'01_Anggota'!$D$5:$D$1212,0))))</f>
        <v>KKSUK-000028</v>
      </c>
      <c r="D935" s="23">
        <v>0</v>
      </c>
      <c r="E935" s="23">
        <v>400000</v>
      </c>
      <c r="F935" s="23">
        <v>100000</v>
      </c>
      <c r="G935" s="23">
        <v>0</v>
      </c>
      <c r="H935" s="42">
        <v>46136</v>
      </c>
      <c r="I935" s="21" t="s">
        <v>806</v>
      </c>
    </row>
    <row r="936" spans="1:9" ht="21" customHeight="1">
      <c r="A936" s="20">
        <f t="shared" si="14"/>
        <v>932</v>
      </c>
      <c r="B936" s="21" t="s">
        <v>227</v>
      </c>
      <c r="C936" s="20" t="str">
        <f>IF(B936="","",IF(COUNTIF('01_Anggota'!$D$5:$D$1212,B936)=0,"NAMA TIDAK DITEMUKAN",INDEX('01_Anggota'!$B$5:$B$1212,MATCH(B936,'01_Anggota'!$D$5:$D$1212,0))))</f>
        <v>KKSUK-000028</v>
      </c>
      <c r="D936" s="23">
        <v>0</v>
      </c>
      <c r="E936" s="23">
        <v>400000</v>
      </c>
      <c r="F936" s="23">
        <v>100000</v>
      </c>
      <c r="G936" s="23">
        <v>0</v>
      </c>
      <c r="H936" s="42">
        <v>46167</v>
      </c>
      <c r="I936" s="21" t="s">
        <v>807</v>
      </c>
    </row>
    <row r="937" spans="1:9" ht="21" customHeight="1">
      <c r="A937" s="20">
        <f t="shared" si="14"/>
        <v>933</v>
      </c>
      <c r="B937" s="21" t="s">
        <v>227</v>
      </c>
      <c r="C937" s="20" t="str">
        <f>IF(B937="","",IF(COUNTIF('01_Anggota'!$D$5:$D$1212,B937)=0,"NAMA TIDAK DITEMUKAN",INDEX('01_Anggota'!$B$5:$B$1212,MATCH(B937,'01_Anggota'!$D$5:$D$1212,0))))</f>
        <v>KKSUK-000028</v>
      </c>
      <c r="D937" s="23">
        <v>0</v>
      </c>
      <c r="E937" s="23">
        <v>400000</v>
      </c>
      <c r="F937" s="23">
        <v>100000</v>
      </c>
      <c r="G937" s="23">
        <v>0</v>
      </c>
      <c r="H937" s="42">
        <v>46198</v>
      </c>
      <c r="I937" s="21" t="s">
        <v>808</v>
      </c>
    </row>
    <row r="938" spans="1:9" ht="21" customHeight="1">
      <c r="A938" s="20">
        <f t="shared" si="14"/>
        <v>934</v>
      </c>
      <c r="B938" s="21" t="s">
        <v>227</v>
      </c>
      <c r="C938" s="20" t="str">
        <f>IF(B938="","",IF(COUNTIF('01_Anggota'!$D$5:$D$1212,B938)=0,"NAMA TIDAK DITEMUKAN",INDEX('01_Anggota'!$B$5:$B$1212,MATCH(B938,'01_Anggota'!$D$5:$D$1212,0))))</f>
        <v>KKSUK-000028</v>
      </c>
      <c r="D938" s="23">
        <v>0</v>
      </c>
      <c r="E938" s="23">
        <v>-2000000</v>
      </c>
      <c r="F938" s="23">
        <v>0</v>
      </c>
      <c r="G938" s="23">
        <v>0</v>
      </c>
      <c r="H938" s="42">
        <v>46198</v>
      </c>
      <c r="I938" s="21" t="s">
        <v>808</v>
      </c>
    </row>
    <row r="939" spans="1:9" ht="21" customHeight="1">
      <c r="A939" s="20">
        <f t="shared" si="14"/>
        <v>935</v>
      </c>
      <c r="B939" s="21" t="s">
        <v>227</v>
      </c>
      <c r="C939" s="20" t="str">
        <f>IF(B939="","",IF(COUNTIF('01_Anggota'!$D$5:$D$1212,B939)=0,"NAMA TIDAK DITEMUKAN",INDEX('01_Anggota'!$B$5:$B$1212,MATCH(B939,'01_Anggota'!$D$5:$D$1212,0))))</f>
        <v>KKSUK-000028</v>
      </c>
      <c r="D939" s="23">
        <v>0</v>
      </c>
      <c r="E939" s="23">
        <v>400000</v>
      </c>
      <c r="F939" s="23">
        <v>100000</v>
      </c>
      <c r="G939" s="23">
        <v>0</v>
      </c>
      <c r="H939" s="42">
        <v>46227</v>
      </c>
      <c r="I939" s="21" t="s">
        <v>809</v>
      </c>
    </row>
    <row r="940" spans="1:9" ht="21" customHeight="1">
      <c r="A940" s="20">
        <f t="shared" si="14"/>
        <v>936</v>
      </c>
      <c r="B940" s="21" t="s">
        <v>227</v>
      </c>
      <c r="C940" s="20" t="str">
        <f>IF(B940="","",IF(COUNTIF('01_Anggota'!$D$5:$D$1212,B940)=0,"NAMA TIDAK DITEMUKAN",INDEX('01_Anggota'!$B$5:$B$1212,MATCH(B940,'01_Anggota'!$D$5:$D$1212,0))))</f>
        <v>KKSUK-000028</v>
      </c>
      <c r="D940" s="23">
        <v>0</v>
      </c>
      <c r="E940" s="23">
        <v>400000</v>
      </c>
      <c r="F940" s="23">
        <v>100000</v>
      </c>
      <c r="G940" s="23">
        <v>0</v>
      </c>
      <c r="H940" s="42">
        <v>46258</v>
      </c>
      <c r="I940" s="21" t="s">
        <v>810</v>
      </c>
    </row>
    <row r="941" spans="1:9" ht="21" customHeight="1">
      <c r="A941" s="20">
        <f t="shared" si="14"/>
        <v>937</v>
      </c>
      <c r="B941" s="21" t="s">
        <v>229</v>
      </c>
      <c r="C941" s="20" t="str">
        <f>IF(B941="","",IF(COUNTIF('01_Anggota'!$D$5:$D$1212,B941)=0,"NAMA TIDAK DITEMUKAN",INDEX('01_Anggota'!$B$5:$B$1212,MATCH(B941,'01_Anggota'!$D$5:$D$1212,0))))</f>
        <v>KKSUK-000030</v>
      </c>
      <c r="D941" s="23">
        <v>0</v>
      </c>
      <c r="E941" s="23">
        <v>3720000</v>
      </c>
      <c r="F941" s="23">
        <v>17150843.784068301</v>
      </c>
      <c r="G941" s="23">
        <v>8269623</v>
      </c>
      <c r="H941" s="42">
        <v>46023</v>
      </c>
      <c r="I941" s="21" t="s">
        <v>802</v>
      </c>
    </row>
    <row r="942" spans="1:9" ht="21" customHeight="1">
      <c r="A942" s="20">
        <f t="shared" si="14"/>
        <v>938</v>
      </c>
      <c r="B942" s="21" t="s">
        <v>229</v>
      </c>
      <c r="C942" s="20" t="str">
        <f>IF(B942="","",IF(COUNTIF('01_Anggota'!$D$5:$D$1212,B942)=0,"NAMA TIDAK DITEMUKAN",INDEX('01_Anggota'!$B$5:$B$1212,MATCH(B942,'01_Anggota'!$D$5:$D$1212,0))))</f>
        <v>KKSUK-000030</v>
      </c>
      <c r="D942" s="23">
        <v>0</v>
      </c>
      <c r="E942" s="23">
        <v>100000</v>
      </c>
      <c r="F942" s="23">
        <v>100000</v>
      </c>
      <c r="G942" s="23">
        <v>0</v>
      </c>
      <c r="H942" s="42">
        <v>46045</v>
      </c>
      <c r="I942" s="21" t="s">
        <v>803</v>
      </c>
    </row>
    <row r="943" spans="1:9" ht="21" customHeight="1">
      <c r="A943" s="20">
        <f t="shared" si="14"/>
        <v>939</v>
      </c>
      <c r="B943" s="21" t="s">
        <v>229</v>
      </c>
      <c r="C943" s="20" t="str">
        <f>IF(B943="","",IF(COUNTIF('01_Anggota'!$D$5:$D$1212,B943)=0,"NAMA TIDAK DITEMUKAN",INDEX('01_Anggota'!$B$5:$B$1212,MATCH(B943,'01_Anggota'!$D$5:$D$1212,0))))</f>
        <v>KKSUK-000030</v>
      </c>
      <c r="D943" s="23">
        <v>0</v>
      </c>
      <c r="E943" s="23">
        <v>-2200000</v>
      </c>
      <c r="F943" s="23">
        <v>0</v>
      </c>
      <c r="G943" s="23">
        <v>0</v>
      </c>
      <c r="H943" s="42">
        <v>46045</v>
      </c>
      <c r="I943" s="21" t="s">
        <v>803</v>
      </c>
    </row>
    <row r="944" spans="1:9" ht="21" customHeight="1">
      <c r="A944" s="20">
        <f t="shared" si="14"/>
        <v>940</v>
      </c>
      <c r="B944" s="21" t="s">
        <v>229</v>
      </c>
      <c r="C944" s="20" t="str">
        <f>IF(B944="","",IF(COUNTIF('01_Anggota'!$D$5:$D$1212,B944)=0,"NAMA TIDAK DITEMUKAN",INDEX('01_Anggota'!$B$5:$B$1212,MATCH(B944,'01_Anggota'!$D$5:$D$1212,0))))</f>
        <v>KKSUK-000030</v>
      </c>
      <c r="D944" s="23">
        <v>0</v>
      </c>
      <c r="E944" s="23">
        <v>100000</v>
      </c>
      <c r="F944" s="23">
        <v>100000</v>
      </c>
      <c r="G944" s="23">
        <v>0</v>
      </c>
      <c r="H944" s="42">
        <v>46078</v>
      </c>
      <c r="I944" s="21" t="s">
        <v>804</v>
      </c>
    </row>
    <row r="945" spans="1:9" ht="21" customHeight="1">
      <c r="A945" s="20">
        <f t="shared" si="14"/>
        <v>941</v>
      </c>
      <c r="B945" s="21" t="s">
        <v>229</v>
      </c>
      <c r="C945" s="20" t="str">
        <f>IF(B945="","",IF(COUNTIF('01_Anggota'!$D$5:$D$1212,B945)=0,"NAMA TIDAK DITEMUKAN",INDEX('01_Anggota'!$B$5:$B$1212,MATCH(B945,'01_Anggota'!$D$5:$D$1212,0))))</f>
        <v>KKSUK-000030</v>
      </c>
      <c r="D945" s="23">
        <v>0</v>
      </c>
      <c r="E945" s="23">
        <v>100000</v>
      </c>
      <c r="F945" s="23">
        <v>100000</v>
      </c>
      <c r="G945" s="23">
        <v>0</v>
      </c>
      <c r="H945" s="42">
        <v>46106</v>
      </c>
      <c r="I945" s="21" t="s">
        <v>805</v>
      </c>
    </row>
    <row r="946" spans="1:9" ht="21" customHeight="1">
      <c r="A946" s="20">
        <f t="shared" si="14"/>
        <v>942</v>
      </c>
      <c r="B946" s="21" t="s">
        <v>229</v>
      </c>
      <c r="C946" s="20" t="str">
        <f>IF(B946="","",IF(COUNTIF('01_Anggota'!$D$5:$D$1212,B946)=0,"NAMA TIDAK DITEMUKAN",INDEX('01_Anggota'!$B$5:$B$1212,MATCH(B946,'01_Anggota'!$D$5:$D$1212,0))))</f>
        <v>KKSUK-000030</v>
      </c>
      <c r="D946" s="23">
        <v>0</v>
      </c>
      <c r="E946" s="23">
        <v>100000</v>
      </c>
      <c r="F946" s="23">
        <v>100000</v>
      </c>
      <c r="G946" s="23">
        <v>0</v>
      </c>
      <c r="H946" s="42">
        <v>46136</v>
      </c>
      <c r="I946" s="21" t="s">
        <v>806</v>
      </c>
    </row>
    <row r="947" spans="1:9" ht="21" customHeight="1">
      <c r="A947" s="20">
        <f t="shared" si="14"/>
        <v>943</v>
      </c>
      <c r="B947" s="21" t="s">
        <v>229</v>
      </c>
      <c r="C947" s="20" t="str">
        <f>IF(B947="","",IF(COUNTIF('01_Anggota'!$D$5:$D$1212,B947)=0,"NAMA TIDAK DITEMUKAN",INDEX('01_Anggota'!$B$5:$B$1212,MATCH(B947,'01_Anggota'!$D$5:$D$1212,0))))</f>
        <v>KKSUK-000030</v>
      </c>
      <c r="D947" s="23">
        <v>0</v>
      </c>
      <c r="E947" s="23">
        <v>100000</v>
      </c>
      <c r="F947" s="23">
        <v>100000</v>
      </c>
      <c r="G947" s="23">
        <v>0</v>
      </c>
      <c r="H947" s="42">
        <v>46167</v>
      </c>
      <c r="I947" s="21" t="s">
        <v>807</v>
      </c>
    </row>
    <row r="948" spans="1:9" ht="21" customHeight="1">
      <c r="A948" s="20">
        <f t="shared" si="14"/>
        <v>944</v>
      </c>
      <c r="B948" s="21" t="s">
        <v>229</v>
      </c>
      <c r="C948" s="20" t="str">
        <f>IF(B948="","",IF(COUNTIF('01_Anggota'!$D$5:$D$1212,B948)=0,"NAMA TIDAK DITEMUKAN",INDEX('01_Anggota'!$B$5:$B$1212,MATCH(B948,'01_Anggota'!$D$5:$D$1212,0))))</f>
        <v>KKSUK-000030</v>
      </c>
      <c r="D948" s="23">
        <v>0</v>
      </c>
      <c r="E948" s="23">
        <v>100000</v>
      </c>
      <c r="F948" s="23">
        <v>100000</v>
      </c>
      <c r="G948" s="23">
        <v>0</v>
      </c>
      <c r="H948" s="42">
        <v>46198</v>
      </c>
      <c r="I948" s="21" t="s">
        <v>808</v>
      </c>
    </row>
    <row r="949" spans="1:9" ht="21" customHeight="1">
      <c r="A949" s="20">
        <f t="shared" si="14"/>
        <v>945</v>
      </c>
      <c r="B949" s="21" t="s">
        <v>229</v>
      </c>
      <c r="C949" s="20" t="str">
        <f>IF(B949="","",IF(COUNTIF('01_Anggota'!$D$5:$D$1212,B949)=0,"NAMA TIDAK DITEMUKAN",INDEX('01_Anggota'!$B$5:$B$1212,MATCH(B949,'01_Anggota'!$D$5:$D$1212,0))))</f>
        <v>KKSUK-000030</v>
      </c>
      <c r="D949" s="23">
        <v>0</v>
      </c>
      <c r="E949" s="23">
        <v>100000</v>
      </c>
      <c r="F949" s="23">
        <v>100000</v>
      </c>
      <c r="G949" s="23">
        <v>0</v>
      </c>
      <c r="H949" s="42">
        <v>46227</v>
      </c>
      <c r="I949" s="21" t="s">
        <v>809</v>
      </c>
    </row>
    <row r="950" spans="1:9" ht="21" customHeight="1">
      <c r="A950" s="20">
        <f t="shared" si="14"/>
        <v>946</v>
      </c>
      <c r="B950" s="21" t="s">
        <v>229</v>
      </c>
      <c r="C950" s="20" t="str">
        <f>IF(B950="","",IF(COUNTIF('01_Anggota'!$D$5:$D$1212,B950)=0,"NAMA TIDAK DITEMUKAN",INDEX('01_Anggota'!$B$5:$B$1212,MATCH(B950,'01_Anggota'!$D$5:$D$1212,0))))</f>
        <v>KKSUK-000030</v>
      </c>
      <c r="D950" s="23">
        <v>0</v>
      </c>
      <c r="E950" s="23">
        <v>100000</v>
      </c>
      <c r="F950" s="23">
        <v>100000</v>
      </c>
      <c r="G950" s="23">
        <v>0</v>
      </c>
      <c r="H950" s="42">
        <v>46258</v>
      </c>
      <c r="I950" s="21" t="s">
        <v>810</v>
      </c>
    </row>
    <row r="951" spans="1:9" ht="21" customHeight="1">
      <c r="A951" s="20">
        <f t="shared" si="14"/>
        <v>947</v>
      </c>
      <c r="B951" s="21" t="s">
        <v>228</v>
      </c>
      <c r="C951" s="20" t="str">
        <f>IF(B951="","",IF(COUNTIF('01_Anggota'!$D$5:$D$1212,B951)=0,"NAMA TIDAK DITEMUKAN",INDEX('01_Anggota'!$B$5:$B$1212,MATCH(B951,'01_Anggota'!$D$5:$D$1212,0))))</f>
        <v>KKSUK-000029</v>
      </c>
      <c r="D951" s="23">
        <v>0</v>
      </c>
      <c r="E951" s="23">
        <v>5075000</v>
      </c>
      <c r="F951" s="23">
        <v>11398737.1023752</v>
      </c>
      <c r="G951" s="23">
        <v>2995908</v>
      </c>
      <c r="H951" s="42">
        <v>46023</v>
      </c>
      <c r="I951" s="21" t="s">
        <v>802</v>
      </c>
    </row>
    <row r="952" spans="1:9" ht="21" customHeight="1">
      <c r="A952" s="20">
        <f t="shared" si="14"/>
        <v>948</v>
      </c>
      <c r="B952" s="21" t="s">
        <v>228</v>
      </c>
      <c r="C952" s="20" t="str">
        <f>IF(B952="","",IF(COUNTIF('01_Anggota'!$D$5:$D$1212,B952)=0,"NAMA TIDAK DITEMUKAN",INDEX('01_Anggota'!$B$5:$B$1212,MATCH(B952,'01_Anggota'!$D$5:$D$1212,0))))</f>
        <v>KKSUK-000029</v>
      </c>
      <c r="D952" s="23">
        <v>0</v>
      </c>
      <c r="E952" s="23">
        <v>150000</v>
      </c>
      <c r="F952" s="23">
        <v>100000</v>
      </c>
      <c r="G952" s="23">
        <v>0</v>
      </c>
      <c r="H952" s="42">
        <v>46045</v>
      </c>
      <c r="I952" s="21" t="s">
        <v>803</v>
      </c>
    </row>
    <row r="953" spans="1:9" ht="21" customHeight="1">
      <c r="A953" s="20">
        <f t="shared" si="14"/>
        <v>949</v>
      </c>
      <c r="B953" s="21" t="s">
        <v>228</v>
      </c>
      <c r="C953" s="20" t="str">
        <f>IF(B953="","",IF(COUNTIF('01_Anggota'!$D$5:$D$1212,B953)=0,"NAMA TIDAK DITEMUKAN",INDEX('01_Anggota'!$B$5:$B$1212,MATCH(B953,'01_Anggota'!$D$5:$D$1212,0))))</f>
        <v>KKSUK-000029</v>
      </c>
      <c r="D953" s="23">
        <v>0</v>
      </c>
      <c r="E953" s="23">
        <v>-5225000</v>
      </c>
      <c r="F953" s="23">
        <v>-11498737</v>
      </c>
      <c r="G953" s="23">
        <v>-2995908</v>
      </c>
      <c r="H953" s="42">
        <v>46078</v>
      </c>
      <c r="I953" s="21" t="s">
        <v>804</v>
      </c>
    </row>
    <row r="954" spans="1:9" ht="21" customHeight="1">
      <c r="A954" s="20">
        <f t="shared" si="14"/>
        <v>950</v>
      </c>
      <c r="B954" s="21" t="s">
        <v>255</v>
      </c>
      <c r="C954" s="20" t="str">
        <f>IF(B954="","",IF(COUNTIF('01_Anggota'!$D$5:$D$1212,B954)=0,"NAMA TIDAK DITEMUKAN",INDEX('01_Anggota'!$B$5:$B$1212,MATCH(B954,'01_Anggota'!$D$5:$D$1212,0))))</f>
        <v>KKSUK-000056</v>
      </c>
      <c r="D954" s="23">
        <v>0</v>
      </c>
      <c r="E954" s="23">
        <v>1300000</v>
      </c>
      <c r="F954" s="23">
        <v>4300000</v>
      </c>
      <c r="G954" s="23">
        <v>1731515</v>
      </c>
      <c r="H954" s="42">
        <v>46023</v>
      </c>
      <c r="I954" s="21" t="s">
        <v>802</v>
      </c>
    </row>
    <row r="955" spans="1:9" ht="21" customHeight="1">
      <c r="A955" s="20">
        <f t="shared" si="14"/>
        <v>951</v>
      </c>
      <c r="B955" s="21" t="s">
        <v>255</v>
      </c>
      <c r="C955" s="20" t="str">
        <f>IF(B955="","",IF(COUNTIF('01_Anggota'!$D$5:$D$1212,B955)=0,"NAMA TIDAK DITEMUKAN",INDEX('01_Anggota'!$B$5:$B$1212,MATCH(B955,'01_Anggota'!$D$5:$D$1212,0))))</f>
        <v>KKSUK-000056</v>
      </c>
      <c r="D955" s="23">
        <v>0</v>
      </c>
      <c r="E955" s="23">
        <v>100000</v>
      </c>
      <c r="F955" s="23">
        <v>100000</v>
      </c>
      <c r="G955" s="23">
        <v>0</v>
      </c>
      <c r="H955" s="42">
        <v>46045</v>
      </c>
      <c r="I955" s="21" t="s">
        <v>803</v>
      </c>
    </row>
    <row r="956" spans="1:9" ht="21" customHeight="1">
      <c r="A956" s="20">
        <f t="shared" si="14"/>
        <v>952</v>
      </c>
      <c r="B956" s="21" t="s">
        <v>255</v>
      </c>
      <c r="C956" s="20" t="str">
        <f>IF(B956="","",IF(COUNTIF('01_Anggota'!$D$5:$D$1212,B956)=0,"NAMA TIDAK DITEMUKAN",INDEX('01_Anggota'!$B$5:$B$1212,MATCH(B956,'01_Anggota'!$D$5:$D$1212,0))))</f>
        <v>KKSUK-000056</v>
      </c>
      <c r="D956" s="23">
        <v>0</v>
      </c>
      <c r="E956" s="23">
        <v>100000</v>
      </c>
      <c r="F956" s="23">
        <v>100000</v>
      </c>
      <c r="G956" s="23">
        <v>0</v>
      </c>
      <c r="H956" s="42">
        <v>46078</v>
      </c>
      <c r="I956" s="21" t="s">
        <v>804</v>
      </c>
    </row>
    <row r="957" spans="1:9" ht="21" customHeight="1">
      <c r="A957" s="20">
        <f t="shared" si="14"/>
        <v>953</v>
      </c>
      <c r="B957" s="21" t="s">
        <v>255</v>
      </c>
      <c r="C957" s="20" t="str">
        <f>IF(B957="","",IF(COUNTIF('01_Anggota'!$D$5:$D$1212,B957)=0,"NAMA TIDAK DITEMUKAN",INDEX('01_Anggota'!$B$5:$B$1212,MATCH(B957,'01_Anggota'!$D$5:$D$1212,0))))</f>
        <v>KKSUK-000056</v>
      </c>
      <c r="D957" s="23">
        <v>0</v>
      </c>
      <c r="E957" s="23">
        <v>100000</v>
      </c>
      <c r="F957" s="23">
        <v>100000</v>
      </c>
      <c r="G957" s="23">
        <v>0</v>
      </c>
      <c r="H957" s="42">
        <v>46106</v>
      </c>
      <c r="I957" s="21" t="s">
        <v>805</v>
      </c>
    </row>
    <row r="958" spans="1:9" ht="21" customHeight="1">
      <c r="A958" s="20">
        <f t="shared" si="14"/>
        <v>954</v>
      </c>
      <c r="B958" s="21" t="s">
        <v>255</v>
      </c>
      <c r="C958" s="20" t="str">
        <f>IF(B958="","",IF(COUNTIF('01_Anggota'!$D$5:$D$1212,B958)=0,"NAMA TIDAK DITEMUKAN",INDEX('01_Anggota'!$B$5:$B$1212,MATCH(B958,'01_Anggota'!$D$5:$D$1212,0))))</f>
        <v>KKSUK-000056</v>
      </c>
      <c r="D958" s="23">
        <v>0</v>
      </c>
      <c r="E958" s="23">
        <v>100000</v>
      </c>
      <c r="F958" s="23">
        <v>100000</v>
      </c>
      <c r="G958" s="23">
        <v>0</v>
      </c>
      <c r="H958" s="42">
        <v>46136</v>
      </c>
      <c r="I958" s="21" t="s">
        <v>806</v>
      </c>
    </row>
    <row r="959" spans="1:9" ht="21" customHeight="1">
      <c r="A959" s="20">
        <f t="shared" si="14"/>
        <v>955</v>
      </c>
      <c r="B959" s="21" t="s">
        <v>255</v>
      </c>
      <c r="C959" s="20" t="str">
        <f>IF(B959="","",IF(COUNTIF('01_Anggota'!$D$5:$D$1212,B959)=0,"NAMA TIDAK DITEMUKAN",INDEX('01_Anggota'!$B$5:$B$1212,MATCH(B959,'01_Anggota'!$D$5:$D$1212,0))))</f>
        <v>KKSUK-000056</v>
      </c>
      <c r="D959" s="23">
        <v>0</v>
      </c>
      <c r="E959" s="23">
        <v>100000</v>
      </c>
      <c r="F959" s="23">
        <v>100000</v>
      </c>
      <c r="G959" s="23">
        <v>0</v>
      </c>
      <c r="H959" s="42">
        <v>46167</v>
      </c>
      <c r="I959" s="21" t="s">
        <v>807</v>
      </c>
    </row>
    <row r="960" spans="1:9" ht="21" customHeight="1">
      <c r="A960" s="20">
        <f t="shared" si="14"/>
        <v>956</v>
      </c>
      <c r="B960" s="21" t="s">
        <v>255</v>
      </c>
      <c r="C960" s="20" t="str">
        <f>IF(B960="","",IF(COUNTIF('01_Anggota'!$D$5:$D$1212,B960)=0,"NAMA TIDAK DITEMUKAN",INDEX('01_Anggota'!$B$5:$B$1212,MATCH(B960,'01_Anggota'!$D$5:$D$1212,0))))</f>
        <v>KKSUK-000056</v>
      </c>
      <c r="D960" s="23">
        <v>0</v>
      </c>
      <c r="E960" s="23">
        <v>100000</v>
      </c>
      <c r="F960" s="23">
        <v>100000</v>
      </c>
      <c r="G960" s="23">
        <v>0</v>
      </c>
      <c r="H960" s="42">
        <v>46198</v>
      </c>
      <c r="I960" s="21" t="s">
        <v>808</v>
      </c>
    </row>
    <row r="961" spans="1:9" ht="21" customHeight="1">
      <c r="A961" s="20">
        <f t="shared" si="14"/>
        <v>957</v>
      </c>
      <c r="B961" s="21" t="s">
        <v>255</v>
      </c>
      <c r="C961" s="20" t="str">
        <f>IF(B961="","",IF(COUNTIF('01_Anggota'!$D$5:$D$1212,B961)=0,"NAMA TIDAK DITEMUKAN",INDEX('01_Anggota'!$B$5:$B$1212,MATCH(B961,'01_Anggota'!$D$5:$D$1212,0))))</f>
        <v>KKSUK-000056</v>
      </c>
      <c r="D961" s="23">
        <v>0</v>
      </c>
      <c r="E961" s="23">
        <v>-1000000</v>
      </c>
      <c r="F961" s="23">
        <v>0</v>
      </c>
      <c r="G961" s="23">
        <v>0</v>
      </c>
      <c r="H961" s="42">
        <v>46227</v>
      </c>
      <c r="I961" s="21" t="s">
        <v>809</v>
      </c>
    </row>
    <row r="962" spans="1:9" ht="21" customHeight="1">
      <c r="A962" s="20">
        <f t="shared" si="14"/>
        <v>958</v>
      </c>
      <c r="B962" s="21" t="s">
        <v>255</v>
      </c>
      <c r="C962" s="20" t="str">
        <f>IF(B962="","",IF(COUNTIF('01_Anggota'!$D$5:$D$1212,B962)=0,"NAMA TIDAK DITEMUKAN",INDEX('01_Anggota'!$B$5:$B$1212,MATCH(B962,'01_Anggota'!$D$5:$D$1212,0))))</f>
        <v>KKSUK-000056</v>
      </c>
      <c r="D962" s="23">
        <v>0</v>
      </c>
      <c r="E962" s="23">
        <v>100000</v>
      </c>
      <c r="F962" s="23">
        <v>100000</v>
      </c>
      <c r="G962" s="23">
        <v>0</v>
      </c>
      <c r="H962" s="42">
        <v>46227</v>
      </c>
      <c r="I962" s="21" t="s">
        <v>809</v>
      </c>
    </row>
    <row r="963" spans="1:9" ht="21" customHeight="1">
      <c r="A963" s="20">
        <f t="shared" si="14"/>
        <v>959</v>
      </c>
      <c r="B963" s="21" t="s">
        <v>255</v>
      </c>
      <c r="C963" s="20" t="str">
        <f>IF(B963="","",IF(COUNTIF('01_Anggota'!$D$5:$D$1212,B963)=0,"NAMA TIDAK DITEMUKAN",INDEX('01_Anggota'!$B$5:$B$1212,MATCH(B963,'01_Anggota'!$D$5:$D$1212,0))))</f>
        <v>KKSUK-000056</v>
      </c>
      <c r="D963" s="23">
        <v>0</v>
      </c>
      <c r="E963" s="23">
        <v>100000</v>
      </c>
      <c r="F963" s="23">
        <v>100000</v>
      </c>
      <c r="G963" s="23">
        <v>0</v>
      </c>
      <c r="H963" s="42">
        <v>46258</v>
      </c>
      <c r="I963" s="21" t="s">
        <v>810</v>
      </c>
    </row>
    <row r="964" spans="1:9" ht="21" customHeight="1">
      <c r="A964" s="20">
        <f t="shared" ref="A964:A1003" si="15">IF(B964="","",ROW()-4)</f>
        <v>960</v>
      </c>
      <c r="B964" s="21" t="s">
        <v>405</v>
      </c>
      <c r="C964" s="20" t="str">
        <f>IF(B964="","",IF(COUNTIF('01_Anggota'!$D$5:$D$1212,B964)=0,"NAMA TIDAK DITEMUKAN",INDEX('01_Anggota'!$B$5:$B$1212,MATCH(B964,'01_Anggota'!$D$5:$D$1212,0))))</f>
        <v>KKSUK-000206</v>
      </c>
      <c r="D964" s="23">
        <v>0</v>
      </c>
      <c r="E964" s="23">
        <v>30000</v>
      </c>
      <c r="F964" s="23">
        <v>100000</v>
      </c>
      <c r="G964" s="23">
        <v>0</v>
      </c>
      <c r="H964" s="42">
        <v>46198</v>
      </c>
      <c r="I964" s="21" t="s">
        <v>808</v>
      </c>
    </row>
    <row r="965" spans="1:9" ht="21" customHeight="1">
      <c r="A965" s="20">
        <f t="shared" si="15"/>
        <v>961</v>
      </c>
      <c r="B965" s="21" t="s">
        <v>405</v>
      </c>
      <c r="C965" s="20" t="str">
        <f>IF(B965="","",IF(COUNTIF('01_Anggota'!$D$5:$D$1212,B965)=0,"NAMA TIDAK DITEMUKAN",INDEX('01_Anggota'!$B$5:$B$1212,MATCH(B965,'01_Anggota'!$D$5:$D$1212,0))))</f>
        <v>KKSUK-000206</v>
      </c>
      <c r="D965" s="23">
        <v>0</v>
      </c>
      <c r="E965" s="23">
        <v>80000</v>
      </c>
      <c r="F965" s="23">
        <v>100000</v>
      </c>
      <c r="G965" s="23">
        <v>0</v>
      </c>
      <c r="H965" s="42">
        <v>46227</v>
      </c>
      <c r="I965" s="21" t="s">
        <v>809</v>
      </c>
    </row>
    <row r="966" spans="1:9" ht="21" customHeight="1">
      <c r="A966" s="20">
        <f t="shared" si="15"/>
        <v>962</v>
      </c>
      <c r="B966" s="21" t="s">
        <v>405</v>
      </c>
      <c r="C966" s="20" t="str">
        <f>IF(B966="","",IF(COUNTIF('01_Anggota'!$D$5:$D$1212,B966)=0,"NAMA TIDAK DITEMUKAN",INDEX('01_Anggota'!$B$5:$B$1212,MATCH(B966,'01_Anggota'!$D$5:$D$1212,0))))</f>
        <v>KKSUK-000206</v>
      </c>
      <c r="D966" s="23">
        <v>0</v>
      </c>
      <c r="E966" s="23">
        <v>80000</v>
      </c>
      <c r="F966" s="23">
        <v>100000</v>
      </c>
      <c r="G966" s="23">
        <v>0</v>
      </c>
      <c r="H966" s="42">
        <v>46258</v>
      </c>
      <c r="I966" s="21" t="s">
        <v>810</v>
      </c>
    </row>
    <row r="967" spans="1:9" ht="21" customHeight="1">
      <c r="A967" s="20">
        <f t="shared" si="15"/>
        <v>963</v>
      </c>
      <c r="B967" s="21" t="s">
        <v>297</v>
      </c>
      <c r="C967" s="20" t="str">
        <f>IF(B967="","",IF(COUNTIF('01_Anggota'!$D$5:$D$1212,B967)=0,"NAMA TIDAK DITEMUKAN",INDEX('01_Anggota'!$B$5:$B$1212,MATCH(B967,'01_Anggota'!$D$5:$D$1212,0))))</f>
        <v>KKSUK-000098</v>
      </c>
      <c r="D967" s="23">
        <v>0</v>
      </c>
      <c r="E967" s="23">
        <v>8720000</v>
      </c>
      <c r="F967" s="23">
        <v>11230749</v>
      </c>
      <c r="G967" s="23">
        <v>5314988</v>
      </c>
      <c r="H967" s="42">
        <v>46023</v>
      </c>
      <c r="I967" s="21" t="s">
        <v>802</v>
      </c>
    </row>
    <row r="968" spans="1:9" ht="21" customHeight="1">
      <c r="A968" s="20">
        <f t="shared" si="15"/>
        <v>964</v>
      </c>
      <c r="B968" s="21" t="s">
        <v>297</v>
      </c>
      <c r="C968" s="20" t="str">
        <f>IF(B968="","",IF(COUNTIF('01_Anggota'!$D$5:$D$1212,B968)=0,"NAMA TIDAK DITEMUKAN",INDEX('01_Anggota'!$B$5:$B$1212,MATCH(B968,'01_Anggota'!$D$5:$D$1212,0))))</f>
        <v>KKSUK-000098</v>
      </c>
      <c r="D968" s="23">
        <v>0</v>
      </c>
      <c r="E968" s="23">
        <v>0</v>
      </c>
      <c r="F968" s="23">
        <v>0</v>
      </c>
      <c r="G968" s="23">
        <v>0</v>
      </c>
      <c r="H968" s="42">
        <v>46045</v>
      </c>
      <c r="I968" s="21" t="s">
        <v>803</v>
      </c>
    </row>
    <row r="969" spans="1:9" ht="21" customHeight="1">
      <c r="A969" s="20">
        <f t="shared" si="15"/>
        <v>965</v>
      </c>
      <c r="B969" s="21" t="s">
        <v>297</v>
      </c>
      <c r="C969" s="20" t="str">
        <f>IF(B969="","",IF(COUNTIF('01_Anggota'!$D$5:$D$1212,B969)=0,"NAMA TIDAK DITEMUKAN",INDEX('01_Anggota'!$B$5:$B$1212,MATCH(B969,'01_Anggota'!$D$5:$D$1212,0))))</f>
        <v>KKSUK-000098</v>
      </c>
      <c r="D969" s="23">
        <v>0</v>
      </c>
      <c r="E969" s="23">
        <v>0</v>
      </c>
      <c r="F969" s="23">
        <v>0</v>
      </c>
      <c r="G969" s="23">
        <v>0</v>
      </c>
      <c r="H969" s="42">
        <v>46078</v>
      </c>
      <c r="I969" s="21" t="s">
        <v>804</v>
      </c>
    </row>
    <row r="970" spans="1:9" ht="21" customHeight="1">
      <c r="A970" s="20">
        <f t="shared" si="15"/>
        <v>966</v>
      </c>
      <c r="B970" s="21" t="s">
        <v>297</v>
      </c>
      <c r="C970" s="20" t="str">
        <f>IF(B970="","",IF(COUNTIF('01_Anggota'!$D$5:$D$1212,B970)=0,"NAMA TIDAK DITEMUKAN",INDEX('01_Anggota'!$B$5:$B$1212,MATCH(B970,'01_Anggota'!$D$5:$D$1212,0))))</f>
        <v>KKSUK-000098</v>
      </c>
      <c r="D970" s="23">
        <v>0</v>
      </c>
      <c r="E970" s="23">
        <v>100000</v>
      </c>
      <c r="F970" s="23">
        <v>100000</v>
      </c>
      <c r="G970" s="23">
        <v>0</v>
      </c>
      <c r="H970" s="42">
        <v>46106</v>
      </c>
      <c r="I970" s="21" t="s">
        <v>805</v>
      </c>
    </row>
    <row r="971" spans="1:9" ht="21" customHeight="1">
      <c r="A971" s="20">
        <f t="shared" si="15"/>
        <v>967</v>
      </c>
      <c r="B971" s="21" t="s">
        <v>297</v>
      </c>
      <c r="C971" s="20" t="str">
        <f>IF(B971="","",IF(COUNTIF('01_Anggota'!$D$5:$D$1212,B971)=0,"NAMA TIDAK DITEMUKAN",INDEX('01_Anggota'!$B$5:$B$1212,MATCH(B971,'01_Anggota'!$D$5:$D$1212,0))))</f>
        <v>KKSUK-000098</v>
      </c>
      <c r="D971" s="23">
        <v>0</v>
      </c>
      <c r="E971" s="23">
        <v>100000</v>
      </c>
      <c r="F971" s="23">
        <v>100000</v>
      </c>
      <c r="G971" s="23">
        <v>0</v>
      </c>
      <c r="H971" s="42">
        <v>46136</v>
      </c>
      <c r="I971" s="21" t="s">
        <v>806</v>
      </c>
    </row>
    <row r="972" spans="1:9" ht="21" customHeight="1">
      <c r="A972" s="20">
        <f t="shared" si="15"/>
        <v>968</v>
      </c>
      <c r="B972" s="21" t="s">
        <v>297</v>
      </c>
      <c r="C972" s="20" t="str">
        <f>IF(B972="","",IF(COUNTIF('01_Anggota'!$D$5:$D$1212,B972)=0,"NAMA TIDAK DITEMUKAN",INDEX('01_Anggota'!$B$5:$B$1212,MATCH(B972,'01_Anggota'!$D$5:$D$1212,0))))</f>
        <v>KKSUK-000098</v>
      </c>
      <c r="D972" s="23">
        <v>0</v>
      </c>
      <c r="E972" s="23">
        <v>100000</v>
      </c>
      <c r="F972" s="23">
        <v>100000</v>
      </c>
      <c r="G972" s="23">
        <v>0</v>
      </c>
      <c r="H972" s="42">
        <v>46167</v>
      </c>
      <c r="I972" s="21" t="s">
        <v>807</v>
      </c>
    </row>
    <row r="973" spans="1:9" ht="21" customHeight="1">
      <c r="A973" s="20">
        <f t="shared" si="15"/>
        <v>969</v>
      </c>
      <c r="B973" s="21" t="s">
        <v>297</v>
      </c>
      <c r="C973" s="20" t="str">
        <f>IF(B973="","",IF(COUNTIF('01_Anggota'!$D$5:$D$1212,B973)=0,"NAMA TIDAK DITEMUKAN",INDEX('01_Anggota'!$B$5:$B$1212,MATCH(B973,'01_Anggota'!$D$5:$D$1212,0))))</f>
        <v>KKSUK-000098</v>
      </c>
      <c r="D973" s="23">
        <v>0</v>
      </c>
      <c r="E973" s="23">
        <v>100000</v>
      </c>
      <c r="F973" s="23">
        <v>100000</v>
      </c>
      <c r="G973" s="23">
        <v>0</v>
      </c>
      <c r="H973" s="42">
        <v>46198</v>
      </c>
      <c r="I973" s="21" t="s">
        <v>808</v>
      </c>
    </row>
    <row r="974" spans="1:9" ht="21" customHeight="1">
      <c r="A974" s="20">
        <f t="shared" si="15"/>
        <v>970</v>
      </c>
      <c r="B974" s="21" t="s">
        <v>297</v>
      </c>
      <c r="C974" s="20" t="str">
        <f>IF(B974="","",IF(COUNTIF('01_Anggota'!$D$5:$D$1212,B974)=0,"NAMA TIDAK DITEMUKAN",INDEX('01_Anggota'!$B$5:$B$1212,MATCH(B974,'01_Anggota'!$D$5:$D$1212,0))))</f>
        <v>KKSUK-000098</v>
      </c>
      <c r="D974" s="23">
        <v>0</v>
      </c>
      <c r="E974" s="23">
        <v>100000</v>
      </c>
      <c r="F974" s="23">
        <v>100000</v>
      </c>
      <c r="G974" s="23">
        <v>0</v>
      </c>
      <c r="H974" s="42">
        <v>46227</v>
      </c>
      <c r="I974" s="21" t="s">
        <v>809</v>
      </c>
    </row>
    <row r="975" spans="1:9" ht="21" customHeight="1">
      <c r="A975" s="20">
        <f t="shared" si="15"/>
        <v>971</v>
      </c>
      <c r="B975" s="21" t="s">
        <v>297</v>
      </c>
      <c r="C975" s="20" t="str">
        <f>IF(B975="","",IF(COUNTIF('01_Anggota'!$D$5:$D$1212,B975)=0,"NAMA TIDAK DITEMUKAN",INDEX('01_Anggota'!$B$5:$B$1212,MATCH(B975,'01_Anggota'!$D$5:$D$1212,0))))</f>
        <v>KKSUK-000098</v>
      </c>
      <c r="D975" s="23">
        <v>0</v>
      </c>
      <c r="E975" s="23">
        <v>100000</v>
      </c>
      <c r="F975" s="23">
        <v>100000</v>
      </c>
      <c r="G975" s="23">
        <v>0</v>
      </c>
      <c r="H975" s="42">
        <v>46258</v>
      </c>
      <c r="I975" s="21" t="s">
        <v>810</v>
      </c>
    </row>
    <row r="976" spans="1:9" ht="21" customHeight="1">
      <c r="A976" s="20">
        <f t="shared" si="15"/>
        <v>972</v>
      </c>
      <c r="B976" s="21" t="s">
        <v>230</v>
      </c>
      <c r="C976" s="20" t="str">
        <f>IF(B976="","",IF(COUNTIF('01_Anggota'!$D$5:$D$1212,B976)=0,"NAMA TIDAK DITEMUKAN",INDEX('01_Anggota'!$B$5:$B$1212,MATCH(B976,'01_Anggota'!$D$5:$D$1212,0))))</f>
        <v>KKSUK-000031</v>
      </c>
      <c r="D976" s="23">
        <v>0</v>
      </c>
      <c r="E976" s="23">
        <v>26880187</v>
      </c>
      <c r="F976" s="23">
        <v>22468398.616124801</v>
      </c>
      <c r="G976" s="23">
        <v>11725598</v>
      </c>
      <c r="H976" s="42">
        <v>46023</v>
      </c>
      <c r="I976" s="21" t="s">
        <v>802</v>
      </c>
    </row>
    <row r="977" spans="1:9" ht="21" customHeight="1">
      <c r="A977" s="20">
        <f t="shared" si="15"/>
        <v>973</v>
      </c>
      <c r="B977" s="21" t="s">
        <v>230</v>
      </c>
      <c r="C977" s="20" t="str">
        <f>IF(B977="","",IF(COUNTIF('01_Anggota'!$D$5:$D$1212,B977)=0,"NAMA TIDAK DITEMUKAN",INDEX('01_Anggota'!$B$5:$B$1212,MATCH(B977,'01_Anggota'!$D$5:$D$1212,0))))</f>
        <v>KKSUK-000031</v>
      </c>
      <c r="D977" s="23">
        <v>0</v>
      </c>
      <c r="E977" s="23">
        <v>1000000</v>
      </c>
      <c r="F977" s="23">
        <v>150000</v>
      </c>
      <c r="G977" s="23">
        <v>0</v>
      </c>
      <c r="H977" s="42">
        <v>46045</v>
      </c>
      <c r="I977" s="21" t="s">
        <v>803</v>
      </c>
    </row>
    <row r="978" spans="1:9" ht="21" customHeight="1">
      <c r="A978" s="20">
        <f t="shared" si="15"/>
        <v>974</v>
      </c>
      <c r="B978" s="21" t="s">
        <v>230</v>
      </c>
      <c r="C978" s="20" t="str">
        <f>IF(B978="","",IF(COUNTIF('01_Anggota'!$D$5:$D$1212,B978)=0,"NAMA TIDAK DITEMUKAN",INDEX('01_Anggota'!$B$5:$B$1212,MATCH(B978,'01_Anggota'!$D$5:$D$1212,0))))</f>
        <v>KKSUK-000031</v>
      </c>
      <c r="D978" s="23">
        <v>0</v>
      </c>
      <c r="E978" s="23">
        <v>-6000000</v>
      </c>
      <c r="F978" s="23">
        <v>0</v>
      </c>
      <c r="G978" s="23">
        <v>0</v>
      </c>
      <c r="H978" s="42">
        <v>46045</v>
      </c>
      <c r="I978" s="21" t="s">
        <v>803</v>
      </c>
    </row>
    <row r="979" spans="1:9" ht="21" customHeight="1">
      <c r="A979" s="20">
        <f t="shared" si="15"/>
        <v>975</v>
      </c>
      <c r="B979" s="21" t="s">
        <v>230</v>
      </c>
      <c r="C979" s="20" t="str">
        <f>IF(B979="","",IF(COUNTIF('01_Anggota'!$D$5:$D$1212,B979)=0,"NAMA TIDAK DITEMUKAN",INDEX('01_Anggota'!$B$5:$B$1212,MATCH(B979,'01_Anggota'!$D$5:$D$1212,0))))</f>
        <v>KKSUK-000031</v>
      </c>
      <c r="D979" s="23">
        <v>0</v>
      </c>
      <c r="E979" s="23">
        <v>1000000</v>
      </c>
      <c r="F979" s="23">
        <v>150000</v>
      </c>
      <c r="G979" s="23">
        <v>0</v>
      </c>
      <c r="H979" s="42">
        <v>46078</v>
      </c>
      <c r="I979" s="21" t="s">
        <v>804</v>
      </c>
    </row>
    <row r="980" spans="1:9" ht="21" customHeight="1">
      <c r="A980" s="20">
        <f t="shared" si="15"/>
        <v>976</v>
      </c>
      <c r="B980" s="21" t="s">
        <v>230</v>
      </c>
      <c r="C980" s="20" t="str">
        <f>IF(B980="","",IF(COUNTIF('01_Anggota'!$D$5:$D$1212,B980)=0,"NAMA TIDAK DITEMUKAN",INDEX('01_Anggota'!$B$5:$B$1212,MATCH(B980,'01_Anggota'!$D$5:$D$1212,0))))</f>
        <v>KKSUK-000031</v>
      </c>
      <c r="D980" s="23">
        <v>0</v>
      </c>
      <c r="E980" s="23">
        <v>1000000</v>
      </c>
      <c r="F980" s="23">
        <v>150000</v>
      </c>
      <c r="G980" s="23">
        <v>0</v>
      </c>
      <c r="H980" s="42">
        <v>46106</v>
      </c>
      <c r="I980" s="21" t="s">
        <v>805</v>
      </c>
    </row>
    <row r="981" spans="1:9" ht="21" customHeight="1">
      <c r="A981" s="20">
        <f t="shared" si="15"/>
        <v>977</v>
      </c>
      <c r="B981" s="21" t="s">
        <v>230</v>
      </c>
      <c r="C981" s="20" t="str">
        <f>IF(B981="","",IF(COUNTIF('01_Anggota'!$D$5:$D$1212,B981)=0,"NAMA TIDAK DITEMUKAN",INDEX('01_Anggota'!$B$5:$B$1212,MATCH(B981,'01_Anggota'!$D$5:$D$1212,0))))</f>
        <v>KKSUK-000031</v>
      </c>
      <c r="D981" s="23">
        <v>0</v>
      </c>
      <c r="E981" s="23">
        <v>1000000</v>
      </c>
      <c r="F981" s="23">
        <v>150000</v>
      </c>
      <c r="G981" s="23">
        <v>0</v>
      </c>
      <c r="H981" s="42">
        <v>46136</v>
      </c>
      <c r="I981" s="21" t="s">
        <v>806</v>
      </c>
    </row>
    <row r="982" spans="1:9" ht="21" customHeight="1">
      <c r="A982" s="20">
        <f t="shared" si="15"/>
        <v>978</v>
      </c>
      <c r="B982" s="21" t="s">
        <v>230</v>
      </c>
      <c r="C982" s="20" t="str">
        <f>IF(B982="","",IF(COUNTIF('01_Anggota'!$D$5:$D$1212,B982)=0,"NAMA TIDAK DITEMUKAN",INDEX('01_Anggota'!$B$5:$B$1212,MATCH(B982,'01_Anggota'!$D$5:$D$1212,0))))</f>
        <v>KKSUK-000031</v>
      </c>
      <c r="D982" s="23">
        <v>0</v>
      </c>
      <c r="E982" s="23">
        <v>1000000</v>
      </c>
      <c r="F982" s="23">
        <v>150000</v>
      </c>
      <c r="G982" s="23">
        <v>0</v>
      </c>
      <c r="H982" s="42">
        <v>46167</v>
      </c>
      <c r="I982" s="21" t="s">
        <v>807</v>
      </c>
    </row>
    <row r="983" spans="1:9" ht="21" customHeight="1">
      <c r="A983" s="20">
        <f t="shared" si="15"/>
        <v>979</v>
      </c>
      <c r="B983" s="21" t="s">
        <v>230</v>
      </c>
      <c r="C983" s="20" t="str">
        <f>IF(B983="","",IF(COUNTIF('01_Anggota'!$D$5:$D$1212,B983)=0,"NAMA TIDAK DITEMUKAN",INDEX('01_Anggota'!$B$5:$B$1212,MATCH(B983,'01_Anggota'!$D$5:$D$1212,0))))</f>
        <v>KKSUK-000031</v>
      </c>
      <c r="D983" s="23">
        <v>0</v>
      </c>
      <c r="E983" s="23">
        <v>1000000</v>
      </c>
      <c r="F983" s="23">
        <v>150000</v>
      </c>
      <c r="G983" s="23">
        <v>0</v>
      </c>
      <c r="H983" s="42">
        <v>46198</v>
      </c>
      <c r="I983" s="21" t="s">
        <v>808</v>
      </c>
    </row>
    <row r="984" spans="1:9" ht="21" customHeight="1">
      <c r="A984" s="20">
        <f t="shared" si="15"/>
        <v>980</v>
      </c>
      <c r="B984" s="21" t="s">
        <v>230</v>
      </c>
      <c r="C984" s="20" t="str">
        <f>IF(B984="","",IF(COUNTIF('01_Anggota'!$D$5:$D$1212,B984)=0,"NAMA TIDAK DITEMUKAN",INDEX('01_Anggota'!$B$5:$B$1212,MATCH(B984,'01_Anggota'!$D$5:$D$1212,0))))</f>
        <v>KKSUK-000031</v>
      </c>
      <c r="D984" s="23">
        <v>0</v>
      </c>
      <c r="E984" s="23">
        <v>1000000</v>
      </c>
      <c r="F984" s="23">
        <v>150000</v>
      </c>
      <c r="G984" s="23">
        <v>0</v>
      </c>
      <c r="H984" s="42">
        <v>46227</v>
      </c>
      <c r="I984" s="21" t="s">
        <v>809</v>
      </c>
    </row>
    <row r="985" spans="1:9" ht="21" customHeight="1">
      <c r="A985" s="20">
        <f t="shared" si="15"/>
        <v>981</v>
      </c>
      <c r="B985" s="21" t="s">
        <v>230</v>
      </c>
      <c r="C985" s="20" t="str">
        <f>IF(B985="","",IF(COUNTIF('01_Anggota'!$D$5:$D$1212,B985)=0,"NAMA TIDAK DITEMUKAN",INDEX('01_Anggota'!$B$5:$B$1212,MATCH(B985,'01_Anggota'!$D$5:$D$1212,0))))</f>
        <v>KKSUK-000031</v>
      </c>
      <c r="D985" s="23">
        <v>0</v>
      </c>
      <c r="E985" s="23">
        <v>1000000</v>
      </c>
      <c r="F985" s="23">
        <v>150000</v>
      </c>
      <c r="G985" s="23">
        <v>0</v>
      </c>
      <c r="H985" s="42">
        <v>46258</v>
      </c>
      <c r="I985" s="21" t="s">
        <v>810</v>
      </c>
    </row>
    <row r="986" spans="1:9" ht="21" customHeight="1">
      <c r="A986" s="20">
        <f t="shared" si="15"/>
        <v>982</v>
      </c>
      <c r="B986" s="21" t="s">
        <v>342</v>
      </c>
      <c r="C986" s="20" t="str">
        <f>IF(B986="","",IF(COUNTIF('01_Anggota'!$D$5:$D$1212,B986)=0,"NAMA TIDAK DITEMUKAN",INDEX('01_Anggota'!$B$5:$B$1212,MATCH(B986,'01_Anggota'!$D$5:$D$1212,0))))</f>
        <v>KKSUK-000143</v>
      </c>
      <c r="D986" s="23">
        <v>0</v>
      </c>
      <c r="E986" s="23">
        <v>1500000</v>
      </c>
      <c r="F986" s="23">
        <v>1500000</v>
      </c>
      <c r="G986" s="23">
        <v>152081</v>
      </c>
      <c r="H986" s="42">
        <v>46023</v>
      </c>
      <c r="I986" s="21" t="s">
        <v>802</v>
      </c>
    </row>
    <row r="987" spans="1:9" ht="21" customHeight="1">
      <c r="A987" s="20">
        <f t="shared" si="15"/>
        <v>983</v>
      </c>
      <c r="B987" s="21" t="s">
        <v>342</v>
      </c>
      <c r="C987" s="20" t="str">
        <f>IF(B987="","",IF(COUNTIF('01_Anggota'!$D$5:$D$1212,B987)=0,"NAMA TIDAK DITEMUKAN",INDEX('01_Anggota'!$B$5:$B$1212,MATCH(B987,'01_Anggota'!$D$5:$D$1212,0))))</f>
        <v>KKSUK-000143</v>
      </c>
      <c r="D987" s="23">
        <v>0</v>
      </c>
      <c r="E987" s="23">
        <v>100000</v>
      </c>
      <c r="F987" s="23">
        <v>100000</v>
      </c>
      <c r="G987" s="23">
        <v>0</v>
      </c>
      <c r="H987" s="42">
        <v>46045</v>
      </c>
      <c r="I987" s="21" t="s">
        <v>803</v>
      </c>
    </row>
    <row r="988" spans="1:9" ht="21" customHeight="1">
      <c r="A988" s="20">
        <f t="shared" si="15"/>
        <v>984</v>
      </c>
      <c r="B988" s="21" t="s">
        <v>342</v>
      </c>
      <c r="C988" s="20" t="str">
        <f>IF(B988="","",IF(COUNTIF('01_Anggota'!$D$5:$D$1212,B988)=0,"NAMA TIDAK DITEMUKAN",INDEX('01_Anggota'!$B$5:$B$1212,MATCH(B988,'01_Anggota'!$D$5:$D$1212,0))))</f>
        <v>KKSUK-000143</v>
      </c>
      <c r="D988" s="23">
        <v>0</v>
      </c>
      <c r="E988" s="23">
        <v>100000</v>
      </c>
      <c r="F988" s="23">
        <v>100000</v>
      </c>
      <c r="G988" s="23">
        <v>0</v>
      </c>
      <c r="H988" s="42">
        <v>46078</v>
      </c>
      <c r="I988" s="21" t="s">
        <v>804</v>
      </c>
    </row>
    <row r="989" spans="1:9" ht="21" customHeight="1">
      <c r="A989" s="20">
        <f t="shared" si="15"/>
        <v>985</v>
      </c>
      <c r="B989" s="21" t="s">
        <v>342</v>
      </c>
      <c r="C989" s="20" t="str">
        <f>IF(B989="","",IF(COUNTIF('01_Anggota'!$D$5:$D$1212,B989)=0,"NAMA TIDAK DITEMUKAN",INDEX('01_Anggota'!$B$5:$B$1212,MATCH(B989,'01_Anggota'!$D$5:$D$1212,0))))</f>
        <v>KKSUK-000143</v>
      </c>
      <c r="D989" s="23">
        <v>0</v>
      </c>
      <c r="E989" s="23">
        <v>100000</v>
      </c>
      <c r="F989" s="23">
        <v>100000</v>
      </c>
      <c r="G989" s="23">
        <v>0</v>
      </c>
      <c r="H989" s="42">
        <v>46106</v>
      </c>
      <c r="I989" s="21" t="s">
        <v>805</v>
      </c>
    </row>
    <row r="990" spans="1:9" ht="21" customHeight="1">
      <c r="A990" s="20">
        <f t="shared" si="15"/>
        <v>986</v>
      </c>
      <c r="B990" s="21" t="s">
        <v>342</v>
      </c>
      <c r="C990" s="20" t="str">
        <f>IF(B990="","",IF(COUNTIF('01_Anggota'!$D$5:$D$1212,B990)=0,"NAMA TIDAK DITEMUKAN",INDEX('01_Anggota'!$B$5:$B$1212,MATCH(B990,'01_Anggota'!$D$5:$D$1212,0))))</f>
        <v>KKSUK-000143</v>
      </c>
      <c r="D990" s="23">
        <v>0</v>
      </c>
      <c r="E990" s="23">
        <v>100000</v>
      </c>
      <c r="F990" s="23">
        <v>100000</v>
      </c>
      <c r="G990" s="23">
        <v>0</v>
      </c>
      <c r="H990" s="42">
        <v>46136</v>
      </c>
      <c r="I990" s="21" t="s">
        <v>806</v>
      </c>
    </row>
    <row r="991" spans="1:9" ht="21" customHeight="1">
      <c r="A991" s="20">
        <f t="shared" si="15"/>
        <v>987</v>
      </c>
      <c r="B991" s="21" t="s">
        <v>342</v>
      </c>
      <c r="C991" s="20" t="str">
        <f>IF(B991="","",IF(COUNTIF('01_Anggota'!$D$5:$D$1212,B991)=0,"NAMA TIDAK DITEMUKAN",INDEX('01_Anggota'!$B$5:$B$1212,MATCH(B991,'01_Anggota'!$D$5:$D$1212,0))))</f>
        <v>KKSUK-000143</v>
      </c>
      <c r="D991" s="23">
        <v>0</v>
      </c>
      <c r="E991" s="23">
        <v>100000</v>
      </c>
      <c r="F991" s="23">
        <v>100000</v>
      </c>
      <c r="G991" s="23">
        <v>0</v>
      </c>
      <c r="H991" s="42">
        <v>46167</v>
      </c>
      <c r="I991" s="21" t="s">
        <v>807</v>
      </c>
    </row>
    <row r="992" spans="1:9" ht="21" customHeight="1">
      <c r="A992" s="20">
        <f t="shared" si="15"/>
        <v>988</v>
      </c>
      <c r="B992" s="21" t="s">
        <v>342</v>
      </c>
      <c r="C992" s="20" t="str">
        <f>IF(B992="","",IF(COUNTIF('01_Anggota'!$D$5:$D$1212,B992)=0,"NAMA TIDAK DITEMUKAN",INDEX('01_Anggota'!$B$5:$B$1212,MATCH(B992,'01_Anggota'!$D$5:$D$1212,0))))</f>
        <v>KKSUK-000143</v>
      </c>
      <c r="D992" s="23">
        <v>0</v>
      </c>
      <c r="E992" s="23">
        <v>100000</v>
      </c>
      <c r="F992" s="23">
        <v>100000</v>
      </c>
      <c r="G992" s="23">
        <v>0</v>
      </c>
      <c r="H992" s="42">
        <v>46198</v>
      </c>
      <c r="I992" s="21" t="s">
        <v>808</v>
      </c>
    </row>
    <row r="993" spans="1:9" ht="21" customHeight="1">
      <c r="A993" s="20">
        <f t="shared" si="15"/>
        <v>989</v>
      </c>
      <c r="B993" s="21" t="s">
        <v>342</v>
      </c>
      <c r="C993" s="20" t="str">
        <f>IF(B993="","",IF(COUNTIF('01_Anggota'!$D$5:$D$1212,B993)=0,"NAMA TIDAK DITEMUKAN",INDEX('01_Anggota'!$B$5:$B$1212,MATCH(B993,'01_Anggota'!$D$5:$D$1212,0))))</f>
        <v>KKSUK-000143</v>
      </c>
      <c r="D993" s="23">
        <v>0</v>
      </c>
      <c r="E993" s="23">
        <v>100000</v>
      </c>
      <c r="F993" s="23">
        <v>100000</v>
      </c>
      <c r="G993" s="23">
        <v>0</v>
      </c>
      <c r="H993" s="42">
        <v>46227</v>
      </c>
      <c r="I993" s="21" t="s">
        <v>809</v>
      </c>
    </row>
    <row r="994" spans="1:9" ht="21" customHeight="1">
      <c r="A994" s="20">
        <f t="shared" si="15"/>
        <v>990</v>
      </c>
      <c r="B994" s="21" t="s">
        <v>342</v>
      </c>
      <c r="C994" s="20" t="str">
        <f>IF(B994="","",IF(COUNTIF('01_Anggota'!$D$5:$D$1212,B994)=0,"NAMA TIDAK DITEMUKAN",INDEX('01_Anggota'!$B$5:$B$1212,MATCH(B994,'01_Anggota'!$D$5:$D$1212,0))))</f>
        <v>KKSUK-000143</v>
      </c>
      <c r="D994" s="23">
        <v>0</v>
      </c>
      <c r="E994" s="23">
        <v>100000</v>
      </c>
      <c r="F994" s="23">
        <v>100000</v>
      </c>
      <c r="G994" s="23">
        <v>0</v>
      </c>
      <c r="H994" s="42">
        <v>46258</v>
      </c>
      <c r="I994" s="21" t="s">
        <v>810</v>
      </c>
    </row>
    <row r="995" spans="1:9" ht="21" customHeight="1">
      <c r="A995" s="20">
        <f t="shared" si="15"/>
        <v>991</v>
      </c>
      <c r="B995" s="21" t="s">
        <v>231</v>
      </c>
      <c r="C995" s="20" t="str">
        <f>IF(B995="","",IF(COUNTIF('01_Anggota'!$D$5:$D$1212,B995)=0,"NAMA TIDAK DITEMUKAN",INDEX('01_Anggota'!$B$5:$B$1212,MATCH(B995,'01_Anggota'!$D$5:$D$1212,0))))</f>
        <v>KKSUK-000032</v>
      </c>
      <c r="D995" s="23"/>
      <c r="E995" s="23">
        <v>2083058</v>
      </c>
      <c r="F995" s="23">
        <v>7954113.3319529304</v>
      </c>
      <c r="G995" s="23">
        <v>2800919</v>
      </c>
      <c r="H995" s="42">
        <v>46023</v>
      </c>
      <c r="I995" s="21" t="s">
        <v>802</v>
      </c>
    </row>
    <row r="996" spans="1:9" ht="21" customHeight="1">
      <c r="A996" s="20">
        <f t="shared" si="15"/>
        <v>992</v>
      </c>
      <c r="B996" s="21" t="s">
        <v>231</v>
      </c>
      <c r="C996" s="20" t="str">
        <f>IF(B996="","",IF(COUNTIF('01_Anggota'!$D$5:$D$1212,B996)=0,"NAMA TIDAK DITEMUKAN",INDEX('01_Anggota'!$B$5:$B$1212,MATCH(B996,'01_Anggota'!$D$5:$D$1212,0))))</f>
        <v>KKSUK-000032</v>
      </c>
      <c r="D996" s="23">
        <v>0</v>
      </c>
      <c r="E996" s="23">
        <v>50000</v>
      </c>
      <c r="F996" s="23">
        <v>100000</v>
      </c>
      <c r="G996" s="23">
        <v>0</v>
      </c>
      <c r="H996" s="42">
        <v>46045</v>
      </c>
      <c r="I996" s="21" t="s">
        <v>803</v>
      </c>
    </row>
    <row r="997" spans="1:9" ht="21" customHeight="1">
      <c r="A997" s="20">
        <f t="shared" si="15"/>
        <v>993</v>
      </c>
      <c r="B997" s="21" t="s">
        <v>231</v>
      </c>
      <c r="C997" s="20" t="str">
        <f>IF(B997="","",IF(COUNTIF('01_Anggota'!$D$5:$D$1212,B997)=0,"NAMA TIDAK DITEMUKAN",INDEX('01_Anggota'!$B$5:$B$1212,MATCH(B997,'01_Anggota'!$D$5:$D$1212,0))))</f>
        <v>KKSUK-000032</v>
      </c>
      <c r="D997" s="23">
        <v>0</v>
      </c>
      <c r="E997" s="23">
        <v>50000</v>
      </c>
      <c r="F997" s="23">
        <v>100000</v>
      </c>
      <c r="G997" s="23">
        <v>0</v>
      </c>
      <c r="H997" s="42">
        <v>46078</v>
      </c>
      <c r="I997" s="21" t="s">
        <v>804</v>
      </c>
    </row>
    <row r="998" spans="1:9" ht="21" customHeight="1">
      <c r="A998" s="20">
        <f t="shared" si="15"/>
        <v>994</v>
      </c>
      <c r="B998" s="21" t="s">
        <v>231</v>
      </c>
      <c r="C998" s="20" t="str">
        <f>IF(B998="","",IF(COUNTIF('01_Anggota'!$D$5:$D$1212,B998)=0,"NAMA TIDAK DITEMUKAN",INDEX('01_Anggota'!$B$5:$B$1212,MATCH(B998,'01_Anggota'!$D$5:$D$1212,0))))</f>
        <v>KKSUK-000032</v>
      </c>
      <c r="D998" s="23">
        <v>0</v>
      </c>
      <c r="E998" s="23">
        <v>50000</v>
      </c>
      <c r="F998" s="23">
        <v>100000</v>
      </c>
      <c r="G998" s="23">
        <v>0</v>
      </c>
      <c r="H998" s="42">
        <v>46106</v>
      </c>
      <c r="I998" s="21" t="s">
        <v>805</v>
      </c>
    </row>
    <row r="999" spans="1:9" ht="21" customHeight="1">
      <c r="A999" s="20">
        <f t="shared" si="15"/>
        <v>995</v>
      </c>
      <c r="B999" s="21" t="s">
        <v>231</v>
      </c>
      <c r="C999" s="20" t="str">
        <f>IF(B999="","",IF(COUNTIF('01_Anggota'!$D$5:$D$1212,B999)=0,"NAMA TIDAK DITEMUKAN",INDEX('01_Anggota'!$B$5:$B$1212,MATCH(B999,'01_Anggota'!$D$5:$D$1212,0))))</f>
        <v>KKSUK-000032</v>
      </c>
      <c r="D999" s="23">
        <v>0</v>
      </c>
      <c r="E999" s="23">
        <v>50000</v>
      </c>
      <c r="F999" s="23">
        <v>150000</v>
      </c>
      <c r="G999" s="23">
        <v>0</v>
      </c>
      <c r="H999" s="42">
        <v>46136</v>
      </c>
      <c r="I999" s="21" t="s">
        <v>806</v>
      </c>
    </row>
    <row r="1000" spans="1:9" ht="21" customHeight="1">
      <c r="A1000" s="20">
        <f t="shared" si="15"/>
        <v>996</v>
      </c>
      <c r="B1000" s="21" t="s">
        <v>231</v>
      </c>
      <c r="C1000" s="20" t="str">
        <f>IF(B1000="","",IF(COUNTIF('01_Anggota'!$D$5:$D$1212,B1000)=0,"NAMA TIDAK DITEMUKAN",INDEX('01_Anggota'!$B$5:$B$1212,MATCH(B1000,'01_Anggota'!$D$5:$D$1212,0))))</f>
        <v>KKSUK-000032</v>
      </c>
      <c r="D1000" s="23">
        <v>0</v>
      </c>
      <c r="E1000" s="23">
        <v>50000</v>
      </c>
      <c r="F1000" s="23">
        <v>150000</v>
      </c>
      <c r="G1000" s="23">
        <v>0</v>
      </c>
      <c r="H1000" s="42">
        <v>46167</v>
      </c>
      <c r="I1000" s="21" t="s">
        <v>807</v>
      </c>
    </row>
    <row r="1001" spans="1:9" ht="21" customHeight="1">
      <c r="A1001" s="20">
        <f t="shared" si="15"/>
        <v>997</v>
      </c>
      <c r="B1001" s="21" t="s">
        <v>231</v>
      </c>
      <c r="C1001" s="20" t="str">
        <f>IF(B1001="","",IF(COUNTIF('01_Anggota'!$D$5:$D$1212,B1001)=0,"NAMA TIDAK DITEMUKAN",INDEX('01_Anggota'!$B$5:$B$1212,MATCH(B1001,'01_Anggota'!$D$5:$D$1212,0))))</f>
        <v>KKSUK-000032</v>
      </c>
      <c r="D1001" s="23">
        <v>0</v>
      </c>
      <c r="E1001" s="23">
        <v>50000</v>
      </c>
      <c r="F1001" s="23">
        <v>150000</v>
      </c>
      <c r="G1001" s="23">
        <v>0</v>
      </c>
      <c r="H1001" s="42">
        <v>46198</v>
      </c>
      <c r="I1001" s="21" t="s">
        <v>808</v>
      </c>
    </row>
    <row r="1002" spans="1:9" ht="21" customHeight="1">
      <c r="A1002" s="20">
        <f t="shared" si="15"/>
        <v>998</v>
      </c>
      <c r="B1002" s="21" t="s">
        <v>231</v>
      </c>
      <c r="C1002" s="20" t="str">
        <f>IF(B1002="","",IF(COUNTIF('01_Anggota'!$D$5:$D$1212,B1002)=0,"NAMA TIDAK DITEMUKAN",INDEX('01_Anggota'!$B$5:$B$1212,MATCH(B1002,'01_Anggota'!$D$5:$D$1212,0))))</f>
        <v>KKSUK-000032</v>
      </c>
      <c r="D1002" s="23">
        <v>0</v>
      </c>
      <c r="E1002" s="23">
        <v>50000</v>
      </c>
      <c r="F1002" s="23">
        <v>150000</v>
      </c>
      <c r="G1002" s="23">
        <v>0</v>
      </c>
      <c r="H1002" s="42">
        <v>46227</v>
      </c>
      <c r="I1002" s="21" t="s">
        <v>809</v>
      </c>
    </row>
    <row r="1003" spans="1:9" ht="21" customHeight="1">
      <c r="A1003" s="20">
        <f t="shared" si="15"/>
        <v>999</v>
      </c>
      <c r="B1003" s="21" t="s">
        <v>231</v>
      </c>
      <c r="C1003" s="20" t="str">
        <f>IF(B1003="","",IF(COUNTIF('01_Anggota'!$D$5:$D$1212,B1003)=0,"NAMA TIDAK DITEMUKAN",INDEX('01_Anggota'!$B$5:$B$1212,MATCH(B1003,'01_Anggota'!$D$5:$D$1212,0))))</f>
        <v>KKSUK-000032</v>
      </c>
      <c r="D1003" s="23">
        <v>0</v>
      </c>
      <c r="E1003" s="23">
        <v>50000</v>
      </c>
      <c r="F1003" s="23">
        <v>150000</v>
      </c>
      <c r="G1003" s="23">
        <v>0</v>
      </c>
      <c r="H1003" s="42">
        <v>46258</v>
      </c>
      <c r="I1003" s="21" t="s">
        <v>810</v>
      </c>
    </row>
    <row r="1004" spans="1:9">
      <c r="A1004">
        <f t="shared" ref="A1004:A1067" si="16">IF(B1004="","",ROW()-4)</f>
        <v>1000</v>
      </c>
      <c r="B1004" s="21" t="s">
        <v>344</v>
      </c>
      <c r="C1004" s="20" t="str">
        <f>IF(B1004="","",IF(COUNTIF('01_Anggota'!$D$5:$D$1212,B1004)=0,"NAMA TIDAK DITEMUKAN",INDEX('01_Anggota'!$B$5:$B$1212,MATCH(B1004,'01_Anggota'!$D$5:$D$1212,0))))</f>
        <v>KKSUK-000145</v>
      </c>
      <c r="D1004" s="23">
        <v>0</v>
      </c>
      <c r="E1004" s="23">
        <v>1500000</v>
      </c>
      <c r="F1004" s="23">
        <v>1500000</v>
      </c>
      <c r="G1004" s="23">
        <v>152081</v>
      </c>
      <c r="H1004" s="42">
        <v>46023</v>
      </c>
      <c r="I1004" s="21" t="s">
        <v>802</v>
      </c>
    </row>
    <row r="1005" spans="1:9">
      <c r="A1005">
        <f t="shared" si="16"/>
        <v>1001</v>
      </c>
      <c r="B1005" s="21" t="s">
        <v>344</v>
      </c>
      <c r="C1005" s="20" t="str">
        <f>IF(B1005="","",IF(COUNTIF('01_Anggota'!$D$5:$D$1212,B1005)=0,"NAMA TIDAK DITEMUKAN",INDEX('01_Anggota'!$B$5:$B$1212,MATCH(B1005,'01_Anggota'!$D$5:$D$1212,0))))</f>
        <v>KKSUK-000145</v>
      </c>
      <c r="D1005" s="23">
        <v>0</v>
      </c>
      <c r="E1005" s="23">
        <v>100000</v>
      </c>
      <c r="F1005" s="23">
        <v>100000</v>
      </c>
      <c r="G1005" s="23">
        <v>0</v>
      </c>
      <c r="H1005" s="42">
        <v>46045</v>
      </c>
      <c r="I1005" s="21" t="s">
        <v>803</v>
      </c>
    </row>
    <row r="1006" spans="1:9">
      <c r="A1006">
        <f t="shared" si="16"/>
        <v>1002</v>
      </c>
      <c r="B1006" s="21" t="s">
        <v>344</v>
      </c>
      <c r="C1006" s="20" t="str">
        <f>IF(B1006="","",IF(COUNTIF('01_Anggota'!$D$5:$D$1212,B1006)=0,"NAMA TIDAK DITEMUKAN",INDEX('01_Anggota'!$B$5:$B$1212,MATCH(B1006,'01_Anggota'!$D$5:$D$1212,0))))</f>
        <v>KKSUK-000145</v>
      </c>
      <c r="D1006" s="23">
        <v>0</v>
      </c>
      <c r="E1006" s="23">
        <v>100000</v>
      </c>
      <c r="F1006" s="23">
        <v>100000</v>
      </c>
      <c r="G1006" s="23">
        <v>0</v>
      </c>
      <c r="H1006" s="42">
        <v>46078</v>
      </c>
      <c r="I1006" s="21" t="s">
        <v>804</v>
      </c>
    </row>
    <row r="1007" spans="1:9">
      <c r="A1007">
        <f t="shared" si="16"/>
        <v>1003</v>
      </c>
      <c r="B1007" s="21" t="s">
        <v>344</v>
      </c>
      <c r="C1007" s="20" t="str">
        <f>IF(B1007="","",IF(COUNTIF('01_Anggota'!$D$5:$D$1212,B1007)=0,"NAMA TIDAK DITEMUKAN",INDEX('01_Anggota'!$B$5:$B$1212,MATCH(B1007,'01_Anggota'!$D$5:$D$1212,0))))</f>
        <v>KKSUK-000145</v>
      </c>
      <c r="D1007" s="23">
        <v>0</v>
      </c>
      <c r="E1007" s="23">
        <v>100000</v>
      </c>
      <c r="F1007" s="23">
        <v>100000</v>
      </c>
      <c r="G1007" s="23">
        <v>0</v>
      </c>
      <c r="H1007" s="42">
        <v>46106</v>
      </c>
      <c r="I1007" s="21" t="s">
        <v>805</v>
      </c>
    </row>
    <row r="1008" spans="1:9">
      <c r="A1008">
        <f t="shared" si="16"/>
        <v>1004</v>
      </c>
      <c r="B1008" s="21" t="s">
        <v>344</v>
      </c>
      <c r="C1008" s="20" t="str">
        <f>IF(B1008="","",IF(COUNTIF('01_Anggota'!$D$5:$D$1212,B1008)=0,"NAMA TIDAK DITEMUKAN",INDEX('01_Anggota'!$B$5:$B$1212,MATCH(B1008,'01_Anggota'!$D$5:$D$1212,0))))</f>
        <v>KKSUK-000145</v>
      </c>
      <c r="D1008" s="23">
        <v>0</v>
      </c>
      <c r="E1008" s="23">
        <v>100000</v>
      </c>
      <c r="F1008" s="23">
        <v>100000</v>
      </c>
      <c r="G1008" s="23">
        <v>0</v>
      </c>
      <c r="H1008" s="42">
        <v>46136</v>
      </c>
      <c r="I1008" s="21" t="s">
        <v>806</v>
      </c>
    </row>
    <row r="1009" spans="1:9">
      <c r="A1009">
        <f t="shared" si="16"/>
        <v>1005</v>
      </c>
      <c r="B1009" s="21" t="s">
        <v>344</v>
      </c>
      <c r="C1009" s="20" t="str">
        <f>IF(B1009="","",IF(COUNTIF('01_Anggota'!$D$5:$D$1212,B1009)=0,"NAMA TIDAK DITEMUKAN",INDEX('01_Anggota'!$B$5:$B$1212,MATCH(B1009,'01_Anggota'!$D$5:$D$1212,0))))</f>
        <v>KKSUK-000145</v>
      </c>
      <c r="D1009" s="23">
        <v>0</v>
      </c>
      <c r="E1009" s="23">
        <v>100000</v>
      </c>
      <c r="F1009" s="23">
        <v>100000</v>
      </c>
      <c r="G1009" s="23">
        <v>0</v>
      </c>
      <c r="H1009" s="42">
        <v>46167</v>
      </c>
      <c r="I1009" s="21" t="s">
        <v>807</v>
      </c>
    </row>
    <row r="1010" spans="1:9">
      <c r="A1010">
        <f t="shared" si="16"/>
        <v>1006</v>
      </c>
      <c r="B1010" s="21" t="s">
        <v>344</v>
      </c>
      <c r="C1010" s="20" t="str">
        <f>IF(B1010="","",IF(COUNTIF('01_Anggota'!$D$5:$D$1212,B1010)=0,"NAMA TIDAK DITEMUKAN",INDEX('01_Anggota'!$B$5:$B$1212,MATCH(B1010,'01_Anggota'!$D$5:$D$1212,0))))</f>
        <v>KKSUK-000145</v>
      </c>
      <c r="D1010" s="23">
        <v>0</v>
      </c>
      <c r="E1010" s="23">
        <v>100000</v>
      </c>
      <c r="F1010" s="23">
        <v>100000</v>
      </c>
      <c r="G1010" s="23">
        <v>0</v>
      </c>
      <c r="H1010" s="42">
        <v>46198</v>
      </c>
      <c r="I1010" s="21" t="s">
        <v>808</v>
      </c>
    </row>
    <row r="1011" spans="1:9">
      <c r="A1011">
        <f t="shared" si="16"/>
        <v>1007</v>
      </c>
      <c r="B1011" s="21" t="s">
        <v>344</v>
      </c>
      <c r="C1011" s="20" t="str">
        <f>IF(B1011="","",IF(COUNTIF('01_Anggota'!$D$5:$D$1212,B1011)=0,"NAMA TIDAK DITEMUKAN",INDEX('01_Anggota'!$B$5:$B$1212,MATCH(B1011,'01_Anggota'!$D$5:$D$1212,0))))</f>
        <v>KKSUK-000145</v>
      </c>
      <c r="D1011" s="23">
        <v>0</v>
      </c>
      <c r="E1011" s="23">
        <v>-1500000</v>
      </c>
      <c r="F1011" s="23">
        <v>0</v>
      </c>
      <c r="G1011" s="23">
        <v>0</v>
      </c>
      <c r="H1011" s="42">
        <v>46227</v>
      </c>
      <c r="I1011" s="21" t="s">
        <v>809</v>
      </c>
    </row>
    <row r="1012" spans="1:9">
      <c r="A1012">
        <f t="shared" si="16"/>
        <v>1008</v>
      </c>
      <c r="B1012" s="21" t="s">
        <v>344</v>
      </c>
      <c r="C1012" s="20" t="str">
        <f>IF(B1012="","",IF(COUNTIF('01_Anggota'!$D$5:$D$1212,B1012)=0,"NAMA TIDAK DITEMUKAN",INDEX('01_Anggota'!$B$5:$B$1212,MATCH(B1012,'01_Anggota'!$D$5:$D$1212,0))))</f>
        <v>KKSUK-000145</v>
      </c>
      <c r="D1012" s="23">
        <v>0</v>
      </c>
      <c r="E1012" s="23">
        <v>100000</v>
      </c>
      <c r="F1012" s="23">
        <v>100000</v>
      </c>
      <c r="G1012" s="23">
        <v>0</v>
      </c>
      <c r="H1012" s="42">
        <v>46227</v>
      </c>
      <c r="I1012" s="21" t="s">
        <v>809</v>
      </c>
    </row>
    <row r="1013" spans="1:9">
      <c r="A1013">
        <f t="shared" si="16"/>
        <v>1009</v>
      </c>
      <c r="B1013" s="21" t="s">
        <v>344</v>
      </c>
      <c r="C1013" s="20" t="str">
        <f>IF(B1013="","",IF(COUNTIF('01_Anggota'!$D$5:$D$1212,B1013)=0,"NAMA TIDAK DITEMUKAN",INDEX('01_Anggota'!$B$5:$B$1212,MATCH(B1013,'01_Anggota'!$D$5:$D$1212,0))))</f>
        <v>KKSUK-000145</v>
      </c>
      <c r="D1013" s="23">
        <v>0</v>
      </c>
      <c r="E1013" s="23">
        <v>100000</v>
      </c>
      <c r="F1013" s="23">
        <v>100000</v>
      </c>
      <c r="G1013" s="23">
        <v>0</v>
      </c>
      <c r="H1013" s="42">
        <v>46258</v>
      </c>
      <c r="I1013" s="21" t="s">
        <v>810</v>
      </c>
    </row>
    <row r="1014" spans="1:9">
      <c r="A1014">
        <f t="shared" si="16"/>
        <v>1010</v>
      </c>
      <c r="B1014" s="21" t="s">
        <v>318</v>
      </c>
      <c r="C1014" s="20" t="str">
        <f>IF(B1014="","",IF(COUNTIF('01_Anggota'!$D$5:$D$1212,B1014)=0,"NAMA TIDAK DITEMUKAN",INDEX('01_Anggota'!$B$5:$B$1212,MATCH(B1014,'01_Anggota'!$D$5:$D$1212,0))))</f>
        <v>KKSUK-000119</v>
      </c>
      <c r="D1014" s="23">
        <v>0</v>
      </c>
      <c r="E1014" s="23">
        <v>8400000</v>
      </c>
      <c r="F1014" s="23">
        <v>2100000</v>
      </c>
      <c r="G1014" s="23">
        <v>1141370</v>
      </c>
      <c r="H1014" s="42">
        <v>46023</v>
      </c>
      <c r="I1014" s="21" t="s">
        <v>802</v>
      </c>
    </row>
    <row r="1015" spans="1:9">
      <c r="A1015">
        <f t="shared" si="16"/>
        <v>1011</v>
      </c>
      <c r="B1015" s="21" t="s">
        <v>318</v>
      </c>
      <c r="C1015" s="20" t="str">
        <f>IF(B1015="","",IF(COUNTIF('01_Anggota'!$D$5:$D$1212,B1015)=0,"NAMA TIDAK DITEMUKAN",INDEX('01_Anggota'!$B$5:$B$1212,MATCH(B1015,'01_Anggota'!$D$5:$D$1212,0))))</f>
        <v>KKSUK-000119</v>
      </c>
      <c r="D1015" s="23">
        <v>0</v>
      </c>
      <c r="E1015" s="23">
        <v>400000</v>
      </c>
      <c r="F1015" s="23">
        <v>100000</v>
      </c>
      <c r="G1015" s="23">
        <v>0</v>
      </c>
      <c r="H1015" s="42">
        <v>46045</v>
      </c>
      <c r="I1015" s="21" t="s">
        <v>803</v>
      </c>
    </row>
    <row r="1016" spans="1:9">
      <c r="A1016">
        <f t="shared" si="16"/>
        <v>1012</v>
      </c>
      <c r="B1016" s="21" t="s">
        <v>318</v>
      </c>
      <c r="C1016" s="20" t="str">
        <f>IF(B1016="","",IF(COUNTIF('01_Anggota'!$D$5:$D$1212,B1016)=0,"NAMA TIDAK DITEMUKAN",INDEX('01_Anggota'!$B$5:$B$1212,MATCH(B1016,'01_Anggota'!$D$5:$D$1212,0))))</f>
        <v>KKSUK-000119</v>
      </c>
      <c r="D1016" s="23">
        <v>0</v>
      </c>
      <c r="E1016" s="23">
        <v>400000</v>
      </c>
      <c r="F1016" s="23">
        <v>100000</v>
      </c>
      <c r="G1016" s="23">
        <v>0</v>
      </c>
      <c r="H1016" s="42">
        <v>46078</v>
      </c>
      <c r="I1016" s="21" t="s">
        <v>804</v>
      </c>
    </row>
    <row r="1017" spans="1:9">
      <c r="A1017">
        <f t="shared" si="16"/>
        <v>1013</v>
      </c>
      <c r="B1017" s="21" t="s">
        <v>318</v>
      </c>
      <c r="C1017" s="20" t="str">
        <f>IF(B1017="","",IF(COUNTIF('01_Anggota'!$D$5:$D$1212,B1017)=0,"NAMA TIDAK DITEMUKAN",INDEX('01_Anggota'!$B$5:$B$1212,MATCH(B1017,'01_Anggota'!$D$5:$D$1212,0))))</f>
        <v>KKSUK-000119</v>
      </c>
      <c r="D1017" s="23">
        <v>0</v>
      </c>
      <c r="E1017" s="23">
        <v>400000</v>
      </c>
      <c r="F1017" s="23">
        <v>100000</v>
      </c>
      <c r="G1017" s="23">
        <v>0</v>
      </c>
      <c r="H1017" s="42">
        <v>46106</v>
      </c>
      <c r="I1017" s="21" t="s">
        <v>805</v>
      </c>
    </row>
    <row r="1018" spans="1:9">
      <c r="A1018">
        <f t="shared" si="16"/>
        <v>1014</v>
      </c>
      <c r="B1018" s="21" t="s">
        <v>318</v>
      </c>
      <c r="C1018" s="20" t="str">
        <f>IF(B1018="","",IF(COUNTIF('01_Anggota'!$D$5:$D$1212,B1018)=0,"NAMA TIDAK DITEMUKAN",INDEX('01_Anggota'!$B$5:$B$1212,MATCH(B1018,'01_Anggota'!$D$5:$D$1212,0))))</f>
        <v>KKSUK-000119</v>
      </c>
      <c r="D1018" s="23">
        <v>0</v>
      </c>
      <c r="E1018" s="23">
        <v>400000</v>
      </c>
      <c r="F1018" s="23">
        <v>100000</v>
      </c>
      <c r="G1018" s="23">
        <v>0</v>
      </c>
      <c r="H1018" s="42">
        <v>46136</v>
      </c>
      <c r="I1018" s="21" t="s">
        <v>806</v>
      </c>
    </row>
    <row r="1019" spans="1:9">
      <c r="A1019">
        <f t="shared" si="16"/>
        <v>1015</v>
      </c>
      <c r="B1019" s="21" t="s">
        <v>318</v>
      </c>
      <c r="C1019" s="20" t="str">
        <f>IF(B1019="","",IF(COUNTIF('01_Anggota'!$D$5:$D$1212,B1019)=0,"NAMA TIDAK DITEMUKAN",INDEX('01_Anggota'!$B$5:$B$1212,MATCH(B1019,'01_Anggota'!$D$5:$D$1212,0))))</f>
        <v>KKSUK-000119</v>
      </c>
      <c r="D1019" s="23">
        <v>0</v>
      </c>
      <c r="E1019" s="23">
        <v>400000</v>
      </c>
      <c r="F1019" s="23">
        <v>100000</v>
      </c>
      <c r="G1019" s="23">
        <v>0</v>
      </c>
      <c r="H1019" s="42">
        <v>46167</v>
      </c>
      <c r="I1019" s="21" t="s">
        <v>807</v>
      </c>
    </row>
    <row r="1020" spans="1:9">
      <c r="A1020">
        <f t="shared" si="16"/>
        <v>1016</v>
      </c>
      <c r="B1020" s="21" t="s">
        <v>318</v>
      </c>
      <c r="C1020" s="20" t="str">
        <f>IF(B1020="","",IF(COUNTIF('01_Anggota'!$D$5:$D$1212,B1020)=0,"NAMA TIDAK DITEMUKAN",INDEX('01_Anggota'!$B$5:$B$1212,MATCH(B1020,'01_Anggota'!$D$5:$D$1212,0))))</f>
        <v>KKSUK-000119</v>
      </c>
      <c r="D1020" s="23">
        <v>0</v>
      </c>
      <c r="E1020" s="23">
        <v>400000</v>
      </c>
      <c r="F1020" s="23">
        <v>100000</v>
      </c>
      <c r="G1020" s="23">
        <v>0</v>
      </c>
      <c r="H1020" s="42">
        <v>46198</v>
      </c>
      <c r="I1020" s="21" t="s">
        <v>808</v>
      </c>
    </row>
    <row r="1021" spans="1:9">
      <c r="A1021">
        <f t="shared" si="16"/>
        <v>1017</v>
      </c>
      <c r="B1021" s="21" t="s">
        <v>318</v>
      </c>
      <c r="C1021" s="20" t="str">
        <f>IF(B1021="","",IF(COUNTIF('01_Anggota'!$D$5:$D$1212,B1021)=0,"NAMA TIDAK DITEMUKAN",INDEX('01_Anggota'!$B$5:$B$1212,MATCH(B1021,'01_Anggota'!$D$5:$D$1212,0))))</f>
        <v>KKSUK-000119</v>
      </c>
      <c r="D1021" s="23">
        <v>0</v>
      </c>
      <c r="E1021" s="23">
        <v>400000</v>
      </c>
      <c r="F1021" s="23">
        <v>100000</v>
      </c>
      <c r="G1021" s="23">
        <v>0</v>
      </c>
      <c r="H1021" s="42">
        <v>46227</v>
      </c>
      <c r="I1021" s="21" t="s">
        <v>809</v>
      </c>
    </row>
    <row r="1022" spans="1:9">
      <c r="A1022">
        <f t="shared" si="16"/>
        <v>1018</v>
      </c>
      <c r="B1022" s="21" t="s">
        <v>318</v>
      </c>
      <c r="C1022" s="20" t="str">
        <f>IF(B1022="","",IF(COUNTIF('01_Anggota'!$D$5:$D$1212,B1022)=0,"NAMA TIDAK DITEMUKAN",INDEX('01_Anggota'!$B$5:$B$1212,MATCH(B1022,'01_Anggota'!$D$5:$D$1212,0))))</f>
        <v>KKSUK-000119</v>
      </c>
      <c r="D1022" s="23">
        <v>0</v>
      </c>
      <c r="E1022" s="23">
        <v>400000</v>
      </c>
      <c r="F1022" s="23">
        <v>100000</v>
      </c>
      <c r="G1022" s="23">
        <v>0</v>
      </c>
      <c r="H1022" s="42">
        <v>46258</v>
      </c>
      <c r="I1022" s="21" t="s">
        <v>810</v>
      </c>
    </row>
    <row r="1023" spans="1:9">
      <c r="A1023">
        <f t="shared" si="16"/>
        <v>1019</v>
      </c>
      <c r="B1023" s="21" t="s">
        <v>232</v>
      </c>
      <c r="C1023" s="20" t="str">
        <f>IF(B1023="","",IF(COUNTIF('01_Anggota'!$D$5:$D$1212,B1023)=0,"NAMA TIDAK DITEMUKAN",INDEX('01_Anggota'!$B$5:$B$1212,MATCH(B1023,'01_Anggota'!$D$5:$D$1212,0))))</f>
        <v>KKSUK-000033</v>
      </c>
      <c r="D1023" s="23">
        <v>0</v>
      </c>
      <c r="E1023" s="23">
        <v>4594353</v>
      </c>
      <c r="F1023" s="23">
        <v>10278196.839707701</v>
      </c>
      <c r="G1023" s="23">
        <v>3781837</v>
      </c>
      <c r="H1023" s="42">
        <v>46023</v>
      </c>
      <c r="I1023" s="21" t="s">
        <v>802</v>
      </c>
    </row>
    <row r="1024" spans="1:9">
      <c r="A1024">
        <f t="shared" si="16"/>
        <v>1020</v>
      </c>
      <c r="B1024" s="21" t="s">
        <v>232</v>
      </c>
      <c r="C1024" s="20" t="str">
        <f>IF(B1024="","",IF(COUNTIF('01_Anggota'!$D$5:$D$1212,B1024)=0,"NAMA TIDAK DITEMUKAN",INDEX('01_Anggota'!$B$5:$B$1212,MATCH(B1024,'01_Anggota'!$D$5:$D$1212,0))))</f>
        <v>KKSUK-000033</v>
      </c>
      <c r="D1024" s="23">
        <v>0</v>
      </c>
      <c r="E1024" s="23">
        <v>200000</v>
      </c>
      <c r="F1024" s="23">
        <v>100000</v>
      </c>
      <c r="G1024" s="23">
        <v>0</v>
      </c>
      <c r="H1024" s="42">
        <v>46045</v>
      </c>
      <c r="I1024" s="21" t="s">
        <v>803</v>
      </c>
    </row>
    <row r="1025" spans="1:9">
      <c r="A1025">
        <f t="shared" si="16"/>
        <v>1021</v>
      </c>
      <c r="B1025" s="21" t="s">
        <v>232</v>
      </c>
      <c r="C1025" s="20" t="str">
        <f>IF(B1025="","",IF(COUNTIF('01_Anggota'!$D$5:$D$1212,B1025)=0,"NAMA TIDAK DITEMUKAN",INDEX('01_Anggota'!$B$5:$B$1212,MATCH(B1025,'01_Anggota'!$D$5:$D$1212,0))))</f>
        <v>KKSUK-000033</v>
      </c>
      <c r="D1025" s="23">
        <v>0</v>
      </c>
      <c r="E1025" s="23">
        <v>-3600000</v>
      </c>
      <c r="F1025" s="23">
        <v>0</v>
      </c>
      <c r="G1025" s="23">
        <v>0</v>
      </c>
      <c r="H1025" s="42">
        <v>46045</v>
      </c>
      <c r="I1025" s="21" t="s">
        <v>803</v>
      </c>
    </row>
    <row r="1026" spans="1:9">
      <c r="A1026">
        <f t="shared" si="16"/>
        <v>1022</v>
      </c>
      <c r="B1026" s="21" t="s">
        <v>232</v>
      </c>
      <c r="C1026" s="20" t="str">
        <f>IF(B1026="","",IF(COUNTIF('01_Anggota'!$D$5:$D$1212,B1026)=0,"NAMA TIDAK DITEMUKAN",INDEX('01_Anggota'!$B$5:$B$1212,MATCH(B1026,'01_Anggota'!$D$5:$D$1212,0))))</f>
        <v>KKSUK-000033</v>
      </c>
      <c r="D1026" s="23">
        <v>0</v>
      </c>
      <c r="E1026" s="23">
        <v>200000</v>
      </c>
      <c r="F1026" s="23">
        <v>100000</v>
      </c>
      <c r="G1026" s="23">
        <v>0</v>
      </c>
      <c r="H1026" s="42">
        <v>46078</v>
      </c>
      <c r="I1026" s="21" t="s">
        <v>804</v>
      </c>
    </row>
    <row r="1027" spans="1:9">
      <c r="A1027">
        <f t="shared" si="16"/>
        <v>1023</v>
      </c>
      <c r="B1027" s="21" t="s">
        <v>232</v>
      </c>
      <c r="C1027" s="20" t="str">
        <f>IF(B1027="","",IF(COUNTIF('01_Anggota'!$D$5:$D$1212,B1027)=0,"NAMA TIDAK DITEMUKAN",INDEX('01_Anggota'!$B$5:$B$1212,MATCH(B1027,'01_Anggota'!$D$5:$D$1212,0))))</f>
        <v>KKSUK-000033</v>
      </c>
      <c r="D1027" s="23">
        <v>0</v>
      </c>
      <c r="E1027" s="23">
        <v>200000</v>
      </c>
      <c r="F1027" s="23">
        <v>100000</v>
      </c>
      <c r="G1027" s="23">
        <v>0</v>
      </c>
      <c r="H1027" s="42">
        <v>46106</v>
      </c>
      <c r="I1027" s="21" t="s">
        <v>805</v>
      </c>
    </row>
    <row r="1028" spans="1:9">
      <c r="A1028">
        <f t="shared" si="16"/>
        <v>1024</v>
      </c>
      <c r="B1028" s="21" t="s">
        <v>232</v>
      </c>
      <c r="C1028" s="20" t="str">
        <f>IF(B1028="","",IF(COUNTIF('01_Anggota'!$D$5:$D$1212,B1028)=0,"NAMA TIDAK DITEMUKAN",INDEX('01_Anggota'!$B$5:$B$1212,MATCH(B1028,'01_Anggota'!$D$5:$D$1212,0))))</f>
        <v>KKSUK-000033</v>
      </c>
      <c r="D1028" s="23">
        <v>0</v>
      </c>
      <c r="E1028" s="23">
        <v>150000</v>
      </c>
      <c r="F1028" s="23">
        <v>150000</v>
      </c>
      <c r="G1028" s="23">
        <v>0</v>
      </c>
      <c r="H1028" s="42">
        <v>46136</v>
      </c>
      <c r="I1028" s="21" t="s">
        <v>806</v>
      </c>
    </row>
    <row r="1029" spans="1:9">
      <c r="A1029">
        <f t="shared" si="16"/>
        <v>1025</v>
      </c>
      <c r="B1029" s="21" t="s">
        <v>232</v>
      </c>
      <c r="C1029" s="20" t="str">
        <f>IF(B1029="","",IF(COUNTIF('01_Anggota'!$D$5:$D$1212,B1029)=0,"NAMA TIDAK DITEMUKAN",INDEX('01_Anggota'!$B$5:$B$1212,MATCH(B1029,'01_Anggota'!$D$5:$D$1212,0))))</f>
        <v>KKSUK-000033</v>
      </c>
      <c r="D1029" s="23">
        <v>0</v>
      </c>
      <c r="E1029" s="23">
        <v>150000</v>
      </c>
      <c r="F1029" s="23">
        <v>150000</v>
      </c>
      <c r="G1029" s="23">
        <v>0</v>
      </c>
      <c r="H1029" s="42">
        <v>46167</v>
      </c>
      <c r="I1029" s="21" t="s">
        <v>807</v>
      </c>
    </row>
    <row r="1030" spans="1:9">
      <c r="A1030">
        <f t="shared" si="16"/>
        <v>1026</v>
      </c>
      <c r="B1030" s="21" t="s">
        <v>232</v>
      </c>
      <c r="C1030" s="20" t="str">
        <f>IF(B1030="","",IF(COUNTIF('01_Anggota'!$D$5:$D$1212,B1030)=0,"NAMA TIDAK DITEMUKAN",INDEX('01_Anggota'!$B$5:$B$1212,MATCH(B1030,'01_Anggota'!$D$5:$D$1212,0))))</f>
        <v>KKSUK-000033</v>
      </c>
      <c r="D1030" s="23">
        <v>0</v>
      </c>
      <c r="E1030" s="23">
        <v>150000</v>
      </c>
      <c r="F1030" s="23">
        <v>150000</v>
      </c>
      <c r="G1030" s="23">
        <v>0</v>
      </c>
      <c r="H1030" s="42">
        <v>46198</v>
      </c>
      <c r="I1030" s="21" t="s">
        <v>808</v>
      </c>
    </row>
    <row r="1031" spans="1:9">
      <c r="A1031">
        <f t="shared" si="16"/>
        <v>1027</v>
      </c>
      <c r="B1031" s="21" t="s">
        <v>232</v>
      </c>
      <c r="C1031" s="20" t="str">
        <f>IF(B1031="","",IF(COUNTIF('01_Anggota'!$D$5:$D$1212,B1031)=0,"NAMA TIDAK DITEMUKAN",INDEX('01_Anggota'!$B$5:$B$1212,MATCH(B1031,'01_Anggota'!$D$5:$D$1212,0))))</f>
        <v>KKSUK-000033</v>
      </c>
      <c r="D1031" s="23">
        <v>0</v>
      </c>
      <c r="E1031" s="23">
        <v>150000</v>
      </c>
      <c r="F1031" s="23">
        <v>150000</v>
      </c>
      <c r="G1031" s="23">
        <v>0</v>
      </c>
      <c r="H1031" s="42">
        <v>46227</v>
      </c>
      <c r="I1031" s="21" t="s">
        <v>809</v>
      </c>
    </row>
    <row r="1032" spans="1:9">
      <c r="A1032">
        <f t="shared" si="16"/>
        <v>1028</v>
      </c>
      <c r="B1032" s="21" t="s">
        <v>232</v>
      </c>
      <c r="C1032" s="20" t="str">
        <f>IF(B1032="","",IF(COUNTIF('01_Anggota'!$D$5:$D$1212,B1032)=0,"NAMA TIDAK DITEMUKAN",INDEX('01_Anggota'!$B$5:$B$1212,MATCH(B1032,'01_Anggota'!$D$5:$D$1212,0))))</f>
        <v>KKSUK-000033</v>
      </c>
      <c r="D1032" s="23">
        <v>0</v>
      </c>
      <c r="E1032" s="23">
        <v>150000</v>
      </c>
      <c r="F1032" s="23">
        <v>150000</v>
      </c>
      <c r="G1032" s="23">
        <v>0</v>
      </c>
      <c r="H1032" s="42">
        <v>46258</v>
      </c>
      <c r="I1032" s="21" t="s">
        <v>810</v>
      </c>
    </row>
    <row r="1033" spans="1:9">
      <c r="A1033">
        <f t="shared" si="16"/>
        <v>1029</v>
      </c>
      <c r="B1033" s="21" t="s">
        <v>233</v>
      </c>
      <c r="C1033" s="20" t="str">
        <f>IF(B1033="","",IF(COUNTIF('01_Anggota'!$D$5:$D$1212,B1033)=0,"NAMA TIDAK DITEMUKAN",INDEX('01_Anggota'!$B$5:$B$1212,MATCH(B1033,'01_Anggota'!$D$5:$D$1212,0))))</f>
        <v>KKSUK-000034</v>
      </c>
      <c r="D1033" s="23">
        <v>0</v>
      </c>
      <c r="E1033" s="23">
        <v>-950000</v>
      </c>
      <c r="F1033" s="23">
        <v>5250000</v>
      </c>
      <c r="G1033" s="23">
        <v>2387420</v>
      </c>
      <c r="H1033" s="42">
        <v>46023</v>
      </c>
      <c r="I1033" s="21" t="s">
        <v>802</v>
      </c>
    </row>
    <row r="1034" spans="1:9">
      <c r="A1034">
        <f t="shared" si="16"/>
        <v>1030</v>
      </c>
      <c r="B1034" s="21" t="s">
        <v>233</v>
      </c>
      <c r="C1034" s="20" t="str">
        <f>IF(B1034="","",IF(COUNTIF('01_Anggota'!$D$5:$D$1212,B1034)=0,"NAMA TIDAK DITEMUKAN",INDEX('01_Anggota'!$B$5:$B$1212,MATCH(B1034,'01_Anggota'!$D$5:$D$1212,0))))</f>
        <v>KKSUK-000034</v>
      </c>
      <c r="D1034" s="23">
        <v>0</v>
      </c>
      <c r="E1034" s="23">
        <v>250000</v>
      </c>
      <c r="F1034" s="23">
        <v>150000</v>
      </c>
      <c r="G1034" s="23">
        <v>0</v>
      </c>
      <c r="H1034" s="42">
        <v>46045</v>
      </c>
      <c r="I1034" s="21" t="s">
        <v>803</v>
      </c>
    </row>
    <row r="1035" spans="1:9">
      <c r="A1035">
        <f t="shared" si="16"/>
        <v>1031</v>
      </c>
      <c r="B1035" s="21" t="s">
        <v>233</v>
      </c>
      <c r="C1035" s="20" t="str">
        <f>IF(B1035="","",IF(COUNTIF('01_Anggota'!$D$5:$D$1212,B1035)=0,"NAMA TIDAK DITEMUKAN",INDEX('01_Anggota'!$B$5:$B$1212,MATCH(B1035,'01_Anggota'!$D$5:$D$1212,0))))</f>
        <v>KKSUK-000034</v>
      </c>
      <c r="D1035" s="23">
        <v>0</v>
      </c>
      <c r="E1035" s="23">
        <v>250000</v>
      </c>
      <c r="F1035" s="23">
        <v>150000</v>
      </c>
      <c r="G1035" s="23">
        <v>0</v>
      </c>
      <c r="H1035" s="42">
        <v>46078</v>
      </c>
      <c r="I1035" s="21" t="s">
        <v>804</v>
      </c>
    </row>
    <row r="1036" spans="1:9">
      <c r="A1036">
        <f t="shared" si="16"/>
        <v>1032</v>
      </c>
      <c r="B1036" s="21" t="s">
        <v>233</v>
      </c>
      <c r="C1036" s="20" t="str">
        <f>IF(B1036="","",IF(COUNTIF('01_Anggota'!$D$5:$D$1212,B1036)=0,"NAMA TIDAK DITEMUKAN",INDEX('01_Anggota'!$B$5:$B$1212,MATCH(B1036,'01_Anggota'!$D$5:$D$1212,0))))</f>
        <v>KKSUK-000034</v>
      </c>
      <c r="D1036" s="23">
        <v>0</v>
      </c>
      <c r="E1036" s="23">
        <v>250000</v>
      </c>
      <c r="F1036" s="23">
        <v>150000</v>
      </c>
      <c r="G1036" s="23">
        <v>0</v>
      </c>
      <c r="H1036" s="42">
        <v>46106</v>
      </c>
      <c r="I1036" s="21" t="s">
        <v>805</v>
      </c>
    </row>
    <row r="1037" spans="1:9">
      <c r="A1037">
        <f t="shared" si="16"/>
        <v>1033</v>
      </c>
      <c r="B1037" s="21" t="s">
        <v>233</v>
      </c>
      <c r="C1037" s="20" t="str">
        <f>IF(B1037="","",IF(COUNTIF('01_Anggota'!$D$5:$D$1212,B1037)=0,"NAMA TIDAK DITEMUKAN",INDEX('01_Anggota'!$B$5:$B$1212,MATCH(B1037,'01_Anggota'!$D$5:$D$1212,0))))</f>
        <v>KKSUK-000034</v>
      </c>
      <c r="D1037" s="23">
        <v>0</v>
      </c>
      <c r="E1037" s="23">
        <v>200000</v>
      </c>
      <c r="F1037" s="23">
        <v>200000</v>
      </c>
      <c r="G1037" s="23">
        <v>0</v>
      </c>
      <c r="H1037" s="42">
        <v>46136</v>
      </c>
      <c r="I1037" s="21" t="s">
        <v>806</v>
      </c>
    </row>
    <row r="1038" spans="1:9">
      <c r="A1038">
        <f t="shared" si="16"/>
        <v>1034</v>
      </c>
      <c r="B1038" s="21" t="s">
        <v>233</v>
      </c>
      <c r="C1038" s="20" t="str">
        <f>IF(B1038="","",IF(COUNTIF('01_Anggota'!$D$5:$D$1212,B1038)=0,"NAMA TIDAK DITEMUKAN",INDEX('01_Anggota'!$B$5:$B$1212,MATCH(B1038,'01_Anggota'!$D$5:$D$1212,0))))</f>
        <v>KKSUK-000034</v>
      </c>
      <c r="D1038" s="23">
        <v>0</v>
      </c>
      <c r="E1038" s="23">
        <v>200000</v>
      </c>
      <c r="F1038" s="23">
        <v>200000</v>
      </c>
      <c r="G1038" s="23">
        <v>0</v>
      </c>
      <c r="H1038" s="42">
        <v>46167</v>
      </c>
      <c r="I1038" s="21" t="s">
        <v>807</v>
      </c>
    </row>
    <row r="1039" spans="1:9">
      <c r="A1039">
        <f t="shared" si="16"/>
        <v>1035</v>
      </c>
      <c r="B1039" s="21" t="s">
        <v>233</v>
      </c>
      <c r="C1039" s="20" t="str">
        <f>IF(B1039="","",IF(COUNTIF('01_Anggota'!$D$5:$D$1212,B1039)=0,"NAMA TIDAK DITEMUKAN",INDEX('01_Anggota'!$B$5:$B$1212,MATCH(B1039,'01_Anggota'!$D$5:$D$1212,0))))</f>
        <v>KKSUK-000034</v>
      </c>
      <c r="D1039" s="23">
        <v>0</v>
      </c>
      <c r="E1039" s="23">
        <v>200000</v>
      </c>
      <c r="F1039" s="23">
        <v>200000</v>
      </c>
      <c r="G1039" s="23">
        <v>0</v>
      </c>
      <c r="H1039" s="42">
        <v>46198</v>
      </c>
      <c r="I1039" s="21" t="s">
        <v>808</v>
      </c>
    </row>
    <row r="1040" spans="1:9">
      <c r="A1040">
        <f t="shared" si="16"/>
        <v>1036</v>
      </c>
      <c r="B1040" s="21" t="s">
        <v>233</v>
      </c>
      <c r="C1040" s="20" t="str">
        <f>IF(B1040="","",IF(COUNTIF('01_Anggota'!$D$5:$D$1212,B1040)=0,"NAMA TIDAK DITEMUKAN",INDEX('01_Anggota'!$B$5:$B$1212,MATCH(B1040,'01_Anggota'!$D$5:$D$1212,0))))</f>
        <v>KKSUK-000034</v>
      </c>
      <c r="D1040" s="23">
        <v>0</v>
      </c>
      <c r="E1040" s="23">
        <v>200000</v>
      </c>
      <c r="F1040" s="23">
        <v>200000</v>
      </c>
      <c r="G1040" s="23">
        <v>0</v>
      </c>
      <c r="H1040" s="42">
        <v>46227</v>
      </c>
      <c r="I1040" s="21" t="s">
        <v>809</v>
      </c>
    </row>
    <row r="1041" spans="1:9">
      <c r="A1041">
        <f t="shared" si="16"/>
        <v>1037</v>
      </c>
      <c r="B1041" s="21" t="s">
        <v>233</v>
      </c>
      <c r="C1041" s="20" t="str">
        <f>IF(B1041="","",IF(COUNTIF('01_Anggota'!$D$5:$D$1212,B1041)=0,"NAMA TIDAK DITEMUKAN",INDEX('01_Anggota'!$B$5:$B$1212,MATCH(B1041,'01_Anggota'!$D$5:$D$1212,0))))</f>
        <v>KKSUK-000034</v>
      </c>
      <c r="D1041" s="23">
        <v>0</v>
      </c>
      <c r="E1041" s="23">
        <v>200000</v>
      </c>
      <c r="F1041" s="23">
        <v>200000</v>
      </c>
      <c r="G1041" s="23">
        <v>0</v>
      </c>
      <c r="H1041" s="42">
        <v>46258</v>
      </c>
      <c r="I1041" s="21" t="s">
        <v>810</v>
      </c>
    </row>
    <row r="1042" spans="1:9">
      <c r="A1042">
        <f t="shared" si="16"/>
        <v>1038</v>
      </c>
      <c r="B1042" s="21" t="s">
        <v>234</v>
      </c>
      <c r="C1042" s="20" t="str">
        <f>IF(B1042="","",IF(COUNTIF('01_Anggota'!$D$5:$D$1212,B1042)=0,"NAMA TIDAK DITEMUKAN",INDEX('01_Anggota'!$B$5:$B$1212,MATCH(B1042,'01_Anggota'!$D$5:$D$1212,0))))</f>
        <v>KKSUK-000035</v>
      </c>
      <c r="D1042" s="23">
        <v>0</v>
      </c>
      <c r="E1042" s="23">
        <v>725000</v>
      </c>
      <c r="F1042" s="23">
        <v>2800000</v>
      </c>
      <c r="G1042" s="23">
        <v>661943</v>
      </c>
      <c r="H1042" s="42">
        <v>46023</v>
      </c>
      <c r="I1042" s="21" t="s">
        <v>802</v>
      </c>
    </row>
    <row r="1043" spans="1:9">
      <c r="A1043">
        <f t="shared" si="16"/>
        <v>1039</v>
      </c>
      <c r="B1043" s="21" t="s">
        <v>234</v>
      </c>
      <c r="C1043" s="20" t="str">
        <f>IF(B1043="","",IF(COUNTIF('01_Anggota'!$D$5:$D$1212,B1043)=0,"NAMA TIDAK DITEMUKAN",INDEX('01_Anggota'!$B$5:$B$1212,MATCH(B1043,'01_Anggota'!$D$5:$D$1212,0))))</f>
        <v>KKSUK-000035</v>
      </c>
      <c r="D1043" s="23">
        <v>0</v>
      </c>
      <c r="E1043" s="23">
        <v>50000</v>
      </c>
      <c r="F1043" s="23">
        <v>100000</v>
      </c>
      <c r="G1043" s="23">
        <v>0</v>
      </c>
      <c r="H1043" s="42">
        <v>46045</v>
      </c>
      <c r="I1043" s="21" t="s">
        <v>803</v>
      </c>
    </row>
    <row r="1044" spans="1:9">
      <c r="A1044">
        <f t="shared" si="16"/>
        <v>1040</v>
      </c>
      <c r="B1044" s="21" t="s">
        <v>234</v>
      </c>
      <c r="C1044" s="20" t="str">
        <f>IF(B1044="","",IF(COUNTIF('01_Anggota'!$D$5:$D$1212,B1044)=0,"NAMA TIDAK DITEMUKAN",INDEX('01_Anggota'!$B$5:$B$1212,MATCH(B1044,'01_Anggota'!$D$5:$D$1212,0))))</f>
        <v>KKSUK-000035</v>
      </c>
      <c r="D1044" s="23">
        <v>0</v>
      </c>
      <c r="E1044" s="23">
        <v>50000</v>
      </c>
      <c r="F1044" s="23">
        <v>100000</v>
      </c>
      <c r="G1044" s="23">
        <v>0</v>
      </c>
      <c r="H1044" s="42">
        <v>46078</v>
      </c>
      <c r="I1044" s="21" t="s">
        <v>804</v>
      </c>
    </row>
    <row r="1045" spans="1:9">
      <c r="A1045">
        <f t="shared" si="16"/>
        <v>1041</v>
      </c>
      <c r="B1045" s="21" t="s">
        <v>234</v>
      </c>
      <c r="C1045" s="20" t="str">
        <f>IF(B1045="","",IF(COUNTIF('01_Anggota'!$D$5:$D$1212,B1045)=0,"NAMA TIDAK DITEMUKAN",INDEX('01_Anggota'!$B$5:$B$1212,MATCH(B1045,'01_Anggota'!$D$5:$D$1212,0))))</f>
        <v>KKSUK-000035</v>
      </c>
      <c r="D1045" s="23">
        <v>0</v>
      </c>
      <c r="E1045" s="23">
        <v>50000</v>
      </c>
      <c r="F1045" s="23">
        <v>100000</v>
      </c>
      <c r="G1045" s="23">
        <v>0</v>
      </c>
      <c r="H1045" s="42">
        <v>46106</v>
      </c>
      <c r="I1045" s="21" t="s">
        <v>805</v>
      </c>
    </row>
    <row r="1046" spans="1:9">
      <c r="A1046">
        <f t="shared" si="16"/>
        <v>1042</v>
      </c>
      <c r="B1046" s="21" t="s">
        <v>234</v>
      </c>
      <c r="C1046" s="20" t="str">
        <f>IF(B1046="","",IF(COUNTIF('01_Anggota'!$D$5:$D$1212,B1046)=0,"NAMA TIDAK DITEMUKAN",INDEX('01_Anggota'!$B$5:$B$1212,MATCH(B1046,'01_Anggota'!$D$5:$D$1212,0))))</f>
        <v>KKSUK-000035</v>
      </c>
      <c r="D1046" s="23">
        <v>0</v>
      </c>
      <c r="E1046" s="23">
        <v>50000</v>
      </c>
      <c r="F1046" s="23">
        <v>100000</v>
      </c>
      <c r="G1046" s="23">
        <v>0</v>
      </c>
      <c r="H1046" s="42">
        <v>46136</v>
      </c>
      <c r="I1046" s="21" t="s">
        <v>806</v>
      </c>
    </row>
    <row r="1047" spans="1:9">
      <c r="A1047">
        <f t="shared" si="16"/>
        <v>1043</v>
      </c>
      <c r="B1047" s="21" t="s">
        <v>234</v>
      </c>
      <c r="C1047" s="20" t="str">
        <f>IF(B1047="","",IF(COUNTIF('01_Anggota'!$D$5:$D$1212,B1047)=0,"NAMA TIDAK DITEMUKAN",INDEX('01_Anggota'!$B$5:$B$1212,MATCH(B1047,'01_Anggota'!$D$5:$D$1212,0))))</f>
        <v>KKSUK-000035</v>
      </c>
      <c r="D1047" s="23">
        <v>0</v>
      </c>
      <c r="E1047" s="23">
        <v>50000</v>
      </c>
      <c r="F1047" s="23">
        <v>100000</v>
      </c>
      <c r="G1047" s="23">
        <v>0</v>
      </c>
      <c r="H1047" s="42">
        <v>46167</v>
      </c>
      <c r="I1047" s="21" t="s">
        <v>807</v>
      </c>
    </row>
    <row r="1048" spans="1:9">
      <c r="A1048">
        <f t="shared" si="16"/>
        <v>1044</v>
      </c>
      <c r="B1048" s="21" t="s">
        <v>234</v>
      </c>
      <c r="C1048" s="20" t="str">
        <f>IF(B1048="","",IF(COUNTIF('01_Anggota'!$D$5:$D$1212,B1048)=0,"NAMA TIDAK DITEMUKAN",INDEX('01_Anggota'!$B$5:$B$1212,MATCH(B1048,'01_Anggota'!$D$5:$D$1212,0))))</f>
        <v>KKSUK-000035</v>
      </c>
      <c r="D1048" s="23">
        <v>0</v>
      </c>
      <c r="E1048" s="23">
        <v>50000</v>
      </c>
      <c r="F1048" s="23">
        <v>100000</v>
      </c>
      <c r="G1048" s="23">
        <v>0</v>
      </c>
      <c r="H1048" s="42">
        <v>46198</v>
      </c>
      <c r="I1048" s="21" t="s">
        <v>808</v>
      </c>
    </row>
    <row r="1049" spans="1:9">
      <c r="A1049">
        <f t="shared" si="16"/>
        <v>1045</v>
      </c>
      <c r="B1049" s="21" t="s">
        <v>234</v>
      </c>
      <c r="C1049" s="20" t="str">
        <f>IF(B1049="","",IF(COUNTIF('01_Anggota'!$D$5:$D$1212,B1049)=0,"NAMA TIDAK DITEMUKAN",INDEX('01_Anggota'!$B$5:$B$1212,MATCH(B1049,'01_Anggota'!$D$5:$D$1212,0))))</f>
        <v>KKSUK-000035</v>
      </c>
      <c r="D1049" s="23">
        <v>0</v>
      </c>
      <c r="E1049" s="23">
        <v>50000</v>
      </c>
      <c r="F1049" s="23">
        <v>100000</v>
      </c>
      <c r="G1049" s="23">
        <v>0</v>
      </c>
      <c r="H1049" s="42">
        <v>46227</v>
      </c>
      <c r="I1049" s="21" t="s">
        <v>809</v>
      </c>
    </row>
    <row r="1050" spans="1:9">
      <c r="A1050">
        <f t="shared" si="16"/>
        <v>1046</v>
      </c>
      <c r="B1050" s="21" t="s">
        <v>234</v>
      </c>
      <c r="C1050" s="20" t="str">
        <f>IF(B1050="","",IF(COUNTIF('01_Anggota'!$D$5:$D$1212,B1050)=0,"NAMA TIDAK DITEMUKAN",INDEX('01_Anggota'!$B$5:$B$1212,MATCH(B1050,'01_Anggota'!$D$5:$D$1212,0))))</f>
        <v>KKSUK-000035</v>
      </c>
      <c r="D1050" s="23">
        <v>0</v>
      </c>
      <c r="E1050" s="23">
        <v>50000</v>
      </c>
      <c r="F1050" s="23">
        <v>100000</v>
      </c>
      <c r="G1050" s="23">
        <v>0</v>
      </c>
      <c r="H1050" s="42">
        <v>46258</v>
      </c>
      <c r="I1050" s="21" t="s">
        <v>810</v>
      </c>
    </row>
    <row r="1051" spans="1:9">
      <c r="A1051">
        <f t="shared" si="16"/>
        <v>1047</v>
      </c>
      <c r="B1051" s="21" t="s">
        <v>314</v>
      </c>
      <c r="C1051" s="20" t="str">
        <f>IF(B1051="","",IF(COUNTIF('01_Anggota'!$D$5:$D$1212,B1051)=0,"NAMA TIDAK DITEMUKAN",INDEX('01_Anggota'!$B$5:$B$1212,MATCH(B1051,'01_Anggota'!$D$5:$D$1212,0))))</f>
        <v>KKSUK-000115</v>
      </c>
      <c r="D1051" s="23">
        <v>0</v>
      </c>
      <c r="E1051" s="23">
        <v>3000000</v>
      </c>
      <c r="F1051" s="23">
        <v>3000000</v>
      </c>
      <c r="G1051" s="23">
        <v>967349</v>
      </c>
      <c r="H1051" s="42">
        <v>46023</v>
      </c>
      <c r="I1051" s="21" t="s">
        <v>802</v>
      </c>
    </row>
    <row r="1052" spans="1:9">
      <c r="A1052">
        <f t="shared" si="16"/>
        <v>1048</v>
      </c>
      <c r="B1052" s="21" t="s">
        <v>314</v>
      </c>
      <c r="C1052" s="20" t="str">
        <f>IF(B1052="","",IF(COUNTIF('01_Anggota'!$D$5:$D$1212,B1052)=0,"NAMA TIDAK DITEMUKAN",INDEX('01_Anggota'!$B$5:$B$1212,MATCH(B1052,'01_Anggota'!$D$5:$D$1212,0))))</f>
        <v>KKSUK-000115</v>
      </c>
      <c r="D1052" s="23">
        <v>0</v>
      </c>
      <c r="E1052" s="23">
        <v>100000</v>
      </c>
      <c r="F1052" s="23">
        <v>100000</v>
      </c>
      <c r="G1052" s="23">
        <v>0</v>
      </c>
      <c r="H1052" s="42">
        <v>46045</v>
      </c>
      <c r="I1052" s="21" t="s">
        <v>803</v>
      </c>
    </row>
    <row r="1053" spans="1:9">
      <c r="A1053">
        <f t="shared" si="16"/>
        <v>1049</v>
      </c>
      <c r="B1053" s="21" t="s">
        <v>314</v>
      </c>
      <c r="C1053" s="20" t="str">
        <f>IF(B1053="","",IF(COUNTIF('01_Anggota'!$D$5:$D$1212,B1053)=0,"NAMA TIDAK DITEMUKAN",INDEX('01_Anggota'!$B$5:$B$1212,MATCH(B1053,'01_Anggota'!$D$5:$D$1212,0))))</f>
        <v>KKSUK-000115</v>
      </c>
      <c r="D1053" s="23">
        <v>0</v>
      </c>
      <c r="E1053" s="23">
        <v>100000</v>
      </c>
      <c r="F1053" s="23">
        <v>100000</v>
      </c>
      <c r="G1053" s="23">
        <v>0</v>
      </c>
      <c r="H1053" s="42">
        <v>46078</v>
      </c>
      <c r="I1053" s="21" t="s">
        <v>804</v>
      </c>
    </row>
    <row r="1054" spans="1:9">
      <c r="A1054">
        <f t="shared" si="16"/>
        <v>1050</v>
      </c>
      <c r="B1054" s="21" t="s">
        <v>314</v>
      </c>
      <c r="C1054" s="20" t="str">
        <f>IF(B1054="","",IF(COUNTIF('01_Anggota'!$D$5:$D$1212,B1054)=0,"NAMA TIDAK DITEMUKAN",INDEX('01_Anggota'!$B$5:$B$1212,MATCH(B1054,'01_Anggota'!$D$5:$D$1212,0))))</f>
        <v>KKSUK-000115</v>
      </c>
      <c r="D1054" s="23">
        <v>0</v>
      </c>
      <c r="E1054" s="23">
        <v>100000</v>
      </c>
      <c r="F1054" s="23">
        <v>100000</v>
      </c>
      <c r="G1054" s="23">
        <v>0</v>
      </c>
      <c r="H1054" s="42">
        <v>46106</v>
      </c>
      <c r="I1054" s="21" t="s">
        <v>805</v>
      </c>
    </row>
    <row r="1055" spans="1:9">
      <c r="A1055">
        <f t="shared" si="16"/>
        <v>1051</v>
      </c>
      <c r="B1055" s="21" t="s">
        <v>314</v>
      </c>
      <c r="C1055" s="20" t="str">
        <f>IF(B1055="","",IF(COUNTIF('01_Anggota'!$D$5:$D$1212,B1055)=0,"NAMA TIDAK DITEMUKAN",INDEX('01_Anggota'!$B$5:$B$1212,MATCH(B1055,'01_Anggota'!$D$5:$D$1212,0))))</f>
        <v>KKSUK-000115</v>
      </c>
      <c r="D1055" s="23">
        <v>0</v>
      </c>
      <c r="E1055" s="23">
        <v>100000</v>
      </c>
      <c r="F1055" s="23">
        <v>100000</v>
      </c>
      <c r="G1055" s="23">
        <v>0</v>
      </c>
      <c r="H1055" s="42">
        <v>46136</v>
      </c>
      <c r="I1055" s="21" t="s">
        <v>806</v>
      </c>
    </row>
    <row r="1056" spans="1:9">
      <c r="A1056">
        <f t="shared" si="16"/>
        <v>1052</v>
      </c>
      <c r="B1056" s="21" t="s">
        <v>314</v>
      </c>
      <c r="C1056" s="20" t="str">
        <f>IF(B1056="","",IF(COUNTIF('01_Anggota'!$D$5:$D$1212,B1056)=0,"NAMA TIDAK DITEMUKAN",INDEX('01_Anggota'!$B$5:$B$1212,MATCH(B1056,'01_Anggota'!$D$5:$D$1212,0))))</f>
        <v>KKSUK-000115</v>
      </c>
      <c r="D1056" s="23">
        <v>0</v>
      </c>
      <c r="E1056" s="23">
        <v>100000</v>
      </c>
      <c r="F1056" s="23">
        <v>100000</v>
      </c>
      <c r="G1056" s="23">
        <v>0</v>
      </c>
      <c r="H1056" s="42">
        <v>46167</v>
      </c>
      <c r="I1056" s="21" t="s">
        <v>807</v>
      </c>
    </row>
    <row r="1057" spans="1:9">
      <c r="A1057">
        <f t="shared" si="16"/>
        <v>1053</v>
      </c>
      <c r="B1057" s="21" t="s">
        <v>314</v>
      </c>
      <c r="C1057" s="20" t="str">
        <f>IF(B1057="","",IF(COUNTIF('01_Anggota'!$D$5:$D$1212,B1057)=0,"NAMA TIDAK DITEMUKAN",INDEX('01_Anggota'!$B$5:$B$1212,MATCH(B1057,'01_Anggota'!$D$5:$D$1212,0))))</f>
        <v>KKSUK-000115</v>
      </c>
      <c r="D1057" s="23">
        <v>0</v>
      </c>
      <c r="E1057" s="23">
        <v>100000</v>
      </c>
      <c r="F1057" s="23">
        <v>100000</v>
      </c>
      <c r="G1057" s="23">
        <v>0</v>
      </c>
      <c r="H1057" s="42">
        <v>46198</v>
      </c>
      <c r="I1057" s="21" t="s">
        <v>808</v>
      </c>
    </row>
    <row r="1058" spans="1:9">
      <c r="A1058">
        <f t="shared" si="16"/>
        <v>1054</v>
      </c>
      <c r="B1058" s="21" t="s">
        <v>314</v>
      </c>
      <c r="C1058" s="20" t="str">
        <f>IF(B1058="","",IF(COUNTIF('01_Anggota'!$D$5:$D$1212,B1058)=0,"NAMA TIDAK DITEMUKAN",INDEX('01_Anggota'!$B$5:$B$1212,MATCH(B1058,'01_Anggota'!$D$5:$D$1212,0))))</f>
        <v>KKSUK-000115</v>
      </c>
      <c r="D1058" s="23">
        <v>0</v>
      </c>
      <c r="E1058" s="23">
        <v>100000</v>
      </c>
      <c r="F1058" s="23">
        <v>100000</v>
      </c>
      <c r="G1058" s="23">
        <v>0</v>
      </c>
      <c r="H1058" s="42">
        <v>46227</v>
      </c>
      <c r="I1058" s="21" t="s">
        <v>809</v>
      </c>
    </row>
    <row r="1059" spans="1:9">
      <c r="A1059">
        <f t="shared" si="16"/>
        <v>1055</v>
      </c>
      <c r="B1059" s="21" t="s">
        <v>314</v>
      </c>
      <c r="C1059" s="20" t="str">
        <f>IF(B1059="","",IF(COUNTIF('01_Anggota'!$D$5:$D$1212,B1059)=0,"NAMA TIDAK DITEMUKAN",INDEX('01_Anggota'!$B$5:$B$1212,MATCH(B1059,'01_Anggota'!$D$5:$D$1212,0))))</f>
        <v>KKSUK-000115</v>
      </c>
      <c r="D1059" s="23">
        <v>0</v>
      </c>
      <c r="E1059" s="23">
        <v>100000</v>
      </c>
      <c r="F1059" s="23">
        <v>100000</v>
      </c>
      <c r="G1059" s="23">
        <v>0</v>
      </c>
      <c r="H1059" s="42">
        <v>46258</v>
      </c>
      <c r="I1059" s="21" t="s">
        <v>810</v>
      </c>
    </row>
    <row r="1060" spans="1:9">
      <c r="A1060">
        <f t="shared" si="16"/>
        <v>1056</v>
      </c>
      <c r="B1060" s="21" t="s">
        <v>265</v>
      </c>
      <c r="C1060" s="20" t="str">
        <f>IF(B1060="","",IF(COUNTIF('01_Anggota'!$D$5:$D$1212,B1060)=0,"NAMA TIDAK DITEMUKAN",INDEX('01_Anggota'!$B$5:$B$1212,MATCH(B1060,'01_Anggota'!$D$5:$D$1212,0))))</f>
        <v>KKSUK-000066</v>
      </c>
      <c r="D1060" s="23">
        <v>0</v>
      </c>
      <c r="E1060" s="23">
        <v>5100000</v>
      </c>
      <c r="F1060" s="23">
        <v>5630029.8241981398</v>
      </c>
      <c r="G1060" s="23">
        <v>4574387</v>
      </c>
      <c r="H1060" s="42">
        <v>46023</v>
      </c>
      <c r="I1060" s="21" t="s">
        <v>802</v>
      </c>
    </row>
    <row r="1061" spans="1:9">
      <c r="A1061">
        <f t="shared" si="16"/>
        <v>1057</v>
      </c>
      <c r="B1061" s="21" t="s">
        <v>265</v>
      </c>
      <c r="C1061" s="20" t="str">
        <f>IF(B1061="","",IF(COUNTIF('01_Anggota'!$D$5:$D$1212,B1061)=0,"NAMA TIDAK DITEMUKAN",INDEX('01_Anggota'!$B$5:$B$1212,MATCH(B1061,'01_Anggota'!$D$5:$D$1212,0))))</f>
        <v>KKSUK-000066</v>
      </c>
      <c r="D1061" s="23">
        <v>0</v>
      </c>
      <c r="E1061" s="23">
        <v>-1500000</v>
      </c>
      <c r="F1061" s="23">
        <v>0</v>
      </c>
      <c r="G1061" s="23">
        <v>0</v>
      </c>
      <c r="H1061" s="42">
        <v>46045</v>
      </c>
      <c r="I1061" s="21" t="s">
        <v>803</v>
      </c>
    </row>
    <row r="1062" spans="1:9">
      <c r="A1062">
        <f t="shared" si="16"/>
        <v>1058</v>
      </c>
      <c r="B1062" s="21" t="s">
        <v>265</v>
      </c>
      <c r="C1062" s="20" t="str">
        <f>IF(B1062="","",IF(COUNTIF('01_Anggota'!$D$5:$D$1212,B1062)=0,"NAMA TIDAK DITEMUKAN",INDEX('01_Anggota'!$B$5:$B$1212,MATCH(B1062,'01_Anggota'!$D$5:$D$1212,0))))</f>
        <v>KKSUK-000066</v>
      </c>
      <c r="D1062" s="23">
        <v>0</v>
      </c>
      <c r="E1062" s="23">
        <v>500000</v>
      </c>
      <c r="F1062" s="23">
        <v>100000</v>
      </c>
      <c r="G1062" s="23">
        <v>0</v>
      </c>
      <c r="H1062" s="42">
        <v>46045</v>
      </c>
      <c r="I1062" s="21" t="s">
        <v>803</v>
      </c>
    </row>
    <row r="1063" spans="1:9">
      <c r="A1063">
        <f t="shared" si="16"/>
        <v>1059</v>
      </c>
      <c r="B1063" s="21" t="s">
        <v>265</v>
      </c>
      <c r="C1063" s="20" t="str">
        <f>IF(B1063="","",IF(COUNTIF('01_Anggota'!$D$5:$D$1212,B1063)=0,"NAMA TIDAK DITEMUKAN",INDEX('01_Anggota'!$B$5:$B$1212,MATCH(B1063,'01_Anggota'!$D$5:$D$1212,0))))</f>
        <v>KKSUK-000066</v>
      </c>
      <c r="D1063" s="23">
        <v>0</v>
      </c>
      <c r="E1063" s="23">
        <v>500000</v>
      </c>
      <c r="F1063" s="23">
        <v>100000</v>
      </c>
      <c r="G1063" s="23">
        <v>0</v>
      </c>
      <c r="H1063" s="42">
        <v>46078</v>
      </c>
      <c r="I1063" s="21" t="s">
        <v>804</v>
      </c>
    </row>
    <row r="1064" spans="1:9">
      <c r="A1064">
        <f t="shared" si="16"/>
        <v>1060</v>
      </c>
      <c r="B1064" s="21" t="s">
        <v>265</v>
      </c>
      <c r="C1064" s="20" t="str">
        <f>IF(B1064="","",IF(COUNTIF('01_Anggota'!$D$5:$D$1212,B1064)=0,"NAMA TIDAK DITEMUKAN",INDEX('01_Anggota'!$B$5:$B$1212,MATCH(B1064,'01_Anggota'!$D$5:$D$1212,0))))</f>
        <v>KKSUK-000066</v>
      </c>
      <c r="D1064" s="23">
        <v>0</v>
      </c>
      <c r="E1064" s="23">
        <v>500000</v>
      </c>
      <c r="F1064" s="23">
        <v>100000</v>
      </c>
      <c r="G1064" s="23">
        <v>0</v>
      </c>
      <c r="H1064" s="42">
        <v>46106</v>
      </c>
      <c r="I1064" s="21" t="s">
        <v>805</v>
      </c>
    </row>
    <row r="1065" spans="1:9">
      <c r="A1065">
        <f t="shared" si="16"/>
        <v>1061</v>
      </c>
      <c r="B1065" s="21" t="s">
        <v>265</v>
      </c>
      <c r="C1065" s="20" t="str">
        <f>IF(B1065="","",IF(COUNTIF('01_Anggota'!$D$5:$D$1212,B1065)=0,"NAMA TIDAK DITEMUKAN",INDEX('01_Anggota'!$B$5:$B$1212,MATCH(B1065,'01_Anggota'!$D$5:$D$1212,0))))</f>
        <v>KKSUK-000066</v>
      </c>
      <c r="D1065" s="23">
        <v>0</v>
      </c>
      <c r="E1065" s="23">
        <v>500000</v>
      </c>
      <c r="F1065" s="23">
        <v>100000</v>
      </c>
      <c r="G1065" s="23">
        <v>0</v>
      </c>
      <c r="H1065" s="42">
        <v>46136</v>
      </c>
      <c r="I1065" s="21" t="s">
        <v>806</v>
      </c>
    </row>
    <row r="1066" spans="1:9">
      <c r="A1066">
        <f t="shared" si="16"/>
        <v>1062</v>
      </c>
      <c r="B1066" s="21" t="s">
        <v>265</v>
      </c>
      <c r="C1066" s="20" t="str">
        <f>IF(B1066="","",IF(COUNTIF('01_Anggota'!$D$5:$D$1212,B1066)=0,"NAMA TIDAK DITEMUKAN",INDEX('01_Anggota'!$B$5:$B$1212,MATCH(B1066,'01_Anggota'!$D$5:$D$1212,0))))</f>
        <v>KKSUK-000066</v>
      </c>
      <c r="D1066" s="23">
        <v>0</v>
      </c>
      <c r="E1066" s="23">
        <v>500000</v>
      </c>
      <c r="F1066" s="23">
        <v>100000</v>
      </c>
      <c r="G1066" s="23">
        <v>0</v>
      </c>
      <c r="H1066" s="42">
        <v>46167</v>
      </c>
      <c r="I1066" s="21" t="s">
        <v>807</v>
      </c>
    </row>
    <row r="1067" spans="1:9">
      <c r="A1067">
        <f t="shared" si="16"/>
        <v>1063</v>
      </c>
      <c r="B1067" s="21" t="s">
        <v>265</v>
      </c>
      <c r="C1067" s="20" t="str">
        <f>IF(B1067="","",IF(COUNTIF('01_Anggota'!$D$5:$D$1212,B1067)=0,"NAMA TIDAK DITEMUKAN",INDEX('01_Anggota'!$B$5:$B$1212,MATCH(B1067,'01_Anggota'!$D$5:$D$1212,0))))</f>
        <v>KKSUK-000066</v>
      </c>
      <c r="D1067" s="23">
        <v>0</v>
      </c>
      <c r="E1067" s="23">
        <v>-4000000</v>
      </c>
      <c r="F1067" s="23">
        <v>0</v>
      </c>
      <c r="G1067" s="23">
        <v>0</v>
      </c>
      <c r="H1067" s="42">
        <v>46198</v>
      </c>
      <c r="I1067" s="21" t="s">
        <v>808</v>
      </c>
    </row>
    <row r="1068" spans="1:9">
      <c r="A1068">
        <f t="shared" ref="A1068:A1131" si="17">IF(B1068="","",ROW()-4)</f>
        <v>1064</v>
      </c>
      <c r="B1068" s="21" t="s">
        <v>265</v>
      </c>
      <c r="C1068" s="20" t="str">
        <f>IF(B1068="","",IF(COUNTIF('01_Anggota'!$D$5:$D$1212,B1068)=0,"NAMA TIDAK DITEMUKAN",INDEX('01_Anggota'!$B$5:$B$1212,MATCH(B1068,'01_Anggota'!$D$5:$D$1212,0))))</f>
        <v>KKSUK-000066</v>
      </c>
      <c r="D1068" s="23">
        <v>0</v>
      </c>
      <c r="E1068" s="23">
        <v>500000</v>
      </c>
      <c r="F1068" s="23">
        <v>100000</v>
      </c>
      <c r="G1068" s="23">
        <v>0</v>
      </c>
      <c r="H1068" s="42">
        <v>46198</v>
      </c>
      <c r="I1068" s="21" t="s">
        <v>808</v>
      </c>
    </row>
    <row r="1069" spans="1:9">
      <c r="A1069">
        <f t="shared" si="17"/>
        <v>1065</v>
      </c>
      <c r="B1069" s="21" t="s">
        <v>265</v>
      </c>
      <c r="C1069" s="20" t="str">
        <f>IF(B1069="","",IF(COUNTIF('01_Anggota'!$D$5:$D$1212,B1069)=0,"NAMA TIDAK DITEMUKAN",INDEX('01_Anggota'!$B$5:$B$1212,MATCH(B1069,'01_Anggota'!$D$5:$D$1212,0))))</f>
        <v>KKSUK-000066</v>
      </c>
      <c r="D1069" s="23">
        <v>0</v>
      </c>
      <c r="E1069" s="23">
        <v>500000</v>
      </c>
      <c r="F1069" s="23">
        <v>100000</v>
      </c>
      <c r="G1069" s="23">
        <v>0</v>
      </c>
      <c r="H1069" s="42">
        <v>46227</v>
      </c>
      <c r="I1069" s="21" t="s">
        <v>809</v>
      </c>
    </row>
    <row r="1070" spans="1:9">
      <c r="A1070">
        <f t="shared" si="17"/>
        <v>1066</v>
      </c>
      <c r="B1070" s="21" t="s">
        <v>265</v>
      </c>
      <c r="C1070" s="20" t="str">
        <f>IF(B1070="","",IF(COUNTIF('01_Anggota'!$D$5:$D$1212,B1070)=0,"NAMA TIDAK DITEMUKAN",INDEX('01_Anggota'!$B$5:$B$1212,MATCH(B1070,'01_Anggota'!$D$5:$D$1212,0))))</f>
        <v>KKSUK-000066</v>
      </c>
      <c r="D1070" s="23">
        <v>0</v>
      </c>
      <c r="E1070" s="23">
        <v>500000</v>
      </c>
      <c r="F1070" s="23">
        <v>100000</v>
      </c>
      <c r="G1070" s="23">
        <v>0</v>
      </c>
      <c r="H1070" s="42">
        <v>46258</v>
      </c>
      <c r="I1070" s="21" t="s">
        <v>810</v>
      </c>
    </row>
    <row r="1071" spans="1:9">
      <c r="A1071">
        <f t="shared" si="17"/>
        <v>1067</v>
      </c>
      <c r="B1071" s="21" t="s">
        <v>341</v>
      </c>
      <c r="C1071" s="20" t="str">
        <f>IF(B1071="","",IF(COUNTIF('01_Anggota'!$D$5:$D$1212,B1071)=0,"NAMA TIDAK DITEMUKAN",INDEX('01_Anggota'!$B$5:$B$1212,MATCH(B1071,'01_Anggota'!$D$5:$D$1212,0))))</f>
        <v>KKSUK-000142</v>
      </c>
      <c r="D1071" s="23">
        <v>0</v>
      </c>
      <c r="E1071" s="23">
        <v>750000</v>
      </c>
      <c r="F1071" s="23">
        <v>1500000</v>
      </c>
      <c r="G1071" s="23">
        <v>114026</v>
      </c>
      <c r="H1071" s="42">
        <v>46023</v>
      </c>
      <c r="I1071" s="21" t="s">
        <v>802</v>
      </c>
    </row>
    <row r="1072" spans="1:9">
      <c r="A1072">
        <f t="shared" si="17"/>
        <v>1068</v>
      </c>
      <c r="B1072" s="21" t="s">
        <v>341</v>
      </c>
      <c r="C1072" s="20" t="str">
        <f>IF(B1072="","",IF(COUNTIF('01_Anggota'!$D$5:$D$1212,B1072)=0,"NAMA TIDAK DITEMUKAN",INDEX('01_Anggota'!$B$5:$B$1212,MATCH(B1072,'01_Anggota'!$D$5:$D$1212,0))))</f>
        <v>KKSUK-000142</v>
      </c>
      <c r="D1072" s="23">
        <v>0</v>
      </c>
      <c r="E1072" s="23">
        <v>50000</v>
      </c>
      <c r="F1072" s="23">
        <v>100000</v>
      </c>
      <c r="G1072" s="23">
        <v>0</v>
      </c>
      <c r="H1072" s="42">
        <v>46045</v>
      </c>
      <c r="I1072" s="21" t="s">
        <v>803</v>
      </c>
    </row>
    <row r="1073" spans="1:9">
      <c r="A1073">
        <f t="shared" si="17"/>
        <v>1069</v>
      </c>
      <c r="B1073" s="21" t="s">
        <v>341</v>
      </c>
      <c r="C1073" s="20" t="str">
        <f>IF(B1073="","",IF(COUNTIF('01_Anggota'!$D$5:$D$1212,B1073)=0,"NAMA TIDAK DITEMUKAN",INDEX('01_Anggota'!$B$5:$B$1212,MATCH(B1073,'01_Anggota'!$D$5:$D$1212,0))))</f>
        <v>KKSUK-000142</v>
      </c>
      <c r="D1073" s="23">
        <v>0</v>
      </c>
      <c r="E1073" s="23">
        <v>50000</v>
      </c>
      <c r="F1073" s="23">
        <v>100000</v>
      </c>
      <c r="G1073" s="23">
        <v>0</v>
      </c>
      <c r="H1073" s="42">
        <v>46078</v>
      </c>
      <c r="I1073" s="21" t="s">
        <v>804</v>
      </c>
    </row>
    <row r="1074" spans="1:9">
      <c r="A1074">
        <f t="shared" si="17"/>
        <v>1070</v>
      </c>
      <c r="B1074" s="21" t="s">
        <v>341</v>
      </c>
      <c r="C1074" s="20" t="str">
        <f>IF(B1074="","",IF(COUNTIF('01_Anggota'!$D$5:$D$1212,B1074)=0,"NAMA TIDAK DITEMUKAN",INDEX('01_Anggota'!$B$5:$B$1212,MATCH(B1074,'01_Anggota'!$D$5:$D$1212,0))))</f>
        <v>KKSUK-000142</v>
      </c>
      <c r="D1074" s="23">
        <v>0</v>
      </c>
      <c r="E1074" s="23">
        <v>50000</v>
      </c>
      <c r="F1074" s="23">
        <v>100000</v>
      </c>
      <c r="G1074" s="23">
        <v>0</v>
      </c>
      <c r="H1074" s="42">
        <v>46106</v>
      </c>
      <c r="I1074" s="21" t="s">
        <v>805</v>
      </c>
    </row>
    <row r="1075" spans="1:9">
      <c r="A1075">
        <f t="shared" si="17"/>
        <v>1071</v>
      </c>
      <c r="B1075" s="21" t="s">
        <v>341</v>
      </c>
      <c r="C1075" s="20" t="str">
        <f>IF(B1075="","",IF(COUNTIF('01_Anggota'!$D$5:$D$1212,B1075)=0,"NAMA TIDAK DITEMUKAN",INDEX('01_Anggota'!$B$5:$B$1212,MATCH(B1075,'01_Anggota'!$D$5:$D$1212,0))))</f>
        <v>KKSUK-000142</v>
      </c>
      <c r="D1075" s="23">
        <v>0</v>
      </c>
      <c r="E1075" s="23">
        <v>50000</v>
      </c>
      <c r="F1075" s="23">
        <v>100000</v>
      </c>
      <c r="G1075" s="23">
        <v>0</v>
      </c>
      <c r="H1075" s="42">
        <v>46136</v>
      </c>
      <c r="I1075" s="21" t="s">
        <v>806</v>
      </c>
    </row>
    <row r="1076" spans="1:9">
      <c r="A1076">
        <f t="shared" si="17"/>
        <v>1072</v>
      </c>
      <c r="B1076" s="21" t="s">
        <v>341</v>
      </c>
      <c r="C1076" s="20" t="str">
        <f>IF(B1076="","",IF(COUNTIF('01_Anggota'!$D$5:$D$1212,B1076)=0,"NAMA TIDAK DITEMUKAN",INDEX('01_Anggota'!$B$5:$B$1212,MATCH(B1076,'01_Anggota'!$D$5:$D$1212,0))))</f>
        <v>KKSUK-000142</v>
      </c>
      <c r="D1076" s="23">
        <v>0</v>
      </c>
      <c r="E1076" s="23">
        <v>50000</v>
      </c>
      <c r="F1076" s="23">
        <v>100000</v>
      </c>
      <c r="G1076" s="23">
        <v>0</v>
      </c>
      <c r="H1076" s="42">
        <v>46167</v>
      </c>
      <c r="I1076" s="21" t="s">
        <v>807</v>
      </c>
    </row>
    <row r="1077" spans="1:9">
      <c r="A1077">
        <f t="shared" si="17"/>
        <v>1073</v>
      </c>
      <c r="B1077" s="21" t="s">
        <v>341</v>
      </c>
      <c r="C1077" s="20" t="str">
        <f>IF(B1077="","",IF(COUNTIF('01_Anggota'!$D$5:$D$1212,B1077)=0,"NAMA TIDAK DITEMUKAN",INDEX('01_Anggota'!$B$5:$B$1212,MATCH(B1077,'01_Anggota'!$D$5:$D$1212,0))))</f>
        <v>KKSUK-000142</v>
      </c>
      <c r="D1077" s="23">
        <v>0</v>
      </c>
      <c r="E1077" s="23">
        <v>50000</v>
      </c>
      <c r="F1077" s="23">
        <v>100000</v>
      </c>
      <c r="G1077" s="23">
        <v>0</v>
      </c>
      <c r="H1077" s="42">
        <v>46198</v>
      </c>
      <c r="I1077" s="21" t="s">
        <v>808</v>
      </c>
    </row>
    <row r="1078" spans="1:9">
      <c r="A1078">
        <f t="shared" si="17"/>
        <v>1074</v>
      </c>
      <c r="B1078" s="21" t="s">
        <v>341</v>
      </c>
      <c r="C1078" s="20" t="str">
        <f>IF(B1078="","",IF(COUNTIF('01_Anggota'!$D$5:$D$1212,B1078)=0,"NAMA TIDAK DITEMUKAN",INDEX('01_Anggota'!$B$5:$B$1212,MATCH(B1078,'01_Anggota'!$D$5:$D$1212,0))))</f>
        <v>KKSUK-000142</v>
      </c>
      <c r="D1078" s="23">
        <v>0</v>
      </c>
      <c r="E1078" s="23">
        <v>50000</v>
      </c>
      <c r="F1078" s="23">
        <v>100000</v>
      </c>
      <c r="G1078" s="23">
        <v>0</v>
      </c>
      <c r="H1078" s="42">
        <v>46227</v>
      </c>
      <c r="I1078" s="21" t="s">
        <v>809</v>
      </c>
    </row>
    <row r="1079" spans="1:9">
      <c r="A1079">
        <f t="shared" si="17"/>
        <v>1075</v>
      </c>
      <c r="B1079" s="21" t="s">
        <v>341</v>
      </c>
      <c r="C1079" s="20" t="str">
        <f>IF(B1079="","",IF(COUNTIF('01_Anggota'!$D$5:$D$1212,B1079)=0,"NAMA TIDAK DITEMUKAN",INDEX('01_Anggota'!$B$5:$B$1212,MATCH(B1079,'01_Anggota'!$D$5:$D$1212,0))))</f>
        <v>KKSUK-000142</v>
      </c>
      <c r="D1079" s="23">
        <v>0</v>
      </c>
      <c r="E1079" s="23">
        <v>-800000</v>
      </c>
      <c r="F1079" s="23">
        <v>0</v>
      </c>
      <c r="G1079" s="23">
        <v>0</v>
      </c>
      <c r="H1079" s="42">
        <v>46258</v>
      </c>
      <c r="I1079" s="21" t="s">
        <v>810</v>
      </c>
    </row>
    <row r="1080" spans="1:9">
      <c r="A1080">
        <f t="shared" si="17"/>
        <v>1076</v>
      </c>
      <c r="B1080" s="21" t="s">
        <v>341</v>
      </c>
      <c r="C1080" s="20" t="str">
        <f>IF(B1080="","",IF(COUNTIF('01_Anggota'!$D$5:$D$1212,B1080)=0,"NAMA TIDAK DITEMUKAN",INDEX('01_Anggota'!$B$5:$B$1212,MATCH(B1080,'01_Anggota'!$D$5:$D$1212,0))))</f>
        <v>KKSUK-000142</v>
      </c>
      <c r="D1080" s="23">
        <v>0</v>
      </c>
      <c r="E1080" s="23">
        <v>50000</v>
      </c>
      <c r="F1080" s="23">
        <v>100000</v>
      </c>
      <c r="G1080" s="23">
        <v>0</v>
      </c>
      <c r="H1080" s="42">
        <v>46258</v>
      </c>
      <c r="I1080" s="21" t="s">
        <v>810</v>
      </c>
    </row>
    <row r="1081" spans="1:9">
      <c r="A1081">
        <f t="shared" si="17"/>
        <v>1077</v>
      </c>
      <c r="B1081" s="21" t="s">
        <v>403</v>
      </c>
      <c r="C1081" s="20" t="str">
        <f>IF(B1081="","",IF(COUNTIF('01_Anggota'!$D$5:$D$1212,B1081)=0,"NAMA TIDAK DITEMUKAN",INDEX('01_Anggota'!$B$5:$B$1212,MATCH(B1081,'01_Anggota'!$D$5:$D$1212,0))))</f>
        <v>KKSUK-000204</v>
      </c>
      <c r="D1081" s="23">
        <v>0</v>
      </c>
      <c r="E1081" s="23">
        <v>20000</v>
      </c>
      <c r="F1081" s="23">
        <v>100000</v>
      </c>
      <c r="G1081" s="23">
        <v>0</v>
      </c>
      <c r="H1081" s="42">
        <v>46198</v>
      </c>
      <c r="I1081" s="21" t="s">
        <v>808</v>
      </c>
    </row>
    <row r="1082" spans="1:9">
      <c r="A1082">
        <f t="shared" si="17"/>
        <v>1078</v>
      </c>
      <c r="B1082" s="21" t="s">
        <v>403</v>
      </c>
      <c r="C1082" s="20" t="str">
        <f>IF(B1082="","",IF(COUNTIF('01_Anggota'!$D$5:$D$1212,B1082)=0,"NAMA TIDAK DITEMUKAN",INDEX('01_Anggota'!$B$5:$B$1212,MATCH(B1082,'01_Anggota'!$D$5:$D$1212,0))))</f>
        <v>KKSUK-000204</v>
      </c>
      <c r="D1082" s="23">
        <v>0</v>
      </c>
      <c r="E1082" s="23">
        <v>70000</v>
      </c>
      <c r="F1082" s="23">
        <v>100000</v>
      </c>
      <c r="G1082" s="23">
        <v>0</v>
      </c>
      <c r="H1082" s="42">
        <v>46227</v>
      </c>
      <c r="I1082" s="21" t="s">
        <v>809</v>
      </c>
    </row>
    <row r="1083" spans="1:9">
      <c r="A1083">
        <f t="shared" si="17"/>
        <v>1079</v>
      </c>
      <c r="B1083" s="21" t="s">
        <v>403</v>
      </c>
      <c r="C1083" s="20" t="str">
        <f>IF(B1083="","",IF(COUNTIF('01_Anggota'!$D$5:$D$1212,B1083)=0,"NAMA TIDAK DITEMUKAN",INDEX('01_Anggota'!$B$5:$B$1212,MATCH(B1083,'01_Anggota'!$D$5:$D$1212,0))))</f>
        <v>KKSUK-000204</v>
      </c>
      <c r="D1083" s="23">
        <v>0</v>
      </c>
      <c r="E1083" s="23">
        <v>70000</v>
      </c>
      <c r="F1083" s="23">
        <v>100000</v>
      </c>
      <c r="G1083" s="23">
        <v>0</v>
      </c>
      <c r="H1083" s="42">
        <v>46258</v>
      </c>
      <c r="I1083" s="21" t="s">
        <v>810</v>
      </c>
    </row>
    <row r="1084" spans="1:9">
      <c r="A1084">
        <f t="shared" si="17"/>
        <v>1080</v>
      </c>
      <c r="B1084" s="21" t="s">
        <v>353</v>
      </c>
      <c r="C1084" s="20" t="str">
        <f>IF(B1084="","",IF(COUNTIF('01_Anggota'!$D$5:$D$1212,B1084)=0,"NAMA TIDAK DITEMUKAN",INDEX('01_Anggota'!$B$5:$B$1212,MATCH(B1084,'01_Anggota'!$D$5:$D$1212,0))))</f>
        <v>KKSUK-000154</v>
      </c>
      <c r="D1084" s="23">
        <v>0</v>
      </c>
      <c r="E1084" s="23">
        <v>1500000</v>
      </c>
      <c r="F1084" s="23">
        <v>1000000</v>
      </c>
      <c r="G1084" s="23">
        <v>0</v>
      </c>
      <c r="H1084" s="42">
        <v>46023</v>
      </c>
      <c r="I1084" s="21" t="s">
        <v>802</v>
      </c>
    </row>
    <row r="1085" spans="1:9">
      <c r="A1085">
        <f t="shared" si="17"/>
        <v>1081</v>
      </c>
      <c r="B1085" s="21" t="s">
        <v>353</v>
      </c>
      <c r="C1085" s="20" t="str">
        <f>IF(B1085="","",IF(COUNTIF('01_Anggota'!$D$5:$D$1212,B1085)=0,"NAMA TIDAK DITEMUKAN",INDEX('01_Anggota'!$B$5:$B$1212,MATCH(B1085,'01_Anggota'!$D$5:$D$1212,0))))</f>
        <v>KKSUK-000154</v>
      </c>
      <c r="D1085" s="23">
        <v>0</v>
      </c>
      <c r="E1085" s="23">
        <v>150000</v>
      </c>
      <c r="F1085" s="23">
        <v>100000</v>
      </c>
      <c r="G1085" s="23">
        <v>0</v>
      </c>
      <c r="H1085" s="42">
        <v>46045</v>
      </c>
      <c r="I1085" s="21" t="s">
        <v>803</v>
      </c>
    </row>
    <row r="1086" spans="1:9">
      <c r="A1086">
        <f t="shared" si="17"/>
        <v>1082</v>
      </c>
      <c r="B1086" s="21" t="s">
        <v>353</v>
      </c>
      <c r="C1086" s="20" t="str">
        <f>IF(B1086="","",IF(COUNTIF('01_Anggota'!$D$5:$D$1212,B1086)=0,"NAMA TIDAK DITEMUKAN",INDEX('01_Anggota'!$B$5:$B$1212,MATCH(B1086,'01_Anggota'!$D$5:$D$1212,0))))</f>
        <v>KKSUK-000154</v>
      </c>
      <c r="D1086" s="23">
        <v>0</v>
      </c>
      <c r="E1086" s="23">
        <v>150000</v>
      </c>
      <c r="F1086" s="23">
        <v>100000</v>
      </c>
      <c r="G1086" s="23">
        <v>0</v>
      </c>
      <c r="H1086" s="42">
        <v>46078</v>
      </c>
      <c r="I1086" s="21" t="s">
        <v>804</v>
      </c>
    </row>
    <row r="1087" spans="1:9">
      <c r="A1087">
        <f t="shared" si="17"/>
        <v>1083</v>
      </c>
      <c r="B1087" s="21" t="s">
        <v>353</v>
      </c>
      <c r="C1087" s="20" t="str">
        <f>IF(B1087="","",IF(COUNTIF('01_Anggota'!$D$5:$D$1212,B1087)=0,"NAMA TIDAK DITEMUKAN",INDEX('01_Anggota'!$B$5:$B$1212,MATCH(B1087,'01_Anggota'!$D$5:$D$1212,0))))</f>
        <v>KKSUK-000154</v>
      </c>
      <c r="D1087" s="23">
        <v>0</v>
      </c>
      <c r="E1087" s="23">
        <v>150000</v>
      </c>
      <c r="F1087" s="23">
        <v>100000</v>
      </c>
      <c r="G1087" s="23">
        <v>0</v>
      </c>
      <c r="H1087" s="42">
        <v>46106</v>
      </c>
      <c r="I1087" s="21" t="s">
        <v>805</v>
      </c>
    </row>
    <row r="1088" spans="1:9">
      <c r="A1088">
        <f t="shared" si="17"/>
        <v>1084</v>
      </c>
      <c r="B1088" s="21" t="s">
        <v>353</v>
      </c>
      <c r="C1088" s="20" t="str">
        <f>IF(B1088="","",IF(COUNTIF('01_Anggota'!$D$5:$D$1212,B1088)=0,"NAMA TIDAK DITEMUKAN",INDEX('01_Anggota'!$B$5:$B$1212,MATCH(B1088,'01_Anggota'!$D$5:$D$1212,0))))</f>
        <v>KKSUK-000154</v>
      </c>
      <c r="D1088" s="23">
        <v>0</v>
      </c>
      <c r="E1088" s="23">
        <v>150000</v>
      </c>
      <c r="F1088" s="23">
        <v>100000</v>
      </c>
      <c r="G1088" s="23">
        <v>0</v>
      </c>
      <c r="H1088" s="42">
        <v>46136</v>
      </c>
      <c r="I1088" s="21" t="s">
        <v>806</v>
      </c>
    </row>
    <row r="1089" spans="1:9">
      <c r="A1089">
        <f t="shared" si="17"/>
        <v>1085</v>
      </c>
      <c r="B1089" s="21" t="s">
        <v>353</v>
      </c>
      <c r="C1089" s="20" t="str">
        <f>IF(B1089="","",IF(COUNTIF('01_Anggota'!$D$5:$D$1212,B1089)=0,"NAMA TIDAK DITEMUKAN",INDEX('01_Anggota'!$B$5:$B$1212,MATCH(B1089,'01_Anggota'!$D$5:$D$1212,0))))</f>
        <v>KKSUK-000154</v>
      </c>
      <c r="D1089" s="23">
        <v>0</v>
      </c>
      <c r="E1089" s="23">
        <v>150000</v>
      </c>
      <c r="F1089" s="23">
        <v>100000</v>
      </c>
      <c r="G1089" s="23">
        <v>0</v>
      </c>
      <c r="H1089" s="42">
        <v>46167</v>
      </c>
      <c r="I1089" s="21" t="s">
        <v>807</v>
      </c>
    </row>
    <row r="1090" spans="1:9">
      <c r="A1090">
        <f t="shared" si="17"/>
        <v>1086</v>
      </c>
      <c r="B1090" s="21" t="s">
        <v>353</v>
      </c>
      <c r="C1090" s="20" t="str">
        <f>IF(B1090="","",IF(COUNTIF('01_Anggota'!$D$5:$D$1212,B1090)=0,"NAMA TIDAK DITEMUKAN",INDEX('01_Anggota'!$B$5:$B$1212,MATCH(B1090,'01_Anggota'!$D$5:$D$1212,0))))</f>
        <v>KKSUK-000154</v>
      </c>
      <c r="D1090" s="23">
        <v>0</v>
      </c>
      <c r="E1090" s="23">
        <v>150000</v>
      </c>
      <c r="F1090" s="23">
        <v>100000</v>
      </c>
      <c r="G1090" s="23">
        <v>0</v>
      </c>
      <c r="H1090" s="42">
        <v>46198</v>
      </c>
      <c r="I1090" s="21" t="s">
        <v>808</v>
      </c>
    </row>
    <row r="1091" spans="1:9">
      <c r="A1091">
        <f t="shared" si="17"/>
        <v>1087</v>
      </c>
      <c r="B1091" s="21" t="s">
        <v>353</v>
      </c>
      <c r="C1091" s="20" t="str">
        <f>IF(B1091="","",IF(COUNTIF('01_Anggota'!$D$5:$D$1212,B1091)=0,"NAMA TIDAK DITEMUKAN",INDEX('01_Anggota'!$B$5:$B$1212,MATCH(B1091,'01_Anggota'!$D$5:$D$1212,0))))</f>
        <v>KKSUK-000154</v>
      </c>
      <c r="D1091" s="23">
        <v>0</v>
      </c>
      <c r="E1091" s="23">
        <v>150000</v>
      </c>
      <c r="F1091" s="23">
        <v>100000</v>
      </c>
      <c r="G1091" s="23">
        <v>0</v>
      </c>
      <c r="H1091" s="42">
        <v>46227</v>
      </c>
      <c r="I1091" s="21" t="s">
        <v>809</v>
      </c>
    </row>
    <row r="1092" spans="1:9">
      <c r="A1092">
        <f t="shared" si="17"/>
        <v>1088</v>
      </c>
      <c r="B1092" s="21" t="s">
        <v>353</v>
      </c>
      <c r="C1092" s="20" t="str">
        <f>IF(B1092="","",IF(COUNTIF('01_Anggota'!$D$5:$D$1212,B1092)=0,"NAMA TIDAK DITEMUKAN",INDEX('01_Anggota'!$B$5:$B$1212,MATCH(B1092,'01_Anggota'!$D$5:$D$1212,0))))</f>
        <v>KKSUK-000154</v>
      </c>
      <c r="D1092" s="23">
        <v>0</v>
      </c>
      <c r="E1092" s="23">
        <v>150000</v>
      </c>
      <c r="F1092" s="23">
        <v>100000</v>
      </c>
      <c r="G1092" s="23">
        <v>0</v>
      </c>
      <c r="H1092" s="42">
        <v>46258</v>
      </c>
      <c r="I1092" s="21" t="s">
        <v>810</v>
      </c>
    </row>
    <row r="1093" spans="1:9">
      <c r="A1093">
        <f t="shared" si="17"/>
        <v>1089</v>
      </c>
      <c r="B1093" s="21" t="s">
        <v>317</v>
      </c>
      <c r="C1093" s="20" t="str">
        <f>IF(B1093="","",IF(COUNTIF('01_Anggota'!$D$5:$D$1212,B1093)=0,"NAMA TIDAK DITEMUKAN",INDEX('01_Anggota'!$B$5:$B$1212,MATCH(B1093,'01_Anggota'!$D$5:$D$1212,0))))</f>
        <v>KKSUK-000118</v>
      </c>
      <c r="D1093" s="23">
        <v>0</v>
      </c>
      <c r="E1093" s="23">
        <v>2900000</v>
      </c>
      <c r="F1093" s="23">
        <v>10520119.2967926</v>
      </c>
      <c r="G1093" s="23">
        <v>3358731</v>
      </c>
      <c r="H1093" s="42">
        <v>46023</v>
      </c>
      <c r="I1093" s="21" t="s">
        <v>802</v>
      </c>
    </row>
    <row r="1094" spans="1:9">
      <c r="A1094">
        <f t="shared" si="17"/>
        <v>1090</v>
      </c>
      <c r="B1094" s="21" t="s">
        <v>317</v>
      </c>
      <c r="C1094" s="20" t="str">
        <f>IF(B1094="","",IF(COUNTIF('01_Anggota'!$D$5:$D$1212,B1094)=0,"NAMA TIDAK DITEMUKAN",INDEX('01_Anggota'!$B$5:$B$1212,MATCH(B1094,'01_Anggota'!$D$5:$D$1212,0))))</f>
        <v>KKSUK-000118</v>
      </c>
      <c r="D1094" s="23">
        <v>0</v>
      </c>
      <c r="E1094" s="23">
        <v>400000</v>
      </c>
      <c r="F1094" s="23">
        <v>150000</v>
      </c>
      <c r="G1094" s="23">
        <v>0</v>
      </c>
      <c r="H1094" s="42">
        <v>46045</v>
      </c>
      <c r="I1094" s="21" t="s">
        <v>803</v>
      </c>
    </row>
    <row r="1095" spans="1:9">
      <c r="A1095">
        <f t="shared" si="17"/>
        <v>1091</v>
      </c>
      <c r="B1095" s="21" t="s">
        <v>317</v>
      </c>
      <c r="C1095" s="20" t="str">
        <f>IF(B1095="","",IF(COUNTIF('01_Anggota'!$D$5:$D$1212,B1095)=0,"NAMA TIDAK DITEMUKAN",INDEX('01_Anggota'!$B$5:$B$1212,MATCH(B1095,'01_Anggota'!$D$5:$D$1212,0))))</f>
        <v>KKSUK-000118</v>
      </c>
      <c r="D1095" s="23">
        <v>0</v>
      </c>
      <c r="E1095" s="23">
        <v>-300000</v>
      </c>
      <c r="F1095" s="23">
        <v>0</v>
      </c>
      <c r="G1095" s="23">
        <v>0</v>
      </c>
      <c r="H1095" s="42">
        <v>46078</v>
      </c>
      <c r="I1095" s="21" t="s">
        <v>804</v>
      </c>
    </row>
    <row r="1096" spans="1:9">
      <c r="A1096">
        <f t="shared" si="17"/>
        <v>1092</v>
      </c>
      <c r="B1096" s="21" t="s">
        <v>317</v>
      </c>
      <c r="C1096" s="20" t="str">
        <f>IF(B1096="","",IF(COUNTIF('01_Anggota'!$D$5:$D$1212,B1096)=0,"NAMA TIDAK DITEMUKAN",INDEX('01_Anggota'!$B$5:$B$1212,MATCH(B1096,'01_Anggota'!$D$5:$D$1212,0))))</f>
        <v>KKSUK-000118</v>
      </c>
      <c r="D1096" s="23">
        <v>0</v>
      </c>
      <c r="E1096" s="23">
        <v>400000</v>
      </c>
      <c r="F1096" s="23">
        <v>150000</v>
      </c>
      <c r="G1096" s="23">
        <v>0</v>
      </c>
      <c r="H1096" s="42">
        <v>46078</v>
      </c>
      <c r="I1096" s="21" t="s">
        <v>804</v>
      </c>
    </row>
    <row r="1097" spans="1:9">
      <c r="A1097">
        <f t="shared" si="17"/>
        <v>1093</v>
      </c>
      <c r="B1097" s="21" t="s">
        <v>317</v>
      </c>
      <c r="C1097" s="20" t="str">
        <f>IF(B1097="","",IF(COUNTIF('01_Anggota'!$D$5:$D$1212,B1097)=0,"NAMA TIDAK DITEMUKAN",INDEX('01_Anggota'!$B$5:$B$1212,MATCH(B1097,'01_Anggota'!$D$5:$D$1212,0))))</f>
        <v>KKSUK-000118</v>
      </c>
      <c r="D1097" s="23">
        <v>0</v>
      </c>
      <c r="E1097" s="23">
        <v>400000</v>
      </c>
      <c r="F1097" s="23">
        <v>150000</v>
      </c>
      <c r="G1097" s="23">
        <v>0</v>
      </c>
      <c r="H1097" s="42">
        <v>46106</v>
      </c>
      <c r="I1097" s="21" t="s">
        <v>805</v>
      </c>
    </row>
    <row r="1098" spans="1:9">
      <c r="A1098">
        <f t="shared" si="17"/>
        <v>1094</v>
      </c>
      <c r="B1098" s="21" t="s">
        <v>317</v>
      </c>
      <c r="C1098" s="20" t="str">
        <f>IF(B1098="","",IF(COUNTIF('01_Anggota'!$D$5:$D$1212,B1098)=0,"NAMA TIDAK DITEMUKAN",INDEX('01_Anggota'!$B$5:$B$1212,MATCH(B1098,'01_Anggota'!$D$5:$D$1212,0))))</f>
        <v>KKSUK-000118</v>
      </c>
      <c r="D1098" s="23">
        <v>0</v>
      </c>
      <c r="E1098" s="23">
        <v>-300000</v>
      </c>
      <c r="F1098" s="23">
        <v>0</v>
      </c>
      <c r="G1098" s="23">
        <v>0</v>
      </c>
      <c r="H1098" s="42">
        <v>46106</v>
      </c>
      <c r="I1098" s="21" t="s">
        <v>805</v>
      </c>
    </row>
    <row r="1099" spans="1:9">
      <c r="A1099">
        <f t="shared" si="17"/>
        <v>1095</v>
      </c>
      <c r="B1099" s="21" t="s">
        <v>317</v>
      </c>
      <c r="C1099" s="20" t="str">
        <f>IF(B1099="","",IF(COUNTIF('01_Anggota'!$D$5:$D$1212,B1099)=0,"NAMA TIDAK DITEMUKAN",INDEX('01_Anggota'!$B$5:$B$1212,MATCH(B1099,'01_Anggota'!$D$5:$D$1212,0))))</f>
        <v>KKSUK-000118</v>
      </c>
      <c r="D1099" s="23">
        <v>0</v>
      </c>
      <c r="E1099" s="23">
        <v>150000</v>
      </c>
      <c r="F1099" s="23">
        <v>100000</v>
      </c>
      <c r="G1099" s="23">
        <v>0</v>
      </c>
      <c r="H1099" s="42">
        <v>46136</v>
      </c>
      <c r="I1099" s="21" t="s">
        <v>806</v>
      </c>
    </row>
    <row r="1100" spans="1:9">
      <c r="A1100">
        <f t="shared" si="17"/>
        <v>1096</v>
      </c>
      <c r="B1100" s="21" t="s">
        <v>317</v>
      </c>
      <c r="C1100" s="20" t="str">
        <f>IF(B1100="","",IF(COUNTIF('01_Anggota'!$D$5:$D$1212,B1100)=0,"NAMA TIDAK DITEMUKAN",INDEX('01_Anggota'!$B$5:$B$1212,MATCH(B1100,'01_Anggota'!$D$5:$D$1212,0))))</f>
        <v>KKSUK-000118</v>
      </c>
      <c r="D1100" s="23">
        <v>0</v>
      </c>
      <c r="E1100" s="23">
        <v>150000</v>
      </c>
      <c r="F1100" s="23">
        <v>100000</v>
      </c>
      <c r="G1100" s="23">
        <v>0</v>
      </c>
      <c r="H1100" s="42">
        <v>46167</v>
      </c>
      <c r="I1100" s="21" t="s">
        <v>807</v>
      </c>
    </row>
    <row r="1101" spans="1:9">
      <c r="A1101">
        <f t="shared" si="17"/>
        <v>1097</v>
      </c>
      <c r="B1101" s="21" t="s">
        <v>317</v>
      </c>
      <c r="C1101" s="20" t="str">
        <f>IF(B1101="","",IF(COUNTIF('01_Anggota'!$D$5:$D$1212,B1101)=0,"NAMA TIDAK DITEMUKAN",INDEX('01_Anggota'!$B$5:$B$1212,MATCH(B1101,'01_Anggota'!$D$5:$D$1212,0))))</f>
        <v>KKSUK-000118</v>
      </c>
      <c r="D1101" s="23">
        <v>0</v>
      </c>
      <c r="E1101" s="23">
        <v>150000</v>
      </c>
      <c r="F1101" s="23">
        <v>100000</v>
      </c>
      <c r="G1101" s="23">
        <v>0</v>
      </c>
      <c r="H1101" s="42">
        <v>46198</v>
      </c>
      <c r="I1101" s="21" t="s">
        <v>808</v>
      </c>
    </row>
    <row r="1102" spans="1:9">
      <c r="A1102">
        <f t="shared" si="17"/>
        <v>1098</v>
      </c>
      <c r="B1102" s="21" t="s">
        <v>317</v>
      </c>
      <c r="C1102" s="20" t="str">
        <f>IF(B1102="","",IF(COUNTIF('01_Anggota'!$D$5:$D$1212,B1102)=0,"NAMA TIDAK DITEMUKAN",INDEX('01_Anggota'!$B$5:$B$1212,MATCH(B1102,'01_Anggota'!$D$5:$D$1212,0))))</f>
        <v>KKSUK-000118</v>
      </c>
      <c r="D1102" s="23">
        <v>0</v>
      </c>
      <c r="E1102" s="23">
        <v>150000</v>
      </c>
      <c r="F1102" s="23">
        <v>100000</v>
      </c>
      <c r="G1102" s="23">
        <v>0</v>
      </c>
      <c r="H1102" s="42">
        <v>46227</v>
      </c>
      <c r="I1102" s="21" t="s">
        <v>809</v>
      </c>
    </row>
    <row r="1103" spans="1:9">
      <c r="A1103">
        <f t="shared" si="17"/>
        <v>1099</v>
      </c>
      <c r="B1103" s="21" t="s">
        <v>317</v>
      </c>
      <c r="C1103" s="20" t="str">
        <f>IF(B1103="","",IF(COUNTIF('01_Anggota'!$D$5:$D$1212,B1103)=0,"NAMA TIDAK DITEMUKAN",INDEX('01_Anggota'!$B$5:$B$1212,MATCH(B1103,'01_Anggota'!$D$5:$D$1212,0))))</f>
        <v>KKSUK-000118</v>
      </c>
      <c r="D1103" s="23">
        <v>0</v>
      </c>
      <c r="E1103" s="23">
        <v>150000</v>
      </c>
      <c r="F1103" s="23">
        <v>100000</v>
      </c>
      <c r="G1103" s="23">
        <v>0</v>
      </c>
      <c r="H1103" s="42">
        <v>46258</v>
      </c>
      <c r="I1103" s="21" t="s">
        <v>810</v>
      </c>
    </row>
    <row r="1104" spans="1:9">
      <c r="A1104">
        <f t="shared" si="17"/>
        <v>1100</v>
      </c>
      <c r="B1104" s="21" t="s">
        <v>278</v>
      </c>
      <c r="C1104" s="20" t="str">
        <f>IF(B1104="","",IF(COUNTIF('01_Anggota'!$D$5:$D$1212,B1104)=0,"NAMA TIDAK DITEMUKAN",INDEX('01_Anggota'!$B$5:$B$1212,MATCH(B1104,'01_Anggota'!$D$5:$D$1212,0))))</f>
        <v>KKSUK-000079</v>
      </c>
      <c r="D1104" s="23">
        <v>0</v>
      </c>
      <c r="E1104" s="23">
        <v>2200000</v>
      </c>
      <c r="F1104" s="23">
        <v>10444202.804547399</v>
      </c>
      <c r="G1104" s="23">
        <v>4242556</v>
      </c>
      <c r="H1104" s="42">
        <v>46023</v>
      </c>
      <c r="I1104" s="21" t="s">
        <v>802</v>
      </c>
    </row>
    <row r="1105" spans="1:9">
      <c r="A1105">
        <f t="shared" si="17"/>
        <v>1101</v>
      </c>
      <c r="B1105" s="21" t="s">
        <v>278</v>
      </c>
      <c r="C1105" s="20" t="str">
        <f>IF(B1105="","",IF(COUNTIF('01_Anggota'!$D$5:$D$1212,B1105)=0,"NAMA TIDAK DITEMUKAN",INDEX('01_Anggota'!$B$5:$B$1212,MATCH(B1105,'01_Anggota'!$D$5:$D$1212,0))))</f>
        <v>KKSUK-000079</v>
      </c>
      <c r="D1105" s="23">
        <v>0</v>
      </c>
      <c r="E1105" s="23">
        <v>100000</v>
      </c>
      <c r="F1105" s="23">
        <v>100000</v>
      </c>
      <c r="G1105" s="23">
        <v>0</v>
      </c>
      <c r="H1105" s="42">
        <v>46045</v>
      </c>
      <c r="I1105" s="21" t="s">
        <v>803</v>
      </c>
    </row>
    <row r="1106" spans="1:9">
      <c r="A1106">
        <f t="shared" si="17"/>
        <v>1102</v>
      </c>
      <c r="B1106" s="21" t="s">
        <v>278</v>
      </c>
      <c r="C1106" s="20" t="str">
        <f>IF(B1106="","",IF(COUNTIF('01_Anggota'!$D$5:$D$1212,B1106)=0,"NAMA TIDAK DITEMUKAN",INDEX('01_Anggota'!$B$5:$B$1212,MATCH(B1106,'01_Anggota'!$D$5:$D$1212,0))))</f>
        <v>KKSUK-000079</v>
      </c>
      <c r="D1106" s="23">
        <v>0</v>
      </c>
      <c r="E1106" s="23">
        <v>100000</v>
      </c>
      <c r="F1106" s="23">
        <v>100000</v>
      </c>
      <c r="G1106" s="23">
        <v>0</v>
      </c>
      <c r="H1106" s="42">
        <v>46078</v>
      </c>
      <c r="I1106" s="21" t="s">
        <v>804</v>
      </c>
    </row>
    <row r="1107" spans="1:9">
      <c r="A1107">
        <f t="shared" si="17"/>
        <v>1103</v>
      </c>
      <c r="B1107" s="21" t="s">
        <v>278</v>
      </c>
      <c r="C1107" s="20" t="str">
        <f>IF(B1107="","",IF(COUNTIF('01_Anggota'!$D$5:$D$1212,B1107)=0,"NAMA TIDAK DITEMUKAN",INDEX('01_Anggota'!$B$5:$B$1212,MATCH(B1107,'01_Anggota'!$D$5:$D$1212,0))))</f>
        <v>KKSUK-000079</v>
      </c>
      <c r="D1107" s="23">
        <v>0</v>
      </c>
      <c r="E1107" s="23">
        <v>100000</v>
      </c>
      <c r="F1107" s="23">
        <v>100000</v>
      </c>
      <c r="G1107" s="23">
        <v>0</v>
      </c>
      <c r="H1107" s="42">
        <v>46106</v>
      </c>
      <c r="I1107" s="21" t="s">
        <v>805</v>
      </c>
    </row>
    <row r="1108" spans="1:9">
      <c r="A1108">
        <f t="shared" si="17"/>
        <v>1104</v>
      </c>
      <c r="B1108" s="21" t="s">
        <v>278</v>
      </c>
      <c r="C1108" s="20" t="str">
        <f>IF(B1108="","",IF(COUNTIF('01_Anggota'!$D$5:$D$1212,B1108)=0,"NAMA TIDAK DITEMUKAN",INDEX('01_Anggota'!$B$5:$B$1212,MATCH(B1108,'01_Anggota'!$D$5:$D$1212,0))))</f>
        <v>KKSUK-000079</v>
      </c>
      <c r="D1108" s="23">
        <v>0</v>
      </c>
      <c r="E1108" s="23">
        <v>100000</v>
      </c>
      <c r="F1108" s="23">
        <v>100000</v>
      </c>
      <c r="G1108" s="23">
        <v>0</v>
      </c>
      <c r="H1108" s="42">
        <v>46136</v>
      </c>
      <c r="I1108" s="21" t="s">
        <v>806</v>
      </c>
    </row>
    <row r="1109" spans="1:9">
      <c r="A1109">
        <f t="shared" si="17"/>
        <v>1105</v>
      </c>
      <c r="B1109" s="21" t="s">
        <v>278</v>
      </c>
      <c r="C1109" s="20" t="str">
        <f>IF(B1109="","",IF(COUNTIF('01_Anggota'!$D$5:$D$1212,B1109)=0,"NAMA TIDAK DITEMUKAN",INDEX('01_Anggota'!$B$5:$B$1212,MATCH(B1109,'01_Anggota'!$D$5:$D$1212,0))))</f>
        <v>KKSUK-000079</v>
      </c>
      <c r="D1109" s="23">
        <v>0</v>
      </c>
      <c r="E1109" s="23">
        <v>100000</v>
      </c>
      <c r="F1109" s="23">
        <v>100000</v>
      </c>
      <c r="G1109" s="23">
        <v>0</v>
      </c>
      <c r="H1109" s="42">
        <v>46167</v>
      </c>
      <c r="I1109" s="21" t="s">
        <v>807</v>
      </c>
    </row>
    <row r="1110" spans="1:9">
      <c r="A1110">
        <f t="shared" si="17"/>
        <v>1106</v>
      </c>
      <c r="B1110" s="21" t="s">
        <v>278</v>
      </c>
      <c r="C1110" s="20" t="str">
        <f>IF(B1110="","",IF(COUNTIF('01_Anggota'!$D$5:$D$1212,B1110)=0,"NAMA TIDAK DITEMUKAN",INDEX('01_Anggota'!$B$5:$B$1212,MATCH(B1110,'01_Anggota'!$D$5:$D$1212,0))))</f>
        <v>KKSUK-000079</v>
      </c>
      <c r="D1110" s="23">
        <v>0</v>
      </c>
      <c r="E1110" s="23">
        <v>100000</v>
      </c>
      <c r="F1110" s="23">
        <v>100000</v>
      </c>
      <c r="G1110" s="23">
        <v>0</v>
      </c>
      <c r="H1110" s="42">
        <v>46198</v>
      </c>
      <c r="I1110" s="21" t="s">
        <v>808</v>
      </c>
    </row>
    <row r="1111" spans="1:9">
      <c r="A1111">
        <f t="shared" si="17"/>
        <v>1107</v>
      </c>
      <c r="B1111" s="21" t="s">
        <v>278</v>
      </c>
      <c r="C1111" s="20" t="str">
        <f>IF(B1111="","",IF(COUNTIF('01_Anggota'!$D$5:$D$1212,B1111)=0,"NAMA TIDAK DITEMUKAN",INDEX('01_Anggota'!$B$5:$B$1212,MATCH(B1111,'01_Anggota'!$D$5:$D$1212,0))))</f>
        <v>KKSUK-000079</v>
      </c>
      <c r="D1111" s="23">
        <v>0</v>
      </c>
      <c r="E1111" s="23">
        <v>100000</v>
      </c>
      <c r="F1111" s="23">
        <v>100000</v>
      </c>
      <c r="G1111" s="23">
        <v>0</v>
      </c>
      <c r="H1111" s="42">
        <v>46227</v>
      </c>
      <c r="I1111" s="21" t="s">
        <v>809</v>
      </c>
    </row>
    <row r="1112" spans="1:9">
      <c r="A1112">
        <f t="shared" si="17"/>
        <v>1108</v>
      </c>
      <c r="B1112" s="21" t="s">
        <v>278</v>
      </c>
      <c r="C1112" s="20" t="str">
        <f>IF(B1112="","",IF(COUNTIF('01_Anggota'!$D$5:$D$1212,B1112)=0,"NAMA TIDAK DITEMUKAN",INDEX('01_Anggota'!$B$5:$B$1212,MATCH(B1112,'01_Anggota'!$D$5:$D$1212,0))))</f>
        <v>KKSUK-000079</v>
      </c>
      <c r="D1112" s="23">
        <v>0</v>
      </c>
      <c r="E1112" s="23">
        <v>100000</v>
      </c>
      <c r="F1112" s="23">
        <v>100000</v>
      </c>
      <c r="G1112" s="23">
        <v>0</v>
      </c>
      <c r="H1112" s="42">
        <v>46258</v>
      </c>
      <c r="I1112" s="21" t="s">
        <v>810</v>
      </c>
    </row>
    <row r="1113" spans="1:9">
      <c r="A1113">
        <f t="shared" si="17"/>
        <v>1109</v>
      </c>
      <c r="B1113" s="21" t="s">
        <v>330</v>
      </c>
      <c r="C1113" s="20" t="str">
        <f>IF(B1113="","",IF(COUNTIF('01_Anggota'!$D$5:$D$1212,B1113)=0,"NAMA TIDAK DITEMUKAN",INDEX('01_Anggota'!$B$5:$B$1212,MATCH(B1113,'01_Anggota'!$D$5:$D$1212,0))))</f>
        <v>KKSUK-000131</v>
      </c>
      <c r="D1113" s="23">
        <v>0</v>
      </c>
      <c r="E1113" s="23">
        <v>8083000</v>
      </c>
      <c r="F1113" s="23">
        <v>17464595.057615198</v>
      </c>
      <c r="G1113" s="23">
        <v>10398255</v>
      </c>
      <c r="H1113" s="42">
        <v>46023</v>
      </c>
      <c r="I1113" s="21" t="s">
        <v>802</v>
      </c>
    </row>
    <row r="1114" spans="1:9">
      <c r="A1114">
        <f t="shared" si="17"/>
        <v>1110</v>
      </c>
      <c r="B1114" s="21" t="s">
        <v>330</v>
      </c>
      <c r="C1114" s="20" t="str">
        <f>IF(B1114="","",IF(COUNTIF('01_Anggota'!$D$5:$D$1212,B1114)=0,"NAMA TIDAK DITEMUKAN",INDEX('01_Anggota'!$B$5:$B$1212,MATCH(B1114,'01_Anggota'!$D$5:$D$1212,0))))</f>
        <v>KKSUK-000131</v>
      </c>
      <c r="D1114" s="23">
        <v>0</v>
      </c>
      <c r="E1114" s="23">
        <v>75000</v>
      </c>
      <c r="F1114" s="23">
        <v>100000</v>
      </c>
      <c r="G1114" s="23">
        <v>0</v>
      </c>
      <c r="H1114" s="42">
        <v>46045</v>
      </c>
      <c r="I1114" s="21" t="s">
        <v>803</v>
      </c>
    </row>
    <row r="1115" spans="1:9">
      <c r="A1115">
        <f t="shared" si="17"/>
        <v>1111</v>
      </c>
      <c r="B1115" s="21" t="s">
        <v>330</v>
      </c>
      <c r="C1115" s="20" t="str">
        <f>IF(B1115="","",IF(COUNTIF('01_Anggota'!$D$5:$D$1212,B1115)=0,"NAMA TIDAK DITEMUKAN",INDEX('01_Anggota'!$B$5:$B$1212,MATCH(B1115,'01_Anggota'!$D$5:$D$1212,0))))</f>
        <v>KKSUK-000131</v>
      </c>
      <c r="D1115" s="23">
        <v>0</v>
      </c>
      <c r="E1115" s="23">
        <v>-2000000</v>
      </c>
      <c r="F1115" s="23">
        <v>0</v>
      </c>
      <c r="G1115" s="23">
        <v>0</v>
      </c>
      <c r="H1115" s="42">
        <v>46045</v>
      </c>
      <c r="I1115" s="21" t="s">
        <v>803</v>
      </c>
    </row>
    <row r="1116" spans="1:9">
      <c r="A1116">
        <f t="shared" si="17"/>
        <v>1112</v>
      </c>
      <c r="B1116" s="21" t="s">
        <v>330</v>
      </c>
      <c r="C1116" s="20" t="str">
        <f>IF(B1116="","",IF(COUNTIF('01_Anggota'!$D$5:$D$1212,B1116)=0,"NAMA TIDAK DITEMUKAN",INDEX('01_Anggota'!$B$5:$B$1212,MATCH(B1116,'01_Anggota'!$D$5:$D$1212,0))))</f>
        <v>KKSUK-000131</v>
      </c>
      <c r="D1116" s="23">
        <v>0</v>
      </c>
      <c r="E1116" s="23">
        <v>75000</v>
      </c>
      <c r="F1116" s="23">
        <v>100000</v>
      </c>
      <c r="G1116" s="23">
        <v>0</v>
      </c>
      <c r="H1116" s="42">
        <v>46078</v>
      </c>
      <c r="I1116" s="21" t="s">
        <v>804</v>
      </c>
    </row>
    <row r="1117" spans="1:9">
      <c r="A1117">
        <f t="shared" si="17"/>
        <v>1113</v>
      </c>
      <c r="B1117" s="21" t="s">
        <v>330</v>
      </c>
      <c r="C1117" s="20" t="str">
        <f>IF(B1117="","",IF(COUNTIF('01_Anggota'!$D$5:$D$1212,B1117)=0,"NAMA TIDAK DITEMUKAN",INDEX('01_Anggota'!$B$5:$B$1212,MATCH(B1117,'01_Anggota'!$D$5:$D$1212,0))))</f>
        <v>KKSUK-000131</v>
      </c>
      <c r="D1117" s="23">
        <v>0</v>
      </c>
      <c r="E1117" s="23">
        <v>75000</v>
      </c>
      <c r="F1117" s="23">
        <v>100000</v>
      </c>
      <c r="G1117" s="23">
        <v>0</v>
      </c>
      <c r="H1117" s="42">
        <v>46106</v>
      </c>
      <c r="I1117" s="21" t="s">
        <v>805</v>
      </c>
    </row>
    <row r="1118" spans="1:9">
      <c r="A1118">
        <f t="shared" si="17"/>
        <v>1114</v>
      </c>
      <c r="B1118" s="21" t="s">
        <v>330</v>
      </c>
      <c r="C1118" s="20" t="str">
        <f>IF(B1118="","",IF(COUNTIF('01_Anggota'!$D$5:$D$1212,B1118)=0,"NAMA TIDAK DITEMUKAN",INDEX('01_Anggota'!$B$5:$B$1212,MATCH(B1118,'01_Anggota'!$D$5:$D$1212,0))))</f>
        <v>KKSUK-000131</v>
      </c>
      <c r="D1118" s="23">
        <v>0</v>
      </c>
      <c r="E1118" s="23">
        <v>25000</v>
      </c>
      <c r="F1118" s="23">
        <v>150000</v>
      </c>
      <c r="G1118" s="23">
        <v>0</v>
      </c>
      <c r="H1118" s="42">
        <v>46136</v>
      </c>
      <c r="I1118" s="21" t="s">
        <v>806</v>
      </c>
    </row>
    <row r="1119" spans="1:9">
      <c r="A1119">
        <f t="shared" si="17"/>
        <v>1115</v>
      </c>
      <c r="B1119" s="21" t="s">
        <v>330</v>
      </c>
      <c r="C1119" s="20" t="str">
        <f>IF(B1119="","",IF(COUNTIF('01_Anggota'!$D$5:$D$1212,B1119)=0,"NAMA TIDAK DITEMUKAN",INDEX('01_Anggota'!$B$5:$B$1212,MATCH(B1119,'01_Anggota'!$D$5:$D$1212,0))))</f>
        <v>KKSUK-000131</v>
      </c>
      <c r="D1119" s="23">
        <v>0</v>
      </c>
      <c r="E1119" s="23">
        <v>25000</v>
      </c>
      <c r="F1119" s="23">
        <v>150000</v>
      </c>
      <c r="G1119" s="23">
        <v>0</v>
      </c>
      <c r="H1119" s="42">
        <v>46167</v>
      </c>
      <c r="I1119" s="21" t="s">
        <v>807</v>
      </c>
    </row>
    <row r="1120" spans="1:9">
      <c r="A1120">
        <f t="shared" si="17"/>
        <v>1116</v>
      </c>
      <c r="B1120" s="21" t="s">
        <v>330</v>
      </c>
      <c r="C1120" s="20" t="str">
        <f>IF(B1120="","",IF(COUNTIF('01_Anggota'!$D$5:$D$1212,B1120)=0,"NAMA TIDAK DITEMUKAN",INDEX('01_Anggota'!$B$5:$B$1212,MATCH(B1120,'01_Anggota'!$D$5:$D$1212,0))))</f>
        <v>KKSUK-000131</v>
      </c>
      <c r="D1120" s="23">
        <v>0</v>
      </c>
      <c r="E1120" s="23">
        <v>25000</v>
      </c>
      <c r="F1120" s="23">
        <v>150000</v>
      </c>
      <c r="G1120" s="23">
        <v>0</v>
      </c>
      <c r="H1120" s="42">
        <v>46198</v>
      </c>
      <c r="I1120" s="21" t="s">
        <v>808</v>
      </c>
    </row>
    <row r="1121" spans="1:9">
      <c r="A1121">
        <f t="shared" si="17"/>
        <v>1117</v>
      </c>
      <c r="B1121" s="21" t="s">
        <v>330</v>
      </c>
      <c r="C1121" s="20" t="str">
        <f>IF(B1121="","",IF(COUNTIF('01_Anggota'!$D$5:$D$1212,B1121)=0,"NAMA TIDAK DITEMUKAN",INDEX('01_Anggota'!$B$5:$B$1212,MATCH(B1121,'01_Anggota'!$D$5:$D$1212,0))))</f>
        <v>KKSUK-000131</v>
      </c>
      <c r="D1121" s="23">
        <v>0</v>
      </c>
      <c r="E1121" s="23">
        <v>25000</v>
      </c>
      <c r="F1121" s="23">
        <v>150000</v>
      </c>
      <c r="G1121" s="23">
        <v>0</v>
      </c>
      <c r="H1121" s="42">
        <v>46227</v>
      </c>
      <c r="I1121" s="21" t="s">
        <v>809</v>
      </c>
    </row>
    <row r="1122" spans="1:9">
      <c r="A1122">
        <f t="shared" si="17"/>
        <v>1118</v>
      </c>
      <c r="B1122" s="21" t="s">
        <v>330</v>
      </c>
      <c r="C1122" s="20" t="str">
        <f>IF(B1122="","",IF(COUNTIF('01_Anggota'!$D$5:$D$1212,B1122)=0,"NAMA TIDAK DITEMUKAN",INDEX('01_Anggota'!$B$5:$B$1212,MATCH(B1122,'01_Anggota'!$D$5:$D$1212,0))))</f>
        <v>KKSUK-000131</v>
      </c>
      <c r="D1122" s="23">
        <v>0</v>
      </c>
      <c r="E1122" s="23">
        <v>25000</v>
      </c>
      <c r="F1122" s="23">
        <v>150000</v>
      </c>
      <c r="G1122" s="23">
        <v>0</v>
      </c>
      <c r="H1122" s="42">
        <v>46258</v>
      </c>
      <c r="I1122" s="21" t="s">
        <v>810</v>
      </c>
    </row>
    <row r="1123" spans="1:9">
      <c r="A1123">
        <f t="shared" si="17"/>
        <v>1119</v>
      </c>
      <c r="B1123" s="21" t="s">
        <v>279</v>
      </c>
      <c r="C1123" s="20" t="str">
        <f>IF(B1123="","",IF(COUNTIF('01_Anggota'!$D$5:$D$1212,B1123)=0,"NAMA TIDAK DITEMUKAN",INDEX('01_Anggota'!$B$5:$B$1212,MATCH(B1123,'01_Anggota'!$D$5:$D$1212,0))))</f>
        <v>KKSUK-000080</v>
      </c>
      <c r="D1123" s="23">
        <v>0</v>
      </c>
      <c r="E1123" s="23">
        <v>3415000</v>
      </c>
      <c r="F1123" s="23">
        <v>16453618.7317419</v>
      </c>
      <c r="G1123" s="23">
        <v>5194678</v>
      </c>
      <c r="H1123" s="42">
        <v>46023</v>
      </c>
      <c r="I1123" s="21" t="s">
        <v>802</v>
      </c>
    </row>
    <row r="1124" spans="1:9">
      <c r="A1124">
        <f t="shared" si="17"/>
        <v>1120</v>
      </c>
      <c r="B1124" s="21" t="s">
        <v>279</v>
      </c>
      <c r="C1124" s="20" t="str">
        <f>IF(B1124="","",IF(COUNTIF('01_Anggota'!$D$5:$D$1212,B1124)=0,"NAMA TIDAK DITEMUKAN",INDEX('01_Anggota'!$B$5:$B$1212,MATCH(B1124,'01_Anggota'!$D$5:$D$1212,0))))</f>
        <v>KKSUK-000080</v>
      </c>
      <c r="D1124" s="23">
        <v>0</v>
      </c>
      <c r="E1124" s="23">
        <v>25000</v>
      </c>
      <c r="F1124" s="23">
        <v>100000</v>
      </c>
      <c r="G1124" s="23">
        <v>0</v>
      </c>
      <c r="H1124" s="42">
        <v>46045</v>
      </c>
      <c r="I1124" s="21" t="s">
        <v>803</v>
      </c>
    </row>
    <row r="1125" spans="1:9">
      <c r="A1125">
        <f t="shared" si="17"/>
        <v>1121</v>
      </c>
      <c r="B1125" s="21" t="s">
        <v>279</v>
      </c>
      <c r="C1125" s="20" t="str">
        <f>IF(B1125="","",IF(COUNTIF('01_Anggota'!$D$5:$D$1212,B1125)=0,"NAMA TIDAK DITEMUKAN",INDEX('01_Anggota'!$B$5:$B$1212,MATCH(B1125,'01_Anggota'!$D$5:$D$1212,0))))</f>
        <v>KKSUK-000080</v>
      </c>
      <c r="D1125" s="23">
        <v>0</v>
      </c>
      <c r="E1125" s="23">
        <v>25000</v>
      </c>
      <c r="F1125" s="23">
        <v>100000</v>
      </c>
      <c r="G1125" s="23">
        <v>0</v>
      </c>
      <c r="H1125" s="42">
        <v>46078</v>
      </c>
      <c r="I1125" s="21" t="s">
        <v>804</v>
      </c>
    </row>
    <row r="1126" spans="1:9">
      <c r="A1126">
        <f t="shared" si="17"/>
        <v>1122</v>
      </c>
      <c r="B1126" s="21" t="s">
        <v>279</v>
      </c>
      <c r="C1126" s="20" t="str">
        <f>IF(B1126="","",IF(COUNTIF('01_Anggota'!$D$5:$D$1212,B1126)=0,"NAMA TIDAK DITEMUKAN",INDEX('01_Anggota'!$B$5:$B$1212,MATCH(B1126,'01_Anggota'!$D$5:$D$1212,0))))</f>
        <v>KKSUK-000080</v>
      </c>
      <c r="D1126" s="23">
        <v>0</v>
      </c>
      <c r="E1126" s="23">
        <v>25000</v>
      </c>
      <c r="F1126" s="23">
        <v>100000</v>
      </c>
      <c r="G1126" s="23">
        <v>0</v>
      </c>
      <c r="H1126" s="42">
        <v>46106</v>
      </c>
      <c r="I1126" s="21" t="s">
        <v>805</v>
      </c>
    </row>
    <row r="1127" spans="1:9">
      <c r="A1127">
        <f t="shared" si="17"/>
        <v>1123</v>
      </c>
      <c r="B1127" s="21" t="s">
        <v>279</v>
      </c>
      <c r="C1127" s="20" t="str">
        <f>IF(B1127="","",IF(COUNTIF('01_Anggota'!$D$5:$D$1212,B1127)=0,"NAMA TIDAK DITEMUKAN",INDEX('01_Anggota'!$B$5:$B$1212,MATCH(B1127,'01_Anggota'!$D$5:$D$1212,0))))</f>
        <v>KKSUK-000080</v>
      </c>
      <c r="D1127" s="23">
        <v>0</v>
      </c>
      <c r="E1127" s="23">
        <v>25000</v>
      </c>
      <c r="F1127" s="23">
        <v>100000</v>
      </c>
      <c r="G1127" s="23">
        <v>0</v>
      </c>
      <c r="H1127" s="42">
        <v>46136</v>
      </c>
      <c r="I1127" s="21" t="s">
        <v>806</v>
      </c>
    </row>
    <row r="1128" spans="1:9">
      <c r="A1128">
        <f t="shared" si="17"/>
        <v>1124</v>
      </c>
      <c r="B1128" s="21" t="s">
        <v>279</v>
      </c>
      <c r="C1128" s="20" t="str">
        <f>IF(B1128="","",IF(COUNTIF('01_Anggota'!$D$5:$D$1212,B1128)=0,"NAMA TIDAK DITEMUKAN",INDEX('01_Anggota'!$B$5:$B$1212,MATCH(B1128,'01_Anggota'!$D$5:$D$1212,0))))</f>
        <v>KKSUK-000080</v>
      </c>
      <c r="D1128" s="23">
        <v>0</v>
      </c>
      <c r="E1128" s="23">
        <v>25000</v>
      </c>
      <c r="F1128" s="23">
        <v>100000</v>
      </c>
      <c r="G1128" s="23">
        <v>0</v>
      </c>
      <c r="H1128" s="42">
        <v>46167</v>
      </c>
      <c r="I1128" s="21" t="s">
        <v>807</v>
      </c>
    </row>
    <row r="1129" spans="1:9">
      <c r="A1129">
        <f t="shared" si="17"/>
        <v>1125</v>
      </c>
      <c r="B1129" s="21" t="s">
        <v>279</v>
      </c>
      <c r="C1129" s="20" t="str">
        <f>IF(B1129="","",IF(COUNTIF('01_Anggota'!$D$5:$D$1212,B1129)=0,"NAMA TIDAK DITEMUKAN",INDEX('01_Anggota'!$B$5:$B$1212,MATCH(B1129,'01_Anggota'!$D$5:$D$1212,0))))</f>
        <v>KKSUK-000080</v>
      </c>
      <c r="D1129" s="23">
        <v>0</v>
      </c>
      <c r="E1129" s="23">
        <v>25000</v>
      </c>
      <c r="F1129" s="23">
        <v>100000</v>
      </c>
      <c r="G1129" s="23">
        <v>0</v>
      </c>
      <c r="H1129" s="42">
        <v>46198</v>
      </c>
      <c r="I1129" s="21" t="s">
        <v>808</v>
      </c>
    </row>
    <row r="1130" spans="1:9">
      <c r="A1130">
        <f t="shared" si="17"/>
        <v>1126</v>
      </c>
      <c r="B1130" s="21" t="s">
        <v>279</v>
      </c>
      <c r="C1130" s="20" t="str">
        <f>IF(B1130="","",IF(COUNTIF('01_Anggota'!$D$5:$D$1212,B1130)=0,"NAMA TIDAK DITEMUKAN",INDEX('01_Anggota'!$B$5:$B$1212,MATCH(B1130,'01_Anggota'!$D$5:$D$1212,0))))</f>
        <v>KKSUK-000080</v>
      </c>
      <c r="D1130" s="23">
        <v>0</v>
      </c>
      <c r="E1130" s="23">
        <v>25000</v>
      </c>
      <c r="F1130" s="23">
        <v>100000</v>
      </c>
      <c r="G1130" s="23">
        <v>0</v>
      </c>
      <c r="H1130" s="42">
        <v>46227</v>
      </c>
      <c r="I1130" s="21" t="s">
        <v>809</v>
      </c>
    </row>
    <row r="1131" spans="1:9">
      <c r="A1131">
        <f t="shared" si="17"/>
        <v>1127</v>
      </c>
      <c r="B1131" s="21" t="s">
        <v>279</v>
      </c>
      <c r="C1131" s="20" t="str">
        <f>IF(B1131="","",IF(COUNTIF('01_Anggota'!$D$5:$D$1212,B1131)=0,"NAMA TIDAK DITEMUKAN",INDEX('01_Anggota'!$B$5:$B$1212,MATCH(B1131,'01_Anggota'!$D$5:$D$1212,0))))</f>
        <v>KKSUK-000080</v>
      </c>
      <c r="D1131" s="23">
        <v>0</v>
      </c>
      <c r="E1131" s="23">
        <v>25000</v>
      </c>
      <c r="F1131" s="23">
        <v>100000</v>
      </c>
      <c r="G1131" s="23">
        <v>0</v>
      </c>
      <c r="H1131" s="42">
        <v>46258</v>
      </c>
      <c r="I1131" s="21" t="s">
        <v>810</v>
      </c>
    </row>
    <row r="1132" spans="1:9">
      <c r="A1132">
        <f t="shared" ref="A1132:A1195" si="18">IF(B1132="","",ROW()-4)</f>
        <v>1128</v>
      </c>
      <c r="B1132" s="21" t="s">
        <v>280</v>
      </c>
      <c r="C1132" s="20" t="str">
        <f>IF(B1132="","",IF(COUNTIF('01_Anggota'!$D$5:$D$1212,B1132)=0,"NAMA TIDAK DITEMUKAN",INDEX('01_Anggota'!$B$5:$B$1212,MATCH(B1132,'01_Anggota'!$D$5:$D$1212,0))))</f>
        <v>KKSUK-000081</v>
      </c>
      <c r="D1132" s="23">
        <v>0</v>
      </c>
      <c r="E1132" s="23">
        <v>6656000</v>
      </c>
      <c r="F1132" s="23">
        <v>17117642.591100398</v>
      </c>
      <c r="G1132" s="23">
        <v>6715846</v>
      </c>
      <c r="H1132" s="42">
        <v>46023</v>
      </c>
      <c r="I1132" s="21" t="s">
        <v>802</v>
      </c>
    </row>
    <row r="1133" spans="1:9">
      <c r="A1133">
        <f t="shared" si="18"/>
        <v>1129</v>
      </c>
      <c r="B1133" s="21" t="s">
        <v>280</v>
      </c>
      <c r="C1133" s="20" t="str">
        <f>IF(B1133="","",IF(COUNTIF('01_Anggota'!$D$5:$D$1212,B1133)=0,"NAMA TIDAK DITEMUKAN",INDEX('01_Anggota'!$B$5:$B$1212,MATCH(B1133,'01_Anggota'!$D$5:$D$1212,0))))</f>
        <v>KKSUK-000081</v>
      </c>
      <c r="D1133" s="23">
        <v>0</v>
      </c>
      <c r="E1133" s="23">
        <v>100000</v>
      </c>
      <c r="F1133" s="23">
        <v>100000</v>
      </c>
      <c r="G1133" s="23">
        <v>0</v>
      </c>
      <c r="H1133" s="42">
        <v>46045</v>
      </c>
      <c r="I1133" s="21" t="s">
        <v>803</v>
      </c>
    </row>
    <row r="1134" spans="1:9">
      <c r="A1134">
        <f t="shared" si="18"/>
        <v>1130</v>
      </c>
      <c r="B1134" s="21" t="s">
        <v>280</v>
      </c>
      <c r="C1134" s="20" t="str">
        <f>IF(B1134="","",IF(COUNTIF('01_Anggota'!$D$5:$D$1212,B1134)=0,"NAMA TIDAK DITEMUKAN",INDEX('01_Anggota'!$B$5:$B$1212,MATCH(B1134,'01_Anggota'!$D$5:$D$1212,0))))</f>
        <v>KKSUK-000081</v>
      </c>
      <c r="D1134" s="23">
        <v>0</v>
      </c>
      <c r="E1134" s="23">
        <v>100000</v>
      </c>
      <c r="F1134" s="23">
        <v>100000</v>
      </c>
      <c r="G1134" s="23">
        <v>0</v>
      </c>
      <c r="H1134" s="42">
        <v>46078</v>
      </c>
      <c r="I1134" s="21" t="s">
        <v>804</v>
      </c>
    </row>
    <row r="1135" spans="1:9">
      <c r="A1135">
        <f t="shared" si="18"/>
        <v>1131</v>
      </c>
      <c r="B1135" s="21" t="s">
        <v>280</v>
      </c>
      <c r="C1135" s="20" t="str">
        <f>IF(B1135="","",IF(COUNTIF('01_Anggota'!$D$5:$D$1212,B1135)=0,"NAMA TIDAK DITEMUKAN",INDEX('01_Anggota'!$B$5:$B$1212,MATCH(B1135,'01_Anggota'!$D$5:$D$1212,0))))</f>
        <v>KKSUK-000081</v>
      </c>
      <c r="D1135" s="23">
        <v>0</v>
      </c>
      <c r="E1135" s="23">
        <v>100000</v>
      </c>
      <c r="F1135" s="23">
        <v>100000</v>
      </c>
      <c r="G1135" s="23">
        <v>0</v>
      </c>
      <c r="H1135" s="42">
        <v>46106</v>
      </c>
      <c r="I1135" s="21" t="s">
        <v>805</v>
      </c>
    </row>
    <row r="1136" spans="1:9">
      <c r="A1136">
        <f t="shared" si="18"/>
        <v>1132</v>
      </c>
      <c r="B1136" s="21" t="s">
        <v>280</v>
      </c>
      <c r="C1136" s="20" t="str">
        <f>IF(B1136="","",IF(COUNTIF('01_Anggota'!$D$5:$D$1212,B1136)=0,"NAMA TIDAK DITEMUKAN",INDEX('01_Anggota'!$B$5:$B$1212,MATCH(B1136,'01_Anggota'!$D$5:$D$1212,0))))</f>
        <v>KKSUK-000081</v>
      </c>
      <c r="D1136" s="23">
        <v>0</v>
      </c>
      <c r="E1136" s="23">
        <v>100000</v>
      </c>
      <c r="F1136" s="23">
        <v>100000</v>
      </c>
      <c r="G1136" s="23">
        <v>0</v>
      </c>
      <c r="H1136" s="42">
        <v>46136</v>
      </c>
      <c r="I1136" s="21" t="s">
        <v>806</v>
      </c>
    </row>
    <row r="1137" spans="1:9">
      <c r="A1137">
        <f t="shared" si="18"/>
        <v>1133</v>
      </c>
      <c r="B1137" s="21" t="s">
        <v>280</v>
      </c>
      <c r="C1137" s="20" t="str">
        <f>IF(B1137="","",IF(COUNTIF('01_Anggota'!$D$5:$D$1212,B1137)=0,"NAMA TIDAK DITEMUKAN",INDEX('01_Anggota'!$B$5:$B$1212,MATCH(B1137,'01_Anggota'!$D$5:$D$1212,0))))</f>
        <v>KKSUK-000081</v>
      </c>
      <c r="D1137" s="23">
        <v>0</v>
      </c>
      <c r="E1137" s="23">
        <v>100000</v>
      </c>
      <c r="F1137" s="23">
        <v>100000</v>
      </c>
      <c r="G1137" s="23">
        <v>0</v>
      </c>
      <c r="H1137" s="42">
        <v>46167</v>
      </c>
      <c r="I1137" s="21" t="s">
        <v>807</v>
      </c>
    </row>
    <row r="1138" spans="1:9">
      <c r="A1138">
        <f t="shared" si="18"/>
        <v>1134</v>
      </c>
      <c r="B1138" s="21" t="s">
        <v>280</v>
      </c>
      <c r="C1138" s="20" t="str">
        <f>IF(B1138="","",IF(COUNTIF('01_Anggota'!$D$5:$D$1212,B1138)=0,"NAMA TIDAK DITEMUKAN",INDEX('01_Anggota'!$B$5:$B$1212,MATCH(B1138,'01_Anggota'!$D$5:$D$1212,0))))</f>
        <v>KKSUK-000081</v>
      </c>
      <c r="D1138" s="23">
        <v>0</v>
      </c>
      <c r="E1138" s="23">
        <v>100000</v>
      </c>
      <c r="F1138" s="23">
        <v>100000</v>
      </c>
      <c r="G1138" s="23">
        <v>0</v>
      </c>
      <c r="H1138" s="42">
        <v>46198</v>
      </c>
      <c r="I1138" s="21" t="s">
        <v>808</v>
      </c>
    </row>
    <row r="1139" spans="1:9">
      <c r="A1139">
        <f t="shared" si="18"/>
        <v>1135</v>
      </c>
      <c r="B1139" s="21" t="s">
        <v>280</v>
      </c>
      <c r="C1139" s="20" t="str">
        <f>IF(B1139="","",IF(COUNTIF('01_Anggota'!$D$5:$D$1212,B1139)=0,"NAMA TIDAK DITEMUKAN",INDEX('01_Anggota'!$B$5:$B$1212,MATCH(B1139,'01_Anggota'!$D$5:$D$1212,0))))</f>
        <v>KKSUK-000081</v>
      </c>
      <c r="D1139" s="23">
        <v>0</v>
      </c>
      <c r="E1139" s="23">
        <v>100000</v>
      </c>
      <c r="F1139" s="23">
        <v>100000</v>
      </c>
      <c r="G1139" s="23">
        <v>0</v>
      </c>
      <c r="H1139" s="42">
        <v>46227</v>
      </c>
      <c r="I1139" s="21" t="s">
        <v>809</v>
      </c>
    </row>
    <row r="1140" spans="1:9">
      <c r="A1140">
        <f t="shared" si="18"/>
        <v>1136</v>
      </c>
      <c r="B1140" s="21" t="s">
        <v>280</v>
      </c>
      <c r="C1140" s="20" t="str">
        <f>IF(B1140="","",IF(COUNTIF('01_Anggota'!$D$5:$D$1212,B1140)=0,"NAMA TIDAK DITEMUKAN",INDEX('01_Anggota'!$B$5:$B$1212,MATCH(B1140,'01_Anggota'!$D$5:$D$1212,0))))</f>
        <v>KKSUK-000081</v>
      </c>
      <c r="D1140" s="23">
        <v>0</v>
      </c>
      <c r="E1140" s="23">
        <v>100000</v>
      </c>
      <c r="F1140" s="23">
        <v>100000</v>
      </c>
      <c r="G1140" s="23">
        <v>0</v>
      </c>
      <c r="H1140" s="42">
        <v>46258</v>
      </c>
      <c r="I1140" s="21" t="s">
        <v>810</v>
      </c>
    </row>
    <row r="1141" spans="1:9">
      <c r="A1141">
        <f t="shared" si="18"/>
        <v>1137</v>
      </c>
      <c r="B1141" s="21" t="s">
        <v>281</v>
      </c>
      <c r="C1141" s="20" t="str">
        <f>IF(B1141="","",IF(COUNTIF('01_Anggota'!$D$5:$D$1212,B1141)=0,"NAMA TIDAK DITEMUKAN",INDEX('01_Anggota'!$B$5:$B$1212,MATCH(B1141,'01_Anggota'!$D$5:$D$1212,0))))</f>
        <v>KKSUK-000082</v>
      </c>
      <c r="D1141" s="23">
        <v>0</v>
      </c>
      <c r="E1141" s="23">
        <v>3665000</v>
      </c>
      <c r="F1141" s="23">
        <v>16403816.942290001</v>
      </c>
      <c r="G1141" s="23">
        <v>9786461</v>
      </c>
      <c r="H1141" s="42">
        <v>46023</v>
      </c>
      <c r="I1141" s="21" t="s">
        <v>802</v>
      </c>
    </row>
    <row r="1142" spans="1:9">
      <c r="A1142">
        <f t="shared" si="18"/>
        <v>1138</v>
      </c>
      <c r="B1142" s="21" t="s">
        <v>281</v>
      </c>
      <c r="C1142" s="20" t="str">
        <f>IF(B1142="","",IF(COUNTIF('01_Anggota'!$D$5:$D$1212,B1142)=0,"NAMA TIDAK DITEMUKAN",INDEX('01_Anggota'!$B$5:$B$1212,MATCH(B1142,'01_Anggota'!$D$5:$D$1212,0))))</f>
        <v>KKSUK-000082</v>
      </c>
      <c r="D1142" s="23">
        <v>0</v>
      </c>
      <c r="E1142" s="23">
        <v>125000</v>
      </c>
      <c r="F1142" s="23">
        <v>100000</v>
      </c>
      <c r="G1142" s="23">
        <v>0</v>
      </c>
      <c r="H1142" s="42">
        <v>46045</v>
      </c>
      <c r="I1142" s="21" t="s">
        <v>803</v>
      </c>
    </row>
    <row r="1143" spans="1:9">
      <c r="A1143">
        <f t="shared" si="18"/>
        <v>1139</v>
      </c>
      <c r="B1143" s="21" t="s">
        <v>281</v>
      </c>
      <c r="C1143" s="20" t="str">
        <f>IF(B1143="","",IF(COUNTIF('01_Anggota'!$D$5:$D$1212,B1143)=0,"NAMA TIDAK DITEMUKAN",INDEX('01_Anggota'!$B$5:$B$1212,MATCH(B1143,'01_Anggota'!$D$5:$D$1212,0))))</f>
        <v>KKSUK-000082</v>
      </c>
      <c r="D1143" s="23">
        <v>0</v>
      </c>
      <c r="E1143" s="23">
        <v>125000</v>
      </c>
      <c r="F1143" s="23">
        <v>100000</v>
      </c>
      <c r="G1143" s="23">
        <v>0</v>
      </c>
      <c r="H1143" s="42">
        <v>46078</v>
      </c>
      <c r="I1143" s="21" t="s">
        <v>804</v>
      </c>
    </row>
    <row r="1144" spans="1:9">
      <c r="A1144">
        <f t="shared" si="18"/>
        <v>1140</v>
      </c>
      <c r="B1144" s="21" t="s">
        <v>281</v>
      </c>
      <c r="C1144" s="20" t="str">
        <f>IF(B1144="","",IF(COUNTIF('01_Anggota'!$D$5:$D$1212,B1144)=0,"NAMA TIDAK DITEMUKAN",INDEX('01_Anggota'!$B$5:$B$1212,MATCH(B1144,'01_Anggota'!$D$5:$D$1212,0))))</f>
        <v>KKSUK-000082</v>
      </c>
      <c r="D1144" s="23">
        <v>0</v>
      </c>
      <c r="E1144" s="23">
        <v>125000</v>
      </c>
      <c r="F1144" s="23">
        <v>100000</v>
      </c>
      <c r="G1144" s="23">
        <v>0</v>
      </c>
      <c r="H1144" s="42">
        <v>46106</v>
      </c>
      <c r="I1144" s="21" t="s">
        <v>805</v>
      </c>
    </row>
    <row r="1145" spans="1:9">
      <c r="A1145">
        <f t="shared" si="18"/>
        <v>1141</v>
      </c>
      <c r="B1145" s="21" t="s">
        <v>281</v>
      </c>
      <c r="C1145" s="20" t="str">
        <f>IF(B1145="","",IF(COUNTIF('01_Anggota'!$D$5:$D$1212,B1145)=0,"NAMA TIDAK DITEMUKAN",INDEX('01_Anggota'!$B$5:$B$1212,MATCH(B1145,'01_Anggota'!$D$5:$D$1212,0))))</f>
        <v>KKSUK-000082</v>
      </c>
      <c r="D1145" s="23">
        <v>0</v>
      </c>
      <c r="E1145" s="23">
        <v>125000</v>
      </c>
      <c r="F1145" s="23">
        <v>100000</v>
      </c>
      <c r="G1145" s="23">
        <v>0</v>
      </c>
      <c r="H1145" s="42">
        <v>46136</v>
      </c>
      <c r="I1145" s="21" t="s">
        <v>806</v>
      </c>
    </row>
    <row r="1146" spans="1:9">
      <c r="A1146">
        <f t="shared" si="18"/>
        <v>1142</v>
      </c>
      <c r="B1146" s="21" t="s">
        <v>281</v>
      </c>
      <c r="C1146" s="20" t="str">
        <f>IF(B1146="","",IF(COUNTIF('01_Anggota'!$D$5:$D$1212,B1146)=0,"NAMA TIDAK DITEMUKAN",INDEX('01_Anggota'!$B$5:$B$1212,MATCH(B1146,'01_Anggota'!$D$5:$D$1212,0))))</f>
        <v>KKSUK-000082</v>
      </c>
      <c r="D1146" s="23">
        <v>0</v>
      </c>
      <c r="E1146" s="23">
        <v>125000</v>
      </c>
      <c r="F1146" s="23">
        <v>100000</v>
      </c>
      <c r="G1146" s="23">
        <v>0</v>
      </c>
      <c r="H1146" s="42">
        <v>46167</v>
      </c>
      <c r="I1146" s="21" t="s">
        <v>807</v>
      </c>
    </row>
    <row r="1147" spans="1:9">
      <c r="A1147">
        <f t="shared" si="18"/>
        <v>1143</v>
      </c>
      <c r="B1147" s="21" t="s">
        <v>281</v>
      </c>
      <c r="C1147" s="20" t="str">
        <f>IF(B1147="","",IF(COUNTIF('01_Anggota'!$D$5:$D$1212,B1147)=0,"NAMA TIDAK DITEMUKAN",INDEX('01_Anggota'!$B$5:$B$1212,MATCH(B1147,'01_Anggota'!$D$5:$D$1212,0))))</f>
        <v>KKSUK-000082</v>
      </c>
      <c r="D1147" s="23">
        <v>0</v>
      </c>
      <c r="E1147" s="23">
        <v>125000</v>
      </c>
      <c r="F1147" s="23">
        <v>100000</v>
      </c>
      <c r="G1147" s="23">
        <v>0</v>
      </c>
      <c r="H1147" s="42">
        <v>46198</v>
      </c>
      <c r="I1147" s="21" t="s">
        <v>808</v>
      </c>
    </row>
    <row r="1148" spans="1:9">
      <c r="A1148">
        <f t="shared" si="18"/>
        <v>1144</v>
      </c>
      <c r="B1148" s="21" t="s">
        <v>281</v>
      </c>
      <c r="C1148" s="20" t="str">
        <f>IF(B1148="","",IF(COUNTIF('01_Anggota'!$D$5:$D$1212,B1148)=0,"NAMA TIDAK DITEMUKAN",INDEX('01_Anggota'!$B$5:$B$1212,MATCH(B1148,'01_Anggota'!$D$5:$D$1212,0))))</f>
        <v>KKSUK-000082</v>
      </c>
      <c r="D1148" s="23">
        <v>0</v>
      </c>
      <c r="E1148" s="23">
        <v>125000</v>
      </c>
      <c r="F1148" s="23">
        <v>100000</v>
      </c>
      <c r="G1148" s="23">
        <v>0</v>
      </c>
      <c r="H1148" s="42">
        <v>46227</v>
      </c>
      <c r="I1148" s="21" t="s">
        <v>809</v>
      </c>
    </row>
    <row r="1149" spans="1:9">
      <c r="A1149">
        <f t="shared" si="18"/>
        <v>1145</v>
      </c>
      <c r="B1149" s="21" t="s">
        <v>281</v>
      </c>
      <c r="C1149" s="20" t="str">
        <f>IF(B1149="","",IF(COUNTIF('01_Anggota'!$D$5:$D$1212,B1149)=0,"NAMA TIDAK DITEMUKAN",INDEX('01_Anggota'!$B$5:$B$1212,MATCH(B1149,'01_Anggota'!$D$5:$D$1212,0))))</f>
        <v>KKSUK-000082</v>
      </c>
      <c r="D1149" s="23">
        <v>0</v>
      </c>
      <c r="E1149" s="23">
        <v>125000</v>
      </c>
      <c r="F1149" s="23">
        <v>100000</v>
      </c>
      <c r="G1149" s="23">
        <v>0</v>
      </c>
      <c r="H1149" s="42">
        <v>46258</v>
      </c>
      <c r="I1149" s="21" t="s">
        <v>810</v>
      </c>
    </row>
    <row r="1150" spans="1:9">
      <c r="A1150">
        <f t="shared" si="18"/>
        <v>1146</v>
      </c>
      <c r="B1150" s="21" t="s">
        <v>384</v>
      </c>
      <c r="C1150" s="20" t="str">
        <f>IF(B1150="","",IF(COUNTIF('01_Anggota'!$D$5:$D$1212,B1150)=0,"NAMA TIDAK DITEMUKAN",INDEX('01_Anggota'!$B$5:$B$1212,MATCH(B1150,'01_Anggota'!$D$5:$D$1212,0))))</f>
        <v>KKSUK-000185</v>
      </c>
      <c r="D1150" s="23">
        <v>0</v>
      </c>
      <c r="E1150" s="23">
        <v>600000</v>
      </c>
      <c r="F1150" s="23">
        <v>600000</v>
      </c>
      <c r="G1150" s="23">
        <v>0</v>
      </c>
      <c r="H1150" s="42">
        <v>46023</v>
      </c>
      <c r="I1150" s="21" t="s">
        <v>802</v>
      </c>
    </row>
    <row r="1151" spans="1:9">
      <c r="A1151">
        <f t="shared" si="18"/>
        <v>1147</v>
      </c>
      <c r="B1151" s="21" t="s">
        <v>384</v>
      </c>
      <c r="C1151" s="20" t="str">
        <f>IF(B1151="","",IF(COUNTIF('01_Anggota'!$D$5:$D$1212,B1151)=0,"NAMA TIDAK DITEMUKAN",INDEX('01_Anggota'!$B$5:$B$1212,MATCH(B1151,'01_Anggota'!$D$5:$D$1212,0))))</f>
        <v>KKSUK-000185</v>
      </c>
      <c r="D1151" s="23">
        <v>0</v>
      </c>
      <c r="E1151" s="23">
        <v>100000</v>
      </c>
      <c r="F1151" s="23">
        <v>100000</v>
      </c>
      <c r="G1151" s="23">
        <v>0</v>
      </c>
      <c r="H1151" s="42">
        <v>46078</v>
      </c>
      <c r="I1151" s="21" t="s">
        <v>804</v>
      </c>
    </row>
    <row r="1152" spans="1:9">
      <c r="A1152">
        <f t="shared" si="18"/>
        <v>1148</v>
      </c>
      <c r="B1152" s="21" t="s">
        <v>384</v>
      </c>
      <c r="C1152" s="20" t="str">
        <f>IF(B1152="","",IF(COUNTIF('01_Anggota'!$D$5:$D$1212,B1152)=0,"NAMA TIDAK DITEMUKAN",INDEX('01_Anggota'!$B$5:$B$1212,MATCH(B1152,'01_Anggota'!$D$5:$D$1212,0))))</f>
        <v>KKSUK-000185</v>
      </c>
      <c r="D1152" s="23">
        <v>0</v>
      </c>
      <c r="E1152" s="23">
        <v>100000</v>
      </c>
      <c r="F1152" s="23">
        <v>100000</v>
      </c>
      <c r="G1152" s="23">
        <v>0</v>
      </c>
      <c r="H1152" s="42">
        <v>46106</v>
      </c>
      <c r="I1152" s="21" t="s">
        <v>805</v>
      </c>
    </row>
    <row r="1153" spans="1:9">
      <c r="A1153">
        <f t="shared" si="18"/>
        <v>1149</v>
      </c>
      <c r="B1153" s="21" t="s">
        <v>384</v>
      </c>
      <c r="C1153" s="20" t="str">
        <f>IF(B1153="","",IF(COUNTIF('01_Anggota'!$D$5:$D$1212,B1153)=0,"NAMA TIDAK DITEMUKAN",INDEX('01_Anggota'!$B$5:$B$1212,MATCH(B1153,'01_Anggota'!$D$5:$D$1212,0))))</f>
        <v>KKSUK-000185</v>
      </c>
      <c r="D1153" s="23">
        <v>0</v>
      </c>
      <c r="E1153" s="23">
        <v>100000</v>
      </c>
      <c r="F1153" s="23">
        <v>100000</v>
      </c>
      <c r="G1153" s="23">
        <v>0</v>
      </c>
      <c r="H1153" s="42">
        <v>46136</v>
      </c>
      <c r="I1153" s="21" t="s">
        <v>806</v>
      </c>
    </row>
    <row r="1154" spans="1:9">
      <c r="A1154">
        <f t="shared" si="18"/>
        <v>1150</v>
      </c>
      <c r="B1154" s="21" t="s">
        <v>384</v>
      </c>
      <c r="C1154" s="20" t="str">
        <f>IF(B1154="","",IF(COUNTIF('01_Anggota'!$D$5:$D$1212,B1154)=0,"NAMA TIDAK DITEMUKAN",INDEX('01_Anggota'!$B$5:$B$1212,MATCH(B1154,'01_Anggota'!$D$5:$D$1212,0))))</f>
        <v>KKSUK-000185</v>
      </c>
      <c r="D1154" s="23">
        <v>0</v>
      </c>
      <c r="E1154" s="23">
        <v>100000</v>
      </c>
      <c r="F1154" s="23">
        <v>100000</v>
      </c>
      <c r="G1154" s="23">
        <v>0</v>
      </c>
      <c r="H1154" s="42">
        <v>46167</v>
      </c>
      <c r="I1154" s="21" t="s">
        <v>807</v>
      </c>
    </row>
    <row r="1155" spans="1:9">
      <c r="A1155">
        <f t="shared" si="18"/>
        <v>1151</v>
      </c>
      <c r="B1155" s="21" t="s">
        <v>327</v>
      </c>
      <c r="C1155" s="20" t="str">
        <f>IF(B1155="","",IF(COUNTIF('01_Anggota'!$D$5:$D$1212,B1155)=0,"NAMA TIDAK DITEMUKAN",INDEX('01_Anggota'!$B$5:$B$1212,MATCH(B1155,'01_Anggota'!$D$5:$D$1212,0))))</f>
        <v>KKSUK-000128</v>
      </c>
      <c r="D1155" s="23">
        <v>0</v>
      </c>
      <c r="E1155" s="23">
        <v>2100000</v>
      </c>
      <c r="F1155" s="23">
        <v>6294053.6835566498</v>
      </c>
      <c r="G1155" s="23">
        <v>3418946</v>
      </c>
      <c r="H1155" s="42">
        <v>46023</v>
      </c>
      <c r="I1155" s="21" t="s">
        <v>802</v>
      </c>
    </row>
    <row r="1156" spans="1:9">
      <c r="A1156">
        <f t="shared" si="18"/>
        <v>1152</v>
      </c>
      <c r="B1156" s="21" t="s">
        <v>327</v>
      </c>
      <c r="C1156" s="20" t="str">
        <f>IF(B1156="","",IF(COUNTIF('01_Anggota'!$D$5:$D$1212,B1156)=0,"NAMA TIDAK DITEMUKAN",INDEX('01_Anggota'!$B$5:$B$1212,MATCH(B1156,'01_Anggota'!$D$5:$D$1212,0))))</f>
        <v>KKSUK-000128</v>
      </c>
      <c r="D1156" s="23">
        <v>0</v>
      </c>
      <c r="E1156" s="23">
        <v>-1500000</v>
      </c>
      <c r="F1156" s="23">
        <v>0</v>
      </c>
      <c r="G1156" s="23">
        <v>0</v>
      </c>
      <c r="H1156" s="42">
        <v>46045</v>
      </c>
      <c r="I1156" s="21" t="s">
        <v>803</v>
      </c>
    </row>
    <row r="1157" spans="1:9">
      <c r="A1157">
        <f t="shared" si="18"/>
        <v>1153</v>
      </c>
      <c r="B1157" s="21" t="s">
        <v>327</v>
      </c>
      <c r="C1157" s="20" t="str">
        <f>IF(B1157="","",IF(COUNTIF('01_Anggota'!$D$5:$D$1212,B1157)=0,"NAMA TIDAK DITEMUKAN",INDEX('01_Anggota'!$B$5:$B$1212,MATCH(B1157,'01_Anggota'!$D$5:$D$1212,0))))</f>
        <v>KKSUK-000128</v>
      </c>
      <c r="D1157" s="23">
        <v>0</v>
      </c>
      <c r="E1157" s="23">
        <v>250000</v>
      </c>
      <c r="F1157" s="23">
        <v>100000</v>
      </c>
      <c r="G1157" s="23">
        <v>0</v>
      </c>
      <c r="H1157" s="42">
        <v>46045</v>
      </c>
      <c r="I1157" s="21" t="s">
        <v>803</v>
      </c>
    </row>
    <row r="1158" spans="1:9">
      <c r="A1158">
        <f t="shared" si="18"/>
        <v>1154</v>
      </c>
      <c r="B1158" s="21" t="s">
        <v>327</v>
      </c>
      <c r="C1158" s="20" t="str">
        <f>IF(B1158="","",IF(COUNTIF('01_Anggota'!$D$5:$D$1212,B1158)=0,"NAMA TIDAK DITEMUKAN",INDEX('01_Anggota'!$B$5:$B$1212,MATCH(B1158,'01_Anggota'!$D$5:$D$1212,0))))</f>
        <v>KKSUK-000128</v>
      </c>
      <c r="D1158" s="23">
        <v>0</v>
      </c>
      <c r="E1158" s="23">
        <v>250000</v>
      </c>
      <c r="F1158" s="23">
        <v>100000</v>
      </c>
      <c r="G1158" s="23">
        <v>0</v>
      </c>
      <c r="H1158" s="42">
        <v>46078</v>
      </c>
      <c r="I1158" s="21" t="s">
        <v>804</v>
      </c>
    </row>
    <row r="1159" spans="1:9">
      <c r="A1159">
        <f t="shared" si="18"/>
        <v>1155</v>
      </c>
      <c r="B1159" s="21" t="s">
        <v>327</v>
      </c>
      <c r="C1159" s="20" t="str">
        <f>IF(B1159="","",IF(COUNTIF('01_Anggota'!$D$5:$D$1212,B1159)=0,"NAMA TIDAK DITEMUKAN",INDEX('01_Anggota'!$B$5:$B$1212,MATCH(B1159,'01_Anggota'!$D$5:$D$1212,0))))</f>
        <v>KKSUK-000128</v>
      </c>
      <c r="D1159" s="23">
        <v>0</v>
      </c>
      <c r="E1159" s="23">
        <v>250000</v>
      </c>
      <c r="F1159" s="23">
        <v>100000</v>
      </c>
      <c r="G1159" s="23">
        <v>0</v>
      </c>
      <c r="H1159" s="42">
        <v>46106</v>
      </c>
      <c r="I1159" s="21" t="s">
        <v>805</v>
      </c>
    </row>
    <row r="1160" spans="1:9">
      <c r="A1160">
        <f t="shared" si="18"/>
        <v>1156</v>
      </c>
      <c r="B1160" s="21" t="s">
        <v>327</v>
      </c>
      <c r="C1160" s="20" t="str">
        <f>IF(B1160="","",IF(COUNTIF('01_Anggota'!$D$5:$D$1212,B1160)=0,"NAMA TIDAK DITEMUKAN",INDEX('01_Anggota'!$B$5:$B$1212,MATCH(B1160,'01_Anggota'!$D$5:$D$1212,0))))</f>
        <v>KKSUK-000128</v>
      </c>
      <c r="D1160" s="23">
        <v>0</v>
      </c>
      <c r="E1160" s="23">
        <v>250000</v>
      </c>
      <c r="F1160" s="23">
        <v>100000</v>
      </c>
      <c r="G1160" s="23">
        <v>0</v>
      </c>
      <c r="H1160" s="42">
        <v>46136</v>
      </c>
      <c r="I1160" s="21" t="s">
        <v>806</v>
      </c>
    </row>
    <row r="1161" spans="1:9">
      <c r="A1161">
        <f t="shared" si="18"/>
        <v>1157</v>
      </c>
      <c r="B1161" s="21" t="s">
        <v>327</v>
      </c>
      <c r="C1161" s="20" t="str">
        <f>IF(B1161="","",IF(COUNTIF('01_Anggota'!$D$5:$D$1212,B1161)=0,"NAMA TIDAK DITEMUKAN",INDEX('01_Anggota'!$B$5:$B$1212,MATCH(B1161,'01_Anggota'!$D$5:$D$1212,0))))</f>
        <v>KKSUK-000128</v>
      </c>
      <c r="D1161" s="23">
        <v>0</v>
      </c>
      <c r="E1161" s="23">
        <v>250000</v>
      </c>
      <c r="F1161" s="23">
        <v>100000</v>
      </c>
      <c r="G1161" s="23">
        <v>0</v>
      </c>
      <c r="H1161" s="42">
        <v>46167</v>
      </c>
      <c r="I1161" s="21" t="s">
        <v>807</v>
      </c>
    </row>
    <row r="1162" spans="1:9">
      <c r="A1162">
        <f t="shared" si="18"/>
        <v>1158</v>
      </c>
      <c r="B1162" s="21" t="s">
        <v>327</v>
      </c>
      <c r="C1162" s="20" t="str">
        <f>IF(B1162="","",IF(COUNTIF('01_Anggota'!$D$5:$D$1212,B1162)=0,"NAMA TIDAK DITEMUKAN",INDEX('01_Anggota'!$B$5:$B$1212,MATCH(B1162,'01_Anggota'!$D$5:$D$1212,0))))</f>
        <v>KKSUK-000128</v>
      </c>
      <c r="D1162" s="23">
        <v>0</v>
      </c>
      <c r="E1162" s="23">
        <v>250000</v>
      </c>
      <c r="F1162" s="23">
        <v>100000</v>
      </c>
      <c r="G1162" s="23">
        <v>0</v>
      </c>
      <c r="H1162" s="42">
        <v>46198</v>
      </c>
      <c r="I1162" s="21" t="s">
        <v>808</v>
      </c>
    </row>
    <row r="1163" spans="1:9">
      <c r="A1163">
        <f t="shared" si="18"/>
        <v>1159</v>
      </c>
      <c r="B1163" s="21" t="s">
        <v>327</v>
      </c>
      <c r="C1163" s="20" t="str">
        <f>IF(B1163="","",IF(COUNTIF('01_Anggota'!$D$5:$D$1212,B1163)=0,"NAMA TIDAK DITEMUKAN",INDEX('01_Anggota'!$B$5:$B$1212,MATCH(B1163,'01_Anggota'!$D$5:$D$1212,0))))</f>
        <v>KKSUK-000128</v>
      </c>
      <c r="D1163" s="23">
        <v>0</v>
      </c>
      <c r="E1163" s="23">
        <v>250000</v>
      </c>
      <c r="F1163" s="23">
        <v>100000</v>
      </c>
      <c r="G1163" s="23">
        <v>0</v>
      </c>
      <c r="H1163" s="42">
        <v>46227</v>
      </c>
      <c r="I1163" s="21" t="s">
        <v>809</v>
      </c>
    </row>
    <row r="1164" spans="1:9">
      <c r="A1164">
        <f t="shared" si="18"/>
        <v>1160</v>
      </c>
      <c r="B1164" s="21" t="s">
        <v>327</v>
      </c>
      <c r="C1164" s="20" t="str">
        <f>IF(B1164="","",IF(COUNTIF('01_Anggota'!$D$5:$D$1212,B1164)=0,"NAMA TIDAK DITEMUKAN",INDEX('01_Anggota'!$B$5:$B$1212,MATCH(B1164,'01_Anggota'!$D$5:$D$1212,0))))</f>
        <v>KKSUK-000128</v>
      </c>
      <c r="D1164" s="23">
        <v>0</v>
      </c>
      <c r="E1164" s="23">
        <v>250000</v>
      </c>
      <c r="F1164" s="23">
        <v>100000</v>
      </c>
      <c r="G1164" s="23">
        <v>0</v>
      </c>
      <c r="H1164" s="42">
        <v>46258</v>
      </c>
      <c r="I1164" s="21" t="s">
        <v>810</v>
      </c>
    </row>
    <row r="1165" spans="1:9">
      <c r="A1165">
        <f t="shared" si="18"/>
        <v>1161</v>
      </c>
      <c r="B1165" s="21" t="s">
        <v>361</v>
      </c>
      <c r="C1165" s="20" t="str">
        <f>IF(B1165="","",IF(COUNTIF('01_Anggota'!$D$5:$D$1212,B1165)=0,"NAMA TIDAK DITEMUKAN",INDEX('01_Anggota'!$B$5:$B$1212,MATCH(B1165,'01_Anggota'!$D$5:$D$1212,0))))</f>
        <v>KKSUK-000162</v>
      </c>
      <c r="D1165" s="23">
        <v>0</v>
      </c>
      <c r="E1165" s="23">
        <v>1600000</v>
      </c>
      <c r="F1165" s="23">
        <v>800000</v>
      </c>
      <c r="G1165" s="23">
        <v>0</v>
      </c>
      <c r="H1165" s="42">
        <v>46023</v>
      </c>
      <c r="I1165" s="21" t="s">
        <v>802</v>
      </c>
    </row>
    <row r="1166" spans="1:9">
      <c r="A1166">
        <f t="shared" si="18"/>
        <v>1162</v>
      </c>
      <c r="B1166" s="21" t="s">
        <v>361</v>
      </c>
      <c r="C1166" s="20" t="str">
        <f>IF(B1166="","",IF(COUNTIF('01_Anggota'!$D$5:$D$1212,B1166)=0,"NAMA TIDAK DITEMUKAN",INDEX('01_Anggota'!$B$5:$B$1212,MATCH(B1166,'01_Anggota'!$D$5:$D$1212,0))))</f>
        <v>KKSUK-000162</v>
      </c>
      <c r="D1166" s="23">
        <v>0</v>
      </c>
      <c r="E1166" s="23">
        <v>200000</v>
      </c>
      <c r="F1166" s="23">
        <v>100000</v>
      </c>
      <c r="G1166" s="23">
        <v>0</v>
      </c>
      <c r="H1166" s="42">
        <v>46045</v>
      </c>
      <c r="I1166" s="21" t="s">
        <v>803</v>
      </c>
    </row>
    <row r="1167" spans="1:9">
      <c r="A1167">
        <f t="shared" si="18"/>
        <v>1163</v>
      </c>
      <c r="B1167" s="21" t="s">
        <v>361</v>
      </c>
      <c r="C1167" s="20" t="str">
        <f>IF(B1167="","",IF(COUNTIF('01_Anggota'!$D$5:$D$1212,B1167)=0,"NAMA TIDAK DITEMUKAN",INDEX('01_Anggota'!$B$5:$B$1212,MATCH(B1167,'01_Anggota'!$D$5:$D$1212,0))))</f>
        <v>KKSUK-000162</v>
      </c>
      <c r="D1167" s="23">
        <v>0</v>
      </c>
      <c r="E1167" s="23">
        <v>200000</v>
      </c>
      <c r="F1167" s="23">
        <v>100000</v>
      </c>
      <c r="G1167" s="23">
        <v>0</v>
      </c>
      <c r="H1167" s="42">
        <v>46078</v>
      </c>
      <c r="I1167" s="21" t="s">
        <v>804</v>
      </c>
    </row>
    <row r="1168" spans="1:9">
      <c r="A1168">
        <f t="shared" si="18"/>
        <v>1164</v>
      </c>
      <c r="B1168" s="21" t="s">
        <v>361</v>
      </c>
      <c r="C1168" s="20" t="str">
        <f>IF(B1168="","",IF(COUNTIF('01_Anggota'!$D$5:$D$1212,B1168)=0,"NAMA TIDAK DITEMUKAN",INDEX('01_Anggota'!$B$5:$B$1212,MATCH(B1168,'01_Anggota'!$D$5:$D$1212,0))))</f>
        <v>KKSUK-000162</v>
      </c>
      <c r="D1168" s="23">
        <v>0</v>
      </c>
      <c r="E1168" s="23">
        <v>-1800000</v>
      </c>
      <c r="F1168" s="23">
        <v>-900000</v>
      </c>
      <c r="G1168" s="23">
        <v>0</v>
      </c>
      <c r="H1168" s="42">
        <v>46078</v>
      </c>
      <c r="I1168" s="21" t="s">
        <v>804</v>
      </c>
    </row>
    <row r="1169" spans="1:9">
      <c r="A1169">
        <f t="shared" si="18"/>
        <v>1165</v>
      </c>
      <c r="B1169" s="21" t="s">
        <v>361</v>
      </c>
      <c r="C1169" s="20" t="str">
        <f>IF(B1169="","",IF(COUNTIF('01_Anggota'!$D$5:$D$1212,B1169)=0,"NAMA TIDAK DITEMUKAN",INDEX('01_Anggota'!$B$5:$B$1212,MATCH(B1169,'01_Anggota'!$D$5:$D$1212,0))))</f>
        <v>KKSUK-000162</v>
      </c>
      <c r="D1169" s="23">
        <v>0</v>
      </c>
      <c r="E1169" s="23">
        <v>200000</v>
      </c>
      <c r="F1169" s="23">
        <v>100000</v>
      </c>
      <c r="G1169" s="23">
        <v>0</v>
      </c>
      <c r="H1169" s="42">
        <v>46106</v>
      </c>
      <c r="I1169" s="21" t="s">
        <v>805</v>
      </c>
    </row>
    <row r="1170" spans="1:9">
      <c r="A1170">
        <f t="shared" si="18"/>
        <v>1166</v>
      </c>
      <c r="B1170" s="21" t="s">
        <v>361</v>
      </c>
      <c r="C1170" s="20" t="str">
        <f>IF(B1170="","",IF(COUNTIF('01_Anggota'!$D$5:$D$1212,B1170)=0,"NAMA TIDAK DITEMUKAN",INDEX('01_Anggota'!$B$5:$B$1212,MATCH(B1170,'01_Anggota'!$D$5:$D$1212,0))))</f>
        <v>KKSUK-000162</v>
      </c>
      <c r="D1170" s="23">
        <v>0</v>
      </c>
      <c r="E1170" s="23">
        <v>-400000</v>
      </c>
      <c r="F1170" s="23">
        <v>-200000</v>
      </c>
      <c r="G1170" s="23">
        <v>0</v>
      </c>
      <c r="H1170" s="42">
        <v>46106</v>
      </c>
      <c r="I1170" s="21" t="s">
        <v>805</v>
      </c>
    </row>
    <row r="1171" spans="1:9">
      <c r="A1171">
        <f t="shared" si="18"/>
        <v>1167</v>
      </c>
      <c r="B1171" s="21" t="s">
        <v>382</v>
      </c>
      <c r="C1171" s="20" t="str">
        <f>IF(B1171="","",IF(COUNTIF('01_Anggota'!$D$5:$D$1212,B1171)=0,"NAMA TIDAK DITEMUKAN",INDEX('01_Anggota'!$B$5:$B$1212,MATCH(B1171,'01_Anggota'!$D$5:$D$1212,0))))</f>
        <v>KKSUK-000183</v>
      </c>
      <c r="D1171" s="23">
        <v>0</v>
      </c>
      <c r="E1171" s="23">
        <v>2200000</v>
      </c>
      <c r="F1171" s="23">
        <v>600000</v>
      </c>
      <c r="G1171" s="23">
        <v>0</v>
      </c>
      <c r="H1171" s="42">
        <v>46023</v>
      </c>
      <c r="I1171" s="21" t="s">
        <v>802</v>
      </c>
    </row>
    <row r="1172" spans="1:9">
      <c r="A1172">
        <f t="shared" si="18"/>
        <v>1168</v>
      </c>
      <c r="B1172" s="21" t="s">
        <v>382</v>
      </c>
      <c r="C1172" s="20" t="str">
        <f>IF(B1172="","",IF(COUNTIF('01_Anggota'!$D$5:$D$1212,B1172)=0,"NAMA TIDAK DITEMUKAN",INDEX('01_Anggota'!$B$5:$B$1212,MATCH(B1172,'01_Anggota'!$D$5:$D$1212,0))))</f>
        <v>KKSUK-000183</v>
      </c>
      <c r="D1172" s="23">
        <v>0</v>
      </c>
      <c r="E1172" s="23">
        <v>1000000</v>
      </c>
      <c r="F1172" s="23">
        <v>100000</v>
      </c>
      <c r="G1172" s="23">
        <v>0</v>
      </c>
      <c r="H1172" s="42">
        <v>46078</v>
      </c>
      <c r="I1172" s="21" t="s">
        <v>804</v>
      </c>
    </row>
    <row r="1173" spans="1:9">
      <c r="A1173">
        <f t="shared" si="18"/>
        <v>1169</v>
      </c>
      <c r="B1173" s="21" t="s">
        <v>382</v>
      </c>
      <c r="C1173" s="20" t="str">
        <f>IF(B1173="","",IF(COUNTIF('01_Anggota'!$D$5:$D$1212,B1173)=0,"NAMA TIDAK DITEMUKAN",INDEX('01_Anggota'!$B$5:$B$1212,MATCH(B1173,'01_Anggota'!$D$5:$D$1212,0))))</f>
        <v>KKSUK-000183</v>
      </c>
      <c r="D1173" s="23">
        <v>0</v>
      </c>
      <c r="E1173" s="23">
        <v>1000000</v>
      </c>
      <c r="F1173" s="23">
        <v>100000</v>
      </c>
      <c r="G1173" s="23">
        <v>0</v>
      </c>
      <c r="H1173" s="42">
        <v>46106</v>
      </c>
      <c r="I1173" s="21" t="s">
        <v>805</v>
      </c>
    </row>
    <row r="1174" spans="1:9">
      <c r="A1174">
        <f t="shared" si="18"/>
        <v>1170</v>
      </c>
      <c r="B1174" s="21" t="s">
        <v>382</v>
      </c>
      <c r="C1174" s="20" t="str">
        <f>IF(B1174="","",IF(COUNTIF('01_Anggota'!$D$5:$D$1212,B1174)=0,"NAMA TIDAK DITEMUKAN",INDEX('01_Anggota'!$B$5:$B$1212,MATCH(B1174,'01_Anggota'!$D$5:$D$1212,0))))</f>
        <v>KKSUK-000183</v>
      </c>
      <c r="D1174" s="23">
        <v>0</v>
      </c>
      <c r="E1174" s="23">
        <v>1000000</v>
      </c>
      <c r="F1174" s="23">
        <v>100000</v>
      </c>
      <c r="G1174" s="23">
        <v>0</v>
      </c>
      <c r="H1174" s="42">
        <v>46136</v>
      </c>
      <c r="I1174" s="21" t="s">
        <v>806</v>
      </c>
    </row>
    <row r="1175" spans="1:9">
      <c r="A1175">
        <f t="shared" si="18"/>
        <v>1171</v>
      </c>
      <c r="B1175" s="21" t="s">
        <v>382</v>
      </c>
      <c r="C1175" s="20" t="str">
        <f>IF(B1175="","",IF(COUNTIF('01_Anggota'!$D$5:$D$1212,B1175)=0,"NAMA TIDAK DITEMUKAN",INDEX('01_Anggota'!$B$5:$B$1212,MATCH(B1175,'01_Anggota'!$D$5:$D$1212,0))))</f>
        <v>KKSUK-000183</v>
      </c>
      <c r="D1175" s="23">
        <v>0</v>
      </c>
      <c r="E1175" s="23">
        <v>1000000</v>
      </c>
      <c r="F1175" s="23">
        <v>100000</v>
      </c>
      <c r="G1175" s="23">
        <v>0</v>
      </c>
      <c r="H1175" s="42">
        <v>46167</v>
      </c>
      <c r="I1175" s="21" t="s">
        <v>807</v>
      </c>
    </row>
    <row r="1176" spans="1:9">
      <c r="A1176">
        <f t="shared" si="18"/>
        <v>1172</v>
      </c>
      <c r="B1176" s="21" t="s">
        <v>235</v>
      </c>
      <c r="C1176" s="20" t="str">
        <f>IF(B1176="","",IF(COUNTIF('01_Anggota'!$D$5:$D$1212,B1176)=0,"NAMA TIDAK DITEMUKAN",INDEX('01_Anggota'!$B$5:$B$1212,MATCH(B1176,'01_Anggota'!$D$5:$D$1212,0))))</f>
        <v>KKSUK-000036</v>
      </c>
      <c r="D1176" s="23">
        <v>0</v>
      </c>
      <c r="E1176" s="23">
        <v>1753000</v>
      </c>
      <c r="F1176" s="23">
        <v>17149183.724419899</v>
      </c>
      <c r="G1176" s="23">
        <v>9159642</v>
      </c>
      <c r="H1176" s="42">
        <v>46023</v>
      </c>
      <c r="I1176" s="21" t="s">
        <v>802</v>
      </c>
    </row>
    <row r="1177" spans="1:9">
      <c r="A1177">
        <f t="shared" si="18"/>
        <v>1173</v>
      </c>
      <c r="B1177" s="21" t="s">
        <v>235</v>
      </c>
      <c r="C1177" s="20" t="str">
        <f>IF(B1177="","",IF(COUNTIF('01_Anggota'!$D$5:$D$1212,B1177)=0,"NAMA TIDAK DITEMUKAN",INDEX('01_Anggota'!$B$5:$B$1212,MATCH(B1177,'01_Anggota'!$D$5:$D$1212,0))))</f>
        <v>KKSUK-000036</v>
      </c>
      <c r="D1177" s="23">
        <v>0</v>
      </c>
      <c r="E1177" s="23">
        <v>15000</v>
      </c>
      <c r="F1177" s="23">
        <v>100000</v>
      </c>
      <c r="G1177" s="23">
        <v>0</v>
      </c>
      <c r="H1177" s="42">
        <v>46045</v>
      </c>
      <c r="I1177" s="21" t="s">
        <v>803</v>
      </c>
    </row>
    <row r="1178" spans="1:9">
      <c r="A1178">
        <f t="shared" si="18"/>
        <v>1174</v>
      </c>
      <c r="B1178" s="21" t="s">
        <v>235</v>
      </c>
      <c r="C1178" s="20" t="str">
        <f>IF(B1178="","",IF(COUNTIF('01_Anggota'!$D$5:$D$1212,B1178)=0,"NAMA TIDAK DITEMUKAN",INDEX('01_Anggota'!$B$5:$B$1212,MATCH(B1178,'01_Anggota'!$D$5:$D$1212,0))))</f>
        <v>KKSUK-000036</v>
      </c>
      <c r="D1178" s="23">
        <v>0</v>
      </c>
      <c r="E1178" s="23">
        <v>15000</v>
      </c>
      <c r="F1178" s="23">
        <v>100000</v>
      </c>
      <c r="G1178" s="23">
        <v>0</v>
      </c>
      <c r="H1178" s="42">
        <v>46078</v>
      </c>
      <c r="I1178" s="21" t="s">
        <v>804</v>
      </c>
    </row>
    <row r="1179" spans="1:9">
      <c r="A1179">
        <f t="shared" si="18"/>
        <v>1175</v>
      </c>
      <c r="B1179" s="21" t="s">
        <v>235</v>
      </c>
      <c r="C1179" s="20" t="str">
        <f>IF(B1179="","",IF(COUNTIF('01_Anggota'!$D$5:$D$1212,B1179)=0,"NAMA TIDAK DITEMUKAN",INDEX('01_Anggota'!$B$5:$B$1212,MATCH(B1179,'01_Anggota'!$D$5:$D$1212,0))))</f>
        <v>KKSUK-000036</v>
      </c>
      <c r="D1179" s="23">
        <v>0</v>
      </c>
      <c r="E1179" s="23">
        <v>15000</v>
      </c>
      <c r="F1179" s="23">
        <v>100000</v>
      </c>
      <c r="G1179" s="23">
        <v>0</v>
      </c>
      <c r="H1179" s="42">
        <v>46106</v>
      </c>
      <c r="I1179" s="21" t="s">
        <v>805</v>
      </c>
    </row>
    <row r="1180" spans="1:9">
      <c r="A1180">
        <f t="shared" si="18"/>
        <v>1176</v>
      </c>
      <c r="B1180" s="21" t="s">
        <v>235</v>
      </c>
      <c r="C1180" s="20" t="str">
        <f>IF(B1180="","",IF(COUNTIF('01_Anggota'!$D$5:$D$1212,B1180)=0,"NAMA TIDAK DITEMUKAN",INDEX('01_Anggota'!$B$5:$B$1212,MATCH(B1180,'01_Anggota'!$D$5:$D$1212,0))))</f>
        <v>KKSUK-000036</v>
      </c>
      <c r="D1180" s="23">
        <v>0</v>
      </c>
      <c r="E1180" s="23">
        <v>15000</v>
      </c>
      <c r="F1180" s="23">
        <v>100000</v>
      </c>
      <c r="G1180" s="23">
        <v>0</v>
      </c>
      <c r="H1180" s="42">
        <v>46136</v>
      </c>
      <c r="I1180" s="21" t="s">
        <v>806</v>
      </c>
    </row>
    <row r="1181" spans="1:9">
      <c r="A1181">
        <f t="shared" si="18"/>
        <v>1177</v>
      </c>
      <c r="B1181" s="21" t="s">
        <v>235</v>
      </c>
      <c r="C1181" s="20" t="str">
        <f>IF(B1181="","",IF(COUNTIF('01_Anggota'!$D$5:$D$1212,B1181)=0,"NAMA TIDAK DITEMUKAN",INDEX('01_Anggota'!$B$5:$B$1212,MATCH(B1181,'01_Anggota'!$D$5:$D$1212,0))))</f>
        <v>KKSUK-000036</v>
      </c>
      <c r="D1181" s="23">
        <v>0</v>
      </c>
      <c r="E1181" s="23">
        <v>15000</v>
      </c>
      <c r="F1181" s="23">
        <v>100000</v>
      </c>
      <c r="G1181" s="23">
        <v>0</v>
      </c>
      <c r="H1181" s="42">
        <v>46167</v>
      </c>
      <c r="I1181" s="21" t="s">
        <v>807</v>
      </c>
    </row>
    <row r="1182" spans="1:9">
      <c r="A1182">
        <f t="shared" si="18"/>
        <v>1178</v>
      </c>
      <c r="B1182" s="21" t="s">
        <v>235</v>
      </c>
      <c r="C1182" s="20" t="str">
        <f>IF(B1182="","",IF(COUNTIF('01_Anggota'!$D$5:$D$1212,B1182)=0,"NAMA TIDAK DITEMUKAN",INDEX('01_Anggota'!$B$5:$B$1212,MATCH(B1182,'01_Anggota'!$D$5:$D$1212,0))))</f>
        <v>KKSUK-000036</v>
      </c>
      <c r="D1182" s="23">
        <v>0</v>
      </c>
      <c r="E1182" s="23">
        <v>15000</v>
      </c>
      <c r="F1182" s="23">
        <v>100000</v>
      </c>
      <c r="G1182" s="23">
        <v>0</v>
      </c>
      <c r="H1182" s="42">
        <v>46198</v>
      </c>
      <c r="I1182" s="21" t="s">
        <v>808</v>
      </c>
    </row>
    <row r="1183" spans="1:9">
      <c r="A1183">
        <f t="shared" si="18"/>
        <v>1179</v>
      </c>
      <c r="B1183" s="21" t="s">
        <v>235</v>
      </c>
      <c r="C1183" s="20" t="str">
        <f>IF(B1183="","",IF(COUNTIF('01_Anggota'!$D$5:$D$1212,B1183)=0,"NAMA TIDAK DITEMUKAN",INDEX('01_Anggota'!$B$5:$B$1212,MATCH(B1183,'01_Anggota'!$D$5:$D$1212,0))))</f>
        <v>KKSUK-000036</v>
      </c>
      <c r="D1183" s="23">
        <v>0</v>
      </c>
      <c r="E1183" s="23">
        <v>15000</v>
      </c>
      <c r="F1183" s="23">
        <v>100000</v>
      </c>
      <c r="G1183" s="23">
        <v>0</v>
      </c>
      <c r="H1183" s="42">
        <v>46227</v>
      </c>
      <c r="I1183" s="21" t="s">
        <v>809</v>
      </c>
    </row>
    <row r="1184" spans="1:9">
      <c r="A1184">
        <f t="shared" si="18"/>
        <v>1180</v>
      </c>
      <c r="B1184" s="21" t="s">
        <v>235</v>
      </c>
      <c r="C1184" s="20" t="str">
        <f>IF(B1184="","",IF(COUNTIF('01_Anggota'!$D$5:$D$1212,B1184)=0,"NAMA TIDAK DITEMUKAN",INDEX('01_Anggota'!$B$5:$B$1212,MATCH(B1184,'01_Anggota'!$D$5:$D$1212,0))))</f>
        <v>KKSUK-000036</v>
      </c>
      <c r="D1184" s="23">
        <v>0</v>
      </c>
      <c r="E1184" s="23">
        <v>15000</v>
      </c>
      <c r="F1184" s="23">
        <v>100000</v>
      </c>
      <c r="G1184" s="23">
        <v>0</v>
      </c>
      <c r="H1184" s="42">
        <v>46258</v>
      </c>
      <c r="I1184" s="21" t="s">
        <v>810</v>
      </c>
    </row>
    <row r="1185" spans="1:9">
      <c r="A1185">
        <f t="shared" si="18"/>
        <v>1181</v>
      </c>
      <c r="B1185" s="21" t="s">
        <v>282</v>
      </c>
      <c r="C1185" s="20" t="str">
        <f>IF(B1185="","",IF(COUNTIF('01_Anggota'!$D$5:$D$1212,B1185)=0,"NAMA TIDAK DITEMUKAN",INDEX('01_Anggota'!$B$5:$B$1212,MATCH(B1185,'01_Anggota'!$D$5:$D$1212,0))))</f>
        <v>KKSUK-000083</v>
      </c>
      <c r="D1185" s="23">
        <v>0</v>
      </c>
      <c r="E1185" s="23">
        <v>1175000</v>
      </c>
      <c r="F1185" s="23">
        <v>12685283.3298823</v>
      </c>
      <c r="G1185" s="23">
        <v>5610287</v>
      </c>
      <c r="H1185" s="42">
        <v>46023</v>
      </c>
      <c r="I1185" s="21" t="s">
        <v>802</v>
      </c>
    </row>
    <row r="1186" spans="1:9">
      <c r="A1186">
        <f t="shared" si="18"/>
        <v>1182</v>
      </c>
      <c r="B1186" s="21" t="s">
        <v>282</v>
      </c>
      <c r="C1186" s="20" t="str">
        <f>IF(B1186="","",IF(COUNTIF('01_Anggota'!$D$5:$D$1212,B1186)=0,"NAMA TIDAK DITEMUKAN",INDEX('01_Anggota'!$B$5:$B$1212,MATCH(B1186,'01_Anggota'!$D$5:$D$1212,0))))</f>
        <v>KKSUK-000083</v>
      </c>
      <c r="D1186" s="23">
        <v>0</v>
      </c>
      <c r="E1186" s="23">
        <v>100000</v>
      </c>
      <c r="F1186" s="23">
        <v>100000</v>
      </c>
      <c r="G1186" s="23">
        <v>0</v>
      </c>
      <c r="H1186" s="42">
        <v>46045</v>
      </c>
      <c r="I1186" s="21" t="s">
        <v>803</v>
      </c>
    </row>
    <row r="1187" spans="1:9">
      <c r="A1187">
        <f t="shared" si="18"/>
        <v>1183</v>
      </c>
      <c r="B1187" s="21" t="s">
        <v>282</v>
      </c>
      <c r="C1187" s="20" t="str">
        <f>IF(B1187="","",IF(COUNTIF('01_Anggota'!$D$5:$D$1212,B1187)=0,"NAMA TIDAK DITEMUKAN",INDEX('01_Anggota'!$B$5:$B$1212,MATCH(B1187,'01_Anggota'!$D$5:$D$1212,0))))</f>
        <v>KKSUK-000083</v>
      </c>
      <c r="D1187" s="23">
        <v>0</v>
      </c>
      <c r="E1187" s="23">
        <v>100000</v>
      </c>
      <c r="F1187" s="23">
        <v>100000</v>
      </c>
      <c r="G1187" s="23">
        <v>0</v>
      </c>
      <c r="H1187" s="42">
        <v>46078</v>
      </c>
      <c r="I1187" s="21" t="s">
        <v>804</v>
      </c>
    </row>
    <row r="1188" spans="1:9">
      <c r="A1188">
        <f t="shared" si="18"/>
        <v>1184</v>
      </c>
      <c r="B1188" s="21" t="s">
        <v>282</v>
      </c>
      <c r="C1188" s="20" t="str">
        <f>IF(B1188="","",IF(COUNTIF('01_Anggota'!$D$5:$D$1212,B1188)=0,"NAMA TIDAK DITEMUKAN",INDEX('01_Anggota'!$B$5:$B$1212,MATCH(B1188,'01_Anggota'!$D$5:$D$1212,0))))</f>
        <v>KKSUK-000083</v>
      </c>
      <c r="D1188" s="23">
        <v>0</v>
      </c>
      <c r="E1188" s="23">
        <v>100000</v>
      </c>
      <c r="F1188" s="23">
        <v>100000</v>
      </c>
      <c r="G1188" s="23">
        <v>0</v>
      </c>
      <c r="H1188" s="42">
        <v>46106</v>
      </c>
      <c r="I1188" s="21" t="s">
        <v>805</v>
      </c>
    </row>
    <row r="1189" spans="1:9">
      <c r="A1189">
        <f t="shared" si="18"/>
        <v>1185</v>
      </c>
      <c r="B1189" s="21" t="s">
        <v>282</v>
      </c>
      <c r="C1189" s="20" t="str">
        <f>IF(B1189="","",IF(COUNTIF('01_Anggota'!$D$5:$D$1212,B1189)=0,"NAMA TIDAK DITEMUKAN",INDEX('01_Anggota'!$B$5:$B$1212,MATCH(B1189,'01_Anggota'!$D$5:$D$1212,0))))</f>
        <v>KKSUK-000083</v>
      </c>
      <c r="D1189" s="23">
        <v>0</v>
      </c>
      <c r="E1189" s="23">
        <v>100000</v>
      </c>
      <c r="F1189" s="23">
        <v>100000</v>
      </c>
      <c r="G1189" s="23">
        <v>0</v>
      </c>
      <c r="H1189" s="42">
        <v>46136</v>
      </c>
      <c r="I1189" s="21" t="s">
        <v>806</v>
      </c>
    </row>
    <row r="1190" spans="1:9">
      <c r="A1190">
        <f t="shared" si="18"/>
        <v>1186</v>
      </c>
      <c r="B1190" s="21" t="s">
        <v>282</v>
      </c>
      <c r="C1190" s="20" t="str">
        <f>IF(B1190="","",IF(COUNTIF('01_Anggota'!$D$5:$D$1212,B1190)=0,"NAMA TIDAK DITEMUKAN",INDEX('01_Anggota'!$B$5:$B$1212,MATCH(B1190,'01_Anggota'!$D$5:$D$1212,0))))</f>
        <v>KKSUK-000083</v>
      </c>
      <c r="D1190" s="23">
        <v>0</v>
      </c>
      <c r="E1190" s="23">
        <v>100000</v>
      </c>
      <c r="F1190" s="23">
        <v>100000</v>
      </c>
      <c r="G1190" s="23">
        <v>0</v>
      </c>
      <c r="H1190" s="42">
        <v>46167</v>
      </c>
      <c r="I1190" s="21" t="s">
        <v>807</v>
      </c>
    </row>
    <row r="1191" spans="1:9">
      <c r="A1191">
        <f t="shared" si="18"/>
        <v>1187</v>
      </c>
      <c r="B1191" s="21" t="s">
        <v>282</v>
      </c>
      <c r="C1191" s="20" t="str">
        <f>IF(B1191="","",IF(COUNTIF('01_Anggota'!$D$5:$D$1212,B1191)=0,"NAMA TIDAK DITEMUKAN",INDEX('01_Anggota'!$B$5:$B$1212,MATCH(B1191,'01_Anggota'!$D$5:$D$1212,0))))</f>
        <v>KKSUK-000083</v>
      </c>
      <c r="D1191" s="23">
        <v>0</v>
      </c>
      <c r="E1191" s="23">
        <v>100000</v>
      </c>
      <c r="F1191" s="23">
        <v>100000</v>
      </c>
      <c r="G1191" s="23">
        <v>0</v>
      </c>
      <c r="H1191" s="42">
        <v>46198</v>
      </c>
      <c r="I1191" s="21" t="s">
        <v>808</v>
      </c>
    </row>
    <row r="1192" spans="1:9">
      <c r="A1192">
        <f t="shared" si="18"/>
        <v>1188</v>
      </c>
      <c r="B1192" s="21" t="s">
        <v>282</v>
      </c>
      <c r="C1192" s="20" t="str">
        <f>IF(B1192="","",IF(COUNTIF('01_Anggota'!$D$5:$D$1212,B1192)=0,"NAMA TIDAK DITEMUKAN",INDEX('01_Anggota'!$B$5:$B$1212,MATCH(B1192,'01_Anggota'!$D$5:$D$1212,0))))</f>
        <v>KKSUK-000083</v>
      </c>
      <c r="D1192" s="23">
        <v>0</v>
      </c>
      <c r="E1192" s="23">
        <v>-1000000</v>
      </c>
      <c r="F1192" s="23">
        <v>0</v>
      </c>
      <c r="G1192" s="23">
        <v>0</v>
      </c>
      <c r="H1192" s="42">
        <v>46227</v>
      </c>
      <c r="I1192" s="21" t="s">
        <v>809</v>
      </c>
    </row>
    <row r="1193" spans="1:9">
      <c r="A1193">
        <f t="shared" si="18"/>
        <v>1189</v>
      </c>
      <c r="B1193" s="21" t="s">
        <v>282</v>
      </c>
      <c r="C1193" s="20" t="str">
        <f>IF(B1193="","",IF(COUNTIF('01_Anggota'!$D$5:$D$1212,B1193)=0,"NAMA TIDAK DITEMUKAN",INDEX('01_Anggota'!$B$5:$B$1212,MATCH(B1193,'01_Anggota'!$D$5:$D$1212,0))))</f>
        <v>KKSUK-000083</v>
      </c>
      <c r="D1193" s="23">
        <v>0</v>
      </c>
      <c r="E1193" s="23">
        <v>100000</v>
      </c>
      <c r="F1193" s="23">
        <v>100000</v>
      </c>
      <c r="G1193" s="23">
        <v>0</v>
      </c>
      <c r="H1193" s="42">
        <v>46227</v>
      </c>
      <c r="I1193" s="21" t="s">
        <v>809</v>
      </c>
    </row>
    <row r="1194" spans="1:9">
      <c r="A1194">
        <f t="shared" si="18"/>
        <v>1190</v>
      </c>
      <c r="B1194" s="21" t="s">
        <v>282</v>
      </c>
      <c r="C1194" s="20" t="str">
        <f>IF(B1194="","",IF(COUNTIF('01_Anggota'!$D$5:$D$1212,B1194)=0,"NAMA TIDAK DITEMUKAN",INDEX('01_Anggota'!$B$5:$B$1212,MATCH(B1194,'01_Anggota'!$D$5:$D$1212,0))))</f>
        <v>KKSUK-000083</v>
      </c>
      <c r="D1194" s="23">
        <v>0</v>
      </c>
      <c r="E1194" s="23">
        <v>100000</v>
      </c>
      <c r="F1194" s="23">
        <v>100000</v>
      </c>
      <c r="G1194" s="23">
        <v>0</v>
      </c>
      <c r="H1194" s="42">
        <v>46258</v>
      </c>
      <c r="I1194" s="21" t="s">
        <v>810</v>
      </c>
    </row>
    <row r="1195" spans="1:9">
      <c r="A1195">
        <f t="shared" si="18"/>
        <v>1191</v>
      </c>
      <c r="B1195" s="21" t="s">
        <v>305</v>
      </c>
      <c r="C1195" s="20" t="str">
        <f>IF(B1195="","",IF(COUNTIF('01_Anggota'!$D$5:$D$1212,B1195)=0,"NAMA TIDAK DITEMUKAN",INDEX('01_Anggota'!$B$5:$B$1212,MATCH(B1195,'01_Anggota'!$D$5:$D$1212,0))))</f>
        <v>KKSUK-000106</v>
      </c>
      <c r="D1195" s="23">
        <v>0</v>
      </c>
      <c r="E1195" s="23">
        <v>800000</v>
      </c>
      <c r="F1195" s="23">
        <v>2400000</v>
      </c>
      <c r="G1195" s="23">
        <v>661114</v>
      </c>
      <c r="H1195" s="42">
        <v>46023</v>
      </c>
      <c r="I1195" s="21" t="s">
        <v>802</v>
      </c>
    </row>
    <row r="1196" spans="1:9">
      <c r="A1196">
        <f t="shared" ref="A1196:A1259" si="19">IF(B1196="","",ROW()-4)</f>
        <v>1192</v>
      </c>
      <c r="B1196" s="21" t="s">
        <v>305</v>
      </c>
      <c r="C1196" s="20" t="str">
        <f>IF(B1196="","",IF(COUNTIF('01_Anggota'!$D$5:$D$1212,B1196)=0,"NAMA TIDAK DITEMUKAN",INDEX('01_Anggota'!$B$5:$B$1212,MATCH(B1196,'01_Anggota'!$D$5:$D$1212,0))))</f>
        <v>KKSUK-000106</v>
      </c>
      <c r="D1196" s="23">
        <v>0</v>
      </c>
      <c r="E1196" s="23">
        <v>100000</v>
      </c>
      <c r="F1196" s="23">
        <v>100000</v>
      </c>
      <c r="G1196" s="23">
        <v>0</v>
      </c>
      <c r="H1196" s="42">
        <v>46045</v>
      </c>
      <c r="I1196" s="21" t="s">
        <v>803</v>
      </c>
    </row>
    <row r="1197" spans="1:9">
      <c r="A1197">
        <f t="shared" si="19"/>
        <v>1193</v>
      </c>
      <c r="B1197" s="21" t="s">
        <v>305</v>
      </c>
      <c r="C1197" s="20" t="str">
        <f>IF(B1197="","",IF(COUNTIF('01_Anggota'!$D$5:$D$1212,B1197)=0,"NAMA TIDAK DITEMUKAN",INDEX('01_Anggota'!$B$5:$B$1212,MATCH(B1197,'01_Anggota'!$D$5:$D$1212,0))))</f>
        <v>KKSUK-000106</v>
      </c>
      <c r="D1197" s="23">
        <v>0</v>
      </c>
      <c r="E1197" s="23">
        <v>100000</v>
      </c>
      <c r="F1197" s="23">
        <v>100000</v>
      </c>
      <c r="G1197" s="23">
        <v>0</v>
      </c>
      <c r="H1197" s="42">
        <v>46078</v>
      </c>
      <c r="I1197" s="21" t="s">
        <v>804</v>
      </c>
    </row>
    <row r="1198" spans="1:9">
      <c r="A1198">
        <f t="shared" si="19"/>
        <v>1194</v>
      </c>
      <c r="B1198" s="21" t="s">
        <v>305</v>
      </c>
      <c r="C1198" s="20" t="str">
        <f>IF(B1198="","",IF(COUNTIF('01_Anggota'!$D$5:$D$1212,B1198)=0,"NAMA TIDAK DITEMUKAN",INDEX('01_Anggota'!$B$5:$B$1212,MATCH(B1198,'01_Anggota'!$D$5:$D$1212,0))))</f>
        <v>KKSUK-000106</v>
      </c>
      <c r="D1198" s="23">
        <v>0</v>
      </c>
      <c r="E1198" s="23">
        <v>100000</v>
      </c>
      <c r="F1198" s="23">
        <v>100000</v>
      </c>
      <c r="G1198" s="23">
        <v>0</v>
      </c>
      <c r="H1198" s="42">
        <v>46106</v>
      </c>
      <c r="I1198" s="21" t="s">
        <v>805</v>
      </c>
    </row>
    <row r="1199" spans="1:9">
      <c r="A1199">
        <f t="shared" si="19"/>
        <v>1195</v>
      </c>
      <c r="B1199" s="21" t="s">
        <v>305</v>
      </c>
      <c r="C1199" s="20" t="str">
        <f>IF(B1199="","",IF(COUNTIF('01_Anggota'!$D$5:$D$1212,B1199)=0,"NAMA TIDAK DITEMUKAN",INDEX('01_Anggota'!$B$5:$B$1212,MATCH(B1199,'01_Anggota'!$D$5:$D$1212,0))))</f>
        <v>KKSUK-000106</v>
      </c>
      <c r="D1199" s="23">
        <v>0</v>
      </c>
      <c r="E1199" s="23">
        <v>100000</v>
      </c>
      <c r="F1199" s="23">
        <v>100000</v>
      </c>
      <c r="G1199" s="23">
        <v>0</v>
      </c>
      <c r="H1199" s="42">
        <v>46136</v>
      </c>
      <c r="I1199" s="21" t="s">
        <v>806</v>
      </c>
    </row>
    <row r="1200" spans="1:9">
      <c r="A1200">
        <f t="shared" si="19"/>
        <v>1196</v>
      </c>
      <c r="B1200" s="21" t="s">
        <v>305</v>
      </c>
      <c r="C1200" s="20" t="str">
        <f>IF(B1200="","",IF(COUNTIF('01_Anggota'!$D$5:$D$1212,B1200)=0,"NAMA TIDAK DITEMUKAN",INDEX('01_Anggota'!$B$5:$B$1212,MATCH(B1200,'01_Anggota'!$D$5:$D$1212,0))))</f>
        <v>KKSUK-000106</v>
      </c>
      <c r="D1200" s="23">
        <v>0</v>
      </c>
      <c r="E1200" s="23">
        <v>100000</v>
      </c>
      <c r="F1200" s="23">
        <v>100000</v>
      </c>
      <c r="G1200" s="23">
        <v>0</v>
      </c>
      <c r="H1200" s="42">
        <v>46167</v>
      </c>
      <c r="I1200" s="21" t="s">
        <v>807</v>
      </c>
    </row>
    <row r="1201" spans="1:9">
      <c r="A1201">
        <f t="shared" si="19"/>
        <v>1197</v>
      </c>
      <c r="B1201" s="21" t="s">
        <v>305</v>
      </c>
      <c r="C1201" s="20" t="str">
        <f>IF(B1201="","",IF(COUNTIF('01_Anggota'!$D$5:$D$1212,B1201)=0,"NAMA TIDAK DITEMUKAN",INDEX('01_Anggota'!$B$5:$B$1212,MATCH(B1201,'01_Anggota'!$D$5:$D$1212,0))))</f>
        <v>KKSUK-000106</v>
      </c>
      <c r="D1201" s="23">
        <v>0</v>
      </c>
      <c r="E1201" s="23">
        <v>100000</v>
      </c>
      <c r="F1201" s="23">
        <v>100000</v>
      </c>
      <c r="G1201" s="23">
        <v>0</v>
      </c>
      <c r="H1201" s="42">
        <v>46198</v>
      </c>
      <c r="I1201" s="21" t="s">
        <v>808</v>
      </c>
    </row>
    <row r="1202" spans="1:9">
      <c r="A1202">
        <f t="shared" si="19"/>
        <v>1198</v>
      </c>
      <c r="B1202" s="21" t="s">
        <v>305</v>
      </c>
      <c r="C1202" s="20" t="str">
        <f>IF(B1202="","",IF(COUNTIF('01_Anggota'!$D$5:$D$1212,B1202)=0,"NAMA TIDAK DITEMUKAN",INDEX('01_Anggota'!$B$5:$B$1212,MATCH(B1202,'01_Anggota'!$D$5:$D$1212,0))))</f>
        <v>KKSUK-000106</v>
      </c>
      <c r="D1202" s="23">
        <v>0</v>
      </c>
      <c r="E1202" s="23">
        <v>100000</v>
      </c>
      <c r="F1202" s="23">
        <v>100000</v>
      </c>
      <c r="G1202" s="23">
        <v>0</v>
      </c>
      <c r="H1202" s="42">
        <v>46227</v>
      </c>
      <c r="I1202" s="21" t="s">
        <v>809</v>
      </c>
    </row>
    <row r="1203" spans="1:9">
      <c r="A1203">
        <f t="shared" si="19"/>
        <v>1199</v>
      </c>
      <c r="B1203" s="21" t="s">
        <v>305</v>
      </c>
      <c r="C1203" s="20" t="str">
        <f>IF(B1203="","",IF(COUNTIF('01_Anggota'!$D$5:$D$1212,B1203)=0,"NAMA TIDAK DITEMUKAN",INDEX('01_Anggota'!$B$5:$B$1212,MATCH(B1203,'01_Anggota'!$D$5:$D$1212,0))))</f>
        <v>KKSUK-000106</v>
      </c>
      <c r="D1203" s="23">
        <v>0</v>
      </c>
      <c r="E1203" s="23">
        <v>100000</v>
      </c>
      <c r="F1203" s="23">
        <v>100000</v>
      </c>
      <c r="G1203" s="23">
        <v>0</v>
      </c>
      <c r="H1203" s="42">
        <v>46258</v>
      </c>
      <c r="I1203" s="21" t="s">
        <v>810</v>
      </c>
    </row>
    <row r="1204" spans="1:9">
      <c r="A1204">
        <f t="shared" si="19"/>
        <v>1200</v>
      </c>
      <c r="B1204" s="21" t="s">
        <v>348</v>
      </c>
      <c r="C1204" s="20" t="str">
        <f>IF(B1204="","",IF(COUNTIF('01_Anggota'!$D$5:$D$1212,B1204)=0,"NAMA TIDAK DITEMUKAN",INDEX('01_Anggota'!$B$5:$B$1212,MATCH(B1204,'01_Anggota'!$D$5:$D$1212,0))))</f>
        <v>KKSUK-000149</v>
      </c>
      <c r="D1204" s="23">
        <v>0</v>
      </c>
      <c r="E1204" s="23">
        <v>650000</v>
      </c>
      <c r="F1204" s="23">
        <v>1100000</v>
      </c>
      <c r="G1204" s="23">
        <v>0</v>
      </c>
      <c r="H1204" s="42">
        <v>46023</v>
      </c>
      <c r="I1204" s="21" t="s">
        <v>802</v>
      </c>
    </row>
    <row r="1205" spans="1:9">
      <c r="A1205">
        <f t="shared" si="19"/>
        <v>1201</v>
      </c>
      <c r="B1205" s="21" t="s">
        <v>348</v>
      </c>
      <c r="C1205" s="20" t="str">
        <f>IF(B1205="","",IF(COUNTIF('01_Anggota'!$D$5:$D$1212,B1205)=0,"NAMA TIDAK DITEMUKAN",INDEX('01_Anggota'!$B$5:$B$1212,MATCH(B1205,'01_Anggota'!$D$5:$D$1212,0))))</f>
        <v>KKSUK-000149</v>
      </c>
      <c r="D1205" s="23">
        <v>0</v>
      </c>
      <c r="E1205" s="23">
        <v>100000</v>
      </c>
      <c r="F1205" s="23">
        <v>100000</v>
      </c>
      <c r="G1205" s="23">
        <v>0</v>
      </c>
      <c r="H1205" s="42">
        <v>46045</v>
      </c>
      <c r="I1205" s="21" t="s">
        <v>803</v>
      </c>
    </row>
    <row r="1206" spans="1:9">
      <c r="A1206">
        <f t="shared" si="19"/>
        <v>1202</v>
      </c>
      <c r="B1206" s="21" t="s">
        <v>348</v>
      </c>
      <c r="C1206" s="20" t="str">
        <f>IF(B1206="","",IF(COUNTIF('01_Anggota'!$D$5:$D$1212,B1206)=0,"NAMA TIDAK DITEMUKAN",INDEX('01_Anggota'!$B$5:$B$1212,MATCH(B1206,'01_Anggota'!$D$5:$D$1212,0))))</f>
        <v>KKSUK-000149</v>
      </c>
      <c r="D1206" s="23">
        <v>0</v>
      </c>
      <c r="E1206" s="23">
        <v>100000</v>
      </c>
      <c r="F1206" s="23">
        <v>100000</v>
      </c>
      <c r="G1206" s="23">
        <v>0</v>
      </c>
      <c r="H1206" s="42">
        <v>46078</v>
      </c>
      <c r="I1206" s="21" t="s">
        <v>804</v>
      </c>
    </row>
    <row r="1207" spans="1:9">
      <c r="A1207">
        <f t="shared" si="19"/>
        <v>1203</v>
      </c>
      <c r="B1207" s="21" t="s">
        <v>348</v>
      </c>
      <c r="C1207" s="20" t="str">
        <f>IF(B1207="","",IF(COUNTIF('01_Anggota'!$D$5:$D$1212,B1207)=0,"NAMA TIDAK DITEMUKAN",INDEX('01_Anggota'!$B$5:$B$1212,MATCH(B1207,'01_Anggota'!$D$5:$D$1212,0))))</f>
        <v>KKSUK-000149</v>
      </c>
      <c r="D1207" s="23">
        <v>0</v>
      </c>
      <c r="E1207" s="23">
        <v>100000</v>
      </c>
      <c r="F1207" s="23">
        <v>100000</v>
      </c>
      <c r="G1207" s="23">
        <v>0</v>
      </c>
      <c r="H1207" s="42">
        <v>46106</v>
      </c>
      <c r="I1207" s="21" t="s">
        <v>805</v>
      </c>
    </row>
    <row r="1208" spans="1:9">
      <c r="A1208">
        <f t="shared" si="19"/>
        <v>1204</v>
      </c>
      <c r="B1208" s="21" t="s">
        <v>348</v>
      </c>
      <c r="C1208" s="20" t="str">
        <f>IF(B1208="","",IF(COUNTIF('01_Anggota'!$D$5:$D$1212,B1208)=0,"NAMA TIDAK DITEMUKAN",INDEX('01_Anggota'!$B$5:$B$1212,MATCH(B1208,'01_Anggota'!$D$5:$D$1212,0))))</f>
        <v>KKSUK-000149</v>
      </c>
      <c r="D1208" s="23">
        <v>0</v>
      </c>
      <c r="E1208" s="23">
        <v>100000</v>
      </c>
      <c r="F1208" s="23">
        <v>100000</v>
      </c>
      <c r="G1208" s="23">
        <v>0</v>
      </c>
      <c r="H1208" s="42">
        <v>46136</v>
      </c>
      <c r="I1208" s="21" t="s">
        <v>806</v>
      </c>
    </row>
    <row r="1209" spans="1:9">
      <c r="A1209">
        <f t="shared" si="19"/>
        <v>1205</v>
      </c>
      <c r="B1209" s="21" t="s">
        <v>348</v>
      </c>
      <c r="C1209" s="20" t="str">
        <f>IF(B1209="","",IF(COUNTIF('01_Anggota'!$D$5:$D$1212,B1209)=0,"NAMA TIDAK DITEMUKAN",INDEX('01_Anggota'!$B$5:$B$1212,MATCH(B1209,'01_Anggota'!$D$5:$D$1212,0))))</f>
        <v>KKSUK-000149</v>
      </c>
      <c r="D1209" s="23">
        <v>0</v>
      </c>
      <c r="E1209" s="23">
        <v>100000</v>
      </c>
      <c r="F1209" s="23">
        <v>100000</v>
      </c>
      <c r="G1209" s="23">
        <v>0</v>
      </c>
      <c r="H1209" s="42">
        <v>46167</v>
      </c>
      <c r="I1209" s="21" t="s">
        <v>807</v>
      </c>
    </row>
    <row r="1210" spans="1:9">
      <c r="A1210">
        <f t="shared" si="19"/>
        <v>1206</v>
      </c>
      <c r="B1210" s="21" t="s">
        <v>348</v>
      </c>
      <c r="C1210" s="20" t="str">
        <f>IF(B1210="","",IF(COUNTIF('01_Anggota'!$D$5:$D$1212,B1210)=0,"NAMA TIDAK DITEMUKAN",INDEX('01_Anggota'!$B$5:$B$1212,MATCH(B1210,'01_Anggota'!$D$5:$D$1212,0))))</f>
        <v>KKSUK-000149</v>
      </c>
      <c r="D1210" s="23">
        <v>0</v>
      </c>
      <c r="E1210" s="23">
        <v>100000</v>
      </c>
      <c r="F1210" s="23">
        <v>100000</v>
      </c>
      <c r="G1210" s="23">
        <v>0</v>
      </c>
      <c r="H1210" s="42">
        <v>46198</v>
      </c>
      <c r="I1210" s="21" t="s">
        <v>808</v>
      </c>
    </row>
    <row r="1211" spans="1:9">
      <c r="A1211">
        <f t="shared" si="19"/>
        <v>1207</v>
      </c>
      <c r="B1211" s="21" t="s">
        <v>348</v>
      </c>
      <c r="C1211" s="20" t="str">
        <f>IF(B1211="","",IF(COUNTIF('01_Anggota'!$D$5:$D$1212,B1211)=0,"NAMA TIDAK DITEMUKAN",INDEX('01_Anggota'!$B$5:$B$1212,MATCH(B1211,'01_Anggota'!$D$5:$D$1212,0))))</f>
        <v>KKSUK-000149</v>
      </c>
      <c r="D1211" s="23">
        <v>0</v>
      </c>
      <c r="E1211" s="23">
        <v>100000</v>
      </c>
      <c r="F1211" s="23">
        <v>100000</v>
      </c>
      <c r="G1211" s="23">
        <v>0</v>
      </c>
      <c r="H1211" s="42">
        <v>46227</v>
      </c>
      <c r="I1211" s="21" t="s">
        <v>809</v>
      </c>
    </row>
    <row r="1212" spans="1:9">
      <c r="A1212">
        <f t="shared" si="19"/>
        <v>1208</v>
      </c>
      <c r="B1212" s="21" t="s">
        <v>348</v>
      </c>
      <c r="C1212" s="20" t="str">
        <f>IF(B1212="","",IF(COUNTIF('01_Anggota'!$D$5:$D$1212,B1212)=0,"NAMA TIDAK DITEMUKAN",INDEX('01_Anggota'!$B$5:$B$1212,MATCH(B1212,'01_Anggota'!$D$5:$D$1212,0))))</f>
        <v>KKSUK-000149</v>
      </c>
      <c r="D1212" s="23">
        <v>0</v>
      </c>
      <c r="E1212" s="23">
        <v>-1000000</v>
      </c>
      <c r="F1212" s="23">
        <v>0</v>
      </c>
      <c r="G1212" s="23">
        <v>0</v>
      </c>
      <c r="H1212" s="42">
        <v>46258</v>
      </c>
      <c r="I1212" s="21" t="s">
        <v>810</v>
      </c>
    </row>
    <row r="1213" spans="1:9">
      <c r="A1213">
        <f t="shared" si="19"/>
        <v>1209</v>
      </c>
      <c r="B1213" s="21" t="s">
        <v>348</v>
      </c>
      <c r="C1213" s="20" t="str">
        <f>IF(B1213="","",IF(COUNTIF('01_Anggota'!$D$5:$D$1212,B1213)=0,"NAMA TIDAK DITEMUKAN",INDEX('01_Anggota'!$B$5:$B$1212,MATCH(B1213,'01_Anggota'!$D$5:$D$1212,0))))</f>
        <v>KKSUK-000149</v>
      </c>
      <c r="D1213" s="23">
        <v>0</v>
      </c>
      <c r="E1213" s="23">
        <v>100000</v>
      </c>
      <c r="F1213" s="23">
        <v>100000</v>
      </c>
      <c r="G1213" s="23">
        <v>0</v>
      </c>
      <c r="H1213" s="42">
        <v>46258</v>
      </c>
      <c r="I1213" s="21" t="s">
        <v>810</v>
      </c>
    </row>
    <row r="1214" spans="1:9">
      <c r="A1214">
        <f t="shared" si="19"/>
        <v>1210</v>
      </c>
      <c r="B1214" s="21" t="s">
        <v>347</v>
      </c>
      <c r="C1214" s="20" t="str">
        <f>IF(B1214="","",IF(COUNTIF('01_Anggota'!$D$5:$D$1212,B1214)=0,"NAMA TIDAK DITEMUKAN",INDEX('01_Anggota'!$B$5:$B$1212,MATCH(B1214,'01_Anggota'!$D$5:$D$1212,0))))</f>
        <v>KKSUK-000148</v>
      </c>
      <c r="D1214" s="23">
        <v>0</v>
      </c>
      <c r="E1214" s="23">
        <v>2100000</v>
      </c>
      <c r="F1214" s="23">
        <v>1400000</v>
      </c>
      <c r="G1214" s="23">
        <v>126757</v>
      </c>
      <c r="H1214" s="42">
        <v>46023</v>
      </c>
      <c r="I1214" s="21" t="s">
        <v>802</v>
      </c>
    </row>
    <row r="1215" spans="1:9">
      <c r="A1215">
        <f t="shared" si="19"/>
        <v>1211</v>
      </c>
      <c r="B1215" s="21" t="s">
        <v>347</v>
      </c>
      <c r="C1215" s="20" t="str">
        <f>IF(B1215="","",IF(COUNTIF('01_Anggota'!$D$5:$D$1212,B1215)=0,"NAMA TIDAK DITEMUKAN",INDEX('01_Anggota'!$B$5:$B$1212,MATCH(B1215,'01_Anggota'!$D$5:$D$1212,0))))</f>
        <v>KKSUK-000148</v>
      </c>
      <c r="D1215" s="23">
        <v>0</v>
      </c>
      <c r="E1215" s="23">
        <v>150000</v>
      </c>
      <c r="F1215" s="23">
        <v>100000</v>
      </c>
      <c r="G1215" s="23">
        <v>0</v>
      </c>
      <c r="H1215" s="42">
        <v>46045</v>
      </c>
      <c r="I1215" s="21" t="s">
        <v>803</v>
      </c>
    </row>
    <row r="1216" spans="1:9">
      <c r="A1216">
        <f t="shared" si="19"/>
        <v>1212</v>
      </c>
      <c r="B1216" s="21" t="s">
        <v>347</v>
      </c>
      <c r="C1216" s="20" t="str">
        <f>IF(B1216="","",IF(COUNTIF('01_Anggota'!$D$5:$D$1212,B1216)=0,"NAMA TIDAK DITEMUKAN",INDEX('01_Anggota'!$B$5:$B$1212,MATCH(B1216,'01_Anggota'!$D$5:$D$1212,0))))</f>
        <v>KKSUK-000148</v>
      </c>
      <c r="D1216" s="23">
        <v>0</v>
      </c>
      <c r="E1216" s="23">
        <v>150000</v>
      </c>
      <c r="F1216" s="23">
        <v>100000</v>
      </c>
      <c r="G1216" s="23">
        <v>0</v>
      </c>
      <c r="H1216" s="42">
        <v>46078</v>
      </c>
      <c r="I1216" s="21" t="s">
        <v>804</v>
      </c>
    </row>
    <row r="1217" spans="1:9">
      <c r="A1217">
        <f t="shared" si="19"/>
        <v>1213</v>
      </c>
      <c r="B1217" s="21" t="s">
        <v>347</v>
      </c>
      <c r="C1217" s="20" t="str">
        <f>IF(B1217="","",IF(COUNTIF('01_Anggota'!$D$5:$D$1212,B1217)=0,"NAMA TIDAK DITEMUKAN",INDEX('01_Anggota'!$B$5:$B$1212,MATCH(B1217,'01_Anggota'!$D$5:$D$1212,0))))</f>
        <v>KKSUK-000148</v>
      </c>
      <c r="D1217" s="23">
        <v>0</v>
      </c>
      <c r="E1217" s="23">
        <v>150000</v>
      </c>
      <c r="F1217" s="23">
        <v>100000</v>
      </c>
      <c r="G1217" s="23">
        <v>0</v>
      </c>
      <c r="H1217" s="42">
        <v>46106</v>
      </c>
      <c r="I1217" s="21" t="s">
        <v>805</v>
      </c>
    </row>
    <row r="1218" spans="1:9">
      <c r="A1218">
        <f t="shared" si="19"/>
        <v>1214</v>
      </c>
      <c r="B1218" s="21" t="s">
        <v>347</v>
      </c>
      <c r="C1218" s="20" t="str">
        <f>IF(B1218="","",IF(COUNTIF('01_Anggota'!$D$5:$D$1212,B1218)=0,"NAMA TIDAK DITEMUKAN",INDEX('01_Anggota'!$B$5:$B$1212,MATCH(B1218,'01_Anggota'!$D$5:$D$1212,0))))</f>
        <v>KKSUK-000148</v>
      </c>
      <c r="D1218" s="23">
        <v>0</v>
      </c>
      <c r="E1218" s="23">
        <v>150000</v>
      </c>
      <c r="F1218" s="23">
        <v>100000</v>
      </c>
      <c r="G1218" s="23">
        <v>0</v>
      </c>
      <c r="H1218" s="42">
        <v>46136</v>
      </c>
      <c r="I1218" s="21" t="s">
        <v>806</v>
      </c>
    </row>
    <row r="1219" spans="1:9">
      <c r="A1219">
        <f t="shared" si="19"/>
        <v>1215</v>
      </c>
      <c r="B1219" s="21" t="s">
        <v>347</v>
      </c>
      <c r="C1219" s="20" t="str">
        <f>IF(B1219="","",IF(COUNTIF('01_Anggota'!$D$5:$D$1212,B1219)=0,"NAMA TIDAK DITEMUKAN",INDEX('01_Anggota'!$B$5:$B$1212,MATCH(B1219,'01_Anggota'!$D$5:$D$1212,0))))</f>
        <v>KKSUK-000148</v>
      </c>
      <c r="D1219" s="23">
        <v>0</v>
      </c>
      <c r="E1219" s="23">
        <v>-2700000</v>
      </c>
      <c r="F1219" s="23">
        <v>-1800000</v>
      </c>
      <c r="G1219" s="23">
        <v>-126757</v>
      </c>
      <c r="H1219" s="42">
        <v>46167</v>
      </c>
      <c r="I1219" s="21" t="s">
        <v>807</v>
      </c>
    </row>
    <row r="1220" spans="1:9">
      <c r="A1220">
        <f t="shared" si="19"/>
        <v>1216</v>
      </c>
      <c r="B1220" s="21" t="s">
        <v>236</v>
      </c>
      <c r="C1220" s="20" t="str">
        <f>IF(B1220="","",IF(COUNTIF('01_Anggota'!$D$5:$D$1212,B1220)=0,"NAMA TIDAK DITEMUKAN",INDEX('01_Anggota'!$B$5:$B$1212,MATCH(B1220,'01_Anggota'!$D$5:$D$1212,0))))</f>
        <v>KKSUK-000037</v>
      </c>
      <c r="D1220" s="23">
        <v>0</v>
      </c>
      <c r="E1220" s="23">
        <v>4703058</v>
      </c>
      <c r="F1220" s="23">
        <v>15872597.854803201</v>
      </c>
      <c r="G1220" s="23">
        <v>6242061</v>
      </c>
      <c r="H1220" s="42">
        <v>46023</v>
      </c>
      <c r="I1220" s="21" t="s">
        <v>802</v>
      </c>
    </row>
    <row r="1221" spans="1:9">
      <c r="A1221">
        <f t="shared" si="19"/>
        <v>1217</v>
      </c>
      <c r="B1221" s="21" t="s">
        <v>236</v>
      </c>
      <c r="C1221" s="20" t="str">
        <f>IF(B1221="","",IF(COUNTIF('01_Anggota'!$D$5:$D$1212,B1221)=0,"NAMA TIDAK DITEMUKAN",INDEX('01_Anggota'!$B$5:$B$1212,MATCH(B1221,'01_Anggota'!$D$5:$D$1212,0))))</f>
        <v>KKSUK-000037</v>
      </c>
      <c r="D1221" s="23">
        <v>0</v>
      </c>
      <c r="E1221" s="23">
        <v>500000</v>
      </c>
      <c r="F1221" s="23">
        <v>100000</v>
      </c>
      <c r="G1221" s="23">
        <v>0</v>
      </c>
      <c r="H1221" s="42">
        <v>46045</v>
      </c>
      <c r="I1221" s="21" t="s">
        <v>803</v>
      </c>
    </row>
    <row r="1222" spans="1:9">
      <c r="A1222">
        <f t="shared" si="19"/>
        <v>1218</v>
      </c>
      <c r="B1222" s="21" t="s">
        <v>236</v>
      </c>
      <c r="C1222" s="20" t="str">
        <f>IF(B1222="","",IF(COUNTIF('01_Anggota'!$D$5:$D$1212,B1222)=0,"NAMA TIDAK DITEMUKAN",INDEX('01_Anggota'!$B$5:$B$1212,MATCH(B1222,'01_Anggota'!$D$5:$D$1212,0))))</f>
        <v>KKSUK-000037</v>
      </c>
      <c r="D1222" s="23">
        <v>0</v>
      </c>
      <c r="E1222" s="23">
        <v>500000</v>
      </c>
      <c r="F1222" s="23">
        <v>100000</v>
      </c>
      <c r="G1222" s="23">
        <v>0</v>
      </c>
      <c r="H1222" s="42">
        <v>46078</v>
      </c>
      <c r="I1222" s="21" t="s">
        <v>804</v>
      </c>
    </row>
    <row r="1223" spans="1:9">
      <c r="A1223">
        <f t="shared" si="19"/>
        <v>1219</v>
      </c>
      <c r="B1223" s="21" t="s">
        <v>236</v>
      </c>
      <c r="C1223" s="20" t="str">
        <f>IF(B1223="","",IF(COUNTIF('01_Anggota'!$D$5:$D$1212,B1223)=0,"NAMA TIDAK DITEMUKAN",INDEX('01_Anggota'!$B$5:$B$1212,MATCH(B1223,'01_Anggota'!$D$5:$D$1212,0))))</f>
        <v>KKSUK-000037</v>
      </c>
      <c r="D1223" s="23">
        <v>0</v>
      </c>
      <c r="E1223" s="23">
        <v>500000</v>
      </c>
      <c r="F1223" s="23">
        <v>100000</v>
      </c>
      <c r="G1223" s="23">
        <v>0</v>
      </c>
      <c r="H1223" s="42">
        <v>46106</v>
      </c>
      <c r="I1223" s="21" t="s">
        <v>805</v>
      </c>
    </row>
    <row r="1224" spans="1:9">
      <c r="A1224">
        <f t="shared" si="19"/>
        <v>1220</v>
      </c>
      <c r="B1224" s="21" t="s">
        <v>236</v>
      </c>
      <c r="C1224" s="20" t="str">
        <f>IF(B1224="","",IF(COUNTIF('01_Anggota'!$D$5:$D$1212,B1224)=0,"NAMA TIDAK DITEMUKAN",INDEX('01_Anggota'!$B$5:$B$1212,MATCH(B1224,'01_Anggota'!$D$5:$D$1212,0))))</f>
        <v>KKSUK-000037</v>
      </c>
      <c r="D1224" s="23">
        <v>0</v>
      </c>
      <c r="E1224" s="23">
        <v>500000</v>
      </c>
      <c r="F1224" s="23">
        <v>100000</v>
      </c>
      <c r="G1224" s="23">
        <v>0</v>
      </c>
      <c r="H1224" s="42">
        <v>46136</v>
      </c>
      <c r="I1224" s="21" t="s">
        <v>806</v>
      </c>
    </row>
    <row r="1225" spans="1:9">
      <c r="A1225">
        <f t="shared" si="19"/>
        <v>1221</v>
      </c>
      <c r="B1225" s="21" t="s">
        <v>236</v>
      </c>
      <c r="C1225" s="20" t="str">
        <f>IF(B1225="","",IF(COUNTIF('01_Anggota'!$D$5:$D$1212,B1225)=0,"NAMA TIDAK DITEMUKAN",INDEX('01_Anggota'!$B$5:$B$1212,MATCH(B1225,'01_Anggota'!$D$5:$D$1212,0))))</f>
        <v>KKSUK-000037</v>
      </c>
      <c r="D1225" s="23">
        <v>0</v>
      </c>
      <c r="E1225" s="23">
        <v>500000</v>
      </c>
      <c r="F1225" s="23">
        <v>100000</v>
      </c>
      <c r="G1225" s="23">
        <v>0</v>
      </c>
      <c r="H1225" s="42">
        <v>46167</v>
      </c>
      <c r="I1225" s="21" t="s">
        <v>807</v>
      </c>
    </row>
    <row r="1226" spans="1:9">
      <c r="A1226">
        <f t="shared" si="19"/>
        <v>1222</v>
      </c>
      <c r="B1226" s="21" t="s">
        <v>236</v>
      </c>
      <c r="C1226" s="20" t="str">
        <f>IF(B1226="","",IF(COUNTIF('01_Anggota'!$D$5:$D$1212,B1226)=0,"NAMA TIDAK DITEMUKAN",INDEX('01_Anggota'!$B$5:$B$1212,MATCH(B1226,'01_Anggota'!$D$5:$D$1212,0))))</f>
        <v>KKSUK-000037</v>
      </c>
      <c r="D1226" s="23">
        <v>0</v>
      </c>
      <c r="E1226" s="23">
        <v>500000</v>
      </c>
      <c r="F1226" s="23">
        <v>100000</v>
      </c>
      <c r="G1226" s="23">
        <v>0</v>
      </c>
      <c r="H1226" s="42">
        <v>46198</v>
      </c>
      <c r="I1226" s="21" t="s">
        <v>808</v>
      </c>
    </row>
    <row r="1227" spans="1:9">
      <c r="A1227">
        <f t="shared" si="19"/>
        <v>1223</v>
      </c>
      <c r="B1227" s="21" t="s">
        <v>236</v>
      </c>
      <c r="C1227" s="20" t="str">
        <f>IF(B1227="","",IF(COUNTIF('01_Anggota'!$D$5:$D$1212,B1227)=0,"NAMA TIDAK DITEMUKAN",INDEX('01_Anggota'!$B$5:$B$1212,MATCH(B1227,'01_Anggota'!$D$5:$D$1212,0))))</f>
        <v>KKSUK-000037</v>
      </c>
      <c r="D1227" s="23">
        <v>0</v>
      </c>
      <c r="E1227" s="23">
        <v>500000</v>
      </c>
      <c r="F1227" s="23">
        <v>100000</v>
      </c>
      <c r="G1227" s="23">
        <v>0</v>
      </c>
      <c r="H1227" s="42">
        <v>46227</v>
      </c>
      <c r="I1227" s="21" t="s">
        <v>809</v>
      </c>
    </row>
    <row r="1228" spans="1:9">
      <c r="A1228">
        <f t="shared" si="19"/>
        <v>1224</v>
      </c>
      <c r="B1228" s="21" t="s">
        <v>236</v>
      </c>
      <c r="C1228" s="20" t="str">
        <f>IF(B1228="","",IF(COUNTIF('01_Anggota'!$D$5:$D$1212,B1228)=0,"NAMA TIDAK DITEMUKAN",INDEX('01_Anggota'!$B$5:$B$1212,MATCH(B1228,'01_Anggota'!$D$5:$D$1212,0))))</f>
        <v>KKSUK-000037</v>
      </c>
      <c r="D1228" s="23">
        <v>0</v>
      </c>
      <c r="E1228" s="23">
        <v>500000</v>
      </c>
      <c r="F1228" s="23">
        <v>100000</v>
      </c>
      <c r="G1228" s="23">
        <v>0</v>
      </c>
      <c r="H1228" s="42">
        <v>46258</v>
      </c>
      <c r="I1228" s="21" t="s">
        <v>810</v>
      </c>
    </row>
    <row r="1229" spans="1:9">
      <c r="A1229">
        <f t="shared" si="19"/>
        <v>1225</v>
      </c>
      <c r="B1229" s="21" t="s">
        <v>237</v>
      </c>
      <c r="C1229" s="20" t="str">
        <f>IF(B1229="","",IF(COUNTIF('01_Anggota'!$D$5:$D$1212,B1229)=0,"NAMA TIDAK DITEMUKAN",INDEX('01_Anggota'!$B$5:$B$1212,MATCH(B1229,'01_Anggota'!$D$5:$D$1212,0))))</f>
        <v>KKSUK-000038</v>
      </c>
      <c r="D1229" s="23">
        <v>0</v>
      </c>
      <c r="E1229" s="23">
        <v>2755000</v>
      </c>
      <c r="F1229" s="23">
        <v>11274232.6287455</v>
      </c>
      <c r="G1229" s="23">
        <v>3088135</v>
      </c>
      <c r="H1229" s="42">
        <v>46023</v>
      </c>
      <c r="I1229" s="21" t="s">
        <v>802</v>
      </c>
    </row>
    <row r="1230" spans="1:9">
      <c r="A1230">
        <f t="shared" si="19"/>
        <v>1226</v>
      </c>
      <c r="B1230" s="21" t="s">
        <v>237</v>
      </c>
      <c r="C1230" s="20" t="str">
        <f>IF(B1230="","",IF(COUNTIF('01_Anggota'!$D$5:$D$1212,B1230)=0,"NAMA TIDAK DITEMUKAN",INDEX('01_Anggota'!$B$5:$B$1212,MATCH(B1230,'01_Anggota'!$D$5:$D$1212,0))))</f>
        <v>KKSUK-000038</v>
      </c>
      <c r="D1230" s="23">
        <v>0</v>
      </c>
      <c r="E1230" s="23">
        <v>300000</v>
      </c>
      <c r="F1230" s="23">
        <v>100000</v>
      </c>
      <c r="G1230" s="23">
        <v>0</v>
      </c>
      <c r="H1230" s="42">
        <v>46045</v>
      </c>
      <c r="I1230" s="21" t="s">
        <v>803</v>
      </c>
    </row>
    <row r="1231" spans="1:9">
      <c r="A1231">
        <f t="shared" si="19"/>
        <v>1227</v>
      </c>
      <c r="B1231" s="21" t="s">
        <v>237</v>
      </c>
      <c r="C1231" s="20" t="str">
        <f>IF(B1231="","",IF(COUNTIF('01_Anggota'!$D$5:$D$1212,B1231)=0,"NAMA TIDAK DITEMUKAN",INDEX('01_Anggota'!$B$5:$B$1212,MATCH(B1231,'01_Anggota'!$D$5:$D$1212,0))))</f>
        <v>KKSUK-000038</v>
      </c>
      <c r="D1231" s="23">
        <v>0</v>
      </c>
      <c r="E1231" s="23">
        <v>300000</v>
      </c>
      <c r="F1231" s="23">
        <v>100000</v>
      </c>
      <c r="G1231" s="23">
        <v>0</v>
      </c>
      <c r="H1231" s="42">
        <v>46078</v>
      </c>
      <c r="I1231" s="21" t="s">
        <v>804</v>
      </c>
    </row>
    <row r="1232" spans="1:9">
      <c r="A1232">
        <f t="shared" si="19"/>
        <v>1228</v>
      </c>
      <c r="B1232" s="21" t="s">
        <v>237</v>
      </c>
      <c r="C1232" s="20" t="str">
        <f>IF(B1232="","",IF(COUNTIF('01_Anggota'!$D$5:$D$1212,B1232)=0,"NAMA TIDAK DITEMUKAN",INDEX('01_Anggota'!$B$5:$B$1212,MATCH(B1232,'01_Anggota'!$D$5:$D$1212,0))))</f>
        <v>KKSUK-000038</v>
      </c>
      <c r="D1232" s="23">
        <v>0</v>
      </c>
      <c r="E1232" s="23">
        <v>300000</v>
      </c>
      <c r="F1232" s="23">
        <v>100000</v>
      </c>
      <c r="G1232" s="23">
        <v>0</v>
      </c>
      <c r="H1232" s="42">
        <v>46106</v>
      </c>
      <c r="I1232" s="21" t="s">
        <v>805</v>
      </c>
    </row>
    <row r="1233" spans="1:9">
      <c r="A1233">
        <f t="shared" si="19"/>
        <v>1229</v>
      </c>
      <c r="B1233" s="21" t="s">
        <v>237</v>
      </c>
      <c r="C1233" s="20" t="str">
        <f>IF(B1233="","",IF(COUNTIF('01_Anggota'!$D$5:$D$1212,B1233)=0,"NAMA TIDAK DITEMUKAN",INDEX('01_Anggota'!$B$5:$B$1212,MATCH(B1233,'01_Anggota'!$D$5:$D$1212,0))))</f>
        <v>KKSUK-000038</v>
      </c>
      <c r="D1233" s="23">
        <v>0</v>
      </c>
      <c r="E1233" s="23">
        <v>300000</v>
      </c>
      <c r="F1233" s="23">
        <v>100000</v>
      </c>
      <c r="G1233" s="23">
        <v>0</v>
      </c>
      <c r="H1233" s="42">
        <v>46136</v>
      </c>
      <c r="I1233" s="21" t="s">
        <v>806</v>
      </c>
    </row>
    <row r="1234" spans="1:9">
      <c r="A1234">
        <f t="shared" si="19"/>
        <v>1230</v>
      </c>
      <c r="B1234" s="21" t="s">
        <v>237</v>
      </c>
      <c r="C1234" s="20" t="str">
        <f>IF(B1234="","",IF(COUNTIF('01_Anggota'!$D$5:$D$1212,B1234)=0,"NAMA TIDAK DITEMUKAN",INDEX('01_Anggota'!$B$5:$B$1212,MATCH(B1234,'01_Anggota'!$D$5:$D$1212,0))))</f>
        <v>KKSUK-000038</v>
      </c>
      <c r="D1234" s="23">
        <v>0</v>
      </c>
      <c r="E1234" s="23">
        <v>300000</v>
      </c>
      <c r="F1234" s="23">
        <v>100000</v>
      </c>
      <c r="G1234" s="23">
        <v>0</v>
      </c>
      <c r="H1234" s="42">
        <v>46167</v>
      </c>
      <c r="I1234" s="21" t="s">
        <v>807</v>
      </c>
    </row>
    <row r="1235" spans="1:9">
      <c r="A1235">
        <f t="shared" si="19"/>
        <v>1231</v>
      </c>
      <c r="B1235" s="21" t="s">
        <v>237</v>
      </c>
      <c r="C1235" s="20" t="str">
        <f>IF(B1235="","",IF(COUNTIF('01_Anggota'!$D$5:$D$1212,B1235)=0,"NAMA TIDAK DITEMUKAN",INDEX('01_Anggota'!$B$5:$B$1212,MATCH(B1235,'01_Anggota'!$D$5:$D$1212,0))))</f>
        <v>KKSUK-000038</v>
      </c>
      <c r="D1235" s="23">
        <v>0</v>
      </c>
      <c r="E1235" s="23">
        <v>300000</v>
      </c>
      <c r="F1235" s="23">
        <v>100000</v>
      </c>
      <c r="G1235" s="23">
        <v>0</v>
      </c>
      <c r="H1235" s="42">
        <v>46198</v>
      </c>
      <c r="I1235" s="21" t="s">
        <v>808</v>
      </c>
    </row>
    <row r="1236" spans="1:9">
      <c r="A1236">
        <f t="shared" si="19"/>
        <v>1232</v>
      </c>
      <c r="B1236" s="21" t="s">
        <v>237</v>
      </c>
      <c r="C1236" s="20" t="str">
        <f>IF(B1236="","",IF(COUNTIF('01_Anggota'!$D$5:$D$1212,B1236)=0,"NAMA TIDAK DITEMUKAN",INDEX('01_Anggota'!$B$5:$B$1212,MATCH(B1236,'01_Anggota'!$D$5:$D$1212,0))))</f>
        <v>KKSUK-000038</v>
      </c>
      <c r="D1236" s="23">
        <v>0</v>
      </c>
      <c r="E1236" s="23">
        <v>300000</v>
      </c>
      <c r="F1236" s="23">
        <v>100000</v>
      </c>
      <c r="G1236" s="23">
        <v>0</v>
      </c>
      <c r="H1236" s="42">
        <v>46227</v>
      </c>
      <c r="I1236" s="21" t="s">
        <v>809</v>
      </c>
    </row>
    <row r="1237" spans="1:9">
      <c r="A1237">
        <f t="shared" si="19"/>
        <v>1233</v>
      </c>
      <c r="B1237" s="21" t="s">
        <v>237</v>
      </c>
      <c r="C1237" s="20" t="str">
        <f>IF(B1237="","",IF(COUNTIF('01_Anggota'!$D$5:$D$1212,B1237)=0,"NAMA TIDAK DITEMUKAN",INDEX('01_Anggota'!$B$5:$B$1212,MATCH(B1237,'01_Anggota'!$D$5:$D$1212,0))))</f>
        <v>KKSUK-000038</v>
      </c>
      <c r="D1237" s="23">
        <v>0</v>
      </c>
      <c r="E1237" s="23">
        <v>300000</v>
      </c>
      <c r="F1237" s="23">
        <v>100000</v>
      </c>
      <c r="G1237" s="23">
        <v>0</v>
      </c>
      <c r="H1237" s="42">
        <v>46258</v>
      </c>
      <c r="I1237" s="21" t="s">
        <v>810</v>
      </c>
    </row>
    <row r="1238" spans="1:9">
      <c r="A1238">
        <f t="shared" si="19"/>
        <v>1234</v>
      </c>
      <c r="B1238" s="21" t="s">
        <v>237</v>
      </c>
      <c r="C1238" s="20" t="str">
        <f>IF(B1238="","",IF(COUNTIF('01_Anggota'!$D$5:$D$1212,B1238)=0,"NAMA TIDAK DITEMUKAN",INDEX('01_Anggota'!$B$5:$B$1212,MATCH(B1238,'01_Anggota'!$D$5:$D$1212,0))))</f>
        <v>KKSUK-000038</v>
      </c>
      <c r="D1238" s="23">
        <v>0</v>
      </c>
      <c r="E1238" s="23">
        <v>-4000000</v>
      </c>
      <c r="F1238" s="23">
        <v>0</v>
      </c>
      <c r="G1238" s="23">
        <v>0</v>
      </c>
      <c r="H1238" s="42">
        <v>46267</v>
      </c>
      <c r="I1238" s="21" t="s">
        <v>811</v>
      </c>
    </row>
    <row r="1239" spans="1:9">
      <c r="A1239">
        <f t="shared" si="19"/>
        <v>1235</v>
      </c>
      <c r="B1239" s="21" t="s">
        <v>238</v>
      </c>
      <c r="C1239" s="20" t="str">
        <f>IF(B1239="","",IF(COUNTIF('01_Anggota'!$D$5:$D$1212,B1239)=0,"NAMA TIDAK DITEMUKAN",INDEX('01_Anggota'!$B$5:$B$1212,MATCH(B1239,'01_Anggota'!$D$5:$D$1212,0))))</f>
        <v>KKSUK-000039</v>
      </c>
      <c r="D1239" s="23">
        <v>0</v>
      </c>
      <c r="E1239" s="23">
        <v>2000000</v>
      </c>
      <c r="F1239" s="23">
        <v>8452131.2264718097</v>
      </c>
      <c r="G1239" s="23">
        <v>2147886</v>
      </c>
      <c r="H1239" s="42">
        <v>46023</v>
      </c>
      <c r="I1239" s="21" t="s">
        <v>802</v>
      </c>
    </row>
    <row r="1240" spans="1:9">
      <c r="A1240">
        <f t="shared" si="19"/>
        <v>1236</v>
      </c>
      <c r="B1240" s="21" t="s">
        <v>238</v>
      </c>
      <c r="C1240" s="20" t="str">
        <f>IF(B1240="","",IF(COUNTIF('01_Anggota'!$D$5:$D$1212,B1240)=0,"NAMA TIDAK DITEMUKAN",INDEX('01_Anggota'!$B$5:$B$1212,MATCH(B1240,'01_Anggota'!$D$5:$D$1212,0))))</f>
        <v>KKSUK-000039</v>
      </c>
      <c r="D1240" s="23">
        <v>0</v>
      </c>
      <c r="E1240" s="23">
        <v>50000</v>
      </c>
      <c r="F1240" s="23">
        <v>100000</v>
      </c>
      <c r="G1240" s="23">
        <v>0</v>
      </c>
      <c r="H1240" s="42">
        <v>46045</v>
      </c>
      <c r="I1240" s="21" t="s">
        <v>803</v>
      </c>
    </row>
    <row r="1241" spans="1:9">
      <c r="A1241">
        <f t="shared" si="19"/>
        <v>1237</v>
      </c>
      <c r="B1241" s="21" t="s">
        <v>238</v>
      </c>
      <c r="C1241" s="20" t="str">
        <f>IF(B1241="","",IF(COUNTIF('01_Anggota'!$D$5:$D$1212,B1241)=0,"NAMA TIDAK DITEMUKAN",INDEX('01_Anggota'!$B$5:$B$1212,MATCH(B1241,'01_Anggota'!$D$5:$D$1212,0))))</f>
        <v>KKSUK-000039</v>
      </c>
      <c r="D1241" s="23">
        <v>0</v>
      </c>
      <c r="E1241" s="23">
        <v>50000</v>
      </c>
      <c r="F1241" s="23">
        <v>100000</v>
      </c>
      <c r="G1241" s="23">
        <v>0</v>
      </c>
      <c r="H1241" s="42">
        <v>46078</v>
      </c>
      <c r="I1241" s="21" t="s">
        <v>804</v>
      </c>
    </row>
    <row r="1242" spans="1:9">
      <c r="A1242">
        <f t="shared" si="19"/>
        <v>1238</v>
      </c>
      <c r="B1242" s="21" t="s">
        <v>238</v>
      </c>
      <c r="C1242" s="20" t="str">
        <f>IF(B1242="","",IF(COUNTIF('01_Anggota'!$D$5:$D$1212,B1242)=0,"NAMA TIDAK DITEMUKAN",INDEX('01_Anggota'!$B$5:$B$1212,MATCH(B1242,'01_Anggota'!$D$5:$D$1212,0))))</f>
        <v>KKSUK-000039</v>
      </c>
      <c r="D1242" s="23">
        <v>0</v>
      </c>
      <c r="E1242" s="23">
        <v>50000</v>
      </c>
      <c r="F1242" s="23">
        <v>100000</v>
      </c>
      <c r="G1242" s="23">
        <v>0</v>
      </c>
      <c r="H1242" s="42">
        <v>46106</v>
      </c>
      <c r="I1242" s="21" t="s">
        <v>805</v>
      </c>
    </row>
    <row r="1243" spans="1:9">
      <c r="A1243">
        <f t="shared" si="19"/>
        <v>1239</v>
      </c>
      <c r="B1243" s="21" t="s">
        <v>238</v>
      </c>
      <c r="C1243" s="20" t="str">
        <f>IF(B1243="","",IF(COUNTIF('01_Anggota'!$D$5:$D$1212,B1243)=0,"NAMA TIDAK DITEMUKAN",INDEX('01_Anggota'!$B$5:$B$1212,MATCH(B1243,'01_Anggota'!$D$5:$D$1212,0))))</f>
        <v>KKSUK-000039</v>
      </c>
      <c r="D1243" s="23">
        <v>0</v>
      </c>
      <c r="E1243" s="23">
        <v>50000</v>
      </c>
      <c r="F1243" s="23">
        <v>100000</v>
      </c>
      <c r="G1243" s="23">
        <v>0</v>
      </c>
      <c r="H1243" s="42">
        <v>46136</v>
      </c>
      <c r="I1243" s="21" t="s">
        <v>806</v>
      </c>
    </row>
    <row r="1244" spans="1:9">
      <c r="A1244">
        <f t="shared" si="19"/>
        <v>1240</v>
      </c>
      <c r="B1244" s="21" t="s">
        <v>238</v>
      </c>
      <c r="C1244" s="20" t="str">
        <f>IF(B1244="","",IF(COUNTIF('01_Anggota'!$D$5:$D$1212,B1244)=0,"NAMA TIDAK DITEMUKAN",INDEX('01_Anggota'!$B$5:$B$1212,MATCH(B1244,'01_Anggota'!$D$5:$D$1212,0))))</f>
        <v>KKSUK-000039</v>
      </c>
      <c r="D1244" s="23">
        <v>0</v>
      </c>
      <c r="E1244" s="23">
        <v>50000</v>
      </c>
      <c r="F1244" s="23">
        <v>100000</v>
      </c>
      <c r="G1244" s="23">
        <v>0</v>
      </c>
      <c r="H1244" s="42">
        <v>46167</v>
      </c>
      <c r="I1244" s="21" t="s">
        <v>807</v>
      </c>
    </row>
    <row r="1245" spans="1:9">
      <c r="A1245">
        <f t="shared" si="19"/>
        <v>1241</v>
      </c>
      <c r="B1245" s="21" t="s">
        <v>238</v>
      </c>
      <c r="C1245" s="20" t="str">
        <f>IF(B1245="","",IF(COUNTIF('01_Anggota'!$D$5:$D$1212,B1245)=0,"NAMA TIDAK DITEMUKAN",INDEX('01_Anggota'!$B$5:$B$1212,MATCH(B1245,'01_Anggota'!$D$5:$D$1212,0))))</f>
        <v>KKSUK-000039</v>
      </c>
      <c r="D1245" s="23">
        <v>0</v>
      </c>
      <c r="E1245" s="23">
        <v>50000</v>
      </c>
      <c r="F1245" s="23">
        <v>100000</v>
      </c>
      <c r="G1245" s="23">
        <v>0</v>
      </c>
      <c r="H1245" s="42">
        <v>46198</v>
      </c>
      <c r="I1245" s="21" t="s">
        <v>808</v>
      </c>
    </row>
    <row r="1246" spans="1:9">
      <c r="A1246">
        <f t="shared" si="19"/>
        <v>1242</v>
      </c>
      <c r="B1246" s="21" t="s">
        <v>238</v>
      </c>
      <c r="C1246" s="20" t="str">
        <f>IF(B1246="","",IF(COUNTIF('01_Anggota'!$D$5:$D$1212,B1246)=0,"NAMA TIDAK DITEMUKAN",INDEX('01_Anggota'!$B$5:$B$1212,MATCH(B1246,'01_Anggota'!$D$5:$D$1212,0))))</f>
        <v>KKSUK-000039</v>
      </c>
      <c r="D1246" s="23">
        <v>0</v>
      </c>
      <c r="E1246" s="23">
        <v>50000</v>
      </c>
      <c r="F1246" s="23">
        <v>100000</v>
      </c>
      <c r="G1246" s="23">
        <v>0</v>
      </c>
      <c r="H1246" s="42">
        <v>46227</v>
      </c>
      <c r="I1246" s="21" t="s">
        <v>809</v>
      </c>
    </row>
    <row r="1247" spans="1:9">
      <c r="A1247">
        <f t="shared" si="19"/>
        <v>1243</v>
      </c>
      <c r="B1247" s="21" t="s">
        <v>238</v>
      </c>
      <c r="C1247" s="20" t="str">
        <f>IF(B1247="","",IF(COUNTIF('01_Anggota'!$D$5:$D$1212,B1247)=0,"NAMA TIDAK DITEMUKAN",INDEX('01_Anggota'!$B$5:$B$1212,MATCH(B1247,'01_Anggota'!$D$5:$D$1212,0))))</f>
        <v>KKSUK-000039</v>
      </c>
      <c r="D1247" s="23">
        <v>0</v>
      </c>
      <c r="E1247" s="23">
        <v>50000</v>
      </c>
      <c r="F1247" s="23">
        <v>100000</v>
      </c>
      <c r="G1247" s="23">
        <v>0</v>
      </c>
      <c r="H1247" s="42">
        <v>46258</v>
      </c>
      <c r="I1247" s="21" t="s">
        <v>810</v>
      </c>
    </row>
    <row r="1248" spans="1:9">
      <c r="A1248">
        <f t="shared" si="19"/>
        <v>1244</v>
      </c>
      <c r="B1248" s="21" t="s">
        <v>238</v>
      </c>
      <c r="C1248" s="20" t="str">
        <f>IF(B1248="","",IF(COUNTIF('01_Anggota'!$D$5:$D$1212,B1248)=0,"NAMA TIDAK DITEMUKAN",INDEX('01_Anggota'!$B$5:$B$1212,MATCH(B1248,'01_Anggota'!$D$5:$D$1212,0))))</f>
        <v>KKSUK-000039</v>
      </c>
      <c r="D1248" s="23">
        <v>0</v>
      </c>
      <c r="E1248" s="23">
        <v>-1500000</v>
      </c>
      <c r="F1248" s="23">
        <v>0</v>
      </c>
      <c r="G1248" s="23">
        <v>0</v>
      </c>
      <c r="H1248" s="42">
        <v>46267</v>
      </c>
      <c r="I1248" s="21" t="s">
        <v>811</v>
      </c>
    </row>
    <row r="1249" spans="1:9">
      <c r="A1249">
        <f t="shared" si="19"/>
        <v>1245</v>
      </c>
      <c r="B1249" s="21" t="s">
        <v>283</v>
      </c>
      <c r="C1249" s="20" t="str">
        <f>IF(B1249="","",IF(COUNTIF('01_Anggota'!$D$5:$D$1212,B1249)=0,"NAMA TIDAK DITEMUKAN",INDEX('01_Anggota'!$B$5:$B$1212,MATCH(B1249,'01_Anggota'!$D$5:$D$1212,0))))</f>
        <v>KKSUK-000084</v>
      </c>
      <c r="D1249" s="23">
        <v>0</v>
      </c>
      <c r="E1249" s="23">
        <v>5195000</v>
      </c>
      <c r="F1249" s="23">
        <v>12477775.873832799</v>
      </c>
      <c r="G1249" s="23">
        <v>4178368</v>
      </c>
      <c r="H1249" s="42">
        <v>46023</v>
      </c>
      <c r="I1249" s="21" t="s">
        <v>802</v>
      </c>
    </row>
    <row r="1250" spans="1:9">
      <c r="A1250">
        <f t="shared" si="19"/>
        <v>1246</v>
      </c>
      <c r="B1250" s="21" t="s">
        <v>283</v>
      </c>
      <c r="C1250" s="20" t="str">
        <f>IF(B1250="","",IF(COUNTIF('01_Anggota'!$D$5:$D$1212,B1250)=0,"NAMA TIDAK DITEMUKAN",INDEX('01_Anggota'!$B$5:$B$1212,MATCH(B1250,'01_Anggota'!$D$5:$D$1212,0))))</f>
        <v>KKSUK-000084</v>
      </c>
      <c r="D1250" s="23">
        <v>0</v>
      </c>
      <c r="E1250" s="23">
        <v>250000</v>
      </c>
      <c r="F1250" s="23">
        <v>100000</v>
      </c>
      <c r="G1250" s="23">
        <v>0</v>
      </c>
      <c r="H1250" s="42">
        <v>46045</v>
      </c>
      <c r="I1250" s="21" t="s">
        <v>803</v>
      </c>
    </row>
    <row r="1251" spans="1:9">
      <c r="A1251">
        <f t="shared" si="19"/>
        <v>1247</v>
      </c>
      <c r="B1251" s="21" t="s">
        <v>283</v>
      </c>
      <c r="C1251" s="20" t="str">
        <f>IF(B1251="","",IF(COUNTIF('01_Anggota'!$D$5:$D$1212,B1251)=0,"NAMA TIDAK DITEMUKAN",INDEX('01_Anggota'!$B$5:$B$1212,MATCH(B1251,'01_Anggota'!$D$5:$D$1212,0))))</f>
        <v>KKSUK-000084</v>
      </c>
      <c r="D1251" s="23">
        <v>0</v>
      </c>
      <c r="E1251" s="23">
        <v>250000</v>
      </c>
      <c r="F1251" s="23">
        <v>100000</v>
      </c>
      <c r="G1251" s="23">
        <v>0</v>
      </c>
      <c r="H1251" s="42">
        <v>46078</v>
      </c>
      <c r="I1251" s="21" t="s">
        <v>804</v>
      </c>
    </row>
    <row r="1252" spans="1:9">
      <c r="A1252">
        <f t="shared" si="19"/>
        <v>1248</v>
      </c>
      <c r="B1252" s="21" t="s">
        <v>283</v>
      </c>
      <c r="C1252" s="20" t="str">
        <f>IF(B1252="","",IF(COUNTIF('01_Anggota'!$D$5:$D$1212,B1252)=0,"NAMA TIDAK DITEMUKAN",INDEX('01_Anggota'!$B$5:$B$1212,MATCH(B1252,'01_Anggota'!$D$5:$D$1212,0))))</f>
        <v>KKSUK-000084</v>
      </c>
      <c r="D1252" s="23">
        <v>0</v>
      </c>
      <c r="E1252" s="23">
        <v>250000</v>
      </c>
      <c r="F1252" s="23">
        <v>100000</v>
      </c>
      <c r="G1252" s="23">
        <v>0</v>
      </c>
      <c r="H1252" s="42">
        <v>46106</v>
      </c>
      <c r="I1252" s="21" t="s">
        <v>805</v>
      </c>
    </row>
    <row r="1253" spans="1:9">
      <c r="A1253">
        <f t="shared" si="19"/>
        <v>1249</v>
      </c>
      <c r="B1253" s="21" t="s">
        <v>283</v>
      </c>
      <c r="C1253" s="20" t="str">
        <f>IF(B1253="","",IF(COUNTIF('01_Anggota'!$D$5:$D$1212,B1253)=0,"NAMA TIDAK DITEMUKAN",INDEX('01_Anggota'!$B$5:$B$1212,MATCH(B1253,'01_Anggota'!$D$5:$D$1212,0))))</f>
        <v>KKSUK-000084</v>
      </c>
      <c r="D1253" s="23">
        <v>0</v>
      </c>
      <c r="E1253" s="23">
        <v>250000</v>
      </c>
      <c r="F1253" s="23">
        <v>100000</v>
      </c>
      <c r="G1253" s="23">
        <v>0</v>
      </c>
      <c r="H1253" s="42">
        <v>46136</v>
      </c>
      <c r="I1253" s="21" t="s">
        <v>806</v>
      </c>
    </row>
    <row r="1254" spans="1:9">
      <c r="A1254">
        <f t="shared" si="19"/>
        <v>1250</v>
      </c>
      <c r="B1254" s="21" t="s">
        <v>283</v>
      </c>
      <c r="C1254" s="20" t="str">
        <f>IF(B1254="","",IF(COUNTIF('01_Anggota'!$D$5:$D$1212,B1254)=0,"NAMA TIDAK DITEMUKAN",INDEX('01_Anggota'!$B$5:$B$1212,MATCH(B1254,'01_Anggota'!$D$5:$D$1212,0))))</f>
        <v>KKSUK-000084</v>
      </c>
      <c r="D1254" s="23">
        <v>0</v>
      </c>
      <c r="E1254" s="23">
        <v>250000</v>
      </c>
      <c r="F1254" s="23">
        <v>100000</v>
      </c>
      <c r="G1254" s="23">
        <v>0</v>
      </c>
      <c r="H1254" s="42">
        <v>46167</v>
      </c>
      <c r="I1254" s="21" t="s">
        <v>807</v>
      </c>
    </row>
    <row r="1255" spans="1:9">
      <c r="A1255">
        <f t="shared" si="19"/>
        <v>1251</v>
      </c>
      <c r="B1255" s="21" t="s">
        <v>283</v>
      </c>
      <c r="C1255" s="20" t="str">
        <f>IF(B1255="","",IF(COUNTIF('01_Anggota'!$D$5:$D$1212,B1255)=0,"NAMA TIDAK DITEMUKAN",INDEX('01_Anggota'!$B$5:$B$1212,MATCH(B1255,'01_Anggota'!$D$5:$D$1212,0))))</f>
        <v>KKSUK-000084</v>
      </c>
      <c r="D1255" s="23">
        <v>0</v>
      </c>
      <c r="E1255" s="23">
        <v>250000</v>
      </c>
      <c r="F1255" s="23">
        <v>100000</v>
      </c>
      <c r="G1255" s="23">
        <v>0</v>
      </c>
      <c r="H1255" s="42">
        <v>46198</v>
      </c>
      <c r="I1255" s="21" t="s">
        <v>808</v>
      </c>
    </row>
    <row r="1256" spans="1:9">
      <c r="A1256">
        <f t="shared" si="19"/>
        <v>1252</v>
      </c>
      <c r="B1256" s="21" t="s">
        <v>283</v>
      </c>
      <c r="C1256" s="20" t="str">
        <f>IF(B1256="","",IF(COUNTIF('01_Anggota'!$D$5:$D$1212,B1256)=0,"NAMA TIDAK DITEMUKAN",INDEX('01_Anggota'!$B$5:$B$1212,MATCH(B1256,'01_Anggota'!$D$5:$D$1212,0))))</f>
        <v>KKSUK-000084</v>
      </c>
      <c r="D1256" s="23">
        <v>0</v>
      </c>
      <c r="E1256" s="23">
        <v>250000</v>
      </c>
      <c r="F1256" s="23">
        <v>100000</v>
      </c>
      <c r="G1256" s="23">
        <v>0</v>
      </c>
      <c r="H1256" s="42">
        <v>46227</v>
      </c>
      <c r="I1256" s="21" t="s">
        <v>809</v>
      </c>
    </row>
    <row r="1257" spans="1:9">
      <c r="A1257">
        <f t="shared" si="19"/>
        <v>1253</v>
      </c>
      <c r="B1257" s="21" t="s">
        <v>283</v>
      </c>
      <c r="C1257" s="20" t="str">
        <f>IF(B1257="","",IF(COUNTIF('01_Anggota'!$D$5:$D$1212,B1257)=0,"NAMA TIDAK DITEMUKAN",INDEX('01_Anggota'!$B$5:$B$1212,MATCH(B1257,'01_Anggota'!$D$5:$D$1212,0))))</f>
        <v>KKSUK-000084</v>
      </c>
      <c r="D1257" s="23">
        <v>0</v>
      </c>
      <c r="E1257" s="23">
        <v>-1500000</v>
      </c>
      <c r="F1257" s="23">
        <v>0</v>
      </c>
      <c r="G1257" s="23">
        <v>0</v>
      </c>
      <c r="H1257" s="42">
        <v>46267</v>
      </c>
      <c r="I1257" s="21" t="s">
        <v>811</v>
      </c>
    </row>
    <row r="1258" spans="1:9">
      <c r="A1258">
        <f t="shared" si="19"/>
        <v>1254</v>
      </c>
      <c r="B1258" s="21" t="s">
        <v>283</v>
      </c>
      <c r="C1258" s="20" t="str">
        <f>IF(B1258="","",IF(COUNTIF('01_Anggota'!$D$5:$D$1212,B1258)=0,"NAMA TIDAK DITEMUKAN",INDEX('01_Anggota'!$B$5:$B$1212,MATCH(B1258,'01_Anggota'!$D$5:$D$1212,0))))</f>
        <v>KKSUK-000084</v>
      </c>
      <c r="D1258" s="23">
        <v>0</v>
      </c>
      <c r="E1258" s="23">
        <v>250000</v>
      </c>
      <c r="F1258" s="23">
        <v>100000</v>
      </c>
      <c r="G1258" s="23">
        <v>0</v>
      </c>
      <c r="H1258" s="42">
        <v>46258</v>
      </c>
      <c r="I1258" s="21" t="s">
        <v>810</v>
      </c>
    </row>
    <row r="1259" spans="1:9">
      <c r="A1259">
        <f t="shared" si="19"/>
        <v>1255</v>
      </c>
      <c r="B1259" s="21" t="s">
        <v>368</v>
      </c>
      <c r="C1259" s="20" t="str">
        <f>IF(B1259="","",IF(COUNTIF('01_Anggota'!$D$5:$D$1212,B1259)=0,"NAMA TIDAK DITEMUKAN",INDEX('01_Anggota'!$B$5:$B$1212,MATCH(B1259,'01_Anggota'!$D$5:$D$1212,0))))</f>
        <v>KKSUK-000169</v>
      </c>
      <c r="D1259" s="23">
        <v>0</v>
      </c>
      <c r="E1259" s="23">
        <v>2000000</v>
      </c>
      <c r="F1259" s="23">
        <v>3200000</v>
      </c>
      <c r="G1259" s="23">
        <v>1192391</v>
      </c>
      <c r="H1259" s="42">
        <v>46023</v>
      </c>
      <c r="I1259" s="21" t="s">
        <v>802</v>
      </c>
    </row>
    <row r="1260" spans="1:9">
      <c r="A1260">
        <f t="shared" ref="A1260:A1323" si="20">IF(B1260="","",ROW()-4)</f>
        <v>1256</v>
      </c>
      <c r="B1260" s="21" t="s">
        <v>368</v>
      </c>
      <c r="C1260" s="20" t="str">
        <f>IF(B1260="","",IF(COUNTIF('01_Anggota'!$D$5:$D$1212,B1260)=0,"NAMA TIDAK DITEMUKAN",INDEX('01_Anggota'!$B$5:$B$1212,MATCH(B1260,'01_Anggota'!$D$5:$D$1212,0))))</f>
        <v>KKSUK-000169</v>
      </c>
      <c r="D1260" s="23">
        <v>0</v>
      </c>
      <c r="E1260" s="23">
        <v>100000</v>
      </c>
      <c r="F1260" s="23">
        <v>100000</v>
      </c>
      <c r="G1260" s="23">
        <v>0</v>
      </c>
      <c r="H1260" s="42">
        <v>46045</v>
      </c>
      <c r="I1260" s="21" t="s">
        <v>803</v>
      </c>
    </row>
    <row r="1261" spans="1:9">
      <c r="A1261">
        <f t="shared" si="20"/>
        <v>1257</v>
      </c>
      <c r="B1261" s="21" t="s">
        <v>368</v>
      </c>
      <c r="C1261" s="20" t="str">
        <f>IF(B1261="","",IF(COUNTIF('01_Anggota'!$D$5:$D$1212,B1261)=0,"NAMA TIDAK DITEMUKAN",INDEX('01_Anggota'!$B$5:$B$1212,MATCH(B1261,'01_Anggota'!$D$5:$D$1212,0))))</f>
        <v>KKSUK-000169</v>
      </c>
      <c r="D1261" s="23">
        <v>0</v>
      </c>
      <c r="E1261" s="23">
        <v>100000</v>
      </c>
      <c r="F1261" s="23">
        <v>100000</v>
      </c>
      <c r="G1261" s="23">
        <v>0</v>
      </c>
      <c r="H1261" s="42">
        <v>46078</v>
      </c>
      <c r="I1261" s="21" t="s">
        <v>804</v>
      </c>
    </row>
    <row r="1262" spans="1:9">
      <c r="A1262">
        <f t="shared" si="20"/>
        <v>1258</v>
      </c>
      <c r="B1262" s="21" t="s">
        <v>368</v>
      </c>
      <c r="C1262" s="20" t="str">
        <f>IF(B1262="","",IF(COUNTIF('01_Anggota'!$D$5:$D$1212,B1262)=0,"NAMA TIDAK DITEMUKAN",INDEX('01_Anggota'!$B$5:$B$1212,MATCH(B1262,'01_Anggota'!$D$5:$D$1212,0))))</f>
        <v>KKSUK-000169</v>
      </c>
      <c r="D1262" s="23">
        <v>0</v>
      </c>
      <c r="E1262" s="23">
        <v>100000</v>
      </c>
      <c r="F1262" s="23">
        <v>100000</v>
      </c>
      <c r="G1262" s="23">
        <v>0</v>
      </c>
      <c r="H1262" s="42">
        <v>46106</v>
      </c>
      <c r="I1262" s="21" t="s">
        <v>805</v>
      </c>
    </row>
    <row r="1263" spans="1:9">
      <c r="A1263">
        <f t="shared" si="20"/>
        <v>1259</v>
      </c>
      <c r="B1263" s="21" t="s">
        <v>368</v>
      </c>
      <c r="C1263" s="20" t="str">
        <f>IF(B1263="","",IF(COUNTIF('01_Anggota'!$D$5:$D$1212,B1263)=0,"NAMA TIDAK DITEMUKAN",INDEX('01_Anggota'!$B$5:$B$1212,MATCH(B1263,'01_Anggota'!$D$5:$D$1212,0))))</f>
        <v>KKSUK-000169</v>
      </c>
      <c r="D1263" s="23">
        <v>0</v>
      </c>
      <c r="E1263" s="23">
        <v>100000</v>
      </c>
      <c r="F1263" s="23">
        <v>100000</v>
      </c>
      <c r="G1263" s="23">
        <v>0</v>
      </c>
      <c r="H1263" s="42">
        <v>46136</v>
      </c>
      <c r="I1263" s="21" t="s">
        <v>806</v>
      </c>
    </row>
    <row r="1264" spans="1:9">
      <c r="A1264">
        <f t="shared" si="20"/>
        <v>1260</v>
      </c>
      <c r="B1264" s="21" t="s">
        <v>368</v>
      </c>
      <c r="C1264" s="20" t="str">
        <f>IF(B1264="","",IF(COUNTIF('01_Anggota'!$D$5:$D$1212,B1264)=0,"NAMA TIDAK DITEMUKAN",INDEX('01_Anggota'!$B$5:$B$1212,MATCH(B1264,'01_Anggota'!$D$5:$D$1212,0))))</f>
        <v>KKSUK-000169</v>
      </c>
      <c r="D1264" s="23">
        <v>0</v>
      </c>
      <c r="E1264" s="23">
        <v>100000</v>
      </c>
      <c r="F1264" s="23">
        <v>100000</v>
      </c>
      <c r="G1264" s="23">
        <v>0</v>
      </c>
      <c r="H1264" s="42">
        <v>46167</v>
      </c>
      <c r="I1264" s="21" t="s">
        <v>807</v>
      </c>
    </row>
    <row r="1265" spans="1:9">
      <c r="A1265">
        <f t="shared" si="20"/>
        <v>1261</v>
      </c>
      <c r="B1265" s="21" t="s">
        <v>368</v>
      </c>
      <c r="C1265" s="20" t="str">
        <f>IF(B1265="","",IF(COUNTIF('01_Anggota'!$D$5:$D$1212,B1265)=0,"NAMA TIDAK DITEMUKAN",INDEX('01_Anggota'!$B$5:$B$1212,MATCH(B1265,'01_Anggota'!$D$5:$D$1212,0))))</f>
        <v>KKSUK-000169</v>
      </c>
      <c r="D1265" s="23">
        <v>0</v>
      </c>
      <c r="E1265" s="23">
        <v>100000</v>
      </c>
      <c r="F1265" s="23">
        <v>100000</v>
      </c>
      <c r="G1265" s="23">
        <v>0</v>
      </c>
      <c r="H1265" s="42">
        <v>46198</v>
      </c>
      <c r="I1265" s="21" t="s">
        <v>808</v>
      </c>
    </row>
    <row r="1266" spans="1:9">
      <c r="A1266">
        <f t="shared" si="20"/>
        <v>1262</v>
      </c>
      <c r="B1266" s="21" t="s">
        <v>368</v>
      </c>
      <c r="C1266" s="20" t="str">
        <f>IF(B1266="","",IF(COUNTIF('01_Anggota'!$D$5:$D$1212,B1266)=0,"NAMA TIDAK DITEMUKAN",INDEX('01_Anggota'!$B$5:$B$1212,MATCH(B1266,'01_Anggota'!$D$5:$D$1212,0))))</f>
        <v>KKSUK-000169</v>
      </c>
      <c r="D1266" s="23">
        <v>0</v>
      </c>
      <c r="E1266" s="23">
        <v>100000</v>
      </c>
      <c r="F1266" s="23">
        <v>100000</v>
      </c>
      <c r="G1266" s="23">
        <v>0</v>
      </c>
      <c r="H1266" s="42">
        <v>46227</v>
      </c>
      <c r="I1266" s="21" t="s">
        <v>809</v>
      </c>
    </row>
    <row r="1267" spans="1:9">
      <c r="A1267">
        <f t="shared" si="20"/>
        <v>1263</v>
      </c>
      <c r="B1267" s="21" t="s">
        <v>368</v>
      </c>
      <c r="C1267" s="20" t="str">
        <f>IF(B1267="","",IF(COUNTIF('01_Anggota'!$D$5:$D$1212,B1267)=0,"NAMA TIDAK DITEMUKAN",INDEX('01_Anggota'!$B$5:$B$1212,MATCH(B1267,'01_Anggota'!$D$5:$D$1212,0))))</f>
        <v>KKSUK-000169</v>
      </c>
      <c r="D1267" s="23">
        <v>0</v>
      </c>
      <c r="E1267" s="23">
        <v>-2000000</v>
      </c>
      <c r="F1267" s="23">
        <v>0</v>
      </c>
      <c r="G1267" s="23">
        <v>0</v>
      </c>
      <c r="H1267" s="42">
        <v>46258</v>
      </c>
      <c r="I1267" s="21" t="s">
        <v>810</v>
      </c>
    </row>
    <row r="1268" spans="1:9">
      <c r="A1268">
        <f t="shared" si="20"/>
        <v>1264</v>
      </c>
      <c r="B1268" s="21" t="s">
        <v>368</v>
      </c>
      <c r="C1268" s="20" t="str">
        <f>IF(B1268="","",IF(COUNTIF('01_Anggota'!$D$5:$D$1212,B1268)=0,"NAMA TIDAK DITEMUKAN",INDEX('01_Anggota'!$B$5:$B$1212,MATCH(B1268,'01_Anggota'!$D$5:$D$1212,0))))</f>
        <v>KKSUK-000169</v>
      </c>
      <c r="D1268" s="23">
        <v>0</v>
      </c>
      <c r="E1268" s="23">
        <v>100000</v>
      </c>
      <c r="F1268" s="23">
        <v>100000</v>
      </c>
      <c r="G1268" s="23">
        <v>0</v>
      </c>
      <c r="H1268" s="42">
        <v>46258</v>
      </c>
      <c r="I1268" s="21" t="s">
        <v>810</v>
      </c>
    </row>
    <row r="1269" spans="1:9">
      <c r="A1269">
        <f t="shared" si="20"/>
        <v>1265</v>
      </c>
      <c r="B1269" s="21" t="s">
        <v>310</v>
      </c>
      <c r="C1269" s="20" t="str">
        <f>IF(B1269="","",IF(COUNTIF('01_Anggota'!$D$5:$D$1212,B1269)=0,"NAMA TIDAK DITEMUKAN",INDEX('01_Anggota'!$B$5:$B$1212,MATCH(B1269,'01_Anggota'!$D$5:$D$1212,0))))</f>
        <v>KKSUK-000111</v>
      </c>
      <c r="D1269" s="23">
        <v>0</v>
      </c>
      <c r="E1269" s="23">
        <v>3200000</v>
      </c>
      <c r="F1269" s="23">
        <v>3200000</v>
      </c>
      <c r="G1269" s="23">
        <v>1175605</v>
      </c>
      <c r="H1269" s="42">
        <v>46023</v>
      </c>
      <c r="I1269" s="21" t="s">
        <v>802</v>
      </c>
    </row>
    <row r="1270" spans="1:9">
      <c r="A1270">
        <f t="shared" si="20"/>
        <v>1266</v>
      </c>
      <c r="B1270" s="21" t="s">
        <v>310</v>
      </c>
      <c r="C1270" s="20" t="str">
        <f>IF(B1270="","",IF(COUNTIF('01_Anggota'!$D$5:$D$1212,B1270)=0,"NAMA TIDAK DITEMUKAN",INDEX('01_Anggota'!$B$5:$B$1212,MATCH(B1270,'01_Anggota'!$D$5:$D$1212,0))))</f>
        <v>KKSUK-000111</v>
      </c>
      <c r="D1270" s="23">
        <v>0</v>
      </c>
      <c r="E1270" s="23">
        <v>100000</v>
      </c>
      <c r="F1270" s="23">
        <v>100000</v>
      </c>
      <c r="G1270" s="23">
        <v>0</v>
      </c>
      <c r="H1270" s="42">
        <v>46045</v>
      </c>
      <c r="I1270" s="21" t="s">
        <v>803</v>
      </c>
    </row>
    <row r="1271" spans="1:9">
      <c r="A1271">
        <f t="shared" si="20"/>
        <v>1267</v>
      </c>
      <c r="B1271" s="21" t="s">
        <v>310</v>
      </c>
      <c r="C1271" s="20" t="str">
        <f>IF(B1271="","",IF(COUNTIF('01_Anggota'!$D$5:$D$1212,B1271)=0,"NAMA TIDAK DITEMUKAN",INDEX('01_Anggota'!$B$5:$B$1212,MATCH(B1271,'01_Anggota'!$D$5:$D$1212,0))))</f>
        <v>KKSUK-000111</v>
      </c>
      <c r="D1271" s="23">
        <v>0</v>
      </c>
      <c r="E1271" s="23">
        <v>100000</v>
      </c>
      <c r="F1271" s="23">
        <v>100000</v>
      </c>
      <c r="G1271" s="23">
        <v>0</v>
      </c>
      <c r="H1271" s="42">
        <v>46078</v>
      </c>
      <c r="I1271" s="21" t="s">
        <v>804</v>
      </c>
    </row>
    <row r="1272" spans="1:9">
      <c r="A1272">
        <f t="shared" si="20"/>
        <v>1268</v>
      </c>
      <c r="B1272" s="21" t="s">
        <v>310</v>
      </c>
      <c r="C1272" s="20" t="str">
        <f>IF(B1272="","",IF(COUNTIF('01_Anggota'!$D$5:$D$1212,B1272)=0,"NAMA TIDAK DITEMUKAN",INDEX('01_Anggota'!$B$5:$B$1212,MATCH(B1272,'01_Anggota'!$D$5:$D$1212,0))))</f>
        <v>KKSUK-000111</v>
      </c>
      <c r="D1272" s="23">
        <v>0</v>
      </c>
      <c r="E1272" s="23">
        <v>100000</v>
      </c>
      <c r="F1272" s="23">
        <v>100000</v>
      </c>
      <c r="G1272" s="23">
        <v>0</v>
      </c>
      <c r="H1272" s="42">
        <v>46106</v>
      </c>
      <c r="I1272" s="21" t="s">
        <v>805</v>
      </c>
    </row>
    <row r="1273" spans="1:9">
      <c r="A1273">
        <f t="shared" si="20"/>
        <v>1269</v>
      </c>
      <c r="B1273" s="21" t="s">
        <v>310</v>
      </c>
      <c r="C1273" s="20" t="str">
        <f>IF(B1273="","",IF(COUNTIF('01_Anggota'!$D$5:$D$1212,B1273)=0,"NAMA TIDAK DITEMUKAN",INDEX('01_Anggota'!$B$5:$B$1212,MATCH(B1273,'01_Anggota'!$D$5:$D$1212,0))))</f>
        <v>KKSUK-000111</v>
      </c>
      <c r="D1273" s="23">
        <v>0</v>
      </c>
      <c r="E1273" s="23">
        <v>100000</v>
      </c>
      <c r="F1273" s="23">
        <v>100000</v>
      </c>
      <c r="G1273" s="23">
        <v>0</v>
      </c>
      <c r="H1273" s="42">
        <v>46136</v>
      </c>
      <c r="I1273" s="21" t="s">
        <v>806</v>
      </c>
    </row>
    <row r="1274" spans="1:9">
      <c r="A1274">
        <f t="shared" si="20"/>
        <v>1270</v>
      </c>
      <c r="B1274" s="21" t="s">
        <v>310</v>
      </c>
      <c r="C1274" s="20" t="str">
        <f>IF(B1274="","",IF(COUNTIF('01_Anggota'!$D$5:$D$1212,B1274)=0,"NAMA TIDAK DITEMUKAN",INDEX('01_Anggota'!$B$5:$B$1212,MATCH(B1274,'01_Anggota'!$D$5:$D$1212,0))))</f>
        <v>KKSUK-000111</v>
      </c>
      <c r="D1274" s="23">
        <v>0</v>
      </c>
      <c r="E1274" s="23">
        <v>100000</v>
      </c>
      <c r="F1274" s="23">
        <v>100000</v>
      </c>
      <c r="G1274" s="23">
        <v>0</v>
      </c>
      <c r="H1274" s="42">
        <v>46167</v>
      </c>
      <c r="I1274" s="21" t="s">
        <v>807</v>
      </c>
    </row>
    <row r="1275" spans="1:9">
      <c r="A1275">
        <f t="shared" si="20"/>
        <v>1271</v>
      </c>
      <c r="B1275" s="21" t="s">
        <v>310</v>
      </c>
      <c r="C1275" s="20" t="str">
        <f>IF(B1275="","",IF(COUNTIF('01_Anggota'!$D$5:$D$1212,B1275)=0,"NAMA TIDAK DITEMUKAN",INDEX('01_Anggota'!$B$5:$B$1212,MATCH(B1275,'01_Anggota'!$D$5:$D$1212,0))))</f>
        <v>KKSUK-000111</v>
      </c>
      <c r="D1275" s="23">
        <v>0</v>
      </c>
      <c r="E1275" s="23">
        <v>100000</v>
      </c>
      <c r="F1275" s="23">
        <v>100000</v>
      </c>
      <c r="G1275" s="23">
        <v>0</v>
      </c>
      <c r="H1275" s="42">
        <v>46198</v>
      </c>
      <c r="I1275" s="21" t="s">
        <v>808</v>
      </c>
    </row>
    <row r="1276" spans="1:9">
      <c r="A1276">
        <f t="shared" si="20"/>
        <v>1272</v>
      </c>
      <c r="B1276" s="21" t="s">
        <v>310</v>
      </c>
      <c r="C1276" s="20" t="str">
        <f>IF(B1276="","",IF(COUNTIF('01_Anggota'!$D$5:$D$1212,B1276)=0,"NAMA TIDAK DITEMUKAN",INDEX('01_Anggota'!$B$5:$B$1212,MATCH(B1276,'01_Anggota'!$D$5:$D$1212,0))))</f>
        <v>KKSUK-000111</v>
      </c>
      <c r="D1276" s="23">
        <v>0</v>
      </c>
      <c r="E1276" s="23">
        <v>100000</v>
      </c>
      <c r="F1276" s="23">
        <v>100000</v>
      </c>
      <c r="G1276" s="23">
        <v>0</v>
      </c>
      <c r="H1276" s="42">
        <v>46227</v>
      </c>
      <c r="I1276" s="21" t="s">
        <v>809</v>
      </c>
    </row>
    <row r="1277" spans="1:9">
      <c r="A1277">
        <f t="shared" si="20"/>
        <v>1273</v>
      </c>
      <c r="B1277" s="21" t="s">
        <v>310</v>
      </c>
      <c r="C1277" s="20" t="str">
        <f>IF(B1277="","",IF(COUNTIF('01_Anggota'!$D$5:$D$1212,B1277)=0,"NAMA TIDAK DITEMUKAN",INDEX('01_Anggota'!$B$5:$B$1212,MATCH(B1277,'01_Anggota'!$D$5:$D$1212,0))))</f>
        <v>KKSUK-000111</v>
      </c>
      <c r="D1277" s="23">
        <v>0</v>
      </c>
      <c r="E1277" s="23">
        <v>100000</v>
      </c>
      <c r="F1277" s="23">
        <v>100000</v>
      </c>
      <c r="G1277" s="23">
        <v>0</v>
      </c>
      <c r="H1277" s="42">
        <v>46258</v>
      </c>
      <c r="I1277" s="21" t="s">
        <v>810</v>
      </c>
    </row>
    <row r="1278" spans="1:9">
      <c r="A1278">
        <f t="shared" si="20"/>
        <v>1274</v>
      </c>
      <c r="B1278" s="21" t="s">
        <v>404</v>
      </c>
      <c r="C1278" s="20" t="str">
        <f>IF(B1278="","",IF(COUNTIF('01_Anggota'!$D$5:$D$1212,B1278)=0,"NAMA TIDAK DITEMUKAN",INDEX('01_Anggota'!$B$5:$B$1212,MATCH(B1278,'01_Anggota'!$D$5:$D$1212,0))))</f>
        <v>KKSUK-000205</v>
      </c>
      <c r="D1278" s="23">
        <v>0</v>
      </c>
      <c r="E1278" s="23">
        <v>25000</v>
      </c>
      <c r="F1278" s="23">
        <v>100000</v>
      </c>
      <c r="G1278" s="23">
        <v>0</v>
      </c>
      <c r="H1278" s="42">
        <v>46198</v>
      </c>
      <c r="I1278" s="21" t="s">
        <v>808</v>
      </c>
    </row>
    <row r="1279" spans="1:9">
      <c r="A1279">
        <f t="shared" si="20"/>
        <v>1275</v>
      </c>
      <c r="B1279" s="21" t="s">
        <v>404</v>
      </c>
      <c r="C1279" s="20" t="str">
        <f>IF(B1279="","",IF(COUNTIF('01_Anggota'!$D$5:$D$1212,B1279)=0,"NAMA TIDAK DITEMUKAN",INDEX('01_Anggota'!$B$5:$B$1212,MATCH(B1279,'01_Anggota'!$D$5:$D$1212,0))))</f>
        <v>KKSUK-000205</v>
      </c>
      <c r="D1279" s="23">
        <v>0</v>
      </c>
      <c r="E1279" s="23">
        <v>75000</v>
      </c>
      <c r="F1279" s="23">
        <v>100000</v>
      </c>
      <c r="G1279" s="23">
        <v>0</v>
      </c>
      <c r="H1279" s="42">
        <v>46227</v>
      </c>
      <c r="I1279" s="21" t="s">
        <v>809</v>
      </c>
    </row>
    <row r="1280" spans="1:9">
      <c r="A1280">
        <f t="shared" si="20"/>
        <v>1276</v>
      </c>
      <c r="B1280" s="21" t="s">
        <v>404</v>
      </c>
      <c r="C1280" s="20" t="str">
        <f>IF(B1280="","",IF(COUNTIF('01_Anggota'!$D$5:$D$1212,B1280)=0,"NAMA TIDAK DITEMUKAN",INDEX('01_Anggota'!$B$5:$B$1212,MATCH(B1280,'01_Anggota'!$D$5:$D$1212,0))))</f>
        <v>KKSUK-000205</v>
      </c>
      <c r="D1280" s="23">
        <v>0</v>
      </c>
      <c r="E1280" s="23">
        <v>75000</v>
      </c>
      <c r="F1280" s="23">
        <v>100000</v>
      </c>
      <c r="G1280" s="23">
        <v>0</v>
      </c>
      <c r="H1280" s="42">
        <v>46258</v>
      </c>
      <c r="I1280" s="21" t="s">
        <v>810</v>
      </c>
    </row>
    <row r="1281" spans="1:9">
      <c r="A1281">
        <f t="shared" si="20"/>
        <v>1277</v>
      </c>
      <c r="B1281" s="21" t="s">
        <v>284</v>
      </c>
      <c r="C1281" s="20" t="str">
        <f>IF(B1281="","",IF(COUNTIF('01_Anggota'!$D$5:$D$1212,B1281)=0,"NAMA TIDAK DITEMUKAN",INDEX('01_Anggota'!$B$5:$B$1212,MATCH(B1281,'01_Anggota'!$D$5:$D$1212,0))))</f>
        <v>KKSUK-000085</v>
      </c>
      <c r="D1281" s="23">
        <v>0</v>
      </c>
      <c r="E1281" s="23">
        <v>3800000</v>
      </c>
      <c r="F1281" s="23">
        <v>12436274.382622899</v>
      </c>
      <c r="G1281" s="23">
        <v>6096736</v>
      </c>
      <c r="H1281" s="42">
        <v>46023</v>
      </c>
      <c r="I1281" s="21" t="s">
        <v>802</v>
      </c>
    </row>
    <row r="1282" spans="1:9">
      <c r="A1282">
        <f t="shared" si="20"/>
        <v>1278</v>
      </c>
      <c r="B1282" s="21" t="s">
        <v>284</v>
      </c>
      <c r="C1282" s="20" t="str">
        <f>IF(B1282="","",IF(COUNTIF('01_Anggota'!$D$5:$D$1212,B1282)=0,"NAMA TIDAK DITEMUKAN",INDEX('01_Anggota'!$B$5:$B$1212,MATCH(B1282,'01_Anggota'!$D$5:$D$1212,0))))</f>
        <v>KKSUK-000085</v>
      </c>
      <c r="D1282" s="23">
        <v>0</v>
      </c>
      <c r="E1282" s="23">
        <v>100000</v>
      </c>
      <c r="F1282" s="23">
        <v>100000</v>
      </c>
      <c r="G1282" s="23">
        <v>0</v>
      </c>
      <c r="H1282" s="42">
        <v>46045</v>
      </c>
      <c r="I1282" s="21" t="s">
        <v>803</v>
      </c>
    </row>
    <row r="1283" spans="1:9">
      <c r="A1283">
        <f t="shared" si="20"/>
        <v>1279</v>
      </c>
      <c r="B1283" s="21" t="s">
        <v>284</v>
      </c>
      <c r="C1283" s="20" t="str">
        <f>IF(B1283="","",IF(COUNTIF('01_Anggota'!$D$5:$D$1212,B1283)=0,"NAMA TIDAK DITEMUKAN",INDEX('01_Anggota'!$B$5:$B$1212,MATCH(B1283,'01_Anggota'!$D$5:$D$1212,0))))</f>
        <v>KKSUK-000085</v>
      </c>
      <c r="D1283" s="23">
        <v>0</v>
      </c>
      <c r="E1283" s="23">
        <v>100000</v>
      </c>
      <c r="F1283" s="23">
        <v>100000</v>
      </c>
      <c r="G1283" s="23">
        <v>0</v>
      </c>
      <c r="H1283" s="42">
        <v>46078</v>
      </c>
      <c r="I1283" s="21" t="s">
        <v>804</v>
      </c>
    </row>
    <row r="1284" spans="1:9">
      <c r="A1284">
        <f t="shared" si="20"/>
        <v>1280</v>
      </c>
      <c r="B1284" s="21" t="s">
        <v>284</v>
      </c>
      <c r="C1284" s="20" t="str">
        <f>IF(B1284="","",IF(COUNTIF('01_Anggota'!$D$5:$D$1212,B1284)=0,"NAMA TIDAK DITEMUKAN",INDEX('01_Anggota'!$B$5:$B$1212,MATCH(B1284,'01_Anggota'!$D$5:$D$1212,0))))</f>
        <v>KKSUK-000085</v>
      </c>
      <c r="D1284" s="23">
        <v>0</v>
      </c>
      <c r="E1284" s="23">
        <v>100000</v>
      </c>
      <c r="F1284" s="23">
        <v>100000</v>
      </c>
      <c r="G1284" s="23">
        <v>0</v>
      </c>
      <c r="H1284" s="42">
        <v>46106</v>
      </c>
      <c r="I1284" s="21" t="s">
        <v>805</v>
      </c>
    </row>
    <row r="1285" spans="1:9">
      <c r="A1285">
        <f t="shared" si="20"/>
        <v>1281</v>
      </c>
      <c r="B1285" s="21" t="s">
        <v>284</v>
      </c>
      <c r="C1285" s="20" t="str">
        <f>IF(B1285="","",IF(COUNTIF('01_Anggota'!$D$5:$D$1212,B1285)=0,"NAMA TIDAK DITEMUKAN",INDEX('01_Anggota'!$B$5:$B$1212,MATCH(B1285,'01_Anggota'!$D$5:$D$1212,0))))</f>
        <v>KKSUK-000085</v>
      </c>
      <c r="D1285" s="23">
        <v>0</v>
      </c>
      <c r="E1285" s="23">
        <v>100000</v>
      </c>
      <c r="F1285" s="23">
        <v>100000</v>
      </c>
      <c r="G1285" s="23">
        <v>0</v>
      </c>
      <c r="H1285" s="42">
        <v>46136</v>
      </c>
      <c r="I1285" s="21" t="s">
        <v>806</v>
      </c>
    </row>
    <row r="1286" spans="1:9">
      <c r="A1286">
        <f t="shared" si="20"/>
        <v>1282</v>
      </c>
      <c r="B1286" s="21" t="s">
        <v>284</v>
      </c>
      <c r="C1286" s="20" t="str">
        <f>IF(B1286="","",IF(COUNTIF('01_Anggota'!$D$5:$D$1212,B1286)=0,"NAMA TIDAK DITEMUKAN",INDEX('01_Anggota'!$B$5:$B$1212,MATCH(B1286,'01_Anggota'!$D$5:$D$1212,0))))</f>
        <v>KKSUK-000085</v>
      </c>
      <c r="D1286" s="23">
        <v>0</v>
      </c>
      <c r="E1286" s="23">
        <v>100000</v>
      </c>
      <c r="F1286" s="23">
        <v>100000</v>
      </c>
      <c r="G1286" s="23">
        <v>0</v>
      </c>
      <c r="H1286" s="42">
        <v>46167</v>
      </c>
      <c r="I1286" s="21" t="s">
        <v>807</v>
      </c>
    </row>
    <row r="1287" spans="1:9">
      <c r="A1287">
        <f t="shared" si="20"/>
        <v>1283</v>
      </c>
      <c r="B1287" s="21" t="s">
        <v>284</v>
      </c>
      <c r="C1287" s="20" t="str">
        <f>IF(B1287="","",IF(COUNTIF('01_Anggota'!$D$5:$D$1212,B1287)=0,"NAMA TIDAK DITEMUKAN",INDEX('01_Anggota'!$B$5:$B$1212,MATCH(B1287,'01_Anggota'!$D$5:$D$1212,0))))</f>
        <v>KKSUK-000085</v>
      </c>
      <c r="D1287" s="23">
        <v>0</v>
      </c>
      <c r="E1287" s="23">
        <v>100000</v>
      </c>
      <c r="F1287" s="23">
        <v>100000</v>
      </c>
      <c r="G1287" s="23">
        <v>0</v>
      </c>
      <c r="H1287" s="42">
        <v>46198</v>
      </c>
      <c r="I1287" s="21" t="s">
        <v>808</v>
      </c>
    </row>
    <row r="1288" spans="1:9">
      <c r="A1288">
        <f t="shared" si="20"/>
        <v>1284</v>
      </c>
      <c r="B1288" s="21" t="s">
        <v>284</v>
      </c>
      <c r="C1288" s="20" t="str">
        <f>IF(B1288="","",IF(COUNTIF('01_Anggota'!$D$5:$D$1212,B1288)=0,"NAMA TIDAK DITEMUKAN",INDEX('01_Anggota'!$B$5:$B$1212,MATCH(B1288,'01_Anggota'!$D$5:$D$1212,0))))</f>
        <v>KKSUK-000085</v>
      </c>
      <c r="D1288" s="23">
        <v>0</v>
      </c>
      <c r="E1288" s="23">
        <v>100000</v>
      </c>
      <c r="F1288" s="23">
        <v>100000</v>
      </c>
      <c r="G1288" s="23">
        <v>0</v>
      </c>
      <c r="H1288" s="42">
        <v>46227</v>
      </c>
      <c r="I1288" s="21" t="s">
        <v>809</v>
      </c>
    </row>
    <row r="1289" spans="1:9">
      <c r="A1289">
        <f t="shared" si="20"/>
        <v>1285</v>
      </c>
      <c r="B1289" s="21" t="s">
        <v>284</v>
      </c>
      <c r="C1289" s="20" t="str">
        <f>IF(B1289="","",IF(COUNTIF('01_Anggota'!$D$5:$D$1212,B1289)=0,"NAMA TIDAK DITEMUKAN",INDEX('01_Anggota'!$B$5:$B$1212,MATCH(B1289,'01_Anggota'!$D$5:$D$1212,0))))</f>
        <v>KKSUK-000085</v>
      </c>
      <c r="D1289" s="23">
        <v>0</v>
      </c>
      <c r="E1289" s="23">
        <v>100000</v>
      </c>
      <c r="F1289" s="23">
        <v>100000</v>
      </c>
      <c r="G1289" s="23">
        <v>0</v>
      </c>
      <c r="H1289" s="42">
        <v>46258</v>
      </c>
      <c r="I1289" s="21" t="s">
        <v>810</v>
      </c>
    </row>
    <row r="1290" spans="1:9">
      <c r="A1290">
        <f t="shared" si="20"/>
        <v>1286</v>
      </c>
      <c r="B1290" s="21" t="s">
        <v>371</v>
      </c>
      <c r="C1290" s="20" t="str">
        <f>IF(B1290="","",IF(COUNTIF('01_Anggota'!$D$5:$D$1212,B1290)=0,"NAMA TIDAK DITEMUKAN",INDEX('01_Anggota'!$B$5:$B$1212,MATCH(B1290,'01_Anggota'!$D$5:$D$1212,0))))</f>
        <v>KKSUK-000172</v>
      </c>
      <c r="D1290" s="23">
        <v>0</v>
      </c>
      <c r="E1290" s="23">
        <v>3400000</v>
      </c>
      <c r="F1290" s="23">
        <v>1700000</v>
      </c>
      <c r="G1290" s="23">
        <v>188216</v>
      </c>
      <c r="H1290" s="42">
        <v>46023</v>
      </c>
      <c r="I1290" s="21" t="s">
        <v>802</v>
      </c>
    </row>
    <row r="1291" spans="1:9">
      <c r="A1291">
        <f t="shared" si="20"/>
        <v>1287</v>
      </c>
      <c r="B1291" s="21" t="s">
        <v>371</v>
      </c>
      <c r="C1291" s="20" t="str">
        <f>IF(B1291="","",IF(COUNTIF('01_Anggota'!$D$5:$D$1212,B1291)=0,"NAMA TIDAK DITEMUKAN",INDEX('01_Anggota'!$B$5:$B$1212,MATCH(B1291,'01_Anggota'!$D$5:$D$1212,0))))</f>
        <v>KKSUK-000172</v>
      </c>
      <c r="D1291" s="23">
        <v>0</v>
      </c>
      <c r="E1291" s="23">
        <v>0</v>
      </c>
      <c r="F1291" s="23">
        <v>0</v>
      </c>
      <c r="G1291" s="23">
        <v>0</v>
      </c>
      <c r="H1291" s="42">
        <v>46045</v>
      </c>
      <c r="I1291" s="21" t="s">
        <v>803</v>
      </c>
    </row>
    <row r="1292" spans="1:9">
      <c r="A1292">
        <f t="shared" si="20"/>
        <v>1288</v>
      </c>
      <c r="B1292" s="21" t="s">
        <v>371</v>
      </c>
      <c r="C1292" s="20" t="str">
        <f>IF(B1292="","",IF(COUNTIF('01_Anggota'!$D$5:$D$1212,B1292)=0,"NAMA TIDAK DITEMUKAN",INDEX('01_Anggota'!$B$5:$B$1212,MATCH(B1292,'01_Anggota'!$D$5:$D$1212,0))))</f>
        <v>KKSUK-000172</v>
      </c>
      <c r="D1292" s="23">
        <v>0</v>
      </c>
      <c r="E1292" s="23">
        <v>0</v>
      </c>
      <c r="F1292" s="23">
        <v>0</v>
      </c>
      <c r="G1292" s="23">
        <v>0</v>
      </c>
      <c r="H1292" s="42">
        <v>46078</v>
      </c>
      <c r="I1292" s="21" t="s">
        <v>804</v>
      </c>
    </row>
    <row r="1293" spans="1:9">
      <c r="A1293">
        <f t="shared" si="20"/>
        <v>1289</v>
      </c>
      <c r="B1293" s="21" t="s">
        <v>371</v>
      </c>
      <c r="C1293" s="20" t="str">
        <f>IF(B1293="","",IF(COUNTIF('01_Anggota'!$D$5:$D$1212,B1293)=0,"NAMA TIDAK DITEMUKAN",INDEX('01_Anggota'!$B$5:$B$1212,MATCH(B1293,'01_Anggota'!$D$5:$D$1212,0))))</f>
        <v>KKSUK-000172</v>
      </c>
      <c r="D1293" s="23">
        <v>0</v>
      </c>
      <c r="E1293" s="23">
        <v>200000</v>
      </c>
      <c r="F1293" s="23">
        <v>100000</v>
      </c>
      <c r="G1293" s="23">
        <v>0</v>
      </c>
      <c r="H1293" s="42">
        <v>46106</v>
      </c>
      <c r="I1293" s="21" t="s">
        <v>805</v>
      </c>
    </row>
    <row r="1294" spans="1:9">
      <c r="A1294">
        <f t="shared" si="20"/>
        <v>1290</v>
      </c>
      <c r="B1294" s="21" t="s">
        <v>371</v>
      </c>
      <c r="C1294" s="20" t="str">
        <f>IF(B1294="","",IF(COUNTIF('01_Anggota'!$D$5:$D$1212,B1294)=0,"NAMA TIDAK DITEMUKAN",INDEX('01_Anggota'!$B$5:$B$1212,MATCH(B1294,'01_Anggota'!$D$5:$D$1212,0))))</f>
        <v>KKSUK-000172</v>
      </c>
      <c r="D1294" s="23">
        <v>0</v>
      </c>
      <c r="E1294" s="23">
        <v>200000</v>
      </c>
      <c r="F1294" s="23">
        <v>100000</v>
      </c>
      <c r="G1294" s="23">
        <v>0</v>
      </c>
      <c r="H1294" s="42">
        <v>46136</v>
      </c>
      <c r="I1294" s="21" t="s">
        <v>806</v>
      </c>
    </row>
    <row r="1295" spans="1:9">
      <c r="A1295">
        <f t="shared" si="20"/>
        <v>1291</v>
      </c>
      <c r="B1295" s="21" t="s">
        <v>371</v>
      </c>
      <c r="C1295" s="20" t="str">
        <f>IF(B1295="","",IF(COUNTIF('01_Anggota'!$D$5:$D$1212,B1295)=0,"NAMA TIDAK DITEMUKAN",INDEX('01_Anggota'!$B$5:$B$1212,MATCH(B1295,'01_Anggota'!$D$5:$D$1212,0))))</f>
        <v>KKSUK-000172</v>
      </c>
      <c r="D1295" s="23">
        <v>0</v>
      </c>
      <c r="E1295" s="23">
        <v>-1000000</v>
      </c>
      <c r="F1295" s="23">
        <v>0</v>
      </c>
      <c r="G1295" s="23">
        <v>0</v>
      </c>
      <c r="H1295" s="42">
        <v>46136</v>
      </c>
      <c r="I1295" s="21" t="s">
        <v>806</v>
      </c>
    </row>
    <row r="1296" spans="1:9">
      <c r="A1296">
        <f t="shared" si="20"/>
        <v>1292</v>
      </c>
      <c r="B1296" s="21" t="s">
        <v>371</v>
      </c>
      <c r="C1296" s="20" t="str">
        <f>IF(B1296="","",IF(COUNTIF('01_Anggota'!$D$5:$D$1212,B1296)=0,"NAMA TIDAK DITEMUKAN",INDEX('01_Anggota'!$B$5:$B$1212,MATCH(B1296,'01_Anggota'!$D$5:$D$1212,0))))</f>
        <v>KKSUK-000172</v>
      </c>
      <c r="D1296" s="23">
        <v>0</v>
      </c>
      <c r="E1296" s="23">
        <v>200000</v>
      </c>
      <c r="F1296" s="23">
        <v>100000</v>
      </c>
      <c r="G1296" s="23">
        <v>0</v>
      </c>
      <c r="H1296" s="42">
        <v>46167</v>
      </c>
      <c r="I1296" s="21" t="s">
        <v>807</v>
      </c>
    </row>
    <row r="1297" spans="1:9">
      <c r="A1297">
        <f t="shared" si="20"/>
        <v>1293</v>
      </c>
      <c r="B1297" s="21" t="s">
        <v>371</v>
      </c>
      <c r="C1297" s="20" t="str">
        <f>IF(B1297="","",IF(COUNTIF('01_Anggota'!$D$5:$D$1212,B1297)=0,"NAMA TIDAK DITEMUKAN",INDEX('01_Anggota'!$B$5:$B$1212,MATCH(B1297,'01_Anggota'!$D$5:$D$1212,0))))</f>
        <v>KKSUK-000172</v>
      </c>
      <c r="D1297" s="23">
        <v>0</v>
      </c>
      <c r="E1297" s="23">
        <v>200000</v>
      </c>
      <c r="F1297" s="23">
        <v>100000</v>
      </c>
      <c r="G1297" s="23">
        <v>0</v>
      </c>
      <c r="H1297" s="42">
        <v>46198</v>
      </c>
      <c r="I1297" s="21" t="s">
        <v>808</v>
      </c>
    </row>
    <row r="1298" spans="1:9">
      <c r="A1298">
        <f t="shared" si="20"/>
        <v>1294</v>
      </c>
      <c r="B1298" s="21" t="s">
        <v>371</v>
      </c>
      <c r="C1298" s="20" t="str">
        <f>IF(B1298="","",IF(COUNTIF('01_Anggota'!$D$5:$D$1212,B1298)=0,"NAMA TIDAK DITEMUKAN",INDEX('01_Anggota'!$B$5:$B$1212,MATCH(B1298,'01_Anggota'!$D$5:$D$1212,0))))</f>
        <v>KKSUK-000172</v>
      </c>
      <c r="D1298" s="23">
        <v>0</v>
      </c>
      <c r="E1298" s="23">
        <v>200000</v>
      </c>
      <c r="F1298" s="23">
        <v>100000</v>
      </c>
      <c r="G1298" s="23">
        <v>0</v>
      </c>
      <c r="H1298" s="42">
        <v>46227</v>
      </c>
      <c r="I1298" s="21" t="s">
        <v>809</v>
      </c>
    </row>
    <row r="1299" spans="1:9">
      <c r="A1299">
        <f t="shared" si="20"/>
        <v>1295</v>
      </c>
      <c r="B1299" s="21" t="s">
        <v>371</v>
      </c>
      <c r="C1299" s="20" t="str">
        <f>IF(B1299="","",IF(COUNTIF('01_Anggota'!$D$5:$D$1212,B1299)=0,"NAMA TIDAK DITEMUKAN",INDEX('01_Anggota'!$B$5:$B$1212,MATCH(B1299,'01_Anggota'!$D$5:$D$1212,0))))</f>
        <v>KKSUK-000172</v>
      </c>
      <c r="D1299" s="23">
        <v>0</v>
      </c>
      <c r="E1299" s="23">
        <v>200000</v>
      </c>
      <c r="F1299" s="23">
        <v>100000</v>
      </c>
      <c r="G1299" s="23">
        <v>0</v>
      </c>
      <c r="H1299" s="42">
        <v>46258</v>
      </c>
      <c r="I1299" s="21" t="s">
        <v>810</v>
      </c>
    </row>
    <row r="1300" spans="1:9">
      <c r="A1300">
        <f t="shared" si="20"/>
        <v>1296</v>
      </c>
      <c r="B1300" s="21" t="s">
        <v>331</v>
      </c>
      <c r="C1300" s="20" t="str">
        <f>IF(B1300="","",IF(COUNTIF('01_Anggota'!$D$5:$D$1212,B1300)=0,"NAMA TIDAK DITEMUKAN",INDEX('01_Anggota'!$B$5:$B$1212,MATCH(B1300,'01_Anggota'!$D$5:$D$1212,0))))</f>
        <v>KKSUK-000132</v>
      </c>
      <c r="D1300" s="23">
        <v>0</v>
      </c>
      <c r="E1300" s="23">
        <v>3168000</v>
      </c>
      <c r="F1300" s="23">
        <v>19907372.830230299</v>
      </c>
      <c r="G1300" s="23">
        <v>8444920</v>
      </c>
      <c r="H1300" s="42">
        <v>46023</v>
      </c>
      <c r="I1300" s="21" t="s">
        <v>802</v>
      </c>
    </row>
    <row r="1301" spans="1:9">
      <c r="A1301">
        <f t="shared" si="20"/>
        <v>1297</v>
      </c>
      <c r="B1301" s="21" t="s">
        <v>331</v>
      </c>
      <c r="C1301" s="20" t="str">
        <f>IF(B1301="","",IF(COUNTIF('01_Anggota'!$D$5:$D$1212,B1301)=0,"NAMA TIDAK DITEMUKAN",INDEX('01_Anggota'!$B$5:$B$1212,MATCH(B1301,'01_Anggota'!$D$5:$D$1212,0))))</f>
        <v>KKSUK-000132</v>
      </c>
      <c r="D1301" s="23">
        <v>0</v>
      </c>
      <c r="E1301" s="23">
        <v>50000</v>
      </c>
      <c r="F1301" s="23">
        <v>100000</v>
      </c>
      <c r="G1301" s="23">
        <v>0</v>
      </c>
      <c r="H1301" s="42">
        <v>46045</v>
      </c>
      <c r="I1301" s="21" t="s">
        <v>803</v>
      </c>
    </row>
    <row r="1302" spans="1:9">
      <c r="A1302">
        <f t="shared" si="20"/>
        <v>1298</v>
      </c>
      <c r="B1302" s="21" t="s">
        <v>331</v>
      </c>
      <c r="C1302" s="20" t="str">
        <f>IF(B1302="","",IF(COUNTIF('01_Anggota'!$D$5:$D$1212,B1302)=0,"NAMA TIDAK DITEMUKAN",INDEX('01_Anggota'!$B$5:$B$1212,MATCH(B1302,'01_Anggota'!$D$5:$D$1212,0))))</f>
        <v>KKSUK-000132</v>
      </c>
      <c r="D1302" s="23">
        <v>0</v>
      </c>
      <c r="E1302" s="23">
        <v>50000</v>
      </c>
      <c r="F1302" s="23">
        <v>100000</v>
      </c>
      <c r="G1302" s="23">
        <v>0</v>
      </c>
      <c r="H1302" s="42">
        <v>46078</v>
      </c>
      <c r="I1302" s="21" t="s">
        <v>804</v>
      </c>
    </row>
    <row r="1303" spans="1:9">
      <c r="A1303">
        <f t="shared" si="20"/>
        <v>1299</v>
      </c>
      <c r="B1303" s="21" t="s">
        <v>331</v>
      </c>
      <c r="C1303" s="20" t="str">
        <f>IF(B1303="","",IF(COUNTIF('01_Anggota'!$D$5:$D$1212,B1303)=0,"NAMA TIDAK DITEMUKAN",INDEX('01_Anggota'!$B$5:$B$1212,MATCH(B1303,'01_Anggota'!$D$5:$D$1212,0))))</f>
        <v>KKSUK-000132</v>
      </c>
      <c r="D1303" s="23">
        <v>0</v>
      </c>
      <c r="E1303" s="23">
        <v>50000</v>
      </c>
      <c r="F1303" s="23">
        <v>100000</v>
      </c>
      <c r="G1303" s="23">
        <v>0</v>
      </c>
      <c r="H1303" s="42">
        <v>46106</v>
      </c>
      <c r="I1303" s="21" t="s">
        <v>805</v>
      </c>
    </row>
    <row r="1304" spans="1:9">
      <c r="A1304">
        <f t="shared" si="20"/>
        <v>1300</v>
      </c>
      <c r="B1304" s="21" t="s">
        <v>331</v>
      </c>
      <c r="C1304" s="20" t="str">
        <f>IF(B1304="","",IF(COUNTIF('01_Anggota'!$D$5:$D$1212,B1304)=0,"NAMA TIDAK DITEMUKAN",INDEX('01_Anggota'!$B$5:$B$1212,MATCH(B1304,'01_Anggota'!$D$5:$D$1212,0))))</f>
        <v>KKSUK-000132</v>
      </c>
      <c r="D1304" s="23">
        <v>0</v>
      </c>
      <c r="E1304" s="23">
        <v>50000</v>
      </c>
      <c r="F1304" s="23">
        <v>100000</v>
      </c>
      <c r="G1304" s="23">
        <v>0</v>
      </c>
      <c r="H1304" s="42">
        <v>46136</v>
      </c>
      <c r="I1304" s="21" t="s">
        <v>806</v>
      </c>
    </row>
    <row r="1305" spans="1:9">
      <c r="A1305">
        <f t="shared" si="20"/>
        <v>1301</v>
      </c>
      <c r="B1305" s="21" t="s">
        <v>331</v>
      </c>
      <c r="C1305" s="20" t="str">
        <f>IF(B1305="","",IF(COUNTIF('01_Anggota'!$D$5:$D$1212,B1305)=0,"NAMA TIDAK DITEMUKAN",INDEX('01_Anggota'!$B$5:$B$1212,MATCH(B1305,'01_Anggota'!$D$5:$D$1212,0))))</f>
        <v>KKSUK-000132</v>
      </c>
      <c r="D1305" s="23">
        <v>0</v>
      </c>
      <c r="E1305" s="23">
        <v>50000</v>
      </c>
      <c r="F1305" s="23">
        <v>100000</v>
      </c>
      <c r="G1305" s="23">
        <v>0</v>
      </c>
      <c r="H1305" s="42">
        <v>46167</v>
      </c>
      <c r="I1305" s="21" t="s">
        <v>807</v>
      </c>
    </row>
    <row r="1306" spans="1:9">
      <c r="A1306">
        <f t="shared" si="20"/>
        <v>1302</v>
      </c>
      <c r="B1306" s="21" t="s">
        <v>331</v>
      </c>
      <c r="C1306" s="20" t="str">
        <f>IF(B1306="","",IF(COUNTIF('01_Anggota'!$D$5:$D$1212,B1306)=0,"NAMA TIDAK DITEMUKAN",INDEX('01_Anggota'!$B$5:$B$1212,MATCH(B1306,'01_Anggota'!$D$5:$D$1212,0))))</f>
        <v>KKSUK-000132</v>
      </c>
      <c r="D1306" s="23">
        <v>0</v>
      </c>
      <c r="E1306" s="23">
        <v>50000</v>
      </c>
      <c r="F1306" s="23">
        <v>100000</v>
      </c>
      <c r="G1306" s="23">
        <v>0</v>
      </c>
      <c r="H1306" s="42">
        <v>46198</v>
      </c>
      <c r="I1306" s="21" t="s">
        <v>808</v>
      </c>
    </row>
    <row r="1307" spans="1:9">
      <c r="A1307">
        <f t="shared" si="20"/>
        <v>1303</v>
      </c>
      <c r="B1307" s="21" t="s">
        <v>331</v>
      </c>
      <c r="C1307" s="20" t="str">
        <f>IF(B1307="","",IF(COUNTIF('01_Anggota'!$D$5:$D$1212,B1307)=0,"NAMA TIDAK DITEMUKAN",INDEX('01_Anggota'!$B$5:$B$1212,MATCH(B1307,'01_Anggota'!$D$5:$D$1212,0))))</f>
        <v>KKSUK-000132</v>
      </c>
      <c r="D1307" s="23">
        <v>0</v>
      </c>
      <c r="E1307" s="23">
        <v>50000</v>
      </c>
      <c r="F1307" s="23">
        <v>100000</v>
      </c>
      <c r="G1307" s="23">
        <v>0</v>
      </c>
      <c r="H1307" s="42">
        <v>46227</v>
      </c>
      <c r="I1307" s="21" t="s">
        <v>809</v>
      </c>
    </row>
    <row r="1308" spans="1:9">
      <c r="A1308">
        <f t="shared" si="20"/>
        <v>1304</v>
      </c>
      <c r="B1308" s="21" t="s">
        <v>331</v>
      </c>
      <c r="C1308" s="20" t="str">
        <f>IF(B1308="","",IF(COUNTIF('01_Anggota'!$D$5:$D$1212,B1308)=0,"NAMA TIDAK DITEMUKAN",INDEX('01_Anggota'!$B$5:$B$1212,MATCH(B1308,'01_Anggota'!$D$5:$D$1212,0))))</f>
        <v>KKSUK-000132</v>
      </c>
      <c r="D1308" s="23">
        <v>0</v>
      </c>
      <c r="E1308" s="23">
        <v>50000</v>
      </c>
      <c r="F1308" s="23">
        <v>100000</v>
      </c>
      <c r="G1308" s="23">
        <v>0</v>
      </c>
      <c r="H1308" s="42">
        <v>46258</v>
      </c>
      <c r="I1308" s="21" t="s">
        <v>810</v>
      </c>
    </row>
    <row r="1309" spans="1:9">
      <c r="A1309">
        <f t="shared" si="20"/>
        <v>1305</v>
      </c>
      <c r="B1309" s="21" t="s">
        <v>366</v>
      </c>
      <c r="C1309" s="20" t="str">
        <f>IF(B1309="","",IF(COUNTIF('01_Anggota'!$D$5:$D$1212,B1309)=0,"NAMA TIDAK DITEMUKAN",INDEX('01_Anggota'!$B$5:$B$1212,MATCH(B1309,'01_Anggota'!$D$5:$D$1212,0))))</f>
        <v>KKSUK-000167</v>
      </c>
      <c r="D1309" s="23">
        <v>0</v>
      </c>
      <c r="E1309" s="23">
        <v>3100000</v>
      </c>
      <c r="F1309" s="23">
        <v>2900000</v>
      </c>
      <c r="G1309" s="23">
        <v>1929988</v>
      </c>
      <c r="H1309" s="42">
        <v>46023</v>
      </c>
      <c r="I1309" s="21" t="s">
        <v>802</v>
      </c>
    </row>
    <row r="1310" spans="1:9">
      <c r="A1310">
        <f t="shared" si="20"/>
        <v>1306</v>
      </c>
      <c r="B1310" s="21" t="s">
        <v>366</v>
      </c>
      <c r="C1310" s="20" t="str">
        <f>IF(B1310="","",IF(COUNTIF('01_Anggota'!$D$5:$D$1212,B1310)=0,"NAMA TIDAK DITEMUKAN",INDEX('01_Anggota'!$B$5:$B$1212,MATCH(B1310,'01_Anggota'!$D$5:$D$1212,0))))</f>
        <v>KKSUK-000167</v>
      </c>
      <c r="D1310" s="23">
        <v>0</v>
      </c>
      <c r="E1310" s="23">
        <v>100000</v>
      </c>
      <c r="F1310" s="23">
        <v>100000</v>
      </c>
      <c r="G1310" s="23">
        <v>0</v>
      </c>
      <c r="H1310" s="42">
        <v>46045</v>
      </c>
      <c r="I1310" s="21" t="s">
        <v>803</v>
      </c>
    </row>
    <row r="1311" spans="1:9">
      <c r="A1311">
        <f t="shared" si="20"/>
        <v>1307</v>
      </c>
      <c r="B1311" s="21" t="s">
        <v>366</v>
      </c>
      <c r="C1311" s="20" t="str">
        <f>IF(B1311="","",IF(COUNTIF('01_Anggota'!$D$5:$D$1212,B1311)=0,"NAMA TIDAK DITEMUKAN",INDEX('01_Anggota'!$B$5:$B$1212,MATCH(B1311,'01_Anggota'!$D$5:$D$1212,0))))</f>
        <v>KKSUK-000167</v>
      </c>
      <c r="D1311" s="23">
        <v>0</v>
      </c>
      <c r="E1311" s="23">
        <v>100000</v>
      </c>
      <c r="F1311" s="23">
        <v>100000</v>
      </c>
      <c r="G1311" s="23">
        <v>0</v>
      </c>
      <c r="H1311" s="42">
        <v>46078</v>
      </c>
      <c r="I1311" s="21" t="s">
        <v>804</v>
      </c>
    </row>
    <row r="1312" spans="1:9">
      <c r="A1312">
        <f t="shared" si="20"/>
        <v>1308</v>
      </c>
      <c r="B1312" s="21" t="s">
        <v>366</v>
      </c>
      <c r="C1312" s="20" t="str">
        <f>IF(B1312="","",IF(COUNTIF('01_Anggota'!$D$5:$D$1212,B1312)=0,"NAMA TIDAK DITEMUKAN",INDEX('01_Anggota'!$B$5:$B$1212,MATCH(B1312,'01_Anggota'!$D$5:$D$1212,0))))</f>
        <v>KKSUK-000167</v>
      </c>
      <c r="D1312" s="23">
        <v>0</v>
      </c>
      <c r="E1312" s="23">
        <v>100000</v>
      </c>
      <c r="F1312" s="23">
        <v>100000</v>
      </c>
      <c r="G1312" s="23">
        <v>0</v>
      </c>
      <c r="H1312" s="42">
        <v>46106</v>
      </c>
      <c r="I1312" s="21" t="s">
        <v>805</v>
      </c>
    </row>
    <row r="1313" spans="1:9">
      <c r="A1313">
        <f t="shared" si="20"/>
        <v>1309</v>
      </c>
      <c r="B1313" s="21" t="s">
        <v>366</v>
      </c>
      <c r="C1313" s="20" t="str">
        <f>IF(B1313="","",IF(COUNTIF('01_Anggota'!$D$5:$D$1212,B1313)=0,"NAMA TIDAK DITEMUKAN",INDEX('01_Anggota'!$B$5:$B$1212,MATCH(B1313,'01_Anggota'!$D$5:$D$1212,0))))</f>
        <v>KKSUK-000167</v>
      </c>
      <c r="D1313" s="23">
        <v>0</v>
      </c>
      <c r="E1313" s="23">
        <v>100000</v>
      </c>
      <c r="F1313" s="23">
        <v>100000</v>
      </c>
      <c r="G1313" s="23">
        <v>0</v>
      </c>
      <c r="H1313" s="42">
        <v>46136</v>
      </c>
      <c r="I1313" s="21" t="s">
        <v>806</v>
      </c>
    </row>
    <row r="1314" spans="1:9">
      <c r="A1314">
        <f t="shared" si="20"/>
        <v>1310</v>
      </c>
      <c r="B1314" s="21" t="s">
        <v>366</v>
      </c>
      <c r="C1314" s="20" t="str">
        <f>IF(B1314="","",IF(COUNTIF('01_Anggota'!$D$5:$D$1212,B1314)=0,"NAMA TIDAK DITEMUKAN",INDEX('01_Anggota'!$B$5:$B$1212,MATCH(B1314,'01_Anggota'!$D$5:$D$1212,0))))</f>
        <v>KKSUK-000167</v>
      </c>
      <c r="D1314" s="23">
        <v>0</v>
      </c>
      <c r="E1314" s="23">
        <v>100000</v>
      </c>
      <c r="F1314" s="23">
        <v>100000</v>
      </c>
      <c r="G1314" s="23">
        <v>0</v>
      </c>
      <c r="H1314" s="42">
        <v>46167</v>
      </c>
      <c r="I1314" s="21" t="s">
        <v>807</v>
      </c>
    </row>
    <row r="1315" spans="1:9">
      <c r="A1315">
        <f t="shared" si="20"/>
        <v>1311</v>
      </c>
      <c r="B1315" s="21" t="s">
        <v>366</v>
      </c>
      <c r="C1315" s="20" t="str">
        <f>IF(B1315="","",IF(COUNTIF('01_Anggota'!$D$5:$D$1212,B1315)=0,"NAMA TIDAK DITEMUKAN",INDEX('01_Anggota'!$B$5:$B$1212,MATCH(B1315,'01_Anggota'!$D$5:$D$1212,0))))</f>
        <v>KKSUK-000167</v>
      </c>
      <c r="D1315" s="23">
        <v>0</v>
      </c>
      <c r="E1315" s="23">
        <v>100000</v>
      </c>
      <c r="F1315" s="23">
        <v>100000</v>
      </c>
      <c r="G1315" s="23">
        <v>0</v>
      </c>
      <c r="H1315" s="42">
        <v>46198</v>
      </c>
      <c r="I1315" s="21" t="s">
        <v>808</v>
      </c>
    </row>
    <row r="1316" spans="1:9">
      <c r="A1316">
        <f t="shared" si="20"/>
        <v>1312</v>
      </c>
      <c r="B1316" s="21" t="s">
        <v>366</v>
      </c>
      <c r="C1316" s="20" t="str">
        <f>IF(B1316="","",IF(COUNTIF('01_Anggota'!$D$5:$D$1212,B1316)=0,"NAMA TIDAK DITEMUKAN",INDEX('01_Anggota'!$B$5:$B$1212,MATCH(B1316,'01_Anggota'!$D$5:$D$1212,0))))</f>
        <v>KKSUK-000167</v>
      </c>
      <c r="D1316" s="23">
        <v>0</v>
      </c>
      <c r="E1316" s="23">
        <v>100000</v>
      </c>
      <c r="F1316" s="23">
        <v>100000</v>
      </c>
      <c r="G1316" s="23">
        <v>0</v>
      </c>
      <c r="H1316" s="42">
        <v>46227</v>
      </c>
      <c r="I1316" s="21" t="s">
        <v>809</v>
      </c>
    </row>
    <row r="1317" spans="1:9">
      <c r="A1317">
        <f t="shared" si="20"/>
        <v>1313</v>
      </c>
      <c r="B1317" s="21" t="s">
        <v>366</v>
      </c>
      <c r="C1317" s="20" t="str">
        <f>IF(B1317="","",IF(COUNTIF('01_Anggota'!$D$5:$D$1212,B1317)=0,"NAMA TIDAK DITEMUKAN",INDEX('01_Anggota'!$B$5:$B$1212,MATCH(B1317,'01_Anggota'!$D$5:$D$1212,0))))</f>
        <v>KKSUK-000167</v>
      </c>
      <c r="D1317" s="23">
        <v>0</v>
      </c>
      <c r="E1317" s="23">
        <v>100000</v>
      </c>
      <c r="F1317" s="23">
        <v>100000</v>
      </c>
      <c r="G1317" s="23">
        <v>0</v>
      </c>
      <c r="H1317" s="42">
        <v>46258</v>
      </c>
      <c r="I1317" s="21" t="s">
        <v>810</v>
      </c>
    </row>
    <row r="1318" spans="1:9">
      <c r="A1318">
        <f t="shared" si="20"/>
        <v>1314</v>
      </c>
      <c r="B1318" s="21" t="s">
        <v>239</v>
      </c>
      <c r="C1318" s="20" t="str">
        <f>IF(B1318="","",IF(COUNTIF('01_Anggota'!$D$5:$D$1212,B1318)=0,"NAMA TIDAK DITEMUKAN",INDEX('01_Anggota'!$B$5:$B$1212,MATCH(B1318,'01_Anggota'!$D$5:$D$1212,0))))</f>
        <v>KKSUK-000040</v>
      </c>
      <c r="D1318" s="23">
        <v>0</v>
      </c>
      <c r="E1318" s="23">
        <v>6566250</v>
      </c>
      <c r="F1318" s="23">
        <v>17399852.731327798</v>
      </c>
      <c r="G1318" s="23">
        <v>11338111</v>
      </c>
      <c r="H1318" s="42">
        <v>46023</v>
      </c>
      <c r="I1318" s="21" t="s">
        <v>802</v>
      </c>
    </row>
    <row r="1319" spans="1:9">
      <c r="A1319">
        <f t="shared" si="20"/>
        <v>1315</v>
      </c>
      <c r="B1319" s="21" t="s">
        <v>239</v>
      </c>
      <c r="C1319" s="20" t="str">
        <f>IF(B1319="","",IF(COUNTIF('01_Anggota'!$D$5:$D$1212,B1319)=0,"NAMA TIDAK DITEMUKAN",INDEX('01_Anggota'!$B$5:$B$1212,MATCH(B1319,'01_Anggota'!$D$5:$D$1212,0))))</f>
        <v>KKSUK-000040</v>
      </c>
      <c r="D1319" s="23">
        <v>0</v>
      </c>
      <c r="E1319" s="23">
        <v>500000</v>
      </c>
      <c r="F1319" s="23">
        <v>100000</v>
      </c>
      <c r="G1319" s="23">
        <v>0</v>
      </c>
      <c r="H1319" s="42">
        <v>46045</v>
      </c>
      <c r="I1319" s="21" t="s">
        <v>803</v>
      </c>
    </row>
    <row r="1320" spans="1:9">
      <c r="A1320">
        <f t="shared" si="20"/>
        <v>1316</v>
      </c>
      <c r="B1320" s="21" t="s">
        <v>239</v>
      </c>
      <c r="C1320" s="20" t="str">
        <f>IF(B1320="","",IF(COUNTIF('01_Anggota'!$D$5:$D$1212,B1320)=0,"NAMA TIDAK DITEMUKAN",INDEX('01_Anggota'!$B$5:$B$1212,MATCH(B1320,'01_Anggota'!$D$5:$D$1212,0))))</f>
        <v>KKSUK-000040</v>
      </c>
      <c r="D1320" s="23">
        <v>0</v>
      </c>
      <c r="E1320" s="23">
        <v>500000</v>
      </c>
      <c r="F1320" s="23">
        <v>100000</v>
      </c>
      <c r="G1320" s="23">
        <v>0</v>
      </c>
      <c r="H1320" s="42">
        <v>46078</v>
      </c>
      <c r="I1320" s="21" t="s">
        <v>804</v>
      </c>
    </row>
    <row r="1321" spans="1:9">
      <c r="A1321">
        <f t="shared" si="20"/>
        <v>1317</v>
      </c>
      <c r="B1321" s="21" t="s">
        <v>239</v>
      </c>
      <c r="C1321" s="20" t="str">
        <f>IF(B1321="","",IF(COUNTIF('01_Anggota'!$D$5:$D$1212,B1321)=0,"NAMA TIDAK DITEMUKAN",INDEX('01_Anggota'!$B$5:$B$1212,MATCH(B1321,'01_Anggota'!$D$5:$D$1212,0))))</f>
        <v>KKSUK-000040</v>
      </c>
      <c r="D1321" s="23">
        <v>0</v>
      </c>
      <c r="E1321" s="23">
        <v>500000</v>
      </c>
      <c r="F1321" s="23">
        <v>100000</v>
      </c>
      <c r="G1321" s="23">
        <v>0</v>
      </c>
      <c r="H1321" s="42">
        <v>46106</v>
      </c>
      <c r="I1321" s="21" t="s">
        <v>805</v>
      </c>
    </row>
    <row r="1322" spans="1:9">
      <c r="A1322">
        <f t="shared" si="20"/>
        <v>1318</v>
      </c>
      <c r="B1322" s="21" t="s">
        <v>239</v>
      </c>
      <c r="C1322" s="20" t="str">
        <f>IF(B1322="","",IF(COUNTIF('01_Anggota'!$D$5:$D$1212,B1322)=0,"NAMA TIDAK DITEMUKAN",INDEX('01_Anggota'!$B$5:$B$1212,MATCH(B1322,'01_Anggota'!$D$5:$D$1212,0))))</f>
        <v>KKSUK-000040</v>
      </c>
      <c r="D1322" s="23">
        <v>0</v>
      </c>
      <c r="E1322" s="23">
        <v>500000</v>
      </c>
      <c r="F1322" s="23">
        <v>100000</v>
      </c>
      <c r="G1322" s="23">
        <v>0</v>
      </c>
      <c r="H1322" s="42">
        <v>46136</v>
      </c>
      <c r="I1322" s="21" t="s">
        <v>806</v>
      </c>
    </row>
    <row r="1323" spans="1:9">
      <c r="A1323">
        <f t="shared" si="20"/>
        <v>1319</v>
      </c>
      <c r="B1323" s="21" t="s">
        <v>239</v>
      </c>
      <c r="C1323" s="20" t="str">
        <f>IF(B1323="","",IF(COUNTIF('01_Anggota'!$D$5:$D$1212,B1323)=0,"NAMA TIDAK DITEMUKAN",INDEX('01_Anggota'!$B$5:$B$1212,MATCH(B1323,'01_Anggota'!$D$5:$D$1212,0))))</f>
        <v>KKSUK-000040</v>
      </c>
      <c r="D1323" s="23">
        <v>0</v>
      </c>
      <c r="E1323" s="23">
        <v>500000</v>
      </c>
      <c r="F1323" s="23">
        <v>100000</v>
      </c>
      <c r="G1323" s="23">
        <v>0</v>
      </c>
      <c r="H1323" s="42">
        <v>46167</v>
      </c>
      <c r="I1323" s="21" t="s">
        <v>807</v>
      </c>
    </row>
    <row r="1324" spans="1:9">
      <c r="A1324">
        <f t="shared" ref="A1324:A1385" si="21">IF(B1324="","",ROW()-4)</f>
        <v>1320</v>
      </c>
      <c r="B1324" s="21" t="s">
        <v>239</v>
      </c>
      <c r="C1324" s="20" t="str">
        <f>IF(B1324="","",IF(COUNTIF('01_Anggota'!$D$5:$D$1212,B1324)=0,"NAMA TIDAK DITEMUKAN",INDEX('01_Anggota'!$B$5:$B$1212,MATCH(B1324,'01_Anggota'!$D$5:$D$1212,0))))</f>
        <v>KKSUK-000040</v>
      </c>
      <c r="D1324" s="23">
        <v>0</v>
      </c>
      <c r="E1324" s="23">
        <v>500000</v>
      </c>
      <c r="F1324" s="23">
        <v>100000</v>
      </c>
      <c r="G1324" s="23">
        <v>0</v>
      </c>
      <c r="H1324" s="42">
        <v>46198</v>
      </c>
      <c r="I1324" s="21" t="s">
        <v>808</v>
      </c>
    </row>
    <row r="1325" spans="1:9">
      <c r="A1325">
        <f t="shared" si="21"/>
        <v>1321</v>
      </c>
      <c r="B1325" s="21" t="s">
        <v>239</v>
      </c>
      <c r="C1325" s="20" t="str">
        <f>IF(B1325="","",IF(COUNTIF('01_Anggota'!$D$5:$D$1212,B1325)=0,"NAMA TIDAK DITEMUKAN",INDEX('01_Anggota'!$B$5:$B$1212,MATCH(B1325,'01_Anggota'!$D$5:$D$1212,0))))</f>
        <v>KKSUK-000040</v>
      </c>
      <c r="D1325" s="23">
        <v>0</v>
      </c>
      <c r="E1325" s="23">
        <v>500000</v>
      </c>
      <c r="F1325" s="23">
        <v>100000</v>
      </c>
      <c r="G1325" s="23">
        <v>0</v>
      </c>
      <c r="H1325" s="42">
        <v>46227</v>
      </c>
      <c r="I1325" s="21" t="s">
        <v>809</v>
      </c>
    </row>
    <row r="1326" spans="1:9">
      <c r="A1326">
        <f t="shared" si="21"/>
        <v>1322</v>
      </c>
      <c r="B1326" s="21" t="s">
        <v>239</v>
      </c>
      <c r="C1326" s="20" t="str">
        <f>IF(B1326="","",IF(COUNTIF('01_Anggota'!$D$5:$D$1212,B1326)=0,"NAMA TIDAK DITEMUKAN",INDEX('01_Anggota'!$B$5:$B$1212,MATCH(B1326,'01_Anggota'!$D$5:$D$1212,0))))</f>
        <v>KKSUK-000040</v>
      </c>
      <c r="D1326" s="23">
        <v>0</v>
      </c>
      <c r="E1326" s="23">
        <v>500000</v>
      </c>
      <c r="F1326" s="23">
        <v>100000</v>
      </c>
      <c r="G1326" s="23">
        <v>0</v>
      </c>
      <c r="H1326" s="42">
        <v>46258</v>
      </c>
      <c r="I1326" s="21" t="s">
        <v>810</v>
      </c>
    </row>
    <row r="1327" spans="1:9">
      <c r="A1327">
        <f t="shared" si="21"/>
        <v>1323</v>
      </c>
      <c r="B1327" s="21" t="s">
        <v>256</v>
      </c>
      <c r="C1327" s="20" t="str">
        <f>IF(B1327="","",IF(COUNTIF('01_Anggota'!$D$5:$D$1212,B1327)=0,"NAMA TIDAK DITEMUKAN",INDEX('01_Anggota'!$B$5:$B$1212,MATCH(B1327,'01_Anggota'!$D$5:$D$1212,0))))</f>
        <v>KKSUK-000057</v>
      </c>
      <c r="D1327" s="23">
        <v>0</v>
      </c>
      <c r="E1327" s="23">
        <v>2750000</v>
      </c>
      <c r="F1327" s="23">
        <v>10527205.786967199</v>
      </c>
      <c r="G1327" s="23">
        <v>4566224</v>
      </c>
      <c r="H1327" s="42">
        <v>46023</v>
      </c>
      <c r="I1327" s="21" t="s">
        <v>802</v>
      </c>
    </row>
    <row r="1328" spans="1:9">
      <c r="A1328">
        <f t="shared" si="21"/>
        <v>1324</v>
      </c>
      <c r="B1328" s="21" t="s">
        <v>256</v>
      </c>
      <c r="C1328" s="20" t="str">
        <f>IF(B1328="","",IF(COUNTIF('01_Anggota'!$D$5:$D$1212,B1328)=0,"NAMA TIDAK DITEMUKAN",INDEX('01_Anggota'!$B$5:$B$1212,MATCH(B1328,'01_Anggota'!$D$5:$D$1212,0))))</f>
        <v>KKSUK-000057</v>
      </c>
      <c r="D1328" s="23">
        <v>0</v>
      </c>
      <c r="E1328" s="23">
        <v>150000</v>
      </c>
      <c r="F1328" s="23">
        <v>100000</v>
      </c>
      <c r="G1328" s="23">
        <v>0</v>
      </c>
      <c r="H1328" s="42">
        <v>46045</v>
      </c>
      <c r="I1328" s="21" t="s">
        <v>803</v>
      </c>
    </row>
    <row r="1329" spans="1:9">
      <c r="A1329">
        <f t="shared" si="21"/>
        <v>1325</v>
      </c>
      <c r="B1329" s="21" t="s">
        <v>256</v>
      </c>
      <c r="C1329" s="20" t="str">
        <f>IF(B1329="","",IF(COUNTIF('01_Anggota'!$D$5:$D$1212,B1329)=0,"NAMA TIDAK DITEMUKAN",INDEX('01_Anggota'!$B$5:$B$1212,MATCH(B1329,'01_Anggota'!$D$5:$D$1212,0))))</f>
        <v>KKSUK-000057</v>
      </c>
      <c r="D1329" s="23">
        <v>0</v>
      </c>
      <c r="E1329" s="23">
        <v>150000</v>
      </c>
      <c r="F1329" s="23">
        <v>100000</v>
      </c>
      <c r="G1329" s="23">
        <v>0</v>
      </c>
      <c r="H1329" s="42">
        <v>46078</v>
      </c>
      <c r="I1329" s="21" t="s">
        <v>804</v>
      </c>
    </row>
    <row r="1330" spans="1:9">
      <c r="A1330">
        <f t="shared" si="21"/>
        <v>1326</v>
      </c>
      <c r="B1330" s="21" t="s">
        <v>256</v>
      </c>
      <c r="C1330" s="20" t="str">
        <f>IF(B1330="","",IF(COUNTIF('01_Anggota'!$D$5:$D$1212,B1330)=0,"NAMA TIDAK DITEMUKAN",INDEX('01_Anggota'!$B$5:$B$1212,MATCH(B1330,'01_Anggota'!$D$5:$D$1212,0))))</f>
        <v>KKSUK-000057</v>
      </c>
      <c r="D1330" s="23">
        <v>0</v>
      </c>
      <c r="E1330" s="23">
        <v>150000</v>
      </c>
      <c r="F1330" s="23">
        <v>100000</v>
      </c>
      <c r="G1330" s="23">
        <v>0</v>
      </c>
      <c r="H1330" s="42">
        <v>46106</v>
      </c>
      <c r="I1330" s="21" t="s">
        <v>805</v>
      </c>
    </row>
    <row r="1331" spans="1:9">
      <c r="A1331">
        <f t="shared" si="21"/>
        <v>1327</v>
      </c>
      <c r="B1331" s="21" t="s">
        <v>256</v>
      </c>
      <c r="C1331" s="20" t="str">
        <f>IF(B1331="","",IF(COUNTIF('01_Anggota'!$D$5:$D$1212,B1331)=0,"NAMA TIDAK DITEMUKAN",INDEX('01_Anggota'!$B$5:$B$1212,MATCH(B1331,'01_Anggota'!$D$5:$D$1212,0))))</f>
        <v>KKSUK-000057</v>
      </c>
      <c r="D1331" s="23">
        <v>0</v>
      </c>
      <c r="E1331" s="23">
        <v>150000</v>
      </c>
      <c r="F1331" s="23">
        <v>100000</v>
      </c>
      <c r="G1331" s="23">
        <v>0</v>
      </c>
      <c r="H1331" s="42">
        <v>46136</v>
      </c>
      <c r="I1331" s="21" t="s">
        <v>806</v>
      </c>
    </row>
    <row r="1332" spans="1:9">
      <c r="A1332">
        <f t="shared" si="21"/>
        <v>1328</v>
      </c>
      <c r="B1332" s="21" t="s">
        <v>256</v>
      </c>
      <c r="C1332" s="20" t="str">
        <f>IF(B1332="","",IF(COUNTIF('01_Anggota'!$D$5:$D$1212,B1332)=0,"NAMA TIDAK DITEMUKAN",INDEX('01_Anggota'!$B$5:$B$1212,MATCH(B1332,'01_Anggota'!$D$5:$D$1212,0))))</f>
        <v>KKSUK-000057</v>
      </c>
      <c r="D1332" s="23">
        <v>0</v>
      </c>
      <c r="E1332" s="23">
        <v>150000</v>
      </c>
      <c r="F1332" s="23">
        <v>100000</v>
      </c>
      <c r="G1332" s="23">
        <v>0</v>
      </c>
      <c r="H1332" s="42">
        <v>46167</v>
      </c>
      <c r="I1332" s="21" t="s">
        <v>807</v>
      </c>
    </row>
    <row r="1333" spans="1:9">
      <c r="A1333">
        <f t="shared" si="21"/>
        <v>1329</v>
      </c>
      <c r="B1333" s="21" t="s">
        <v>256</v>
      </c>
      <c r="C1333" s="20" t="str">
        <f>IF(B1333="","",IF(COUNTIF('01_Anggota'!$D$5:$D$1212,B1333)=0,"NAMA TIDAK DITEMUKAN",INDEX('01_Anggota'!$B$5:$B$1212,MATCH(B1333,'01_Anggota'!$D$5:$D$1212,0))))</f>
        <v>KKSUK-000057</v>
      </c>
      <c r="D1333" s="23">
        <v>0</v>
      </c>
      <c r="E1333" s="23">
        <v>150000</v>
      </c>
      <c r="F1333" s="23">
        <v>100000</v>
      </c>
      <c r="G1333" s="23">
        <v>0</v>
      </c>
      <c r="H1333" s="42">
        <v>46198</v>
      </c>
      <c r="I1333" s="21" t="s">
        <v>808</v>
      </c>
    </row>
    <row r="1334" spans="1:9">
      <c r="A1334">
        <f t="shared" si="21"/>
        <v>1330</v>
      </c>
      <c r="B1334" s="21" t="s">
        <v>256</v>
      </c>
      <c r="C1334" s="20" t="str">
        <f>IF(B1334="","",IF(COUNTIF('01_Anggota'!$D$5:$D$1212,B1334)=0,"NAMA TIDAK DITEMUKAN",INDEX('01_Anggota'!$B$5:$B$1212,MATCH(B1334,'01_Anggota'!$D$5:$D$1212,0))))</f>
        <v>KKSUK-000057</v>
      </c>
      <c r="D1334" s="23">
        <v>0</v>
      </c>
      <c r="E1334" s="23">
        <v>150000</v>
      </c>
      <c r="F1334" s="23">
        <v>100000</v>
      </c>
      <c r="G1334" s="23">
        <v>0</v>
      </c>
      <c r="H1334" s="42">
        <v>46227</v>
      </c>
      <c r="I1334" s="21" t="s">
        <v>809</v>
      </c>
    </row>
    <row r="1335" spans="1:9">
      <c r="A1335">
        <f t="shared" si="21"/>
        <v>1331</v>
      </c>
      <c r="B1335" s="21" t="s">
        <v>256</v>
      </c>
      <c r="C1335" s="20" t="str">
        <f>IF(B1335="","",IF(COUNTIF('01_Anggota'!$D$5:$D$1212,B1335)=0,"NAMA TIDAK DITEMUKAN",INDEX('01_Anggota'!$B$5:$B$1212,MATCH(B1335,'01_Anggota'!$D$5:$D$1212,0))))</f>
        <v>KKSUK-000057</v>
      </c>
      <c r="D1335" s="23">
        <v>0</v>
      </c>
      <c r="E1335" s="23">
        <v>150000</v>
      </c>
      <c r="F1335" s="23">
        <v>100000</v>
      </c>
      <c r="G1335" s="23">
        <v>0</v>
      </c>
      <c r="H1335" s="42">
        <v>46258</v>
      </c>
      <c r="I1335" s="21" t="s">
        <v>810</v>
      </c>
    </row>
    <row r="1336" spans="1:9">
      <c r="A1336">
        <f t="shared" si="21"/>
        <v>1332</v>
      </c>
      <c r="B1336" s="21" t="s">
        <v>377</v>
      </c>
      <c r="C1336" s="20" t="str">
        <f>IF(B1336="","",IF(COUNTIF('01_Anggota'!$D$5:$D$1212,B1336)=0,"NAMA TIDAK DITEMUKAN",INDEX('01_Anggota'!$B$5:$B$1212,MATCH(B1336,'01_Anggota'!$D$5:$D$1212,0))))</f>
        <v>KKSUK-000178</v>
      </c>
      <c r="D1336" s="23">
        <v>0</v>
      </c>
      <c r="E1336" s="23">
        <v>3500000</v>
      </c>
      <c r="F1336" s="23">
        <v>3500000</v>
      </c>
      <c r="G1336" s="23">
        <v>1187301</v>
      </c>
      <c r="H1336" s="42">
        <v>46023</v>
      </c>
      <c r="I1336" s="21" t="s">
        <v>802</v>
      </c>
    </row>
    <row r="1337" spans="1:9">
      <c r="A1337">
        <f t="shared" si="21"/>
        <v>1333</v>
      </c>
      <c r="B1337" s="21" t="s">
        <v>377</v>
      </c>
      <c r="C1337" s="20" t="str">
        <f>IF(B1337="","",IF(COUNTIF('01_Anggota'!$D$5:$D$1212,B1337)=0,"NAMA TIDAK DITEMUKAN",INDEX('01_Anggota'!$B$5:$B$1212,MATCH(B1337,'01_Anggota'!$D$5:$D$1212,0))))</f>
        <v>KKSUK-000178</v>
      </c>
      <c r="D1337" s="23">
        <v>0</v>
      </c>
      <c r="E1337" s="23">
        <v>100000</v>
      </c>
      <c r="F1337" s="23">
        <v>100000</v>
      </c>
      <c r="G1337" s="23">
        <v>0</v>
      </c>
      <c r="H1337" s="42">
        <v>46045</v>
      </c>
      <c r="I1337" s="21" t="s">
        <v>803</v>
      </c>
    </row>
    <row r="1338" spans="1:9">
      <c r="A1338">
        <f t="shared" si="21"/>
        <v>1334</v>
      </c>
      <c r="B1338" s="21" t="s">
        <v>377</v>
      </c>
      <c r="C1338" s="20" t="str">
        <f>IF(B1338="","",IF(COUNTIF('01_Anggota'!$D$5:$D$1212,B1338)=0,"NAMA TIDAK DITEMUKAN",INDEX('01_Anggota'!$B$5:$B$1212,MATCH(B1338,'01_Anggota'!$D$5:$D$1212,0))))</f>
        <v>KKSUK-000178</v>
      </c>
      <c r="D1338" s="23">
        <v>0</v>
      </c>
      <c r="E1338" s="23">
        <v>100000</v>
      </c>
      <c r="F1338" s="23">
        <v>100000</v>
      </c>
      <c r="G1338" s="23">
        <v>0</v>
      </c>
      <c r="H1338" s="42">
        <v>46078</v>
      </c>
      <c r="I1338" s="21" t="s">
        <v>804</v>
      </c>
    </row>
    <row r="1339" spans="1:9">
      <c r="A1339">
        <f t="shared" si="21"/>
        <v>1335</v>
      </c>
      <c r="B1339" s="21" t="s">
        <v>377</v>
      </c>
      <c r="C1339" s="20" t="str">
        <f>IF(B1339="","",IF(COUNTIF('01_Anggota'!$D$5:$D$1212,B1339)=0,"NAMA TIDAK DITEMUKAN",INDEX('01_Anggota'!$B$5:$B$1212,MATCH(B1339,'01_Anggota'!$D$5:$D$1212,0))))</f>
        <v>KKSUK-000178</v>
      </c>
      <c r="D1339" s="23">
        <v>0</v>
      </c>
      <c r="E1339" s="23">
        <v>100000</v>
      </c>
      <c r="F1339" s="23">
        <v>100000</v>
      </c>
      <c r="G1339" s="23">
        <v>0</v>
      </c>
      <c r="H1339" s="42">
        <v>46106</v>
      </c>
      <c r="I1339" s="21" t="s">
        <v>805</v>
      </c>
    </row>
    <row r="1340" spans="1:9">
      <c r="A1340">
        <f t="shared" si="21"/>
        <v>1336</v>
      </c>
      <c r="B1340" s="21" t="s">
        <v>377</v>
      </c>
      <c r="C1340" s="20" t="str">
        <f>IF(B1340="","",IF(COUNTIF('01_Anggota'!$D$5:$D$1212,B1340)=0,"NAMA TIDAK DITEMUKAN",INDEX('01_Anggota'!$B$5:$B$1212,MATCH(B1340,'01_Anggota'!$D$5:$D$1212,0))))</f>
        <v>KKSUK-000178</v>
      </c>
      <c r="D1340" s="23">
        <v>0</v>
      </c>
      <c r="E1340" s="23">
        <v>100000</v>
      </c>
      <c r="F1340" s="23">
        <v>100000</v>
      </c>
      <c r="G1340" s="23">
        <v>0</v>
      </c>
      <c r="H1340" s="42">
        <v>46198</v>
      </c>
      <c r="I1340" s="21" t="s">
        <v>808</v>
      </c>
    </row>
    <row r="1341" spans="1:9">
      <c r="A1341">
        <f t="shared" si="21"/>
        <v>1337</v>
      </c>
      <c r="B1341" s="21" t="s">
        <v>340</v>
      </c>
      <c r="C1341" s="20" t="str">
        <f>IF(B1341="","",IF(COUNTIF('01_Anggota'!$D$5:$D$1212,B1341)=0,"NAMA TIDAK DITEMUKAN",INDEX('01_Anggota'!$B$5:$B$1212,MATCH(B1341,'01_Anggota'!$D$5:$D$1212,0))))</f>
        <v>KKSUK-000141</v>
      </c>
      <c r="D1341" s="23">
        <v>0</v>
      </c>
      <c r="E1341" s="23">
        <v>2150000</v>
      </c>
      <c r="F1341" s="23">
        <v>4300000</v>
      </c>
      <c r="G1341" s="23">
        <v>1271321</v>
      </c>
      <c r="H1341" s="42">
        <v>46023</v>
      </c>
      <c r="I1341" s="21" t="s">
        <v>802</v>
      </c>
    </row>
    <row r="1342" spans="1:9">
      <c r="A1342">
        <f t="shared" si="21"/>
        <v>1338</v>
      </c>
      <c r="B1342" s="21" t="s">
        <v>340</v>
      </c>
      <c r="C1342" s="20" t="str">
        <f>IF(B1342="","",IF(COUNTIF('01_Anggota'!$D$5:$D$1212,B1342)=0,"NAMA TIDAK DITEMUKAN",INDEX('01_Anggota'!$B$5:$B$1212,MATCH(B1342,'01_Anggota'!$D$5:$D$1212,0))))</f>
        <v>KKSUK-000141</v>
      </c>
      <c r="D1342" s="23">
        <v>0</v>
      </c>
      <c r="E1342" s="23">
        <v>50000</v>
      </c>
      <c r="F1342" s="23">
        <v>100000</v>
      </c>
      <c r="G1342" s="23">
        <v>0</v>
      </c>
      <c r="H1342" s="42">
        <v>46045</v>
      </c>
      <c r="I1342" s="21" t="s">
        <v>803</v>
      </c>
    </row>
    <row r="1343" spans="1:9">
      <c r="A1343">
        <f t="shared" si="21"/>
        <v>1339</v>
      </c>
      <c r="B1343" s="21" t="s">
        <v>340</v>
      </c>
      <c r="C1343" s="20" t="str">
        <f>IF(B1343="","",IF(COUNTIF('01_Anggota'!$D$5:$D$1212,B1343)=0,"NAMA TIDAK DITEMUKAN",INDEX('01_Anggota'!$B$5:$B$1212,MATCH(B1343,'01_Anggota'!$D$5:$D$1212,0))))</f>
        <v>KKSUK-000141</v>
      </c>
      <c r="D1343" s="23">
        <v>0</v>
      </c>
      <c r="E1343" s="23">
        <v>50000</v>
      </c>
      <c r="F1343" s="23">
        <v>100000</v>
      </c>
      <c r="G1343" s="23">
        <v>0</v>
      </c>
      <c r="H1343" s="42">
        <v>46078</v>
      </c>
      <c r="I1343" s="21" t="s">
        <v>804</v>
      </c>
    </row>
    <row r="1344" spans="1:9">
      <c r="A1344">
        <f t="shared" si="21"/>
        <v>1340</v>
      </c>
      <c r="B1344" s="21" t="s">
        <v>340</v>
      </c>
      <c r="C1344" s="20" t="str">
        <f>IF(B1344="","",IF(COUNTIF('01_Anggota'!$D$5:$D$1212,B1344)=0,"NAMA TIDAK DITEMUKAN",INDEX('01_Anggota'!$B$5:$B$1212,MATCH(B1344,'01_Anggota'!$D$5:$D$1212,0))))</f>
        <v>KKSUK-000141</v>
      </c>
      <c r="D1344" s="23">
        <v>0</v>
      </c>
      <c r="E1344" s="23">
        <v>50000</v>
      </c>
      <c r="F1344" s="23">
        <v>100000</v>
      </c>
      <c r="G1344" s="23">
        <v>0</v>
      </c>
      <c r="H1344" s="42">
        <v>46106</v>
      </c>
      <c r="I1344" s="21" t="s">
        <v>805</v>
      </c>
    </row>
    <row r="1345" spans="1:9">
      <c r="A1345">
        <f t="shared" si="21"/>
        <v>1341</v>
      </c>
      <c r="B1345" s="21" t="s">
        <v>340</v>
      </c>
      <c r="C1345" s="20" t="str">
        <f>IF(B1345="","",IF(COUNTIF('01_Anggota'!$D$5:$D$1212,B1345)=0,"NAMA TIDAK DITEMUKAN",INDEX('01_Anggota'!$B$5:$B$1212,MATCH(B1345,'01_Anggota'!$D$5:$D$1212,0))))</f>
        <v>KKSUK-000141</v>
      </c>
      <c r="D1345" s="23">
        <v>0</v>
      </c>
      <c r="E1345" s="23">
        <v>50000</v>
      </c>
      <c r="F1345" s="23">
        <v>150000</v>
      </c>
      <c r="G1345" s="23">
        <v>0</v>
      </c>
      <c r="H1345" s="42">
        <v>46136</v>
      </c>
      <c r="I1345" s="21" t="s">
        <v>806</v>
      </c>
    </row>
    <row r="1346" spans="1:9">
      <c r="A1346">
        <f t="shared" si="21"/>
        <v>1342</v>
      </c>
      <c r="B1346" s="21" t="s">
        <v>340</v>
      </c>
      <c r="C1346" s="20" t="str">
        <f>IF(B1346="","",IF(COUNTIF('01_Anggota'!$D$5:$D$1212,B1346)=0,"NAMA TIDAK DITEMUKAN",INDEX('01_Anggota'!$B$5:$B$1212,MATCH(B1346,'01_Anggota'!$D$5:$D$1212,0))))</f>
        <v>KKSUK-000141</v>
      </c>
      <c r="D1346" s="23">
        <v>0</v>
      </c>
      <c r="E1346" s="23">
        <v>50000</v>
      </c>
      <c r="F1346" s="23">
        <v>150000</v>
      </c>
      <c r="G1346" s="23">
        <v>0</v>
      </c>
      <c r="H1346" s="42">
        <v>46167</v>
      </c>
      <c r="I1346" s="21" t="s">
        <v>807</v>
      </c>
    </row>
    <row r="1347" spans="1:9">
      <c r="A1347">
        <f t="shared" si="21"/>
        <v>1343</v>
      </c>
      <c r="B1347" s="21" t="s">
        <v>340</v>
      </c>
      <c r="C1347" s="20" t="str">
        <f>IF(B1347="","",IF(COUNTIF('01_Anggota'!$D$5:$D$1212,B1347)=0,"NAMA TIDAK DITEMUKAN",INDEX('01_Anggota'!$B$5:$B$1212,MATCH(B1347,'01_Anggota'!$D$5:$D$1212,0))))</f>
        <v>KKSUK-000141</v>
      </c>
      <c r="D1347" s="23">
        <v>0</v>
      </c>
      <c r="E1347" s="23">
        <v>50000</v>
      </c>
      <c r="F1347" s="23">
        <v>150000</v>
      </c>
      <c r="G1347" s="23">
        <v>0</v>
      </c>
      <c r="H1347" s="42">
        <v>46198</v>
      </c>
      <c r="I1347" s="21" t="s">
        <v>808</v>
      </c>
    </row>
    <row r="1348" spans="1:9">
      <c r="A1348">
        <f t="shared" si="21"/>
        <v>1344</v>
      </c>
      <c r="B1348" s="21" t="s">
        <v>340</v>
      </c>
      <c r="C1348" s="20" t="str">
        <f>IF(B1348="","",IF(COUNTIF('01_Anggota'!$D$5:$D$1212,B1348)=0,"NAMA TIDAK DITEMUKAN",INDEX('01_Anggota'!$B$5:$B$1212,MATCH(B1348,'01_Anggota'!$D$5:$D$1212,0))))</f>
        <v>KKSUK-000141</v>
      </c>
      <c r="D1348" s="23">
        <v>0</v>
      </c>
      <c r="E1348" s="23">
        <v>50000</v>
      </c>
      <c r="F1348" s="23">
        <v>150000</v>
      </c>
      <c r="G1348" s="23">
        <v>0</v>
      </c>
      <c r="H1348" s="42">
        <v>46227</v>
      </c>
      <c r="I1348" s="21" t="s">
        <v>809</v>
      </c>
    </row>
    <row r="1349" spans="1:9">
      <c r="A1349">
        <f t="shared" si="21"/>
        <v>1345</v>
      </c>
      <c r="B1349" s="21" t="s">
        <v>340</v>
      </c>
      <c r="C1349" s="20" t="str">
        <f>IF(B1349="","",IF(COUNTIF('01_Anggota'!$D$5:$D$1212,B1349)=0,"NAMA TIDAK DITEMUKAN",INDEX('01_Anggota'!$B$5:$B$1212,MATCH(B1349,'01_Anggota'!$D$5:$D$1212,0))))</f>
        <v>KKSUK-000141</v>
      </c>
      <c r="D1349" s="23">
        <v>0</v>
      </c>
      <c r="E1349" s="23">
        <v>50000</v>
      </c>
      <c r="F1349" s="23">
        <v>150000</v>
      </c>
      <c r="G1349" s="23">
        <v>0</v>
      </c>
      <c r="H1349" s="42">
        <v>46258</v>
      </c>
      <c r="I1349" s="21" t="s">
        <v>810</v>
      </c>
    </row>
    <row r="1350" spans="1:9">
      <c r="A1350">
        <f t="shared" si="21"/>
        <v>1346</v>
      </c>
      <c r="B1350" s="21" t="s">
        <v>296</v>
      </c>
      <c r="C1350" s="20" t="str">
        <f>IF(B1350="","",IF(COUNTIF('01_Anggota'!$D$5:$D$1212,B1350)=0,"NAMA TIDAK DITEMUKAN",INDEX('01_Anggota'!$B$5:$B$1212,MATCH(B1350,'01_Anggota'!$D$5:$D$1212,0))))</f>
        <v>KKSUK-000097</v>
      </c>
      <c r="D1350" s="23">
        <v>0</v>
      </c>
      <c r="E1350" s="23">
        <v>4550000</v>
      </c>
      <c r="F1350" s="23">
        <v>10029187.8924483</v>
      </c>
      <c r="G1350" s="23">
        <v>3775994</v>
      </c>
      <c r="H1350" s="42">
        <v>46023</v>
      </c>
      <c r="I1350" s="21" t="s">
        <v>802</v>
      </c>
    </row>
    <row r="1351" spans="1:9">
      <c r="A1351">
        <f t="shared" si="21"/>
        <v>1347</v>
      </c>
      <c r="B1351" s="21" t="s">
        <v>296</v>
      </c>
      <c r="C1351" s="20" t="str">
        <f>IF(B1351="","",IF(COUNTIF('01_Anggota'!$D$5:$D$1212,B1351)=0,"NAMA TIDAK DITEMUKAN",INDEX('01_Anggota'!$B$5:$B$1212,MATCH(B1351,'01_Anggota'!$D$5:$D$1212,0))))</f>
        <v>KKSUK-000097</v>
      </c>
      <c r="D1351" s="23">
        <v>0</v>
      </c>
      <c r="E1351" s="23">
        <v>50000</v>
      </c>
      <c r="F1351" s="23">
        <v>100000</v>
      </c>
      <c r="G1351" s="23">
        <v>0</v>
      </c>
      <c r="H1351" s="42">
        <v>46045</v>
      </c>
      <c r="I1351" s="21" t="s">
        <v>803</v>
      </c>
    </row>
    <row r="1352" spans="1:9">
      <c r="A1352">
        <f t="shared" si="21"/>
        <v>1348</v>
      </c>
      <c r="B1352" s="21" t="s">
        <v>296</v>
      </c>
      <c r="C1352" s="20" t="str">
        <f>IF(B1352="","",IF(COUNTIF('01_Anggota'!$D$5:$D$1212,B1352)=0,"NAMA TIDAK DITEMUKAN",INDEX('01_Anggota'!$B$5:$B$1212,MATCH(B1352,'01_Anggota'!$D$5:$D$1212,0))))</f>
        <v>KKSUK-000097</v>
      </c>
      <c r="D1352" s="23">
        <v>0</v>
      </c>
      <c r="E1352" s="23">
        <v>50000</v>
      </c>
      <c r="F1352" s="23">
        <v>100000</v>
      </c>
      <c r="G1352" s="23">
        <v>0</v>
      </c>
      <c r="H1352" s="42">
        <v>46078</v>
      </c>
      <c r="I1352" s="21" t="s">
        <v>804</v>
      </c>
    </row>
    <row r="1353" spans="1:9">
      <c r="A1353">
        <f t="shared" si="21"/>
        <v>1349</v>
      </c>
      <c r="B1353" s="21" t="s">
        <v>296</v>
      </c>
      <c r="C1353" s="20" t="str">
        <f>IF(B1353="","",IF(COUNTIF('01_Anggota'!$D$5:$D$1212,B1353)=0,"NAMA TIDAK DITEMUKAN",INDEX('01_Anggota'!$B$5:$B$1212,MATCH(B1353,'01_Anggota'!$D$5:$D$1212,0))))</f>
        <v>KKSUK-000097</v>
      </c>
      <c r="D1353" s="23">
        <v>0</v>
      </c>
      <c r="E1353" s="23">
        <v>50000</v>
      </c>
      <c r="F1353" s="23">
        <v>100000</v>
      </c>
      <c r="G1353" s="23">
        <v>0</v>
      </c>
      <c r="H1353" s="42">
        <v>46106</v>
      </c>
      <c r="I1353" s="21" t="s">
        <v>805</v>
      </c>
    </row>
    <row r="1354" spans="1:9">
      <c r="A1354">
        <f t="shared" si="21"/>
        <v>1350</v>
      </c>
      <c r="B1354" s="21" t="s">
        <v>296</v>
      </c>
      <c r="C1354" s="20" t="str">
        <f>IF(B1354="","",IF(COUNTIF('01_Anggota'!$D$5:$D$1212,B1354)=0,"NAMA TIDAK DITEMUKAN",INDEX('01_Anggota'!$B$5:$B$1212,MATCH(B1354,'01_Anggota'!$D$5:$D$1212,0))))</f>
        <v>KKSUK-000097</v>
      </c>
      <c r="D1354" s="23">
        <v>0</v>
      </c>
      <c r="E1354" s="23">
        <v>50000</v>
      </c>
      <c r="F1354" s="23">
        <v>100000</v>
      </c>
      <c r="G1354" s="23">
        <v>0</v>
      </c>
      <c r="H1354" s="42">
        <v>46136</v>
      </c>
      <c r="I1354" s="21" t="s">
        <v>806</v>
      </c>
    </row>
    <row r="1355" spans="1:9">
      <c r="A1355">
        <f t="shared" si="21"/>
        <v>1351</v>
      </c>
      <c r="B1355" s="21" t="s">
        <v>296</v>
      </c>
      <c r="C1355" s="20" t="str">
        <f>IF(B1355="","",IF(COUNTIF('01_Anggota'!$D$5:$D$1212,B1355)=0,"NAMA TIDAK DITEMUKAN",INDEX('01_Anggota'!$B$5:$B$1212,MATCH(B1355,'01_Anggota'!$D$5:$D$1212,0))))</f>
        <v>KKSUK-000097</v>
      </c>
      <c r="D1355" s="23">
        <v>0</v>
      </c>
      <c r="E1355" s="23">
        <v>50000</v>
      </c>
      <c r="F1355" s="23">
        <v>100000</v>
      </c>
      <c r="G1355" s="23">
        <v>0</v>
      </c>
      <c r="H1355" s="42">
        <v>46167</v>
      </c>
      <c r="I1355" s="21" t="s">
        <v>807</v>
      </c>
    </row>
    <row r="1356" spans="1:9">
      <c r="A1356">
        <f t="shared" si="21"/>
        <v>1352</v>
      </c>
      <c r="B1356" s="21" t="s">
        <v>296</v>
      </c>
      <c r="C1356" s="20" t="str">
        <f>IF(B1356="","",IF(COUNTIF('01_Anggota'!$D$5:$D$1212,B1356)=0,"NAMA TIDAK DITEMUKAN",INDEX('01_Anggota'!$B$5:$B$1212,MATCH(B1356,'01_Anggota'!$D$5:$D$1212,0))))</f>
        <v>KKSUK-000097</v>
      </c>
      <c r="D1356" s="23">
        <v>0</v>
      </c>
      <c r="E1356" s="23">
        <v>50000</v>
      </c>
      <c r="F1356" s="23">
        <v>100000</v>
      </c>
      <c r="G1356" s="23">
        <v>0</v>
      </c>
      <c r="H1356" s="42">
        <v>46198</v>
      </c>
      <c r="I1356" s="21" t="s">
        <v>808</v>
      </c>
    </row>
    <row r="1357" spans="1:9">
      <c r="A1357">
        <f t="shared" si="21"/>
        <v>1353</v>
      </c>
      <c r="B1357" s="21" t="s">
        <v>296</v>
      </c>
      <c r="C1357" s="20" t="str">
        <f>IF(B1357="","",IF(COUNTIF('01_Anggota'!$D$5:$D$1212,B1357)=0,"NAMA TIDAK DITEMUKAN",INDEX('01_Anggota'!$B$5:$B$1212,MATCH(B1357,'01_Anggota'!$D$5:$D$1212,0))))</f>
        <v>KKSUK-000097</v>
      </c>
      <c r="D1357" s="23">
        <v>0</v>
      </c>
      <c r="E1357" s="23">
        <v>50000</v>
      </c>
      <c r="F1357" s="23">
        <v>100000</v>
      </c>
      <c r="G1357" s="23">
        <v>0</v>
      </c>
      <c r="H1357" s="42">
        <v>46227</v>
      </c>
      <c r="I1357" s="21" t="s">
        <v>809</v>
      </c>
    </row>
    <row r="1358" spans="1:9">
      <c r="A1358">
        <f t="shared" si="21"/>
        <v>1354</v>
      </c>
      <c r="B1358" s="21" t="s">
        <v>296</v>
      </c>
      <c r="C1358" s="20" t="str">
        <f>IF(B1358="","",IF(COUNTIF('01_Anggota'!$D$5:$D$1212,B1358)=0,"NAMA TIDAK DITEMUKAN",INDEX('01_Anggota'!$B$5:$B$1212,MATCH(B1358,'01_Anggota'!$D$5:$D$1212,0))))</f>
        <v>KKSUK-000097</v>
      </c>
      <c r="D1358" s="23">
        <v>0</v>
      </c>
      <c r="E1358" s="23">
        <v>50000</v>
      </c>
      <c r="F1358" s="23">
        <v>100000</v>
      </c>
      <c r="G1358" s="23">
        <v>0</v>
      </c>
      <c r="H1358" s="42">
        <v>46258</v>
      </c>
      <c r="I1358" s="21" t="s">
        <v>810</v>
      </c>
    </row>
    <row r="1359" spans="1:9">
      <c r="A1359">
        <f t="shared" si="21"/>
        <v>1355</v>
      </c>
      <c r="B1359" s="21" t="s">
        <v>332</v>
      </c>
      <c r="C1359" s="20" t="str">
        <f>IF(B1359="","",IF(COUNTIF('01_Anggota'!$D$5:$D$1212,B1359)=0,"NAMA TIDAK DITEMUKAN",INDEX('01_Anggota'!$B$5:$B$1212,MATCH(B1359,'01_Anggota'!$D$5:$D$1212,0))))</f>
        <v>KKSUK-000133</v>
      </c>
      <c r="D1359" s="23">
        <v>0</v>
      </c>
      <c r="E1359" s="23">
        <v>3979500</v>
      </c>
      <c r="F1359" s="23">
        <v>17715264.064523</v>
      </c>
      <c r="G1359" s="23">
        <v>4208011</v>
      </c>
      <c r="H1359" s="42">
        <v>46023</v>
      </c>
      <c r="I1359" s="21" t="s">
        <v>802</v>
      </c>
    </row>
    <row r="1360" spans="1:9">
      <c r="A1360">
        <f t="shared" si="21"/>
        <v>1356</v>
      </c>
      <c r="B1360" s="21" t="s">
        <v>332</v>
      </c>
      <c r="C1360" s="20" t="str">
        <f>IF(B1360="","",IF(COUNTIF('01_Anggota'!$D$5:$D$1212,B1360)=0,"NAMA TIDAK DITEMUKAN",INDEX('01_Anggota'!$B$5:$B$1212,MATCH(B1360,'01_Anggota'!$D$5:$D$1212,0))))</f>
        <v>KKSUK-000133</v>
      </c>
      <c r="D1360" s="23">
        <v>0</v>
      </c>
      <c r="E1360" s="23">
        <v>12500</v>
      </c>
      <c r="F1360" s="23">
        <v>100000</v>
      </c>
      <c r="G1360" s="23">
        <v>0</v>
      </c>
      <c r="H1360" s="42">
        <v>46045</v>
      </c>
      <c r="I1360" s="21" t="s">
        <v>803</v>
      </c>
    </row>
    <row r="1361" spans="1:9">
      <c r="A1361">
        <f t="shared" si="21"/>
        <v>1357</v>
      </c>
      <c r="B1361" s="21" t="s">
        <v>332</v>
      </c>
      <c r="C1361" s="20" t="str">
        <f>IF(B1361="","",IF(COUNTIF('01_Anggota'!$D$5:$D$1212,B1361)=0,"NAMA TIDAK DITEMUKAN",INDEX('01_Anggota'!$B$5:$B$1212,MATCH(B1361,'01_Anggota'!$D$5:$D$1212,0))))</f>
        <v>KKSUK-000133</v>
      </c>
      <c r="D1361" s="23">
        <v>0</v>
      </c>
      <c r="E1361" s="23">
        <v>12500</v>
      </c>
      <c r="F1361" s="23">
        <v>100000</v>
      </c>
      <c r="G1361" s="23">
        <v>0</v>
      </c>
      <c r="H1361" s="42">
        <v>46078</v>
      </c>
      <c r="I1361" s="21" t="s">
        <v>804</v>
      </c>
    </row>
    <row r="1362" spans="1:9">
      <c r="A1362">
        <f t="shared" si="21"/>
        <v>1358</v>
      </c>
      <c r="B1362" s="21" t="s">
        <v>332</v>
      </c>
      <c r="C1362" s="20" t="str">
        <f>IF(B1362="","",IF(COUNTIF('01_Anggota'!$D$5:$D$1212,B1362)=0,"NAMA TIDAK DITEMUKAN",INDEX('01_Anggota'!$B$5:$B$1212,MATCH(B1362,'01_Anggota'!$D$5:$D$1212,0))))</f>
        <v>KKSUK-000133</v>
      </c>
      <c r="D1362" s="23">
        <v>0</v>
      </c>
      <c r="E1362" s="23">
        <v>12500</v>
      </c>
      <c r="F1362" s="23">
        <v>100000</v>
      </c>
      <c r="G1362" s="23">
        <v>0</v>
      </c>
      <c r="H1362" s="42">
        <v>46106</v>
      </c>
      <c r="I1362" s="21" t="s">
        <v>805</v>
      </c>
    </row>
    <row r="1363" spans="1:9">
      <c r="A1363">
        <f t="shared" si="21"/>
        <v>1359</v>
      </c>
      <c r="B1363" s="21" t="s">
        <v>332</v>
      </c>
      <c r="C1363" s="20" t="str">
        <f>IF(B1363="","",IF(COUNTIF('01_Anggota'!$D$5:$D$1212,B1363)=0,"NAMA TIDAK DITEMUKAN",INDEX('01_Anggota'!$B$5:$B$1212,MATCH(B1363,'01_Anggota'!$D$5:$D$1212,0))))</f>
        <v>KKSUK-000133</v>
      </c>
      <c r="D1363" s="23">
        <v>0</v>
      </c>
      <c r="E1363" s="23">
        <v>12500</v>
      </c>
      <c r="F1363" s="23">
        <v>100000</v>
      </c>
      <c r="G1363" s="23">
        <v>0</v>
      </c>
      <c r="H1363" s="42">
        <v>46136</v>
      </c>
      <c r="I1363" s="21" t="s">
        <v>806</v>
      </c>
    </row>
    <row r="1364" spans="1:9">
      <c r="A1364">
        <f t="shared" si="21"/>
        <v>1360</v>
      </c>
      <c r="B1364" s="21" t="s">
        <v>332</v>
      </c>
      <c r="C1364" s="20" t="str">
        <f>IF(B1364="","",IF(COUNTIF('01_Anggota'!$D$5:$D$1212,B1364)=0,"NAMA TIDAK DITEMUKAN",INDEX('01_Anggota'!$B$5:$B$1212,MATCH(B1364,'01_Anggota'!$D$5:$D$1212,0))))</f>
        <v>KKSUK-000133</v>
      </c>
      <c r="D1364" s="23">
        <v>0</v>
      </c>
      <c r="E1364" s="23">
        <v>12500</v>
      </c>
      <c r="F1364" s="23">
        <v>100000</v>
      </c>
      <c r="G1364" s="23">
        <v>0</v>
      </c>
      <c r="H1364" s="42">
        <v>46167</v>
      </c>
      <c r="I1364" s="21" t="s">
        <v>807</v>
      </c>
    </row>
    <row r="1365" spans="1:9">
      <c r="A1365">
        <f t="shared" si="21"/>
        <v>1361</v>
      </c>
      <c r="B1365" s="21" t="s">
        <v>332</v>
      </c>
      <c r="C1365" s="20" t="str">
        <f>IF(B1365="","",IF(COUNTIF('01_Anggota'!$D$5:$D$1212,B1365)=0,"NAMA TIDAK DITEMUKAN",INDEX('01_Anggota'!$B$5:$B$1212,MATCH(B1365,'01_Anggota'!$D$5:$D$1212,0))))</f>
        <v>KKSUK-000133</v>
      </c>
      <c r="D1365" s="23">
        <v>0</v>
      </c>
      <c r="E1365" s="23">
        <v>12500</v>
      </c>
      <c r="F1365" s="23">
        <v>100000</v>
      </c>
      <c r="G1365" s="23">
        <v>0</v>
      </c>
      <c r="H1365" s="42">
        <v>46198</v>
      </c>
      <c r="I1365" s="21" t="s">
        <v>808</v>
      </c>
    </row>
    <row r="1366" spans="1:9">
      <c r="A1366">
        <f t="shared" si="21"/>
        <v>1362</v>
      </c>
      <c r="B1366" s="21" t="s">
        <v>332</v>
      </c>
      <c r="C1366" s="20" t="str">
        <f>IF(B1366="","",IF(COUNTIF('01_Anggota'!$D$5:$D$1212,B1366)=0,"NAMA TIDAK DITEMUKAN",INDEX('01_Anggota'!$B$5:$B$1212,MATCH(B1366,'01_Anggota'!$D$5:$D$1212,0))))</f>
        <v>KKSUK-000133</v>
      </c>
      <c r="D1366" s="23">
        <v>0</v>
      </c>
      <c r="E1366" s="23">
        <v>12500</v>
      </c>
      <c r="F1366" s="23">
        <v>100000</v>
      </c>
      <c r="G1366" s="23">
        <v>0</v>
      </c>
      <c r="H1366" s="42">
        <v>46227</v>
      </c>
      <c r="I1366" s="21" t="s">
        <v>809</v>
      </c>
    </row>
    <row r="1367" spans="1:9">
      <c r="A1367">
        <f t="shared" si="21"/>
        <v>1363</v>
      </c>
      <c r="B1367" s="21" t="s">
        <v>332</v>
      </c>
      <c r="C1367" s="20" t="str">
        <f>IF(B1367="","",IF(COUNTIF('01_Anggota'!$D$5:$D$1212,B1367)=0,"NAMA TIDAK DITEMUKAN",INDEX('01_Anggota'!$B$5:$B$1212,MATCH(B1367,'01_Anggota'!$D$5:$D$1212,0))))</f>
        <v>KKSUK-000133</v>
      </c>
      <c r="D1367" s="23">
        <v>0</v>
      </c>
      <c r="E1367" s="23">
        <v>100000</v>
      </c>
      <c r="F1367" s="23">
        <v>150000</v>
      </c>
      <c r="G1367" s="23">
        <v>0</v>
      </c>
      <c r="H1367" s="42">
        <v>46258</v>
      </c>
      <c r="I1367" s="21" t="s">
        <v>810</v>
      </c>
    </row>
    <row r="1368" spans="1:9">
      <c r="A1368">
        <f t="shared" si="21"/>
        <v>1364</v>
      </c>
      <c r="B1368" s="21" t="s">
        <v>252</v>
      </c>
      <c r="C1368" s="20" t="str">
        <f>IF(B1368="","",IF(COUNTIF('01_Anggota'!$D$5:$D$1212,B1368)=0,"NAMA TIDAK DITEMUKAN",INDEX('01_Anggota'!$B$5:$B$1212,MATCH(B1368,'01_Anggota'!$D$5:$D$1212,0))))</f>
        <v>KKSUK-000053</v>
      </c>
      <c r="D1368" s="23">
        <v>0</v>
      </c>
      <c r="E1368" s="23">
        <v>2560000</v>
      </c>
      <c r="F1368" s="23">
        <v>9821680.4363987409</v>
      </c>
      <c r="G1368" s="23">
        <v>4713275</v>
      </c>
      <c r="H1368" s="42">
        <v>46023</v>
      </c>
      <c r="I1368" s="21" t="s">
        <v>802</v>
      </c>
    </row>
    <row r="1369" spans="1:9">
      <c r="A1369">
        <f t="shared" si="21"/>
        <v>1365</v>
      </c>
      <c r="B1369" s="21" t="s">
        <v>252</v>
      </c>
      <c r="C1369" s="20" t="str">
        <f>IF(B1369="","",IF(COUNTIF('01_Anggota'!$D$5:$D$1212,B1369)=0,"NAMA TIDAK DITEMUKAN",INDEX('01_Anggota'!$B$5:$B$1212,MATCH(B1369,'01_Anggota'!$D$5:$D$1212,0))))</f>
        <v>KKSUK-000053</v>
      </c>
      <c r="D1369" s="23">
        <v>0</v>
      </c>
      <c r="E1369" s="23">
        <v>-1000000</v>
      </c>
      <c r="F1369" s="23">
        <v>0</v>
      </c>
      <c r="G1369" s="23">
        <v>0</v>
      </c>
      <c r="H1369" s="42">
        <v>46045</v>
      </c>
      <c r="I1369" s="21" t="s">
        <v>803</v>
      </c>
    </row>
    <row r="1370" spans="1:9">
      <c r="A1370">
        <f t="shared" si="21"/>
        <v>1366</v>
      </c>
      <c r="B1370" s="21" t="s">
        <v>252</v>
      </c>
      <c r="C1370" s="20" t="str">
        <f>IF(B1370="","",IF(COUNTIF('01_Anggota'!$D$5:$D$1212,B1370)=0,"NAMA TIDAK DITEMUKAN",INDEX('01_Anggota'!$B$5:$B$1212,MATCH(B1370,'01_Anggota'!$D$5:$D$1212,0))))</f>
        <v>KKSUK-000053</v>
      </c>
      <c r="D1370" s="23">
        <v>0</v>
      </c>
      <c r="E1370" s="23">
        <v>100000</v>
      </c>
      <c r="F1370" s="23">
        <v>100000</v>
      </c>
      <c r="G1370" s="23">
        <v>0</v>
      </c>
      <c r="H1370" s="42">
        <v>46045</v>
      </c>
      <c r="I1370" s="21" t="s">
        <v>803</v>
      </c>
    </row>
    <row r="1371" spans="1:9">
      <c r="A1371">
        <f t="shared" si="21"/>
        <v>1367</v>
      </c>
      <c r="B1371" s="21" t="s">
        <v>252</v>
      </c>
      <c r="C1371" s="20" t="str">
        <f>IF(B1371="","",IF(COUNTIF('01_Anggota'!$D$5:$D$1212,B1371)=0,"NAMA TIDAK DITEMUKAN",INDEX('01_Anggota'!$B$5:$B$1212,MATCH(B1371,'01_Anggota'!$D$5:$D$1212,0))))</f>
        <v>KKSUK-000053</v>
      </c>
      <c r="D1371" s="23">
        <v>0</v>
      </c>
      <c r="E1371" s="23">
        <v>100000</v>
      </c>
      <c r="F1371" s="23">
        <v>100000</v>
      </c>
      <c r="G1371" s="23">
        <v>0</v>
      </c>
      <c r="H1371" s="42">
        <v>46078</v>
      </c>
      <c r="I1371" s="21" t="s">
        <v>804</v>
      </c>
    </row>
    <row r="1372" spans="1:9">
      <c r="A1372">
        <f t="shared" si="21"/>
        <v>1368</v>
      </c>
      <c r="B1372" s="21" t="s">
        <v>252</v>
      </c>
      <c r="C1372" s="20" t="str">
        <f>IF(B1372="","",IF(COUNTIF('01_Anggota'!$D$5:$D$1212,B1372)=0,"NAMA TIDAK DITEMUKAN",INDEX('01_Anggota'!$B$5:$B$1212,MATCH(B1372,'01_Anggota'!$D$5:$D$1212,0))))</f>
        <v>KKSUK-000053</v>
      </c>
      <c r="D1372" s="23">
        <v>0</v>
      </c>
      <c r="E1372" s="23">
        <v>100000</v>
      </c>
      <c r="F1372" s="23">
        <v>100000</v>
      </c>
      <c r="G1372" s="23">
        <v>0</v>
      </c>
      <c r="H1372" s="42">
        <v>46106</v>
      </c>
      <c r="I1372" s="21" t="s">
        <v>805</v>
      </c>
    </row>
    <row r="1373" spans="1:9">
      <c r="A1373">
        <f t="shared" si="21"/>
        <v>1369</v>
      </c>
      <c r="B1373" s="21" t="s">
        <v>252</v>
      </c>
      <c r="C1373" s="20" t="str">
        <f>IF(B1373="","",IF(COUNTIF('01_Anggota'!$D$5:$D$1212,B1373)=0,"NAMA TIDAK DITEMUKAN",INDEX('01_Anggota'!$B$5:$B$1212,MATCH(B1373,'01_Anggota'!$D$5:$D$1212,0))))</f>
        <v>KKSUK-000053</v>
      </c>
      <c r="D1373" s="23">
        <v>0</v>
      </c>
      <c r="E1373" s="23">
        <v>100000</v>
      </c>
      <c r="F1373" s="23">
        <v>100000</v>
      </c>
      <c r="G1373" s="23">
        <v>0</v>
      </c>
      <c r="H1373" s="42">
        <v>46136</v>
      </c>
      <c r="I1373" s="21" t="s">
        <v>806</v>
      </c>
    </row>
    <row r="1374" spans="1:9">
      <c r="A1374">
        <f t="shared" si="21"/>
        <v>1370</v>
      </c>
      <c r="B1374" s="21" t="s">
        <v>252</v>
      </c>
      <c r="C1374" s="20" t="str">
        <f>IF(B1374="","",IF(COUNTIF('01_Anggota'!$D$5:$D$1212,B1374)=0,"NAMA TIDAK DITEMUKAN",INDEX('01_Anggota'!$B$5:$B$1212,MATCH(B1374,'01_Anggota'!$D$5:$D$1212,0))))</f>
        <v>KKSUK-000053</v>
      </c>
      <c r="D1374" s="23">
        <v>0</v>
      </c>
      <c r="E1374" s="23">
        <v>100000</v>
      </c>
      <c r="F1374" s="23">
        <v>100000</v>
      </c>
      <c r="G1374" s="23">
        <v>0</v>
      </c>
      <c r="H1374" s="42">
        <v>46167</v>
      </c>
      <c r="I1374" s="21" t="s">
        <v>807</v>
      </c>
    </row>
    <row r="1375" spans="1:9">
      <c r="A1375">
        <f t="shared" si="21"/>
        <v>1371</v>
      </c>
      <c r="B1375" s="21" t="s">
        <v>252</v>
      </c>
      <c r="C1375" s="20" t="str">
        <f>IF(B1375="","",IF(COUNTIF('01_Anggota'!$D$5:$D$1212,B1375)=0,"NAMA TIDAK DITEMUKAN",INDEX('01_Anggota'!$B$5:$B$1212,MATCH(B1375,'01_Anggota'!$D$5:$D$1212,0))))</f>
        <v>KKSUK-000053</v>
      </c>
      <c r="D1375" s="23">
        <v>0</v>
      </c>
      <c r="E1375" s="23">
        <v>100000</v>
      </c>
      <c r="F1375" s="23">
        <v>100000</v>
      </c>
      <c r="G1375" s="23">
        <v>0</v>
      </c>
      <c r="H1375" s="42">
        <v>46198</v>
      </c>
      <c r="I1375" s="21" t="s">
        <v>808</v>
      </c>
    </row>
    <row r="1376" spans="1:9">
      <c r="A1376">
        <f t="shared" si="21"/>
        <v>1372</v>
      </c>
      <c r="B1376" s="21" t="s">
        <v>252</v>
      </c>
      <c r="C1376" s="20" t="str">
        <f>IF(B1376="","",IF(COUNTIF('01_Anggota'!$D$5:$D$1212,B1376)=0,"NAMA TIDAK DITEMUKAN",INDEX('01_Anggota'!$B$5:$B$1212,MATCH(B1376,'01_Anggota'!$D$5:$D$1212,0))))</f>
        <v>KKSUK-000053</v>
      </c>
      <c r="D1376" s="23">
        <v>0</v>
      </c>
      <c r="E1376" s="23">
        <v>100000</v>
      </c>
      <c r="F1376" s="23">
        <v>100000</v>
      </c>
      <c r="G1376" s="23">
        <v>0</v>
      </c>
      <c r="H1376" s="42">
        <v>46227</v>
      </c>
      <c r="I1376" s="21" t="s">
        <v>809</v>
      </c>
    </row>
    <row r="1377" spans="1:9">
      <c r="A1377">
        <f t="shared" si="21"/>
        <v>1373</v>
      </c>
      <c r="B1377" s="21" t="s">
        <v>252</v>
      </c>
      <c r="C1377" s="20" t="str">
        <f>IF(B1377="","",IF(COUNTIF('01_Anggota'!$D$5:$D$1212,B1377)=0,"NAMA TIDAK DITEMUKAN",INDEX('01_Anggota'!$B$5:$B$1212,MATCH(B1377,'01_Anggota'!$D$5:$D$1212,0))))</f>
        <v>KKSUK-000053</v>
      </c>
      <c r="D1377" s="23">
        <v>0</v>
      </c>
      <c r="E1377" s="23">
        <v>-1700000</v>
      </c>
      <c r="F1377" s="23">
        <v>0</v>
      </c>
      <c r="G1377" s="23">
        <v>0</v>
      </c>
      <c r="H1377" s="42">
        <v>46258</v>
      </c>
      <c r="I1377" s="21" t="s">
        <v>810</v>
      </c>
    </row>
    <row r="1378" spans="1:9">
      <c r="A1378">
        <f t="shared" si="21"/>
        <v>1374</v>
      </c>
      <c r="B1378" s="21" t="s">
        <v>252</v>
      </c>
      <c r="C1378" s="20" t="str">
        <f>IF(B1378="","",IF(COUNTIF('01_Anggota'!$D$5:$D$1212,B1378)=0,"NAMA TIDAK DITEMUKAN",INDEX('01_Anggota'!$B$5:$B$1212,MATCH(B1378,'01_Anggota'!$D$5:$D$1212,0))))</f>
        <v>KKSUK-000053</v>
      </c>
      <c r="D1378" s="23">
        <v>0</v>
      </c>
      <c r="E1378" s="23">
        <v>100000</v>
      </c>
      <c r="F1378" s="23">
        <v>100000</v>
      </c>
      <c r="G1378" s="23">
        <v>0</v>
      </c>
      <c r="H1378" s="42">
        <v>46258</v>
      </c>
      <c r="I1378" s="21" t="s">
        <v>810</v>
      </c>
    </row>
    <row r="1379" spans="1:9">
      <c r="A1379">
        <f t="shared" si="21"/>
        <v>1375</v>
      </c>
      <c r="B1379" s="21" t="s">
        <v>286</v>
      </c>
      <c r="C1379" s="20" t="str">
        <f>IF(B1379="","",IF(COUNTIF('01_Anggota'!$D$5:$D$1212,B1379)=0,"NAMA TIDAK DITEMUKAN",INDEX('01_Anggota'!$B$5:$B$1212,MATCH(B1379,'01_Anggota'!$D$5:$D$1212,0))))</f>
        <v>KKSUK-000087</v>
      </c>
      <c r="D1379" s="23">
        <v>0</v>
      </c>
      <c r="E1379" s="23">
        <v>1480000</v>
      </c>
      <c r="F1379" s="23">
        <v>17086101.457780901</v>
      </c>
      <c r="G1379" s="23">
        <v>12118348</v>
      </c>
      <c r="H1379" s="42">
        <v>46023</v>
      </c>
      <c r="I1379" s="21" t="s">
        <v>802</v>
      </c>
    </row>
    <row r="1380" spans="1:9">
      <c r="A1380">
        <f t="shared" si="21"/>
        <v>1376</v>
      </c>
      <c r="B1380" s="21" t="s">
        <v>286</v>
      </c>
      <c r="C1380" s="20" t="str">
        <f>IF(B1380="","",IF(COUNTIF('01_Anggota'!$D$5:$D$1212,B1380)=0,"NAMA TIDAK DITEMUKAN",INDEX('01_Anggota'!$B$5:$B$1212,MATCH(B1380,'01_Anggota'!$D$5:$D$1212,0))))</f>
        <v>KKSUK-000087</v>
      </c>
      <c r="D1380" s="23">
        <v>0</v>
      </c>
      <c r="E1380" s="23">
        <v>10000</v>
      </c>
      <c r="F1380" s="23">
        <v>100000</v>
      </c>
      <c r="G1380" s="23">
        <v>0</v>
      </c>
      <c r="H1380" s="42">
        <v>46045</v>
      </c>
      <c r="I1380" s="21" t="s">
        <v>803</v>
      </c>
    </row>
    <row r="1381" spans="1:9">
      <c r="A1381">
        <f t="shared" si="21"/>
        <v>1377</v>
      </c>
      <c r="B1381" s="21" t="s">
        <v>286</v>
      </c>
      <c r="C1381" s="20" t="str">
        <f>IF(B1381="","",IF(COUNTIF('01_Anggota'!$D$5:$D$1212,B1381)=0,"NAMA TIDAK DITEMUKAN",INDEX('01_Anggota'!$B$5:$B$1212,MATCH(B1381,'01_Anggota'!$D$5:$D$1212,0))))</f>
        <v>KKSUK-000087</v>
      </c>
      <c r="D1381" s="23">
        <v>0</v>
      </c>
      <c r="E1381" s="23">
        <v>10000</v>
      </c>
      <c r="F1381" s="23">
        <v>100000</v>
      </c>
      <c r="G1381" s="23">
        <v>0</v>
      </c>
      <c r="H1381" s="42">
        <v>46078</v>
      </c>
      <c r="I1381" s="21" t="s">
        <v>804</v>
      </c>
    </row>
    <row r="1382" spans="1:9">
      <c r="A1382">
        <f t="shared" si="21"/>
        <v>1378</v>
      </c>
      <c r="B1382" s="21" t="s">
        <v>286</v>
      </c>
      <c r="C1382" s="20" t="str">
        <f>IF(B1382="","",IF(COUNTIF('01_Anggota'!$D$5:$D$1212,B1382)=0,"NAMA TIDAK DITEMUKAN",INDEX('01_Anggota'!$B$5:$B$1212,MATCH(B1382,'01_Anggota'!$D$5:$D$1212,0))))</f>
        <v>KKSUK-000087</v>
      </c>
      <c r="D1382" s="23">
        <v>0</v>
      </c>
      <c r="E1382" s="23">
        <v>10000</v>
      </c>
      <c r="F1382" s="23">
        <v>100000</v>
      </c>
      <c r="G1382" s="23">
        <v>0</v>
      </c>
      <c r="H1382" s="42">
        <v>46106</v>
      </c>
      <c r="I1382" s="21" t="s">
        <v>805</v>
      </c>
    </row>
    <row r="1383" spans="1:9">
      <c r="A1383">
        <f t="shared" si="21"/>
        <v>1379</v>
      </c>
      <c r="B1383" s="21" t="s">
        <v>286</v>
      </c>
      <c r="C1383" s="20" t="str">
        <f>IF(B1383="","",IF(COUNTIF('01_Anggota'!$D$5:$D$1212,B1383)=0,"NAMA TIDAK DITEMUKAN",INDEX('01_Anggota'!$B$5:$B$1212,MATCH(B1383,'01_Anggota'!$D$5:$D$1212,0))))</f>
        <v>KKSUK-000087</v>
      </c>
      <c r="D1383" s="23">
        <v>0</v>
      </c>
      <c r="E1383" s="23">
        <v>10000</v>
      </c>
      <c r="F1383" s="23">
        <v>100000</v>
      </c>
      <c r="G1383" s="23">
        <v>0</v>
      </c>
      <c r="H1383" s="42">
        <v>46136</v>
      </c>
      <c r="I1383" s="21" t="s">
        <v>806</v>
      </c>
    </row>
    <row r="1384" spans="1:9">
      <c r="A1384">
        <f t="shared" si="21"/>
        <v>1380</v>
      </c>
      <c r="B1384" s="21" t="s">
        <v>286</v>
      </c>
      <c r="C1384" s="20" t="str">
        <f>IF(B1384="","",IF(COUNTIF('01_Anggota'!$D$5:$D$1212,B1384)=0,"NAMA TIDAK DITEMUKAN",INDEX('01_Anggota'!$B$5:$B$1212,MATCH(B1384,'01_Anggota'!$D$5:$D$1212,0))))</f>
        <v>KKSUK-000087</v>
      </c>
      <c r="D1384" s="23">
        <v>0</v>
      </c>
      <c r="E1384" s="23">
        <v>10000</v>
      </c>
      <c r="F1384" s="23">
        <v>100000</v>
      </c>
      <c r="G1384" s="23">
        <v>0</v>
      </c>
      <c r="H1384" s="42">
        <v>46167</v>
      </c>
      <c r="I1384" s="21" t="s">
        <v>807</v>
      </c>
    </row>
    <row r="1385" spans="1:9">
      <c r="A1385">
        <f t="shared" si="21"/>
        <v>1381</v>
      </c>
      <c r="B1385" s="21" t="s">
        <v>286</v>
      </c>
      <c r="C1385" s="20" t="str">
        <f>IF(B1385="","",IF(COUNTIF('01_Anggota'!$D$5:$D$1212,B1385)=0,"NAMA TIDAK DITEMUKAN",INDEX('01_Anggota'!$B$5:$B$1212,MATCH(B1385,'01_Anggota'!$D$5:$D$1212,0))))</f>
        <v>KKSUK-000087</v>
      </c>
      <c r="D1385" s="23">
        <v>0</v>
      </c>
      <c r="E1385" s="23">
        <v>10000</v>
      </c>
      <c r="F1385" s="23">
        <v>100000</v>
      </c>
      <c r="G1385" s="23">
        <v>0</v>
      </c>
      <c r="H1385" s="42">
        <v>46198</v>
      </c>
      <c r="I1385" s="21" t="s">
        <v>808</v>
      </c>
    </row>
    <row r="1386" spans="1:9">
      <c r="A1386">
        <f t="shared" ref="A1386:A1449" si="22">IF(B1386="","",ROW()-4)</f>
        <v>1382</v>
      </c>
      <c r="B1386" s="21" t="s">
        <v>286</v>
      </c>
      <c r="C1386" s="20" t="str">
        <f>IF(B1386="","",IF(COUNTIF('01_Anggota'!$D$5:$D$1212,B1386)=0,"NAMA TIDAK DITEMUKAN",INDEX('01_Anggota'!$B$5:$B$1212,MATCH(B1386,'01_Anggota'!$D$5:$D$1212,0))))</f>
        <v>KKSUK-000087</v>
      </c>
      <c r="D1386" s="23">
        <v>0</v>
      </c>
      <c r="E1386" s="23">
        <v>10000</v>
      </c>
      <c r="F1386" s="23">
        <v>100000</v>
      </c>
      <c r="G1386" s="23">
        <v>0</v>
      </c>
      <c r="H1386" s="42">
        <v>46227</v>
      </c>
      <c r="I1386" s="21" t="s">
        <v>809</v>
      </c>
    </row>
    <row r="1387" spans="1:9">
      <c r="A1387">
        <f t="shared" si="22"/>
        <v>1383</v>
      </c>
      <c r="B1387" s="21" t="s">
        <v>286</v>
      </c>
      <c r="C1387" s="20" t="str">
        <f>IF(B1387="","",IF(COUNTIF('01_Anggota'!$D$5:$D$1212,B1387)=0,"NAMA TIDAK DITEMUKAN",INDEX('01_Anggota'!$B$5:$B$1212,MATCH(B1387,'01_Anggota'!$D$5:$D$1212,0))))</f>
        <v>KKSUK-000087</v>
      </c>
      <c r="D1387" s="23">
        <v>0</v>
      </c>
      <c r="E1387" s="23">
        <v>10000</v>
      </c>
      <c r="F1387" s="23">
        <v>100000</v>
      </c>
      <c r="G1387" s="23">
        <v>0</v>
      </c>
      <c r="H1387" s="42">
        <v>46258</v>
      </c>
      <c r="I1387" s="21" t="s">
        <v>810</v>
      </c>
    </row>
    <row r="1388" spans="1:9">
      <c r="A1388">
        <f t="shared" si="22"/>
        <v>1384</v>
      </c>
      <c r="B1388" s="21" t="s">
        <v>376</v>
      </c>
      <c r="C1388" s="20" t="str">
        <f>IF(B1388="","",IF(COUNTIF('01_Anggota'!$D$5:$D$1212,B1388)=0,"NAMA TIDAK DITEMUKAN",INDEX('01_Anggota'!$B$5:$B$1212,MATCH(B1388,'01_Anggota'!$D$5:$D$1212,0))))</f>
        <v>KKSUK-000177</v>
      </c>
      <c r="D1388" s="23">
        <v>0</v>
      </c>
      <c r="E1388" s="23">
        <v>0</v>
      </c>
      <c r="F1388" s="23">
        <v>0</v>
      </c>
      <c r="G1388" s="23">
        <v>0</v>
      </c>
      <c r="H1388" s="42">
        <v>46045</v>
      </c>
      <c r="I1388" s="21" t="s">
        <v>803</v>
      </c>
    </row>
    <row r="1389" spans="1:9">
      <c r="A1389">
        <f t="shared" si="22"/>
        <v>1385</v>
      </c>
      <c r="B1389" s="21" t="s">
        <v>376</v>
      </c>
      <c r="C1389" s="20" t="str">
        <f>IF(B1389="","",IF(COUNTIF('01_Anggota'!$D$5:$D$1212,B1389)=0,"NAMA TIDAK DITEMUKAN",INDEX('01_Anggota'!$B$5:$B$1212,MATCH(B1389,'01_Anggota'!$D$5:$D$1212,0))))</f>
        <v>KKSUK-000177</v>
      </c>
      <c r="D1389" s="23">
        <v>0</v>
      </c>
      <c r="E1389" s="23">
        <v>10000</v>
      </c>
      <c r="F1389" s="23">
        <v>100000</v>
      </c>
      <c r="G1389" s="23">
        <v>0</v>
      </c>
      <c r="H1389" s="42">
        <v>46078</v>
      </c>
      <c r="I1389" s="21" t="s">
        <v>804</v>
      </c>
    </row>
    <row r="1390" spans="1:9">
      <c r="A1390">
        <f t="shared" si="22"/>
        <v>1386</v>
      </c>
      <c r="B1390" s="21" t="s">
        <v>376</v>
      </c>
      <c r="C1390" s="20" t="str">
        <f>IF(B1390="","",IF(COUNTIF('01_Anggota'!$D$5:$D$1212,B1390)=0,"NAMA TIDAK DITEMUKAN",INDEX('01_Anggota'!$B$5:$B$1212,MATCH(B1390,'01_Anggota'!$D$5:$D$1212,0))))</f>
        <v>KKSUK-000177</v>
      </c>
      <c r="D1390" s="23">
        <v>0</v>
      </c>
      <c r="E1390" s="23">
        <v>1360000</v>
      </c>
      <c r="F1390" s="23">
        <v>15436622</v>
      </c>
      <c r="G1390" s="23">
        <v>7510261</v>
      </c>
      <c r="H1390" s="42">
        <v>46023</v>
      </c>
      <c r="I1390" s="21" t="s">
        <v>802</v>
      </c>
    </row>
    <row r="1391" spans="1:9">
      <c r="A1391">
        <f t="shared" si="22"/>
        <v>1387</v>
      </c>
      <c r="B1391" s="21" t="s">
        <v>376</v>
      </c>
      <c r="C1391" s="20" t="str">
        <f>IF(B1391="","",IF(COUNTIF('01_Anggota'!$D$5:$D$1212,B1391)=0,"NAMA TIDAK DITEMUKAN",INDEX('01_Anggota'!$B$5:$B$1212,MATCH(B1391,'01_Anggota'!$D$5:$D$1212,0))))</f>
        <v>KKSUK-000177</v>
      </c>
      <c r="D1391" s="23">
        <v>0</v>
      </c>
      <c r="E1391" s="23">
        <v>10000</v>
      </c>
      <c r="F1391" s="23">
        <v>100000</v>
      </c>
      <c r="G1391" s="23">
        <v>0</v>
      </c>
      <c r="H1391" s="42">
        <v>46106</v>
      </c>
      <c r="I1391" s="21" t="s">
        <v>805</v>
      </c>
    </row>
    <row r="1392" spans="1:9">
      <c r="A1392">
        <f t="shared" si="22"/>
        <v>1388</v>
      </c>
      <c r="B1392" s="21" t="s">
        <v>376</v>
      </c>
      <c r="C1392" s="20" t="str">
        <f>IF(B1392="","",IF(COUNTIF('01_Anggota'!$D$5:$D$1212,B1392)=0,"NAMA TIDAK DITEMUKAN",INDEX('01_Anggota'!$B$5:$B$1212,MATCH(B1392,'01_Anggota'!$D$5:$D$1212,0))))</f>
        <v>KKSUK-000177</v>
      </c>
      <c r="D1392" s="23">
        <v>0</v>
      </c>
      <c r="E1392" s="23">
        <v>10000</v>
      </c>
      <c r="F1392" s="23">
        <v>100000</v>
      </c>
      <c r="G1392" s="23">
        <v>0</v>
      </c>
      <c r="H1392" s="42">
        <v>46136</v>
      </c>
      <c r="I1392" s="21" t="s">
        <v>806</v>
      </c>
    </row>
    <row r="1393" spans="1:9">
      <c r="A1393">
        <f t="shared" si="22"/>
        <v>1389</v>
      </c>
      <c r="B1393" s="21" t="s">
        <v>376</v>
      </c>
      <c r="C1393" s="20" t="str">
        <f>IF(B1393="","",IF(COUNTIF('01_Anggota'!$D$5:$D$1212,B1393)=0,"NAMA TIDAK DITEMUKAN",INDEX('01_Anggota'!$B$5:$B$1212,MATCH(B1393,'01_Anggota'!$D$5:$D$1212,0))))</f>
        <v>KKSUK-000177</v>
      </c>
      <c r="D1393" s="23">
        <v>0</v>
      </c>
      <c r="E1393" s="23">
        <v>10000</v>
      </c>
      <c r="F1393" s="23">
        <v>100000</v>
      </c>
      <c r="G1393" s="23">
        <v>0</v>
      </c>
      <c r="H1393" s="42">
        <v>46167</v>
      </c>
      <c r="I1393" s="21" t="s">
        <v>807</v>
      </c>
    </row>
    <row r="1394" spans="1:9">
      <c r="A1394">
        <f t="shared" si="22"/>
        <v>1390</v>
      </c>
      <c r="B1394" s="21" t="s">
        <v>376</v>
      </c>
      <c r="C1394" s="20" t="str">
        <f>IF(B1394="","",IF(COUNTIF('01_Anggota'!$D$5:$D$1212,B1394)=0,"NAMA TIDAK DITEMUKAN",INDEX('01_Anggota'!$B$5:$B$1212,MATCH(B1394,'01_Anggota'!$D$5:$D$1212,0))))</f>
        <v>KKSUK-000177</v>
      </c>
      <c r="D1394" s="23">
        <v>0</v>
      </c>
      <c r="E1394" s="23">
        <v>10000</v>
      </c>
      <c r="F1394" s="23">
        <v>100000</v>
      </c>
      <c r="G1394" s="23">
        <v>0</v>
      </c>
      <c r="H1394" s="42">
        <v>46198</v>
      </c>
      <c r="I1394" s="21" t="s">
        <v>808</v>
      </c>
    </row>
    <row r="1395" spans="1:9">
      <c r="A1395">
        <f t="shared" si="22"/>
        <v>1391</v>
      </c>
      <c r="B1395" s="21" t="s">
        <v>376</v>
      </c>
      <c r="C1395" s="20" t="str">
        <f>IF(B1395="","",IF(COUNTIF('01_Anggota'!$D$5:$D$1212,B1395)=0,"NAMA TIDAK DITEMUKAN",INDEX('01_Anggota'!$B$5:$B$1212,MATCH(B1395,'01_Anggota'!$D$5:$D$1212,0))))</f>
        <v>KKSUK-000177</v>
      </c>
      <c r="D1395" s="23">
        <v>0</v>
      </c>
      <c r="E1395" s="23">
        <v>10000</v>
      </c>
      <c r="F1395" s="23">
        <v>100000</v>
      </c>
      <c r="G1395" s="23">
        <v>0</v>
      </c>
      <c r="H1395" s="42">
        <v>46227</v>
      </c>
      <c r="I1395" s="21" t="s">
        <v>809</v>
      </c>
    </row>
    <row r="1396" spans="1:9">
      <c r="A1396">
        <f t="shared" si="22"/>
        <v>1392</v>
      </c>
      <c r="B1396" s="21" t="s">
        <v>376</v>
      </c>
      <c r="C1396" s="20" t="str">
        <f>IF(B1396="","",IF(COUNTIF('01_Anggota'!$D$5:$D$1212,B1396)=0,"NAMA TIDAK DITEMUKAN",INDEX('01_Anggota'!$B$5:$B$1212,MATCH(B1396,'01_Anggota'!$D$5:$D$1212,0))))</f>
        <v>KKSUK-000177</v>
      </c>
      <c r="D1396" s="23">
        <v>0</v>
      </c>
      <c r="E1396" s="23">
        <v>10000</v>
      </c>
      <c r="F1396" s="23">
        <v>100000</v>
      </c>
      <c r="G1396" s="23">
        <v>0</v>
      </c>
      <c r="H1396" s="42">
        <v>46258</v>
      </c>
      <c r="I1396" s="21" t="s">
        <v>810</v>
      </c>
    </row>
    <row r="1397" spans="1:9">
      <c r="A1397">
        <f t="shared" si="22"/>
        <v>1393</v>
      </c>
      <c r="B1397" s="21" t="s">
        <v>287</v>
      </c>
      <c r="C1397" s="20" t="str">
        <f>IF(B1397="","",IF(COUNTIF('01_Anggota'!$D$5:$D$1212,B1397)=0,"NAMA TIDAK DITEMUKAN",INDEX('01_Anggota'!$B$5:$B$1212,MATCH(B1397,'01_Anggota'!$D$5:$D$1212,0))))</f>
        <v>KKSUK-000088</v>
      </c>
      <c r="D1397" s="23">
        <v>0</v>
      </c>
      <c r="E1397" s="23">
        <v>8768000</v>
      </c>
      <c r="F1397" s="23">
        <v>20239384.7599096</v>
      </c>
      <c r="G1397" s="23">
        <v>6164416</v>
      </c>
      <c r="H1397" s="42">
        <v>46023</v>
      </c>
      <c r="I1397" s="21" t="s">
        <v>802</v>
      </c>
    </row>
    <row r="1398" spans="1:9">
      <c r="A1398">
        <f t="shared" si="22"/>
        <v>1394</v>
      </c>
      <c r="B1398" s="21" t="s">
        <v>287</v>
      </c>
      <c r="C1398" s="20" t="str">
        <f>IF(B1398="","",IF(COUNTIF('01_Anggota'!$D$5:$D$1212,B1398)=0,"NAMA TIDAK DITEMUKAN",INDEX('01_Anggota'!$B$5:$B$1212,MATCH(B1398,'01_Anggota'!$D$5:$D$1212,0))))</f>
        <v>KKSUK-000088</v>
      </c>
      <c r="D1398" s="23">
        <v>0</v>
      </c>
      <c r="E1398" s="23">
        <v>50000</v>
      </c>
      <c r="F1398" s="23">
        <v>100000</v>
      </c>
      <c r="G1398" s="23">
        <v>0</v>
      </c>
      <c r="H1398" s="42">
        <v>46045</v>
      </c>
      <c r="I1398" s="21" t="s">
        <v>803</v>
      </c>
    </row>
    <row r="1399" spans="1:9">
      <c r="A1399">
        <f t="shared" si="22"/>
        <v>1395</v>
      </c>
      <c r="B1399" s="21" t="s">
        <v>287</v>
      </c>
      <c r="C1399" s="20" t="str">
        <f>IF(B1399="","",IF(COUNTIF('01_Anggota'!$D$5:$D$1212,B1399)=0,"NAMA TIDAK DITEMUKAN",INDEX('01_Anggota'!$B$5:$B$1212,MATCH(B1399,'01_Anggota'!$D$5:$D$1212,0))))</f>
        <v>KKSUK-000088</v>
      </c>
      <c r="D1399" s="23">
        <v>0</v>
      </c>
      <c r="E1399" s="23">
        <v>50000</v>
      </c>
      <c r="F1399" s="23">
        <v>100000</v>
      </c>
      <c r="G1399" s="23">
        <v>0</v>
      </c>
      <c r="H1399" s="42">
        <v>46078</v>
      </c>
      <c r="I1399" s="21" t="s">
        <v>804</v>
      </c>
    </row>
    <row r="1400" spans="1:9">
      <c r="A1400">
        <f t="shared" si="22"/>
        <v>1396</v>
      </c>
      <c r="B1400" s="21" t="s">
        <v>287</v>
      </c>
      <c r="C1400" s="20" t="str">
        <f>IF(B1400="","",IF(COUNTIF('01_Anggota'!$D$5:$D$1212,B1400)=0,"NAMA TIDAK DITEMUKAN",INDEX('01_Anggota'!$B$5:$B$1212,MATCH(B1400,'01_Anggota'!$D$5:$D$1212,0))))</f>
        <v>KKSUK-000088</v>
      </c>
      <c r="D1400" s="23">
        <v>0</v>
      </c>
      <c r="E1400" s="23">
        <v>50000</v>
      </c>
      <c r="F1400" s="23">
        <v>100000</v>
      </c>
      <c r="G1400" s="23">
        <v>0</v>
      </c>
      <c r="H1400" s="42">
        <v>46106</v>
      </c>
      <c r="I1400" s="21" t="s">
        <v>805</v>
      </c>
    </row>
    <row r="1401" spans="1:9">
      <c r="A1401">
        <f t="shared" si="22"/>
        <v>1397</v>
      </c>
      <c r="B1401" s="21" t="s">
        <v>287</v>
      </c>
      <c r="C1401" s="20" t="str">
        <f>IF(B1401="","",IF(COUNTIF('01_Anggota'!$D$5:$D$1212,B1401)=0,"NAMA TIDAK DITEMUKAN",INDEX('01_Anggota'!$B$5:$B$1212,MATCH(B1401,'01_Anggota'!$D$5:$D$1212,0))))</f>
        <v>KKSUK-000088</v>
      </c>
      <c r="D1401" s="23">
        <v>0</v>
      </c>
      <c r="E1401" s="23">
        <v>50000</v>
      </c>
      <c r="F1401" s="23">
        <v>100000</v>
      </c>
      <c r="G1401" s="23">
        <v>0</v>
      </c>
      <c r="H1401" s="42">
        <v>46136</v>
      </c>
      <c r="I1401" s="21" t="s">
        <v>806</v>
      </c>
    </row>
    <row r="1402" spans="1:9">
      <c r="A1402">
        <f t="shared" si="22"/>
        <v>1398</v>
      </c>
      <c r="B1402" s="21" t="s">
        <v>287</v>
      </c>
      <c r="C1402" s="20" t="str">
        <f>IF(B1402="","",IF(COUNTIF('01_Anggota'!$D$5:$D$1212,B1402)=0,"NAMA TIDAK DITEMUKAN",INDEX('01_Anggota'!$B$5:$B$1212,MATCH(B1402,'01_Anggota'!$D$5:$D$1212,0))))</f>
        <v>KKSUK-000088</v>
      </c>
      <c r="D1402" s="23">
        <v>0</v>
      </c>
      <c r="E1402" s="23">
        <v>50000</v>
      </c>
      <c r="F1402" s="23">
        <v>100000</v>
      </c>
      <c r="G1402" s="23">
        <v>0</v>
      </c>
      <c r="H1402" s="42">
        <v>46167</v>
      </c>
      <c r="I1402" s="21" t="s">
        <v>807</v>
      </c>
    </row>
    <row r="1403" spans="1:9">
      <c r="A1403">
        <f t="shared" si="22"/>
        <v>1399</v>
      </c>
      <c r="B1403" s="21" t="s">
        <v>287</v>
      </c>
      <c r="C1403" s="20" t="str">
        <f>IF(B1403="","",IF(COUNTIF('01_Anggota'!$D$5:$D$1212,B1403)=0,"NAMA TIDAK DITEMUKAN",INDEX('01_Anggota'!$B$5:$B$1212,MATCH(B1403,'01_Anggota'!$D$5:$D$1212,0))))</f>
        <v>KKSUK-000088</v>
      </c>
      <c r="D1403" s="23">
        <v>0</v>
      </c>
      <c r="E1403" s="23">
        <v>50000</v>
      </c>
      <c r="F1403" s="23">
        <v>100000</v>
      </c>
      <c r="G1403" s="23">
        <v>0</v>
      </c>
      <c r="H1403" s="42">
        <v>46198</v>
      </c>
      <c r="I1403" s="21" t="s">
        <v>808</v>
      </c>
    </row>
    <row r="1404" spans="1:9">
      <c r="A1404">
        <f t="shared" si="22"/>
        <v>1400</v>
      </c>
      <c r="B1404" s="21" t="s">
        <v>287</v>
      </c>
      <c r="C1404" s="20" t="str">
        <f>IF(B1404="","",IF(COUNTIF('01_Anggota'!$D$5:$D$1212,B1404)=0,"NAMA TIDAK DITEMUKAN",INDEX('01_Anggota'!$B$5:$B$1212,MATCH(B1404,'01_Anggota'!$D$5:$D$1212,0))))</f>
        <v>KKSUK-000088</v>
      </c>
      <c r="D1404" s="23">
        <v>0</v>
      </c>
      <c r="E1404" s="23">
        <v>50000</v>
      </c>
      <c r="F1404" s="23">
        <v>100000</v>
      </c>
      <c r="G1404" s="23">
        <v>0</v>
      </c>
      <c r="H1404" s="42">
        <v>46227</v>
      </c>
      <c r="I1404" s="21" t="s">
        <v>809</v>
      </c>
    </row>
    <row r="1405" spans="1:9">
      <c r="A1405">
        <f t="shared" si="22"/>
        <v>1401</v>
      </c>
      <c r="B1405" s="21" t="s">
        <v>287</v>
      </c>
      <c r="C1405" s="20" t="str">
        <f>IF(B1405="","",IF(COUNTIF('01_Anggota'!$D$5:$D$1212,B1405)=0,"NAMA TIDAK DITEMUKAN",INDEX('01_Anggota'!$B$5:$B$1212,MATCH(B1405,'01_Anggota'!$D$5:$D$1212,0))))</f>
        <v>KKSUK-000088</v>
      </c>
      <c r="D1405" s="23">
        <v>0</v>
      </c>
      <c r="E1405" s="23">
        <v>50000</v>
      </c>
      <c r="F1405" s="23">
        <v>100000</v>
      </c>
      <c r="G1405" s="23">
        <v>0</v>
      </c>
      <c r="H1405" s="42">
        <v>46258</v>
      </c>
      <c r="I1405" s="21" t="s">
        <v>810</v>
      </c>
    </row>
    <row r="1406" spans="1:9">
      <c r="A1406">
        <f t="shared" si="22"/>
        <v>1402</v>
      </c>
      <c r="B1406" s="21" t="s">
        <v>288</v>
      </c>
      <c r="C1406" s="20" t="str">
        <f>IF(B1406="","",IF(COUNTIF('01_Anggota'!$D$5:$D$1212,B1406)=0,"NAMA TIDAK DITEMUKAN",INDEX('01_Anggota'!$B$5:$B$1212,MATCH(B1406,'01_Anggota'!$D$5:$D$1212,0))))</f>
        <v>KKSUK-000089</v>
      </c>
      <c r="D1406" s="23">
        <v>0</v>
      </c>
      <c r="E1406" s="23">
        <v>8100000</v>
      </c>
      <c r="F1406" s="23">
        <v>12477775.873832799</v>
      </c>
      <c r="G1406" s="23">
        <v>8449557</v>
      </c>
      <c r="H1406" s="42">
        <v>46023</v>
      </c>
      <c r="I1406" s="21" t="s">
        <v>802</v>
      </c>
    </row>
    <row r="1407" spans="1:9">
      <c r="A1407">
        <f t="shared" si="22"/>
        <v>1403</v>
      </c>
      <c r="B1407" s="21" t="s">
        <v>288</v>
      </c>
      <c r="C1407" s="20" t="str">
        <f>IF(B1407="","",IF(COUNTIF('01_Anggota'!$D$5:$D$1212,B1407)=0,"NAMA TIDAK DITEMUKAN",INDEX('01_Anggota'!$B$5:$B$1212,MATCH(B1407,'01_Anggota'!$D$5:$D$1212,0))))</f>
        <v>KKSUK-000089</v>
      </c>
      <c r="D1407" s="23">
        <v>0</v>
      </c>
      <c r="E1407" s="23">
        <v>200000</v>
      </c>
      <c r="F1407" s="23">
        <v>100000</v>
      </c>
      <c r="G1407" s="23">
        <v>0</v>
      </c>
      <c r="H1407" s="42">
        <v>46045</v>
      </c>
      <c r="I1407" s="21" t="s">
        <v>803</v>
      </c>
    </row>
    <row r="1408" spans="1:9">
      <c r="A1408">
        <f t="shared" si="22"/>
        <v>1404</v>
      </c>
      <c r="B1408" s="21" t="s">
        <v>288</v>
      </c>
      <c r="C1408" s="20" t="str">
        <f>IF(B1408="","",IF(COUNTIF('01_Anggota'!$D$5:$D$1212,B1408)=0,"NAMA TIDAK DITEMUKAN",INDEX('01_Anggota'!$B$5:$B$1212,MATCH(B1408,'01_Anggota'!$D$5:$D$1212,0))))</f>
        <v>KKSUK-000089</v>
      </c>
      <c r="D1408" s="23">
        <v>0</v>
      </c>
      <c r="E1408" s="23">
        <v>200000</v>
      </c>
      <c r="F1408" s="23">
        <v>100000</v>
      </c>
      <c r="G1408" s="23">
        <v>0</v>
      </c>
      <c r="H1408" s="42">
        <v>46078</v>
      </c>
      <c r="I1408" s="21" t="s">
        <v>804</v>
      </c>
    </row>
    <row r="1409" spans="1:9">
      <c r="A1409">
        <f t="shared" si="22"/>
        <v>1405</v>
      </c>
      <c r="B1409" s="21" t="s">
        <v>288</v>
      </c>
      <c r="C1409" s="20" t="str">
        <f>IF(B1409="","",IF(COUNTIF('01_Anggota'!$D$5:$D$1212,B1409)=0,"NAMA TIDAK DITEMUKAN",INDEX('01_Anggota'!$B$5:$B$1212,MATCH(B1409,'01_Anggota'!$D$5:$D$1212,0))))</f>
        <v>KKSUK-000089</v>
      </c>
      <c r="D1409" s="23">
        <v>0</v>
      </c>
      <c r="E1409" s="23">
        <v>200000</v>
      </c>
      <c r="F1409" s="23">
        <v>100000</v>
      </c>
      <c r="G1409" s="23">
        <v>0</v>
      </c>
      <c r="H1409" s="42">
        <v>46106</v>
      </c>
      <c r="I1409" s="21" t="s">
        <v>805</v>
      </c>
    </row>
    <row r="1410" spans="1:9">
      <c r="A1410">
        <f t="shared" si="22"/>
        <v>1406</v>
      </c>
      <c r="B1410" s="21" t="s">
        <v>288</v>
      </c>
      <c r="C1410" s="20" t="str">
        <f>IF(B1410="","",IF(COUNTIF('01_Anggota'!$D$5:$D$1212,B1410)=0,"NAMA TIDAK DITEMUKAN",INDEX('01_Anggota'!$B$5:$B$1212,MATCH(B1410,'01_Anggota'!$D$5:$D$1212,0))))</f>
        <v>KKSUK-000089</v>
      </c>
      <c r="D1410" s="23">
        <v>0</v>
      </c>
      <c r="E1410" s="23">
        <v>200000</v>
      </c>
      <c r="F1410" s="23">
        <v>100000</v>
      </c>
      <c r="G1410" s="23">
        <v>0</v>
      </c>
      <c r="H1410" s="42">
        <v>46136</v>
      </c>
      <c r="I1410" s="21" t="s">
        <v>806</v>
      </c>
    </row>
    <row r="1411" spans="1:9">
      <c r="A1411">
        <f t="shared" si="22"/>
        <v>1407</v>
      </c>
      <c r="B1411" s="21" t="s">
        <v>288</v>
      </c>
      <c r="C1411" s="20" t="str">
        <f>IF(B1411="","",IF(COUNTIF('01_Anggota'!$D$5:$D$1212,B1411)=0,"NAMA TIDAK DITEMUKAN",INDEX('01_Anggota'!$B$5:$B$1212,MATCH(B1411,'01_Anggota'!$D$5:$D$1212,0))))</f>
        <v>KKSUK-000089</v>
      </c>
      <c r="D1411" s="23">
        <v>0</v>
      </c>
      <c r="E1411" s="23">
        <v>200000</v>
      </c>
      <c r="F1411" s="23">
        <v>100000</v>
      </c>
      <c r="G1411" s="23">
        <v>0</v>
      </c>
      <c r="H1411" s="42">
        <v>46167</v>
      </c>
      <c r="I1411" s="21" t="s">
        <v>807</v>
      </c>
    </row>
    <row r="1412" spans="1:9">
      <c r="A1412">
        <f t="shared" si="22"/>
        <v>1408</v>
      </c>
      <c r="B1412" s="21" t="s">
        <v>288</v>
      </c>
      <c r="C1412" s="20" t="str">
        <f>IF(B1412="","",IF(COUNTIF('01_Anggota'!$D$5:$D$1212,B1412)=0,"NAMA TIDAK DITEMUKAN",INDEX('01_Anggota'!$B$5:$B$1212,MATCH(B1412,'01_Anggota'!$D$5:$D$1212,0))))</f>
        <v>KKSUK-000089</v>
      </c>
      <c r="D1412" s="23">
        <v>0</v>
      </c>
      <c r="E1412" s="23">
        <v>200000</v>
      </c>
      <c r="F1412" s="23">
        <v>100000</v>
      </c>
      <c r="G1412" s="23">
        <v>0</v>
      </c>
      <c r="H1412" s="42">
        <v>46198</v>
      </c>
      <c r="I1412" s="21" t="s">
        <v>808</v>
      </c>
    </row>
    <row r="1413" spans="1:9">
      <c r="A1413">
        <f t="shared" si="22"/>
        <v>1409</v>
      </c>
      <c r="B1413" s="21" t="s">
        <v>288</v>
      </c>
      <c r="C1413" s="20" t="str">
        <f>IF(B1413="","",IF(COUNTIF('01_Anggota'!$D$5:$D$1212,B1413)=0,"NAMA TIDAK DITEMUKAN",INDEX('01_Anggota'!$B$5:$B$1212,MATCH(B1413,'01_Anggota'!$D$5:$D$1212,0))))</f>
        <v>KKSUK-000089</v>
      </c>
      <c r="D1413" s="23">
        <v>0</v>
      </c>
      <c r="E1413" s="23">
        <v>200000</v>
      </c>
      <c r="F1413" s="23">
        <v>100000</v>
      </c>
      <c r="G1413" s="23">
        <v>0</v>
      </c>
      <c r="H1413" s="42">
        <v>46227</v>
      </c>
      <c r="I1413" s="21" t="s">
        <v>809</v>
      </c>
    </row>
    <row r="1414" spans="1:9">
      <c r="A1414">
        <f t="shared" si="22"/>
        <v>1410</v>
      </c>
      <c r="B1414" s="21" t="s">
        <v>288</v>
      </c>
      <c r="C1414" s="20" t="str">
        <f>IF(B1414="","",IF(COUNTIF('01_Anggota'!$D$5:$D$1212,B1414)=0,"NAMA TIDAK DITEMUKAN",INDEX('01_Anggota'!$B$5:$B$1212,MATCH(B1414,'01_Anggota'!$D$5:$D$1212,0))))</f>
        <v>KKSUK-000089</v>
      </c>
      <c r="D1414" s="23">
        <v>0</v>
      </c>
      <c r="E1414" s="23">
        <v>200000</v>
      </c>
      <c r="F1414" s="23">
        <v>100000</v>
      </c>
      <c r="G1414" s="23">
        <v>0</v>
      </c>
      <c r="H1414" s="42">
        <v>46258</v>
      </c>
      <c r="I1414" s="21" t="s">
        <v>810</v>
      </c>
    </row>
    <row r="1415" spans="1:9">
      <c r="A1415">
        <f t="shared" si="22"/>
        <v>1411</v>
      </c>
      <c r="B1415" s="21" t="s">
        <v>289</v>
      </c>
      <c r="C1415" s="20" t="str">
        <f>IF(B1415="","",IF(COUNTIF('01_Anggota'!$D$5:$D$1212,B1415)=0,"NAMA TIDAK DITEMUKAN",INDEX('01_Anggota'!$B$5:$B$1212,MATCH(B1415,'01_Anggota'!$D$5:$D$1212,0))))</f>
        <v>KKSUK-000090</v>
      </c>
      <c r="D1415" s="23">
        <v>0</v>
      </c>
      <c r="E1415" s="23">
        <v>2521000</v>
      </c>
      <c r="F1415" s="23">
        <v>17464595.057615198</v>
      </c>
      <c r="G1415" s="23">
        <v>7558590</v>
      </c>
      <c r="H1415" s="42">
        <v>46023</v>
      </c>
      <c r="I1415" s="21" t="s">
        <v>802</v>
      </c>
    </row>
    <row r="1416" spans="1:9">
      <c r="A1416">
        <f t="shared" si="22"/>
        <v>1412</v>
      </c>
      <c r="B1416" s="21" t="s">
        <v>289</v>
      </c>
      <c r="C1416" s="20" t="str">
        <f>IF(B1416="","",IF(COUNTIF('01_Anggota'!$D$5:$D$1212,B1416)=0,"NAMA TIDAK DITEMUKAN",INDEX('01_Anggota'!$B$5:$B$1212,MATCH(B1416,'01_Anggota'!$D$5:$D$1212,0))))</f>
        <v>KKSUK-000090</v>
      </c>
      <c r="D1416" s="23">
        <v>0</v>
      </c>
      <c r="E1416" s="23">
        <v>100000</v>
      </c>
      <c r="F1416" s="23">
        <v>100000</v>
      </c>
      <c r="G1416" s="23">
        <v>0</v>
      </c>
      <c r="H1416" s="42">
        <v>46045</v>
      </c>
      <c r="I1416" s="21" t="s">
        <v>803</v>
      </c>
    </row>
    <row r="1417" spans="1:9">
      <c r="A1417">
        <f t="shared" si="22"/>
        <v>1413</v>
      </c>
      <c r="B1417" s="21" t="s">
        <v>289</v>
      </c>
      <c r="C1417" s="20" t="str">
        <f>IF(B1417="","",IF(COUNTIF('01_Anggota'!$D$5:$D$1212,B1417)=0,"NAMA TIDAK DITEMUKAN",INDEX('01_Anggota'!$B$5:$B$1212,MATCH(B1417,'01_Anggota'!$D$5:$D$1212,0))))</f>
        <v>KKSUK-000090</v>
      </c>
      <c r="D1417" s="23">
        <v>0</v>
      </c>
      <c r="E1417" s="23">
        <v>100000</v>
      </c>
      <c r="F1417" s="23">
        <v>100000</v>
      </c>
      <c r="G1417" s="23">
        <v>0</v>
      </c>
      <c r="H1417" s="42">
        <v>46078</v>
      </c>
      <c r="I1417" s="21" t="s">
        <v>804</v>
      </c>
    </row>
    <row r="1418" spans="1:9">
      <c r="A1418">
        <f t="shared" si="22"/>
        <v>1414</v>
      </c>
      <c r="B1418" s="21" t="s">
        <v>289</v>
      </c>
      <c r="C1418" s="20" t="str">
        <f>IF(B1418="","",IF(COUNTIF('01_Anggota'!$D$5:$D$1212,B1418)=0,"NAMA TIDAK DITEMUKAN",INDEX('01_Anggota'!$B$5:$B$1212,MATCH(B1418,'01_Anggota'!$D$5:$D$1212,0))))</f>
        <v>KKSUK-000090</v>
      </c>
      <c r="D1418" s="23">
        <v>0</v>
      </c>
      <c r="E1418" s="23">
        <v>100000</v>
      </c>
      <c r="F1418" s="23">
        <v>100000</v>
      </c>
      <c r="G1418" s="23">
        <v>0</v>
      </c>
      <c r="H1418" s="42">
        <v>46106</v>
      </c>
      <c r="I1418" s="21" t="s">
        <v>805</v>
      </c>
    </row>
    <row r="1419" spans="1:9">
      <c r="A1419">
        <f t="shared" si="22"/>
        <v>1415</v>
      </c>
      <c r="B1419" s="21" t="s">
        <v>289</v>
      </c>
      <c r="C1419" s="20" t="str">
        <f>IF(B1419="","",IF(COUNTIF('01_Anggota'!$D$5:$D$1212,B1419)=0,"NAMA TIDAK DITEMUKAN",INDEX('01_Anggota'!$B$5:$B$1212,MATCH(B1419,'01_Anggota'!$D$5:$D$1212,0))))</f>
        <v>KKSUK-000090</v>
      </c>
      <c r="D1419" s="23">
        <v>0</v>
      </c>
      <c r="E1419" s="23">
        <v>-2821000</v>
      </c>
      <c r="F1419" s="23">
        <v>-17764595.057615198</v>
      </c>
      <c r="G1419" s="23">
        <v>-7558590</v>
      </c>
      <c r="H1419" s="42">
        <v>46136</v>
      </c>
      <c r="I1419" s="21" t="s">
        <v>806</v>
      </c>
    </row>
    <row r="1420" spans="1:9">
      <c r="A1420">
        <f t="shared" si="22"/>
        <v>1416</v>
      </c>
      <c r="B1420" s="21" t="s">
        <v>246</v>
      </c>
      <c r="C1420" s="20" t="str">
        <f>IF(B1420="","",IF(COUNTIF('01_Anggota'!$D$5:$D$1212,B1420)=0,"NAMA TIDAK DITEMUKAN",INDEX('01_Anggota'!$B$5:$B$1212,MATCH(B1420,'01_Anggota'!$D$5:$D$1212,0))))</f>
        <v>KKSUK-000047</v>
      </c>
      <c r="D1420" s="23">
        <v>0</v>
      </c>
      <c r="E1420" s="23">
        <v>3066000</v>
      </c>
      <c r="F1420" s="23">
        <v>18084627.336291201</v>
      </c>
      <c r="G1420" s="23">
        <v>5939399</v>
      </c>
      <c r="H1420" s="42">
        <v>46023</v>
      </c>
      <c r="I1420" s="21" t="s">
        <v>802</v>
      </c>
    </row>
    <row r="1421" spans="1:9">
      <c r="A1421">
        <f t="shared" si="22"/>
        <v>1417</v>
      </c>
      <c r="B1421" s="21" t="s">
        <v>246</v>
      </c>
      <c r="C1421" s="20" t="str">
        <f>IF(B1421="","",IF(COUNTIF('01_Anggota'!$D$5:$D$1212,B1421)=0,"NAMA TIDAK DITEMUKAN",INDEX('01_Anggota'!$B$5:$B$1212,MATCH(B1421,'01_Anggota'!$D$5:$D$1212,0))))</f>
        <v>KKSUK-000047</v>
      </c>
      <c r="D1421" s="23">
        <v>0</v>
      </c>
      <c r="E1421" s="23">
        <v>12500</v>
      </c>
      <c r="F1421" s="23">
        <v>100000</v>
      </c>
      <c r="G1421" s="23">
        <v>0</v>
      </c>
      <c r="H1421" s="42">
        <v>46045</v>
      </c>
      <c r="I1421" s="21" t="s">
        <v>803</v>
      </c>
    </row>
    <row r="1422" spans="1:9">
      <c r="A1422">
        <f t="shared" si="22"/>
        <v>1418</v>
      </c>
      <c r="B1422" s="21" t="s">
        <v>246</v>
      </c>
      <c r="C1422" s="20" t="str">
        <f>IF(B1422="","",IF(COUNTIF('01_Anggota'!$D$5:$D$1212,B1422)=0,"NAMA TIDAK DITEMUKAN",INDEX('01_Anggota'!$B$5:$B$1212,MATCH(B1422,'01_Anggota'!$D$5:$D$1212,0))))</f>
        <v>KKSUK-000047</v>
      </c>
      <c r="D1422" s="23">
        <v>0</v>
      </c>
      <c r="E1422" s="23">
        <v>12500</v>
      </c>
      <c r="F1422" s="23">
        <v>100000</v>
      </c>
      <c r="G1422" s="23">
        <v>0</v>
      </c>
      <c r="H1422" s="42">
        <v>46078</v>
      </c>
      <c r="I1422" s="21" t="s">
        <v>804</v>
      </c>
    </row>
    <row r="1423" spans="1:9">
      <c r="A1423">
        <f t="shared" si="22"/>
        <v>1419</v>
      </c>
      <c r="B1423" s="21" t="s">
        <v>246</v>
      </c>
      <c r="C1423" s="20" t="str">
        <f>IF(B1423="","",IF(COUNTIF('01_Anggota'!$D$5:$D$1212,B1423)=0,"NAMA TIDAK DITEMUKAN",INDEX('01_Anggota'!$B$5:$B$1212,MATCH(B1423,'01_Anggota'!$D$5:$D$1212,0))))</f>
        <v>KKSUK-000047</v>
      </c>
      <c r="D1423" s="23">
        <v>0</v>
      </c>
      <c r="E1423" s="23">
        <v>12500</v>
      </c>
      <c r="F1423" s="23">
        <v>100000</v>
      </c>
      <c r="G1423" s="23">
        <v>0</v>
      </c>
      <c r="H1423" s="42">
        <v>46106</v>
      </c>
      <c r="I1423" s="21" t="s">
        <v>805</v>
      </c>
    </row>
    <row r="1424" spans="1:9">
      <c r="A1424">
        <f t="shared" si="22"/>
        <v>1420</v>
      </c>
      <c r="B1424" s="21" t="s">
        <v>246</v>
      </c>
      <c r="C1424" s="20" t="str">
        <f>IF(B1424="","",IF(COUNTIF('01_Anggota'!$D$5:$D$1212,B1424)=0,"NAMA TIDAK DITEMUKAN",INDEX('01_Anggota'!$B$5:$B$1212,MATCH(B1424,'01_Anggota'!$D$5:$D$1212,0))))</f>
        <v>KKSUK-000047</v>
      </c>
      <c r="D1424" s="23">
        <v>0</v>
      </c>
      <c r="E1424" s="23">
        <v>12500</v>
      </c>
      <c r="F1424" s="23">
        <v>100000</v>
      </c>
      <c r="G1424" s="23">
        <v>0</v>
      </c>
      <c r="H1424" s="42">
        <v>46136</v>
      </c>
      <c r="I1424" s="21" t="s">
        <v>806</v>
      </c>
    </row>
    <row r="1425" spans="1:9">
      <c r="A1425">
        <f t="shared" si="22"/>
        <v>1421</v>
      </c>
      <c r="B1425" s="21" t="s">
        <v>246</v>
      </c>
      <c r="C1425" s="20" t="str">
        <f>IF(B1425="","",IF(COUNTIF('01_Anggota'!$D$5:$D$1212,B1425)=0,"NAMA TIDAK DITEMUKAN",INDEX('01_Anggota'!$B$5:$B$1212,MATCH(B1425,'01_Anggota'!$D$5:$D$1212,0))))</f>
        <v>KKSUK-000047</v>
      </c>
      <c r="D1425" s="23">
        <v>0</v>
      </c>
      <c r="E1425" s="23">
        <v>12500</v>
      </c>
      <c r="F1425" s="23">
        <v>100000</v>
      </c>
      <c r="G1425" s="23">
        <v>0</v>
      </c>
      <c r="H1425" s="42">
        <v>46167</v>
      </c>
      <c r="I1425" s="21" t="s">
        <v>807</v>
      </c>
    </row>
    <row r="1426" spans="1:9">
      <c r="A1426">
        <f t="shared" si="22"/>
        <v>1422</v>
      </c>
      <c r="B1426" s="21" t="s">
        <v>246</v>
      </c>
      <c r="C1426" s="20" t="str">
        <f>IF(B1426="","",IF(COUNTIF('01_Anggota'!$D$5:$D$1212,B1426)=0,"NAMA TIDAK DITEMUKAN",INDEX('01_Anggota'!$B$5:$B$1212,MATCH(B1426,'01_Anggota'!$D$5:$D$1212,0))))</f>
        <v>KKSUK-000047</v>
      </c>
      <c r="D1426" s="23">
        <v>0</v>
      </c>
      <c r="E1426" s="23">
        <v>12500</v>
      </c>
      <c r="F1426" s="23">
        <v>100000</v>
      </c>
      <c r="G1426" s="23">
        <v>0</v>
      </c>
      <c r="H1426" s="42">
        <v>46198</v>
      </c>
      <c r="I1426" s="21" t="s">
        <v>808</v>
      </c>
    </row>
    <row r="1427" spans="1:9">
      <c r="A1427">
        <f t="shared" si="22"/>
        <v>1423</v>
      </c>
      <c r="B1427" s="21" t="s">
        <v>246</v>
      </c>
      <c r="C1427" s="20" t="str">
        <f>IF(B1427="","",IF(COUNTIF('01_Anggota'!$D$5:$D$1212,B1427)=0,"NAMA TIDAK DITEMUKAN",INDEX('01_Anggota'!$B$5:$B$1212,MATCH(B1427,'01_Anggota'!$D$5:$D$1212,0))))</f>
        <v>KKSUK-000047</v>
      </c>
      <c r="D1427" s="23">
        <v>0</v>
      </c>
      <c r="E1427" s="23">
        <v>12500</v>
      </c>
      <c r="F1427" s="23">
        <v>100000</v>
      </c>
      <c r="G1427" s="23">
        <v>0</v>
      </c>
      <c r="H1427" s="42">
        <v>46227</v>
      </c>
      <c r="I1427" s="21" t="s">
        <v>809</v>
      </c>
    </row>
    <row r="1428" spans="1:9">
      <c r="A1428">
        <f t="shared" si="22"/>
        <v>1424</v>
      </c>
      <c r="B1428" s="21" t="s">
        <v>246</v>
      </c>
      <c r="C1428" s="20" t="str">
        <f>IF(B1428="","",IF(COUNTIF('01_Anggota'!$D$5:$D$1212,B1428)=0,"NAMA TIDAK DITEMUKAN",INDEX('01_Anggota'!$B$5:$B$1212,MATCH(B1428,'01_Anggota'!$D$5:$D$1212,0))))</f>
        <v>KKSUK-000047</v>
      </c>
      <c r="D1428" s="23">
        <v>0</v>
      </c>
      <c r="E1428" s="23">
        <v>12500</v>
      </c>
      <c r="F1428" s="23">
        <v>100000</v>
      </c>
      <c r="G1428" s="23">
        <v>0</v>
      </c>
      <c r="H1428" s="42">
        <v>46258</v>
      </c>
      <c r="I1428" s="21" t="s">
        <v>810</v>
      </c>
    </row>
    <row r="1429" spans="1:9">
      <c r="A1429">
        <f t="shared" si="22"/>
        <v>1425</v>
      </c>
      <c r="B1429" s="21" t="s">
        <v>311</v>
      </c>
      <c r="C1429" s="20" t="str">
        <f>IF(B1429="","",IF(COUNTIF('01_Anggota'!$D$5:$D$1212,B1429)=0,"NAMA TIDAK DITEMUKAN",INDEX('01_Anggota'!$B$5:$B$1212,MATCH(B1429,'01_Anggota'!$D$5:$D$1212,0))))</f>
        <v>KKSUK-000112</v>
      </c>
      <c r="D1429" s="23">
        <v>0</v>
      </c>
      <c r="E1429" s="23">
        <v>1300000</v>
      </c>
      <c r="F1429" s="23">
        <v>2600000</v>
      </c>
      <c r="G1429" s="23">
        <v>586524</v>
      </c>
      <c r="H1429" s="42">
        <v>46023</v>
      </c>
      <c r="I1429" s="21" t="s">
        <v>802</v>
      </c>
    </row>
    <row r="1430" spans="1:9">
      <c r="A1430">
        <f t="shared" si="22"/>
        <v>1426</v>
      </c>
      <c r="B1430" s="21" t="s">
        <v>311</v>
      </c>
      <c r="C1430" s="20" t="str">
        <f>IF(B1430="","",IF(COUNTIF('01_Anggota'!$D$5:$D$1212,B1430)=0,"NAMA TIDAK DITEMUKAN",INDEX('01_Anggota'!$B$5:$B$1212,MATCH(B1430,'01_Anggota'!$D$5:$D$1212,0))))</f>
        <v>KKSUK-000112</v>
      </c>
      <c r="D1430" s="23">
        <v>0</v>
      </c>
      <c r="E1430" s="23">
        <v>50000</v>
      </c>
      <c r="F1430" s="23">
        <v>100000</v>
      </c>
      <c r="G1430" s="23">
        <v>0</v>
      </c>
      <c r="H1430" s="42">
        <v>46045</v>
      </c>
      <c r="I1430" s="21" t="s">
        <v>803</v>
      </c>
    </row>
    <row r="1431" spans="1:9">
      <c r="A1431">
        <f t="shared" si="22"/>
        <v>1427</v>
      </c>
      <c r="B1431" s="21" t="s">
        <v>311</v>
      </c>
      <c r="C1431" s="20" t="str">
        <f>IF(B1431="","",IF(COUNTIF('01_Anggota'!$D$5:$D$1212,B1431)=0,"NAMA TIDAK DITEMUKAN",INDEX('01_Anggota'!$B$5:$B$1212,MATCH(B1431,'01_Anggota'!$D$5:$D$1212,0))))</f>
        <v>KKSUK-000112</v>
      </c>
      <c r="D1431" s="23">
        <v>0</v>
      </c>
      <c r="E1431" s="23">
        <v>50000</v>
      </c>
      <c r="F1431" s="23">
        <v>100000</v>
      </c>
      <c r="G1431" s="23">
        <v>0</v>
      </c>
      <c r="H1431" s="42">
        <v>46078</v>
      </c>
      <c r="I1431" s="21" t="s">
        <v>804</v>
      </c>
    </row>
    <row r="1432" spans="1:9">
      <c r="A1432">
        <f t="shared" si="22"/>
        <v>1428</v>
      </c>
      <c r="B1432" s="21" t="s">
        <v>311</v>
      </c>
      <c r="C1432" s="20" t="str">
        <f>IF(B1432="","",IF(COUNTIF('01_Anggota'!$D$5:$D$1212,B1432)=0,"NAMA TIDAK DITEMUKAN",INDEX('01_Anggota'!$B$5:$B$1212,MATCH(B1432,'01_Anggota'!$D$5:$D$1212,0))))</f>
        <v>KKSUK-000112</v>
      </c>
      <c r="D1432" s="23">
        <v>0</v>
      </c>
      <c r="E1432" s="23">
        <v>50000</v>
      </c>
      <c r="F1432" s="23">
        <v>100000</v>
      </c>
      <c r="G1432" s="23">
        <v>0</v>
      </c>
      <c r="H1432" s="42">
        <v>46106</v>
      </c>
      <c r="I1432" s="21" t="s">
        <v>805</v>
      </c>
    </row>
    <row r="1433" spans="1:9">
      <c r="A1433">
        <f t="shared" si="22"/>
        <v>1429</v>
      </c>
      <c r="B1433" s="21" t="s">
        <v>311</v>
      </c>
      <c r="C1433" s="20" t="str">
        <f>IF(B1433="","",IF(COUNTIF('01_Anggota'!$D$5:$D$1212,B1433)=0,"NAMA TIDAK DITEMUKAN",INDEX('01_Anggota'!$B$5:$B$1212,MATCH(B1433,'01_Anggota'!$D$5:$D$1212,0))))</f>
        <v>KKSUK-000112</v>
      </c>
      <c r="D1433" s="23">
        <v>0</v>
      </c>
      <c r="E1433" s="23">
        <v>50000</v>
      </c>
      <c r="F1433" s="23">
        <v>100000</v>
      </c>
      <c r="G1433" s="23">
        <v>0</v>
      </c>
      <c r="H1433" s="42">
        <v>46136</v>
      </c>
      <c r="I1433" s="21" t="s">
        <v>806</v>
      </c>
    </row>
    <row r="1434" spans="1:9">
      <c r="A1434">
        <f t="shared" si="22"/>
        <v>1430</v>
      </c>
      <c r="B1434" s="21" t="s">
        <v>311</v>
      </c>
      <c r="C1434" s="20" t="str">
        <f>IF(B1434="","",IF(COUNTIF('01_Anggota'!$D$5:$D$1212,B1434)=0,"NAMA TIDAK DITEMUKAN",INDEX('01_Anggota'!$B$5:$B$1212,MATCH(B1434,'01_Anggota'!$D$5:$D$1212,0))))</f>
        <v>KKSUK-000112</v>
      </c>
      <c r="D1434" s="23">
        <v>0</v>
      </c>
      <c r="E1434" s="23">
        <v>50000</v>
      </c>
      <c r="F1434" s="23">
        <v>100000</v>
      </c>
      <c r="G1434" s="23">
        <v>0</v>
      </c>
      <c r="H1434" s="42">
        <v>46167</v>
      </c>
      <c r="I1434" s="21" t="s">
        <v>807</v>
      </c>
    </row>
    <row r="1435" spans="1:9">
      <c r="A1435">
        <f t="shared" si="22"/>
        <v>1431</v>
      </c>
      <c r="B1435" s="21" t="s">
        <v>311</v>
      </c>
      <c r="C1435" s="20" t="str">
        <f>IF(B1435="","",IF(COUNTIF('01_Anggota'!$D$5:$D$1212,B1435)=0,"NAMA TIDAK DITEMUKAN",INDEX('01_Anggota'!$B$5:$B$1212,MATCH(B1435,'01_Anggota'!$D$5:$D$1212,0))))</f>
        <v>KKSUK-000112</v>
      </c>
      <c r="D1435" s="23">
        <v>0</v>
      </c>
      <c r="E1435" s="23">
        <v>50000</v>
      </c>
      <c r="F1435" s="23">
        <v>100000</v>
      </c>
      <c r="G1435" s="23">
        <v>0</v>
      </c>
      <c r="H1435" s="42">
        <v>46198</v>
      </c>
      <c r="I1435" s="21" t="s">
        <v>808</v>
      </c>
    </row>
    <row r="1436" spans="1:9">
      <c r="A1436">
        <f t="shared" si="22"/>
        <v>1432</v>
      </c>
      <c r="B1436" s="21" t="s">
        <v>311</v>
      </c>
      <c r="C1436" s="20" t="str">
        <f>IF(B1436="","",IF(COUNTIF('01_Anggota'!$D$5:$D$1212,B1436)=0,"NAMA TIDAK DITEMUKAN",INDEX('01_Anggota'!$B$5:$B$1212,MATCH(B1436,'01_Anggota'!$D$5:$D$1212,0))))</f>
        <v>KKSUK-000112</v>
      </c>
      <c r="D1436" s="23">
        <v>0</v>
      </c>
      <c r="E1436" s="23">
        <v>50000</v>
      </c>
      <c r="F1436" s="23">
        <v>100000</v>
      </c>
      <c r="G1436" s="23">
        <v>0</v>
      </c>
      <c r="H1436" s="42">
        <v>46227</v>
      </c>
      <c r="I1436" s="21" t="s">
        <v>809</v>
      </c>
    </row>
    <row r="1437" spans="1:9">
      <c r="A1437">
        <f t="shared" si="22"/>
        <v>1433</v>
      </c>
      <c r="B1437" s="21" t="s">
        <v>311</v>
      </c>
      <c r="C1437" s="20" t="str">
        <f>IF(B1437="","",IF(COUNTIF('01_Anggota'!$D$5:$D$1212,B1437)=0,"NAMA TIDAK DITEMUKAN",INDEX('01_Anggota'!$B$5:$B$1212,MATCH(B1437,'01_Anggota'!$D$5:$D$1212,0))))</f>
        <v>KKSUK-000112</v>
      </c>
      <c r="D1437" s="23">
        <v>0</v>
      </c>
      <c r="E1437" s="23">
        <v>50000</v>
      </c>
      <c r="F1437" s="23">
        <v>100000</v>
      </c>
      <c r="G1437" s="23">
        <v>0</v>
      </c>
      <c r="H1437" s="42">
        <v>46258</v>
      </c>
      <c r="I1437" s="21" t="s">
        <v>810</v>
      </c>
    </row>
    <row r="1438" spans="1:9">
      <c r="A1438">
        <f t="shared" si="22"/>
        <v>1434</v>
      </c>
      <c r="B1438" s="21" t="s">
        <v>240</v>
      </c>
      <c r="C1438" s="20" t="str">
        <f>IF(B1438="","",IF(COUNTIF('01_Anggota'!$D$5:$D$1212,B1438)=0,"NAMA TIDAK DITEMUKAN",INDEX('01_Anggota'!$B$5:$B$1212,MATCH(B1438,'01_Anggota'!$D$5:$D$1212,0))))</f>
        <v>KKSUK-000041</v>
      </c>
      <c r="D1438" s="23">
        <v>0</v>
      </c>
      <c r="E1438" s="23">
        <v>2535000</v>
      </c>
      <c r="F1438" s="23">
        <v>17388232.313788999</v>
      </c>
      <c r="G1438" s="23">
        <v>9747234</v>
      </c>
      <c r="H1438" s="42">
        <v>46023</v>
      </c>
      <c r="I1438" s="21" t="s">
        <v>802</v>
      </c>
    </row>
    <row r="1439" spans="1:9">
      <c r="A1439">
        <f t="shared" si="22"/>
        <v>1435</v>
      </c>
      <c r="B1439" s="21" t="s">
        <v>240</v>
      </c>
      <c r="C1439" s="20" t="str">
        <f>IF(B1439="","",IF(COUNTIF('01_Anggota'!$D$5:$D$1212,B1439)=0,"NAMA TIDAK DITEMUKAN",INDEX('01_Anggota'!$B$5:$B$1212,MATCH(B1439,'01_Anggota'!$D$5:$D$1212,0))))</f>
        <v>KKSUK-000041</v>
      </c>
      <c r="D1439" s="23">
        <v>0</v>
      </c>
      <c r="E1439" s="23">
        <v>150000</v>
      </c>
      <c r="F1439" s="23">
        <v>100000</v>
      </c>
      <c r="G1439" s="23">
        <v>0</v>
      </c>
      <c r="H1439" s="42">
        <v>46045</v>
      </c>
      <c r="I1439" s="21" t="s">
        <v>803</v>
      </c>
    </row>
    <row r="1440" spans="1:9">
      <c r="A1440">
        <f t="shared" si="22"/>
        <v>1436</v>
      </c>
      <c r="B1440" s="21" t="s">
        <v>240</v>
      </c>
      <c r="C1440" s="20" t="str">
        <f>IF(B1440="","",IF(COUNTIF('01_Anggota'!$D$5:$D$1212,B1440)=0,"NAMA TIDAK DITEMUKAN",INDEX('01_Anggota'!$B$5:$B$1212,MATCH(B1440,'01_Anggota'!$D$5:$D$1212,0))))</f>
        <v>KKSUK-000041</v>
      </c>
      <c r="D1440" s="23">
        <v>0</v>
      </c>
      <c r="E1440" s="23">
        <v>150000</v>
      </c>
      <c r="F1440" s="23">
        <v>100000</v>
      </c>
      <c r="G1440" s="23">
        <v>0</v>
      </c>
      <c r="H1440" s="42">
        <v>46078</v>
      </c>
      <c r="I1440" s="21" t="s">
        <v>804</v>
      </c>
    </row>
    <row r="1441" spans="1:9">
      <c r="A1441">
        <f t="shared" si="22"/>
        <v>1437</v>
      </c>
      <c r="B1441" s="21" t="s">
        <v>240</v>
      </c>
      <c r="C1441" s="20" t="str">
        <f>IF(B1441="","",IF(COUNTIF('01_Anggota'!$D$5:$D$1212,B1441)=0,"NAMA TIDAK DITEMUKAN",INDEX('01_Anggota'!$B$5:$B$1212,MATCH(B1441,'01_Anggota'!$D$5:$D$1212,0))))</f>
        <v>KKSUK-000041</v>
      </c>
      <c r="D1441" s="23">
        <v>0</v>
      </c>
      <c r="E1441" s="23">
        <v>150000</v>
      </c>
      <c r="F1441" s="23">
        <v>100000</v>
      </c>
      <c r="G1441" s="23">
        <v>0</v>
      </c>
      <c r="H1441" s="42">
        <v>46106</v>
      </c>
      <c r="I1441" s="21" t="s">
        <v>805</v>
      </c>
    </row>
    <row r="1442" spans="1:9">
      <c r="A1442">
        <f t="shared" si="22"/>
        <v>1438</v>
      </c>
      <c r="B1442" s="21" t="s">
        <v>240</v>
      </c>
      <c r="C1442" s="20" t="str">
        <f>IF(B1442="","",IF(COUNTIF('01_Anggota'!$D$5:$D$1212,B1442)=0,"NAMA TIDAK DITEMUKAN",INDEX('01_Anggota'!$B$5:$B$1212,MATCH(B1442,'01_Anggota'!$D$5:$D$1212,0))))</f>
        <v>KKSUK-000041</v>
      </c>
      <c r="D1442" s="23">
        <v>0</v>
      </c>
      <c r="E1442" s="23">
        <v>150000</v>
      </c>
      <c r="F1442" s="23">
        <v>100000</v>
      </c>
      <c r="G1442" s="23">
        <v>0</v>
      </c>
      <c r="H1442" s="42">
        <v>46136</v>
      </c>
      <c r="I1442" s="21" t="s">
        <v>806</v>
      </c>
    </row>
    <row r="1443" spans="1:9">
      <c r="A1443">
        <f t="shared" si="22"/>
        <v>1439</v>
      </c>
      <c r="B1443" s="21" t="s">
        <v>240</v>
      </c>
      <c r="C1443" s="20" t="str">
        <f>IF(B1443="","",IF(COUNTIF('01_Anggota'!$D$5:$D$1212,B1443)=0,"NAMA TIDAK DITEMUKAN",INDEX('01_Anggota'!$B$5:$B$1212,MATCH(B1443,'01_Anggota'!$D$5:$D$1212,0))))</f>
        <v>KKSUK-000041</v>
      </c>
      <c r="D1443" s="23">
        <v>0</v>
      </c>
      <c r="E1443" s="23">
        <v>150000</v>
      </c>
      <c r="F1443" s="23">
        <v>100000</v>
      </c>
      <c r="G1443" s="23">
        <v>0</v>
      </c>
      <c r="H1443" s="42">
        <v>46167</v>
      </c>
      <c r="I1443" s="21" t="s">
        <v>807</v>
      </c>
    </row>
    <row r="1444" spans="1:9">
      <c r="A1444">
        <f t="shared" si="22"/>
        <v>1440</v>
      </c>
      <c r="B1444" s="21" t="s">
        <v>240</v>
      </c>
      <c r="C1444" s="20" t="str">
        <f>IF(B1444="","",IF(COUNTIF('01_Anggota'!$D$5:$D$1212,B1444)=0,"NAMA TIDAK DITEMUKAN",INDEX('01_Anggota'!$B$5:$B$1212,MATCH(B1444,'01_Anggota'!$D$5:$D$1212,0))))</f>
        <v>KKSUK-000041</v>
      </c>
      <c r="D1444" s="23">
        <v>0</v>
      </c>
      <c r="E1444" s="23">
        <v>-2000000</v>
      </c>
      <c r="F1444" s="23">
        <v>0</v>
      </c>
      <c r="G1444" s="23">
        <v>0</v>
      </c>
      <c r="H1444" s="42">
        <v>46198</v>
      </c>
      <c r="I1444" s="21" t="s">
        <v>808</v>
      </c>
    </row>
    <row r="1445" spans="1:9">
      <c r="A1445">
        <f t="shared" si="22"/>
        <v>1441</v>
      </c>
      <c r="B1445" s="21" t="s">
        <v>240</v>
      </c>
      <c r="C1445" s="20" t="str">
        <f>IF(B1445="","",IF(COUNTIF('01_Anggota'!$D$5:$D$1212,B1445)=0,"NAMA TIDAK DITEMUKAN",INDEX('01_Anggota'!$B$5:$B$1212,MATCH(B1445,'01_Anggota'!$D$5:$D$1212,0))))</f>
        <v>KKSUK-000041</v>
      </c>
      <c r="D1445" s="23">
        <v>0</v>
      </c>
      <c r="E1445" s="23">
        <v>150000</v>
      </c>
      <c r="F1445" s="23">
        <v>100000</v>
      </c>
      <c r="G1445" s="23">
        <v>0</v>
      </c>
      <c r="H1445" s="42">
        <v>46198</v>
      </c>
      <c r="I1445" s="21" t="s">
        <v>808</v>
      </c>
    </row>
    <row r="1446" spans="1:9">
      <c r="A1446">
        <f t="shared" si="22"/>
        <v>1442</v>
      </c>
      <c r="B1446" s="21" t="s">
        <v>240</v>
      </c>
      <c r="C1446" s="20" t="str">
        <f>IF(B1446="","",IF(COUNTIF('01_Anggota'!$D$5:$D$1212,B1446)=0,"NAMA TIDAK DITEMUKAN",INDEX('01_Anggota'!$B$5:$B$1212,MATCH(B1446,'01_Anggota'!$D$5:$D$1212,0))))</f>
        <v>KKSUK-000041</v>
      </c>
      <c r="D1446" s="23">
        <v>0</v>
      </c>
      <c r="E1446" s="23">
        <v>150000</v>
      </c>
      <c r="F1446" s="23">
        <v>100000</v>
      </c>
      <c r="G1446" s="23">
        <v>0</v>
      </c>
      <c r="H1446" s="42">
        <v>46227</v>
      </c>
      <c r="I1446" s="21" t="s">
        <v>809</v>
      </c>
    </row>
    <row r="1447" spans="1:9">
      <c r="A1447">
        <f t="shared" si="22"/>
        <v>1443</v>
      </c>
      <c r="B1447" s="21" t="s">
        <v>240</v>
      </c>
      <c r="C1447" s="20" t="str">
        <f>IF(B1447="","",IF(COUNTIF('01_Anggota'!$D$5:$D$1212,B1447)=0,"NAMA TIDAK DITEMUKAN",INDEX('01_Anggota'!$B$5:$B$1212,MATCH(B1447,'01_Anggota'!$D$5:$D$1212,0))))</f>
        <v>KKSUK-000041</v>
      </c>
      <c r="D1447" s="23">
        <v>0</v>
      </c>
      <c r="E1447" s="23">
        <v>150000</v>
      </c>
      <c r="F1447" s="23">
        <v>100000</v>
      </c>
      <c r="G1447" s="23">
        <v>0</v>
      </c>
      <c r="H1447" s="42">
        <v>46258</v>
      </c>
      <c r="I1447" s="21" t="s">
        <v>810</v>
      </c>
    </row>
    <row r="1448" spans="1:9">
      <c r="A1448">
        <f t="shared" si="22"/>
        <v>1444</v>
      </c>
      <c r="B1448" s="21" t="s">
        <v>313</v>
      </c>
      <c r="C1448" s="20" t="str">
        <f>IF(B1448="","",IF(COUNTIF('01_Anggota'!$D$5:$D$1212,B1448)=0,"NAMA TIDAK DITEMUKAN",INDEX('01_Anggota'!$B$5:$B$1212,MATCH(B1448,'01_Anggota'!$D$5:$D$1212,0))))</f>
        <v>KKSUK-000114</v>
      </c>
      <c r="D1448" s="23">
        <v>0</v>
      </c>
      <c r="E1448" s="23">
        <v>2400000</v>
      </c>
      <c r="F1448" s="23">
        <v>2400000</v>
      </c>
      <c r="G1448" s="23">
        <v>916767</v>
      </c>
      <c r="H1448" s="42">
        <v>46023</v>
      </c>
      <c r="I1448" s="21" t="s">
        <v>802</v>
      </c>
    </row>
    <row r="1449" spans="1:9">
      <c r="A1449">
        <f t="shared" si="22"/>
        <v>1445</v>
      </c>
      <c r="B1449" s="21" t="s">
        <v>313</v>
      </c>
      <c r="C1449" s="20" t="str">
        <f>IF(B1449="","",IF(COUNTIF('01_Anggota'!$D$5:$D$1212,B1449)=0,"NAMA TIDAK DITEMUKAN",INDEX('01_Anggota'!$B$5:$B$1212,MATCH(B1449,'01_Anggota'!$D$5:$D$1212,0))))</f>
        <v>KKSUK-000114</v>
      </c>
      <c r="D1449" s="23">
        <v>0</v>
      </c>
      <c r="E1449" s="23">
        <v>100000</v>
      </c>
      <c r="F1449" s="23">
        <v>100000</v>
      </c>
      <c r="G1449" s="23">
        <v>0</v>
      </c>
      <c r="H1449" s="42">
        <v>46045</v>
      </c>
      <c r="I1449" s="21" t="s">
        <v>803</v>
      </c>
    </row>
    <row r="1450" spans="1:9">
      <c r="A1450">
        <f t="shared" ref="A1450:A1511" si="23">IF(B1450="","",ROW()-4)</f>
        <v>1446</v>
      </c>
      <c r="B1450" s="21" t="s">
        <v>313</v>
      </c>
      <c r="C1450" s="20" t="str">
        <f>IF(B1450="","",IF(COUNTIF('01_Anggota'!$D$5:$D$1212,B1450)=0,"NAMA TIDAK DITEMUKAN",INDEX('01_Anggota'!$B$5:$B$1212,MATCH(B1450,'01_Anggota'!$D$5:$D$1212,0))))</f>
        <v>KKSUK-000114</v>
      </c>
      <c r="D1450" s="23">
        <v>0</v>
      </c>
      <c r="E1450" s="23">
        <v>100000</v>
      </c>
      <c r="F1450" s="23">
        <v>100000</v>
      </c>
      <c r="G1450" s="23">
        <v>0</v>
      </c>
      <c r="H1450" s="42">
        <v>46078</v>
      </c>
      <c r="I1450" s="21" t="s">
        <v>804</v>
      </c>
    </row>
    <row r="1451" spans="1:9">
      <c r="A1451">
        <f t="shared" si="23"/>
        <v>1447</v>
      </c>
      <c r="B1451" s="21" t="s">
        <v>313</v>
      </c>
      <c r="C1451" s="20" t="str">
        <f>IF(B1451="","",IF(COUNTIF('01_Anggota'!$D$5:$D$1212,B1451)=0,"NAMA TIDAK DITEMUKAN",INDEX('01_Anggota'!$B$5:$B$1212,MATCH(B1451,'01_Anggota'!$D$5:$D$1212,0))))</f>
        <v>KKSUK-000114</v>
      </c>
      <c r="D1451" s="23">
        <v>0</v>
      </c>
      <c r="E1451" s="23">
        <v>100000</v>
      </c>
      <c r="F1451" s="23">
        <v>100000</v>
      </c>
      <c r="G1451" s="23">
        <v>0</v>
      </c>
      <c r="H1451" s="42">
        <v>46106</v>
      </c>
      <c r="I1451" s="21" t="s">
        <v>805</v>
      </c>
    </row>
    <row r="1452" spans="1:9">
      <c r="A1452">
        <f t="shared" si="23"/>
        <v>1448</v>
      </c>
      <c r="B1452" s="21" t="s">
        <v>313</v>
      </c>
      <c r="C1452" s="20" t="str">
        <f>IF(B1452="","",IF(COUNTIF('01_Anggota'!$D$5:$D$1212,B1452)=0,"NAMA TIDAK DITEMUKAN",INDEX('01_Anggota'!$B$5:$B$1212,MATCH(B1452,'01_Anggota'!$D$5:$D$1212,0))))</f>
        <v>KKSUK-000114</v>
      </c>
      <c r="D1452" s="23">
        <v>0</v>
      </c>
      <c r="E1452" s="23">
        <v>100000</v>
      </c>
      <c r="F1452" s="23">
        <v>100000</v>
      </c>
      <c r="G1452" s="23">
        <v>0</v>
      </c>
      <c r="H1452" s="42">
        <v>46136</v>
      </c>
      <c r="I1452" s="21" t="s">
        <v>806</v>
      </c>
    </row>
    <row r="1453" spans="1:9">
      <c r="A1453">
        <f t="shared" si="23"/>
        <v>1449</v>
      </c>
      <c r="B1453" s="21" t="s">
        <v>313</v>
      </c>
      <c r="C1453" s="20" t="str">
        <f>IF(B1453="","",IF(COUNTIF('01_Anggota'!$D$5:$D$1212,B1453)=0,"NAMA TIDAK DITEMUKAN",INDEX('01_Anggota'!$B$5:$B$1212,MATCH(B1453,'01_Anggota'!$D$5:$D$1212,0))))</f>
        <v>KKSUK-000114</v>
      </c>
      <c r="D1453" s="23">
        <v>0</v>
      </c>
      <c r="E1453" s="23">
        <v>100000</v>
      </c>
      <c r="F1453" s="23">
        <v>100000</v>
      </c>
      <c r="G1453" s="23">
        <v>0</v>
      </c>
      <c r="H1453" s="42">
        <v>46167</v>
      </c>
      <c r="I1453" s="21" t="s">
        <v>807</v>
      </c>
    </row>
    <row r="1454" spans="1:9">
      <c r="A1454">
        <f t="shared" si="23"/>
        <v>1450</v>
      </c>
      <c r="B1454" s="21" t="s">
        <v>313</v>
      </c>
      <c r="C1454" s="20" t="str">
        <f>IF(B1454="","",IF(COUNTIF('01_Anggota'!$D$5:$D$1212,B1454)=0,"NAMA TIDAK DITEMUKAN",INDEX('01_Anggota'!$B$5:$B$1212,MATCH(B1454,'01_Anggota'!$D$5:$D$1212,0))))</f>
        <v>KKSUK-000114</v>
      </c>
      <c r="D1454" s="23">
        <v>0</v>
      </c>
      <c r="E1454" s="23">
        <v>100000</v>
      </c>
      <c r="F1454" s="23">
        <v>100000</v>
      </c>
      <c r="G1454" s="23">
        <v>0</v>
      </c>
      <c r="H1454" s="42">
        <v>46198</v>
      </c>
      <c r="I1454" s="21" t="s">
        <v>808</v>
      </c>
    </row>
    <row r="1455" spans="1:9">
      <c r="A1455">
        <f t="shared" si="23"/>
        <v>1451</v>
      </c>
      <c r="B1455" s="21" t="s">
        <v>313</v>
      </c>
      <c r="C1455" s="20" t="str">
        <f>IF(B1455="","",IF(COUNTIF('01_Anggota'!$D$5:$D$1212,B1455)=0,"NAMA TIDAK DITEMUKAN",INDEX('01_Anggota'!$B$5:$B$1212,MATCH(B1455,'01_Anggota'!$D$5:$D$1212,0))))</f>
        <v>KKSUK-000114</v>
      </c>
      <c r="D1455" s="23">
        <v>0</v>
      </c>
      <c r="E1455" s="23">
        <v>100000</v>
      </c>
      <c r="F1455" s="23">
        <v>100000</v>
      </c>
      <c r="G1455" s="23">
        <v>0</v>
      </c>
      <c r="H1455" s="42">
        <v>46227</v>
      </c>
      <c r="I1455" s="21" t="s">
        <v>809</v>
      </c>
    </row>
    <row r="1456" spans="1:9">
      <c r="A1456">
        <f t="shared" si="23"/>
        <v>1452</v>
      </c>
      <c r="B1456" s="21" t="s">
        <v>313</v>
      </c>
      <c r="C1456" s="20" t="str">
        <f>IF(B1456="","",IF(COUNTIF('01_Anggota'!$D$5:$D$1212,B1456)=0,"NAMA TIDAK DITEMUKAN",INDEX('01_Anggota'!$B$5:$B$1212,MATCH(B1456,'01_Anggota'!$D$5:$D$1212,0))))</f>
        <v>KKSUK-000114</v>
      </c>
      <c r="D1456" s="23">
        <v>0</v>
      </c>
      <c r="E1456" s="23">
        <v>100000</v>
      </c>
      <c r="F1456" s="23">
        <v>100000</v>
      </c>
      <c r="G1456" s="23">
        <v>0</v>
      </c>
      <c r="H1456" s="42">
        <v>46258</v>
      </c>
      <c r="I1456" s="21" t="s">
        <v>810</v>
      </c>
    </row>
    <row r="1457" spans="1:9">
      <c r="A1457">
        <f t="shared" si="23"/>
        <v>1453</v>
      </c>
      <c r="B1457" s="21" t="s">
        <v>241</v>
      </c>
      <c r="C1457" s="20" t="str">
        <f>IF(B1457="","",IF(COUNTIF('01_Anggota'!$D$5:$D$1212,B1457)=0,"NAMA TIDAK DITEMUKAN",INDEX('01_Anggota'!$B$5:$B$1212,MATCH(B1457,'01_Anggota'!$D$5:$D$1212,0))))</f>
        <v>KKSUK-000042</v>
      </c>
      <c r="D1457" s="23">
        <v>0</v>
      </c>
      <c r="E1457" s="23">
        <v>3165000</v>
      </c>
      <c r="F1457" s="23">
        <v>18139409.304688301</v>
      </c>
      <c r="G1457" s="23">
        <v>9770205</v>
      </c>
      <c r="H1457" s="42">
        <v>46023</v>
      </c>
      <c r="I1457" s="21" t="s">
        <v>802</v>
      </c>
    </row>
    <row r="1458" spans="1:9">
      <c r="A1458">
        <f t="shared" si="23"/>
        <v>1454</v>
      </c>
      <c r="B1458" s="21" t="s">
        <v>241</v>
      </c>
      <c r="C1458" s="20" t="str">
        <f>IF(B1458="","",IF(COUNTIF('01_Anggota'!$D$5:$D$1212,B1458)=0,"NAMA TIDAK DITEMUKAN",INDEX('01_Anggota'!$B$5:$B$1212,MATCH(B1458,'01_Anggota'!$D$5:$D$1212,0))))</f>
        <v>KKSUK-000042</v>
      </c>
      <c r="D1458" s="23">
        <v>0</v>
      </c>
      <c r="E1458" s="23">
        <v>100000</v>
      </c>
      <c r="F1458" s="23">
        <v>100000</v>
      </c>
      <c r="G1458" s="23">
        <v>0</v>
      </c>
      <c r="H1458" s="42">
        <v>46045</v>
      </c>
      <c r="I1458" s="21" t="s">
        <v>803</v>
      </c>
    </row>
    <row r="1459" spans="1:9">
      <c r="A1459">
        <f t="shared" si="23"/>
        <v>1455</v>
      </c>
      <c r="B1459" s="21" t="s">
        <v>241</v>
      </c>
      <c r="C1459" s="20" t="str">
        <f>IF(B1459="","",IF(COUNTIF('01_Anggota'!$D$5:$D$1212,B1459)=0,"NAMA TIDAK DITEMUKAN",INDEX('01_Anggota'!$B$5:$B$1212,MATCH(B1459,'01_Anggota'!$D$5:$D$1212,0))))</f>
        <v>KKSUK-000042</v>
      </c>
      <c r="D1459" s="23">
        <v>0</v>
      </c>
      <c r="E1459" s="23">
        <v>-1000000</v>
      </c>
      <c r="F1459" s="23">
        <v>0</v>
      </c>
      <c r="G1459" s="23">
        <v>0</v>
      </c>
      <c r="H1459" s="42">
        <v>46045</v>
      </c>
      <c r="I1459" s="21" t="s">
        <v>803</v>
      </c>
    </row>
    <row r="1460" spans="1:9">
      <c r="A1460">
        <f t="shared" si="23"/>
        <v>1456</v>
      </c>
      <c r="B1460" s="21" t="s">
        <v>241</v>
      </c>
      <c r="C1460" s="20" t="str">
        <f>IF(B1460="","",IF(COUNTIF('01_Anggota'!$D$5:$D$1212,B1460)=0,"NAMA TIDAK DITEMUKAN",INDEX('01_Anggota'!$B$5:$B$1212,MATCH(B1460,'01_Anggota'!$D$5:$D$1212,0))))</f>
        <v>KKSUK-000042</v>
      </c>
      <c r="D1460" s="23">
        <v>0</v>
      </c>
      <c r="E1460" s="23">
        <v>100000</v>
      </c>
      <c r="F1460" s="23">
        <v>100000</v>
      </c>
      <c r="G1460" s="23">
        <v>0</v>
      </c>
      <c r="H1460" s="42">
        <v>46078</v>
      </c>
      <c r="I1460" s="21" t="s">
        <v>804</v>
      </c>
    </row>
    <row r="1461" spans="1:9">
      <c r="A1461">
        <f t="shared" si="23"/>
        <v>1457</v>
      </c>
      <c r="B1461" s="21" t="s">
        <v>241</v>
      </c>
      <c r="C1461" s="20" t="str">
        <f>IF(B1461="","",IF(COUNTIF('01_Anggota'!$D$5:$D$1212,B1461)=0,"NAMA TIDAK DITEMUKAN",INDEX('01_Anggota'!$B$5:$B$1212,MATCH(B1461,'01_Anggota'!$D$5:$D$1212,0))))</f>
        <v>KKSUK-000042</v>
      </c>
      <c r="D1461" s="23">
        <v>0</v>
      </c>
      <c r="E1461" s="23">
        <v>100000</v>
      </c>
      <c r="F1461" s="23">
        <v>100000</v>
      </c>
      <c r="G1461" s="23">
        <v>0</v>
      </c>
      <c r="H1461" s="42">
        <v>46106</v>
      </c>
      <c r="I1461" s="21" t="s">
        <v>805</v>
      </c>
    </row>
    <row r="1462" spans="1:9">
      <c r="A1462">
        <f t="shared" si="23"/>
        <v>1458</v>
      </c>
      <c r="B1462" s="21" t="s">
        <v>241</v>
      </c>
      <c r="C1462" s="20" t="str">
        <f>IF(B1462="","",IF(COUNTIF('01_Anggota'!$D$5:$D$1212,B1462)=0,"NAMA TIDAK DITEMUKAN",INDEX('01_Anggota'!$B$5:$B$1212,MATCH(B1462,'01_Anggota'!$D$5:$D$1212,0))))</f>
        <v>KKSUK-000042</v>
      </c>
      <c r="D1462" s="23">
        <v>0</v>
      </c>
      <c r="E1462" s="23">
        <v>100000</v>
      </c>
      <c r="F1462" s="23">
        <v>100000</v>
      </c>
      <c r="G1462" s="23">
        <v>0</v>
      </c>
      <c r="H1462" s="42">
        <v>46136</v>
      </c>
      <c r="I1462" s="21" t="s">
        <v>806</v>
      </c>
    </row>
    <row r="1463" spans="1:9">
      <c r="A1463">
        <f t="shared" si="23"/>
        <v>1459</v>
      </c>
      <c r="B1463" s="21" t="s">
        <v>241</v>
      </c>
      <c r="C1463" s="20" t="str">
        <f>IF(B1463="","",IF(COUNTIF('01_Anggota'!$D$5:$D$1212,B1463)=0,"NAMA TIDAK DITEMUKAN",INDEX('01_Anggota'!$B$5:$B$1212,MATCH(B1463,'01_Anggota'!$D$5:$D$1212,0))))</f>
        <v>KKSUK-000042</v>
      </c>
      <c r="D1463" s="23">
        <v>0</v>
      </c>
      <c r="E1463" s="23">
        <v>100000</v>
      </c>
      <c r="F1463" s="23">
        <v>100000</v>
      </c>
      <c r="G1463" s="23">
        <v>0</v>
      </c>
      <c r="H1463" s="42">
        <v>46167</v>
      </c>
      <c r="I1463" s="21" t="s">
        <v>807</v>
      </c>
    </row>
    <row r="1464" spans="1:9">
      <c r="A1464">
        <f t="shared" si="23"/>
        <v>1460</v>
      </c>
      <c r="B1464" s="21" t="s">
        <v>241</v>
      </c>
      <c r="C1464" s="20" t="str">
        <f>IF(B1464="","",IF(COUNTIF('01_Anggota'!$D$5:$D$1212,B1464)=0,"NAMA TIDAK DITEMUKAN",INDEX('01_Anggota'!$B$5:$B$1212,MATCH(B1464,'01_Anggota'!$D$5:$D$1212,0))))</f>
        <v>KKSUK-000042</v>
      </c>
      <c r="D1464" s="23">
        <v>0</v>
      </c>
      <c r="E1464" s="23">
        <v>100000</v>
      </c>
      <c r="F1464" s="23">
        <v>100000</v>
      </c>
      <c r="G1464" s="23">
        <v>0</v>
      </c>
      <c r="H1464" s="42">
        <v>46198</v>
      </c>
      <c r="I1464" s="21" t="s">
        <v>808</v>
      </c>
    </row>
    <row r="1465" spans="1:9">
      <c r="A1465">
        <f t="shared" si="23"/>
        <v>1461</v>
      </c>
      <c r="B1465" s="21" t="s">
        <v>241</v>
      </c>
      <c r="C1465" s="20" t="str">
        <f>IF(B1465="","",IF(COUNTIF('01_Anggota'!$D$5:$D$1212,B1465)=0,"NAMA TIDAK DITEMUKAN",INDEX('01_Anggota'!$B$5:$B$1212,MATCH(B1465,'01_Anggota'!$D$5:$D$1212,0))))</f>
        <v>KKSUK-000042</v>
      </c>
      <c r="D1465" s="23">
        <v>0</v>
      </c>
      <c r="E1465" s="23">
        <v>100000</v>
      </c>
      <c r="F1465" s="23">
        <v>100000</v>
      </c>
      <c r="G1465" s="23">
        <v>0</v>
      </c>
      <c r="H1465" s="42">
        <v>46227</v>
      </c>
      <c r="I1465" s="21" t="s">
        <v>809</v>
      </c>
    </row>
    <row r="1466" spans="1:9">
      <c r="A1466">
        <f t="shared" si="23"/>
        <v>1462</v>
      </c>
      <c r="B1466" s="21" t="s">
        <v>241</v>
      </c>
      <c r="C1466" s="20" t="str">
        <f>IF(B1466="","",IF(COUNTIF('01_Anggota'!$D$5:$D$1212,B1466)=0,"NAMA TIDAK DITEMUKAN",INDEX('01_Anggota'!$B$5:$B$1212,MATCH(B1466,'01_Anggota'!$D$5:$D$1212,0))))</f>
        <v>KKSUK-000042</v>
      </c>
      <c r="D1466" s="23">
        <v>0</v>
      </c>
      <c r="E1466" s="23">
        <v>100000</v>
      </c>
      <c r="F1466" s="23">
        <v>100000</v>
      </c>
      <c r="G1466" s="23">
        <v>0</v>
      </c>
      <c r="H1466" s="42">
        <v>46258</v>
      </c>
      <c r="I1466" s="21" t="s">
        <v>810</v>
      </c>
    </row>
    <row r="1467" spans="1:9">
      <c r="A1467">
        <f t="shared" si="23"/>
        <v>1463</v>
      </c>
      <c r="B1467" s="21" t="s">
        <v>290</v>
      </c>
      <c r="C1467" s="20" t="str">
        <f>IF(B1467="","",IF(COUNTIF('01_Anggota'!$D$5:$D$1212,B1467)=0,"NAMA TIDAK DITEMUKAN",INDEX('01_Anggota'!$B$5:$B$1212,MATCH(B1467,'01_Anggota'!$D$5:$D$1212,0))))</f>
        <v>KKSUK-000091</v>
      </c>
      <c r="D1467" s="23">
        <v>0</v>
      </c>
      <c r="E1467" s="23">
        <v>1962000</v>
      </c>
      <c r="F1467" s="23">
        <v>17366651.538359798</v>
      </c>
      <c r="G1467" s="23">
        <v>7688601</v>
      </c>
      <c r="H1467" s="42">
        <v>46023</v>
      </c>
      <c r="I1467" s="21" t="s">
        <v>802</v>
      </c>
    </row>
    <row r="1468" spans="1:9">
      <c r="A1468">
        <f t="shared" si="23"/>
        <v>1464</v>
      </c>
      <c r="B1468" s="21" t="s">
        <v>290</v>
      </c>
      <c r="C1468" s="20" t="str">
        <f>IF(B1468="","",IF(COUNTIF('01_Anggota'!$D$5:$D$1212,B1468)=0,"NAMA TIDAK DITEMUKAN",INDEX('01_Anggota'!$B$5:$B$1212,MATCH(B1468,'01_Anggota'!$D$5:$D$1212,0))))</f>
        <v>KKSUK-000091</v>
      </c>
      <c r="D1468" s="23">
        <v>0</v>
      </c>
      <c r="E1468" s="23">
        <v>10000</v>
      </c>
      <c r="F1468" s="23">
        <v>100000</v>
      </c>
      <c r="G1468" s="23">
        <v>0</v>
      </c>
      <c r="H1468" s="42">
        <v>46045</v>
      </c>
      <c r="I1468" s="21" t="s">
        <v>803</v>
      </c>
    </row>
    <row r="1469" spans="1:9">
      <c r="A1469">
        <f t="shared" si="23"/>
        <v>1465</v>
      </c>
      <c r="B1469" s="21" t="s">
        <v>290</v>
      </c>
      <c r="C1469" s="20" t="str">
        <f>IF(B1469="","",IF(COUNTIF('01_Anggota'!$D$5:$D$1212,B1469)=0,"NAMA TIDAK DITEMUKAN",INDEX('01_Anggota'!$B$5:$B$1212,MATCH(B1469,'01_Anggota'!$D$5:$D$1212,0))))</f>
        <v>KKSUK-000091</v>
      </c>
      <c r="D1469" s="23">
        <v>0</v>
      </c>
      <c r="E1469" s="23">
        <v>10000</v>
      </c>
      <c r="F1469" s="23">
        <v>100000</v>
      </c>
      <c r="G1469" s="23">
        <v>0</v>
      </c>
      <c r="H1469" s="42">
        <v>46078</v>
      </c>
      <c r="I1469" s="21" t="s">
        <v>804</v>
      </c>
    </row>
    <row r="1470" spans="1:9">
      <c r="A1470">
        <f t="shared" si="23"/>
        <v>1466</v>
      </c>
      <c r="B1470" s="21" t="s">
        <v>290</v>
      </c>
      <c r="C1470" s="20" t="str">
        <f>IF(B1470="","",IF(COUNTIF('01_Anggota'!$D$5:$D$1212,B1470)=0,"NAMA TIDAK DITEMUKAN",INDEX('01_Anggota'!$B$5:$B$1212,MATCH(B1470,'01_Anggota'!$D$5:$D$1212,0))))</f>
        <v>KKSUK-000091</v>
      </c>
      <c r="D1470" s="23">
        <v>0</v>
      </c>
      <c r="E1470" s="23">
        <v>10000</v>
      </c>
      <c r="F1470" s="23">
        <v>100000</v>
      </c>
      <c r="G1470" s="23">
        <v>0</v>
      </c>
      <c r="H1470" s="42">
        <v>46106</v>
      </c>
      <c r="I1470" s="21" t="s">
        <v>805</v>
      </c>
    </row>
    <row r="1471" spans="1:9">
      <c r="A1471">
        <f t="shared" si="23"/>
        <v>1467</v>
      </c>
      <c r="B1471" s="21" t="s">
        <v>290</v>
      </c>
      <c r="C1471" s="20" t="str">
        <f>IF(B1471="","",IF(COUNTIF('01_Anggota'!$D$5:$D$1212,B1471)=0,"NAMA TIDAK DITEMUKAN",INDEX('01_Anggota'!$B$5:$B$1212,MATCH(B1471,'01_Anggota'!$D$5:$D$1212,0))))</f>
        <v>KKSUK-000091</v>
      </c>
      <c r="D1471" s="23">
        <v>0</v>
      </c>
      <c r="E1471" s="23">
        <v>10000</v>
      </c>
      <c r="F1471" s="23">
        <v>100000</v>
      </c>
      <c r="G1471" s="23">
        <v>0</v>
      </c>
      <c r="H1471" s="42">
        <v>46136</v>
      </c>
      <c r="I1471" s="21" t="s">
        <v>806</v>
      </c>
    </row>
    <row r="1472" spans="1:9">
      <c r="A1472">
        <f t="shared" si="23"/>
        <v>1468</v>
      </c>
      <c r="B1472" s="21" t="s">
        <v>290</v>
      </c>
      <c r="C1472" s="20" t="str">
        <f>IF(B1472="","",IF(COUNTIF('01_Anggota'!$D$5:$D$1212,B1472)=0,"NAMA TIDAK DITEMUKAN",INDEX('01_Anggota'!$B$5:$B$1212,MATCH(B1472,'01_Anggota'!$D$5:$D$1212,0))))</f>
        <v>KKSUK-000091</v>
      </c>
      <c r="D1472" s="23">
        <v>0</v>
      </c>
      <c r="E1472" s="23">
        <v>10000</v>
      </c>
      <c r="F1472" s="23">
        <v>100000</v>
      </c>
      <c r="G1472" s="23">
        <v>0</v>
      </c>
      <c r="H1472" s="42">
        <v>46167</v>
      </c>
      <c r="I1472" s="21" t="s">
        <v>807</v>
      </c>
    </row>
    <row r="1473" spans="1:9">
      <c r="A1473">
        <f t="shared" si="23"/>
        <v>1469</v>
      </c>
      <c r="B1473" s="21" t="s">
        <v>290</v>
      </c>
      <c r="C1473" s="20" t="str">
        <f>IF(B1473="","",IF(COUNTIF('01_Anggota'!$D$5:$D$1212,B1473)=0,"NAMA TIDAK DITEMUKAN",INDEX('01_Anggota'!$B$5:$B$1212,MATCH(B1473,'01_Anggota'!$D$5:$D$1212,0))))</f>
        <v>KKSUK-000091</v>
      </c>
      <c r="D1473" s="23">
        <v>0</v>
      </c>
      <c r="E1473" s="23">
        <v>10000</v>
      </c>
      <c r="F1473" s="23">
        <v>100000</v>
      </c>
      <c r="G1473" s="23">
        <v>0</v>
      </c>
      <c r="H1473" s="42">
        <v>46198</v>
      </c>
      <c r="I1473" s="21" t="s">
        <v>808</v>
      </c>
    </row>
    <row r="1474" spans="1:9">
      <c r="A1474">
        <f t="shared" si="23"/>
        <v>1470</v>
      </c>
      <c r="B1474" s="21" t="s">
        <v>290</v>
      </c>
      <c r="C1474" s="20" t="str">
        <f>IF(B1474="","",IF(COUNTIF('01_Anggota'!$D$5:$D$1212,B1474)=0,"NAMA TIDAK DITEMUKAN",INDEX('01_Anggota'!$B$5:$B$1212,MATCH(B1474,'01_Anggota'!$D$5:$D$1212,0))))</f>
        <v>KKSUK-000091</v>
      </c>
      <c r="D1474" s="23">
        <v>0</v>
      </c>
      <c r="E1474" s="23">
        <v>10000</v>
      </c>
      <c r="F1474" s="23">
        <v>100000</v>
      </c>
      <c r="G1474" s="23">
        <v>0</v>
      </c>
      <c r="H1474" s="42">
        <v>46227</v>
      </c>
      <c r="I1474" s="21" t="s">
        <v>809</v>
      </c>
    </row>
    <row r="1475" spans="1:9">
      <c r="A1475">
        <f t="shared" si="23"/>
        <v>1471</v>
      </c>
      <c r="B1475" s="21" t="s">
        <v>290</v>
      </c>
      <c r="C1475" s="20" t="str">
        <f>IF(B1475="","",IF(COUNTIF('01_Anggota'!$D$5:$D$1212,B1475)=0,"NAMA TIDAK DITEMUKAN",INDEX('01_Anggota'!$B$5:$B$1212,MATCH(B1475,'01_Anggota'!$D$5:$D$1212,0))))</f>
        <v>KKSUK-000091</v>
      </c>
      <c r="D1475" s="23">
        <v>0</v>
      </c>
      <c r="E1475" s="23">
        <v>10000</v>
      </c>
      <c r="F1475" s="23">
        <v>100000</v>
      </c>
      <c r="G1475" s="23">
        <v>0</v>
      </c>
      <c r="H1475" s="42">
        <v>46258</v>
      </c>
      <c r="I1475" s="21" t="s">
        <v>810</v>
      </c>
    </row>
    <row r="1476" spans="1:9">
      <c r="A1476">
        <f t="shared" si="23"/>
        <v>1472</v>
      </c>
      <c r="B1476" s="21" t="s">
        <v>312</v>
      </c>
      <c r="C1476" s="20" t="str">
        <f>IF(B1476="","",IF(COUNTIF('01_Anggota'!$D$5:$D$1212,B1476)=0,"NAMA TIDAK DITEMUKAN",INDEX('01_Anggota'!$B$5:$B$1212,MATCH(B1476,'01_Anggota'!$D$5:$D$1212,0))))</f>
        <v>KKSUK-000113</v>
      </c>
      <c r="D1476" s="23">
        <v>0</v>
      </c>
      <c r="E1476" s="23">
        <v>3000000</v>
      </c>
      <c r="F1476" s="23">
        <v>11682161.050669899</v>
      </c>
      <c r="G1476" s="23">
        <v>3952497</v>
      </c>
      <c r="H1476" s="42">
        <v>46023</v>
      </c>
      <c r="I1476" s="21" t="s">
        <v>802</v>
      </c>
    </row>
    <row r="1477" spans="1:9">
      <c r="A1477">
        <f t="shared" si="23"/>
        <v>1473</v>
      </c>
      <c r="B1477" s="21" t="s">
        <v>312</v>
      </c>
      <c r="C1477" s="20" t="str">
        <f>IF(B1477="","",IF(COUNTIF('01_Anggota'!$D$5:$D$1212,B1477)=0,"NAMA TIDAK DITEMUKAN",INDEX('01_Anggota'!$B$5:$B$1212,MATCH(B1477,'01_Anggota'!$D$5:$D$1212,0))))</f>
        <v>KKSUK-000113</v>
      </c>
      <c r="D1477" s="23">
        <v>0</v>
      </c>
      <c r="E1477" s="23">
        <v>100000</v>
      </c>
      <c r="F1477" s="23">
        <v>150000</v>
      </c>
      <c r="G1477" s="23">
        <v>0</v>
      </c>
      <c r="H1477" s="42">
        <v>46045</v>
      </c>
      <c r="I1477" s="21" t="s">
        <v>803</v>
      </c>
    </row>
    <row r="1478" spans="1:9">
      <c r="A1478">
        <f t="shared" si="23"/>
        <v>1474</v>
      </c>
      <c r="B1478" s="21" t="s">
        <v>312</v>
      </c>
      <c r="C1478" s="20" t="str">
        <f>IF(B1478="","",IF(COUNTIF('01_Anggota'!$D$5:$D$1212,B1478)=0,"NAMA TIDAK DITEMUKAN",INDEX('01_Anggota'!$B$5:$B$1212,MATCH(B1478,'01_Anggota'!$D$5:$D$1212,0))))</f>
        <v>KKSUK-000113</v>
      </c>
      <c r="D1478" s="23">
        <v>0</v>
      </c>
      <c r="E1478" s="23">
        <v>100000</v>
      </c>
      <c r="F1478" s="23">
        <v>150000</v>
      </c>
      <c r="G1478" s="23">
        <v>0</v>
      </c>
      <c r="H1478" s="42">
        <v>46078</v>
      </c>
      <c r="I1478" s="21" t="s">
        <v>804</v>
      </c>
    </row>
    <row r="1479" spans="1:9">
      <c r="A1479">
        <f t="shared" si="23"/>
        <v>1475</v>
      </c>
      <c r="B1479" s="21" t="s">
        <v>312</v>
      </c>
      <c r="C1479" s="20" t="str">
        <f>IF(B1479="","",IF(COUNTIF('01_Anggota'!$D$5:$D$1212,B1479)=0,"NAMA TIDAK DITEMUKAN",INDEX('01_Anggota'!$B$5:$B$1212,MATCH(B1479,'01_Anggota'!$D$5:$D$1212,0))))</f>
        <v>KKSUK-000113</v>
      </c>
      <c r="D1479" s="23">
        <v>0</v>
      </c>
      <c r="E1479" s="23">
        <v>100000</v>
      </c>
      <c r="F1479" s="23">
        <v>150000</v>
      </c>
      <c r="G1479" s="23">
        <v>0</v>
      </c>
      <c r="H1479" s="42">
        <v>46106</v>
      </c>
      <c r="I1479" s="21" t="s">
        <v>805</v>
      </c>
    </row>
    <row r="1480" spans="1:9">
      <c r="A1480">
        <f t="shared" si="23"/>
        <v>1476</v>
      </c>
      <c r="B1480" s="21" t="s">
        <v>312</v>
      </c>
      <c r="C1480" s="20" t="str">
        <f>IF(B1480="","",IF(COUNTIF('01_Anggota'!$D$5:$D$1212,B1480)=0,"NAMA TIDAK DITEMUKAN",INDEX('01_Anggota'!$B$5:$B$1212,MATCH(B1480,'01_Anggota'!$D$5:$D$1212,0))))</f>
        <v>KKSUK-000113</v>
      </c>
      <c r="D1480" s="23">
        <v>0</v>
      </c>
      <c r="E1480" s="23">
        <v>150000</v>
      </c>
      <c r="F1480" s="23">
        <v>100000</v>
      </c>
      <c r="G1480" s="23">
        <v>0</v>
      </c>
      <c r="H1480" s="42">
        <v>46136</v>
      </c>
      <c r="I1480" s="21" t="s">
        <v>806</v>
      </c>
    </row>
    <row r="1481" spans="1:9">
      <c r="A1481">
        <f t="shared" si="23"/>
        <v>1477</v>
      </c>
      <c r="B1481" s="21" t="s">
        <v>312</v>
      </c>
      <c r="C1481" s="20" t="str">
        <f>IF(B1481="","",IF(COUNTIF('01_Anggota'!$D$5:$D$1212,B1481)=0,"NAMA TIDAK DITEMUKAN",INDEX('01_Anggota'!$B$5:$B$1212,MATCH(B1481,'01_Anggota'!$D$5:$D$1212,0))))</f>
        <v>KKSUK-000113</v>
      </c>
      <c r="D1481" s="23">
        <v>0</v>
      </c>
      <c r="E1481" s="23">
        <v>150000</v>
      </c>
      <c r="F1481" s="23">
        <v>100000</v>
      </c>
      <c r="G1481" s="23">
        <v>0</v>
      </c>
      <c r="H1481" s="42">
        <v>46167</v>
      </c>
      <c r="I1481" s="21" t="s">
        <v>807</v>
      </c>
    </row>
    <row r="1482" spans="1:9">
      <c r="A1482">
        <f t="shared" si="23"/>
        <v>1478</v>
      </c>
      <c r="B1482" s="21" t="s">
        <v>312</v>
      </c>
      <c r="C1482" s="20" t="str">
        <f>IF(B1482="","",IF(COUNTIF('01_Anggota'!$D$5:$D$1212,B1482)=0,"NAMA TIDAK DITEMUKAN",INDEX('01_Anggota'!$B$5:$B$1212,MATCH(B1482,'01_Anggota'!$D$5:$D$1212,0))))</f>
        <v>KKSUK-000113</v>
      </c>
      <c r="D1482" s="23">
        <v>0</v>
      </c>
      <c r="E1482" s="23">
        <v>150000</v>
      </c>
      <c r="F1482" s="23">
        <v>100000</v>
      </c>
      <c r="G1482" s="23">
        <v>0</v>
      </c>
      <c r="H1482" s="42">
        <v>46198</v>
      </c>
      <c r="I1482" s="21" t="s">
        <v>808</v>
      </c>
    </row>
    <row r="1483" spans="1:9">
      <c r="A1483">
        <f t="shared" si="23"/>
        <v>1479</v>
      </c>
      <c r="B1483" s="21" t="s">
        <v>312</v>
      </c>
      <c r="C1483" s="20" t="str">
        <f>IF(B1483="","",IF(COUNTIF('01_Anggota'!$D$5:$D$1212,B1483)=0,"NAMA TIDAK DITEMUKAN",INDEX('01_Anggota'!$B$5:$B$1212,MATCH(B1483,'01_Anggota'!$D$5:$D$1212,0))))</f>
        <v>KKSUK-000113</v>
      </c>
      <c r="D1483" s="23">
        <v>0</v>
      </c>
      <c r="E1483" s="23">
        <v>150000</v>
      </c>
      <c r="F1483" s="23">
        <v>100000</v>
      </c>
      <c r="G1483" s="23">
        <v>0</v>
      </c>
      <c r="H1483" s="42">
        <v>46227</v>
      </c>
      <c r="I1483" s="21" t="s">
        <v>809</v>
      </c>
    </row>
    <row r="1484" spans="1:9">
      <c r="A1484">
        <f t="shared" si="23"/>
        <v>1480</v>
      </c>
      <c r="B1484" s="21" t="s">
        <v>312</v>
      </c>
      <c r="C1484" s="20" t="str">
        <f>IF(B1484="","",IF(COUNTIF('01_Anggota'!$D$5:$D$1212,B1484)=0,"NAMA TIDAK DITEMUKAN",INDEX('01_Anggota'!$B$5:$B$1212,MATCH(B1484,'01_Anggota'!$D$5:$D$1212,0))))</f>
        <v>KKSUK-000113</v>
      </c>
      <c r="D1484" s="23">
        <v>0</v>
      </c>
      <c r="E1484" s="23">
        <v>150000</v>
      </c>
      <c r="F1484" s="23">
        <v>100000</v>
      </c>
      <c r="G1484" s="23">
        <v>0</v>
      </c>
      <c r="H1484" s="42">
        <v>46258</v>
      </c>
      <c r="I1484" s="21" t="s">
        <v>810</v>
      </c>
    </row>
    <row r="1485" spans="1:9">
      <c r="A1485">
        <f t="shared" si="23"/>
        <v>1481</v>
      </c>
      <c r="B1485" s="21" t="s">
        <v>285</v>
      </c>
      <c r="C1485" s="20" t="str">
        <f>IF(B1485="","",IF(COUNTIF('01_Anggota'!$D$5:$D$1212,B1485)=0,"NAMA TIDAK DITEMUKAN",INDEX('01_Anggota'!$B$5:$B$1212,MATCH(B1485,'01_Anggota'!$D$5:$D$1212,0))))</f>
        <v>KKSUK-000086</v>
      </c>
      <c r="D1485" s="23">
        <v>0</v>
      </c>
      <c r="E1485" s="23">
        <v>3280000</v>
      </c>
      <c r="F1485" s="23">
        <v>17366651.538359798</v>
      </c>
      <c r="G1485" s="23">
        <v>10348641</v>
      </c>
      <c r="H1485" s="42">
        <v>46023</v>
      </c>
      <c r="I1485" s="21" t="s">
        <v>802</v>
      </c>
    </row>
    <row r="1486" spans="1:9">
      <c r="A1486">
        <f t="shared" si="23"/>
        <v>1482</v>
      </c>
      <c r="B1486" s="21" t="s">
        <v>285</v>
      </c>
      <c r="C1486" s="20" t="str">
        <f>IF(B1486="","",IF(COUNTIF('01_Anggota'!$D$5:$D$1212,B1486)=0,"NAMA TIDAK DITEMUKAN",INDEX('01_Anggota'!$B$5:$B$1212,MATCH(B1486,'01_Anggota'!$D$5:$D$1212,0))))</f>
        <v>KKSUK-000086</v>
      </c>
      <c r="D1486" s="23">
        <v>0</v>
      </c>
      <c r="E1486" s="23">
        <v>110000</v>
      </c>
      <c r="F1486" s="23">
        <v>100000</v>
      </c>
      <c r="G1486" s="23">
        <v>0</v>
      </c>
      <c r="H1486" s="42">
        <v>46045</v>
      </c>
      <c r="I1486" s="21" t="s">
        <v>803</v>
      </c>
    </row>
    <row r="1487" spans="1:9">
      <c r="A1487">
        <f t="shared" si="23"/>
        <v>1483</v>
      </c>
      <c r="B1487" s="21" t="s">
        <v>285</v>
      </c>
      <c r="C1487" s="20" t="str">
        <f>IF(B1487="","",IF(COUNTIF('01_Anggota'!$D$5:$D$1212,B1487)=0,"NAMA TIDAK DITEMUKAN",INDEX('01_Anggota'!$B$5:$B$1212,MATCH(B1487,'01_Anggota'!$D$5:$D$1212,0))))</f>
        <v>KKSUK-000086</v>
      </c>
      <c r="D1487" s="23">
        <v>0</v>
      </c>
      <c r="E1487" s="23">
        <v>110000</v>
      </c>
      <c r="F1487" s="23">
        <v>100000</v>
      </c>
      <c r="G1487" s="23">
        <v>0</v>
      </c>
      <c r="H1487" s="42">
        <v>46078</v>
      </c>
      <c r="I1487" s="21" t="s">
        <v>804</v>
      </c>
    </row>
    <row r="1488" spans="1:9">
      <c r="A1488">
        <f t="shared" si="23"/>
        <v>1484</v>
      </c>
      <c r="B1488" s="21" t="s">
        <v>285</v>
      </c>
      <c r="C1488" s="20" t="str">
        <f>IF(B1488="","",IF(COUNTIF('01_Anggota'!$D$5:$D$1212,B1488)=0,"NAMA TIDAK DITEMUKAN",INDEX('01_Anggota'!$B$5:$B$1212,MATCH(B1488,'01_Anggota'!$D$5:$D$1212,0))))</f>
        <v>KKSUK-000086</v>
      </c>
      <c r="D1488" s="23">
        <v>0</v>
      </c>
      <c r="E1488" s="23">
        <v>110000</v>
      </c>
      <c r="F1488" s="23">
        <v>100000</v>
      </c>
      <c r="G1488" s="23">
        <v>0</v>
      </c>
      <c r="H1488" s="42">
        <v>46106</v>
      </c>
      <c r="I1488" s="21" t="s">
        <v>805</v>
      </c>
    </row>
    <row r="1489" spans="1:9">
      <c r="A1489">
        <f t="shared" si="23"/>
        <v>1485</v>
      </c>
      <c r="B1489" s="21" t="s">
        <v>285</v>
      </c>
      <c r="C1489" s="20" t="str">
        <f>IF(B1489="","",IF(COUNTIF('01_Anggota'!$D$5:$D$1212,B1489)=0,"NAMA TIDAK DITEMUKAN",INDEX('01_Anggota'!$B$5:$B$1212,MATCH(B1489,'01_Anggota'!$D$5:$D$1212,0))))</f>
        <v>KKSUK-000086</v>
      </c>
      <c r="D1489" s="23">
        <v>0</v>
      </c>
      <c r="E1489" s="23">
        <v>110000</v>
      </c>
      <c r="F1489" s="23">
        <v>100000</v>
      </c>
      <c r="G1489" s="23">
        <v>0</v>
      </c>
      <c r="H1489" s="42">
        <v>46136</v>
      </c>
      <c r="I1489" s="21" t="s">
        <v>806</v>
      </c>
    </row>
    <row r="1490" spans="1:9">
      <c r="A1490">
        <f t="shared" si="23"/>
        <v>1486</v>
      </c>
      <c r="B1490" s="21" t="s">
        <v>285</v>
      </c>
      <c r="C1490" s="20" t="str">
        <f>IF(B1490="","",IF(COUNTIF('01_Anggota'!$D$5:$D$1212,B1490)=0,"NAMA TIDAK DITEMUKAN",INDEX('01_Anggota'!$B$5:$B$1212,MATCH(B1490,'01_Anggota'!$D$5:$D$1212,0))))</f>
        <v>KKSUK-000086</v>
      </c>
      <c r="D1490" s="23">
        <v>0</v>
      </c>
      <c r="E1490" s="23">
        <v>110000</v>
      </c>
      <c r="F1490" s="23">
        <v>100000</v>
      </c>
      <c r="G1490" s="23">
        <v>0</v>
      </c>
      <c r="H1490" s="42">
        <v>46167</v>
      </c>
      <c r="I1490" s="21" t="s">
        <v>807</v>
      </c>
    </row>
    <row r="1491" spans="1:9">
      <c r="A1491">
        <f t="shared" si="23"/>
        <v>1487</v>
      </c>
      <c r="B1491" s="21" t="s">
        <v>285</v>
      </c>
      <c r="C1491" s="20" t="str">
        <f>IF(B1491="","",IF(COUNTIF('01_Anggota'!$D$5:$D$1212,B1491)=0,"NAMA TIDAK DITEMUKAN",INDEX('01_Anggota'!$B$5:$B$1212,MATCH(B1491,'01_Anggota'!$D$5:$D$1212,0))))</f>
        <v>KKSUK-000086</v>
      </c>
      <c r="D1491" s="23">
        <v>0</v>
      </c>
      <c r="E1491" s="23">
        <v>110000</v>
      </c>
      <c r="F1491" s="23">
        <v>100000</v>
      </c>
      <c r="G1491" s="23">
        <v>0</v>
      </c>
      <c r="H1491" s="42">
        <v>46198</v>
      </c>
      <c r="I1491" s="21" t="s">
        <v>808</v>
      </c>
    </row>
    <row r="1492" spans="1:9">
      <c r="A1492">
        <f t="shared" si="23"/>
        <v>1488</v>
      </c>
      <c r="B1492" s="21" t="s">
        <v>285</v>
      </c>
      <c r="C1492" s="20" t="str">
        <f>IF(B1492="","",IF(COUNTIF('01_Anggota'!$D$5:$D$1212,B1492)=0,"NAMA TIDAK DITEMUKAN",INDEX('01_Anggota'!$B$5:$B$1212,MATCH(B1492,'01_Anggota'!$D$5:$D$1212,0))))</f>
        <v>KKSUK-000086</v>
      </c>
      <c r="D1492" s="23">
        <v>0</v>
      </c>
      <c r="E1492" s="23">
        <v>110000</v>
      </c>
      <c r="F1492" s="23">
        <v>100000</v>
      </c>
      <c r="G1492" s="23">
        <v>0</v>
      </c>
      <c r="H1492" s="42">
        <v>46227</v>
      </c>
      <c r="I1492" s="21" t="s">
        <v>809</v>
      </c>
    </row>
    <row r="1493" spans="1:9">
      <c r="A1493">
        <f t="shared" si="23"/>
        <v>1489</v>
      </c>
      <c r="B1493" s="21" t="s">
        <v>285</v>
      </c>
      <c r="C1493" s="20" t="str">
        <f>IF(B1493="","",IF(COUNTIF('01_Anggota'!$D$5:$D$1212,B1493)=0,"NAMA TIDAK DITEMUKAN",INDEX('01_Anggota'!$B$5:$B$1212,MATCH(B1493,'01_Anggota'!$D$5:$D$1212,0))))</f>
        <v>KKSUK-000086</v>
      </c>
      <c r="D1493" s="23">
        <v>0</v>
      </c>
      <c r="E1493" s="23">
        <v>110000</v>
      </c>
      <c r="F1493" s="23">
        <v>100000</v>
      </c>
      <c r="G1493" s="23">
        <v>0</v>
      </c>
      <c r="H1493" s="42">
        <v>46258</v>
      </c>
      <c r="I1493" s="21" t="s">
        <v>810</v>
      </c>
    </row>
    <row r="1494" spans="1:9">
      <c r="A1494">
        <f t="shared" si="23"/>
        <v>1490</v>
      </c>
      <c r="B1494" s="21" t="s">
        <v>335</v>
      </c>
      <c r="C1494" s="20" t="str">
        <f>IF(B1494="","",IF(COUNTIF('01_Anggota'!$D$5:$D$1212,B1494)=0,"NAMA TIDAK DITEMUKAN",INDEX('01_Anggota'!$B$5:$B$1212,MATCH(B1494,'01_Anggota'!$D$5:$D$1212,0))))</f>
        <v>KKSUK-000136</v>
      </c>
      <c r="D1494" s="23">
        <v>0</v>
      </c>
      <c r="E1494" s="23">
        <v>3450000</v>
      </c>
      <c r="F1494" s="23">
        <v>10693211.751806799</v>
      </c>
      <c r="G1494" s="23">
        <v>3630729</v>
      </c>
      <c r="H1494" s="42">
        <v>46023</v>
      </c>
      <c r="I1494" s="21" t="s">
        <v>802</v>
      </c>
    </row>
    <row r="1495" spans="1:9">
      <c r="A1495">
        <f t="shared" si="23"/>
        <v>1491</v>
      </c>
      <c r="B1495" s="21" t="s">
        <v>335</v>
      </c>
      <c r="C1495" s="20" t="str">
        <f>IF(B1495="","",IF(COUNTIF('01_Anggota'!$D$5:$D$1212,B1495)=0,"NAMA TIDAK DITEMUKAN",INDEX('01_Anggota'!$B$5:$B$1212,MATCH(B1495,'01_Anggota'!$D$5:$D$1212,0))))</f>
        <v>KKSUK-000136</v>
      </c>
      <c r="D1495" s="23">
        <v>0</v>
      </c>
      <c r="E1495" s="23">
        <v>50000</v>
      </c>
      <c r="F1495" s="23">
        <v>100000</v>
      </c>
      <c r="G1495" s="23">
        <v>0</v>
      </c>
      <c r="H1495" s="42">
        <v>46045</v>
      </c>
      <c r="I1495" s="21" t="s">
        <v>803</v>
      </c>
    </row>
    <row r="1496" spans="1:9">
      <c r="A1496">
        <f t="shared" si="23"/>
        <v>1492</v>
      </c>
      <c r="B1496" s="21" t="s">
        <v>335</v>
      </c>
      <c r="C1496" s="20" t="str">
        <f>IF(B1496="","",IF(COUNTIF('01_Anggota'!$D$5:$D$1212,B1496)=0,"NAMA TIDAK DITEMUKAN",INDEX('01_Anggota'!$B$5:$B$1212,MATCH(B1496,'01_Anggota'!$D$5:$D$1212,0))))</f>
        <v>KKSUK-000136</v>
      </c>
      <c r="D1496" s="23">
        <v>0</v>
      </c>
      <c r="E1496" s="23">
        <v>50000</v>
      </c>
      <c r="F1496" s="23">
        <v>100000</v>
      </c>
      <c r="G1496" s="23">
        <v>0</v>
      </c>
      <c r="H1496" s="42">
        <v>46078</v>
      </c>
      <c r="I1496" s="21" t="s">
        <v>804</v>
      </c>
    </row>
    <row r="1497" spans="1:9">
      <c r="A1497">
        <f t="shared" si="23"/>
        <v>1493</v>
      </c>
      <c r="B1497" s="21" t="s">
        <v>335</v>
      </c>
      <c r="C1497" s="20" t="str">
        <f>IF(B1497="","",IF(COUNTIF('01_Anggota'!$D$5:$D$1212,B1497)=0,"NAMA TIDAK DITEMUKAN",INDEX('01_Anggota'!$B$5:$B$1212,MATCH(B1497,'01_Anggota'!$D$5:$D$1212,0))))</f>
        <v>KKSUK-000136</v>
      </c>
      <c r="D1497" s="23">
        <v>0</v>
      </c>
      <c r="E1497" s="23">
        <v>50000</v>
      </c>
      <c r="F1497" s="23">
        <v>100000</v>
      </c>
      <c r="G1497" s="23">
        <v>0</v>
      </c>
      <c r="H1497" s="42">
        <v>46106</v>
      </c>
      <c r="I1497" s="21" t="s">
        <v>805</v>
      </c>
    </row>
    <row r="1498" spans="1:9">
      <c r="A1498">
        <f t="shared" si="23"/>
        <v>1494</v>
      </c>
      <c r="B1498" s="21" t="s">
        <v>335</v>
      </c>
      <c r="C1498" s="20" t="str">
        <f>IF(B1498="","",IF(COUNTIF('01_Anggota'!$D$5:$D$1212,B1498)=0,"NAMA TIDAK DITEMUKAN",INDEX('01_Anggota'!$B$5:$B$1212,MATCH(B1498,'01_Anggota'!$D$5:$D$1212,0))))</f>
        <v>KKSUK-000136</v>
      </c>
      <c r="D1498" s="23">
        <v>0</v>
      </c>
      <c r="E1498" s="23">
        <v>50000</v>
      </c>
      <c r="F1498" s="23">
        <v>100000</v>
      </c>
      <c r="G1498" s="23">
        <v>0</v>
      </c>
      <c r="H1498" s="42">
        <v>46136</v>
      </c>
      <c r="I1498" s="21" t="s">
        <v>806</v>
      </c>
    </row>
    <row r="1499" spans="1:9">
      <c r="A1499">
        <f t="shared" si="23"/>
        <v>1495</v>
      </c>
      <c r="B1499" s="21" t="s">
        <v>335</v>
      </c>
      <c r="C1499" s="20" t="str">
        <f>IF(B1499="","",IF(COUNTIF('01_Anggota'!$D$5:$D$1212,B1499)=0,"NAMA TIDAK DITEMUKAN",INDEX('01_Anggota'!$B$5:$B$1212,MATCH(B1499,'01_Anggota'!$D$5:$D$1212,0))))</f>
        <v>KKSUK-000136</v>
      </c>
      <c r="D1499" s="23">
        <v>0</v>
      </c>
      <c r="E1499" s="23">
        <v>50000</v>
      </c>
      <c r="F1499" s="23">
        <v>100000</v>
      </c>
      <c r="G1499" s="23">
        <v>0</v>
      </c>
      <c r="H1499" s="42">
        <v>46167</v>
      </c>
      <c r="I1499" s="21" t="s">
        <v>807</v>
      </c>
    </row>
    <row r="1500" spans="1:9">
      <c r="A1500">
        <f t="shared" si="23"/>
        <v>1496</v>
      </c>
      <c r="B1500" s="21" t="s">
        <v>335</v>
      </c>
      <c r="C1500" s="20" t="str">
        <f>IF(B1500="","",IF(COUNTIF('01_Anggota'!$D$5:$D$1212,B1500)=0,"NAMA TIDAK DITEMUKAN",INDEX('01_Anggota'!$B$5:$B$1212,MATCH(B1500,'01_Anggota'!$D$5:$D$1212,0))))</f>
        <v>KKSUK-000136</v>
      </c>
      <c r="D1500" s="23">
        <v>0</v>
      </c>
      <c r="E1500" s="23">
        <v>50000</v>
      </c>
      <c r="F1500" s="23">
        <v>100000</v>
      </c>
      <c r="G1500" s="23">
        <v>0</v>
      </c>
      <c r="H1500" s="42">
        <v>46198</v>
      </c>
      <c r="I1500" s="21" t="s">
        <v>808</v>
      </c>
    </row>
    <row r="1501" spans="1:9">
      <c r="A1501">
        <f t="shared" si="23"/>
        <v>1497</v>
      </c>
      <c r="B1501" s="21" t="s">
        <v>335</v>
      </c>
      <c r="C1501" s="20" t="str">
        <f>IF(B1501="","",IF(COUNTIF('01_Anggota'!$D$5:$D$1212,B1501)=0,"NAMA TIDAK DITEMUKAN",INDEX('01_Anggota'!$B$5:$B$1212,MATCH(B1501,'01_Anggota'!$D$5:$D$1212,0))))</f>
        <v>KKSUK-000136</v>
      </c>
      <c r="D1501" s="23">
        <v>0</v>
      </c>
      <c r="E1501" s="23">
        <v>50000</v>
      </c>
      <c r="F1501" s="23">
        <v>100000</v>
      </c>
      <c r="G1501" s="23">
        <v>0</v>
      </c>
      <c r="H1501" s="42">
        <v>46227</v>
      </c>
      <c r="I1501" s="21" t="s">
        <v>809</v>
      </c>
    </row>
    <row r="1502" spans="1:9">
      <c r="A1502">
        <f t="shared" si="23"/>
        <v>1498</v>
      </c>
      <c r="B1502" s="21" t="s">
        <v>335</v>
      </c>
      <c r="C1502" s="20" t="str">
        <f>IF(B1502="","",IF(COUNTIF('01_Anggota'!$D$5:$D$1212,B1502)=0,"NAMA TIDAK DITEMUKAN",INDEX('01_Anggota'!$B$5:$B$1212,MATCH(B1502,'01_Anggota'!$D$5:$D$1212,0))))</f>
        <v>KKSUK-000136</v>
      </c>
      <c r="D1502" s="23">
        <v>0</v>
      </c>
      <c r="E1502" s="23">
        <v>50000</v>
      </c>
      <c r="F1502" s="23">
        <v>100000</v>
      </c>
      <c r="G1502" s="23">
        <v>0</v>
      </c>
      <c r="H1502" s="42">
        <v>46258</v>
      </c>
      <c r="I1502" s="21" t="s">
        <v>810</v>
      </c>
    </row>
    <row r="1503" spans="1:9">
      <c r="A1503">
        <f t="shared" si="23"/>
        <v>1499</v>
      </c>
      <c r="B1503" s="21" t="s">
        <v>383</v>
      </c>
      <c r="C1503" s="20" t="str">
        <f>IF(B1503="","",IF(COUNTIF('01_Anggota'!$D$5:$D$1212,B1503)=0,"NAMA TIDAK DITEMUKAN",INDEX('01_Anggota'!$B$5:$B$1212,MATCH(B1503,'01_Anggota'!$D$5:$D$1212,0))))</f>
        <v>KKSUK-000184</v>
      </c>
      <c r="D1503" s="23">
        <v>0</v>
      </c>
      <c r="E1503" s="23">
        <v>300000</v>
      </c>
      <c r="F1503" s="23">
        <v>600000</v>
      </c>
      <c r="G1503" s="23">
        <v>0</v>
      </c>
      <c r="H1503" s="42">
        <v>46023</v>
      </c>
      <c r="I1503" s="21" t="s">
        <v>802</v>
      </c>
    </row>
    <row r="1504" spans="1:9">
      <c r="A1504">
        <f t="shared" si="23"/>
        <v>1500</v>
      </c>
      <c r="B1504" s="21" t="s">
        <v>383</v>
      </c>
      <c r="C1504" s="20" t="str">
        <f>IF(B1504="","",IF(COUNTIF('01_Anggota'!$D$5:$D$1212,B1504)=0,"NAMA TIDAK DITEMUKAN",INDEX('01_Anggota'!$B$5:$B$1212,MATCH(B1504,'01_Anggota'!$D$5:$D$1212,0))))</f>
        <v>KKSUK-000184</v>
      </c>
      <c r="D1504" s="23">
        <v>0</v>
      </c>
      <c r="E1504" s="23">
        <v>50000</v>
      </c>
      <c r="F1504" s="23">
        <v>100000</v>
      </c>
      <c r="G1504" s="23">
        <v>0</v>
      </c>
      <c r="H1504" s="42">
        <v>46078</v>
      </c>
      <c r="I1504" s="21" t="s">
        <v>804</v>
      </c>
    </row>
    <row r="1505" spans="1:9">
      <c r="A1505">
        <f t="shared" si="23"/>
        <v>1501</v>
      </c>
      <c r="B1505" s="21" t="s">
        <v>383</v>
      </c>
      <c r="C1505" s="20" t="str">
        <f>IF(B1505="","",IF(COUNTIF('01_Anggota'!$D$5:$D$1212,B1505)=0,"NAMA TIDAK DITEMUKAN",INDEX('01_Anggota'!$B$5:$B$1212,MATCH(B1505,'01_Anggota'!$D$5:$D$1212,0))))</f>
        <v>KKSUK-000184</v>
      </c>
      <c r="D1505" s="23">
        <v>0</v>
      </c>
      <c r="E1505" s="23">
        <v>50000</v>
      </c>
      <c r="F1505" s="23">
        <v>100000</v>
      </c>
      <c r="G1505" s="23">
        <v>0</v>
      </c>
      <c r="H1505" s="42">
        <v>46106</v>
      </c>
      <c r="I1505" s="21" t="s">
        <v>805</v>
      </c>
    </row>
    <row r="1506" spans="1:9">
      <c r="A1506">
        <f t="shared" si="23"/>
        <v>1502</v>
      </c>
      <c r="B1506" s="21" t="s">
        <v>383</v>
      </c>
      <c r="C1506" s="20" t="str">
        <f>IF(B1506="","",IF(COUNTIF('01_Anggota'!$D$5:$D$1212,B1506)=0,"NAMA TIDAK DITEMUKAN",INDEX('01_Anggota'!$B$5:$B$1212,MATCH(B1506,'01_Anggota'!$D$5:$D$1212,0))))</f>
        <v>KKSUK-000184</v>
      </c>
      <c r="D1506" s="23">
        <v>0</v>
      </c>
      <c r="E1506" s="23">
        <v>50000</v>
      </c>
      <c r="F1506" s="23">
        <v>100000</v>
      </c>
      <c r="G1506" s="23">
        <v>0</v>
      </c>
      <c r="H1506" s="42">
        <v>46136</v>
      </c>
      <c r="I1506" s="21" t="s">
        <v>806</v>
      </c>
    </row>
    <row r="1507" spans="1:9">
      <c r="A1507">
        <f t="shared" si="23"/>
        <v>1503</v>
      </c>
      <c r="B1507" s="21" t="s">
        <v>383</v>
      </c>
      <c r="C1507" s="20" t="str">
        <f>IF(B1507="","",IF(COUNTIF('01_Anggota'!$D$5:$D$1212,B1507)=0,"NAMA TIDAK DITEMUKAN",INDEX('01_Anggota'!$B$5:$B$1212,MATCH(B1507,'01_Anggota'!$D$5:$D$1212,0))))</f>
        <v>KKSUK-000184</v>
      </c>
      <c r="D1507" s="23">
        <v>0</v>
      </c>
      <c r="E1507" s="23">
        <v>50000</v>
      </c>
      <c r="F1507" s="23">
        <v>100000</v>
      </c>
      <c r="G1507" s="23">
        <v>0</v>
      </c>
      <c r="H1507" s="42">
        <v>46167</v>
      </c>
      <c r="I1507" s="21" t="s">
        <v>807</v>
      </c>
    </row>
    <row r="1508" spans="1:9">
      <c r="A1508">
        <f t="shared" si="23"/>
        <v>1504</v>
      </c>
      <c r="B1508" s="21" t="s">
        <v>291</v>
      </c>
      <c r="C1508" s="20" t="str">
        <f>IF(B1508="","",IF(COUNTIF('01_Anggota'!$D$5:$D$1212,B1508)=0,"NAMA TIDAK DITEMUKAN",INDEX('01_Anggota'!$B$5:$B$1212,MATCH(B1508,'01_Anggota'!$D$5:$D$1212,0))))</f>
        <v>KKSUK-000092</v>
      </c>
      <c r="D1508" s="23">
        <v>0</v>
      </c>
      <c r="E1508" s="23">
        <v>4450000</v>
      </c>
      <c r="F1508" s="23">
        <v>12685283.3298823</v>
      </c>
      <c r="G1508" s="23">
        <v>3845172</v>
      </c>
      <c r="H1508" s="42">
        <v>46023</v>
      </c>
      <c r="I1508" s="21" t="s">
        <v>802</v>
      </c>
    </row>
    <row r="1509" spans="1:9">
      <c r="A1509">
        <f t="shared" si="23"/>
        <v>1505</v>
      </c>
      <c r="B1509" s="21" t="s">
        <v>291</v>
      </c>
      <c r="C1509" s="20" t="str">
        <f>IF(B1509="","",IF(COUNTIF('01_Anggota'!$D$5:$D$1212,B1509)=0,"NAMA TIDAK DITEMUKAN",INDEX('01_Anggota'!$B$5:$B$1212,MATCH(B1509,'01_Anggota'!$D$5:$D$1212,0))))</f>
        <v>KKSUK-000092</v>
      </c>
      <c r="D1509" s="23">
        <v>0</v>
      </c>
      <c r="E1509" s="23">
        <v>100000</v>
      </c>
      <c r="F1509" s="23">
        <v>100000</v>
      </c>
      <c r="G1509" s="23">
        <v>0</v>
      </c>
      <c r="H1509" s="42">
        <v>46045</v>
      </c>
      <c r="I1509" s="21" t="s">
        <v>803</v>
      </c>
    </row>
    <row r="1510" spans="1:9">
      <c r="A1510">
        <f t="shared" si="23"/>
        <v>1506</v>
      </c>
      <c r="B1510" s="21" t="s">
        <v>291</v>
      </c>
      <c r="C1510" s="20" t="str">
        <f>IF(B1510="","",IF(COUNTIF('01_Anggota'!$D$5:$D$1212,B1510)=0,"NAMA TIDAK DITEMUKAN",INDEX('01_Anggota'!$B$5:$B$1212,MATCH(B1510,'01_Anggota'!$D$5:$D$1212,0))))</f>
        <v>KKSUK-000092</v>
      </c>
      <c r="D1510" s="23">
        <v>0</v>
      </c>
      <c r="E1510" s="23">
        <v>100000</v>
      </c>
      <c r="F1510" s="23">
        <v>100000</v>
      </c>
      <c r="G1510" s="23">
        <v>0</v>
      </c>
      <c r="H1510" s="42">
        <v>46078</v>
      </c>
      <c r="I1510" s="21" t="s">
        <v>804</v>
      </c>
    </row>
    <row r="1511" spans="1:9">
      <c r="A1511">
        <f t="shared" si="23"/>
        <v>1507</v>
      </c>
      <c r="B1511" s="21" t="s">
        <v>291</v>
      </c>
      <c r="C1511" s="20" t="str">
        <f>IF(B1511="","",IF(COUNTIF('01_Anggota'!$D$5:$D$1212,B1511)=0,"NAMA TIDAK DITEMUKAN",INDEX('01_Anggota'!$B$5:$B$1212,MATCH(B1511,'01_Anggota'!$D$5:$D$1212,0))))</f>
        <v>KKSUK-000092</v>
      </c>
      <c r="D1511" s="23">
        <v>0</v>
      </c>
      <c r="E1511" s="23">
        <v>100000</v>
      </c>
      <c r="F1511" s="23">
        <v>100000</v>
      </c>
      <c r="G1511" s="23">
        <v>0</v>
      </c>
      <c r="H1511" s="42">
        <v>46106</v>
      </c>
      <c r="I1511" s="21" t="s">
        <v>805</v>
      </c>
    </row>
    <row r="1512" spans="1:9">
      <c r="A1512">
        <f t="shared" ref="A1512:A1575" si="24">IF(B1512="","",ROW()-4)</f>
        <v>1508</v>
      </c>
      <c r="B1512" s="21" t="s">
        <v>291</v>
      </c>
      <c r="C1512" s="20" t="str">
        <f>IF(B1512="","",IF(COUNTIF('01_Anggota'!$D$5:$D$1212,B1512)=0,"NAMA TIDAK DITEMUKAN",INDEX('01_Anggota'!$B$5:$B$1212,MATCH(B1512,'01_Anggota'!$D$5:$D$1212,0))))</f>
        <v>KKSUK-000092</v>
      </c>
      <c r="D1512" s="23">
        <v>0</v>
      </c>
      <c r="E1512" s="23">
        <v>100000</v>
      </c>
      <c r="F1512" s="23">
        <v>100000</v>
      </c>
      <c r="G1512" s="23">
        <v>0</v>
      </c>
      <c r="H1512" s="42">
        <v>46136</v>
      </c>
      <c r="I1512" s="21" t="s">
        <v>806</v>
      </c>
    </row>
    <row r="1513" spans="1:9">
      <c r="A1513">
        <f t="shared" si="24"/>
        <v>1509</v>
      </c>
      <c r="B1513" s="21" t="s">
        <v>291</v>
      </c>
      <c r="C1513" s="20" t="str">
        <f>IF(B1513="","",IF(COUNTIF('01_Anggota'!$D$5:$D$1212,B1513)=0,"NAMA TIDAK DITEMUKAN",INDEX('01_Anggota'!$B$5:$B$1212,MATCH(B1513,'01_Anggota'!$D$5:$D$1212,0))))</f>
        <v>KKSUK-000092</v>
      </c>
      <c r="D1513" s="23">
        <v>0</v>
      </c>
      <c r="E1513" s="23">
        <v>100000</v>
      </c>
      <c r="F1513" s="23">
        <v>100000</v>
      </c>
      <c r="G1513" s="23">
        <v>0</v>
      </c>
      <c r="H1513" s="42">
        <v>46167</v>
      </c>
      <c r="I1513" s="21" t="s">
        <v>807</v>
      </c>
    </row>
    <row r="1514" spans="1:9">
      <c r="A1514">
        <f t="shared" si="24"/>
        <v>1510</v>
      </c>
      <c r="B1514" s="21" t="s">
        <v>291</v>
      </c>
      <c r="C1514" s="20" t="str">
        <f>IF(B1514="","",IF(COUNTIF('01_Anggota'!$D$5:$D$1212,B1514)=0,"NAMA TIDAK DITEMUKAN",INDEX('01_Anggota'!$B$5:$B$1212,MATCH(B1514,'01_Anggota'!$D$5:$D$1212,0))))</f>
        <v>KKSUK-000092</v>
      </c>
      <c r="D1514" s="23">
        <v>0</v>
      </c>
      <c r="E1514" s="23">
        <v>100000</v>
      </c>
      <c r="F1514" s="23">
        <v>100000</v>
      </c>
      <c r="G1514" s="23">
        <v>0</v>
      </c>
      <c r="H1514" s="42">
        <v>46198</v>
      </c>
      <c r="I1514" s="21" t="s">
        <v>808</v>
      </c>
    </row>
    <row r="1515" spans="1:9">
      <c r="A1515">
        <f t="shared" si="24"/>
        <v>1511</v>
      </c>
      <c r="B1515" s="21" t="s">
        <v>291</v>
      </c>
      <c r="C1515" s="20" t="str">
        <f>IF(B1515="","",IF(COUNTIF('01_Anggota'!$D$5:$D$1212,B1515)=0,"NAMA TIDAK DITEMUKAN",INDEX('01_Anggota'!$B$5:$B$1212,MATCH(B1515,'01_Anggota'!$D$5:$D$1212,0))))</f>
        <v>KKSUK-000092</v>
      </c>
      <c r="D1515" s="23">
        <v>0</v>
      </c>
      <c r="E1515" s="23">
        <v>100000</v>
      </c>
      <c r="F1515" s="23">
        <v>100000</v>
      </c>
      <c r="G1515" s="23">
        <v>0</v>
      </c>
      <c r="H1515" s="42">
        <v>46227</v>
      </c>
      <c r="I1515" s="21" t="s">
        <v>809</v>
      </c>
    </row>
    <row r="1516" spans="1:9">
      <c r="A1516">
        <f t="shared" si="24"/>
        <v>1512</v>
      </c>
      <c r="B1516" s="21" t="s">
        <v>291</v>
      </c>
      <c r="C1516" s="20" t="str">
        <f>IF(B1516="","",IF(COUNTIF('01_Anggota'!$D$5:$D$1212,B1516)=0,"NAMA TIDAK DITEMUKAN",INDEX('01_Anggota'!$B$5:$B$1212,MATCH(B1516,'01_Anggota'!$D$5:$D$1212,0))))</f>
        <v>KKSUK-000092</v>
      </c>
      <c r="D1516" s="23">
        <v>0</v>
      </c>
      <c r="E1516" s="23">
        <v>100000</v>
      </c>
      <c r="F1516" s="23">
        <v>100000</v>
      </c>
      <c r="G1516" s="23">
        <v>0</v>
      </c>
      <c r="H1516" s="42">
        <v>46258</v>
      </c>
      <c r="I1516" s="21" t="s">
        <v>810</v>
      </c>
    </row>
    <row r="1517" spans="1:9">
      <c r="A1517">
        <f t="shared" si="24"/>
        <v>1513</v>
      </c>
      <c r="B1517" s="21" t="s">
        <v>292</v>
      </c>
      <c r="C1517" s="20" t="str">
        <f>IF(B1517="","",IF(COUNTIF('01_Anggota'!$D$5:$D$1212,B1517)=0,"NAMA TIDAK DITEMUKAN",INDEX('01_Anggota'!$B$5:$B$1212,MATCH(B1517,'01_Anggota'!$D$5:$D$1212,0))))</f>
        <v>KKSUK-000093</v>
      </c>
      <c r="D1517" s="23">
        <v>0</v>
      </c>
      <c r="E1517" s="23">
        <v>2070000</v>
      </c>
      <c r="F1517" s="23">
        <v>11315734.1199554</v>
      </c>
      <c r="G1517" s="23">
        <v>3699926</v>
      </c>
      <c r="H1517" s="42">
        <v>46023</v>
      </c>
      <c r="I1517" s="21" t="s">
        <v>802</v>
      </c>
    </row>
    <row r="1518" spans="1:9">
      <c r="A1518">
        <f t="shared" si="24"/>
        <v>1514</v>
      </c>
      <c r="B1518" s="21" t="s">
        <v>292</v>
      </c>
      <c r="C1518" s="20" t="str">
        <f>IF(B1518="","",IF(COUNTIF('01_Anggota'!$D$5:$D$1212,B1518)=0,"NAMA TIDAK DITEMUKAN",INDEX('01_Anggota'!$B$5:$B$1212,MATCH(B1518,'01_Anggota'!$D$5:$D$1212,0))))</f>
        <v>KKSUK-000093</v>
      </c>
      <c r="D1518" s="23">
        <v>0</v>
      </c>
      <c r="E1518" s="23">
        <v>175000</v>
      </c>
      <c r="F1518" s="23">
        <v>100000</v>
      </c>
      <c r="G1518" s="23">
        <v>0</v>
      </c>
      <c r="H1518" s="42">
        <v>46045</v>
      </c>
      <c r="I1518" s="21" t="s">
        <v>803</v>
      </c>
    </row>
    <row r="1519" spans="1:9">
      <c r="A1519">
        <f t="shared" si="24"/>
        <v>1515</v>
      </c>
      <c r="B1519" s="21" t="s">
        <v>292</v>
      </c>
      <c r="C1519" s="20" t="str">
        <f>IF(B1519="","",IF(COUNTIF('01_Anggota'!$D$5:$D$1212,B1519)=0,"NAMA TIDAK DITEMUKAN",INDEX('01_Anggota'!$B$5:$B$1212,MATCH(B1519,'01_Anggota'!$D$5:$D$1212,0))))</f>
        <v>KKSUK-000093</v>
      </c>
      <c r="D1519" s="23">
        <v>0</v>
      </c>
      <c r="E1519" s="23">
        <v>175000</v>
      </c>
      <c r="F1519" s="23">
        <v>100000</v>
      </c>
      <c r="G1519" s="23">
        <v>0</v>
      </c>
      <c r="H1519" s="42">
        <v>46078</v>
      </c>
      <c r="I1519" s="21" t="s">
        <v>804</v>
      </c>
    </row>
    <row r="1520" spans="1:9">
      <c r="A1520">
        <f t="shared" si="24"/>
        <v>1516</v>
      </c>
      <c r="B1520" s="21" t="s">
        <v>292</v>
      </c>
      <c r="C1520" s="20" t="str">
        <f>IF(B1520="","",IF(COUNTIF('01_Anggota'!$D$5:$D$1212,B1520)=0,"NAMA TIDAK DITEMUKAN",INDEX('01_Anggota'!$B$5:$B$1212,MATCH(B1520,'01_Anggota'!$D$5:$D$1212,0))))</f>
        <v>KKSUK-000093</v>
      </c>
      <c r="D1520" s="23">
        <v>0</v>
      </c>
      <c r="E1520" s="23">
        <v>175000</v>
      </c>
      <c r="F1520" s="23">
        <v>100000</v>
      </c>
      <c r="G1520" s="23">
        <v>0</v>
      </c>
      <c r="H1520" s="42">
        <v>46106</v>
      </c>
      <c r="I1520" s="21" t="s">
        <v>805</v>
      </c>
    </row>
    <row r="1521" spans="1:9">
      <c r="A1521">
        <f t="shared" si="24"/>
        <v>1517</v>
      </c>
      <c r="B1521" s="21" t="s">
        <v>292</v>
      </c>
      <c r="C1521" s="20" t="str">
        <f>IF(B1521="","",IF(COUNTIF('01_Anggota'!$D$5:$D$1212,B1521)=0,"NAMA TIDAK DITEMUKAN",INDEX('01_Anggota'!$B$5:$B$1212,MATCH(B1521,'01_Anggota'!$D$5:$D$1212,0))))</f>
        <v>KKSUK-000093</v>
      </c>
      <c r="D1521" s="23">
        <v>0</v>
      </c>
      <c r="E1521" s="23">
        <v>175000</v>
      </c>
      <c r="F1521" s="23">
        <v>100000</v>
      </c>
      <c r="G1521" s="23">
        <v>0</v>
      </c>
      <c r="H1521" s="42">
        <v>46136</v>
      </c>
      <c r="I1521" s="21" t="s">
        <v>806</v>
      </c>
    </row>
    <row r="1522" spans="1:9">
      <c r="A1522">
        <f t="shared" si="24"/>
        <v>1518</v>
      </c>
      <c r="B1522" s="21" t="s">
        <v>292</v>
      </c>
      <c r="C1522" s="20" t="str">
        <f>IF(B1522="","",IF(COUNTIF('01_Anggota'!$D$5:$D$1212,B1522)=0,"NAMA TIDAK DITEMUKAN",INDEX('01_Anggota'!$B$5:$B$1212,MATCH(B1522,'01_Anggota'!$D$5:$D$1212,0))))</f>
        <v>KKSUK-000093</v>
      </c>
      <c r="D1522" s="23">
        <v>0</v>
      </c>
      <c r="E1522" s="23">
        <v>175000</v>
      </c>
      <c r="F1522" s="23">
        <v>100000</v>
      </c>
      <c r="G1522" s="23">
        <v>0</v>
      </c>
      <c r="H1522" s="42">
        <v>46167</v>
      </c>
      <c r="I1522" s="21" t="s">
        <v>807</v>
      </c>
    </row>
    <row r="1523" spans="1:9">
      <c r="A1523">
        <f t="shared" si="24"/>
        <v>1519</v>
      </c>
      <c r="B1523" s="21" t="s">
        <v>292</v>
      </c>
      <c r="C1523" s="20" t="str">
        <f>IF(B1523="","",IF(COUNTIF('01_Anggota'!$D$5:$D$1212,B1523)=0,"NAMA TIDAK DITEMUKAN",INDEX('01_Anggota'!$B$5:$B$1212,MATCH(B1523,'01_Anggota'!$D$5:$D$1212,0))))</f>
        <v>KKSUK-000093</v>
      </c>
      <c r="D1523" s="23">
        <v>0</v>
      </c>
      <c r="E1523" s="23">
        <v>175000</v>
      </c>
      <c r="F1523" s="23">
        <v>100000</v>
      </c>
      <c r="G1523" s="23">
        <v>0</v>
      </c>
      <c r="H1523" s="42">
        <v>46198</v>
      </c>
      <c r="I1523" s="21" t="s">
        <v>808</v>
      </c>
    </row>
    <row r="1524" spans="1:9">
      <c r="A1524">
        <f t="shared" si="24"/>
        <v>1520</v>
      </c>
      <c r="B1524" s="21" t="s">
        <v>292</v>
      </c>
      <c r="C1524" s="20" t="str">
        <f>IF(B1524="","",IF(COUNTIF('01_Anggota'!$D$5:$D$1212,B1524)=0,"NAMA TIDAK DITEMUKAN",INDEX('01_Anggota'!$B$5:$B$1212,MATCH(B1524,'01_Anggota'!$D$5:$D$1212,0))))</f>
        <v>KKSUK-000093</v>
      </c>
      <c r="D1524" s="23">
        <v>0</v>
      </c>
      <c r="E1524" s="23">
        <v>175000</v>
      </c>
      <c r="F1524" s="23">
        <v>100000</v>
      </c>
      <c r="G1524" s="23">
        <v>0</v>
      </c>
      <c r="H1524" s="42">
        <v>46227</v>
      </c>
      <c r="I1524" s="21" t="s">
        <v>809</v>
      </c>
    </row>
    <row r="1525" spans="1:9">
      <c r="A1525">
        <f t="shared" si="24"/>
        <v>1521</v>
      </c>
      <c r="B1525" s="21" t="s">
        <v>292</v>
      </c>
      <c r="C1525" s="20" t="str">
        <f>IF(B1525="","",IF(COUNTIF('01_Anggota'!$D$5:$D$1212,B1525)=0,"NAMA TIDAK DITEMUKAN",INDEX('01_Anggota'!$B$5:$B$1212,MATCH(B1525,'01_Anggota'!$D$5:$D$1212,0))))</f>
        <v>KKSUK-000093</v>
      </c>
      <c r="D1525" s="23">
        <v>0</v>
      </c>
      <c r="E1525" s="23">
        <v>175000</v>
      </c>
      <c r="F1525" s="23">
        <v>100000</v>
      </c>
      <c r="G1525" s="23">
        <v>0</v>
      </c>
      <c r="H1525" s="42">
        <v>46258</v>
      </c>
      <c r="I1525" s="21" t="s">
        <v>810</v>
      </c>
    </row>
    <row r="1526" spans="1:9">
      <c r="A1526">
        <f t="shared" si="24"/>
        <v>1522</v>
      </c>
      <c r="B1526" s="21" t="s">
        <v>293</v>
      </c>
      <c r="C1526" s="20" t="str">
        <f>IF(B1526="","",IF(COUNTIF('01_Anggota'!$D$5:$D$1212,B1526)=0,"NAMA TIDAK DITEMUKAN",INDEX('01_Anggota'!$B$5:$B$1212,MATCH(B1526,'01_Anggota'!$D$5:$D$1212,0))))</f>
        <v>KKSUK-000094</v>
      </c>
      <c r="D1526" s="23">
        <v>0</v>
      </c>
      <c r="E1526" s="23">
        <v>5760000</v>
      </c>
      <c r="F1526" s="23">
        <v>16453618.7317419</v>
      </c>
      <c r="G1526" s="23">
        <v>8763259</v>
      </c>
      <c r="H1526" s="42">
        <v>46023</v>
      </c>
      <c r="I1526" s="21" t="s">
        <v>802</v>
      </c>
    </row>
    <row r="1527" spans="1:9">
      <c r="A1527">
        <f t="shared" si="24"/>
        <v>1523</v>
      </c>
      <c r="B1527" s="21" t="s">
        <v>293</v>
      </c>
      <c r="C1527" s="20" t="str">
        <f>IF(B1527="","",IF(COUNTIF('01_Anggota'!$D$5:$D$1212,B1527)=0,"NAMA TIDAK DITEMUKAN",INDEX('01_Anggota'!$B$5:$B$1212,MATCH(B1527,'01_Anggota'!$D$5:$D$1212,0))))</f>
        <v>KKSUK-000094</v>
      </c>
      <c r="D1527" s="23">
        <v>0</v>
      </c>
      <c r="E1527" s="23">
        <v>-3000000</v>
      </c>
      <c r="F1527" s="23">
        <v>0</v>
      </c>
      <c r="G1527" s="23">
        <v>0</v>
      </c>
      <c r="H1527" s="42">
        <v>46045</v>
      </c>
      <c r="I1527" s="21" t="s">
        <v>803</v>
      </c>
    </row>
    <row r="1528" spans="1:9">
      <c r="A1528">
        <f t="shared" si="24"/>
        <v>1524</v>
      </c>
      <c r="B1528" s="21" t="s">
        <v>293</v>
      </c>
      <c r="C1528" s="20" t="str">
        <f>IF(B1528="","",IF(COUNTIF('01_Anggota'!$D$5:$D$1212,B1528)=0,"NAMA TIDAK DITEMUKAN",INDEX('01_Anggota'!$B$5:$B$1212,MATCH(B1528,'01_Anggota'!$D$5:$D$1212,0))))</f>
        <v>KKSUK-000094</v>
      </c>
      <c r="D1528" s="23">
        <v>0</v>
      </c>
      <c r="E1528" s="23">
        <v>100000</v>
      </c>
      <c r="F1528" s="23">
        <v>100000</v>
      </c>
      <c r="G1528" s="23">
        <v>0</v>
      </c>
      <c r="H1528" s="42">
        <v>46045</v>
      </c>
      <c r="I1528" s="21" t="s">
        <v>803</v>
      </c>
    </row>
    <row r="1529" spans="1:9">
      <c r="A1529">
        <f t="shared" si="24"/>
        <v>1525</v>
      </c>
      <c r="B1529" s="21" t="s">
        <v>293</v>
      </c>
      <c r="C1529" s="20" t="str">
        <f>IF(B1529="","",IF(COUNTIF('01_Anggota'!$D$5:$D$1212,B1529)=0,"NAMA TIDAK DITEMUKAN",INDEX('01_Anggota'!$B$5:$B$1212,MATCH(B1529,'01_Anggota'!$D$5:$D$1212,0))))</f>
        <v>KKSUK-000094</v>
      </c>
      <c r="D1529" s="23">
        <v>0</v>
      </c>
      <c r="E1529" s="23">
        <v>100000</v>
      </c>
      <c r="F1529" s="23">
        <v>100000</v>
      </c>
      <c r="G1529" s="23">
        <v>0</v>
      </c>
      <c r="H1529" s="42">
        <v>46078</v>
      </c>
      <c r="I1529" s="21" t="s">
        <v>804</v>
      </c>
    </row>
    <row r="1530" spans="1:9">
      <c r="A1530">
        <f t="shared" si="24"/>
        <v>1526</v>
      </c>
      <c r="B1530" s="21" t="s">
        <v>293</v>
      </c>
      <c r="C1530" s="20" t="str">
        <f>IF(B1530="","",IF(COUNTIF('01_Anggota'!$D$5:$D$1212,B1530)=0,"NAMA TIDAK DITEMUKAN",INDEX('01_Anggota'!$B$5:$B$1212,MATCH(B1530,'01_Anggota'!$D$5:$D$1212,0))))</f>
        <v>KKSUK-000094</v>
      </c>
      <c r="D1530" s="23">
        <v>0</v>
      </c>
      <c r="E1530" s="23">
        <v>100000</v>
      </c>
      <c r="F1530" s="23">
        <v>100000</v>
      </c>
      <c r="G1530" s="23">
        <v>0</v>
      </c>
      <c r="H1530" s="42">
        <v>46106</v>
      </c>
      <c r="I1530" s="21" t="s">
        <v>805</v>
      </c>
    </row>
    <row r="1531" spans="1:9">
      <c r="A1531">
        <f t="shared" si="24"/>
        <v>1527</v>
      </c>
      <c r="B1531" s="21" t="s">
        <v>293</v>
      </c>
      <c r="C1531" s="20" t="str">
        <f>IF(B1531="","",IF(COUNTIF('01_Anggota'!$D$5:$D$1212,B1531)=0,"NAMA TIDAK DITEMUKAN",INDEX('01_Anggota'!$B$5:$B$1212,MATCH(B1531,'01_Anggota'!$D$5:$D$1212,0))))</f>
        <v>KKSUK-000094</v>
      </c>
      <c r="D1531" s="23">
        <v>0</v>
      </c>
      <c r="E1531" s="23">
        <v>100000</v>
      </c>
      <c r="F1531" s="23">
        <v>100000</v>
      </c>
      <c r="G1531" s="23">
        <v>0</v>
      </c>
      <c r="H1531" s="42">
        <v>46136</v>
      </c>
      <c r="I1531" s="21" t="s">
        <v>806</v>
      </c>
    </row>
    <row r="1532" spans="1:9">
      <c r="A1532">
        <f t="shared" si="24"/>
        <v>1528</v>
      </c>
      <c r="B1532" s="21" t="s">
        <v>293</v>
      </c>
      <c r="C1532" s="20" t="str">
        <f>IF(B1532="","",IF(COUNTIF('01_Anggota'!$D$5:$D$1212,B1532)=0,"NAMA TIDAK DITEMUKAN",INDEX('01_Anggota'!$B$5:$B$1212,MATCH(B1532,'01_Anggota'!$D$5:$D$1212,0))))</f>
        <v>KKSUK-000094</v>
      </c>
      <c r="D1532" s="23">
        <v>0</v>
      </c>
      <c r="E1532" s="23">
        <v>100000</v>
      </c>
      <c r="F1532" s="23">
        <v>100000</v>
      </c>
      <c r="G1532" s="23">
        <v>0</v>
      </c>
      <c r="H1532" s="42">
        <v>46167</v>
      </c>
      <c r="I1532" s="21" t="s">
        <v>807</v>
      </c>
    </row>
    <row r="1533" spans="1:9">
      <c r="A1533">
        <f t="shared" si="24"/>
        <v>1529</v>
      </c>
      <c r="B1533" s="21" t="s">
        <v>293</v>
      </c>
      <c r="C1533" s="20" t="str">
        <f>IF(B1533="","",IF(COUNTIF('01_Anggota'!$D$5:$D$1212,B1533)=0,"NAMA TIDAK DITEMUKAN",INDEX('01_Anggota'!$B$5:$B$1212,MATCH(B1533,'01_Anggota'!$D$5:$D$1212,0))))</f>
        <v>KKSUK-000094</v>
      </c>
      <c r="D1533" s="23">
        <v>0</v>
      </c>
      <c r="E1533" s="23">
        <v>100000</v>
      </c>
      <c r="F1533" s="23">
        <v>100000</v>
      </c>
      <c r="G1533" s="23">
        <v>0</v>
      </c>
      <c r="H1533" s="42">
        <v>46198</v>
      </c>
      <c r="I1533" s="21" t="s">
        <v>808</v>
      </c>
    </row>
    <row r="1534" spans="1:9">
      <c r="A1534">
        <f t="shared" si="24"/>
        <v>1530</v>
      </c>
      <c r="B1534" s="21" t="s">
        <v>293</v>
      </c>
      <c r="C1534" s="20" t="str">
        <f>IF(B1534="","",IF(COUNTIF('01_Anggota'!$D$5:$D$1212,B1534)=0,"NAMA TIDAK DITEMUKAN",INDEX('01_Anggota'!$B$5:$B$1212,MATCH(B1534,'01_Anggota'!$D$5:$D$1212,0))))</f>
        <v>KKSUK-000094</v>
      </c>
      <c r="D1534" s="23">
        <v>0</v>
      </c>
      <c r="E1534" s="23">
        <v>100000</v>
      </c>
      <c r="F1534" s="23">
        <v>100000</v>
      </c>
      <c r="G1534" s="23">
        <v>0</v>
      </c>
      <c r="H1534" s="42">
        <v>46227</v>
      </c>
      <c r="I1534" s="21" t="s">
        <v>809</v>
      </c>
    </row>
    <row r="1535" spans="1:9">
      <c r="A1535">
        <f t="shared" si="24"/>
        <v>1531</v>
      </c>
      <c r="B1535" s="21" t="s">
        <v>293</v>
      </c>
      <c r="C1535" s="20" t="str">
        <f>IF(B1535="","",IF(COUNTIF('01_Anggota'!$D$5:$D$1212,B1535)=0,"NAMA TIDAK DITEMUKAN",INDEX('01_Anggota'!$B$5:$B$1212,MATCH(B1535,'01_Anggota'!$D$5:$D$1212,0))))</f>
        <v>KKSUK-000094</v>
      </c>
      <c r="D1535" s="23">
        <v>0</v>
      </c>
      <c r="E1535" s="23">
        <v>100000</v>
      </c>
      <c r="F1535" s="23">
        <v>100000</v>
      </c>
      <c r="G1535" s="23">
        <v>0</v>
      </c>
      <c r="H1535" s="42">
        <v>46258</v>
      </c>
      <c r="I1535" s="21" t="s">
        <v>810</v>
      </c>
    </row>
    <row r="1536" spans="1:9">
      <c r="A1536">
        <f t="shared" si="24"/>
        <v>1532</v>
      </c>
      <c r="B1536" s="21" t="s">
        <v>352</v>
      </c>
      <c r="C1536" s="20" t="str">
        <f>IF(B1536="","",IF(COUNTIF('01_Anggota'!$D$5:$D$1212,B1536)=0,"NAMA TIDAK DITEMUKAN",INDEX('01_Anggota'!$B$5:$B$1212,MATCH(B1536,'01_Anggota'!$D$5:$D$1212,0))))</f>
        <v>KKSUK-000153</v>
      </c>
      <c r="D1536" s="23">
        <v>0</v>
      </c>
      <c r="E1536" s="23">
        <v>1500000</v>
      </c>
      <c r="F1536" s="23">
        <v>1000000</v>
      </c>
      <c r="G1536" s="23">
        <v>0</v>
      </c>
      <c r="H1536" s="42">
        <v>46023</v>
      </c>
      <c r="I1536" s="21" t="s">
        <v>802</v>
      </c>
    </row>
    <row r="1537" spans="1:9">
      <c r="A1537">
        <f t="shared" si="24"/>
        <v>1533</v>
      </c>
      <c r="B1537" s="21" t="s">
        <v>352</v>
      </c>
      <c r="C1537" s="20" t="str">
        <f>IF(B1537="","",IF(COUNTIF('01_Anggota'!$D$5:$D$1212,B1537)=0,"NAMA TIDAK DITEMUKAN",INDEX('01_Anggota'!$B$5:$B$1212,MATCH(B1537,'01_Anggota'!$D$5:$D$1212,0))))</f>
        <v>KKSUK-000153</v>
      </c>
      <c r="D1537" s="23">
        <v>0</v>
      </c>
      <c r="E1537" s="23">
        <v>150000</v>
      </c>
      <c r="F1537" s="23">
        <v>100000</v>
      </c>
      <c r="G1537" s="23">
        <v>0</v>
      </c>
      <c r="H1537" s="42">
        <v>46045</v>
      </c>
      <c r="I1537" s="21" t="s">
        <v>803</v>
      </c>
    </row>
    <row r="1538" spans="1:9">
      <c r="A1538">
        <f t="shared" si="24"/>
        <v>1534</v>
      </c>
      <c r="B1538" s="21" t="s">
        <v>352</v>
      </c>
      <c r="C1538" s="20" t="str">
        <f>IF(B1538="","",IF(COUNTIF('01_Anggota'!$D$5:$D$1212,B1538)=0,"NAMA TIDAK DITEMUKAN",INDEX('01_Anggota'!$B$5:$B$1212,MATCH(B1538,'01_Anggota'!$D$5:$D$1212,0))))</f>
        <v>KKSUK-000153</v>
      </c>
      <c r="D1538" s="23">
        <v>0</v>
      </c>
      <c r="E1538" s="23">
        <v>150000</v>
      </c>
      <c r="F1538" s="23">
        <v>100000</v>
      </c>
      <c r="G1538" s="23">
        <v>0</v>
      </c>
      <c r="H1538" s="42">
        <v>46078</v>
      </c>
      <c r="I1538" s="21" t="s">
        <v>804</v>
      </c>
    </row>
    <row r="1539" spans="1:9">
      <c r="A1539">
        <f t="shared" si="24"/>
        <v>1535</v>
      </c>
      <c r="B1539" s="21" t="s">
        <v>352</v>
      </c>
      <c r="C1539" s="20" t="str">
        <f>IF(B1539="","",IF(COUNTIF('01_Anggota'!$D$5:$D$1212,B1539)=0,"NAMA TIDAK DITEMUKAN",INDEX('01_Anggota'!$B$5:$B$1212,MATCH(B1539,'01_Anggota'!$D$5:$D$1212,0))))</f>
        <v>KKSUK-000153</v>
      </c>
      <c r="D1539" s="23">
        <v>0</v>
      </c>
      <c r="E1539" s="23">
        <v>150000</v>
      </c>
      <c r="F1539" s="23">
        <v>100000</v>
      </c>
      <c r="G1539" s="23">
        <v>0</v>
      </c>
      <c r="H1539" s="42">
        <v>46106</v>
      </c>
      <c r="I1539" s="21" t="s">
        <v>805</v>
      </c>
    </row>
    <row r="1540" spans="1:9">
      <c r="A1540">
        <f t="shared" si="24"/>
        <v>1536</v>
      </c>
      <c r="B1540" s="21" t="s">
        <v>352</v>
      </c>
      <c r="C1540" s="20" t="str">
        <f>IF(B1540="","",IF(COUNTIF('01_Anggota'!$D$5:$D$1212,B1540)=0,"NAMA TIDAK DITEMUKAN",INDEX('01_Anggota'!$B$5:$B$1212,MATCH(B1540,'01_Anggota'!$D$5:$D$1212,0))))</f>
        <v>KKSUK-000153</v>
      </c>
      <c r="D1540" s="23">
        <v>0</v>
      </c>
      <c r="E1540" s="23">
        <v>150000</v>
      </c>
      <c r="F1540" s="23">
        <v>100000</v>
      </c>
      <c r="G1540" s="23">
        <v>0</v>
      </c>
      <c r="H1540" s="42">
        <v>46136</v>
      </c>
      <c r="I1540" s="21" t="s">
        <v>806</v>
      </c>
    </row>
    <row r="1541" spans="1:9">
      <c r="A1541">
        <f t="shared" si="24"/>
        <v>1537</v>
      </c>
      <c r="B1541" s="21" t="s">
        <v>352</v>
      </c>
      <c r="C1541" s="20" t="str">
        <f>IF(B1541="","",IF(COUNTIF('01_Anggota'!$D$5:$D$1212,B1541)=0,"NAMA TIDAK DITEMUKAN",INDEX('01_Anggota'!$B$5:$B$1212,MATCH(B1541,'01_Anggota'!$D$5:$D$1212,0))))</f>
        <v>KKSUK-000153</v>
      </c>
      <c r="D1541" s="23">
        <v>0</v>
      </c>
      <c r="E1541" s="23">
        <v>150000</v>
      </c>
      <c r="F1541" s="23">
        <v>100000</v>
      </c>
      <c r="G1541" s="23">
        <v>0</v>
      </c>
      <c r="H1541" s="42">
        <v>46167</v>
      </c>
      <c r="I1541" s="21" t="s">
        <v>807</v>
      </c>
    </row>
    <row r="1542" spans="1:9">
      <c r="A1542">
        <f t="shared" si="24"/>
        <v>1538</v>
      </c>
      <c r="B1542" s="21" t="s">
        <v>352</v>
      </c>
      <c r="C1542" s="20" t="str">
        <f>IF(B1542="","",IF(COUNTIF('01_Anggota'!$D$5:$D$1212,B1542)=0,"NAMA TIDAK DITEMUKAN",INDEX('01_Anggota'!$B$5:$B$1212,MATCH(B1542,'01_Anggota'!$D$5:$D$1212,0))))</f>
        <v>KKSUK-000153</v>
      </c>
      <c r="D1542" s="23">
        <v>0</v>
      </c>
      <c r="E1542" s="23">
        <v>150000</v>
      </c>
      <c r="F1542" s="23">
        <v>100000</v>
      </c>
      <c r="G1542" s="23">
        <v>0</v>
      </c>
      <c r="H1542" s="42">
        <v>46198</v>
      </c>
      <c r="I1542" s="21" t="s">
        <v>808</v>
      </c>
    </row>
    <row r="1543" spans="1:9">
      <c r="A1543">
        <f t="shared" si="24"/>
        <v>1539</v>
      </c>
      <c r="B1543" s="21" t="s">
        <v>352</v>
      </c>
      <c r="C1543" s="20" t="str">
        <f>IF(B1543="","",IF(COUNTIF('01_Anggota'!$D$5:$D$1212,B1543)=0,"NAMA TIDAK DITEMUKAN",INDEX('01_Anggota'!$B$5:$B$1212,MATCH(B1543,'01_Anggota'!$D$5:$D$1212,0))))</f>
        <v>KKSUK-000153</v>
      </c>
      <c r="D1543" s="23">
        <v>0</v>
      </c>
      <c r="E1543" s="23">
        <v>150000</v>
      </c>
      <c r="F1543" s="23">
        <v>100000</v>
      </c>
      <c r="G1543" s="23">
        <v>0</v>
      </c>
      <c r="H1543" s="42">
        <v>46227</v>
      </c>
      <c r="I1543" s="21" t="s">
        <v>809</v>
      </c>
    </row>
    <row r="1544" spans="1:9">
      <c r="A1544">
        <f t="shared" si="24"/>
        <v>1540</v>
      </c>
      <c r="B1544" s="21" t="s">
        <v>352</v>
      </c>
      <c r="C1544" s="20" t="str">
        <f>IF(B1544="","",IF(COUNTIF('01_Anggota'!$D$5:$D$1212,B1544)=0,"NAMA TIDAK DITEMUKAN",INDEX('01_Anggota'!$B$5:$B$1212,MATCH(B1544,'01_Anggota'!$D$5:$D$1212,0))))</f>
        <v>KKSUK-000153</v>
      </c>
      <c r="D1544" s="23">
        <v>0</v>
      </c>
      <c r="E1544" s="23">
        <v>150000</v>
      </c>
      <c r="F1544" s="23">
        <v>100000</v>
      </c>
      <c r="G1544" s="23">
        <v>0</v>
      </c>
      <c r="H1544" s="42">
        <v>46258</v>
      </c>
      <c r="I1544" s="21" t="s">
        <v>810</v>
      </c>
    </row>
    <row r="1545" spans="1:9">
      <c r="A1545">
        <f t="shared" si="24"/>
        <v>1541</v>
      </c>
      <c r="B1545" s="21" t="s">
        <v>378</v>
      </c>
      <c r="C1545" s="20" t="str">
        <f>IF(B1545="","",IF(COUNTIF('01_Anggota'!$D$5:$D$1212,B1545)=0,"NAMA TIDAK DITEMUKAN",INDEX('01_Anggota'!$B$5:$B$1212,MATCH(B1545,'01_Anggota'!$D$5:$D$1212,0))))</f>
        <v>KKSUK-000179</v>
      </c>
      <c r="D1545" s="23">
        <v>0</v>
      </c>
      <c r="E1545" s="23">
        <v>2430000</v>
      </c>
      <c r="F1545" s="23">
        <v>3100000</v>
      </c>
      <c r="G1545" s="23">
        <v>1205393</v>
      </c>
      <c r="H1545" s="42">
        <v>46023</v>
      </c>
      <c r="I1545" s="21" t="s">
        <v>802</v>
      </c>
    </row>
    <row r="1546" spans="1:9">
      <c r="A1546">
        <f t="shared" si="24"/>
        <v>1542</v>
      </c>
      <c r="B1546" s="21" t="s">
        <v>378</v>
      </c>
      <c r="C1546" s="20" t="str">
        <f>IF(B1546="","",IF(COUNTIF('01_Anggota'!$D$5:$D$1212,B1546)=0,"NAMA TIDAK DITEMUKAN",INDEX('01_Anggota'!$B$5:$B$1212,MATCH(B1546,'01_Anggota'!$D$5:$D$1212,0))))</f>
        <v>KKSUK-000179</v>
      </c>
      <c r="D1546" s="23">
        <v>0</v>
      </c>
      <c r="E1546" s="23">
        <v>100000</v>
      </c>
      <c r="F1546" s="23">
        <v>100000</v>
      </c>
      <c r="G1546" s="23">
        <v>0</v>
      </c>
      <c r="H1546" s="42">
        <v>46045</v>
      </c>
      <c r="I1546" s="21" t="s">
        <v>803</v>
      </c>
    </row>
    <row r="1547" spans="1:9">
      <c r="A1547">
        <f t="shared" si="24"/>
        <v>1543</v>
      </c>
      <c r="B1547" s="21" t="s">
        <v>378</v>
      </c>
      <c r="C1547" s="20" t="str">
        <f>IF(B1547="","",IF(COUNTIF('01_Anggota'!$D$5:$D$1212,B1547)=0,"NAMA TIDAK DITEMUKAN",INDEX('01_Anggota'!$B$5:$B$1212,MATCH(B1547,'01_Anggota'!$D$5:$D$1212,0))))</f>
        <v>KKSUK-000179</v>
      </c>
      <c r="D1547" s="23">
        <v>0</v>
      </c>
      <c r="E1547" s="23">
        <v>100000</v>
      </c>
      <c r="F1547" s="23">
        <v>100000</v>
      </c>
      <c r="G1547" s="23">
        <v>0</v>
      </c>
      <c r="H1547" s="42">
        <v>46136</v>
      </c>
      <c r="I1547" s="21" t="s">
        <v>806</v>
      </c>
    </row>
    <row r="1548" spans="1:9">
      <c r="A1548">
        <f t="shared" si="24"/>
        <v>1544</v>
      </c>
      <c r="B1548" s="21" t="s">
        <v>378</v>
      </c>
      <c r="C1548" s="20" t="str">
        <f>IF(B1548="","",IF(COUNTIF('01_Anggota'!$D$5:$D$1212,B1548)=0,"NAMA TIDAK DITEMUKAN",INDEX('01_Anggota'!$B$5:$B$1212,MATCH(B1548,'01_Anggota'!$D$5:$D$1212,0))))</f>
        <v>KKSUK-000179</v>
      </c>
      <c r="D1548" s="23">
        <v>0</v>
      </c>
      <c r="E1548" s="23">
        <v>100000</v>
      </c>
      <c r="F1548" s="23">
        <v>100000</v>
      </c>
      <c r="G1548" s="23">
        <v>0</v>
      </c>
      <c r="H1548" s="42">
        <v>46167</v>
      </c>
      <c r="I1548" s="21" t="s">
        <v>807</v>
      </c>
    </row>
    <row r="1549" spans="1:9">
      <c r="A1549">
        <f t="shared" si="24"/>
        <v>1545</v>
      </c>
      <c r="B1549" s="21" t="s">
        <v>378</v>
      </c>
      <c r="C1549" s="20" t="str">
        <f>IF(B1549="","",IF(COUNTIF('01_Anggota'!$D$5:$D$1212,B1549)=0,"NAMA TIDAK DITEMUKAN",INDEX('01_Anggota'!$B$5:$B$1212,MATCH(B1549,'01_Anggota'!$D$5:$D$1212,0))))</f>
        <v>KKSUK-000179</v>
      </c>
      <c r="D1549" s="23">
        <v>0</v>
      </c>
      <c r="E1549" s="23">
        <v>-2730000</v>
      </c>
      <c r="F1549" s="23">
        <v>-3400000</v>
      </c>
      <c r="G1549" s="23">
        <v>-1205393</v>
      </c>
      <c r="H1549" s="42">
        <v>46198</v>
      </c>
      <c r="I1549" s="21" t="s">
        <v>808</v>
      </c>
    </row>
    <row r="1550" spans="1:9">
      <c r="A1550">
        <f t="shared" si="24"/>
        <v>1546</v>
      </c>
      <c r="B1550" s="21" t="s">
        <v>378</v>
      </c>
      <c r="C1550" s="20" t="str">
        <f>IF(B1550="","",IF(COUNTIF('01_Anggota'!$D$5:$D$1212,B1550)=0,"NAMA TIDAK DITEMUKAN",INDEX('01_Anggota'!$B$5:$B$1212,MATCH(B1550,'01_Anggota'!$D$5:$D$1212,0))))</f>
        <v>KKSUK-000179</v>
      </c>
      <c r="D1550" s="23">
        <v>0</v>
      </c>
      <c r="E1550" s="23">
        <v>100000</v>
      </c>
      <c r="F1550" s="23">
        <v>100000</v>
      </c>
      <c r="G1550" s="23">
        <v>0</v>
      </c>
      <c r="H1550" s="42">
        <v>46106</v>
      </c>
      <c r="I1550" s="21" t="s">
        <v>805</v>
      </c>
    </row>
    <row r="1551" spans="1:9">
      <c r="A1551">
        <f t="shared" si="24"/>
        <v>1547</v>
      </c>
      <c r="B1551" s="21" t="s">
        <v>378</v>
      </c>
      <c r="C1551" s="20" t="str">
        <f>IF(B1551="","",IF(COUNTIF('01_Anggota'!$D$5:$D$1212,B1551)=0,"NAMA TIDAK DITEMUKAN",INDEX('01_Anggota'!$B$5:$B$1212,MATCH(B1551,'01_Anggota'!$D$5:$D$1212,0))))</f>
        <v>KKSUK-000179</v>
      </c>
      <c r="D1551" s="23">
        <v>0</v>
      </c>
      <c r="E1551" s="23">
        <v>100000</v>
      </c>
      <c r="F1551" s="23">
        <v>100000</v>
      </c>
      <c r="G1551" s="23">
        <v>0</v>
      </c>
      <c r="H1551" s="42">
        <v>46078</v>
      </c>
      <c r="I1551" s="21" t="s">
        <v>804</v>
      </c>
    </row>
    <row r="1552" spans="1:9">
      <c r="A1552">
        <f t="shared" si="24"/>
        <v>1548</v>
      </c>
      <c r="B1552" s="21" t="s">
        <v>345</v>
      </c>
      <c r="C1552" s="20" t="str">
        <f>IF(B1552="","",IF(COUNTIF('01_Anggota'!$D$5:$D$1212,B1552)=0,"NAMA TIDAK DITEMUKAN",INDEX('01_Anggota'!$B$5:$B$1212,MATCH(B1552,'01_Anggota'!$D$5:$D$1212,0))))</f>
        <v>KKSUK-000146</v>
      </c>
      <c r="D1552" s="23">
        <v>0</v>
      </c>
      <c r="E1552" s="23">
        <v>1500000</v>
      </c>
      <c r="F1552" s="23">
        <v>1500000</v>
      </c>
      <c r="G1552" s="23">
        <v>152081</v>
      </c>
      <c r="H1552" s="42">
        <v>46023</v>
      </c>
      <c r="I1552" s="21" t="s">
        <v>802</v>
      </c>
    </row>
    <row r="1553" spans="1:9">
      <c r="A1553">
        <f t="shared" si="24"/>
        <v>1549</v>
      </c>
      <c r="B1553" s="21" t="s">
        <v>345</v>
      </c>
      <c r="C1553" s="20" t="str">
        <f>IF(B1553="","",IF(COUNTIF('01_Anggota'!$D$5:$D$1212,B1553)=0,"NAMA TIDAK DITEMUKAN",INDEX('01_Anggota'!$B$5:$B$1212,MATCH(B1553,'01_Anggota'!$D$5:$D$1212,0))))</f>
        <v>KKSUK-000146</v>
      </c>
      <c r="D1553" s="23">
        <v>0</v>
      </c>
      <c r="E1553" s="23">
        <v>100000</v>
      </c>
      <c r="F1553" s="23">
        <v>100000</v>
      </c>
      <c r="G1553" s="23">
        <v>0</v>
      </c>
      <c r="H1553" s="42">
        <v>46045</v>
      </c>
      <c r="I1553" s="21" t="s">
        <v>803</v>
      </c>
    </row>
    <row r="1554" spans="1:9">
      <c r="A1554">
        <f t="shared" si="24"/>
        <v>1550</v>
      </c>
      <c r="B1554" s="21" t="s">
        <v>345</v>
      </c>
      <c r="C1554" s="20" t="str">
        <f>IF(B1554="","",IF(COUNTIF('01_Anggota'!$D$5:$D$1212,B1554)=0,"NAMA TIDAK DITEMUKAN",INDEX('01_Anggota'!$B$5:$B$1212,MATCH(B1554,'01_Anggota'!$D$5:$D$1212,0))))</f>
        <v>KKSUK-000146</v>
      </c>
      <c r="D1554" s="23">
        <v>0</v>
      </c>
      <c r="E1554" s="23">
        <v>100000</v>
      </c>
      <c r="F1554" s="23">
        <v>100000</v>
      </c>
      <c r="G1554" s="23">
        <v>0</v>
      </c>
      <c r="H1554" s="42">
        <v>46078</v>
      </c>
      <c r="I1554" s="21" t="s">
        <v>804</v>
      </c>
    </row>
    <row r="1555" spans="1:9">
      <c r="A1555">
        <f t="shared" si="24"/>
        <v>1551</v>
      </c>
      <c r="B1555" s="21" t="s">
        <v>345</v>
      </c>
      <c r="C1555" s="20" t="str">
        <f>IF(B1555="","",IF(COUNTIF('01_Anggota'!$D$5:$D$1212,B1555)=0,"NAMA TIDAK DITEMUKAN",INDEX('01_Anggota'!$B$5:$B$1212,MATCH(B1555,'01_Anggota'!$D$5:$D$1212,0))))</f>
        <v>KKSUK-000146</v>
      </c>
      <c r="D1555" s="23">
        <v>0</v>
      </c>
      <c r="E1555" s="23">
        <v>100000</v>
      </c>
      <c r="F1555" s="23">
        <v>100000</v>
      </c>
      <c r="G1555" s="23">
        <v>0</v>
      </c>
      <c r="H1555" s="42">
        <v>46106</v>
      </c>
      <c r="I1555" s="21" t="s">
        <v>805</v>
      </c>
    </row>
    <row r="1556" spans="1:9">
      <c r="A1556">
        <f t="shared" si="24"/>
        <v>1552</v>
      </c>
      <c r="B1556" s="21" t="s">
        <v>345</v>
      </c>
      <c r="C1556" s="20" t="str">
        <f>IF(B1556="","",IF(COUNTIF('01_Anggota'!$D$5:$D$1212,B1556)=0,"NAMA TIDAK DITEMUKAN",INDEX('01_Anggota'!$B$5:$B$1212,MATCH(B1556,'01_Anggota'!$D$5:$D$1212,0))))</f>
        <v>KKSUK-000146</v>
      </c>
      <c r="D1556" s="23">
        <v>0</v>
      </c>
      <c r="E1556" s="23">
        <v>100000</v>
      </c>
      <c r="F1556" s="23">
        <v>100000</v>
      </c>
      <c r="G1556" s="23">
        <v>0</v>
      </c>
      <c r="H1556" s="42">
        <v>46136</v>
      </c>
      <c r="I1556" s="21" t="s">
        <v>806</v>
      </c>
    </row>
    <row r="1557" spans="1:9">
      <c r="A1557">
        <f t="shared" si="24"/>
        <v>1553</v>
      </c>
      <c r="B1557" s="21" t="s">
        <v>345</v>
      </c>
      <c r="C1557" s="20" t="str">
        <f>IF(B1557="","",IF(COUNTIF('01_Anggota'!$D$5:$D$1212,B1557)=0,"NAMA TIDAK DITEMUKAN",INDEX('01_Anggota'!$B$5:$B$1212,MATCH(B1557,'01_Anggota'!$D$5:$D$1212,0))))</f>
        <v>KKSUK-000146</v>
      </c>
      <c r="D1557" s="23">
        <v>0</v>
      </c>
      <c r="E1557" s="23">
        <v>100000</v>
      </c>
      <c r="F1557" s="23">
        <v>100000</v>
      </c>
      <c r="G1557" s="23">
        <v>0</v>
      </c>
      <c r="H1557" s="42">
        <v>46167</v>
      </c>
      <c r="I1557" s="21" t="s">
        <v>807</v>
      </c>
    </row>
    <row r="1558" spans="1:9">
      <c r="A1558">
        <f t="shared" si="24"/>
        <v>1554</v>
      </c>
      <c r="B1558" s="21" t="s">
        <v>345</v>
      </c>
      <c r="C1558" s="20" t="str">
        <f>IF(B1558="","",IF(COUNTIF('01_Anggota'!$D$5:$D$1212,B1558)=0,"NAMA TIDAK DITEMUKAN",INDEX('01_Anggota'!$B$5:$B$1212,MATCH(B1558,'01_Anggota'!$D$5:$D$1212,0))))</f>
        <v>KKSUK-000146</v>
      </c>
      <c r="D1558" s="23">
        <v>0</v>
      </c>
      <c r="E1558" s="23">
        <v>100000</v>
      </c>
      <c r="F1558" s="23">
        <v>100000</v>
      </c>
      <c r="G1558" s="23">
        <v>0</v>
      </c>
      <c r="H1558" s="42">
        <v>46198</v>
      </c>
      <c r="I1558" s="21" t="s">
        <v>808</v>
      </c>
    </row>
    <row r="1559" spans="1:9">
      <c r="A1559">
        <f t="shared" si="24"/>
        <v>1555</v>
      </c>
      <c r="B1559" s="21" t="s">
        <v>345</v>
      </c>
      <c r="C1559" s="20" t="str">
        <f>IF(B1559="","",IF(COUNTIF('01_Anggota'!$D$5:$D$1212,B1559)=0,"NAMA TIDAK DITEMUKAN",INDEX('01_Anggota'!$B$5:$B$1212,MATCH(B1559,'01_Anggota'!$D$5:$D$1212,0))))</f>
        <v>KKSUK-000146</v>
      </c>
      <c r="D1559" s="23">
        <v>0</v>
      </c>
      <c r="E1559" s="23">
        <v>-1500000</v>
      </c>
      <c r="F1559" s="23">
        <v>0</v>
      </c>
      <c r="G1559" s="23">
        <v>0</v>
      </c>
      <c r="H1559" s="42">
        <v>46227</v>
      </c>
      <c r="I1559" s="21" t="s">
        <v>809</v>
      </c>
    </row>
    <row r="1560" spans="1:9">
      <c r="A1560">
        <f t="shared" si="24"/>
        <v>1556</v>
      </c>
      <c r="B1560" s="21" t="s">
        <v>345</v>
      </c>
      <c r="C1560" s="20" t="str">
        <f>IF(B1560="","",IF(COUNTIF('01_Anggota'!$D$5:$D$1212,B1560)=0,"NAMA TIDAK DITEMUKAN",INDEX('01_Anggota'!$B$5:$B$1212,MATCH(B1560,'01_Anggota'!$D$5:$D$1212,0))))</f>
        <v>KKSUK-000146</v>
      </c>
      <c r="D1560" s="23">
        <v>0</v>
      </c>
      <c r="E1560" s="23">
        <v>100000</v>
      </c>
      <c r="F1560" s="23">
        <v>100000</v>
      </c>
      <c r="G1560" s="23">
        <v>0</v>
      </c>
      <c r="H1560" s="42">
        <v>46227</v>
      </c>
      <c r="I1560" s="21" t="s">
        <v>809</v>
      </c>
    </row>
    <row r="1561" spans="1:9">
      <c r="A1561">
        <f t="shared" si="24"/>
        <v>1557</v>
      </c>
      <c r="B1561" s="21" t="s">
        <v>345</v>
      </c>
      <c r="C1561" s="20" t="str">
        <f>IF(B1561="","",IF(COUNTIF('01_Anggota'!$D$5:$D$1212,B1561)=0,"NAMA TIDAK DITEMUKAN",INDEX('01_Anggota'!$B$5:$B$1212,MATCH(B1561,'01_Anggota'!$D$5:$D$1212,0))))</f>
        <v>KKSUK-000146</v>
      </c>
      <c r="D1561" s="23">
        <v>0</v>
      </c>
      <c r="E1561" s="23">
        <v>100000</v>
      </c>
      <c r="F1561" s="23">
        <v>100000</v>
      </c>
      <c r="G1561" s="23">
        <v>0</v>
      </c>
      <c r="H1561" s="42">
        <v>46258</v>
      </c>
      <c r="I1561" s="21" t="s">
        <v>810</v>
      </c>
    </row>
    <row r="1562" spans="1:9">
      <c r="A1562">
        <f t="shared" si="24"/>
        <v>1558</v>
      </c>
      <c r="B1562" s="21" t="s">
        <v>294</v>
      </c>
      <c r="C1562" s="20" t="str">
        <f>IF(B1562="","",IF(COUNTIF('01_Anggota'!$D$5:$D$1212,B1562)=0,"NAMA TIDAK DITEMUKAN",INDEX('01_Anggota'!$B$5:$B$1212,MATCH(B1562,'01_Anggota'!$D$5:$D$1212,0))))</f>
        <v>KKSUK-000095</v>
      </c>
      <c r="D1562" s="23">
        <v>0</v>
      </c>
      <c r="E1562" s="23">
        <v>10050000</v>
      </c>
      <c r="F1562" s="23">
        <v>6600000</v>
      </c>
      <c r="G1562" s="23">
        <v>3533667</v>
      </c>
      <c r="H1562" s="42">
        <v>46023</v>
      </c>
      <c r="I1562" s="21" t="s">
        <v>802</v>
      </c>
    </row>
    <row r="1563" spans="1:9">
      <c r="A1563">
        <f t="shared" si="24"/>
        <v>1559</v>
      </c>
      <c r="B1563" s="21" t="s">
        <v>294</v>
      </c>
      <c r="C1563" s="20" t="str">
        <f>IF(B1563="","",IF(COUNTIF('01_Anggota'!$D$5:$D$1212,B1563)=0,"NAMA TIDAK DITEMUKAN",INDEX('01_Anggota'!$B$5:$B$1212,MATCH(B1563,'01_Anggota'!$D$5:$D$1212,0))))</f>
        <v>KKSUK-000095</v>
      </c>
      <c r="D1563" s="23">
        <v>0</v>
      </c>
      <c r="E1563" s="23">
        <v>-7500000</v>
      </c>
      <c r="F1563" s="23">
        <v>0</v>
      </c>
      <c r="G1563" s="23">
        <v>0</v>
      </c>
      <c r="H1563" s="42">
        <v>46045</v>
      </c>
      <c r="I1563" s="21" t="s">
        <v>803</v>
      </c>
    </row>
    <row r="1564" spans="1:9">
      <c r="A1564">
        <f t="shared" si="24"/>
        <v>1560</v>
      </c>
      <c r="B1564" s="21" t="s">
        <v>294</v>
      </c>
      <c r="C1564" s="20" t="str">
        <f>IF(B1564="","",IF(COUNTIF('01_Anggota'!$D$5:$D$1212,B1564)=0,"NAMA TIDAK DITEMUKAN",INDEX('01_Anggota'!$B$5:$B$1212,MATCH(B1564,'01_Anggota'!$D$5:$D$1212,0))))</f>
        <v>KKSUK-000095</v>
      </c>
      <c r="D1564" s="23">
        <v>0</v>
      </c>
      <c r="E1564" s="23">
        <v>300000</v>
      </c>
      <c r="F1564" s="23">
        <v>200000</v>
      </c>
      <c r="G1564" s="23">
        <v>0</v>
      </c>
      <c r="H1564" s="42">
        <v>46045</v>
      </c>
      <c r="I1564" s="21" t="s">
        <v>803</v>
      </c>
    </row>
    <row r="1565" spans="1:9">
      <c r="A1565">
        <f t="shared" si="24"/>
        <v>1561</v>
      </c>
      <c r="B1565" s="21" t="s">
        <v>294</v>
      </c>
      <c r="C1565" s="20" t="str">
        <f>IF(B1565="","",IF(COUNTIF('01_Anggota'!$D$5:$D$1212,B1565)=0,"NAMA TIDAK DITEMUKAN",INDEX('01_Anggota'!$B$5:$B$1212,MATCH(B1565,'01_Anggota'!$D$5:$D$1212,0))))</f>
        <v>KKSUK-000095</v>
      </c>
      <c r="D1565" s="23">
        <v>0</v>
      </c>
      <c r="E1565" s="23">
        <v>300000</v>
      </c>
      <c r="F1565" s="23">
        <v>200000</v>
      </c>
      <c r="G1565" s="23">
        <v>0</v>
      </c>
      <c r="H1565" s="42">
        <v>46078</v>
      </c>
      <c r="I1565" s="21" t="s">
        <v>804</v>
      </c>
    </row>
    <row r="1566" spans="1:9">
      <c r="A1566">
        <f t="shared" si="24"/>
        <v>1562</v>
      </c>
      <c r="B1566" s="21" t="s">
        <v>294</v>
      </c>
      <c r="C1566" s="20" t="str">
        <f>IF(B1566="","",IF(COUNTIF('01_Anggota'!$D$5:$D$1212,B1566)=0,"NAMA TIDAK DITEMUKAN",INDEX('01_Anggota'!$B$5:$B$1212,MATCH(B1566,'01_Anggota'!$D$5:$D$1212,0))))</f>
        <v>KKSUK-000095</v>
      </c>
      <c r="D1566" s="23">
        <v>0</v>
      </c>
      <c r="E1566" s="23">
        <v>300000</v>
      </c>
      <c r="F1566" s="23">
        <v>200000</v>
      </c>
      <c r="G1566" s="23">
        <v>0</v>
      </c>
      <c r="H1566" s="42">
        <v>46106</v>
      </c>
      <c r="I1566" s="21" t="s">
        <v>805</v>
      </c>
    </row>
    <row r="1567" spans="1:9">
      <c r="A1567">
        <f t="shared" si="24"/>
        <v>1563</v>
      </c>
      <c r="B1567" s="21" t="s">
        <v>294</v>
      </c>
      <c r="C1567" s="20" t="str">
        <f>IF(B1567="","",IF(COUNTIF('01_Anggota'!$D$5:$D$1212,B1567)=0,"NAMA TIDAK DITEMUKAN",INDEX('01_Anggota'!$B$5:$B$1212,MATCH(B1567,'01_Anggota'!$D$5:$D$1212,0))))</f>
        <v>KKSUK-000095</v>
      </c>
      <c r="D1567" s="23">
        <v>0</v>
      </c>
      <c r="E1567" s="23">
        <v>300000</v>
      </c>
      <c r="F1567" s="23">
        <v>200000</v>
      </c>
      <c r="G1567" s="23">
        <v>0</v>
      </c>
      <c r="H1567" s="42">
        <v>46136</v>
      </c>
      <c r="I1567" s="21" t="s">
        <v>806</v>
      </c>
    </row>
    <row r="1568" spans="1:9">
      <c r="A1568">
        <f t="shared" si="24"/>
        <v>1564</v>
      </c>
      <c r="B1568" s="21" t="s">
        <v>294</v>
      </c>
      <c r="C1568" s="20" t="str">
        <f>IF(B1568="","",IF(COUNTIF('01_Anggota'!$D$5:$D$1212,B1568)=0,"NAMA TIDAK DITEMUKAN",INDEX('01_Anggota'!$B$5:$B$1212,MATCH(B1568,'01_Anggota'!$D$5:$D$1212,0))))</f>
        <v>KKSUK-000095</v>
      </c>
      <c r="D1568" s="23">
        <v>0</v>
      </c>
      <c r="E1568" s="23">
        <v>300000</v>
      </c>
      <c r="F1568" s="23">
        <v>200000</v>
      </c>
      <c r="G1568" s="23">
        <v>0</v>
      </c>
      <c r="H1568" s="42">
        <v>46167</v>
      </c>
      <c r="I1568" s="21" t="s">
        <v>807</v>
      </c>
    </row>
    <row r="1569" spans="1:9">
      <c r="A1569">
        <f t="shared" si="24"/>
        <v>1565</v>
      </c>
      <c r="B1569" s="21" t="s">
        <v>294</v>
      </c>
      <c r="C1569" s="20" t="str">
        <f>IF(B1569="","",IF(COUNTIF('01_Anggota'!$D$5:$D$1212,B1569)=0,"NAMA TIDAK DITEMUKAN",INDEX('01_Anggota'!$B$5:$B$1212,MATCH(B1569,'01_Anggota'!$D$5:$D$1212,0))))</f>
        <v>KKSUK-000095</v>
      </c>
      <c r="D1569" s="23">
        <v>0</v>
      </c>
      <c r="E1569" s="23">
        <v>300000</v>
      </c>
      <c r="F1569" s="23">
        <v>200000</v>
      </c>
      <c r="G1569" s="23">
        <v>0</v>
      </c>
      <c r="H1569" s="42">
        <v>46198</v>
      </c>
      <c r="I1569" s="21" t="s">
        <v>808</v>
      </c>
    </row>
    <row r="1570" spans="1:9">
      <c r="A1570">
        <f t="shared" si="24"/>
        <v>1566</v>
      </c>
      <c r="B1570" s="21" t="s">
        <v>294</v>
      </c>
      <c r="C1570" s="20" t="str">
        <f>IF(B1570="","",IF(COUNTIF('01_Anggota'!$D$5:$D$1212,B1570)=0,"NAMA TIDAK DITEMUKAN",INDEX('01_Anggota'!$B$5:$B$1212,MATCH(B1570,'01_Anggota'!$D$5:$D$1212,0))))</f>
        <v>KKSUK-000095</v>
      </c>
      <c r="D1570" s="23">
        <v>0</v>
      </c>
      <c r="E1570" s="23">
        <v>300000</v>
      </c>
      <c r="F1570" s="23">
        <v>200000</v>
      </c>
      <c r="G1570" s="23">
        <v>0</v>
      </c>
      <c r="H1570" s="42">
        <v>46227</v>
      </c>
      <c r="I1570" s="21" t="s">
        <v>809</v>
      </c>
    </row>
    <row r="1571" spans="1:9">
      <c r="A1571">
        <f t="shared" si="24"/>
        <v>1567</v>
      </c>
      <c r="B1571" s="21" t="s">
        <v>294</v>
      </c>
      <c r="C1571" s="20" t="str">
        <f>IF(B1571="","",IF(COUNTIF('01_Anggota'!$D$5:$D$1212,B1571)=0,"NAMA TIDAK DITEMUKAN",INDEX('01_Anggota'!$B$5:$B$1212,MATCH(B1571,'01_Anggota'!$D$5:$D$1212,0))))</f>
        <v>KKSUK-000095</v>
      </c>
      <c r="D1571" s="23">
        <v>0</v>
      </c>
      <c r="E1571" s="23">
        <v>300000</v>
      </c>
      <c r="F1571" s="23">
        <v>200000</v>
      </c>
      <c r="G1571" s="23">
        <v>0</v>
      </c>
      <c r="H1571" s="42">
        <v>46258</v>
      </c>
      <c r="I1571" s="21" t="s">
        <v>810</v>
      </c>
    </row>
    <row r="1572" spans="1:9">
      <c r="A1572">
        <f t="shared" si="24"/>
        <v>1568</v>
      </c>
      <c r="B1572" s="21" t="s">
        <v>295</v>
      </c>
      <c r="C1572" s="20" t="str">
        <f>IF(B1572="","",IF(COUNTIF('01_Anggota'!$D$5:$D$1212,B1572)=0,"NAMA TIDAK DITEMUKAN",INDEX('01_Anggota'!$B$5:$B$1212,MATCH(B1572,'01_Anggota'!$D$5:$D$1212,0))))</f>
        <v>KKSUK-000096</v>
      </c>
      <c r="D1572" s="23">
        <v>0</v>
      </c>
      <c r="E1572" s="23">
        <v>3967593</v>
      </c>
      <c r="F1572" s="23">
        <v>4200000</v>
      </c>
      <c r="G1572" s="23">
        <v>3701670</v>
      </c>
      <c r="H1572" s="42">
        <v>46023</v>
      </c>
      <c r="I1572" s="21" t="s">
        <v>802</v>
      </c>
    </row>
    <row r="1573" spans="1:9">
      <c r="A1573">
        <f t="shared" si="24"/>
        <v>1569</v>
      </c>
      <c r="B1573" s="21" t="s">
        <v>295</v>
      </c>
      <c r="C1573" s="20" t="str">
        <f>IF(B1573="","",IF(COUNTIF('01_Anggota'!$D$5:$D$1212,B1573)=0,"NAMA TIDAK DITEMUKAN",INDEX('01_Anggota'!$B$5:$B$1212,MATCH(B1573,'01_Anggota'!$D$5:$D$1212,0))))</f>
        <v>KKSUK-000096</v>
      </c>
      <c r="D1573" s="23">
        <v>0</v>
      </c>
      <c r="E1573" s="23">
        <v>100000</v>
      </c>
      <c r="F1573" s="23">
        <v>100000</v>
      </c>
      <c r="G1573" s="23">
        <v>0</v>
      </c>
      <c r="H1573" s="42">
        <v>46045</v>
      </c>
      <c r="I1573" s="21" t="s">
        <v>803</v>
      </c>
    </row>
    <row r="1574" spans="1:9">
      <c r="A1574">
        <f t="shared" si="24"/>
        <v>1570</v>
      </c>
      <c r="B1574" s="21" t="s">
        <v>295</v>
      </c>
      <c r="C1574" s="20" t="str">
        <f>IF(B1574="","",IF(COUNTIF('01_Anggota'!$D$5:$D$1212,B1574)=0,"NAMA TIDAK DITEMUKAN",INDEX('01_Anggota'!$B$5:$B$1212,MATCH(B1574,'01_Anggota'!$D$5:$D$1212,0))))</f>
        <v>KKSUK-000096</v>
      </c>
      <c r="D1574" s="23">
        <v>0</v>
      </c>
      <c r="E1574" s="23">
        <v>-1500000</v>
      </c>
      <c r="F1574" s="23">
        <v>0</v>
      </c>
      <c r="G1574" s="23">
        <v>0</v>
      </c>
      <c r="H1574" s="42">
        <v>46023</v>
      </c>
      <c r="I1574" s="21" t="s">
        <v>802</v>
      </c>
    </row>
    <row r="1575" spans="1:9">
      <c r="A1575">
        <f t="shared" si="24"/>
        <v>1571</v>
      </c>
      <c r="B1575" s="21" t="s">
        <v>295</v>
      </c>
      <c r="C1575" s="20" t="str">
        <f>IF(B1575="","",IF(COUNTIF('01_Anggota'!$D$5:$D$1212,B1575)=0,"NAMA TIDAK DITEMUKAN",INDEX('01_Anggota'!$B$5:$B$1212,MATCH(B1575,'01_Anggota'!$D$5:$D$1212,0))))</f>
        <v>KKSUK-000096</v>
      </c>
      <c r="D1575" s="23">
        <v>0</v>
      </c>
      <c r="E1575" s="23">
        <v>100000</v>
      </c>
      <c r="F1575" s="23">
        <v>100000</v>
      </c>
      <c r="G1575" s="23">
        <v>0</v>
      </c>
      <c r="H1575" s="42">
        <v>46078</v>
      </c>
      <c r="I1575" s="21" t="s">
        <v>804</v>
      </c>
    </row>
    <row r="1576" spans="1:9">
      <c r="A1576">
        <f t="shared" ref="A1576:A1639" si="25">IF(B1576="","",ROW()-4)</f>
        <v>1572</v>
      </c>
      <c r="B1576" s="21" t="s">
        <v>295</v>
      </c>
      <c r="C1576" s="20" t="str">
        <f>IF(B1576="","",IF(COUNTIF('01_Anggota'!$D$5:$D$1212,B1576)=0,"NAMA TIDAK DITEMUKAN",INDEX('01_Anggota'!$B$5:$B$1212,MATCH(B1576,'01_Anggota'!$D$5:$D$1212,0))))</f>
        <v>KKSUK-000096</v>
      </c>
      <c r="D1576" s="23">
        <v>0</v>
      </c>
      <c r="E1576" s="23">
        <v>100000</v>
      </c>
      <c r="F1576" s="23">
        <v>100000</v>
      </c>
      <c r="G1576" s="23">
        <v>0</v>
      </c>
      <c r="H1576" s="42">
        <v>46106</v>
      </c>
      <c r="I1576" s="21" t="s">
        <v>805</v>
      </c>
    </row>
    <row r="1577" spans="1:9">
      <c r="A1577">
        <f t="shared" si="25"/>
        <v>1573</v>
      </c>
      <c r="B1577" s="21" t="s">
        <v>295</v>
      </c>
      <c r="C1577" s="20" t="str">
        <f>IF(B1577="","",IF(COUNTIF('01_Anggota'!$D$5:$D$1212,B1577)=0,"NAMA TIDAK DITEMUKAN",INDEX('01_Anggota'!$B$5:$B$1212,MATCH(B1577,'01_Anggota'!$D$5:$D$1212,0))))</f>
        <v>KKSUK-000096</v>
      </c>
      <c r="D1577" s="23">
        <v>0</v>
      </c>
      <c r="E1577" s="23">
        <v>100000</v>
      </c>
      <c r="F1577" s="23">
        <v>100000</v>
      </c>
      <c r="G1577" s="23">
        <v>0</v>
      </c>
      <c r="H1577" s="42">
        <v>46136</v>
      </c>
      <c r="I1577" s="21" t="s">
        <v>806</v>
      </c>
    </row>
    <row r="1578" spans="1:9">
      <c r="A1578">
        <f t="shared" si="25"/>
        <v>1574</v>
      </c>
      <c r="B1578" s="21" t="s">
        <v>295</v>
      </c>
      <c r="C1578" s="20" t="str">
        <f>IF(B1578="","",IF(COUNTIF('01_Anggota'!$D$5:$D$1212,B1578)=0,"NAMA TIDAK DITEMUKAN",INDEX('01_Anggota'!$B$5:$B$1212,MATCH(B1578,'01_Anggota'!$D$5:$D$1212,0))))</f>
        <v>KKSUK-000096</v>
      </c>
      <c r="D1578" s="23">
        <v>0</v>
      </c>
      <c r="E1578" s="23">
        <v>100000</v>
      </c>
      <c r="F1578" s="23">
        <v>100000</v>
      </c>
      <c r="G1578" s="23">
        <v>0</v>
      </c>
      <c r="H1578" s="42">
        <v>46167</v>
      </c>
      <c r="I1578" s="21" t="s">
        <v>807</v>
      </c>
    </row>
    <row r="1579" spans="1:9">
      <c r="A1579">
        <f t="shared" si="25"/>
        <v>1575</v>
      </c>
      <c r="B1579" s="21" t="s">
        <v>295</v>
      </c>
      <c r="C1579" s="20" t="str">
        <f>IF(B1579="","",IF(COUNTIF('01_Anggota'!$D$5:$D$1212,B1579)=0,"NAMA TIDAK DITEMUKAN",INDEX('01_Anggota'!$B$5:$B$1212,MATCH(B1579,'01_Anggota'!$D$5:$D$1212,0))))</f>
        <v>KKSUK-000096</v>
      </c>
      <c r="D1579" s="23">
        <v>0</v>
      </c>
      <c r="E1579" s="23">
        <v>-1700000</v>
      </c>
      <c r="F1579" s="23">
        <v>0</v>
      </c>
      <c r="G1579" s="23">
        <v>0</v>
      </c>
      <c r="H1579" s="42">
        <v>46198</v>
      </c>
      <c r="I1579" s="21" t="s">
        <v>808</v>
      </c>
    </row>
    <row r="1580" spans="1:9">
      <c r="A1580">
        <f t="shared" si="25"/>
        <v>1576</v>
      </c>
      <c r="B1580" s="21" t="s">
        <v>295</v>
      </c>
      <c r="C1580" s="20" t="str">
        <f>IF(B1580="","",IF(COUNTIF('01_Anggota'!$D$5:$D$1212,B1580)=0,"NAMA TIDAK DITEMUKAN",INDEX('01_Anggota'!$B$5:$B$1212,MATCH(B1580,'01_Anggota'!$D$5:$D$1212,0))))</f>
        <v>KKSUK-000096</v>
      </c>
      <c r="D1580" s="23">
        <v>0</v>
      </c>
      <c r="E1580" s="23">
        <v>100000</v>
      </c>
      <c r="F1580" s="23">
        <v>100000</v>
      </c>
      <c r="G1580" s="23">
        <v>0</v>
      </c>
      <c r="H1580" s="42">
        <v>46198</v>
      </c>
      <c r="I1580" s="21" t="s">
        <v>808</v>
      </c>
    </row>
    <row r="1581" spans="1:9">
      <c r="A1581">
        <f t="shared" si="25"/>
        <v>1577</v>
      </c>
      <c r="B1581" s="21" t="s">
        <v>295</v>
      </c>
      <c r="C1581" s="20" t="str">
        <f>IF(B1581="","",IF(COUNTIF('01_Anggota'!$D$5:$D$1212,B1581)=0,"NAMA TIDAK DITEMUKAN",INDEX('01_Anggota'!$B$5:$B$1212,MATCH(B1581,'01_Anggota'!$D$5:$D$1212,0))))</f>
        <v>KKSUK-000096</v>
      </c>
      <c r="D1581" s="23">
        <v>0</v>
      </c>
      <c r="E1581" s="23">
        <v>100000</v>
      </c>
      <c r="F1581" s="23">
        <v>100000</v>
      </c>
      <c r="G1581" s="23">
        <v>0</v>
      </c>
      <c r="H1581" s="42">
        <v>46227</v>
      </c>
      <c r="I1581" s="21" t="s">
        <v>809</v>
      </c>
    </row>
    <row r="1582" spans="1:9">
      <c r="A1582">
        <f t="shared" si="25"/>
        <v>1578</v>
      </c>
      <c r="B1582" s="21" t="s">
        <v>295</v>
      </c>
      <c r="C1582" s="20" t="str">
        <f>IF(B1582="","",IF(COUNTIF('01_Anggota'!$D$5:$D$1212,B1582)=0,"NAMA TIDAK DITEMUKAN",INDEX('01_Anggota'!$B$5:$B$1212,MATCH(B1582,'01_Anggota'!$D$5:$D$1212,0))))</f>
        <v>KKSUK-000096</v>
      </c>
      <c r="D1582" s="23">
        <v>0</v>
      </c>
      <c r="E1582" s="23">
        <v>100000</v>
      </c>
      <c r="F1582" s="23">
        <v>100000</v>
      </c>
      <c r="G1582" s="23">
        <v>0</v>
      </c>
      <c r="H1582" s="42">
        <v>46258</v>
      </c>
      <c r="I1582" s="21" t="s">
        <v>810</v>
      </c>
    </row>
    <row r="1583" spans="1:9">
      <c r="A1583">
        <f t="shared" si="25"/>
        <v>1579</v>
      </c>
      <c r="B1583" s="21" t="s">
        <v>262</v>
      </c>
      <c r="C1583" s="20" t="str">
        <f>IF(B1583="","",IF(COUNTIF('01_Anggota'!$D$5:$D$1212,B1583)=0,"NAMA TIDAK DITEMUKAN",INDEX('01_Anggota'!$B$5:$B$1212,MATCH(B1583,'01_Anggota'!$D$5:$D$1212,0))))</f>
        <v>KKSUK-000063</v>
      </c>
      <c r="D1583" s="23">
        <v>0</v>
      </c>
      <c r="E1583" s="23">
        <v>4250000</v>
      </c>
      <c r="F1583" s="23">
        <v>3700000</v>
      </c>
      <c r="G1583" s="23">
        <v>3035240</v>
      </c>
      <c r="H1583" s="42">
        <v>46023</v>
      </c>
      <c r="I1583" s="21" t="s">
        <v>802</v>
      </c>
    </row>
    <row r="1584" spans="1:9">
      <c r="A1584">
        <f t="shared" si="25"/>
        <v>1580</v>
      </c>
      <c r="B1584" s="21" t="s">
        <v>262</v>
      </c>
      <c r="C1584" s="20" t="str">
        <f>IF(B1584="","",IF(COUNTIF('01_Anggota'!$D$5:$D$1212,B1584)=0,"NAMA TIDAK DITEMUKAN",INDEX('01_Anggota'!$B$5:$B$1212,MATCH(B1584,'01_Anggota'!$D$5:$D$1212,0))))</f>
        <v>KKSUK-000063</v>
      </c>
      <c r="D1584" s="23">
        <v>0</v>
      </c>
      <c r="E1584" s="23">
        <v>250000</v>
      </c>
      <c r="F1584" s="23">
        <v>100000</v>
      </c>
      <c r="G1584" s="23">
        <v>0</v>
      </c>
      <c r="H1584" s="42">
        <v>46045</v>
      </c>
      <c r="I1584" s="21" t="s">
        <v>803</v>
      </c>
    </row>
    <row r="1585" spans="1:9">
      <c r="A1585">
        <f t="shared" si="25"/>
        <v>1581</v>
      </c>
      <c r="B1585" s="21" t="s">
        <v>262</v>
      </c>
      <c r="C1585" s="20" t="str">
        <f>IF(B1585="","",IF(COUNTIF('01_Anggota'!$D$5:$D$1212,B1585)=0,"NAMA TIDAK DITEMUKAN",INDEX('01_Anggota'!$B$5:$B$1212,MATCH(B1585,'01_Anggota'!$D$5:$D$1212,0))))</f>
        <v>KKSUK-000063</v>
      </c>
      <c r="D1585" s="23">
        <v>0</v>
      </c>
      <c r="E1585" s="23">
        <v>250000</v>
      </c>
      <c r="F1585" s="23">
        <v>100000</v>
      </c>
      <c r="G1585" s="23">
        <v>0</v>
      </c>
      <c r="H1585" s="42">
        <v>46078</v>
      </c>
      <c r="I1585" s="21" t="s">
        <v>804</v>
      </c>
    </row>
    <row r="1586" spans="1:9">
      <c r="A1586">
        <f t="shared" si="25"/>
        <v>1582</v>
      </c>
      <c r="B1586" s="21" t="s">
        <v>262</v>
      </c>
      <c r="C1586" s="20" t="str">
        <f>IF(B1586="","",IF(COUNTIF('01_Anggota'!$D$5:$D$1212,B1586)=0,"NAMA TIDAK DITEMUKAN",INDEX('01_Anggota'!$B$5:$B$1212,MATCH(B1586,'01_Anggota'!$D$5:$D$1212,0))))</f>
        <v>KKSUK-000063</v>
      </c>
      <c r="D1586" s="23">
        <v>0</v>
      </c>
      <c r="E1586" s="23">
        <v>250000</v>
      </c>
      <c r="F1586" s="23">
        <v>100000</v>
      </c>
      <c r="G1586" s="23">
        <v>0</v>
      </c>
      <c r="H1586" s="42">
        <v>46106</v>
      </c>
      <c r="I1586" s="21" t="s">
        <v>805</v>
      </c>
    </row>
    <row r="1587" spans="1:9">
      <c r="A1587">
        <f t="shared" si="25"/>
        <v>1583</v>
      </c>
      <c r="B1587" s="21" t="s">
        <v>262</v>
      </c>
      <c r="C1587" s="20" t="str">
        <f>IF(B1587="","",IF(COUNTIF('01_Anggota'!$D$5:$D$1212,B1587)=0,"NAMA TIDAK DITEMUKAN",INDEX('01_Anggota'!$B$5:$B$1212,MATCH(B1587,'01_Anggota'!$D$5:$D$1212,0))))</f>
        <v>KKSUK-000063</v>
      </c>
      <c r="D1587" s="23">
        <v>0</v>
      </c>
      <c r="E1587" s="23">
        <v>250000</v>
      </c>
      <c r="F1587" s="23">
        <v>100000</v>
      </c>
      <c r="G1587" s="23">
        <v>0</v>
      </c>
      <c r="H1587" s="42">
        <v>46136</v>
      </c>
      <c r="I1587" s="21" t="s">
        <v>806</v>
      </c>
    </row>
    <row r="1588" spans="1:9">
      <c r="A1588">
        <f t="shared" si="25"/>
        <v>1584</v>
      </c>
      <c r="B1588" s="21" t="s">
        <v>262</v>
      </c>
      <c r="C1588" s="20" t="str">
        <f>IF(B1588="","",IF(COUNTIF('01_Anggota'!$D$5:$D$1212,B1588)=0,"NAMA TIDAK DITEMUKAN",INDEX('01_Anggota'!$B$5:$B$1212,MATCH(B1588,'01_Anggota'!$D$5:$D$1212,0))))</f>
        <v>KKSUK-000063</v>
      </c>
      <c r="D1588" s="23">
        <v>0</v>
      </c>
      <c r="E1588" s="23">
        <v>250000</v>
      </c>
      <c r="F1588" s="23">
        <v>100000</v>
      </c>
      <c r="G1588" s="23">
        <v>0</v>
      </c>
      <c r="H1588" s="42">
        <v>46167</v>
      </c>
      <c r="I1588" s="21" t="s">
        <v>807</v>
      </c>
    </row>
    <row r="1589" spans="1:9">
      <c r="A1589">
        <f t="shared" si="25"/>
        <v>1585</v>
      </c>
      <c r="B1589" s="21" t="s">
        <v>262</v>
      </c>
      <c r="C1589" s="20" t="str">
        <f>IF(B1589="","",IF(COUNTIF('01_Anggota'!$D$5:$D$1212,B1589)=0,"NAMA TIDAK DITEMUKAN",INDEX('01_Anggota'!$B$5:$B$1212,MATCH(B1589,'01_Anggota'!$D$5:$D$1212,0))))</f>
        <v>KKSUK-000063</v>
      </c>
      <c r="D1589" s="23">
        <v>0</v>
      </c>
      <c r="E1589" s="23">
        <v>-3000000</v>
      </c>
      <c r="F1589" s="23">
        <v>0</v>
      </c>
      <c r="G1589" s="23">
        <v>0</v>
      </c>
      <c r="H1589" s="42">
        <v>46198</v>
      </c>
      <c r="I1589" s="21" t="s">
        <v>808</v>
      </c>
    </row>
    <row r="1590" spans="1:9">
      <c r="A1590">
        <f t="shared" si="25"/>
        <v>1586</v>
      </c>
      <c r="B1590" s="21" t="s">
        <v>262</v>
      </c>
      <c r="C1590" s="20" t="str">
        <f>IF(B1590="","",IF(COUNTIF('01_Anggota'!$D$5:$D$1212,B1590)=0,"NAMA TIDAK DITEMUKAN",INDEX('01_Anggota'!$B$5:$B$1212,MATCH(B1590,'01_Anggota'!$D$5:$D$1212,0))))</f>
        <v>KKSUK-000063</v>
      </c>
      <c r="D1590" s="23">
        <v>0</v>
      </c>
      <c r="E1590" s="23">
        <v>250000</v>
      </c>
      <c r="F1590" s="23">
        <v>100000</v>
      </c>
      <c r="G1590" s="23">
        <v>0</v>
      </c>
      <c r="H1590" s="42">
        <v>46198</v>
      </c>
      <c r="I1590" s="21" t="s">
        <v>808</v>
      </c>
    </row>
    <row r="1591" spans="1:9">
      <c r="A1591">
        <f t="shared" si="25"/>
        <v>1587</v>
      </c>
      <c r="B1591" s="21" t="s">
        <v>262</v>
      </c>
      <c r="C1591" s="20" t="str">
        <f>IF(B1591="","",IF(COUNTIF('01_Anggota'!$D$5:$D$1212,B1591)=0,"NAMA TIDAK DITEMUKAN",INDEX('01_Anggota'!$B$5:$B$1212,MATCH(B1591,'01_Anggota'!$D$5:$D$1212,0))))</f>
        <v>KKSUK-000063</v>
      </c>
      <c r="D1591" s="23">
        <v>0</v>
      </c>
      <c r="E1591" s="23">
        <v>250000</v>
      </c>
      <c r="F1591" s="23">
        <v>100000</v>
      </c>
      <c r="G1591" s="23">
        <v>0</v>
      </c>
      <c r="H1591" s="42">
        <v>46227</v>
      </c>
      <c r="I1591" s="21" t="s">
        <v>809</v>
      </c>
    </row>
    <row r="1592" spans="1:9">
      <c r="A1592">
        <f t="shared" si="25"/>
        <v>1588</v>
      </c>
      <c r="B1592" s="21" t="s">
        <v>262</v>
      </c>
      <c r="C1592" s="20" t="str">
        <f>IF(B1592="","",IF(COUNTIF('01_Anggota'!$D$5:$D$1212,B1592)=0,"NAMA TIDAK DITEMUKAN",INDEX('01_Anggota'!$B$5:$B$1212,MATCH(B1592,'01_Anggota'!$D$5:$D$1212,0))))</f>
        <v>KKSUK-000063</v>
      </c>
      <c r="D1592" s="23">
        <v>0</v>
      </c>
      <c r="E1592" s="23">
        <v>250000</v>
      </c>
      <c r="F1592" s="23">
        <v>100000</v>
      </c>
      <c r="G1592" s="23">
        <v>0</v>
      </c>
      <c r="H1592" s="42">
        <v>46258</v>
      </c>
      <c r="I1592" s="21" t="s">
        <v>810</v>
      </c>
    </row>
    <row r="1593" spans="1:9">
      <c r="A1593">
        <f t="shared" si="25"/>
        <v>1589</v>
      </c>
      <c r="B1593" s="21" t="s">
        <v>242</v>
      </c>
      <c r="C1593" s="20" t="str">
        <f>IF(B1593="","",IF(COUNTIF('01_Anggota'!$D$5:$D$1212,B1593)=0,"NAMA TIDAK DITEMUKAN",INDEX('01_Anggota'!$B$5:$B$1212,MATCH(B1593,'01_Anggota'!$D$5:$D$1212,0))))</f>
        <v>KKSUK-000043</v>
      </c>
      <c r="D1593" s="23">
        <v>0</v>
      </c>
      <c r="E1593" s="23">
        <v>2065000</v>
      </c>
      <c r="F1593" s="23">
        <v>16586423.503613601</v>
      </c>
      <c r="G1593" s="23">
        <v>7618789</v>
      </c>
      <c r="H1593" s="42">
        <v>46023</v>
      </c>
      <c r="I1593" s="21" t="s">
        <v>802</v>
      </c>
    </row>
    <row r="1594" spans="1:9">
      <c r="A1594">
        <f t="shared" si="25"/>
        <v>1590</v>
      </c>
      <c r="B1594" s="21" t="s">
        <v>242</v>
      </c>
      <c r="C1594" s="20" t="str">
        <f>IF(B1594="","",IF(COUNTIF('01_Anggota'!$D$5:$D$1212,B1594)=0,"NAMA TIDAK DITEMUKAN",INDEX('01_Anggota'!$B$5:$B$1212,MATCH(B1594,'01_Anggota'!$D$5:$D$1212,0))))</f>
        <v>KKSUK-000043</v>
      </c>
      <c r="D1594" s="23">
        <v>0</v>
      </c>
      <c r="E1594" s="23">
        <v>50000</v>
      </c>
      <c r="F1594" s="23">
        <v>100000</v>
      </c>
      <c r="G1594" s="23">
        <v>0</v>
      </c>
      <c r="H1594" s="42">
        <v>46045</v>
      </c>
      <c r="I1594" s="21" t="s">
        <v>803</v>
      </c>
    </row>
    <row r="1595" spans="1:9">
      <c r="A1595">
        <f t="shared" si="25"/>
        <v>1591</v>
      </c>
      <c r="B1595" s="21" t="s">
        <v>242</v>
      </c>
      <c r="C1595" s="20" t="str">
        <f>IF(B1595="","",IF(COUNTIF('01_Anggota'!$D$5:$D$1212,B1595)=0,"NAMA TIDAK DITEMUKAN",INDEX('01_Anggota'!$B$5:$B$1212,MATCH(B1595,'01_Anggota'!$D$5:$D$1212,0))))</f>
        <v>KKSUK-000043</v>
      </c>
      <c r="D1595" s="23">
        <v>0</v>
      </c>
      <c r="E1595" s="23">
        <v>50000</v>
      </c>
      <c r="F1595" s="23">
        <v>100000</v>
      </c>
      <c r="G1595" s="23">
        <v>0</v>
      </c>
      <c r="H1595" s="42">
        <v>46078</v>
      </c>
      <c r="I1595" s="21" t="s">
        <v>804</v>
      </c>
    </row>
    <row r="1596" spans="1:9">
      <c r="A1596">
        <f t="shared" si="25"/>
        <v>1592</v>
      </c>
      <c r="B1596" s="21" t="s">
        <v>242</v>
      </c>
      <c r="C1596" s="20" t="str">
        <f>IF(B1596="","",IF(COUNTIF('01_Anggota'!$D$5:$D$1212,B1596)=0,"NAMA TIDAK DITEMUKAN",INDEX('01_Anggota'!$B$5:$B$1212,MATCH(B1596,'01_Anggota'!$D$5:$D$1212,0))))</f>
        <v>KKSUK-000043</v>
      </c>
      <c r="D1596" s="23">
        <v>0</v>
      </c>
      <c r="E1596" s="23">
        <v>50000</v>
      </c>
      <c r="F1596" s="23">
        <v>100000</v>
      </c>
      <c r="G1596" s="23">
        <v>0</v>
      </c>
      <c r="H1596" s="42">
        <v>46106</v>
      </c>
      <c r="I1596" s="21" t="s">
        <v>805</v>
      </c>
    </row>
    <row r="1597" spans="1:9">
      <c r="A1597">
        <f t="shared" si="25"/>
        <v>1593</v>
      </c>
      <c r="B1597" s="21" t="s">
        <v>242</v>
      </c>
      <c r="C1597" s="20" t="str">
        <f>IF(B1597="","",IF(COUNTIF('01_Anggota'!$D$5:$D$1212,B1597)=0,"NAMA TIDAK DITEMUKAN",INDEX('01_Anggota'!$B$5:$B$1212,MATCH(B1597,'01_Anggota'!$D$5:$D$1212,0))))</f>
        <v>KKSUK-000043</v>
      </c>
      <c r="D1597" s="23">
        <v>0</v>
      </c>
      <c r="E1597" s="23">
        <v>50000</v>
      </c>
      <c r="F1597" s="23">
        <v>100000</v>
      </c>
      <c r="G1597" s="23">
        <v>0</v>
      </c>
      <c r="H1597" s="42">
        <v>46136</v>
      </c>
      <c r="I1597" s="21" t="s">
        <v>806</v>
      </c>
    </row>
    <row r="1598" spans="1:9">
      <c r="A1598">
        <f t="shared" si="25"/>
        <v>1594</v>
      </c>
      <c r="B1598" s="21" t="s">
        <v>242</v>
      </c>
      <c r="C1598" s="20" t="str">
        <f>IF(B1598="","",IF(COUNTIF('01_Anggota'!$D$5:$D$1212,B1598)=0,"NAMA TIDAK DITEMUKAN",INDEX('01_Anggota'!$B$5:$B$1212,MATCH(B1598,'01_Anggota'!$D$5:$D$1212,0))))</f>
        <v>KKSUK-000043</v>
      </c>
      <c r="D1598" s="23">
        <v>0</v>
      </c>
      <c r="E1598" s="23">
        <v>50000</v>
      </c>
      <c r="F1598" s="23">
        <v>100000</v>
      </c>
      <c r="G1598" s="23">
        <v>0</v>
      </c>
      <c r="H1598" s="42">
        <v>46167</v>
      </c>
      <c r="I1598" s="21" t="s">
        <v>807</v>
      </c>
    </row>
    <row r="1599" spans="1:9">
      <c r="A1599">
        <f t="shared" si="25"/>
        <v>1595</v>
      </c>
      <c r="B1599" s="21" t="s">
        <v>242</v>
      </c>
      <c r="C1599" s="20" t="str">
        <f>IF(B1599="","",IF(COUNTIF('01_Anggota'!$D$5:$D$1212,B1599)=0,"NAMA TIDAK DITEMUKAN",INDEX('01_Anggota'!$B$5:$B$1212,MATCH(B1599,'01_Anggota'!$D$5:$D$1212,0))))</f>
        <v>KKSUK-000043</v>
      </c>
      <c r="D1599" s="23">
        <v>0</v>
      </c>
      <c r="E1599" s="23">
        <v>-1500000</v>
      </c>
      <c r="F1599" s="23">
        <v>0</v>
      </c>
      <c r="G1599" s="23">
        <v>0</v>
      </c>
      <c r="H1599" s="42">
        <v>46198</v>
      </c>
      <c r="I1599" s="21" t="s">
        <v>808</v>
      </c>
    </row>
    <row r="1600" spans="1:9">
      <c r="A1600">
        <f t="shared" si="25"/>
        <v>1596</v>
      </c>
      <c r="B1600" s="21" t="s">
        <v>242</v>
      </c>
      <c r="C1600" s="20" t="str">
        <f>IF(B1600="","",IF(COUNTIF('01_Anggota'!$D$5:$D$1212,B1600)=0,"NAMA TIDAK DITEMUKAN",INDEX('01_Anggota'!$B$5:$B$1212,MATCH(B1600,'01_Anggota'!$D$5:$D$1212,0))))</f>
        <v>KKSUK-000043</v>
      </c>
      <c r="D1600" s="23">
        <v>0</v>
      </c>
      <c r="E1600" s="23">
        <v>50000</v>
      </c>
      <c r="F1600" s="23">
        <v>100000</v>
      </c>
      <c r="G1600" s="23">
        <v>0</v>
      </c>
      <c r="H1600" s="42">
        <v>46198</v>
      </c>
      <c r="I1600" s="21" t="s">
        <v>808</v>
      </c>
    </row>
    <row r="1601" spans="1:9">
      <c r="A1601">
        <f t="shared" si="25"/>
        <v>1597</v>
      </c>
      <c r="B1601" s="21" t="s">
        <v>242</v>
      </c>
      <c r="C1601" s="20" t="str">
        <f>IF(B1601="","",IF(COUNTIF('01_Anggota'!$D$5:$D$1212,B1601)=0,"NAMA TIDAK DITEMUKAN",INDEX('01_Anggota'!$B$5:$B$1212,MATCH(B1601,'01_Anggota'!$D$5:$D$1212,0))))</f>
        <v>KKSUK-000043</v>
      </c>
      <c r="D1601" s="23">
        <v>0</v>
      </c>
      <c r="E1601" s="23">
        <v>50000</v>
      </c>
      <c r="F1601" s="23">
        <v>100000</v>
      </c>
      <c r="G1601" s="23">
        <v>0</v>
      </c>
      <c r="H1601" s="42">
        <v>46227</v>
      </c>
      <c r="I1601" s="21" t="s">
        <v>809</v>
      </c>
    </row>
    <row r="1602" spans="1:9">
      <c r="A1602">
        <f t="shared" si="25"/>
        <v>1598</v>
      </c>
      <c r="B1602" s="21" t="s">
        <v>242</v>
      </c>
      <c r="C1602" s="20" t="str">
        <f>IF(B1602="","",IF(COUNTIF('01_Anggota'!$D$5:$D$1212,B1602)=0,"NAMA TIDAK DITEMUKAN",INDEX('01_Anggota'!$B$5:$B$1212,MATCH(B1602,'01_Anggota'!$D$5:$D$1212,0))))</f>
        <v>KKSUK-000043</v>
      </c>
      <c r="D1602" s="23">
        <v>0</v>
      </c>
      <c r="E1602" s="23">
        <v>50000</v>
      </c>
      <c r="F1602" s="23">
        <v>100000</v>
      </c>
      <c r="G1602" s="23">
        <v>0</v>
      </c>
      <c r="H1602" s="42">
        <v>46258</v>
      </c>
      <c r="I1602" s="21" t="s">
        <v>810</v>
      </c>
    </row>
    <row r="1603" spans="1:9">
      <c r="A1603">
        <f t="shared" si="25"/>
        <v>1599</v>
      </c>
      <c r="B1603" s="21" t="s">
        <v>349</v>
      </c>
      <c r="C1603" s="20" t="str">
        <f>IF(B1603="","",IF(COUNTIF('01_Anggota'!$D$5:$D$1212,B1603)=0,"NAMA TIDAK DITEMUKAN",INDEX('01_Anggota'!$B$5:$B$1212,MATCH(B1603,'01_Anggota'!$D$5:$D$1212,0))))</f>
        <v>KKSUK-000150</v>
      </c>
      <c r="D1603" s="23">
        <v>0</v>
      </c>
      <c r="E1603" s="23">
        <v>650000</v>
      </c>
      <c r="F1603" s="23">
        <v>1100000</v>
      </c>
      <c r="G1603" s="23">
        <v>0</v>
      </c>
      <c r="H1603" s="42">
        <v>46023</v>
      </c>
      <c r="I1603" s="21" t="s">
        <v>802</v>
      </c>
    </row>
    <row r="1604" spans="1:9">
      <c r="A1604">
        <f t="shared" si="25"/>
        <v>1600</v>
      </c>
      <c r="B1604" s="21" t="s">
        <v>349</v>
      </c>
      <c r="C1604" s="20" t="str">
        <f>IF(B1604="","",IF(COUNTIF('01_Anggota'!$D$5:$D$1212,B1604)=0,"NAMA TIDAK DITEMUKAN",INDEX('01_Anggota'!$B$5:$B$1212,MATCH(B1604,'01_Anggota'!$D$5:$D$1212,0))))</f>
        <v>KKSUK-000150</v>
      </c>
      <c r="D1604" s="23">
        <v>0</v>
      </c>
      <c r="E1604" s="23">
        <v>100000</v>
      </c>
      <c r="F1604" s="23">
        <v>100000</v>
      </c>
      <c r="G1604" s="23">
        <v>0</v>
      </c>
      <c r="H1604" s="42">
        <v>46045</v>
      </c>
      <c r="I1604" s="21" t="s">
        <v>803</v>
      </c>
    </row>
    <row r="1605" spans="1:9">
      <c r="A1605">
        <f t="shared" si="25"/>
        <v>1601</v>
      </c>
      <c r="B1605" s="21" t="s">
        <v>349</v>
      </c>
      <c r="C1605" s="20" t="str">
        <f>IF(B1605="","",IF(COUNTIF('01_Anggota'!$D$5:$D$1212,B1605)=0,"NAMA TIDAK DITEMUKAN",INDEX('01_Anggota'!$B$5:$B$1212,MATCH(B1605,'01_Anggota'!$D$5:$D$1212,0))))</f>
        <v>KKSUK-000150</v>
      </c>
      <c r="D1605" s="23">
        <v>0</v>
      </c>
      <c r="E1605" s="23">
        <v>100000</v>
      </c>
      <c r="F1605" s="23">
        <v>100000</v>
      </c>
      <c r="G1605" s="23">
        <v>0</v>
      </c>
      <c r="H1605" s="42">
        <v>46078</v>
      </c>
      <c r="I1605" s="21" t="s">
        <v>804</v>
      </c>
    </row>
    <row r="1606" spans="1:9">
      <c r="A1606">
        <f t="shared" si="25"/>
        <v>1602</v>
      </c>
      <c r="B1606" s="21" t="s">
        <v>349</v>
      </c>
      <c r="C1606" s="20" t="str">
        <f>IF(B1606="","",IF(COUNTIF('01_Anggota'!$D$5:$D$1212,B1606)=0,"NAMA TIDAK DITEMUKAN",INDEX('01_Anggota'!$B$5:$B$1212,MATCH(B1606,'01_Anggota'!$D$5:$D$1212,0))))</f>
        <v>KKSUK-000150</v>
      </c>
      <c r="D1606" s="23">
        <v>0</v>
      </c>
      <c r="E1606" s="23">
        <v>100000</v>
      </c>
      <c r="F1606" s="23">
        <v>100000</v>
      </c>
      <c r="G1606" s="23">
        <v>0</v>
      </c>
      <c r="H1606" s="42">
        <v>46106</v>
      </c>
      <c r="I1606" s="21" t="s">
        <v>805</v>
      </c>
    </row>
    <row r="1607" spans="1:9">
      <c r="A1607">
        <f t="shared" si="25"/>
        <v>1603</v>
      </c>
      <c r="B1607" s="21" t="s">
        <v>349</v>
      </c>
      <c r="C1607" s="20" t="str">
        <f>IF(B1607="","",IF(COUNTIF('01_Anggota'!$D$5:$D$1212,B1607)=0,"NAMA TIDAK DITEMUKAN",INDEX('01_Anggota'!$B$5:$B$1212,MATCH(B1607,'01_Anggota'!$D$5:$D$1212,0))))</f>
        <v>KKSUK-000150</v>
      </c>
      <c r="D1607" s="23">
        <v>0</v>
      </c>
      <c r="E1607" s="23">
        <v>100000</v>
      </c>
      <c r="F1607" s="23">
        <v>100000</v>
      </c>
      <c r="G1607" s="23">
        <v>0</v>
      </c>
      <c r="H1607" s="42">
        <v>46136</v>
      </c>
      <c r="I1607" s="21" t="s">
        <v>806</v>
      </c>
    </row>
    <row r="1608" spans="1:9">
      <c r="A1608">
        <f t="shared" si="25"/>
        <v>1604</v>
      </c>
      <c r="B1608" s="21" t="s">
        <v>349</v>
      </c>
      <c r="C1608" s="20" t="str">
        <f>IF(B1608="","",IF(COUNTIF('01_Anggota'!$D$5:$D$1212,B1608)=0,"NAMA TIDAK DITEMUKAN",INDEX('01_Anggota'!$B$5:$B$1212,MATCH(B1608,'01_Anggota'!$D$5:$D$1212,0))))</f>
        <v>KKSUK-000150</v>
      </c>
      <c r="D1608" s="23">
        <v>0</v>
      </c>
      <c r="E1608" s="23">
        <v>100000</v>
      </c>
      <c r="F1608" s="23">
        <v>100000</v>
      </c>
      <c r="G1608" s="23">
        <v>0</v>
      </c>
      <c r="H1608" s="42">
        <v>46167</v>
      </c>
      <c r="I1608" s="21" t="s">
        <v>807</v>
      </c>
    </row>
    <row r="1609" spans="1:9">
      <c r="A1609">
        <f t="shared" si="25"/>
        <v>1605</v>
      </c>
      <c r="B1609" s="21" t="s">
        <v>349</v>
      </c>
      <c r="C1609" s="20" t="str">
        <f>IF(B1609="","",IF(COUNTIF('01_Anggota'!$D$5:$D$1212,B1609)=0,"NAMA TIDAK DITEMUKAN",INDEX('01_Anggota'!$B$5:$B$1212,MATCH(B1609,'01_Anggota'!$D$5:$D$1212,0))))</f>
        <v>KKSUK-000150</v>
      </c>
      <c r="D1609" s="23">
        <v>0</v>
      </c>
      <c r="E1609" s="23">
        <v>100000</v>
      </c>
      <c r="F1609" s="23">
        <v>100000</v>
      </c>
      <c r="G1609" s="23">
        <v>0</v>
      </c>
      <c r="H1609" s="42">
        <v>46198</v>
      </c>
      <c r="I1609" s="21" t="s">
        <v>808</v>
      </c>
    </row>
    <row r="1610" spans="1:9">
      <c r="A1610">
        <f t="shared" si="25"/>
        <v>1606</v>
      </c>
      <c r="B1610" s="21" t="s">
        <v>349</v>
      </c>
      <c r="C1610" s="20" t="str">
        <f>IF(B1610="","",IF(COUNTIF('01_Anggota'!$D$5:$D$1212,B1610)=0,"NAMA TIDAK DITEMUKAN",INDEX('01_Anggota'!$B$5:$B$1212,MATCH(B1610,'01_Anggota'!$D$5:$D$1212,0))))</f>
        <v>KKSUK-000150</v>
      </c>
      <c r="D1610" s="23">
        <v>0</v>
      </c>
      <c r="E1610" s="23">
        <v>100000</v>
      </c>
      <c r="F1610" s="23">
        <v>100000</v>
      </c>
      <c r="G1610" s="23">
        <v>0</v>
      </c>
      <c r="H1610" s="42">
        <v>46227</v>
      </c>
      <c r="I1610" s="21" t="s">
        <v>809</v>
      </c>
    </row>
    <row r="1611" spans="1:9">
      <c r="A1611">
        <f t="shared" si="25"/>
        <v>1607</v>
      </c>
      <c r="B1611" s="21" t="s">
        <v>349</v>
      </c>
      <c r="C1611" s="20" t="str">
        <f>IF(B1611="","",IF(COUNTIF('01_Anggota'!$D$5:$D$1212,B1611)=0,"NAMA TIDAK DITEMUKAN",INDEX('01_Anggota'!$B$5:$B$1212,MATCH(B1611,'01_Anggota'!$D$5:$D$1212,0))))</f>
        <v>KKSUK-000150</v>
      </c>
      <c r="D1611" s="23">
        <v>0</v>
      </c>
      <c r="E1611" s="23">
        <v>100000</v>
      </c>
      <c r="F1611" s="23">
        <v>100000</v>
      </c>
      <c r="G1611" s="23">
        <v>0</v>
      </c>
      <c r="H1611" s="42">
        <v>46258</v>
      </c>
      <c r="I1611" s="21" t="s">
        <v>810</v>
      </c>
    </row>
    <row r="1612" spans="1:9">
      <c r="A1612">
        <f t="shared" si="25"/>
        <v>1608</v>
      </c>
      <c r="B1612" s="21" t="s">
        <v>250</v>
      </c>
      <c r="C1612" s="20" t="str">
        <f>IF(B1612="","",IF(COUNTIF('01_Anggota'!$D$5:$D$1212,B1612)=0,"NAMA TIDAK DITEMUKAN",INDEX('01_Anggota'!$B$5:$B$1212,MATCH(B1612,'01_Anggota'!$D$5:$D$1212,0))))</f>
        <v>KKSUK-000051</v>
      </c>
      <c r="D1612" s="23">
        <v>0</v>
      </c>
      <c r="E1612" s="23">
        <v>775000</v>
      </c>
      <c r="F1612" s="23">
        <v>10444202.804547399</v>
      </c>
      <c r="G1612" s="23">
        <v>2666957</v>
      </c>
      <c r="H1612" s="42">
        <v>46023</v>
      </c>
      <c r="I1612" s="21" t="s">
        <v>802</v>
      </c>
    </row>
    <row r="1613" spans="1:9">
      <c r="A1613">
        <f t="shared" si="25"/>
        <v>1609</v>
      </c>
      <c r="B1613" s="21" t="s">
        <v>250</v>
      </c>
      <c r="C1613" s="20" t="str">
        <f>IF(B1613="","",IF(COUNTIF('01_Anggota'!$D$5:$D$1212,B1613)=0,"NAMA TIDAK DITEMUKAN",INDEX('01_Anggota'!$B$5:$B$1212,MATCH(B1613,'01_Anggota'!$D$5:$D$1212,0))))</f>
        <v>KKSUK-000051</v>
      </c>
      <c r="D1613" s="23">
        <v>0</v>
      </c>
      <c r="E1613" s="23">
        <v>100000</v>
      </c>
      <c r="F1613" s="23">
        <v>100000</v>
      </c>
      <c r="G1613" s="23">
        <v>0</v>
      </c>
      <c r="H1613" s="42">
        <v>46045</v>
      </c>
      <c r="I1613" s="21" t="s">
        <v>803</v>
      </c>
    </row>
    <row r="1614" spans="1:9">
      <c r="A1614">
        <f t="shared" si="25"/>
        <v>1610</v>
      </c>
      <c r="B1614" s="21" t="s">
        <v>250</v>
      </c>
      <c r="C1614" s="20" t="str">
        <f>IF(B1614="","",IF(COUNTIF('01_Anggota'!$D$5:$D$1212,B1614)=0,"NAMA TIDAK DITEMUKAN",INDEX('01_Anggota'!$B$5:$B$1212,MATCH(B1614,'01_Anggota'!$D$5:$D$1212,0))))</f>
        <v>KKSUK-000051</v>
      </c>
      <c r="D1614" s="23">
        <v>0</v>
      </c>
      <c r="E1614" s="23">
        <v>100000</v>
      </c>
      <c r="F1614" s="23">
        <v>100000</v>
      </c>
      <c r="G1614" s="23">
        <v>0</v>
      </c>
      <c r="H1614" s="42">
        <v>46078</v>
      </c>
      <c r="I1614" s="21" t="s">
        <v>804</v>
      </c>
    </row>
    <row r="1615" spans="1:9">
      <c r="A1615">
        <f t="shared" si="25"/>
        <v>1611</v>
      </c>
      <c r="B1615" s="21" t="s">
        <v>250</v>
      </c>
      <c r="C1615" s="20" t="str">
        <f>IF(B1615="","",IF(COUNTIF('01_Anggota'!$D$5:$D$1212,B1615)=0,"NAMA TIDAK DITEMUKAN",INDEX('01_Anggota'!$B$5:$B$1212,MATCH(B1615,'01_Anggota'!$D$5:$D$1212,0))))</f>
        <v>KKSUK-000051</v>
      </c>
      <c r="D1615" s="23">
        <v>0</v>
      </c>
      <c r="E1615" s="23">
        <v>100000</v>
      </c>
      <c r="F1615" s="23">
        <v>100000</v>
      </c>
      <c r="G1615" s="23">
        <v>0</v>
      </c>
      <c r="H1615" s="42">
        <v>46106</v>
      </c>
      <c r="I1615" s="21" t="s">
        <v>805</v>
      </c>
    </row>
    <row r="1616" spans="1:9">
      <c r="A1616">
        <f t="shared" si="25"/>
        <v>1612</v>
      </c>
      <c r="B1616" s="21" t="s">
        <v>250</v>
      </c>
      <c r="C1616" s="20" t="str">
        <f>IF(B1616="","",IF(COUNTIF('01_Anggota'!$D$5:$D$1212,B1616)=0,"NAMA TIDAK DITEMUKAN",INDEX('01_Anggota'!$B$5:$B$1212,MATCH(B1616,'01_Anggota'!$D$5:$D$1212,0))))</f>
        <v>KKSUK-000051</v>
      </c>
      <c r="D1616" s="23">
        <v>0</v>
      </c>
      <c r="E1616" s="23">
        <v>100000</v>
      </c>
      <c r="F1616" s="23">
        <v>100000</v>
      </c>
      <c r="G1616" s="23">
        <v>0</v>
      </c>
      <c r="H1616" s="42">
        <v>46136</v>
      </c>
      <c r="I1616" s="21" t="s">
        <v>806</v>
      </c>
    </row>
    <row r="1617" spans="1:9">
      <c r="A1617">
        <f t="shared" si="25"/>
        <v>1613</v>
      </c>
      <c r="B1617" s="21" t="s">
        <v>250</v>
      </c>
      <c r="C1617" s="20" t="str">
        <f>IF(B1617="","",IF(COUNTIF('01_Anggota'!$D$5:$D$1212,B1617)=0,"NAMA TIDAK DITEMUKAN",INDEX('01_Anggota'!$B$5:$B$1212,MATCH(B1617,'01_Anggota'!$D$5:$D$1212,0))))</f>
        <v>KKSUK-000051</v>
      </c>
      <c r="D1617" s="23">
        <v>0</v>
      </c>
      <c r="E1617" s="23">
        <v>100000</v>
      </c>
      <c r="F1617" s="23">
        <v>100000</v>
      </c>
      <c r="G1617" s="23">
        <v>0</v>
      </c>
      <c r="H1617" s="42">
        <v>46167</v>
      </c>
      <c r="I1617" s="21" t="s">
        <v>807</v>
      </c>
    </row>
    <row r="1618" spans="1:9">
      <c r="A1618">
        <f t="shared" si="25"/>
        <v>1614</v>
      </c>
      <c r="B1618" s="21" t="s">
        <v>250</v>
      </c>
      <c r="C1618" s="20" t="str">
        <f>IF(B1618="","",IF(COUNTIF('01_Anggota'!$D$5:$D$1212,B1618)=0,"NAMA TIDAK DITEMUKAN",INDEX('01_Anggota'!$B$5:$B$1212,MATCH(B1618,'01_Anggota'!$D$5:$D$1212,0))))</f>
        <v>KKSUK-000051</v>
      </c>
      <c r="D1618" s="23">
        <v>0</v>
      </c>
      <c r="E1618" s="23">
        <v>100000</v>
      </c>
      <c r="F1618" s="23">
        <v>100000</v>
      </c>
      <c r="G1618" s="23">
        <v>0</v>
      </c>
      <c r="H1618" s="42">
        <v>46198</v>
      </c>
      <c r="I1618" s="21" t="s">
        <v>808</v>
      </c>
    </row>
    <row r="1619" spans="1:9">
      <c r="A1619">
        <f t="shared" si="25"/>
        <v>1615</v>
      </c>
      <c r="B1619" s="21" t="s">
        <v>250</v>
      </c>
      <c r="C1619" s="20" t="str">
        <f>IF(B1619="","",IF(COUNTIF('01_Anggota'!$D$5:$D$1212,B1619)=0,"NAMA TIDAK DITEMUKAN",INDEX('01_Anggota'!$B$5:$B$1212,MATCH(B1619,'01_Anggota'!$D$5:$D$1212,0))))</f>
        <v>KKSUK-000051</v>
      </c>
      <c r="D1619" s="23">
        <v>0</v>
      </c>
      <c r="E1619" s="23">
        <v>100000</v>
      </c>
      <c r="F1619" s="23">
        <v>100000</v>
      </c>
      <c r="G1619" s="23">
        <v>0</v>
      </c>
      <c r="H1619" s="42">
        <v>46227</v>
      </c>
      <c r="I1619" s="21" t="s">
        <v>809</v>
      </c>
    </row>
    <row r="1620" spans="1:9">
      <c r="A1620">
        <f t="shared" si="25"/>
        <v>1616</v>
      </c>
      <c r="B1620" s="21" t="s">
        <v>250</v>
      </c>
      <c r="C1620" s="20" t="str">
        <f>IF(B1620="","",IF(COUNTIF('01_Anggota'!$D$5:$D$1212,B1620)=0,"NAMA TIDAK DITEMUKAN",INDEX('01_Anggota'!$B$5:$B$1212,MATCH(B1620,'01_Anggota'!$D$5:$D$1212,0))))</f>
        <v>KKSUK-000051</v>
      </c>
      <c r="D1620" s="23">
        <v>0</v>
      </c>
      <c r="E1620" s="23">
        <v>-1100000</v>
      </c>
      <c r="F1620" s="23">
        <v>0</v>
      </c>
      <c r="G1620" s="23">
        <v>0</v>
      </c>
      <c r="H1620" s="42">
        <v>46258</v>
      </c>
      <c r="I1620" s="21" t="s">
        <v>810</v>
      </c>
    </row>
    <row r="1621" spans="1:9">
      <c r="A1621">
        <f t="shared" si="25"/>
        <v>1617</v>
      </c>
      <c r="B1621" s="21" t="s">
        <v>250</v>
      </c>
      <c r="C1621" s="20" t="str">
        <f>IF(B1621="","",IF(COUNTIF('01_Anggota'!$D$5:$D$1212,B1621)=0,"NAMA TIDAK DITEMUKAN",INDEX('01_Anggota'!$B$5:$B$1212,MATCH(B1621,'01_Anggota'!$D$5:$D$1212,0))))</f>
        <v>KKSUK-000051</v>
      </c>
      <c r="D1621" s="23">
        <v>0</v>
      </c>
      <c r="E1621" s="23">
        <v>100000</v>
      </c>
      <c r="F1621" s="23">
        <v>100000</v>
      </c>
      <c r="G1621" s="23">
        <v>0</v>
      </c>
      <c r="H1621" s="42">
        <v>46258</v>
      </c>
      <c r="I1621" s="21" t="s">
        <v>810</v>
      </c>
    </row>
    <row r="1622" spans="1:9">
      <c r="A1622">
        <f t="shared" si="25"/>
        <v>1618</v>
      </c>
      <c r="B1622" s="21" t="s">
        <v>323</v>
      </c>
      <c r="C1622" s="20" t="str">
        <f>IF(B1622="","",IF(COUNTIF('01_Anggota'!$D$5:$D$1212,B1622)=0,"NAMA TIDAK DITEMUKAN",INDEX('01_Anggota'!$B$5:$B$1212,MATCH(B1622,'01_Anggota'!$D$5:$D$1212,0))))</f>
        <v>KKSUK-000124</v>
      </c>
      <c r="D1622" s="23">
        <v>0</v>
      </c>
      <c r="E1622" s="23">
        <v>4800000</v>
      </c>
      <c r="F1622" s="23">
        <v>2400000</v>
      </c>
      <c r="G1622" s="23">
        <v>953116</v>
      </c>
      <c r="H1622" s="42">
        <v>46023</v>
      </c>
      <c r="I1622" s="21" t="s">
        <v>802</v>
      </c>
    </row>
    <row r="1623" spans="1:9">
      <c r="A1623">
        <f t="shared" si="25"/>
        <v>1619</v>
      </c>
      <c r="B1623" s="21" t="s">
        <v>323</v>
      </c>
      <c r="C1623" s="20" t="str">
        <f>IF(B1623="","",IF(COUNTIF('01_Anggota'!$D$5:$D$1212,B1623)=0,"NAMA TIDAK DITEMUKAN",INDEX('01_Anggota'!$B$5:$B$1212,MATCH(B1623,'01_Anggota'!$D$5:$D$1212,0))))</f>
        <v>KKSUK-000124</v>
      </c>
      <c r="D1623" s="23">
        <v>0</v>
      </c>
      <c r="E1623" s="23">
        <v>200000</v>
      </c>
      <c r="F1623" s="23">
        <v>100000</v>
      </c>
      <c r="G1623" s="23">
        <v>0</v>
      </c>
      <c r="H1623" s="42">
        <v>46045</v>
      </c>
      <c r="I1623" s="21" t="s">
        <v>803</v>
      </c>
    </row>
    <row r="1624" spans="1:9">
      <c r="A1624">
        <f t="shared" si="25"/>
        <v>1620</v>
      </c>
      <c r="B1624" s="21" t="s">
        <v>323</v>
      </c>
      <c r="C1624" s="20" t="str">
        <f>IF(B1624="","",IF(COUNTIF('01_Anggota'!$D$5:$D$1212,B1624)=0,"NAMA TIDAK DITEMUKAN",INDEX('01_Anggota'!$B$5:$B$1212,MATCH(B1624,'01_Anggota'!$D$5:$D$1212,0))))</f>
        <v>KKSUK-000124</v>
      </c>
      <c r="D1624" s="23">
        <v>0</v>
      </c>
      <c r="E1624" s="23">
        <v>200000</v>
      </c>
      <c r="F1624" s="23">
        <v>100000</v>
      </c>
      <c r="G1624" s="23">
        <v>0</v>
      </c>
      <c r="H1624" s="42">
        <v>46078</v>
      </c>
      <c r="I1624" s="21" t="s">
        <v>804</v>
      </c>
    </row>
    <row r="1625" spans="1:9">
      <c r="A1625">
        <f t="shared" si="25"/>
        <v>1621</v>
      </c>
      <c r="B1625" s="21" t="s">
        <v>323</v>
      </c>
      <c r="C1625" s="20" t="str">
        <f>IF(B1625="","",IF(COUNTIF('01_Anggota'!$D$5:$D$1212,B1625)=0,"NAMA TIDAK DITEMUKAN",INDEX('01_Anggota'!$B$5:$B$1212,MATCH(B1625,'01_Anggota'!$D$5:$D$1212,0))))</f>
        <v>KKSUK-000124</v>
      </c>
      <c r="D1625" s="23">
        <v>0</v>
      </c>
      <c r="E1625" s="23">
        <v>200000</v>
      </c>
      <c r="F1625" s="23">
        <v>100000</v>
      </c>
      <c r="G1625" s="23">
        <v>0</v>
      </c>
      <c r="H1625" s="42">
        <v>46106</v>
      </c>
      <c r="I1625" s="21" t="s">
        <v>805</v>
      </c>
    </row>
    <row r="1626" spans="1:9">
      <c r="A1626">
        <f t="shared" si="25"/>
        <v>1622</v>
      </c>
      <c r="B1626" s="21" t="s">
        <v>323</v>
      </c>
      <c r="C1626" s="20" t="str">
        <f>IF(B1626="","",IF(COUNTIF('01_Anggota'!$D$5:$D$1212,B1626)=0,"NAMA TIDAK DITEMUKAN",INDEX('01_Anggota'!$B$5:$B$1212,MATCH(B1626,'01_Anggota'!$D$5:$D$1212,0))))</f>
        <v>KKSUK-000124</v>
      </c>
      <c r="D1626" s="23">
        <v>0</v>
      </c>
      <c r="E1626" s="23">
        <v>200000</v>
      </c>
      <c r="F1626" s="23">
        <v>100000</v>
      </c>
      <c r="G1626" s="23">
        <v>0</v>
      </c>
      <c r="H1626" s="42">
        <v>46136</v>
      </c>
      <c r="I1626" s="21" t="s">
        <v>806</v>
      </c>
    </row>
    <row r="1627" spans="1:9">
      <c r="A1627">
        <f t="shared" si="25"/>
        <v>1623</v>
      </c>
      <c r="B1627" s="21" t="s">
        <v>323</v>
      </c>
      <c r="C1627" s="20" t="str">
        <f>IF(B1627="","",IF(COUNTIF('01_Anggota'!$D$5:$D$1212,B1627)=0,"NAMA TIDAK DITEMUKAN",INDEX('01_Anggota'!$B$5:$B$1212,MATCH(B1627,'01_Anggota'!$D$5:$D$1212,0))))</f>
        <v>KKSUK-000124</v>
      </c>
      <c r="D1627" s="23">
        <v>0</v>
      </c>
      <c r="E1627" s="23">
        <v>200000</v>
      </c>
      <c r="F1627" s="23">
        <v>100000</v>
      </c>
      <c r="G1627" s="23">
        <v>0</v>
      </c>
      <c r="H1627" s="42">
        <v>46167</v>
      </c>
      <c r="I1627" s="21" t="s">
        <v>807</v>
      </c>
    </row>
    <row r="1628" spans="1:9">
      <c r="A1628">
        <f t="shared" si="25"/>
        <v>1624</v>
      </c>
      <c r="B1628" s="21" t="s">
        <v>323</v>
      </c>
      <c r="C1628" s="20" t="str">
        <f>IF(B1628="","",IF(COUNTIF('01_Anggota'!$D$5:$D$1212,B1628)=0,"NAMA TIDAK DITEMUKAN",INDEX('01_Anggota'!$B$5:$B$1212,MATCH(B1628,'01_Anggota'!$D$5:$D$1212,0))))</f>
        <v>KKSUK-000124</v>
      </c>
      <c r="D1628" s="23">
        <v>0</v>
      </c>
      <c r="E1628" s="23">
        <v>200000</v>
      </c>
      <c r="F1628" s="23">
        <v>100000</v>
      </c>
      <c r="G1628" s="23">
        <v>0</v>
      </c>
      <c r="H1628" s="42">
        <v>46198</v>
      </c>
      <c r="I1628" s="21" t="s">
        <v>808</v>
      </c>
    </row>
    <row r="1629" spans="1:9">
      <c r="A1629">
        <f t="shared" si="25"/>
        <v>1625</v>
      </c>
      <c r="B1629" s="21" t="s">
        <v>323</v>
      </c>
      <c r="C1629" s="20" t="str">
        <f>IF(B1629="","",IF(COUNTIF('01_Anggota'!$D$5:$D$1212,B1629)=0,"NAMA TIDAK DITEMUKAN",INDEX('01_Anggota'!$B$5:$B$1212,MATCH(B1629,'01_Anggota'!$D$5:$D$1212,0))))</f>
        <v>KKSUK-000124</v>
      </c>
      <c r="D1629" s="23">
        <v>0</v>
      </c>
      <c r="E1629" s="23">
        <v>200000</v>
      </c>
      <c r="F1629" s="23">
        <v>100000</v>
      </c>
      <c r="G1629" s="23">
        <v>0</v>
      </c>
      <c r="H1629" s="42">
        <v>46227</v>
      </c>
      <c r="I1629" s="21" t="s">
        <v>809</v>
      </c>
    </row>
    <row r="1630" spans="1:9">
      <c r="A1630">
        <f t="shared" si="25"/>
        <v>1626</v>
      </c>
      <c r="B1630" s="21" t="s">
        <v>323</v>
      </c>
      <c r="C1630" s="20" t="str">
        <f>IF(B1630="","",IF(COUNTIF('01_Anggota'!$D$5:$D$1212,B1630)=0,"NAMA TIDAK DITEMUKAN",INDEX('01_Anggota'!$B$5:$B$1212,MATCH(B1630,'01_Anggota'!$D$5:$D$1212,0))))</f>
        <v>KKSUK-000124</v>
      </c>
      <c r="D1630" s="23">
        <v>0</v>
      </c>
      <c r="E1630" s="23">
        <v>200000</v>
      </c>
      <c r="F1630" s="23">
        <v>100000</v>
      </c>
      <c r="G1630" s="23">
        <v>0</v>
      </c>
      <c r="H1630" s="42">
        <v>46258</v>
      </c>
      <c r="I1630" s="21" t="s">
        <v>810</v>
      </c>
    </row>
    <row r="1631" spans="1:9">
      <c r="A1631">
        <f t="shared" si="25"/>
        <v>1627</v>
      </c>
      <c r="B1631" s="21" t="s">
        <v>333</v>
      </c>
      <c r="C1631" s="20" t="str">
        <f>IF(B1631="","",IF(COUNTIF('01_Anggota'!$D$5:$D$1212,B1631)=0,"NAMA TIDAK DITEMUKAN",INDEX('01_Anggota'!$B$5:$B$1212,MATCH(B1631,'01_Anggota'!$D$5:$D$1212,0))))</f>
        <v>KKSUK-000134</v>
      </c>
      <c r="D1631" s="23">
        <v>0</v>
      </c>
      <c r="E1631" s="23">
        <v>2970000</v>
      </c>
      <c r="F1631" s="23">
        <v>17393212.492734201</v>
      </c>
      <c r="G1631" s="23">
        <v>3972466</v>
      </c>
      <c r="H1631" s="42">
        <v>46023</v>
      </c>
      <c r="I1631" s="21" t="s">
        <v>802</v>
      </c>
    </row>
    <row r="1632" spans="1:9">
      <c r="A1632">
        <f t="shared" si="25"/>
        <v>1628</v>
      </c>
      <c r="B1632" s="21" t="s">
        <v>333</v>
      </c>
      <c r="C1632" s="20" t="str">
        <f>IF(B1632="","",IF(COUNTIF('01_Anggota'!$D$5:$D$1212,B1632)=0,"NAMA TIDAK DITEMUKAN",INDEX('01_Anggota'!$B$5:$B$1212,MATCH(B1632,'01_Anggota'!$D$5:$D$1212,0))))</f>
        <v>KKSUK-000134</v>
      </c>
      <c r="D1632" s="23">
        <v>0</v>
      </c>
      <c r="E1632" s="23">
        <v>10000</v>
      </c>
      <c r="F1632" s="23">
        <v>100000</v>
      </c>
      <c r="G1632" s="23">
        <v>0</v>
      </c>
      <c r="H1632" s="42">
        <v>46045</v>
      </c>
      <c r="I1632" s="21" t="s">
        <v>803</v>
      </c>
    </row>
    <row r="1633" spans="1:9">
      <c r="A1633">
        <f t="shared" si="25"/>
        <v>1629</v>
      </c>
      <c r="B1633" s="21" t="s">
        <v>333</v>
      </c>
      <c r="C1633" s="20" t="str">
        <f>IF(B1633="","",IF(COUNTIF('01_Anggota'!$D$5:$D$1212,B1633)=0,"NAMA TIDAK DITEMUKAN",INDEX('01_Anggota'!$B$5:$B$1212,MATCH(B1633,'01_Anggota'!$D$5:$D$1212,0))))</f>
        <v>KKSUK-000134</v>
      </c>
      <c r="D1633" s="23">
        <v>0</v>
      </c>
      <c r="E1633" s="23">
        <v>10000</v>
      </c>
      <c r="F1633" s="23">
        <v>100000</v>
      </c>
      <c r="G1633" s="23">
        <v>0</v>
      </c>
      <c r="H1633" s="42">
        <v>46078</v>
      </c>
      <c r="I1633" s="21" t="s">
        <v>804</v>
      </c>
    </row>
    <row r="1634" spans="1:9">
      <c r="A1634">
        <f t="shared" si="25"/>
        <v>1630</v>
      </c>
      <c r="B1634" s="21" t="s">
        <v>333</v>
      </c>
      <c r="C1634" s="20" t="str">
        <f>IF(B1634="","",IF(COUNTIF('01_Anggota'!$D$5:$D$1212,B1634)=0,"NAMA TIDAK DITEMUKAN",INDEX('01_Anggota'!$B$5:$B$1212,MATCH(B1634,'01_Anggota'!$D$5:$D$1212,0))))</f>
        <v>KKSUK-000134</v>
      </c>
      <c r="D1634" s="23">
        <v>0</v>
      </c>
      <c r="E1634" s="23">
        <v>10000</v>
      </c>
      <c r="F1634" s="23">
        <v>100000</v>
      </c>
      <c r="G1634" s="23">
        <v>0</v>
      </c>
      <c r="H1634" s="42">
        <v>46106</v>
      </c>
      <c r="I1634" s="21" t="s">
        <v>805</v>
      </c>
    </row>
    <row r="1635" spans="1:9">
      <c r="A1635">
        <f t="shared" si="25"/>
        <v>1631</v>
      </c>
      <c r="B1635" s="21" t="s">
        <v>333</v>
      </c>
      <c r="C1635" s="20" t="str">
        <f>IF(B1635="","",IF(COUNTIF('01_Anggota'!$D$5:$D$1212,B1635)=0,"NAMA TIDAK DITEMUKAN",INDEX('01_Anggota'!$B$5:$B$1212,MATCH(B1635,'01_Anggota'!$D$5:$D$1212,0))))</f>
        <v>KKSUK-000134</v>
      </c>
      <c r="D1635" s="23">
        <v>0</v>
      </c>
      <c r="E1635" s="23">
        <v>10000</v>
      </c>
      <c r="F1635" s="23">
        <v>100000</v>
      </c>
      <c r="G1635" s="23">
        <v>0</v>
      </c>
      <c r="H1635" s="42">
        <v>46136</v>
      </c>
      <c r="I1635" s="21" t="s">
        <v>806</v>
      </c>
    </row>
    <row r="1636" spans="1:9">
      <c r="A1636">
        <f t="shared" si="25"/>
        <v>1632</v>
      </c>
      <c r="B1636" s="21" t="s">
        <v>333</v>
      </c>
      <c r="C1636" s="20" t="str">
        <f>IF(B1636="","",IF(COUNTIF('01_Anggota'!$D$5:$D$1212,B1636)=0,"NAMA TIDAK DITEMUKAN",INDEX('01_Anggota'!$B$5:$B$1212,MATCH(B1636,'01_Anggota'!$D$5:$D$1212,0))))</f>
        <v>KKSUK-000134</v>
      </c>
      <c r="D1636" s="23">
        <v>0</v>
      </c>
      <c r="E1636" s="23">
        <v>10000</v>
      </c>
      <c r="F1636" s="23">
        <v>100000</v>
      </c>
      <c r="G1636" s="23">
        <v>0</v>
      </c>
      <c r="H1636" s="42">
        <v>46167</v>
      </c>
      <c r="I1636" s="21" t="s">
        <v>807</v>
      </c>
    </row>
    <row r="1637" spans="1:9">
      <c r="A1637">
        <f t="shared" si="25"/>
        <v>1633</v>
      </c>
      <c r="B1637" s="21" t="s">
        <v>333</v>
      </c>
      <c r="C1637" s="20" t="str">
        <f>IF(B1637="","",IF(COUNTIF('01_Anggota'!$D$5:$D$1212,B1637)=0,"NAMA TIDAK DITEMUKAN",INDEX('01_Anggota'!$B$5:$B$1212,MATCH(B1637,'01_Anggota'!$D$5:$D$1212,0))))</f>
        <v>KKSUK-000134</v>
      </c>
      <c r="D1637" s="23">
        <v>0</v>
      </c>
      <c r="E1637" s="23">
        <v>10000</v>
      </c>
      <c r="F1637" s="23">
        <v>100000</v>
      </c>
      <c r="G1637" s="23">
        <v>0</v>
      </c>
      <c r="H1637" s="42">
        <v>46198</v>
      </c>
      <c r="I1637" s="21" t="s">
        <v>808</v>
      </c>
    </row>
    <row r="1638" spans="1:9">
      <c r="A1638">
        <f t="shared" si="25"/>
        <v>1634</v>
      </c>
      <c r="B1638" s="21" t="s">
        <v>333</v>
      </c>
      <c r="C1638" s="20" t="str">
        <f>IF(B1638="","",IF(COUNTIF('01_Anggota'!$D$5:$D$1212,B1638)=0,"NAMA TIDAK DITEMUKAN",INDEX('01_Anggota'!$B$5:$B$1212,MATCH(B1638,'01_Anggota'!$D$5:$D$1212,0))))</f>
        <v>KKSUK-000134</v>
      </c>
      <c r="D1638" s="23">
        <v>0</v>
      </c>
      <c r="E1638" s="23">
        <v>10000</v>
      </c>
      <c r="F1638" s="23">
        <v>100000</v>
      </c>
      <c r="G1638" s="23">
        <v>0</v>
      </c>
      <c r="H1638" s="42">
        <v>46227</v>
      </c>
      <c r="I1638" s="21" t="s">
        <v>809</v>
      </c>
    </row>
    <row r="1639" spans="1:9">
      <c r="A1639">
        <f t="shared" si="25"/>
        <v>1635</v>
      </c>
      <c r="B1639" s="21" t="s">
        <v>333</v>
      </c>
      <c r="C1639" s="20" t="str">
        <f>IF(B1639="","",IF(COUNTIF('01_Anggota'!$D$5:$D$1212,B1639)=0,"NAMA TIDAK DITEMUKAN",INDEX('01_Anggota'!$B$5:$B$1212,MATCH(B1639,'01_Anggota'!$D$5:$D$1212,0))))</f>
        <v>KKSUK-000134</v>
      </c>
      <c r="D1639" s="23">
        <v>0</v>
      </c>
      <c r="E1639" s="23">
        <v>10000</v>
      </c>
      <c r="F1639" s="23">
        <v>100000</v>
      </c>
      <c r="G1639" s="23">
        <v>0</v>
      </c>
      <c r="H1639" s="42">
        <v>46258</v>
      </c>
      <c r="I1639" s="21" t="s">
        <v>810</v>
      </c>
    </row>
    <row r="1640" spans="1:9">
      <c r="A1640">
        <f t="shared" ref="A1640:A1703" si="26">IF(B1640="","",ROW()-4)</f>
        <v>1636</v>
      </c>
      <c r="B1640" s="21" t="s">
        <v>243</v>
      </c>
      <c r="C1640" s="20" t="str">
        <f>IF(B1640="","",IF(COUNTIF('01_Anggota'!$D$5:$D$1212,B1640)=0,"NAMA TIDAK DITEMUKAN",INDEX('01_Anggota'!$B$5:$B$1212,MATCH(B1640,'01_Anggota'!$D$5:$D$1212,0))))</f>
        <v>KKSUK-000044</v>
      </c>
      <c r="D1640" s="23">
        <v>0</v>
      </c>
      <c r="E1640" s="23">
        <v>3445000</v>
      </c>
      <c r="F1640" s="23">
        <v>21151746.290373702</v>
      </c>
      <c r="G1640" s="23">
        <v>11445455</v>
      </c>
      <c r="H1640" s="42">
        <v>46023</v>
      </c>
      <c r="I1640" s="21" t="s">
        <v>802</v>
      </c>
    </row>
    <row r="1641" spans="1:9">
      <c r="A1641">
        <f t="shared" si="26"/>
        <v>1637</v>
      </c>
      <c r="B1641" s="21" t="s">
        <v>243</v>
      </c>
      <c r="C1641" s="20" t="str">
        <f>IF(B1641="","",IF(COUNTIF('01_Anggota'!$D$5:$D$1212,B1641)=0,"NAMA TIDAK DITEMUKAN",INDEX('01_Anggota'!$B$5:$B$1212,MATCH(B1641,'01_Anggota'!$D$5:$D$1212,0))))</f>
        <v>KKSUK-000044</v>
      </c>
      <c r="D1641" s="23">
        <v>0</v>
      </c>
      <c r="E1641" s="23">
        <v>250000</v>
      </c>
      <c r="F1641" s="23">
        <v>100000</v>
      </c>
      <c r="G1641" s="23">
        <v>0</v>
      </c>
      <c r="H1641" s="42">
        <v>46045</v>
      </c>
      <c r="I1641" s="21" t="s">
        <v>803</v>
      </c>
    </row>
    <row r="1642" spans="1:9">
      <c r="A1642">
        <f t="shared" si="26"/>
        <v>1638</v>
      </c>
      <c r="B1642" s="21" t="s">
        <v>243</v>
      </c>
      <c r="C1642" s="20" t="str">
        <f>IF(B1642="","",IF(COUNTIF('01_Anggota'!$D$5:$D$1212,B1642)=0,"NAMA TIDAK DITEMUKAN",INDEX('01_Anggota'!$B$5:$B$1212,MATCH(B1642,'01_Anggota'!$D$5:$D$1212,0))))</f>
        <v>KKSUK-000044</v>
      </c>
      <c r="D1642" s="23">
        <v>0</v>
      </c>
      <c r="E1642" s="23">
        <v>250000</v>
      </c>
      <c r="F1642" s="23">
        <v>100000</v>
      </c>
      <c r="G1642" s="23">
        <v>0</v>
      </c>
      <c r="H1642" s="42">
        <v>46078</v>
      </c>
      <c r="I1642" s="21" t="s">
        <v>804</v>
      </c>
    </row>
    <row r="1643" spans="1:9">
      <c r="A1643">
        <f t="shared" si="26"/>
        <v>1639</v>
      </c>
      <c r="B1643" s="21" t="s">
        <v>243</v>
      </c>
      <c r="C1643" s="20" t="str">
        <f>IF(B1643="","",IF(COUNTIF('01_Anggota'!$D$5:$D$1212,B1643)=0,"NAMA TIDAK DITEMUKAN",INDEX('01_Anggota'!$B$5:$B$1212,MATCH(B1643,'01_Anggota'!$D$5:$D$1212,0))))</f>
        <v>KKSUK-000044</v>
      </c>
      <c r="D1643" s="23">
        <v>0</v>
      </c>
      <c r="E1643" s="23">
        <v>250000</v>
      </c>
      <c r="F1643" s="23">
        <v>100000</v>
      </c>
      <c r="G1643" s="23">
        <v>0</v>
      </c>
      <c r="H1643" s="42">
        <v>46106</v>
      </c>
      <c r="I1643" s="21" t="s">
        <v>805</v>
      </c>
    </row>
    <row r="1644" spans="1:9">
      <c r="A1644">
        <f t="shared" si="26"/>
        <v>1640</v>
      </c>
      <c r="B1644" s="21" t="s">
        <v>243</v>
      </c>
      <c r="C1644" s="20" t="str">
        <f>IF(B1644="","",IF(COUNTIF('01_Anggota'!$D$5:$D$1212,B1644)=0,"NAMA TIDAK DITEMUKAN",INDEX('01_Anggota'!$B$5:$B$1212,MATCH(B1644,'01_Anggota'!$D$5:$D$1212,0))))</f>
        <v>KKSUK-000044</v>
      </c>
      <c r="D1644" s="23">
        <v>0</v>
      </c>
      <c r="E1644" s="23">
        <v>250000</v>
      </c>
      <c r="F1644" s="23">
        <v>100000</v>
      </c>
      <c r="G1644" s="23">
        <v>0</v>
      </c>
      <c r="H1644" s="42">
        <v>46136</v>
      </c>
      <c r="I1644" s="21" t="s">
        <v>806</v>
      </c>
    </row>
    <row r="1645" spans="1:9">
      <c r="A1645">
        <f t="shared" si="26"/>
        <v>1641</v>
      </c>
      <c r="B1645" s="21" t="s">
        <v>243</v>
      </c>
      <c r="C1645" s="20" t="str">
        <f>IF(B1645="","",IF(COUNTIF('01_Anggota'!$D$5:$D$1212,B1645)=0,"NAMA TIDAK DITEMUKAN",INDEX('01_Anggota'!$B$5:$B$1212,MATCH(B1645,'01_Anggota'!$D$5:$D$1212,0))))</f>
        <v>KKSUK-000044</v>
      </c>
      <c r="D1645" s="23">
        <v>0</v>
      </c>
      <c r="E1645" s="23">
        <v>250000</v>
      </c>
      <c r="F1645" s="23">
        <v>100000</v>
      </c>
      <c r="G1645" s="23">
        <v>0</v>
      </c>
      <c r="H1645" s="42">
        <v>46167</v>
      </c>
      <c r="I1645" s="21" t="s">
        <v>807</v>
      </c>
    </row>
    <row r="1646" spans="1:9">
      <c r="A1646">
        <f t="shared" si="26"/>
        <v>1642</v>
      </c>
      <c r="B1646" s="21" t="s">
        <v>243</v>
      </c>
      <c r="C1646" s="20" t="str">
        <f>IF(B1646="","",IF(COUNTIF('01_Anggota'!$D$5:$D$1212,B1646)=0,"NAMA TIDAK DITEMUKAN",INDEX('01_Anggota'!$B$5:$B$1212,MATCH(B1646,'01_Anggota'!$D$5:$D$1212,0))))</f>
        <v>KKSUK-000044</v>
      </c>
      <c r="D1646" s="23">
        <v>0</v>
      </c>
      <c r="E1646" s="23">
        <v>250000</v>
      </c>
      <c r="F1646" s="23">
        <v>100000</v>
      </c>
      <c r="G1646" s="23">
        <v>0</v>
      </c>
      <c r="H1646" s="42">
        <v>46198</v>
      </c>
      <c r="I1646" s="21" t="s">
        <v>808</v>
      </c>
    </row>
    <row r="1647" spans="1:9">
      <c r="A1647">
        <f t="shared" si="26"/>
        <v>1643</v>
      </c>
      <c r="B1647" s="21" t="s">
        <v>243</v>
      </c>
      <c r="C1647" s="20" t="str">
        <f>IF(B1647="","",IF(COUNTIF('01_Anggota'!$D$5:$D$1212,B1647)=0,"NAMA TIDAK DITEMUKAN",INDEX('01_Anggota'!$B$5:$B$1212,MATCH(B1647,'01_Anggota'!$D$5:$D$1212,0))))</f>
        <v>KKSUK-000044</v>
      </c>
      <c r="D1647" s="23">
        <v>0</v>
      </c>
      <c r="E1647" s="23">
        <v>250000</v>
      </c>
      <c r="F1647" s="23">
        <v>100000</v>
      </c>
      <c r="G1647" s="23">
        <v>0</v>
      </c>
      <c r="H1647" s="42">
        <v>46227</v>
      </c>
      <c r="I1647" s="21" t="s">
        <v>809</v>
      </c>
    </row>
    <row r="1648" spans="1:9">
      <c r="A1648">
        <f t="shared" si="26"/>
        <v>1644</v>
      </c>
      <c r="B1648" s="21" t="s">
        <v>243</v>
      </c>
      <c r="C1648" s="20" t="str">
        <f>IF(B1648="","",IF(COUNTIF('01_Anggota'!$D$5:$D$1212,B1648)=0,"NAMA TIDAK DITEMUKAN",INDEX('01_Anggota'!$B$5:$B$1212,MATCH(B1648,'01_Anggota'!$D$5:$D$1212,0))))</f>
        <v>KKSUK-000044</v>
      </c>
      <c r="D1648" s="23">
        <v>0</v>
      </c>
      <c r="E1648" s="23">
        <v>250000</v>
      </c>
      <c r="F1648" s="23">
        <v>100000</v>
      </c>
      <c r="G1648" s="23">
        <v>0</v>
      </c>
      <c r="H1648" s="42">
        <v>46258</v>
      </c>
      <c r="I1648" s="21" t="s">
        <v>810</v>
      </c>
    </row>
    <row r="1649" spans="1:9">
      <c r="A1649">
        <f t="shared" si="26"/>
        <v>1645</v>
      </c>
      <c r="B1649" s="21" t="s">
        <v>375</v>
      </c>
      <c r="C1649" s="20" t="str">
        <f>IF(B1649="","",IF(COUNTIF('01_Anggota'!$D$5:$D$1212,B1649)=0,"NAMA TIDAK DITEMUKAN",INDEX('01_Anggota'!$B$5:$B$1212,MATCH(B1649,'01_Anggota'!$D$5:$D$1212,0))))</f>
        <v>KKSUK-000176</v>
      </c>
      <c r="D1649" s="23">
        <v>0</v>
      </c>
      <c r="E1649" s="23">
        <v>350000</v>
      </c>
      <c r="F1649" s="23">
        <v>400000</v>
      </c>
      <c r="G1649" s="23">
        <v>0</v>
      </c>
      <c r="H1649" s="42">
        <v>46023</v>
      </c>
      <c r="I1649" s="21" t="s">
        <v>802</v>
      </c>
    </row>
    <row r="1650" spans="1:9">
      <c r="A1650">
        <f t="shared" si="26"/>
        <v>1646</v>
      </c>
      <c r="B1650" s="21" t="s">
        <v>375</v>
      </c>
      <c r="C1650" s="20" t="str">
        <f>IF(B1650="","",IF(COUNTIF('01_Anggota'!$D$5:$D$1212,B1650)=0,"NAMA TIDAK DITEMUKAN",INDEX('01_Anggota'!$B$5:$B$1212,MATCH(B1650,'01_Anggota'!$D$5:$D$1212,0))))</f>
        <v>KKSUK-000176</v>
      </c>
      <c r="D1650" s="23">
        <v>0</v>
      </c>
      <c r="E1650" s="23">
        <v>100000</v>
      </c>
      <c r="F1650" s="23">
        <v>100000</v>
      </c>
      <c r="G1650" s="23">
        <v>0</v>
      </c>
      <c r="H1650" s="42">
        <v>46045</v>
      </c>
      <c r="I1650" s="21" t="s">
        <v>803</v>
      </c>
    </row>
    <row r="1651" spans="1:9">
      <c r="A1651">
        <f t="shared" si="26"/>
        <v>1647</v>
      </c>
      <c r="B1651" s="21" t="s">
        <v>375</v>
      </c>
      <c r="C1651" s="20" t="str">
        <f>IF(B1651="","",IF(COUNTIF('01_Anggota'!$D$5:$D$1212,B1651)=0,"NAMA TIDAK DITEMUKAN",INDEX('01_Anggota'!$B$5:$B$1212,MATCH(B1651,'01_Anggota'!$D$5:$D$1212,0))))</f>
        <v>KKSUK-000176</v>
      </c>
      <c r="D1651" s="23">
        <v>0</v>
      </c>
      <c r="E1651" s="23">
        <v>100000</v>
      </c>
      <c r="F1651" s="23">
        <v>100000</v>
      </c>
      <c r="G1651" s="23">
        <v>0</v>
      </c>
      <c r="H1651" s="42">
        <v>46078</v>
      </c>
      <c r="I1651" s="21" t="s">
        <v>804</v>
      </c>
    </row>
    <row r="1652" spans="1:9">
      <c r="A1652">
        <f t="shared" si="26"/>
        <v>1648</v>
      </c>
      <c r="B1652" s="21" t="s">
        <v>375</v>
      </c>
      <c r="C1652" s="20" t="str">
        <f>IF(B1652="","",IF(COUNTIF('01_Anggota'!$D$5:$D$1212,B1652)=0,"NAMA TIDAK DITEMUKAN",INDEX('01_Anggota'!$B$5:$B$1212,MATCH(B1652,'01_Anggota'!$D$5:$D$1212,0))))</f>
        <v>KKSUK-000176</v>
      </c>
      <c r="D1652" s="23">
        <v>0</v>
      </c>
      <c r="E1652" s="23">
        <v>100000</v>
      </c>
      <c r="F1652" s="23">
        <v>100000</v>
      </c>
      <c r="G1652" s="23">
        <v>0</v>
      </c>
      <c r="H1652" s="42">
        <v>46106</v>
      </c>
      <c r="I1652" s="21" t="s">
        <v>805</v>
      </c>
    </row>
    <row r="1653" spans="1:9">
      <c r="A1653">
        <f t="shared" si="26"/>
        <v>1649</v>
      </c>
      <c r="B1653" s="21" t="s">
        <v>375</v>
      </c>
      <c r="C1653" s="20" t="str">
        <f>IF(B1653="","",IF(COUNTIF('01_Anggota'!$D$5:$D$1212,B1653)=0,"NAMA TIDAK DITEMUKAN",INDEX('01_Anggota'!$B$5:$B$1212,MATCH(B1653,'01_Anggota'!$D$5:$D$1212,0))))</f>
        <v>KKSUK-000176</v>
      </c>
      <c r="D1653" s="23">
        <v>0</v>
      </c>
      <c r="E1653" s="23">
        <v>100000</v>
      </c>
      <c r="F1653" s="23">
        <v>100000</v>
      </c>
      <c r="G1653" s="23">
        <v>0</v>
      </c>
      <c r="H1653" s="42">
        <v>46136</v>
      </c>
      <c r="I1653" s="21" t="s">
        <v>806</v>
      </c>
    </row>
    <row r="1654" spans="1:9">
      <c r="A1654">
        <f t="shared" si="26"/>
        <v>1650</v>
      </c>
      <c r="B1654" s="21" t="s">
        <v>375</v>
      </c>
      <c r="C1654" s="20" t="str">
        <f>IF(B1654="","",IF(COUNTIF('01_Anggota'!$D$5:$D$1212,B1654)=0,"NAMA TIDAK DITEMUKAN",INDEX('01_Anggota'!$B$5:$B$1212,MATCH(B1654,'01_Anggota'!$D$5:$D$1212,0))))</f>
        <v>KKSUK-000176</v>
      </c>
      <c r="D1654" s="23">
        <v>0</v>
      </c>
      <c r="E1654" s="23">
        <v>100000</v>
      </c>
      <c r="F1654" s="23">
        <v>100000</v>
      </c>
      <c r="G1654" s="23">
        <v>0</v>
      </c>
      <c r="H1654" s="42">
        <v>46167</v>
      </c>
      <c r="I1654" s="21" t="s">
        <v>807</v>
      </c>
    </row>
    <row r="1655" spans="1:9">
      <c r="A1655">
        <f t="shared" si="26"/>
        <v>1651</v>
      </c>
      <c r="B1655" s="21" t="s">
        <v>375</v>
      </c>
      <c r="C1655" s="20" t="str">
        <f>IF(B1655="","",IF(COUNTIF('01_Anggota'!$D$5:$D$1212,B1655)=0,"NAMA TIDAK DITEMUKAN",INDEX('01_Anggota'!$B$5:$B$1212,MATCH(B1655,'01_Anggota'!$D$5:$D$1212,0))))</f>
        <v>KKSUK-000176</v>
      </c>
      <c r="D1655" s="23">
        <v>0</v>
      </c>
      <c r="E1655" s="23">
        <v>100000</v>
      </c>
      <c r="F1655" s="23">
        <v>100000</v>
      </c>
      <c r="G1655" s="23">
        <v>0</v>
      </c>
      <c r="H1655" s="42">
        <v>46198</v>
      </c>
      <c r="I1655" s="21" t="s">
        <v>808</v>
      </c>
    </row>
    <row r="1656" spans="1:9">
      <c r="A1656">
        <f t="shared" si="26"/>
        <v>1652</v>
      </c>
      <c r="B1656" s="21" t="s">
        <v>375</v>
      </c>
      <c r="C1656" s="20" t="str">
        <f>IF(B1656="","",IF(COUNTIF('01_Anggota'!$D$5:$D$1212,B1656)=0,"NAMA TIDAK DITEMUKAN",INDEX('01_Anggota'!$B$5:$B$1212,MATCH(B1656,'01_Anggota'!$D$5:$D$1212,0))))</f>
        <v>KKSUK-000176</v>
      </c>
      <c r="D1656" s="23">
        <v>0</v>
      </c>
      <c r="E1656" s="23">
        <v>100000</v>
      </c>
      <c r="F1656" s="23">
        <v>100000</v>
      </c>
      <c r="G1656" s="23">
        <v>0</v>
      </c>
      <c r="H1656" s="42">
        <v>46227</v>
      </c>
      <c r="I1656" s="21" t="s">
        <v>809</v>
      </c>
    </row>
    <row r="1657" spans="1:9">
      <c r="A1657">
        <f t="shared" si="26"/>
        <v>1653</v>
      </c>
      <c r="B1657" s="21" t="s">
        <v>375</v>
      </c>
      <c r="C1657" s="20" t="str">
        <f>IF(B1657="","",IF(COUNTIF('01_Anggota'!$D$5:$D$1212,B1657)=0,"NAMA TIDAK DITEMUKAN",INDEX('01_Anggota'!$B$5:$B$1212,MATCH(B1657,'01_Anggota'!$D$5:$D$1212,0))))</f>
        <v>KKSUK-000176</v>
      </c>
      <c r="D1657" s="23">
        <v>0</v>
      </c>
      <c r="E1657" s="23">
        <v>-750000</v>
      </c>
      <c r="F1657" s="23">
        <v>0</v>
      </c>
      <c r="G1657" s="23">
        <v>0</v>
      </c>
      <c r="H1657" s="42">
        <v>46258</v>
      </c>
      <c r="I1657" s="21" t="s">
        <v>810</v>
      </c>
    </row>
    <row r="1658" spans="1:9">
      <c r="A1658">
        <f t="shared" si="26"/>
        <v>1654</v>
      </c>
      <c r="B1658" s="21" t="s">
        <v>375</v>
      </c>
      <c r="C1658" s="20" t="str">
        <f>IF(B1658="","",IF(COUNTIF('01_Anggota'!$D$5:$D$1212,B1658)=0,"NAMA TIDAK DITEMUKAN",INDEX('01_Anggota'!$B$5:$B$1212,MATCH(B1658,'01_Anggota'!$D$5:$D$1212,0))))</f>
        <v>KKSUK-000176</v>
      </c>
      <c r="D1658" s="23">
        <v>0</v>
      </c>
      <c r="E1658" s="23">
        <v>100000</v>
      </c>
      <c r="F1658" s="23">
        <v>100000</v>
      </c>
      <c r="G1658" s="23">
        <v>0</v>
      </c>
      <c r="H1658" s="42">
        <v>46258</v>
      </c>
      <c r="I1658" s="21" t="s">
        <v>810</v>
      </c>
    </row>
    <row r="1659" spans="1:9">
      <c r="A1659">
        <f t="shared" si="26"/>
        <v>1655</v>
      </c>
      <c r="B1659" s="21" t="s">
        <v>244</v>
      </c>
      <c r="C1659" s="20" t="str">
        <f>IF(B1659="","",IF(COUNTIF('01_Anggota'!$D$5:$D$1212,B1659)=0,"NAMA TIDAK DITEMUKAN",INDEX('01_Anggota'!$B$5:$B$1212,MATCH(B1659,'01_Anggota'!$D$5:$D$1212,0))))</f>
        <v>KKSUK-000045</v>
      </c>
      <c r="D1659" s="23">
        <v>0</v>
      </c>
      <c r="E1659" s="23">
        <v>2075000</v>
      </c>
      <c r="F1659" s="23">
        <v>11315734.1199554</v>
      </c>
      <c r="G1659" s="23">
        <v>4449181</v>
      </c>
      <c r="H1659" s="42">
        <v>46023</v>
      </c>
      <c r="I1659" s="21" t="s">
        <v>802</v>
      </c>
    </row>
    <row r="1660" spans="1:9">
      <c r="A1660">
        <f t="shared" si="26"/>
        <v>1656</v>
      </c>
      <c r="B1660" s="21" t="s">
        <v>244</v>
      </c>
      <c r="C1660" s="20" t="str">
        <f>IF(B1660="","",IF(COUNTIF('01_Anggota'!$D$5:$D$1212,B1660)=0,"NAMA TIDAK DITEMUKAN",INDEX('01_Anggota'!$B$5:$B$1212,MATCH(B1660,'01_Anggota'!$D$5:$D$1212,0))))</f>
        <v>KKSUK-000045</v>
      </c>
      <c r="D1660" s="23">
        <v>0</v>
      </c>
      <c r="E1660" s="23">
        <v>-1000000</v>
      </c>
      <c r="F1660" s="23">
        <v>0</v>
      </c>
      <c r="G1660" s="23">
        <v>0</v>
      </c>
      <c r="H1660" s="42">
        <v>46045</v>
      </c>
      <c r="I1660" s="21" t="s">
        <v>803</v>
      </c>
    </row>
    <row r="1661" spans="1:9">
      <c r="A1661">
        <f t="shared" si="26"/>
        <v>1657</v>
      </c>
      <c r="B1661" s="21" t="s">
        <v>244</v>
      </c>
      <c r="C1661" s="20" t="str">
        <f>IF(B1661="","",IF(COUNTIF('01_Anggota'!$D$5:$D$1212,B1661)=0,"NAMA TIDAK DITEMUKAN",INDEX('01_Anggota'!$B$5:$B$1212,MATCH(B1661,'01_Anggota'!$D$5:$D$1212,0))))</f>
        <v>KKSUK-000045</v>
      </c>
      <c r="D1661" s="23">
        <v>0</v>
      </c>
      <c r="E1661" s="23">
        <v>75000</v>
      </c>
      <c r="F1661" s="23">
        <v>100000</v>
      </c>
      <c r="G1661" s="23">
        <v>0</v>
      </c>
      <c r="H1661" s="42">
        <v>46045</v>
      </c>
      <c r="I1661" s="21" t="s">
        <v>803</v>
      </c>
    </row>
    <row r="1662" spans="1:9">
      <c r="A1662">
        <f t="shared" si="26"/>
        <v>1658</v>
      </c>
      <c r="B1662" s="21" t="s">
        <v>244</v>
      </c>
      <c r="C1662" s="20" t="str">
        <f>IF(B1662="","",IF(COUNTIF('01_Anggota'!$D$5:$D$1212,B1662)=0,"NAMA TIDAK DITEMUKAN",INDEX('01_Anggota'!$B$5:$B$1212,MATCH(B1662,'01_Anggota'!$D$5:$D$1212,0))))</f>
        <v>KKSUK-000045</v>
      </c>
      <c r="D1662" s="23">
        <v>0</v>
      </c>
      <c r="E1662" s="23">
        <v>75000</v>
      </c>
      <c r="F1662" s="23">
        <v>100000</v>
      </c>
      <c r="G1662" s="23">
        <v>0</v>
      </c>
      <c r="H1662" s="42">
        <v>46078</v>
      </c>
      <c r="I1662" s="21" t="s">
        <v>804</v>
      </c>
    </row>
    <row r="1663" spans="1:9">
      <c r="A1663">
        <f t="shared" si="26"/>
        <v>1659</v>
      </c>
      <c r="B1663" s="21" t="s">
        <v>244</v>
      </c>
      <c r="C1663" s="20" t="str">
        <f>IF(B1663="","",IF(COUNTIF('01_Anggota'!$D$5:$D$1212,B1663)=0,"NAMA TIDAK DITEMUKAN",INDEX('01_Anggota'!$B$5:$B$1212,MATCH(B1663,'01_Anggota'!$D$5:$D$1212,0))))</f>
        <v>KKSUK-000045</v>
      </c>
      <c r="D1663" s="23">
        <v>0</v>
      </c>
      <c r="E1663" s="23">
        <v>75000</v>
      </c>
      <c r="F1663" s="23">
        <v>100000</v>
      </c>
      <c r="G1663" s="23">
        <v>0</v>
      </c>
      <c r="H1663" s="42">
        <v>46106</v>
      </c>
      <c r="I1663" s="21" t="s">
        <v>805</v>
      </c>
    </row>
    <row r="1664" spans="1:9">
      <c r="A1664">
        <f t="shared" si="26"/>
        <v>1660</v>
      </c>
      <c r="B1664" s="21" t="s">
        <v>244</v>
      </c>
      <c r="C1664" s="20" t="str">
        <f>IF(B1664="","",IF(COUNTIF('01_Anggota'!$D$5:$D$1212,B1664)=0,"NAMA TIDAK DITEMUKAN",INDEX('01_Anggota'!$B$5:$B$1212,MATCH(B1664,'01_Anggota'!$D$5:$D$1212,0))))</f>
        <v>KKSUK-000045</v>
      </c>
      <c r="D1664" s="23">
        <v>0</v>
      </c>
      <c r="E1664" s="23">
        <v>75000</v>
      </c>
      <c r="F1664" s="23">
        <v>100000</v>
      </c>
      <c r="G1664" s="23">
        <v>0</v>
      </c>
      <c r="H1664" s="42">
        <v>46136</v>
      </c>
      <c r="I1664" s="21" t="s">
        <v>806</v>
      </c>
    </row>
    <row r="1665" spans="1:9">
      <c r="A1665">
        <f t="shared" si="26"/>
        <v>1661</v>
      </c>
      <c r="B1665" s="21" t="s">
        <v>244</v>
      </c>
      <c r="C1665" s="20" t="str">
        <f>IF(B1665="","",IF(COUNTIF('01_Anggota'!$D$5:$D$1212,B1665)=0,"NAMA TIDAK DITEMUKAN",INDEX('01_Anggota'!$B$5:$B$1212,MATCH(B1665,'01_Anggota'!$D$5:$D$1212,0))))</f>
        <v>KKSUK-000045</v>
      </c>
      <c r="D1665" s="23">
        <v>0</v>
      </c>
      <c r="E1665" s="23">
        <v>75000</v>
      </c>
      <c r="F1665" s="23">
        <v>100000</v>
      </c>
      <c r="G1665" s="23">
        <v>0</v>
      </c>
      <c r="H1665" s="42">
        <v>46167</v>
      </c>
      <c r="I1665" s="21" t="s">
        <v>807</v>
      </c>
    </row>
    <row r="1666" spans="1:9">
      <c r="A1666">
        <f t="shared" si="26"/>
        <v>1662</v>
      </c>
      <c r="B1666" s="21" t="s">
        <v>244</v>
      </c>
      <c r="C1666" s="20" t="str">
        <f>IF(B1666="","",IF(COUNTIF('01_Anggota'!$D$5:$D$1212,B1666)=0,"NAMA TIDAK DITEMUKAN",INDEX('01_Anggota'!$B$5:$B$1212,MATCH(B1666,'01_Anggota'!$D$5:$D$1212,0))))</f>
        <v>KKSUK-000045</v>
      </c>
      <c r="D1666" s="23">
        <v>0</v>
      </c>
      <c r="E1666" s="23">
        <v>75000</v>
      </c>
      <c r="F1666" s="23">
        <v>100000</v>
      </c>
      <c r="G1666" s="23">
        <v>0</v>
      </c>
      <c r="H1666" s="42">
        <v>46198</v>
      </c>
      <c r="I1666" s="21" t="s">
        <v>808</v>
      </c>
    </row>
    <row r="1667" spans="1:9">
      <c r="A1667">
        <f t="shared" si="26"/>
        <v>1663</v>
      </c>
      <c r="B1667" s="21" t="s">
        <v>244</v>
      </c>
      <c r="C1667" s="20" t="str">
        <f>IF(B1667="","",IF(COUNTIF('01_Anggota'!$D$5:$D$1212,B1667)=0,"NAMA TIDAK DITEMUKAN",INDEX('01_Anggota'!$B$5:$B$1212,MATCH(B1667,'01_Anggota'!$D$5:$D$1212,0))))</f>
        <v>KKSUK-000045</v>
      </c>
      <c r="D1667" s="23">
        <v>0</v>
      </c>
      <c r="E1667" s="23">
        <v>75000</v>
      </c>
      <c r="F1667" s="23">
        <v>100000</v>
      </c>
      <c r="G1667" s="23">
        <v>0</v>
      </c>
      <c r="H1667" s="42">
        <v>46227</v>
      </c>
      <c r="I1667" s="21" t="s">
        <v>809</v>
      </c>
    </row>
    <row r="1668" spans="1:9">
      <c r="A1668">
        <f t="shared" si="26"/>
        <v>1664</v>
      </c>
      <c r="B1668" s="21" t="s">
        <v>244</v>
      </c>
      <c r="C1668" s="20" t="str">
        <f>IF(B1668="","",IF(COUNTIF('01_Anggota'!$D$5:$D$1212,B1668)=0,"NAMA TIDAK DITEMUKAN",INDEX('01_Anggota'!$B$5:$B$1212,MATCH(B1668,'01_Anggota'!$D$5:$D$1212,0))))</f>
        <v>KKSUK-000045</v>
      </c>
      <c r="D1668" s="23">
        <v>0</v>
      </c>
      <c r="E1668" s="23">
        <v>75000</v>
      </c>
      <c r="F1668" s="23">
        <v>100000</v>
      </c>
      <c r="G1668" s="23">
        <v>0</v>
      </c>
      <c r="H1668" s="42">
        <v>46258</v>
      </c>
      <c r="I1668" s="21" t="s">
        <v>810</v>
      </c>
    </row>
    <row r="1669" spans="1:9">
      <c r="A1669">
        <f t="shared" si="26"/>
        <v>1665</v>
      </c>
      <c r="B1669" s="21" t="s">
        <v>325</v>
      </c>
      <c r="C1669" s="20" t="str">
        <f>IF(B1669="","",IF(COUNTIF('01_Anggota'!$D$5:$D$1212,B1669)=0,"NAMA TIDAK DITEMUKAN",INDEX('01_Anggota'!$B$5:$B$1212,MATCH(B1669,'01_Anggota'!$D$5:$D$1212,0))))</f>
        <v>KKSUK-000126</v>
      </c>
      <c r="D1669" s="23">
        <v>0</v>
      </c>
      <c r="E1669" s="23">
        <v>2500000</v>
      </c>
      <c r="F1669" s="23">
        <v>2500000</v>
      </c>
      <c r="G1669" s="23">
        <v>713143</v>
      </c>
      <c r="H1669" s="42">
        <v>46023</v>
      </c>
      <c r="I1669" s="21" t="s">
        <v>802</v>
      </c>
    </row>
    <row r="1670" spans="1:9">
      <c r="A1670">
        <f t="shared" si="26"/>
        <v>1666</v>
      </c>
      <c r="B1670" s="21" t="s">
        <v>325</v>
      </c>
      <c r="C1670" s="20" t="str">
        <f>IF(B1670="","",IF(COUNTIF('01_Anggota'!$D$5:$D$1212,B1670)=0,"NAMA TIDAK DITEMUKAN",INDEX('01_Anggota'!$B$5:$B$1212,MATCH(B1670,'01_Anggota'!$D$5:$D$1212,0))))</f>
        <v>KKSUK-000126</v>
      </c>
      <c r="D1670" s="23">
        <v>0</v>
      </c>
      <c r="E1670" s="23">
        <v>100000</v>
      </c>
      <c r="F1670" s="23">
        <v>100000</v>
      </c>
      <c r="G1670" s="23">
        <v>0</v>
      </c>
      <c r="H1670" s="42">
        <v>46045</v>
      </c>
      <c r="I1670" s="21" t="s">
        <v>803</v>
      </c>
    </row>
    <row r="1671" spans="1:9">
      <c r="A1671">
        <f t="shared" si="26"/>
        <v>1667</v>
      </c>
      <c r="B1671" s="21" t="s">
        <v>325</v>
      </c>
      <c r="C1671" s="20" t="str">
        <f>IF(B1671="","",IF(COUNTIF('01_Anggota'!$D$5:$D$1212,B1671)=0,"NAMA TIDAK DITEMUKAN",INDEX('01_Anggota'!$B$5:$B$1212,MATCH(B1671,'01_Anggota'!$D$5:$D$1212,0))))</f>
        <v>KKSUK-000126</v>
      </c>
      <c r="D1671" s="23">
        <v>0</v>
      </c>
      <c r="E1671" s="23">
        <v>100000</v>
      </c>
      <c r="F1671" s="23">
        <v>100000</v>
      </c>
      <c r="G1671" s="23">
        <v>0</v>
      </c>
      <c r="H1671" s="42">
        <v>46078</v>
      </c>
      <c r="I1671" s="21" t="s">
        <v>804</v>
      </c>
    </row>
    <row r="1672" spans="1:9">
      <c r="A1672">
        <f t="shared" si="26"/>
        <v>1668</v>
      </c>
      <c r="B1672" s="21" t="s">
        <v>325</v>
      </c>
      <c r="C1672" s="20" t="str">
        <f>IF(B1672="","",IF(COUNTIF('01_Anggota'!$D$5:$D$1212,B1672)=0,"NAMA TIDAK DITEMUKAN",INDEX('01_Anggota'!$B$5:$B$1212,MATCH(B1672,'01_Anggota'!$D$5:$D$1212,0))))</f>
        <v>KKSUK-000126</v>
      </c>
      <c r="D1672" s="23">
        <v>0</v>
      </c>
      <c r="E1672" s="23">
        <v>100000</v>
      </c>
      <c r="F1672" s="23">
        <v>100000</v>
      </c>
      <c r="G1672" s="23">
        <v>0</v>
      </c>
      <c r="H1672" s="42">
        <v>46106</v>
      </c>
      <c r="I1672" s="21" t="s">
        <v>805</v>
      </c>
    </row>
    <row r="1673" spans="1:9">
      <c r="A1673">
        <f t="shared" si="26"/>
        <v>1669</v>
      </c>
      <c r="B1673" s="21" t="s">
        <v>325</v>
      </c>
      <c r="C1673" s="20" t="str">
        <f>IF(B1673="","",IF(COUNTIF('01_Anggota'!$D$5:$D$1212,B1673)=0,"NAMA TIDAK DITEMUKAN",INDEX('01_Anggota'!$B$5:$B$1212,MATCH(B1673,'01_Anggota'!$D$5:$D$1212,0))))</f>
        <v>KKSUK-000126</v>
      </c>
      <c r="D1673" s="23">
        <v>0</v>
      </c>
      <c r="E1673" s="23">
        <v>100000</v>
      </c>
      <c r="F1673" s="23">
        <v>100000</v>
      </c>
      <c r="G1673" s="23">
        <v>0</v>
      </c>
      <c r="H1673" s="42">
        <v>46136</v>
      </c>
      <c r="I1673" s="21" t="s">
        <v>806</v>
      </c>
    </row>
    <row r="1674" spans="1:9">
      <c r="A1674">
        <f t="shared" si="26"/>
        <v>1670</v>
      </c>
      <c r="B1674" s="21" t="s">
        <v>325</v>
      </c>
      <c r="C1674" s="20" t="str">
        <f>IF(B1674="","",IF(COUNTIF('01_Anggota'!$D$5:$D$1212,B1674)=0,"NAMA TIDAK DITEMUKAN",INDEX('01_Anggota'!$B$5:$B$1212,MATCH(B1674,'01_Anggota'!$D$5:$D$1212,0))))</f>
        <v>KKSUK-000126</v>
      </c>
      <c r="D1674" s="23">
        <v>0</v>
      </c>
      <c r="E1674" s="23">
        <v>100000</v>
      </c>
      <c r="F1674" s="23">
        <v>100000</v>
      </c>
      <c r="G1674" s="23">
        <v>0</v>
      </c>
      <c r="H1674" s="42">
        <v>46167</v>
      </c>
      <c r="I1674" s="21" t="s">
        <v>807</v>
      </c>
    </row>
    <row r="1675" spans="1:9">
      <c r="A1675">
        <f t="shared" si="26"/>
        <v>1671</v>
      </c>
      <c r="B1675" s="21" t="s">
        <v>325</v>
      </c>
      <c r="C1675" s="20" t="str">
        <f>IF(B1675="","",IF(COUNTIF('01_Anggota'!$D$5:$D$1212,B1675)=0,"NAMA TIDAK DITEMUKAN",INDEX('01_Anggota'!$B$5:$B$1212,MATCH(B1675,'01_Anggota'!$D$5:$D$1212,0))))</f>
        <v>KKSUK-000126</v>
      </c>
      <c r="D1675" s="23">
        <v>0</v>
      </c>
      <c r="E1675" s="23">
        <v>100000</v>
      </c>
      <c r="F1675" s="23">
        <v>100000</v>
      </c>
      <c r="G1675" s="23">
        <v>0</v>
      </c>
      <c r="H1675" s="42">
        <v>46198</v>
      </c>
      <c r="I1675" s="21" t="s">
        <v>808</v>
      </c>
    </row>
    <row r="1676" spans="1:9">
      <c r="A1676">
        <f t="shared" si="26"/>
        <v>1672</v>
      </c>
      <c r="B1676" s="21" t="s">
        <v>325</v>
      </c>
      <c r="C1676" s="20" t="str">
        <f>IF(B1676="","",IF(COUNTIF('01_Anggota'!$D$5:$D$1212,B1676)=0,"NAMA TIDAK DITEMUKAN",INDEX('01_Anggota'!$B$5:$B$1212,MATCH(B1676,'01_Anggota'!$D$5:$D$1212,0))))</f>
        <v>KKSUK-000126</v>
      </c>
      <c r="D1676" s="23">
        <v>0</v>
      </c>
      <c r="E1676" s="23">
        <v>100000</v>
      </c>
      <c r="F1676" s="23">
        <v>100000</v>
      </c>
      <c r="G1676" s="23">
        <v>0</v>
      </c>
      <c r="H1676" s="42">
        <v>46227</v>
      </c>
      <c r="I1676" s="21" t="s">
        <v>809</v>
      </c>
    </row>
    <row r="1677" spans="1:9">
      <c r="A1677">
        <f t="shared" si="26"/>
        <v>1673</v>
      </c>
      <c r="B1677" s="21" t="s">
        <v>325</v>
      </c>
      <c r="C1677" s="20" t="str">
        <f>IF(B1677="","",IF(COUNTIF('01_Anggota'!$D$5:$D$1212,B1677)=0,"NAMA TIDAK DITEMUKAN",INDEX('01_Anggota'!$B$5:$B$1212,MATCH(B1677,'01_Anggota'!$D$5:$D$1212,0))))</f>
        <v>KKSUK-000126</v>
      </c>
      <c r="D1677" s="23">
        <v>0</v>
      </c>
      <c r="E1677" s="23">
        <v>100000</v>
      </c>
      <c r="F1677" s="23">
        <v>100000</v>
      </c>
      <c r="G1677" s="23">
        <v>0</v>
      </c>
      <c r="H1677" s="42">
        <v>46258</v>
      </c>
      <c r="I1677" s="21" t="s">
        <v>810</v>
      </c>
    </row>
    <row r="1678" spans="1:9">
      <c r="A1678">
        <f t="shared" si="26"/>
        <v>1674</v>
      </c>
      <c r="B1678" s="21" t="s">
        <v>251</v>
      </c>
      <c r="C1678" s="20" t="str">
        <f>IF(B1678="","",IF(COUNTIF('01_Anggota'!$D$5:$D$1212,B1678)=0,"NAMA TIDAK DITEMUKAN",INDEX('01_Anggota'!$B$5:$B$1212,MATCH(B1678,'01_Anggota'!$D$5:$D$1212,0))))</f>
        <v>KKSUK-000052</v>
      </c>
      <c r="D1678" s="23">
        <v>0</v>
      </c>
      <c r="E1678" s="23">
        <v>3700000</v>
      </c>
      <c r="F1678" s="23">
        <v>10444202.804547399</v>
      </c>
      <c r="G1678" s="23">
        <v>5400672</v>
      </c>
      <c r="H1678" s="42">
        <v>46023</v>
      </c>
      <c r="I1678" s="21" t="s">
        <v>802</v>
      </c>
    </row>
    <row r="1679" spans="1:9">
      <c r="A1679">
        <f t="shared" si="26"/>
        <v>1675</v>
      </c>
      <c r="B1679" s="21" t="s">
        <v>251</v>
      </c>
      <c r="C1679" s="20" t="str">
        <f>IF(B1679="","",IF(COUNTIF('01_Anggota'!$D$5:$D$1212,B1679)=0,"NAMA TIDAK DITEMUKAN",INDEX('01_Anggota'!$B$5:$B$1212,MATCH(B1679,'01_Anggota'!$D$5:$D$1212,0))))</f>
        <v>KKSUK-000052</v>
      </c>
      <c r="D1679" s="23">
        <v>0</v>
      </c>
      <c r="E1679" s="23">
        <v>100000</v>
      </c>
      <c r="F1679" s="23">
        <v>100000</v>
      </c>
      <c r="G1679" s="23">
        <v>0</v>
      </c>
      <c r="H1679" s="42">
        <v>46045</v>
      </c>
      <c r="I1679" s="21" t="s">
        <v>803</v>
      </c>
    </row>
    <row r="1680" spans="1:9">
      <c r="A1680">
        <f t="shared" si="26"/>
        <v>1676</v>
      </c>
      <c r="B1680" s="21" t="s">
        <v>251</v>
      </c>
      <c r="C1680" s="20" t="str">
        <f>IF(B1680="","",IF(COUNTIF('01_Anggota'!$D$5:$D$1212,B1680)=0,"NAMA TIDAK DITEMUKAN",INDEX('01_Anggota'!$B$5:$B$1212,MATCH(B1680,'01_Anggota'!$D$5:$D$1212,0))))</f>
        <v>KKSUK-000052</v>
      </c>
      <c r="D1680" s="23">
        <v>0</v>
      </c>
      <c r="E1680" s="23">
        <v>100000</v>
      </c>
      <c r="F1680" s="23">
        <v>100000</v>
      </c>
      <c r="G1680" s="23">
        <v>0</v>
      </c>
      <c r="H1680" s="42">
        <v>46078</v>
      </c>
      <c r="I1680" s="21" t="s">
        <v>804</v>
      </c>
    </row>
    <row r="1681" spans="1:9">
      <c r="A1681">
        <f t="shared" si="26"/>
        <v>1677</v>
      </c>
      <c r="B1681" s="21" t="s">
        <v>251</v>
      </c>
      <c r="C1681" s="20" t="str">
        <f>IF(B1681="","",IF(COUNTIF('01_Anggota'!$D$5:$D$1212,B1681)=0,"NAMA TIDAK DITEMUKAN",INDEX('01_Anggota'!$B$5:$B$1212,MATCH(B1681,'01_Anggota'!$D$5:$D$1212,0))))</f>
        <v>KKSUK-000052</v>
      </c>
      <c r="D1681" s="23">
        <v>0</v>
      </c>
      <c r="E1681" s="23">
        <v>100000</v>
      </c>
      <c r="F1681" s="23">
        <v>100000</v>
      </c>
      <c r="G1681" s="23">
        <v>0</v>
      </c>
      <c r="H1681" s="42">
        <v>46106</v>
      </c>
      <c r="I1681" s="21" t="s">
        <v>805</v>
      </c>
    </row>
    <row r="1682" spans="1:9">
      <c r="A1682">
        <f t="shared" si="26"/>
        <v>1678</v>
      </c>
      <c r="B1682" s="21" t="s">
        <v>251</v>
      </c>
      <c r="C1682" s="20" t="str">
        <f>IF(B1682="","",IF(COUNTIF('01_Anggota'!$D$5:$D$1212,B1682)=0,"NAMA TIDAK DITEMUKAN",INDEX('01_Anggota'!$B$5:$B$1212,MATCH(B1682,'01_Anggota'!$D$5:$D$1212,0))))</f>
        <v>KKSUK-000052</v>
      </c>
      <c r="D1682" s="23">
        <v>0</v>
      </c>
      <c r="E1682" s="23">
        <v>100000</v>
      </c>
      <c r="F1682" s="23">
        <v>100000</v>
      </c>
      <c r="G1682" s="23">
        <v>0</v>
      </c>
      <c r="H1682" s="42">
        <v>46136</v>
      </c>
      <c r="I1682" s="21" t="s">
        <v>806</v>
      </c>
    </row>
    <row r="1683" spans="1:9">
      <c r="A1683">
        <f t="shared" si="26"/>
        <v>1679</v>
      </c>
      <c r="B1683" s="21" t="s">
        <v>251</v>
      </c>
      <c r="C1683" s="20" t="str">
        <f>IF(B1683="","",IF(COUNTIF('01_Anggota'!$D$5:$D$1212,B1683)=0,"NAMA TIDAK DITEMUKAN",INDEX('01_Anggota'!$B$5:$B$1212,MATCH(B1683,'01_Anggota'!$D$5:$D$1212,0))))</f>
        <v>KKSUK-000052</v>
      </c>
      <c r="D1683" s="23">
        <v>0</v>
      </c>
      <c r="E1683" s="23">
        <v>100000</v>
      </c>
      <c r="F1683" s="23">
        <v>100000</v>
      </c>
      <c r="G1683" s="23">
        <v>0</v>
      </c>
      <c r="H1683" s="42">
        <v>46167</v>
      </c>
      <c r="I1683" s="21" t="s">
        <v>807</v>
      </c>
    </row>
    <row r="1684" spans="1:9">
      <c r="A1684">
        <f t="shared" si="26"/>
        <v>1680</v>
      </c>
      <c r="B1684" s="21" t="s">
        <v>251</v>
      </c>
      <c r="C1684" s="20" t="str">
        <f>IF(B1684="","",IF(COUNTIF('01_Anggota'!$D$5:$D$1212,B1684)=0,"NAMA TIDAK DITEMUKAN",INDEX('01_Anggota'!$B$5:$B$1212,MATCH(B1684,'01_Anggota'!$D$5:$D$1212,0))))</f>
        <v>KKSUK-000052</v>
      </c>
      <c r="D1684" s="23">
        <v>0</v>
      </c>
      <c r="E1684" s="23">
        <v>100000</v>
      </c>
      <c r="F1684" s="23">
        <v>100000</v>
      </c>
      <c r="G1684" s="23">
        <v>0</v>
      </c>
      <c r="H1684" s="42">
        <v>46198</v>
      </c>
      <c r="I1684" s="21" t="s">
        <v>808</v>
      </c>
    </row>
    <row r="1685" spans="1:9">
      <c r="A1685">
        <f t="shared" si="26"/>
        <v>1681</v>
      </c>
      <c r="B1685" s="21" t="s">
        <v>251</v>
      </c>
      <c r="C1685" s="20" t="str">
        <f>IF(B1685="","",IF(COUNTIF('01_Anggota'!$D$5:$D$1212,B1685)=0,"NAMA TIDAK DITEMUKAN",INDEX('01_Anggota'!$B$5:$B$1212,MATCH(B1685,'01_Anggota'!$D$5:$D$1212,0))))</f>
        <v>KKSUK-000052</v>
      </c>
      <c r="D1685" s="23">
        <v>0</v>
      </c>
      <c r="E1685" s="23">
        <v>100000</v>
      </c>
      <c r="F1685" s="23">
        <v>100000</v>
      </c>
      <c r="G1685" s="23">
        <v>0</v>
      </c>
      <c r="H1685" s="42">
        <v>46227</v>
      </c>
      <c r="I1685" s="21" t="s">
        <v>809</v>
      </c>
    </row>
    <row r="1686" spans="1:9">
      <c r="A1686">
        <f t="shared" si="26"/>
        <v>1682</v>
      </c>
      <c r="B1686" s="21" t="s">
        <v>251</v>
      </c>
      <c r="C1686" s="20" t="str">
        <f>IF(B1686="","",IF(COUNTIF('01_Anggota'!$D$5:$D$1212,B1686)=0,"NAMA TIDAK DITEMUKAN",INDEX('01_Anggota'!$B$5:$B$1212,MATCH(B1686,'01_Anggota'!$D$5:$D$1212,0))))</f>
        <v>KKSUK-000052</v>
      </c>
      <c r="D1686" s="23">
        <v>0</v>
      </c>
      <c r="E1686" s="23">
        <v>100000</v>
      </c>
      <c r="F1686" s="23">
        <v>100000</v>
      </c>
      <c r="G1686" s="23">
        <v>0</v>
      </c>
      <c r="H1686" s="42">
        <v>46258</v>
      </c>
      <c r="I1686" s="21" t="s">
        <v>810</v>
      </c>
    </row>
    <row r="1687" spans="1:9">
      <c r="A1687">
        <f t="shared" si="26"/>
        <v>1683</v>
      </c>
      <c r="B1687" s="21" t="s">
        <v>356</v>
      </c>
      <c r="C1687" s="20" t="str">
        <f>IF(B1687="","",IF(COUNTIF('01_Anggota'!$D$5:$D$1212,B1687)=0,"NAMA TIDAK DITEMUKAN",INDEX('01_Anggota'!$B$5:$B$1212,MATCH(B1687,'01_Anggota'!$D$5:$D$1212,0))))</f>
        <v>KKSUK-000157</v>
      </c>
      <c r="D1687" s="23">
        <v>0</v>
      </c>
      <c r="E1687" s="23">
        <v>1800000</v>
      </c>
      <c r="F1687" s="23">
        <v>1000000</v>
      </c>
      <c r="G1687" s="23">
        <v>0</v>
      </c>
      <c r="H1687" s="42">
        <v>46023</v>
      </c>
      <c r="I1687" s="21" t="s">
        <v>802</v>
      </c>
    </row>
    <row r="1688" spans="1:9">
      <c r="A1688">
        <f t="shared" si="26"/>
        <v>1684</v>
      </c>
      <c r="B1688" s="21" t="s">
        <v>356</v>
      </c>
      <c r="C1688" s="20" t="str">
        <f>IF(B1688="","",IF(COUNTIF('01_Anggota'!$D$5:$D$1212,B1688)=0,"NAMA TIDAK DITEMUKAN",INDEX('01_Anggota'!$B$5:$B$1212,MATCH(B1688,'01_Anggota'!$D$5:$D$1212,0))))</f>
        <v>KKSUK-000157</v>
      </c>
      <c r="D1688" s="23">
        <v>0</v>
      </c>
      <c r="E1688" s="23">
        <v>150000</v>
      </c>
      <c r="F1688" s="23">
        <v>100000</v>
      </c>
      <c r="G1688" s="23">
        <v>0</v>
      </c>
      <c r="H1688" s="42">
        <v>46045</v>
      </c>
      <c r="I1688" s="21" t="s">
        <v>803</v>
      </c>
    </row>
    <row r="1689" spans="1:9">
      <c r="A1689">
        <f t="shared" si="26"/>
        <v>1685</v>
      </c>
      <c r="B1689" s="21" t="s">
        <v>356</v>
      </c>
      <c r="C1689" s="20" t="str">
        <f>IF(B1689="","",IF(COUNTIF('01_Anggota'!$D$5:$D$1212,B1689)=0,"NAMA TIDAK DITEMUKAN",INDEX('01_Anggota'!$B$5:$B$1212,MATCH(B1689,'01_Anggota'!$D$5:$D$1212,0))))</f>
        <v>KKSUK-000157</v>
      </c>
      <c r="D1689" s="23">
        <v>0</v>
      </c>
      <c r="E1689" s="23">
        <v>150000</v>
      </c>
      <c r="F1689" s="23">
        <v>100000</v>
      </c>
      <c r="G1689" s="23">
        <v>0</v>
      </c>
      <c r="H1689" s="42">
        <v>46078</v>
      </c>
      <c r="I1689" s="21" t="s">
        <v>804</v>
      </c>
    </row>
    <row r="1690" spans="1:9">
      <c r="A1690">
        <f t="shared" si="26"/>
        <v>1686</v>
      </c>
      <c r="B1690" s="21" t="s">
        <v>356</v>
      </c>
      <c r="C1690" s="20" t="str">
        <f>IF(B1690="","",IF(COUNTIF('01_Anggota'!$D$5:$D$1212,B1690)=0,"NAMA TIDAK DITEMUKAN",INDEX('01_Anggota'!$B$5:$B$1212,MATCH(B1690,'01_Anggota'!$D$5:$D$1212,0))))</f>
        <v>KKSUK-000157</v>
      </c>
      <c r="D1690" s="23">
        <v>0</v>
      </c>
      <c r="E1690" s="23">
        <v>150000</v>
      </c>
      <c r="F1690" s="23">
        <v>100000</v>
      </c>
      <c r="G1690" s="23">
        <v>0</v>
      </c>
      <c r="H1690" s="42">
        <v>46106</v>
      </c>
      <c r="I1690" s="21" t="s">
        <v>805</v>
      </c>
    </row>
    <row r="1691" spans="1:9">
      <c r="A1691">
        <f t="shared" si="26"/>
        <v>1687</v>
      </c>
      <c r="B1691" s="21" t="s">
        <v>356</v>
      </c>
      <c r="C1691" s="20" t="str">
        <f>IF(B1691="","",IF(COUNTIF('01_Anggota'!$D$5:$D$1212,B1691)=0,"NAMA TIDAK DITEMUKAN",INDEX('01_Anggota'!$B$5:$B$1212,MATCH(B1691,'01_Anggota'!$D$5:$D$1212,0))))</f>
        <v>KKSUK-000157</v>
      </c>
      <c r="D1691" s="23">
        <v>0</v>
      </c>
      <c r="E1691" s="23">
        <v>150000</v>
      </c>
      <c r="F1691" s="23">
        <v>100000</v>
      </c>
      <c r="G1691" s="23">
        <v>0</v>
      </c>
      <c r="H1691" s="42">
        <v>46136</v>
      </c>
      <c r="I1691" s="21" t="s">
        <v>806</v>
      </c>
    </row>
    <row r="1692" spans="1:9">
      <c r="A1692">
        <f t="shared" si="26"/>
        <v>1688</v>
      </c>
      <c r="B1692" s="21" t="s">
        <v>356</v>
      </c>
      <c r="C1692" s="20" t="str">
        <f>IF(B1692="","",IF(COUNTIF('01_Anggota'!$D$5:$D$1212,B1692)=0,"NAMA TIDAK DITEMUKAN",INDEX('01_Anggota'!$B$5:$B$1212,MATCH(B1692,'01_Anggota'!$D$5:$D$1212,0))))</f>
        <v>KKSUK-000157</v>
      </c>
      <c r="D1692" s="23">
        <v>0</v>
      </c>
      <c r="E1692" s="23">
        <v>150000</v>
      </c>
      <c r="F1692" s="23">
        <v>100000</v>
      </c>
      <c r="G1692" s="23">
        <v>0</v>
      </c>
      <c r="H1692" s="42">
        <v>46167</v>
      </c>
      <c r="I1692" s="21" t="s">
        <v>807</v>
      </c>
    </row>
    <row r="1693" spans="1:9">
      <c r="A1693">
        <f t="shared" si="26"/>
        <v>1689</v>
      </c>
      <c r="B1693" s="21" t="s">
        <v>356</v>
      </c>
      <c r="C1693" s="20" t="str">
        <f>IF(B1693="","",IF(COUNTIF('01_Anggota'!$D$5:$D$1212,B1693)=0,"NAMA TIDAK DITEMUKAN",INDEX('01_Anggota'!$B$5:$B$1212,MATCH(B1693,'01_Anggota'!$D$5:$D$1212,0))))</f>
        <v>KKSUK-000157</v>
      </c>
      <c r="D1693" s="23">
        <v>0</v>
      </c>
      <c r="E1693" s="23">
        <v>150000</v>
      </c>
      <c r="F1693" s="23">
        <v>100000</v>
      </c>
      <c r="G1693" s="23">
        <v>0</v>
      </c>
      <c r="H1693" s="42">
        <v>46198</v>
      </c>
      <c r="I1693" s="21" t="s">
        <v>808</v>
      </c>
    </row>
    <row r="1694" spans="1:9">
      <c r="A1694">
        <f t="shared" si="26"/>
        <v>1690</v>
      </c>
      <c r="B1694" s="21" t="s">
        <v>356</v>
      </c>
      <c r="C1694" s="20" t="str">
        <f>IF(B1694="","",IF(COUNTIF('01_Anggota'!$D$5:$D$1212,B1694)=0,"NAMA TIDAK DITEMUKAN",INDEX('01_Anggota'!$B$5:$B$1212,MATCH(B1694,'01_Anggota'!$D$5:$D$1212,0))))</f>
        <v>KKSUK-000157</v>
      </c>
      <c r="D1694" s="23">
        <v>0</v>
      </c>
      <c r="E1694" s="23">
        <v>150000</v>
      </c>
      <c r="F1694" s="23">
        <v>100000</v>
      </c>
      <c r="G1694" s="23">
        <v>0</v>
      </c>
      <c r="H1694" s="42">
        <v>46227</v>
      </c>
      <c r="I1694" s="21" t="s">
        <v>809</v>
      </c>
    </row>
    <row r="1695" spans="1:9">
      <c r="A1695">
        <f t="shared" si="26"/>
        <v>1691</v>
      </c>
      <c r="B1695" s="21" t="s">
        <v>356</v>
      </c>
      <c r="C1695" s="20" t="str">
        <f>IF(B1695="","",IF(COUNTIF('01_Anggota'!$D$5:$D$1212,B1695)=0,"NAMA TIDAK DITEMUKAN",INDEX('01_Anggota'!$B$5:$B$1212,MATCH(B1695,'01_Anggota'!$D$5:$D$1212,0))))</f>
        <v>KKSUK-000157</v>
      </c>
      <c r="D1695" s="23">
        <v>0</v>
      </c>
      <c r="E1695" s="23">
        <v>150000</v>
      </c>
      <c r="F1695" s="23">
        <v>100000</v>
      </c>
      <c r="G1695" s="23">
        <v>0</v>
      </c>
      <c r="H1695" s="42">
        <v>46258</v>
      </c>
      <c r="I1695" s="21" t="s">
        <v>810</v>
      </c>
    </row>
    <row r="1696" spans="1:9">
      <c r="A1696">
        <f t="shared" si="26"/>
        <v>1692</v>
      </c>
      <c r="B1696" s="21" t="s">
        <v>334</v>
      </c>
      <c r="C1696" s="20" t="str">
        <f>IF(B1696="","",IF(COUNTIF('01_Anggota'!$D$5:$D$1212,B1696)=0,"NAMA TIDAK DITEMUKAN",INDEX('01_Anggota'!$B$5:$B$1212,MATCH(B1696,'01_Anggota'!$D$5:$D$1212,0))))</f>
        <v>KKSUK-000135</v>
      </c>
      <c r="D1696" s="23">
        <v>0</v>
      </c>
      <c r="E1696" s="23">
        <v>2967500</v>
      </c>
      <c r="F1696" s="23">
        <v>17692023.229445498</v>
      </c>
      <c r="G1696" s="23">
        <v>4234684</v>
      </c>
      <c r="H1696" s="42">
        <v>46023</v>
      </c>
      <c r="I1696" s="21" t="s">
        <v>802</v>
      </c>
    </row>
    <row r="1697" spans="1:9">
      <c r="A1697">
        <f t="shared" si="26"/>
        <v>1693</v>
      </c>
      <c r="B1697" s="21" t="s">
        <v>334</v>
      </c>
      <c r="C1697" s="20" t="str">
        <f>IF(B1697="","",IF(COUNTIF('01_Anggota'!$D$5:$D$1212,B1697)=0,"NAMA TIDAK DITEMUKAN",INDEX('01_Anggota'!$B$5:$B$1212,MATCH(B1697,'01_Anggota'!$D$5:$D$1212,0))))</f>
        <v>KKSUK-000135</v>
      </c>
      <c r="D1697" s="23">
        <v>0</v>
      </c>
      <c r="E1697" s="23">
        <v>10000</v>
      </c>
      <c r="F1697" s="23">
        <v>100000</v>
      </c>
      <c r="G1697" s="23">
        <v>0</v>
      </c>
      <c r="H1697" s="42">
        <v>46045</v>
      </c>
      <c r="I1697" s="21" t="s">
        <v>803</v>
      </c>
    </row>
    <row r="1698" spans="1:9">
      <c r="A1698">
        <f t="shared" si="26"/>
        <v>1694</v>
      </c>
      <c r="B1698" s="21" t="s">
        <v>334</v>
      </c>
      <c r="C1698" s="20" t="str">
        <f>IF(B1698="","",IF(COUNTIF('01_Anggota'!$D$5:$D$1212,B1698)=0,"NAMA TIDAK DITEMUKAN",INDEX('01_Anggota'!$B$5:$B$1212,MATCH(B1698,'01_Anggota'!$D$5:$D$1212,0))))</f>
        <v>KKSUK-000135</v>
      </c>
      <c r="D1698" s="23">
        <v>0</v>
      </c>
      <c r="E1698" s="23">
        <v>10000</v>
      </c>
      <c r="F1698" s="23">
        <v>100000</v>
      </c>
      <c r="G1698" s="23">
        <v>0</v>
      </c>
      <c r="H1698" s="42">
        <v>46078</v>
      </c>
      <c r="I1698" s="21" t="s">
        <v>804</v>
      </c>
    </row>
    <row r="1699" spans="1:9">
      <c r="A1699">
        <f t="shared" si="26"/>
        <v>1695</v>
      </c>
      <c r="B1699" s="21" t="s">
        <v>334</v>
      </c>
      <c r="C1699" s="20" t="str">
        <f>IF(B1699="","",IF(COUNTIF('01_Anggota'!$D$5:$D$1212,B1699)=0,"NAMA TIDAK DITEMUKAN",INDEX('01_Anggota'!$B$5:$B$1212,MATCH(B1699,'01_Anggota'!$D$5:$D$1212,0))))</f>
        <v>KKSUK-000135</v>
      </c>
      <c r="D1699" s="23">
        <v>0</v>
      </c>
      <c r="E1699" s="23">
        <v>10000</v>
      </c>
      <c r="F1699" s="23">
        <v>100000</v>
      </c>
      <c r="G1699" s="23">
        <v>0</v>
      </c>
      <c r="H1699" s="42">
        <v>46106</v>
      </c>
      <c r="I1699" s="21" t="s">
        <v>805</v>
      </c>
    </row>
    <row r="1700" spans="1:9">
      <c r="A1700">
        <f t="shared" si="26"/>
        <v>1696</v>
      </c>
      <c r="B1700" s="21" t="s">
        <v>334</v>
      </c>
      <c r="C1700" s="20" t="str">
        <f>IF(B1700="","",IF(COUNTIF('01_Anggota'!$D$5:$D$1212,B1700)=0,"NAMA TIDAK DITEMUKAN",INDEX('01_Anggota'!$B$5:$B$1212,MATCH(B1700,'01_Anggota'!$D$5:$D$1212,0))))</f>
        <v>KKSUK-000135</v>
      </c>
      <c r="D1700" s="23">
        <v>0</v>
      </c>
      <c r="E1700" s="23">
        <v>10000</v>
      </c>
      <c r="F1700" s="23">
        <v>100000</v>
      </c>
      <c r="G1700" s="23">
        <v>0</v>
      </c>
      <c r="H1700" s="42">
        <v>46136</v>
      </c>
      <c r="I1700" s="21" t="s">
        <v>806</v>
      </c>
    </row>
    <row r="1701" spans="1:9">
      <c r="A1701">
        <f t="shared" si="26"/>
        <v>1697</v>
      </c>
      <c r="B1701" s="21" t="s">
        <v>334</v>
      </c>
      <c r="C1701" s="20" t="str">
        <f>IF(B1701="","",IF(COUNTIF('01_Anggota'!$D$5:$D$1212,B1701)=0,"NAMA TIDAK DITEMUKAN",INDEX('01_Anggota'!$B$5:$B$1212,MATCH(B1701,'01_Anggota'!$D$5:$D$1212,0))))</f>
        <v>KKSUK-000135</v>
      </c>
      <c r="D1701" s="23">
        <v>0</v>
      </c>
      <c r="E1701" s="23">
        <v>10000</v>
      </c>
      <c r="F1701" s="23">
        <v>100000</v>
      </c>
      <c r="G1701" s="23">
        <v>0</v>
      </c>
      <c r="H1701" s="42">
        <v>46167</v>
      </c>
      <c r="I1701" s="21" t="s">
        <v>807</v>
      </c>
    </row>
    <row r="1702" spans="1:9">
      <c r="A1702">
        <f t="shared" si="26"/>
        <v>1698</v>
      </c>
      <c r="B1702" s="21" t="s">
        <v>334</v>
      </c>
      <c r="C1702" s="20" t="str">
        <f>IF(B1702="","",IF(COUNTIF('01_Anggota'!$D$5:$D$1212,B1702)=0,"NAMA TIDAK DITEMUKAN",INDEX('01_Anggota'!$B$5:$B$1212,MATCH(B1702,'01_Anggota'!$D$5:$D$1212,0))))</f>
        <v>KKSUK-000135</v>
      </c>
      <c r="D1702" s="23">
        <v>0</v>
      </c>
      <c r="E1702" s="23">
        <v>10000</v>
      </c>
      <c r="F1702" s="23">
        <v>100000</v>
      </c>
      <c r="G1702" s="23">
        <v>0</v>
      </c>
      <c r="H1702" s="42">
        <v>46198</v>
      </c>
      <c r="I1702" s="21" t="s">
        <v>808</v>
      </c>
    </row>
    <row r="1703" spans="1:9">
      <c r="A1703">
        <f t="shared" si="26"/>
        <v>1699</v>
      </c>
      <c r="B1703" s="21" t="s">
        <v>334</v>
      </c>
      <c r="C1703" s="20" t="str">
        <f>IF(B1703="","",IF(COUNTIF('01_Anggota'!$D$5:$D$1212,B1703)=0,"NAMA TIDAK DITEMUKAN",INDEX('01_Anggota'!$B$5:$B$1212,MATCH(B1703,'01_Anggota'!$D$5:$D$1212,0))))</f>
        <v>KKSUK-000135</v>
      </c>
      <c r="D1703" s="23">
        <v>0</v>
      </c>
      <c r="E1703" s="23">
        <v>10000</v>
      </c>
      <c r="F1703" s="23">
        <v>100000</v>
      </c>
      <c r="G1703" s="23">
        <v>0</v>
      </c>
      <c r="H1703" s="42">
        <v>46227</v>
      </c>
      <c r="I1703" s="21" t="s">
        <v>809</v>
      </c>
    </row>
    <row r="1704" spans="1:9">
      <c r="A1704">
        <f t="shared" ref="A1704:A1739" si="27">IF(B1704="","",ROW()-4)</f>
        <v>1700</v>
      </c>
      <c r="B1704" s="21" t="s">
        <v>334</v>
      </c>
      <c r="C1704" s="20" t="str">
        <f>IF(B1704="","",IF(COUNTIF('01_Anggota'!$D$5:$D$1212,B1704)=0,"NAMA TIDAK DITEMUKAN",INDEX('01_Anggota'!$B$5:$B$1212,MATCH(B1704,'01_Anggota'!$D$5:$D$1212,0))))</f>
        <v>KKSUK-000135</v>
      </c>
      <c r="D1704" s="23">
        <v>0</v>
      </c>
      <c r="E1704" s="23">
        <v>10000</v>
      </c>
      <c r="F1704" s="23">
        <v>100000</v>
      </c>
      <c r="G1704" s="23">
        <v>0</v>
      </c>
      <c r="H1704" s="42">
        <v>46258</v>
      </c>
      <c r="I1704" s="21" t="s">
        <v>810</v>
      </c>
    </row>
    <row r="1705" spans="1:9">
      <c r="A1705">
        <f t="shared" si="27"/>
        <v>1701</v>
      </c>
      <c r="B1705" s="21" t="s">
        <v>245</v>
      </c>
      <c r="C1705" s="20" t="str">
        <f>IF(B1705="","",IF(COUNTIF('01_Anggota'!$D$5:$D$1212,B1705)=0,"NAMA TIDAK DITEMUKAN",INDEX('01_Anggota'!$B$5:$B$1212,MATCH(B1705,'01_Anggota'!$D$5:$D$1212,0))))</f>
        <v>KKSUK-000046</v>
      </c>
      <c r="D1705" s="23">
        <v>0</v>
      </c>
      <c r="E1705" s="23">
        <v>1150000</v>
      </c>
      <c r="F1705" s="23">
        <v>15756394</v>
      </c>
      <c r="G1705" s="23">
        <v>5304500</v>
      </c>
      <c r="H1705" s="42">
        <v>46023</v>
      </c>
      <c r="I1705" s="21" t="s">
        <v>802</v>
      </c>
    </row>
    <row r="1706" spans="1:9">
      <c r="A1706">
        <f t="shared" si="27"/>
        <v>1702</v>
      </c>
      <c r="B1706" s="21" t="s">
        <v>245</v>
      </c>
      <c r="C1706" s="20" t="str">
        <f>IF(B1706="","",IF(COUNTIF('01_Anggota'!$D$5:$D$1212,B1706)=0,"NAMA TIDAK DITEMUKAN",INDEX('01_Anggota'!$B$5:$B$1212,MATCH(B1706,'01_Anggota'!$D$5:$D$1212,0))))</f>
        <v>KKSUK-000046</v>
      </c>
      <c r="D1706" s="23">
        <v>0</v>
      </c>
      <c r="E1706" s="23">
        <v>75000</v>
      </c>
      <c r="F1706" s="23">
        <v>100000</v>
      </c>
      <c r="G1706" s="23">
        <v>0</v>
      </c>
      <c r="H1706" s="42">
        <v>46045</v>
      </c>
      <c r="I1706" s="21" t="s">
        <v>803</v>
      </c>
    </row>
    <row r="1707" spans="1:9">
      <c r="A1707">
        <f t="shared" si="27"/>
        <v>1703</v>
      </c>
      <c r="B1707" s="21" t="s">
        <v>245</v>
      </c>
      <c r="C1707" s="20" t="str">
        <f>IF(B1707="","",IF(COUNTIF('01_Anggota'!$D$5:$D$1212,B1707)=0,"NAMA TIDAK DITEMUKAN",INDEX('01_Anggota'!$B$5:$B$1212,MATCH(B1707,'01_Anggota'!$D$5:$D$1212,0))))</f>
        <v>KKSUK-000046</v>
      </c>
      <c r="D1707" s="23">
        <v>0</v>
      </c>
      <c r="E1707" s="23">
        <v>75000</v>
      </c>
      <c r="F1707" s="23">
        <v>100000</v>
      </c>
      <c r="G1707" s="23">
        <v>0</v>
      </c>
      <c r="H1707" s="42">
        <v>46078</v>
      </c>
      <c r="I1707" s="21" t="s">
        <v>804</v>
      </c>
    </row>
    <row r="1708" spans="1:9">
      <c r="A1708">
        <f t="shared" si="27"/>
        <v>1704</v>
      </c>
      <c r="B1708" s="21" t="s">
        <v>245</v>
      </c>
      <c r="C1708" s="20" t="str">
        <f>IF(B1708="","",IF(COUNTIF('01_Anggota'!$D$5:$D$1212,B1708)=0,"NAMA TIDAK DITEMUKAN",INDEX('01_Anggota'!$B$5:$B$1212,MATCH(B1708,'01_Anggota'!$D$5:$D$1212,0))))</f>
        <v>KKSUK-000046</v>
      </c>
      <c r="D1708" s="23">
        <v>0</v>
      </c>
      <c r="E1708" s="23">
        <v>75000</v>
      </c>
      <c r="F1708" s="23">
        <v>100000</v>
      </c>
      <c r="G1708" s="23">
        <v>0</v>
      </c>
      <c r="H1708" s="42">
        <v>46106</v>
      </c>
      <c r="I1708" s="21" t="s">
        <v>805</v>
      </c>
    </row>
    <row r="1709" spans="1:9">
      <c r="A1709">
        <f t="shared" si="27"/>
        <v>1705</v>
      </c>
      <c r="B1709" s="21" t="s">
        <v>245</v>
      </c>
      <c r="C1709" s="20" t="str">
        <f>IF(B1709="","",IF(COUNTIF('01_Anggota'!$D$5:$D$1212,B1709)=0,"NAMA TIDAK DITEMUKAN",INDEX('01_Anggota'!$B$5:$B$1212,MATCH(B1709,'01_Anggota'!$D$5:$D$1212,0))))</f>
        <v>KKSUK-000046</v>
      </c>
      <c r="D1709" s="23">
        <v>0</v>
      </c>
      <c r="E1709" s="23">
        <v>75000</v>
      </c>
      <c r="F1709" s="23">
        <v>100000</v>
      </c>
      <c r="G1709" s="23">
        <v>0</v>
      </c>
      <c r="H1709" s="42">
        <v>46136</v>
      </c>
      <c r="I1709" s="21" t="s">
        <v>806</v>
      </c>
    </row>
    <row r="1710" spans="1:9">
      <c r="A1710">
        <f t="shared" si="27"/>
        <v>1706</v>
      </c>
      <c r="B1710" s="21" t="s">
        <v>245</v>
      </c>
      <c r="C1710" s="20" t="str">
        <f>IF(B1710="","",IF(COUNTIF('01_Anggota'!$D$5:$D$1212,B1710)=0,"NAMA TIDAK DITEMUKAN",INDEX('01_Anggota'!$B$5:$B$1212,MATCH(B1710,'01_Anggota'!$D$5:$D$1212,0))))</f>
        <v>KKSUK-000046</v>
      </c>
      <c r="D1710" s="23">
        <v>0</v>
      </c>
      <c r="E1710" s="23">
        <v>75000</v>
      </c>
      <c r="F1710" s="23">
        <v>100000</v>
      </c>
      <c r="G1710" s="23">
        <v>0</v>
      </c>
      <c r="H1710" s="42">
        <v>46167</v>
      </c>
      <c r="I1710" s="21" t="s">
        <v>807</v>
      </c>
    </row>
    <row r="1711" spans="1:9">
      <c r="A1711">
        <f t="shared" si="27"/>
        <v>1707</v>
      </c>
      <c r="B1711" s="21" t="s">
        <v>245</v>
      </c>
      <c r="C1711" s="20" t="str">
        <f>IF(B1711="","",IF(COUNTIF('01_Anggota'!$D$5:$D$1212,B1711)=0,"NAMA TIDAK DITEMUKAN",INDEX('01_Anggota'!$B$5:$B$1212,MATCH(B1711,'01_Anggota'!$D$5:$D$1212,0))))</f>
        <v>KKSUK-000046</v>
      </c>
      <c r="D1711" s="23">
        <v>0</v>
      </c>
      <c r="E1711" s="23">
        <v>75000</v>
      </c>
      <c r="F1711" s="23">
        <v>100000</v>
      </c>
      <c r="G1711" s="23">
        <v>0</v>
      </c>
      <c r="H1711" s="42">
        <v>46198</v>
      </c>
      <c r="I1711" s="21" t="s">
        <v>808</v>
      </c>
    </row>
    <row r="1712" spans="1:9">
      <c r="A1712">
        <f t="shared" si="27"/>
        <v>1708</v>
      </c>
      <c r="B1712" s="21" t="s">
        <v>245</v>
      </c>
      <c r="C1712" s="20" t="str">
        <f>IF(B1712="","",IF(COUNTIF('01_Anggota'!$D$5:$D$1212,B1712)=0,"NAMA TIDAK DITEMUKAN",INDEX('01_Anggota'!$B$5:$B$1212,MATCH(B1712,'01_Anggota'!$D$5:$D$1212,0))))</f>
        <v>KKSUK-000046</v>
      </c>
      <c r="D1712" s="23">
        <v>0</v>
      </c>
      <c r="E1712" s="23">
        <v>75000</v>
      </c>
      <c r="F1712" s="23">
        <v>100000</v>
      </c>
      <c r="G1712" s="23">
        <v>0</v>
      </c>
      <c r="H1712" s="42">
        <v>46227</v>
      </c>
      <c r="I1712" s="21" t="s">
        <v>809</v>
      </c>
    </row>
    <row r="1713" spans="1:9">
      <c r="A1713">
        <f t="shared" si="27"/>
        <v>1709</v>
      </c>
      <c r="B1713" s="21" t="s">
        <v>245</v>
      </c>
      <c r="C1713" s="20" t="str">
        <f>IF(B1713="","",IF(COUNTIF('01_Anggota'!$D$5:$D$1212,B1713)=0,"NAMA TIDAK DITEMUKAN",INDEX('01_Anggota'!$B$5:$B$1212,MATCH(B1713,'01_Anggota'!$D$5:$D$1212,0))))</f>
        <v>KKSUK-000046</v>
      </c>
      <c r="D1713" s="23">
        <v>0</v>
      </c>
      <c r="E1713" s="23">
        <v>75000</v>
      </c>
      <c r="F1713" s="23">
        <v>100000</v>
      </c>
      <c r="G1713" s="23">
        <v>0</v>
      </c>
      <c r="H1713" s="42">
        <v>46258</v>
      </c>
      <c r="I1713" s="21" t="s">
        <v>810</v>
      </c>
    </row>
    <row r="1714" spans="1:9">
      <c r="A1714">
        <f t="shared" si="27"/>
        <v>1710</v>
      </c>
      <c r="B1714" s="21" t="s">
        <v>379</v>
      </c>
      <c r="C1714" s="20" t="str">
        <f>IF(B1714="","",IF(COUNTIF('01_Anggota'!$D$5:$D$1212,B1714)=0,"NAMA TIDAK DITEMUKAN",INDEX('01_Anggota'!$B$5:$B$1212,MATCH(B1714,'01_Anggota'!$D$5:$D$1212,0))))</f>
        <v>KKSUK-000180</v>
      </c>
      <c r="D1714" s="23">
        <v>0</v>
      </c>
      <c r="E1714" s="23">
        <v>2000000</v>
      </c>
      <c r="F1714" s="23">
        <v>1000000</v>
      </c>
      <c r="G1714" s="23">
        <v>0</v>
      </c>
      <c r="H1714" s="42">
        <v>46023</v>
      </c>
      <c r="I1714" s="21" t="s">
        <v>802</v>
      </c>
    </row>
    <row r="1715" spans="1:9">
      <c r="A1715">
        <f t="shared" si="27"/>
        <v>1711</v>
      </c>
      <c r="B1715" s="21" t="s">
        <v>379</v>
      </c>
      <c r="C1715" s="20" t="str">
        <f>IF(B1715="","",IF(COUNTIF('01_Anggota'!$D$5:$D$1212,B1715)=0,"NAMA TIDAK DITEMUKAN",INDEX('01_Anggota'!$B$5:$B$1212,MATCH(B1715,'01_Anggota'!$D$5:$D$1212,0))))</f>
        <v>KKSUK-000180</v>
      </c>
      <c r="D1715" s="23">
        <v>0</v>
      </c>
      <c r="E1715" s="23">
        <v>200000</v>
      </c>
      <c r="F1715" s="23">
        <v>100000</v>
      </c>
      <c r="G1715" s="23">
        <v>0</v>
      </c>
      <c r="H1715" s="42">
        <v>46045</v>
      </c>
      <c r="I1715" s="21" t="s">
        <v>803</v>
      </c>
    </row>
    <row r="1716" spans="1:9">
      <c r="A1716">
        <f t="shared" si="27"/>
        <v>1712</v>
      </c>
      <c r="B1716" s="21" t="s">
        <v>379</v>
      </c>
      <c r="C1716" s="20" t="str">
        <f>IF(B1716="","",IF(COUNTIF('01_Anggota'!$D$5:$D$1212,B1716)=0,"NAMA TIDAK DITEMUKAN",INDEX('01_Anggota'!$B$5:$B$1212,MATCH(B1716,'01_Anggota'!$D$5:$D$1212,0))))</f>
        <v>KKSUK-000180</v>
      </c>
      <c r="D1716" s="23">
        <v>0</v>
      </c>
      <c r="E1716" s="23">
        <v>200000</v>
      </c>
      <c r="F1716" s="23">
        <v>100000</v>
      </c>
      <c r="G1716" s="23">
        <v>0</v>
      </c>
      <c r="H1716" s="42">
        <v>46136</v>
      </c>
      <c r="I1716" s="21" t="s">
        <v>806</v>
      </c>
    </row>
    <row r="1717" spans="1:9">
      <c r="A1717">
        <f t="shared" si="27"/>
        <v>1713</v>
      </c>
      <c r="B1717" s="21" t="s">
        <v>379</v>
      </c>
      <c r="C1717" s="20" t="str">
        <f>IF(B1717="","",IF(COUNTIF('01_Anggota'!$D$5:$D$1212,B1717)=0,"NAMA TIDAK DITEMUKAN",INDEX('01_Anggota'!$B$5:$B$1212,MATCH(B1717,'01_Anggota'!$D$5:$D$1212,0))))</f>
        <v>KKSUK-000180</v>
      </c>
      <c r="D1717" s="23">
        <v>0</v>
      </c>
      <c r="E1717" s="23">
        <v>200000</v>
      </c>
      <c r="F1717" s="23">
        <v>100000</v>
      </c>
      <c r="G1717" s="23">
        <v>0</v>
      </c>
      <c r="H1717" s="42">
        <v>46167</v>
      </c>
      <c r="I1717" s="21" t="s">
        <v>807</v>
      </c>
    </row>
    <row r="1718" spans="1:9">
      <c r="A1718">
        <f t="shared" si="27"/>
        <v>1714</v>
      </c>
      <c r="B1718" s="21" t="s">
        <v>379</v>
      </c>
      <c r="C1718" s="20" t="str">
        <f>IF(B1718="","",IF(COUNTIF('01_Anggota'!$D$5:$D$1212,B1718)=0,"NAMA TIDAK DITEMUKAN",INDEX('01_Anggota'!$B$5:$B$1212,MATCH(B1718,'01_Anggota'!$D$5:$D$1212,0))))</f>
        <v>KKSUK-000180</v>
      </c>
      <c r="D1718" s="23">
        <v>0</v>
      </c>
      <c r="E1718" s="23">
        <v>200000</v>
      </c>
      <c r="F1718" s="23">
        <v>100000</v>
      </c>
      <c r="G1718" s="23">
        <v>0</v>
      </c>
      <c r="H1718" s="42">
        <v>46106</v>
      </c>
      <c r="I1718" s="21" t="s">
        <v>805</v>
      </c>
    </row>
    <row r="1719" spans="1:9">
      <c r="A1719">
        <f t="shared" si="27"/>
        <v>1715</v>
      </c>
      <c r="B1719" s="21" t="s">
        <v>379</v>
      </c>
      <c r="C1719" s="20" t="str">
        <f>IF(B1719="","",IF(COUNTIF('01_Anggota'!$D$5:$D$1212,B1719)=0,"NAMA TIDAK DITEMUKAN",INDEX('01_Anggota'!$B$5:$B$1212,MATCH(B1719,'01_Anggota'!$D$5:$D$1212,0))))</f>
        <v>KKSUK-000180</v>
      </c>
      <c r="D1719" s="23">
        <v>0</v>
      </c>
      <c r="E1719" s="23">
        <v>200000</v>
      </c>
      <c r="F1719" s="23">
        <v>100000</v>
      </c>
      <c r="G1719" s="23">
        <v>0</v>
      </c>
      <c r="H1719" s="42">
        <v>46078</v>
      </c>
      <c r="I1719" s="21" t="s">
        <v>804</v>
      </c>
    </row>
    <row r="1720" spans="1:9">
      <c r="A1720">
        <f t="shared" si="27"/>
        <v>1716</v>
      </c>
      <c r="B1720" s="21" t="s">
        <v>379</v>
      </c>
      <c r="C1720" s="20" t="str">
        <f>IF(B1720="","",IF(COUNTIF('01_Anggota'!$D$5:$D$1212,B1720)=0,"NAMA TIDAK DITEMUKAN",INDEX('01_Anggota'!$B$5:$B$1212,MATCH(B1720,'01_Anggota'!$D$5:$D$1212,0))))</f>
        <v>KKSUK-000180</v>
      </c>
      <c r="D1720" s="23">
        <v>0</v>
      </c>
      <c r="E1720" s="23">
        <v>200000</v>
      </c>
      <c r="F1720" s="23">
        <v>100000</v>
      </c>
      <c r="G1720" s="23">
        <v>0</v>
      </c>
      <c r="H1720" s="42">
        <v>46198</v>
      </c>
      <c r="I1720" s="21" t="s">
        <v>808</v>
      </c>
    </row>
    <row r="1721" spans="1:9">
      <c r="A1721">
        <f t="shared" si="27"/>
        <v>1717</v>
      </c>
      <c r="B1721" s="21" t="s">
        <v>379</v>
      </c>
      <c r="C1721" s="20" t="str">
        <f>IF(B1721="","",IF(COUNTIF('01_Anggota'!$D$5:$D$1212,B1721)=0,"NAMA TIDAK DITEMUKAN",INDEX('01_Anggota'!$B$5:$B$1212,MATCH(B1721,'01_Anggota'!$D$5:$D$1212,0))))</f>
        <v>KKSUK-000180</v>
      </c>
      <c r="D1721" s="23">
        <v>0</v>
      </c>
      <c r="E1721" s="23">
        <v>200000</v>
      </c>
      <c r="F1721" s="23">
        <v>100000</v>
      </c>
      <c r="G1721" s="23">
        <v>0</v>
      </c>
      <c r="H1721" s="42">
        <v>46227</v>
      </c>
      <c r="I1721" s="21" t="s">
        <v>809</v>
      </c>
    </row>
    <row r="1722" spans="1:9">
      <c r="A1722">
        <f t="shared" si="27"/>
        <v>1718</v>
      </c>
      <c r="B1722" s="21" t="s">
        <v>249</v>
      </c>
      <c r="C1722" s="20" t="str">
        <f>IF(B1722="","",IF(COUNTIF('01_Anggota'!$D$5:$D$1212,B1722)=0,"NAMA TIDAK DITEMUKAN",INDEX('01_Anggota'!$B$5:$B$1212,MATCH(B1722,'01_Anggota'!$D$5:$D$1212,0))))</f>
        <v>KKSUK-000050</v>
      </c>
      <c r="D1722" s="23">
        <v>0</v>
      </c>
      <c r="E1722" s="23">
        <v>7800000</v>
      </c>
      <c r="F1722" s="23">
        <v>8950149</v>
      </c>
      <c r="G1722" s="23">
        <v>3640530</v>
      </c>
      <c r="H1722" s="42">
        <v>46023</v>
      </c>
      <c r="I1722" s="21" t="s">
        <v>802</v>
      </c>
    </row>
    <row r="1723" spans="1:9">
      <c r="A1723">
        <f t="shared" si="27"/>
        <v>1719</v>
      </c>
      <c r="B1723" s="21" t="s">
        <v>249</v>
      </c>
      <c r="C1723" s="20" t="str">
        <f>IF(B1723="","",IF(COUNTIF('01_Anggota'!$D$5:$D$1212,B1723)=0,"NAMA TIDAK DITEMUKAN",INDEX('01_Anggota'!$B$5:$B$1212,MATCH(B1723,'01_Anggota'!$D$5:$D$1212,0))))</f>
        <v>KKSUK-000050</v>
      </c>
      <c r="D1723" s="23">
        <v>0</v>
      </c>
      <c r="E1723" s="23">
        <v>100000</v>
      </c>
      <c r="F1723" s="23">
        <v>100000</v>
      </c>
      <c r="G1723" s="23">
        <v>0</v>
      </c>
      <c r="H1723" s="42">
        <v>46045</v>
      </c>
      <c r="I1723" s="21" t="s">
        <v>803</v>
      </c>
    </row>
    <row r="1724" spans="1:9">
      <c r="A1724">
        <f t="shared" si="27"/>
        <v>1720</v>
      </c>
      <c r="B1724" s="21" t="s">
        <v>249</v>
      </c>
      <c r="C1724" s="20" t="str">
        <f>IF(B1724="","",IF(COUNTIF('01_Anggota'!$D$5:$D$1212,B1724)=0,"NAMA TIDAK DITEMUKAN",INDEX('01_Anggota'!$B$5:$B$1212,MATCH(B1724,'01_Anggota'!$D$5:$D$1212,0))))</f>
        <v>KKSUK-000050</v>
      </c>
      <c r="D1724" s="23">
        <v>0</v>
      </c>
      <c r="E1724" s="23">
        <v>100000</v>
      </c>
      <c r="F1724" s="23">
        <v>100000</v>
      </c>
      <c r="G1724" s="23">
        <v>0</v>
      </c>
      <c r="H1724" s="42">
        <v>46078</v>
      </c>
      <c r="I1724" s="21" t="s">
        <v>804</v>
      </c>
    </row>
    <row r="1725" spans="1:9">
      <c r="A1725">
        <f t="shared" si="27"/>
        <v>1721</v>
      </c>
      <c r="B1725" s="21" t="s">
        <v>249</v>
      </c>
      <c r="C1725" s="20" t="str">
        <f>IF(B1725="","",IF(COUNTIF('01_Anggota'!$D$5:$D$1212,B1725)=0,"NAMA TIDAK DITEMUKAN",INDEX('01_Anggota'!$B$5:$B$1212,MATCH(B1725,'01_Anggota'!$D$5:$D$1212,0))))</f>
        <v>KKSUK-000050</v>
      </c>
      <c r="D1725" s="23">
        <v>0</v>
      </c>
      <c r="E1725" s="23">
        <v>100000</v>
      </c>
      <c r="F1725" s="23">
        <v>100000</v>
      </c>
      <c r="G1725" s="23">
        <v>0</v>
      </c>
      <c r="H1725" s="42">
        <v>46106</v>
      </c>
      <c r="I1725" s="21" t="s">
        <v>805</v>
      </c>
    </row>
    <row r="1726" spans="1:9">
      <c r="A1726">
        <f t="shared" si="27"/>
        <v>1722</v>
      </c>
      <c r="B1726" s="21" t="s">
        <v>249</v>
      </c>
      <c r="C1726" s="20" t="str">
        <f>IF(B1726="","",IF(COUNTIF('01_Anggota'!$D$5:$D$1212,B1726)=0,"NAMA TIDAK DITEMUKAN",INDEX('01_Anggota'!$B$5:$B$1212,MATCH(B1726,'01_Anggota'!$D$5:$D$1212,0))))</f>
        <v>KKSUK-000050</v>
      </c>
      <c r="D1726" s="23">
        <v>0</v>
      </c>
      <c r="E1726" s="23">
        <v>100000</v>
      </c>
      <c r="F1726" s="23">
        <v>100000</v>
      </c>
      <c r="G1726" s="23">
        <v>0</v>
      </c>
      <c r="H1726" s="42">
        <v>46136</v>
      </c>
      <c r="I1726" s="21" t="s">
        <v>806</v>
      </c>
    </row>
    <row r="1727" spans="1:9">
      <c r="A1727">
        <f t="shared" si="27"/>
        <v>1723</v>
      </c>
      <c r="B1727" s="21" t="s">
        <v>249</v>
      </c>
      <c r="C1727" s="20" t="str">
        <f>IF(B1727="","",IF(COUNTIF('01_Anggota'!$D$5:$D$1212,B1727)=0,"NAMA TIDAK DITEMUKAN",INDEX('01_Anggota'!$B$5:$B$1212,MATCH(B1727,'01_Anggota'!$D$5:$D$1212,0))))</f>
        <v>KKSUK-000050</v>
      </c>
      <c r="D1727" s="23">
        <v>0</v>
      </c>
      <c r="E1727" s="23">
        <v>100000</v>
      </c>
      <c r="F1727" s="23">
        <v>100000</v>
      </c>
      <c r="G1727" s="23">
        <v>0</v>
      </c>
      <c r="H1727" s="42">
        <v>46167</v>
      </c>
      <c r="I1727" s="21" t="s">
        <v>807</v>
      </c>
    </row>
    <row r="1728" spans="1:9">
      <c r="A1728">
        <f t="shared" si="27"/>
        <v>1724</v>
      </c>
      <c r="B1728" s="21" t="s">
        <v>249</v>
      </c>
      <c r="C1728" s="20" t="str">
        <f>IF(B1728="","",IF(COUNTIF('01_Anggota'!$D$5:$D$1212,B1728)=0,"NAMA TIDAK DITEMUKAN",INDEX('01_Anggota'!$B$5:$B$1212,MATCH(B1728,'01_Anggota'!$D$5:$D$1212,0))))</f>
        <v>KKSUK-000050</v>
      </c>
      <c r="D1728" s="23">
        <v>0</v>
      </c>
      <c r="E1728" s="23">
        <v>100000</v>
      </c>
      <c r="F1728" s="23">
        <v>100000</v>
      </c>
      <c r="G1728" s="23">
        <v>0</v>
      </c>
      <c r="H1728" s="42">
        <v>46198</v>
      </c>
      <c r="I1728" s="21" t="s">
        <v>808</v>
      </c>
    </row>
    <row r="1729" spans="1:9">
      <c r="A1729">
        <f t="shared" si="27"/>
        <v>1725</v>
      </c>
      <c r="B1729" s="21" t="s">
        <v>249</v>
      </c>
      <c r="C1729" s="20" t="str">
        <f>IF(B1729="","",IF(COUNTIF('01_Anggota'!$D$5:$D$1212,B1729)=0,"NAMA TIDAK DITEMUKAN",INDEX('01_Anggota'!$B$5:$B$1212,MATCH(B1729,'01_Anggota'!$D$5:$D$1212,0))))</f>
        <v>KKSUK-000050</v>
      </c>
      <c r="D1729" s="23">
        <v>0</v>
      </c>
      <c r="E1729" s="23">
        <v>100000</v>
      </c>
      <c r="F1729" s="23">
        <v>100000</v>
      </c>
      <c r="G1729" s="23">
        <v>0</v>
      </c>
      <c r="H1729" s="42">
        <v>46227</v>
      </c>
      <c r="I1729" s="21" t="s">
        <v>809</v>
      </c>
    </row>
    <row r="1730" spans="1:9">
      <c r="A1730">
        <f t="shared" si="27"/>
        <v>1726</v>
      </c>
      <c r="B1730" s="21" t="s">
        <v>249</v>
      </c>
      <c r="C1730" s="20" t="str">
        <f>IF(B1730="","",IF(COUNTIF('01_Anggota'!$D$5:$D$1212,B1730)=0,"NAMA TIDAK DITEMUKAN",INDEX('01_Anggota'!$B$5:$B$1212,MATCH(B1730,'01_Anggota'!$D$5:$D$1212,0))))</f>
        <v>KKSUK-000050</v>
      </c>
      <c r="D1730" s="23">
        <v>0</v>
      </c>
      <c r="E1730" s="23">
        <v>100000</v>
      </c>
      <c r="F1730" s="23">
        <v>100000</v>
      </c>
      <c r="G1730" s="23">
        <v>0</v>
      </c>
      <c r="H1730" s="42">
        <v>46258</v>
      </c>
      <c r="I1730" s="21" t="s">
        <v>810</v>
      </c>
    </row>
    <row r="1731" spans="1:9">
      <c r="A1731">
        <f t="shared" si="27"/>
        <v>1727</v>
      </c>
      <c r="B1731" s="21" t="s">
        <v>387</v>
      </c>
      <c r="C1731" s="20" t="str">
        <f>IF(B1731="","",IF(COUNTIF('01_Anggota'!$D$5:$D$1212,B1731)=0,"NAMA TIDAK DITEMUKAN",INDEX('01_Anggota'!$B$5:$B$1212,MATCH(B1731,'01_Anggota'!$D$5:$D$1212,0))))</f>
        <v>KKSUK-000188</v>
      </c>
      <c r="D1731" s="23">
        <v>0</v>
      </c>
      <c r="E1731" s="23">
        <v>600000</v>
      </c>
      <c r="F1731" s="23">
        <v>300000</v>
      </c>
      <c r="G1731" s="23">
        <v>0</v>
      </c>
      <c r="H1731" s="42">
        <v>46023</v>
      </c>
      <c r="I1731" s="21" t="s">
        <v>802</v>
      </c>
    </row>
    <row r="1732" spans="1:9">
      <c r="A1732">
        <f t="shared" si="27"/>
        <v>1728</v>
      </c>
      <c r="B1732" s="21" t="s">
        <v>387</v>
      </c>
      <c r="C1732" s="20" t="str">
        <f>IF(B1732="","",IF(COUNTIF('01_Anggota'!$D$5:$D$1212,B1732)=0,"NAMA TIDAK DITEMUKAN",INDEX('01_Anggota'!$B$5:$B$1212,MATCH(B1732,'01_Anggota'!$D$5:$D$1212,0))))</f>
        <v>KKSUK-000188</v>
      </c>
      <c r="D1732" s="23">
        <v>0</v>
      </c>
      <c r="E1732" s="23">
        <v>200000</v>
      </c>
      <c r="F1732" s="23">
        <v>100000</v>
      </c>
      <c r="G1732" s="23">
        <v>0</v>
      </c>
      <c r="H1732" s="42">
        <v>46045</v>
      </c>
      <c r="I1732" s="21" t="s">
        <v>803</v>
      </c>
    </row>
    <row r="1733" spans="1:9">
      <c r="A1733">
        <f t="shared" si="27"/>
        <v>1729</v>
      </c>
      <c r="B1733" s="21" t="s">
        <v>387</v>
      </c>
      <c r="C1733" s="20" t="str">
        <f>IF(B1733="","",IF(COUNTIF('01_Anggota'!$D$5:$D$1212,B1733)=0,"NAMA TIDAK DITEMUKAN",INDEX('01_Anggota'!$B$5:$B$1212,MATCH(B1733,'01_Anggota'!$D$5:$D$1212,0))))</f>
        <v>KKSUK-000188</v>
      </c>
      <c r="D1733" s="23">
        <v>0</v>
      </c>
      <c r="E1733" s="23">
        <v>200000</v>
      </c>
      <c r="F1733" s="23">
        <v>100000</v>
      </c>
      <c r="G1733" s="23">
        <v>0</v>
      </c>
      <c r="H1733" s="42">
        <v>46078</v>
      </c>
      <c r="I1733" s="21" t="s">
        <v>804</v>
      </c>
    </row>
    <row r="1734" spans="1:9">
      <c r="A1734">
        <f t="shared" si="27"/>
        <v>1730</v>
      </c>
      <c r="B1734" s="21" t="s">
        <v>387</v>
      </c>
      <c r="C1734" s="20" t="str">
        <f>IF(B1734="","",IF(COUNTIF('01_Anggota'!$D$5:$D$1212,B1734)=0,"NAMA TIDAK DITEMUKAN",INDEX('01_Anggota'!$B$5:$B$1212,MATCH(B1734,'01_Anggota'!$D$5:$D$1212,0))))</f>
        <v>KKSUK-000188</v>
      </c>
      <c r="D1734" s="23">
        <v>0</v>
      </c>
      <c r="E1734" s="23">
        <v>200000</v>
      </c>
      <c r="F1734" s="23">
        <v>100000</v>
      </c>
      <c r="G1734" s="23">
        <v>0</v>
      </c>
      <c r="H1734" s="42">
        <v>46106</v>
      </c>
      <c r="I1734" s="21" t="s">
        <v>805</v>
      </c>
    </row>
    <row r="1735" spans="1:9">
      <c r="A1735">
        <f t="shared" si="27"/>
        <v>1731</v>
      </c>
      <c r="B1735" s="21" t="s">
        <v>387</v>
      </c>
      <c r="C1735" s="20" t="str">
        <f>IF(B1735="","",IF(COUNTIF('01_Anggota'!$D$5:$D$1212,B1735)=0,"NAMA TIDAK DITEMUKAN",INDEX('01_Anggota'!$B$5:$B$1212,MATCH(B1735,'01_Anggota'!$D$5:$D$1212,0))))</f>
        <v>KKSUK-000188</v>
      </c>
      <c r="D1735" s="23">
        <v>0</v>
      </c>
      <c r="E1735" s="23">
        <v>200000</v>
      </c>
      <c r="F1735" s="23">
        <v>100000</v>
      </c>
      <c r="G1735" s="23">
        <v>0</v>
      </c>
      <c r="H1735" s="42">
        <v>46136</v>
      </c>
      <c r="I1735" s="21" t="s">
        <v>806</v>
      </c>
    </row>
    <row r="1736" spans="1:9">
      <c r="A1736">
        <f t="shared" si="27"/>
        <v>1732</v>
      </c>
      <c r="B1736" s="21" t="s">
        <v>387</v>
      </c>
      <c r="C1736" s="20" t="str">
        <f>IF(B1736="","",IF(COUNTIF('01_Anggota'!$D$5:$D$1212,B1736)=0,"NAMA TIDAK DITEMUKAN",INDEX('01_Anggota'!$B$5:$B$1212,MATCH(B1736,'01_Anggota'!$D$5:$D$1212,0))))</f>
        <v>KKSUK-000188</v>
      </c>
      <c r="D1736" s="23">
        <v>0</v>
      </c>
      <c r="E1736" s="23">
        <v>200000</v>
      </c>
      <c r="F1736" s="23">
        <v>100000</v>
      </c>
      <c r="G1736" s="23">
        <v>0</v>
      </c>
      <c r="H1736" s="42">
        <v>46167</v>
      </c>
      <c r="I1736" s="21" t="s">
        <v>807</v>
      </c>
    </row>
    <row r="1737" spans="1:9">
      <c r="A1737">
        <f t="shared" si="27"/>
        <v>1733</v>
      </c>
      <c r="B1737" s="21" t="s">
        <v>387</v>
      </c>
      <c r="C1737" s="20" t="str">
        <f>IF(B1737="","",IF(COUNTIF('01_Anggota'!$D$5:$D$1212,B1737)=0,"NAMA TIDAK DITEMUKAN",INDEX('01_Anggota'!$B$5:$B$1212,MATCH(B1737,'01_Anggota'!$D$5:$D$1212,0))))</f>
        <v>KKSUK-000188</v>
      </c>
      <c r="D1737" s="23">
        <v>0</v>
      </c>
      <c r="E1737" s="23">
        <v>200000</v>
      </c>
      <c r="F1737" s="23">
        <v>100000</v>
      </c>
      <c r="G1737" s="23">
        <v>0</v>
      </c>
      <c r="H1737" s="42">
        <v>46198</v>
      </c>
      <c r="I1737" s="21" t="s">
        <v>808</v>
      </c>
    </row>
    <row r="1738" spans="1:9">
      <c r="A1738">
        <f t="shared" si="27"/>
        <v>1734</v>
      </c>
      <c r="B1738" s="21" t="s">
        <v>387</v>
      </c>
      <c r="C1738" s="20" t="str">
        <f>IF(B1738="","",IF(COUNTIF('01_Anggota'!$D$5:$D$1212,B1738)=0,"NAMA TIDAK DITEMUKAN",INDEX('01_Anggota'!$B$5:$B$1212,MATCH(B1738,'01_Anggota'!$D$5:$D$1212,0))))</f>
        <v>KKSUK-000188</v>
      </c>
      <c r="D1738" s="23">
        <v>0</v>
      </c>
      <c r="E1738" s="23">
        <v>200000</v>
      </c>
      <c r="F1738" s="23">
        <v>100000</v>
      </c>
      <c r="G1738" s="23">
        <v>0</v>
      </c>
      <c r="H1738" s="42">
        <v>46227</v>
      </c>
      <c r="I1738" s="21" t="s">
        <v>809</v>
      </c>
    </row>
    <row r="1739" spans="1:9">
      <c r="A1739">
        <f t="shared" si="27"/>
        <v>1735</v>
      </c>
      <c r="B1739" s="21" t="s">
        <v>387</v>
      </c>
      <c r="C1739" s="20" t="str">
        <f>IF(B1739="","",IF(COUNTIF('01_Anggota'!$D$5:$D$1212,B1739)=0,"NAMA TIDAK DITEMUKAN",INDEX('01_Anggota'!$B$5:$B$1212,MATCH(B1739,'01_Anggota'!$D$5:$D$1212,0))))</f>
        <v>KKSUK-000188</v>
      </c>
      <c r="D1739" s="23">
        <v>0</v>
      </c>
      <c r="E1739" s="23">
        <v>200000</v>
      </c>
      <c r="F1739" s="23">
        <v>100000</v>
      </c>
      <c r="G1739" s="23">
        <v>0</v>
      </c>
      <c r="H1739" s="42">
        <v>46258</v>
      </c>
      <c r="I1739" s="21" t="s">
        <v>810</v>
      </c>
    </row>
  </sheetData>
  <dataValidations count="4">
    <dataValidation type="list" sqref="D5:D24 G6:G14 G16:G23 F5:F1739" xr:uid="{421DBE4F-A39C-4C42-9706-1AEB56AE269B}">
      <formula1>"Masuk,Keluar"</formula1>
    </dataValidation>
    <dataValidation type="list" sqref="L5:L1003" xr:uid="{00000000-0002-0000-0200-000003000000}">
      <formula1>"Ya,Tidak"</formula1>
    </dataValidation>
    <dataValidation type="list" sqref="B5:B1739" xr:uid="{9804EA0B-5E19-8D42-AED2-B2C920B3B699}">
      <formula1>INDIRECT("'01_Anggota'!$D$5:$D$1004")</formula1>
    </dataValidation>
    <dataValidation type="list" sqref="E5:E1739" xr:uid="{2D6F5416-669F-B54D-B292-DBDDDC2479AE}">
      <formula1>"Pokok,Wajib,Manasuka,SHU,Khusus,PKPRI"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4"/>
  <sheetViews>
    <sheetView showGridLines="0" workbookViewId="0">
      <pane ySplit="4" topLeftCell="A62" activePane="bottomLeft" state="frozen"/>
      <selection pane="bottomLeft" activeCell="B65" sqref="B65"/>
    </sheetView>
  </sheetViews>
  <sheetFormatPr baseColWidth="10" defaultColWidth="9" defaultRowHeight="14"/>
  <cols>
    <col min="1" max="1" width="18" customWidth="1"/>
    <col min="2" max="2" width="26" customWidth="1"/>
    <col min="3" max="3" width="18" customWidth="1"/>
    <col min="4" max="4" width="24" customWidth="1"/>
    <col min="5" max="5" width="16" customWidth="1"/>
    <col min="6" max="6" width="14" customWidth="1"/>
    <col min="7" max="8" width="22" customWidth="1"/>
    <col min="9" max="9" width="16" customWidth="1"/>
    <col min="10" max="10" width="14" customWidth="1"/>
    <col min="11" max="11" width="34" customWidth="1"/>
    <col min="12" max="12" width="16" customWidth="1"/>
    <col min="13" max="13" width="14" customWidth="1"/>
    <col min="14" max="14" width="44" customWidth="1"/>
  </cols>
  <sheetData>
    <row r="1" spans="1:11" ht="24" customHeight="1">
      <c r="A1" s="17" t="s">
        <v>76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2" customHeight="1">
      <c r="A2" s="19" t="s">
        <v>77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ht="35" customHeight="1">
      <c r="A4" s="5" t="s">
        <v>78</v>
      </c>
      <c r="B4" s="5" t="s">
        <v>70</v>
      </c>
      <c r="C4" s="5" t="s">
        <v>71</v>
      </c>
      <c r="D4" s="5" t="s">
        <v>79</v>
      </c>
      <c r="E4" s="5" t="s">
        <v>80</v>
      </c>
      <c r="F4" s="5" t="s">
        <v>81</v>
      </c>
      <c r="G4" s="5" t="s">
        <v>82</v>
      </c>
      <c r="H4" s="5" t="s">
        <v>83</v>
      </c>
      <c r="I4" s="5" t="s">
        <v>84</v>
      </c>
      <c r="J4" s="5" t="s">
        <v>59</v>
      </c>
      <c r="K4" s="5" t="s">
        <v>67</v>
      </c>
    </row>
    <row r="5" spans="1:11" ht="21" customHeight="1">
      <c r="A5" s="21">
        <v>1</v>
      </c>
      <c r="B5" s="21" t="s">
        <v>200</v>
      </c>
      <c r="C5" s="20" t="str">
        <f>IF(B5="","",IF(COUNTIF('01_Anggota'!$D$5:$D$1212,B5)=0,"NAMA TIDAK DITEMUKAN",INDEX('01_Anggota'!$B$5:$B$1212,MATCH(B5,'01_Anggota'!$D$5:$D$1212,0))))</f>
        <v>KKSUK-000001</v>
      </c>
      <c r="D5" s="21" t="s">
        <v>168</v>
      </c>
      <c r="E5" s="23">
        <v>6000000</v>
      </c>
      <c r="F5" s="23">
        <v>600000</v>
      </c>
      <c r="G5" s="23">
        <f>PinjamanTable[[#This Row],[Pokok (Rp) *]]+PinjamanTable[[#This Row],[Admin (Rp)]]</f>
        <v>6600000</v>
      </c>
      <c r="H5" s="24">
        <v>10</v>
      </c>
      <c r="I5" s="22">
        <v>46022</v>
      </c>
      <c r="J5" s="21" t="s">
        <v>169</v>
      </c>
      <c r="K5" s="21"/>
    </row>
    <row r="6" spans="1:11" ht="21" customHeight="1">
      <c r="A6" s="21">
        <v>2</v>
      </c>
      <c r="B6" s="21" t="s">
        <v>200</v>
      </c>
      <c r="C6" s="20" t="str">
        <f>IF(B6="","",IF(COUNTIF('01_Anggota'!$D$5:$D$1212,B6)=0,"NAMA TIDAK DITEMUKAN",INDEX('01_Anggota'!$B$5:$B$1212,MATCH(B6,'01_Anggota'!$D$5:$D$1212,0))))</f>
        <v>KKSUK-000001</v>
      </c>
      <c r="D6" s="21" t="s">
        <v>168</v>
      </c>
      <c r="E6" s="23">
        <v>3000000</v>
      </c>
      <c r="F6" s="23">
        <v>30000</v>
      </c>
      <c r="G6" s="23">
        <f>PinjamanTable[[#This Row],[Pokok (Rp) *]]+PinjamanTable[[#This Row],[Admin (Rp)]]</f>
        <v>3030000</v>
      </c>
      <c r="H6" s="24">
        <v>1</v>
      </c>
      <c r="I6" s="22">
        <v>46141</v>
      </c>
      <c r="J6" s="21" t="s">
        <v>799</v>
      </c>
      <c r="K6" s="21"/>
    </row>
    <row r="7" spans="1:11" ht="21" customHeight="1">
      <c r="A7" s="21">
        <v>3</v>
      </c>
      <c r="B7" s="21" t="s">
        <v>319</v>
      </c>
      <c r="C7" s="20" t="str">
        <f>IF(B7="","",IF(COUNTIF('01_Anggota'!$D$5:$D$1212,B7)=0,"NAMA TIDAK DITEMUKAN",INDEX('01_Anggota'!$B$5:$B$1212,MATCH(B7,'01_Anggota'!$D$5:$D$1212,0))))</f>
        <v>KKSUK-000120</v>
      </c>
      <c r="D7" s="21" t="s">
        <v>168</v>
      </c>
      <c r="E7" s="23">
        <v>800000</v>
      </c>
      <c r="F7" s="23">
        <v>80000</v>
      </c>
      <c r="G7" s="23">
        <f>PinjamanTable[[#This Row],[Pokok (Rp) *]]+PinjamanTable[[#This Row],[Admin (Rp)]]</f>
        <v>880000</v>
      </c>
      <c r="H7" s="24">
        <v>1</v>
      </c>
      <c r="I7" s="22">
        <v>46022</v>
      </c>
      <c r="J7" s="21" t="s">
        <v>799</v>
      </c>
      <c r="K7" s="21"/>
    </row>
    <row r="8" spans="1:11" ht="21" customHeight="1">
      <c r="A8" s="21">
        <v>4</v>
      </c>
      <c r="B8" s="21" t="s">
        <v>319</v>
      </c>
      <c r="C8" s="20" t="str">
        <f>IF(B8="","",IF(COUNTIF('01_Anggota'!$D$5:$D$1212,B8)=0,"NAMA TIDAK DITEMUKAN",INDEX('01_Anggota'!$B$5:$B$1212,MATCH(B8,'01_Anggota'!$D$5:$D$1212,0))))</f>
        <v>KKSUK-000120</v>
      </c>
      <c r="D8" s="21" t="s">
        <v>168</v>
      </c>
      <c r="E8" s="23">
        <v>3000000</v>
      </c>
      <c r="F8" s="23">
        <v>300000</v>
      </c>
      <c r="G8" s="23">
        <f>PinjamanTable[[#This Row],[Pokok (Rp) *]]+PinjamanTable[[#This Row],[Admin (Rp)]]</f>
        <v>3300000</v>
      </c>
      <c r="H8" s="24">
        <v>10</v>
      </c>
      <c r="I8" s="22">
        <v>46038</v>
      </c>
      <c r="J8" s="21" t="s">
        <v>799</v>
      </c>
      <c r="K8" s="21"/>
    </row>
    <row r="9" spans="1:11" ht="21" customHeight="1">
      <c r="A9" s="21">
        <v>5</v>
      </c>
      <c r="B9" s="21" t="s">
        <v>319</v>
      </c>
      <c r="C9" s="20" t="str">
        <f>IF(B9="","",IF(COUNTIF('01_Anggota'!$D$5:$D$1212,B9)=0,"NAMA TIDAK DITEMUKAN",INDEX('01_Anggota'!$B$5:$B$1212,MATCH(B9,'01_Anggota'!$D$5:$D$1212,0))))</f>
        <v>KKSUK-000120</v>
      </c>
      <c r="D9" s="21" t="s">
        <v>168</v>
      </c>
      <c r="E9" s="23">
        <v>5000000</v>
      </c>
      <c r="F9" s="23">
        <v>500000</v>
      </c>
      <c r="G9" s="23">
        <f>PinjamanTable[[#This Row],[Pokok (Rp) *]]+PinjamanTable[[#This Row],[Admin (Rp)]]</f>
        <v>5500000</v>
      </c>
      <c r="H9" s="24">
        <v>10</v>
      </c>
      <c r="I9" s="22">
        <v>46176</v>
      </c>
      <c r="J9" s="21" t="s">
        <v>169</v>
      </c>
      <c r="K9" s="21"/>
    </row>
    <row r="10" spans="1:11" ht="21" customHeight="1">
      <c r="A10" s="21">
        <v>6</v>
      </c>
      <c r="B10" s="21" t="s">
        <v>266</v>
      </c>
      <c r="C10" s="20" t="str">
        <f>IF(B10="","",IF(COUNTIF('01_Anggota'!$D$5:$D$1212,B10)=0,"NAMA TIDAK DITEMUKAN",INDEX('01_Anggota'!$B$5:$B$1212,MATCH(B10,'01_Anggota'!$D$5:$D$1212,0))))</f>
        <v>KKSUK-000067</v>
      </c>
      <c r="D10" s="21" t="s">
        <v>168</v>
      </c>
      <c r="E10" s="23">
        <v>6400000</v>
      </c>
      <c r="F10" s="23">
        <v>768000</v>
      </c>
      <c r="G10" s="23">
        <f>PinjamanTable[[#This Row],[Pokok (Rp) *]]+PinjamanTable[[#This Row],[Admin (Rp)]]</f>
        <v>7168000</v>
      </c>
      <c r="H10" s="24">
        <v>12</v>
      </c>
      <c r="I10" s="22">
        <v>45945</v>
      </c>
      <c r="J10" s="21" t="s">
        <v>169</v>
      </c>
      <c r="K10" s="21"/>
    </row>
    <row r="11" spans="1:11" ht="21" customHeight="1">
      <c r="A11" s="21">
        <v>7</v>
      </c>
      <c r="B11" s="21" t="s">
        <v>343</v>
      </c>
      <c r="C11" s="20" t="str">
        <f>IF(B11="","",IF(COUNTIF('01_Anggota'!$D$5:$D$1212,B11)=0,"NAMA TIDAK DITEMUKAN",INDEX('01_Anggota'!$B$5:$B$1212,MATCH(B11,'01_Anggota'!$D$5:$D$1212,0))))</f>
        <v>KKSUK-000144</v>
      </c>
      <c r="D11" s="21" t="s">
        <v>168</v>
      </c>
      <c r="E11" s="23">
        <v>700000</v>
      </c>
      <c r="F11" s="23">
        <v>14000</v>
      </c>
      <c r="G11" s="23">
        <f>PinjamanTable[[#This Row],[Pokok (Rp) *]]+PinjamanTable[[#This Row],[Admin (Rp)]]</f>
        <v>714000</v>
      </c>
      <c r="H11" s="24">
        <v>2</v>
      </c>
      <c r="I11" s="22">
        <v>46062</v>
      </c>
      <c r="J11" s="21" t="s">
        <v>799</v>
      </c>
      <c r="K11" s="21"/>
    </row>
    <row r="12" spans="1:11" ht="21" customHeight="1">
      <c r="A12" s="21">
        <v>8</v>
      </c>
      <c r="B12" s="21" t="s">
        <v>343</v>
      </c>
      <c r="C12" s="20" t="str">
        <f>IF(B12="","",IF(COUNTIF('01_Anggota'!$D$5:$D$1212,B12)=0,"NAMA TIDAK DITEMUKAN",INDEX('01_Anggota'!$B$5:$B$1212,MATCH(B12,'01_Anggota'!$D$5:$D$1212,0))))</f>
        <v>KKSUK-000144</v>
      </c>
      <c r="D12" s="21" t="s">
        <v>168</v>
      </c>
      <c r="E12" s="23">
        <v>3000000</v>
      </c>
      <c r="F12" s="23">
        <v>210000</v>
      </c>
      <c r="G12" s="23">
        <f>PinjamanTable[[#This Row],[Pokok (Rp) *]]+PinjamanTable[[#This Row],[Admin (Rp)]]</f>
        <v>3210000</v>
      </c>
      <c r="H12" s="24">
        <v>7</v>
      </c>
      <c r="I12" s="22">
        <v>46182</v>
      </c>
      <c r="J12" s="21" t="s">
        <v>169</v>
      </c>
      <c r="K12" s="21"/>
    </row>
    <row r="13" spans="1:11" ht="21" customHeight="1">
      <c r="A13" s="21">
        <v>9</v>
      </c>
      <c r="B13" s="21" t="s">
        <v>328</v>
      </c>
      <c r="C13" s="20" t="str">
        <f>IF(B13="","",IF(COUNTIF('01_Anggota'!$D$5:$D$1212,B13)=0,"NAMA TIDAK DITEMUKAN",INDEX('01_Anggota'!$B$5:$B$1212,MATCH(B13,'01_Anggota'!$D$5:$D$1212,0))))</f>
        <v>KKSUK-000129</v>
      </c>
      <c r="D13" s="21" t="s">
        <v>168</v>
      </c>
      <c r="E13" s="23">
        <v>25000000</v>
      </c>
      <c r="F13" s="23">
        <v>400000</v>
      </c>
      <c r="G13" s="23">
        <f>PinjamanTable[[#This Row],[Pokok (Rp) *]]+PinjamanTable[[#This Row],[Admin (Rp)]]</f>
        <v>25400000</v>
      </c>
      <c r="H13" s="24">
        <v>14</v>
      </c>
      <c r="I13" s="22">
        <v>45709</v>
      </c>
      <c r="J13" s="21" t="s">
        <v>799</v>
      </c>
      <c r="K13" s="21"/>
    </row>
    <row r="14" spans="1:11" ht="21" customHeight="1">
      <c r="A14" s="21">
        <v>10</v>
      </c>
      <c r="B14" s="21" t="s">
        <v>326</v>
      </c>
      <c r="C14" s="20" t="str">
        <f>IF(B14="","",IF(COUNTIF('01_Anggota'!$D$5:$D$1212,B14)=0,"NAMA TIDAK DITEMUKAN",INDEX('01_Anggota'!$B$5:$B$1212,MATCH(B14,'01_Anggota'!$D$5:$D$1212,0))))</f>
        <v>KKSUK-000127</v>
      </c>
      <c r="D14" s="21" t="s">
        <v>168</v>
      </c>
      <c r="E14" s="23">
        <v>3000000</v>
      </c>
      <c r="F14" s="23">
        <v>210000</v>
      </c>
      <c r="G14" s="23">
        <f>PinjamanTable[[#This Row],[Pokok (Rp) *]]+PinjamanTable[[#This Row],[Admin (Rp)]]</f>
        <v>3210000</v>
      </c>
      <c r="H14" s="24">
        <v>7</v>
      </c>
      <c r="I14" s="22">
        <v>45820</v>
      </c>
      <c r="J14" s="21" t="s">
        <v>799</v>
      </c>
      <c r="K14" s="21"/>
    </row>
    <row r="15" spans="1:11" ht="21" customHeight="1">
      <c r="A15" s="21">
        <v>11</v>
      </c>
      <c r="B15" s="21" t="s">
        <v>326</v>
      </c>
      <c r="C15" s="20" t="str">
        <f>IF(B15="","",IF(COUNTIF('01_Anggota'!$D$5:$D$1212,B15)=0,"NAMA TIDAK DITEMUKAN",INDEX('01_Anggota'!$B$5:$B$1212,MATCH(B15,'01_Anggota'!$D$5:$D$1212,0))))</f>
        <v>KKSUK-000127</v>
      </c>
      <c r="D15" s="21" t="s">
        <v>168</v>
      </c>
      <c r="E15" s="23">
        <v>3500000</v>
      </c>
      <c r="F15" s="23">
        <v>210000</v>
      </c>
      <c r="G15" s="23">
        <f>PinjamanTable[[#This Row],[Pokok (Rp) *]]+PinjamanTable[[#This Row],[Admin (Rp)]]</f>
        <v>3710000</v>
      </c>
      <c r="H15" s="24">
        <v>6</v>
      </c>
      <c r="I15" s="22">
        <v>46055</v>
      </c>
      <c r="J15" s="21" t="s">
        <v>799</v>
      </c>
      <c r="K15" s="21"/>
    </row>
    <row r="16" spans="1:11" ht="21" customHeight="1">
      <c r="A16" s="21">
        <v>12</v>
      </c>
      <c r="B16" s="21" t="s">
        <v>326</v>
      </c>
      <c r="C16" s="20" t="str">
        <f>IF(B16="","",IF(COUNTIF('01_Anggota'!$D$5:$D$1212,B16)=0,"NAMA TIDAK DITEMUKAN",INDEX('01_Anggota'!$B$5:$B$1212,MATCH(B16,'01_Anggota'!$D$5:$D$1212,0))))</f>
        <v>KKSUK-000127</v>
      </c>
      <c r="D16" s="21" t="s">
        <v>168</v>
      </c>
      <c r="E16" s="23">
        <v>5000000</v>
      </c>
      <c r="F16" s="23">
        <v>400000</v>
      </c>
      <c r="G16" s="23">
        <f>PinjamanTable[[#This Row],[Pokok (Rp) *]]+PinjamanTable[[#This Row],[Admin (Rp)]]</f>
        <v>5400000</v>
      </c>
      <c r="H16" s="24">
        <v>8</v>
      </c>
      <c r="I16" s="22">
        <v>46233</v>
      </c>
      <c r="J16" s="21" t="s">
        <v>169</v>
      </c>
      <c r="K16" s="21"/>
    </row>
    <row r="17" spans="1:11" ht="21" customHeight="1">
      <c r="A17" s="21">
        <v>13</v>
      </c>
      <c r="B17" s="21" t="s">
        <v>215</v>
      </c>
      <c r="C17" s="20" t="str">
        <f>IF(B17="","",IF(COUNTIF('01_Anggota'!$D$5:$D$1212,B17)=0,"NAMA TIDAK DITEMUKAN",INDEX('01_Anggota'!$B$5:$B$1212,MATCH(B17,'01_Anggota'!$D$5:$D$1212,0))))</f>
        <v>KKSUK-000016</v>
      </c>
      <c r="D17" s="21" t="s">
        <v>168</v>
      </c>
      <c r="E17" s="23">
        <v>80000000</v>
      </c>
      <c r="F17" s="23">
        <v>25800000</v>
      </c>
      <c r="G17" s="23">
        <f>PinjamanTable[[#This Row],[Pokok (Rp) *]]+PinjamanTable[[#This Row],[Admin (Rp)]]</f>
        <v>105800000</v>
      </c>
      <c r="H17" s="24">
        <v>24</v>
      </c>
      <c r="I17" s="22">
        <v>45985</v>
      </c>
      <c r="J17" s="21" t="s">
        <v>169</v>
      </c>
      <c r="K17" s="21"/>
    </row>
    <row r="18" spans="1:11" ht="21" customHeight="1">
      <c r="A18" s="21">
        <v>14</v>
      </c>
      <c r="B18" s="21" t="s">
        <v>324</v>
      </c>
      <c r="C18" s="20" t="str">
        <f>IF(B18="","",IF(COUNTIF('01_Anggota'!$D$5:$D$1212,B18)=0,"NAMA TIDAK DITEMUKAN",INDEX('01_Anggota'!$B$5:$B$1212,MATCH(B18,'01_Anggota'!$D$5:$D$1212,0))))</f>
        <v>KKSUK-000125</v>
      </c>
      <c r="D18" s="21" t="s">
        <v>168</v>
      </c>
      <c r="E18" s="23">
        <v>15000000</v>
      </c>
      <c r="F18" s="23">
        <v>3600000</v>
      </c>
      <c r="G18" s="23">
        <f>PinjamanTable[[#This Row],[Pokok (Rp) *]]+PinjamanTable[[#This Row],[Admin (Rp)]]</f>
        <v>18600000</v>
      </c>
      <c r="H18" s="24">
        <v>24</v>
      </c>
      <c r="I18" s="22">
        <v>45793</v>
      </c>
      <c r="J18" s="21" t="s">
        <v>799</v>
      </c>
      <c r="K18" s="21"/>
    </row>
    <row r="19" spans="1:11" ht="21" customHeight="1">
      <c r="A19" s="21">
        <v>15</v>
      </c>
      <c r="B19" s="21" t="s">
        <v>320</v>
      </c>
      <c r="C19" s="20" t="str">
        <f>IF(B19="","",IF(COUNTIF('01_Anggota'!$D$5:$D$1212,B19)=0,"NAMA TIDAK DITEMUKAN",INDEX('01_Anggota'!$B$5:$B$1212,MATCH(B19,'01_Anggota'!$D$5:$D$1212,0))))</f>
        <v>KKSUK-000121</v>
      </c>
      <c r="D19" s="21" t="s">
        <v>168</v>
      </c>
      <c r="E19" s="23">
        <v>20000000</v>
      </c>
      <c r="F19" s="23">
        <v>2000000</v>
      </c>
      <c r="G19" s="23">
        <f>PinjamanTable[[#This Row],[Pokok (Rp) *]]+PinjamanTable[[#This Row],[Admin (Rp)]]</f>
        <v>22000000</v>
      </c>
      <c r="H19" s="24">
        <v>10</v>
      </c>
      <c r="I19" s="22">
        <v>45950</v>
      </c>
      <c r="J19" s="21" t="s">
        <v>169</v>
      </c>
      <c r="K19" s="21"/>
    </row>
    <row r="20" spans="1:11" ht="21" customHeight="1">
      <c r="A20" s="21">
        <v>16</v>
      </c>
      <c r="B20" s="21" t="s">
        <v>337</v>
      </c>
      <c r="C20" s="20" t="str">
        <f>IF(B20="","",IF(COUNTIF('01_Anggota'!$D$5:$D$1212,B20)=0,"NAMA TIDAK DITEMUKAN",INDEX('01_Anggota'!$B$5:$B$1212,MATCH(B20,'01_Anggota'!$D$5:$D$1212,0))))</f>
        <v>KKSUK-000138</v>
      </c>
      <c r="D20" s="21" t="s">
        <v>168</v>
      </c>
      <c r="E20" s="23">
        <v>35000000</v>
      </c>
      <c r="F20" s="23">
        <v>9600000</v>
      </c>
      <c r="G20" s="23">
        <f>PinjamanTable[[#This Row],[Pokok (Rp) *]]+PinjamanTable[[#This Row],[Admin (Rp)]]</f>
        <v>44600000</v>
      </c>
      <c r="H20" s="24">
        <v>24</v>
      </c>
      <c r="I20" s="22">
        <v>45838</v>
      </c>
      <c r="J20" s="21" t="s">
        <v>169</v>
      </c>
      <c r="K20" s="21"/>
    </row>
    <row r="21" spans="1:11" ht="21" customHeight="1">
      <c r="A21" s="21">
        <v>17</v>
      </c>
      <c r="B21" s="21" t="s">
        <v>202</v>
      </c>
      <c r="C21" s="20" t="str">
        <f>IF(B21="","",IF(COUNTIF('01_Anggota'!$D$5:$D$1212,B21)=0,"NAMA TIDAK DITEMUKAN",INDEX('01_Anggota'!$B$5:$B$1212,MATCH(B21,'01_Anggota'!$D$5:$D$1212,0))))</f>
        <v>KKSUK-000003</v>
      </c>
      <c r="D21" s="21" t="s">
        <v>168</v>
      </c>
      <c r="E21" s="23">
        <v>30000000</v>
      </c>
      <c r="F21" s="23">
        <v>7800000</v>
      </c>
      <c r="G21" s="23">
        <f>PinjamanTable[[#This Row],[Pokok (Rp) *]]+PinjamanTable[[#This Row],[Admin (Rp)]]</f>
        <v>37800000</v>
      </c>
      <c r="H21" s="24">
        <v>24</v>
      </c>
      <c r="I21" s="22">
        <v>45847</v>
      </c>
      <c r="J21" s="21" t="s">
        <v>169</v>
      </c>
      <c r="K21" s="21"/>
    </row>
    <row r="22" spans="1:11" ht="21" customHeight="1">
      <c r="A22" s="21">
        <v>18</v>
      </c>
      <c r="B22" s="21" t="s">
        <v>306</v>
      </c>
      <c r="C22" s="20" t="str">
        <f>IF(B22="","",IF(COUNTIF('01_Anggota'!$D$5:$D$1212,B22)=0,"NAMA TIDAK DITEMUKAN",INDEX('01_Anggota'!$B$5:$B$1212,MATCH(B22,'01_Anggota'!$D$5:$D$1212,0))))</f>
        <v>KKSUK-000107</v>
      </c>
      <c r="D22" s="21" t="s">
        <v>168</v>
      </c>
      <c r="E22" s="23">
        <v>14000000</v>
      </c>
      <c r="F22" s="23">
        <v>3360000</v>
      </c>
      <c r="G22" s="23">
        <f>PinjamanTable[[#This Row],[Pokok (Rp) *]]+PinjamanTable[[#This Row],[Admin (Rp)]]</f>
        <v>17360000</v>
      </c>
      <c r="H22" s="24">
        <v>24</v>
      </c>
      <c r="I22" s="22">
        <v>45915</v>
      </c>
      <c r="J22" s="21" t="s">
        <v>799</v>
      </c>
      <c r="K22" s="21"/>
    </row>
    <row r="23" spans="1:11" ht="21" customHeight="1">
      <c r="A23" s="21">
        <v>19</v>
      </c>
      <c r="B23" s="21" t="s">
        <v>306</v>
      </c>
      <c r="C23" s="20" t="str">
        <f>IF(B23="","",IF(COUNTIF('01_Anggota'!$D$5:$D$1212,B23)=0,"NAMA TIDAK DITEMUKAN",INDEX('01_Anggota'!$B$5:$B$1212,MATCH(B23,'01_Anggota'!$D$5:$D$1212,0))))</f>
        <v>KKSUK-000107</v>
      </c>
      <c r="D23" s="21" t="s">
        <v>168</v>
      </c>
      <c r="E23" s="23">
        <v>20000000</v>
      </c>
      <c r="F23" s="23">
        <v>4800000</v>
      </c>
      <c r="G23" s="23">
        <f>PinjamanTable[[#This Row],[Pokok (Rp) *]]+PinjamanTable[[#This Row],[Admin (Rp)]]</f>
        <v>24800000</v>
      </c>
      <c r="H23" s="24">
        <v>24</v>
      </c>
      <c r="I23" s="22">
        <v>46199</v>
      </c>
      <c r="J23" s="21" t="s">
        <v>169</v>
      </c>
      <c r="K23" s="21"/>
    </row>
    <row r="24" spans="1:11" ht="21" customHeight="1">
      <c r="A24" s="21">
        <v>20</v>
      </c>
      <c r="B24" s="21" t="s">
        <v>267</v>
      </c>
      <c r="C24" s="20" t="str">
        <f>IF(B24="","",IF(COUNTIF('01_Anggota'!$D$5:$D$1212,B24)=0,"NAMA TIDAK DITEMUKAN",INDEX('01_Anggota'!$B$5:$B$1212,MATCH(B24,'01_Anggota'!$D$5:$D$1212,0))))</f>
        <v>KKSUK-000068</v>
      </c>
      <c r="D24" s="21" t="s">
        <v>168</v>
      </c>
      <c r="E24" s="23">
        <v>60000000</v>
      </c>
      <c r="F24" s="23">
        <v>18600000</v>
      </c>
      <c r="G24" s="23">
        <f>PinjamanTable[[#This Row],[Pokok (Rp) *]]+PinjamanTable[[#This Row],[Admin (Rp)]]</f>
        <v>78600000</v>
      </c>
      <c r="H24" s="24">
        <v>24</v>
      </c>
      <c r="I24" s="22">
        <v>45863</v>
      </c>
      <c r="J24" s="21" t="s">
        <v>799</v>
      </c>
      <c r="K24" s="21"/>
    </row>
    <row r="25" spans="1:11" ht="21" customHeight="1">
      <c r="A25" s="21">
        <v>21</v>
      </c>
      <c r="B25" s="21" t="s">
        <v>267</v>
      </c>
      <c r="C25" s="20" t="str">
        <f>IF(B25="","",IF(COUNTIF('01_Anggota'!$D$5:$D$1212,B25)=0,"NAMA TIDAK DITEMUKAN",INDEX('01_Anggota'!$B$5:$B$1212,MATCH(B25,'01_Anggota'!$D$5:$D$1212,0))))</f>
        <v>KKSUK-000068</v>
      </c>
      <c r="D25" s="21" t="s">
        <v>168</v>
      </c>
      <c r="E25" s="23">
        <v>76000000</v>
      </c>
      <c r="F25" s="23">
        <v>24360000</v>
      </c>
      <c r="G25" s="23">
        <f>PinjamanTable[[#This Row],[Pokok (Rp) *]]+PinjamanTable[[#This Row],[Admin (Rp)]]</f>
        <v>100360000</v>
      </c>
      <c r="H25" s="24">
        <v>24</v>
      </c>
      <c r="I25" s="22">
        <v>46209</v>
      </c>
      <c r="J25" s="21" t="s">
        <v>169</v>
      </c>
      <c r="K25" s="21"/>
    </row>
    <row r="26" spans="1:11" ht="21" customHeight="1">
      <c r="A26" s="21">
        <v>22</v>
      </c>
      <c r="B26" s="21" t="s">
        <v>321</v>
      </c>
      <c r="C26" s="20" t="str">
        <f>IF(B26="","",IF(COUNTIF('01_Anggota'!$D$5:$D$1212,B26)=0,"NAMA TIDAK DITEMUKAN",INDEX('01_Anggota'!$B$5:$B$1212,MATCH(B26,'01_Anggota'!$D$5:$D$1212,0))))</f>
        <v>KKSUK-000122</v>
      </c>
      <c r="D26" s="21" t="s">
        <v>168</v>
      </c>
      <c r="E26" s="23">
        <v>10000000</v>
      </c>
      <c r="F26" s="23">
        <v>1500000</v>
      </c>
      <c r="G26" s="23">
        <f>PinjamanTable[[#This Row],[Pokok (Rp) *]]+PinjamanTable[[#This Row],[Admin (Rp)]]</f>
        <v>11500000</v>
      </c>
      <c r="H26" s="24">
        <v>15</v>
      </c>
      <c r="I26" s="22">
        <v>45813</v>
      </c>
      <c r="J26" s="21" t="s">
        <v>169</v>
      </c>
      <c r="K26" s="21"/>
    </row>
    <row r="27" spans="1:11" ht="21" customHeight="1">
      <c r="A27" s="21">
        <v>23</v>
      </c>
      <c r="B27" s="21" t="s">
        <v>258</v>
      </c>
      <c r="C27" s="20" t="str">
        <f>IF(B27="","",IF(COUNTIF('01_Anggota'!$D$5:$D$1212,B27)=0,"NAMA TIDAK DITEMUKAN",INDEX('01_Anggota'!$B$5:$B$1212,MATCH(B27,'01_Anggota'!$D$5:$D$1212,0))))</f>
        <v>KKSUK-000059</v>
      </c>
      <c r="D27" s="21" t="s">
        <v>168</v>
      </c>
      <c r="E27" s="23">
        <v>30500000</v>
      </c>
      <c r="F27" s="23">
        <v>8480000</v>
      </c>
      <c r="G27" s="23">
        <f>PinjamanTable[[#This Row],[Pokok (Rp) *]]+PinjamanTable[[#This Row],[Admin (Rp)]]</f>
        <v>38980000</v>
      </c>
      <c r="H27" s="24">
        <v>24</v>
      </c>
      <c r="I27" s="22">
        <v>45936</v>
      </c>
      <c r="J27" s="21" t="s">
        <v>169</v>
      </c>
      <c r="K27" s="21"/>
    </row>
    <row r="28" spans="1:11" ht="21" customHeight="1">
      <c r="A28" s="21">
        <v>24</v>
      </c>
      <c r="B28" s="21" t="s">
        <v>367</v>
      </c>
      <c r="C28" s="20" t="str">
        <f>IF(B28="","",IF(COUNTIF('01_Anggota'!$D$5:$D$1212,B28)=0,"NAMA TIDAK DITEMUKAN",INDEX('01_Anggota'!$B$5:$B$1212,MATCH(B28,'01_Anggota'!$D$5:$D$1212,0))))</f>
        <v>KKSUK-000168</v>
      </c>
      <c r="D28" s="21" t="s">
        <v>168</v>
      </c>
      <c r="E28" s="23">
        <v>18000000</v>
      </c>
      <c r="F28" s="23">
        <v>3510000</v>
      </c>
      <c r="G28" s="23">
        <f>PinjamanTable[[#This Row],[Pokok (Rp) *]]+PinjamanTable[[#This Row],[Admin (Rp)]]</f>
        <v>21510000</v>
      </c>
      <c r="H28" s="24">
        <v>18</v>
      </c>
      <c r="I28" s="22">
        <v>45606</v>
      </c>
      <c r="J28" s="21" t="s">
        <v>799</v>
      </c>
      <c r="K28" s="21"/>
    </row>
    <row r="29" spans="1:11" ht="21" customHeight="1">
      <c r="A29" s="21">
        <v>25</v>
      </c>
      <c r="B29" s="21" t="s">
        <v>367</v>
      </c>
      <c r="C29" s="20" t="str">
        <f>IF(B29="","",IF(COUNTIF('01_Anggota'!$D$5:$D$1212,B29)=0,"NAMA TIDAK DITEMUKAN",INDEX('01_Anggota'!$B$5:$B$1212,MATCH(B29,'01_Anggota'!$D$5:$D$1212,0))))</f>
        <v>KKSUK-000168</v>
      </c>
      <c r="D29" s="21" t="s">
        <v>168</v>
      </c>
      <c r="E29" s="23">
        <v>17000000</v>
      </c>
      <c r="F29" s="23">
        <v>3400000</v>
      </c>
      <c r="G29" s="23">
        <f>PinjamanTable[[#This Row],[Pokok (Rp) *]]+PinjamanTable[[#This Row],[Admin (Rp)]]</f>
        <v>20400000</v>
      </c>
      <c r="H29" s="24">
        <v>20</v>
      </c>
      <c r="I29" s="22">
        <v>46184</v>
      </c>
      <c r="J29" s="21" t="s">
        <v>169</v>
      </c>
      <c r="K29" s="21"/>
    </row>
    <row r="30" spans="1:11" ht="21" customHeight="1">
      <c r="A30" s="21">
        <v>26</v>
      </c>
      <c r="B30" s="21" t="s">
        <v>268</v>
      </c>
      <c r="C30" s="20" t="str">
        <f>IF(B30="","",IF(COUNTIF('01_Anggota'!$D$5:$D$1212,B30)=0,"NAMA TIDAK DITEMUKAN",INDEX('01_Anggota'!$B$5:$B$1212,MATCH(B30,'01_Anggota'!$D$5:$D$1212,0))))</f>
        <v>KKSUK-000069</v>
      </c>
      <c r="D30" s="21" t="s">
        <v>168</v>
      </c>
      <c r="E30" s="23">
        <v>93450000</v>
      </c>
      <c r="F30" s="23">
        <v>0</v>
      </c>
      <c r="G30" s="23">
        <f>PinjamanTable[[#This Row],[Pokok (Rp) *]]+PinjamanTable[[#This Row],[Admin (Rp)]]</f>
        <v>93450000</v>
      </c>
      <c r="H30" s="24">
        <v>24</v>
      </c>
      <c r="I30" s="22">
        <v>46022</v>
      </c>
      <c r="J30" s="21" t="s">
        <v>799</v>
      </c>
      <c r="K30" s="21"/>
    </row>
    <row r="31" spans="1:11" ht="21" customHeight="1">
      <c r="A31" s="21">
        <v>27</v>
      </c>
      <c r="B31" s="21" t="s">
        <v>268</v>
      </c>
      <c r="C31" s="20" t="str">
        <f>IF(B31="","",IF(COUNTIF('01_Anggota'!$D$5:$D$1212,B31)=0,"NAMA TIDAK DITEMUKAN",INDEX('01_Anggota'!$B$5:$B$1212,MATCH(B31,'01_Anggota'!$D$5:$D$1212,0))))</f>
        <v>KKSUK-000069</v>
      </c>
      <c r="D31" s="21" t="s">
        <v>168</v>
      </c>
      <c r="E31" s="23">
        <v>93000000</v>
      </c>
      <c r="F31" s="23">
        <v>25400000</v>
      </c>
      <c r="G31" s="23">
        <f>PinjamanTable[[#This Row],[Pokok (Rp) *]]+PinjamanTable[[#This Row],[Admin (Rp)]]</f>
        <v>118400000</v>
      </c>
      <c r="H31" s="24">
        <v>24</v>
      </c>
      <c r="I31" s="22">
        <v>46045</v>
      </c>
      <c r="J31" s="21" t="s">
        <v>169</v>
      </c>
      <c r="K31" s="21"/>
    </row>
    <row r="32" spans="1:11" ht="21" customHeight="1">
      <c r="A32" s="21">
        <v>28</v>
      </c>
      <c r="B32" s="21" t="s">
        <v>346</v>
      </c>
      <c r="C32" s="20" t="str">
        <f>IF(B32="","",IF(COUNTIF('01_Anggota'!$D$5:$D$1212,B32)=0,"NAMA TIDAK DITEMUKAN",INDEX('01_Anggota'!$B$5:$B$1212,MATCH(B32,'01_Anggota'!$D$5:$D$1212,0))))</f>
        <v>KKSUK-000147</v>
      </c>
      <c r="D32" s="21" t="s">
        <v>168</v>
      </c>
      <c r="E32" s="23">
        <v>20000000</v>
      </c>
      <c r="F32" s="23">
        <v>2400000</v>
      </c>
      <c r="G32" s="23">
        <f>PinjamanTable[[#This Row],[Pokok (Rp) *]]+PinjamanTable[[#This Row],[Admin (Rp)]]</f>
        <v>22400000</v>
      </c>
      <c r="H32" s="24">
        <v>12</v>
      </c>
      <c r="I32" s="22">
        <v>46072</v>
      </c>
      <c r="J32" s="21" t="s">
        <v>799</v>
      </c>
      <c r="K32" s="21"/>
    </row>
    <row r="33" spans="1:11" ht="21" customHeight="1">
      <c r="A33" s="21">
        <v>29</v>
      </c>
      <c r="B33" s="21" t="s">
        <v>346</v>
      </c>
      <c r="C33" s="20" t="str">
        <f>IF(B33="","",IF(COUNTIF('01_Anggota'!$D$5:$D$1212,B33)=0,"NAMA TIDAK DITEMUKAN",INDEX('01_Anggota'!$B$5:$B$1212,MATCH(B33,'01_Anggota'!$D$5:$D$1212,0))))</f>
        <v>KKSUK-000147</v>
      </c>
      <c r="D33" s="21" t="s">
        <v>168</v>
      </c>
      <c r="E33" s="23">
        <v>63000000</v>
      </c>
      <c r="F33" s="23">
        <v>19680000</v>
      </c>
      <c r="G33" s="23">
        <f>PinjamanTable[[#This Row],[Pokok (Rp) *]]+PinjamanTable[[#This Row],[Admin (Rp)]]</f>
        <v>82680000</v>
      </c>
      <c r="H33" s="24">
        <v>24</v>
      </c>
      <c r="I33" s="22">
        <v>46245</v>
      </c>
      <c r="J33" s="21" t="s">
        <v>169</v>
      </c>
      <c r="K33" s="21"/>
    </row>
    <row r="34" spans="1:11" ht="21" customHeight="1">
      <c r="A34" s="21">
        <v>30</v>
      </c>
      <c r="B34" s="21" t="s">
        <v>207</v>
      </c>
      <c r="C34" s="20" t="str">
        <f>IF(B34="","",IF(COUNTIF('01_Anggota'!$D$5:$D$1212,B34)=0,"NAMA TIDAK DITEMUKAN",INDEX('01_Anggota'!$B$5:$B$1212,MATCH(B34,'01_Anggota'!$D$5:$D$1212,0))))</f>
        <v>KKSUK-000008</v>
      </c>
      <c r="D34" s="21" t="s">
        <v>168</v>
      </c>
      <c r="E34" s="23">
        <v>10000000</v>
      </c>
      <c r="F34" s="23">
        <v>1500000</v>
      </c>
      <c r="G34" s="23">
        <f>PinjamanTable[[#This Row],[Pokok (Rp) *]]+PinjamanTable[[#This Row],[Admin (Rp)]]</f>
        <v>11500000</v>
      </c>
      <c r="H34" s="24">
        <v>15</v>
      </c>
      <c r="I34" s="22">
        <v>46255</v>
      </c>
      <c r="J34" s="21" t="s">
        <v>169</v>
      </c>
      <c r="K34" s="21"/>
    </row>
    <row r="35" spans="1:11" ht="21" customHeight="1">
      <c r="A35" s="21">
        <v>31</v>
      </c>
      <c r="B35" s="21" t="s">
        <v>300</v>
      </c>
      <c r="C35" s="20" t="str">
        <f>IF(B35="","",IF(COUNTIF('01_Anggota'!$D$5:$D$1212,B35)=0,"NAMA TIDAK DITEMUKAN",INDEX('01_Anggota'!$B$5:$B$1212,MATCH(B35,'01_Anggota'!$D$5:$D$1212,0))))</f>
        <v>KKSUK-000101</v>
      </c>
      <c r="D35" s="21" t="s">
        <v>168</v>
      </c>
      <c r="E35" s="23">
        <v>15000000</v>
      </c>
      <c r="F35" s="23">
        <v>1800000</v>
      </c>
      <c r="G35" s="23">
        <f>PinjamanTable[[#This Row],[Pokok (Rp) *]]+PinjamanTable[[#This Row],[Admin (Rp)]]</f>
        <v>16800000</v>
      </c>
      <c r="H35" s="24">
        <v>12</v>
      </c>
      <c r="I35" s="22">
        <v>45831</v>
      </c>
      <c r="J35" s="21" t="s">
        <v>799</v>
      </c>
      <c r="K35" s="21"/>
    </row>
    <row r="36" spans="1:11" ht="21" customHeight="1">
      <c r="A36" s="21">
        <v>32</v>
      </c>
      <c r="B36" s="21" t="s">
        <v>209</v>
      </c>
      <c r="C36" s="20" t="str">
        <f>IF(B36="","",IF(COUNTIF('01_Anggota'!$D$5:$D$1212,B36)=0,"NAMA TIDAK DITEMUKAN",INDEX('01_Anggota'!$B$5:$B$1212,MATCH(B36,'01_Anggota'!$D$5:$D$1212,0))))</f>
        <v>KKSUK-000010</v>
      </c>
      <c r="D36" s="21" t="s">
        <v>168</v>
      </c>
      <c r="E36" s="23">
        <v>7000000</v>
      </c>
      <c r="F36" s="23">
        <v>700000</v>
      </c>
      <c r="G36" s="23">
        <f>PinjamanTable[[#This Row],[Pokok (Rp) *]]+PinjamanTable[[#This Row],[Admin (Rp)]]</f>
        <v>7700000</v>
      </c>
      <c r="H36" s="24">
        <v>10</v>
      </c>
      <c r="I36" s="22">
        <v>45658</v>
      </c>
      <c r="J36" s="21" t="s">
        <v>799</v>
      </c>
      <c r="K36" s="21"/>
    </row>
    <row r="37" spans="1:11" ht="21" customHeight="1">
      <c r="A37" s="21">
        <v>33</v>
      </c>
      <c r="B37" s="21" t="s">
        <v>209</v>
      </c>
      <c r="C37" s="20" t="str">
        <f>IF(B37="","",IF(COUNTIF('01_Anggota'!$D$5:$D$1212,B37)=0,"NAMA TIDAK DITEMUKAN",INDEX('01_Anggota'!$B$5:$B$1212,MATCH(B37,'01_Anggota'!$D$5:$D$1212,0))))</f>
        <v>KKSUK-000010</v>
      </c>
      <c r="D37" s="21" t="s">
        <v>168</v>
      </c>
      <c r="E37" s="23">
        <v>15000000</v>
      </c>
      <c r="F37" s="23">
        <v>3600000</v>
      </c>
      <c r="G37" s="23">
        <f>PinjamanTable[[#This Row],[Pokok (Rp) *]]+PinjamanTable[[#This Row],[Admin (Rp)]]</f>
        <v>18600000</v>
      </c>
      <c r="H37" s="24">
        <v>24</v>
      </c>
      <c r="I37" s="22">
        <v>45658</v>
      </c>
      <c r="J37" s="21" t="s">
        <v>799</v>
      </c>
      <c r="K37" s="21"/>
    </row>
    <row r="38" spans="1:11" ht="21" customHeight="1">
      <c r="A38" s="21">
        <v>34</v>
      </c>
      <c r="B38" s="21" t="s">
        <v>209</v>
      </c>
      <c r="C38" s="20" t="str">
        <f>IF(B38="","",IF(COUNTIF('01_Anggota'!$D$5:$D$1212,B38)=0,"NAMA TIDAK DITEMUKAN",INDEX('01_Anggota'!$B$5:$B$1212,MATCH(B38,'01_Anggota'!$D$5:$D$1212,0))))</f>
        <v>KKSUK-000010</v>
      </c>
      <c r="D38" s="21" t="s">
        <v>168</v>
      </c>
      <c r="E38" s="23">
        <v>15000000</v>
      </c>
      <c r="F38" s="23">
        <v>3600000</v>
      </c>
      <c r="G38" s="23">
        <f>PinjamanTable[[#This Row],[Pokok (Rp) *]]+PinjamanTable[[#This Row],[Admin (Rp)]]</f>
        <v>18600000</v>
      </c>
      <c r="H38" s="24">
        <v>24</v>
      </c>
      <c r="I38" s="22">
        <v>46035</v>
      </c>
      <c r="J38" s="21" t="s">
        <v>169</v>
      </c>
      <c r="K38" s="21"/>
    </row>
    <row r="39" spans="1:11" ht="21" customHeight="1">
      <c r="A39" s="21">
        <v>35</v>
      </c>
      <c r="B39" s="21" t="s">
        <v>309</v>
      </c>
      <c r="C39" s="20" t="str">
        <f>IF(B39="","",IF(COUNTIF('01_Anggota'!$D$5:$D$1212,B39)=0,"NAMA TIDAK DITEMUKAN",INDEX('01_Anggota'!$B$5:$B$1212,MATCH(B39,'01_Anggota'!$D$5:$D$1212,0))))</f>
        <v>KKSUK-000110</v>
      </c>
      <c r="D39" s="21" t="s">
        <v>168</v>
      </c>
      <c r="E39" s="23">
        <v>35000000</v>
      </c>
      <c r="F39" s="23">
        <v>9600000</v>
      </c>
      <c r="G39" s="23">
        <f>PinjamanTable[[#This Row],[Pokok (Rp) *]]+PinjamanTable[[#This Row],[Admin (Rp)]]</f>
        <v>44600000</v>
      </c>
      <c r="H39" s="24">
        <v>24</v>
      </c>
      <c r="I39" s="22">
        <v>45793</v>
      </c>
      <c r="J39" s="21" t="s">
        <v>799</v>
      </c>
      <c r="K39" s="21"/>
    </row>
    <row r="40" spans="1:11" ht="21" customHeight="1">
      <c r="A40" s="21">
        <v>36</v>
      </c>
      <c r="B40" s="21" t="s">
        <v>309</v>
      </c>
      <c r="C40" s="20" t="str">
        <f>IF(B40="","",IF(COUNTIF('01_Anggota'!$D$5:$D$1212,B40)=0,"NAMA TIDAK DITEMUKAN",INDEX('01_Anggota'!$B$5:$B$1212,MATCH(B40,'01_Anggota'!$D$5:$D$1212,0))))</f>
        <v>KKSUK-000110</v>
      </c>
      <c r="D40" s="21" t="s">
        <v>168</v>
      </c>
      <c r="E40" s="23">
        <v>8000000</v>
      </c>
      <c r="F40" s="23">
        <v>960000</v>
      </c>
      <c r="G40" s="23">
        <f>PinjamanTable[[#This Row],[Pokok (Rp) *]]+PinjamanTable[[#This Row],[Admin (Rp)]]</f>
        <v>8960000</v>
      </c>
      <c r="H40" s="24">
        <v>12</v>
      </c>
      <c r="I40" s="22">
        <v>46202</v>
      </c>
      <c r="J40" s="21" t="s">
        <v>169</v>
      </c>
      <c r="K40" s="21"/>
    </row>
    <row r="41" spans="1:11" ht="21" customHeight="1">
      <c r="A41" s="21">
        <v>37</v>
      </c>
      <c r="B41" s="21" t="s">
        <v>309</v>
      </c>
      <c r="C41" s="20" t="str">
        <f>IF(B41="","",IF(COUNTIF('01_Anggota'!$D$5:$D$1212,B41)=0,"NAMA TIDAK DITEMUKAN",INDEX('01_Anggota'!$B$5:$B$1212,MATCH(B41,'01_Anggota'!$D$5:$D$1212,0))))</f>
        <v>KKSUK-000110</v>
      </c>
      <c r="D41" s="21" t="s">
        <v>168</v>
      </c>
      <c r="E41" s="23">
        <v>8500000</v>
      </c>
      <c r="F41" s="23">
        <v>1530000</v>
      </c>
      <c r="G41" s="23">
        <f>PinjamanTable[[#This Row],[Pokok (Rp) *]]+PinjamanTable[[#This Row],[Admin (Rp)]]</f>
        <v>10030000</v>
      </c>
      <c r="H41" s="24">
        <v>18</v>
      </c>
      <c r="I41" s="22">
        <v>46253</v>
      </c>
      <c r="J41" s="21" t="s">
        <v>169</v>
      </c>
      <c r="K41" s="21"/>
    </row>
    <row r="42" spans="1:11" ht="21" customHeight="1">
      <c r="A42" s="21">
        <v>38</v>
      </c>
      <c r="B42" s="21" t="s">
        <v>269</v>
      </c>
      <c r="C42" s="20" t="str">
        <f>IF(B42="","",IF(COUNTIF('01_Anggota'!$D$5:$D$1212,B42)=0,"NAMA TIDAK DITEMUKAN",INDEX('01_Anggota'!$B$5:$B$1212,MATCH(B42,'01_Anggota'!$D$5:$D$1212,0))))</f>
        <v>KKSUK-000070</v>
      </c>
      <c r="D42" s="21" t="s">
        <v>168</v>
      </c>
      <c r="E42" s="23">
        <v>68000000</v>
      </c>
      <c r="F42" s="23">
        <v>18600000</v>
      </c>
      <c r="G42" s="23">
        <f>PinjamanTable[[#This Row],[Pokok (Rp) *]]+PinjamanTable[[#This Row],[Admin (Rp)]]</f>
        <v>86600000</v>
      </c>
      <c r="H42" s="24">
        <v>24</v>
      </c>
      <c r="I42" s="22">
        <v>45763</v>
      </c>
      <c r="J42" s="21" t="s">
        <v>169</v>
      </c>
      <c r="K42" s="21"/>
    </row>
    <row r="43" spans="1:11" ht="21" customHeight="1">
      <c r="A43" s="21">
        <v>39</v>
      </c>
      <c r="B43" s="21" t="s">
        <v>269</v>
      </c>
      <c r="C43" s="20" t="str">
        <f>IF(B43="","",IF(COUNTIF('01_Anggota'!$D$5:$D$1212,B43)=0,"NAMA TIDAK DITEMUKAN",INDEX('01_Anggota'!$B$5:$B$1212,MATCH(B43,'01_Anggota'!$D$5:$D$1212,0))))</f>
        <v>KKSUK-000070</v>
      </c>
      <c r="D43" s="21" t="s">
        <v>168</v>
      </c>
      <c r="E43" s="23">
        <v>57787193</v>
      </c>
      <c r="F43" s="23">
        <v>17803389</v>
      </c>
      <c r="G43" s="23">
        <f>PinjamanTable[[#This Row],[Pokok (Rp) *]]+PinjamanTable[[#This Row],[Admin (Rp)]]</f>
        <v>75590582</v>
      </c>
      <c r="H43" s="24">
        <v>24</v>
      </c>
      <c r="I43" s="22">
        <v>45943</v>
      </c>
      <c r="J43" s="21" t="s">
        <v>169</v>
      </c>
      <c r="K43" s="21"/>
    </row>
    <row r="44" spans="1:11" ht="21" customHeight="1">
      <c r="A44" s="21">
        <v>40</v>
      </c>
      <c r="B44" s="21" t="s">
        <v>269</v>
      </c>
      <c r="C44" s="20" t="str">
        <f>IF(B44="","",IF(COUNTIF('01_Anggota'!$D$5:$D$1212,B44)=0,"NAMA TIDAK DITEMUKAN",INDEX('01_Anggota'!$B$5:$B$1212,MATCH(B44,'01_Anggota'!$D$5:$D$1212,0))))</f>
        <v>KKSUK-000070</v>
      </c>
      <c r="D44" s="21" t="s">
        <v>168</v>
      </c>
      <c r="E44" s="23">
        <v>47716469</v>
      </c>
      <c r="F44" s="23">
        <v>7157470</v>
      </c>
      <c r="G44" s="23">
        <f>PinjamanTable[[#This Row],[Pokok (Rp) *]]+PinjamanTable[[#This Row],[Admin (Rp)]]</f>
        <v>54873939</v>
      </c>
      <c r="H44" s="24">
        <v>1</v>
      </c>
      <c r="I44" s="22">
        <v>46182</v>
      </c>
      <c r="J44" s="21" t="s">
        <v>169</v>
      </c>
      <c r="K44" s="21" t="s">
        <v>818</v>
      </c>
    </row>
    <row r="45" spans="1:11" ht="21" customHeight="1">
      <c r="A45" s="21">
        <v>41</v>
      </c>
      <c r="B45" s="21" t="s">
        <v>212</v>
      </c>
      <c r="C45" s="20" t="str">
        <f>IF(B45="","",IF(COUNTIF('01_Anggota'!$D$5:$D$1212,B45)=0,"NAMA TIDAK DITEMUKAN",INDEX('01_Anggota'!$B$5:$B$1212,MATCH(B45,'01_Anggota'!$D$5:$D$1212,0))))</f>
        <v>KKSUK-000013</v>
      </c>
      <c r="D45" s="21" t="s">
        <v>168</v>
      </c>
      <c r="E45" s="23">
        <v>25000000</v>
      </c>
      <c r="F45" s="23">
        <v>2500000</v>
      </c>
      <c r="G45" s="23">
        <f>PinjamanTable[[#This Row],[Pokok (Rp) *]]+PinjamanTable[[#This Row],[Admin (Rp)]]</f>
        <v>27500000</v>
      </c>
      <c r="H45" s="24">
        <v>10</v>
      </c>
      <c r="I45" s="22">
        <v>45764</v>
      </c>
      <c r="J45" s="21" t="s">
        <v>799</v>
      </c>
      <c r="K45" s="21"/>
    </row>
    <row r="46" spans="1:11" ht="21" customHeight="1">
      <c r="A46" s="21">
        <v>42</v>
      </c>
      <c r="B46" s="21" t="s">
        <v>212</v>
      </c>
      <c r="C46" s="20" t="str">
        <f>IF(B46="","",IF(COUNTIF('01_Anggota'!$D$5:$D$1212,B46)=0,"NAMA TIDAK DITEMUKAN",INDEX('01_Anggota'!$B$5:$B$1212,MATCH(B46,'01_Anggota'!$D$5:$D$1212,0))))</f>
        <v>KKSUK-000013</v>
      </c>
      <c r="D46" s="21" t="s">
        <v>168</v>
      </c>
      <c r="E46" s="23">
        <v>30000000</v>
      </c>
      <c r="F46" s="23">
        <v>4875000</v>
      </c>
      <c r="G46" s="23">
        <f>PinjamanTable[[#This Row],[Pokok (Rp) *]]+PinjamanTable[[#This Row],[Admin (Rp)]]</f>
        <v>34875000</v>
      </c>
      <c r="H46" s="24">
        <v>15</v>
      </c>
      <c r="I46" s="22">
        <v>46108</v>
      </c>
      <c r="J46" s="21" t="s">
        <v>169</v>
      </c>
      <c r="K46" s="21"/>
    </row>
    <row r="47" spans="1:11" ht="21" customHeight="1">
      <c r="A47" s="21">
        <v>43</v>
      </c>
      <c r="B47" s="21" t="s">
        <v>270</v>
      </c>
      <c r="C47" s="20" t="str">
        <f>IF(B47="","",IF(COUNTIF('01_Anggota'!$D$5:$D$1212,B47)=0,"NAMA TIDAK DITEMUKAN",INDEX('01_Anggota'!$B$5:$B$1212,MATCH(B47,'01_Anggota'!$D$5:$D$1212,0))))</f>
        <v>KKSUK-000071</v>
      </c>
      <c r="D47" s="21" t="s">
        <v>168</v>
      </c>
      <c r="E47" s="23">
        <v>15000000</v>
      </c>
      <c r="F47" s="23">
        <v>1500000</v>
      </c>
      <c r="G47" s="23">
        <f>PinjamanTable[[#This Row],[Pokok (Rp) *]]+PinjamanTable[[#This Row],[Admin (Rp)]]</f>
        <v>16500000</v>
      </c>
      <c r="H47" s="24">
        <v>10</v>
      </c>
      <c r="I47" s="22">
        <v>45985</v>
      </c>
      <c r="J47" s="21" t="s">
        <v>169</v>
      </c>
      <c r="K47" s="21"/>
    </row>
    <row r="48" spans="1:11" ht="21" customHeight="1">
      <c r="A48" s="21">
        <v>44</v>
      </c>
      <c r="B48" s="21" t="s">
        <v>351</v>
      </c>
      <c r="C48" s="20" t="str">
        <f>IF(B48="","",IF(COUNTIF('01_Anggota'!$D$5:$D$1212,B48)=0,"NAMA TIDAK DITEMUKAN",INDEX('01_Anggota'!$B$5:$B$1212,MATCH(B48,'01_Anggota'!$D$5:$D$1212,0))))</f>
        <v>KKSUK-000152</v>
      </c>
      <c r="D48" s="21" t="s">
        <v>168</v>
      </c>
      <c r="E48" s="23">
        <v>2000000</v>
      </c>
      <c r="F48" s="23">
        <v>100000</v>
      </c>
      <c r="G48" s="23">
        <f>PinjamanTable[[#This Row],[Pokok (Rp) *]]+PinjamanTable[[#This Row],[Admin (Rp)]]</f>
        <v>2100000</v>
      </c>
      <c r="H48" s="24">
        <v>10</v>
      </c>
      <c r="I48" s="22">
        <v>45959</v>
      </c>
      <c r="J48" s="21" t="s">
        <v>799</v>
      </c>
      <c r="K48" s="21"/>
    </row>
    <row r="49" spans="1:11" ht="21" customHeight="1">
      <c r="A49" s="21">
        <v>45</v>
      </c>
      <c r="B49" s="21" t="s">
        <v>351</v>
      </c>
      <c r="C49" s="20" t="str">
        <f>IF(B49="","",IF(COUNTIF('01_Anggota'!$D$5:$D$1212,B49)=0,"NAMA TIDAK DITEMUKAN",INDEX('01_Anggota'!$B$5:$B$1212,MATCH(B49,'01_Anggota'!$D$5:$D$1212,0))))</f>
        <v>KKSUK-000152</v>
      </c>
      <c r="D49" s="21" t="s">
        <v>168</v>
      </c>
      <c r="E49" s="23">
        <v>4000000</v>
      </c>
      <c r="F49" s="23">
        <v>240000</v>
      </c>
      <c r="G49" s="23">
        <f>PinjamanTable[[#This Row],[Pokok (Rp) *]]+PinjamanTable[[#This Row],[Admin (Rp)]]</f>
        <v>4240000</v>
      </c>
      <c r="H49" s="24">
        <v>6</v>
      </c>
      <c r="I49" s="22">
        <v>46030</v>
      </c>
      <c r="J49" s="21" t="s">
        <v>799</v>
      </c>
      <c r="K49" s="21"/>
    </row>
    <row r="50" spans="1:11" ht="21" customHeight="1">
      <c r="A50" s="21">
        <v>46</v>
      </c>
      <c r="B50" s="21" t="s">
        <v>351</v>
      </c>
      <c r="C50" s="20" t="str">
        <f>IF(B50="","",IF(COUNTIF('01_Anggota'!$D$5:$D$1212,B50)=0,"NAMA TIDAK DITEMUKAN",INDEX('01_Anggota'!$B$5:$B$1212,MATCH(B50,'01_Anggota'!$D$5:$D$1212,0))))</f>
        <v>KKSUK-000152</v>
      </c>
      <c r="D50" s="21" t="s">
        <v>168</v>
      </c>
      <c r="E50" s="23">
        <v>6000000</v>
      </c>
      <c r="F50" s="23">
        <v>600000</v>
      </c>
      <c r="G50" s="23">
        <f>PinjamanTable[[#This Row],[Pokok (Rp) *]]+PinjamanTable[[#This Row],[Admin (Rp)]]</f>
        <v>6600000</v>
      </c>
      <c r="H50" s="24">
        <v>10</v>
      </c>
      <c r="I50" s="22">
        <v>46161</v>
      </c>
      <c r="J50" s="21" t="s">
        <v>169</v>
      </c>
      <c r="K50" s="21"/>
    </row>
    <row r="51" spans="1:11" ht="21" customHeight="1">
      <c r="A51" s="21">
        <v>47</v>
      </c>
      <c r="B51" s="21" t="s">
        <v>374</v>
      </c>
      <c r="C51" s="20" t="str">
        <f>IF(B51="","",IF(COUNTIF('01_Anggota'!$D$5:$D$1212,B51)=0,"NAMA TIDAK DITEMUKAN",INDEX('01_Anggota'!$B$5:$B$1212,MATCH(B51,'01_Anggota'!$D$5:$D$1212,0))))</f>
        <v>KKSUK-000175</v>
      </c>
      <c r="D51" s="21" t="s">
        <v>168</v>
      </c>
      <c r="E51" s="23">
        <v>3520000</v>
      </c>
      <c r="F51" s="23">
        <v>0</v>
      </c>
      <c r="G51" s="23">
        <f>PinjamanTable[[#This Row],[Pokok (Rp) *]]+PinjamanTable[[#This Row],[Admin (Rp)]]</f>
        <v>3520000</v>
      </c>
      <c r="H51" s="24">
        <v>3</v>
      </c>
      <c r="I51" s="22">
        <v>46022</v>
      </c>
      <c r="J51" s="21" t="s">
        <v>799</v>
      </c>
      <c r="K51" s="21"/>
    </row>
    <row r="52" spans="1:11" ht="21" customHeight="1">
      <c r="A52" s="21">
        <v>48</v>
      </c>
      <c r="B52" s="21" t="s">
        <v>260</v>
      </c>
      <c r="C52" s="20" t="str">
        <f>IF(B52="","",IF(COUNTIF('01_Anggota'!$D$5:$D$1212,B52)=0,"NAMA TIDAK DITEMUKAN",INDEX('01_Anggota'!$B$5:$B$1212,MATCH(B52,'01_Anggota'!$D$5:$D$1212,0))))</f>
        <v>KKSUK-000061</v>
      </c>
      <c r="D52" s="21" t="s">
        <v>168</v>
      </c>
      <c r="E52" s="23">
        <v>50000000</v>
      </c>
      <c r="F52" s="23">
        <v>12500000</v>
      </c>
      <c r="G52" s="23">
        <f>PinjamanTable[[#This Row],[Pokok (Rp) *]]+PinjamanTable[[#This Row],[Admin (Rp)]]</f>
        <v>62500000</v>
      </c>
      <c r="H52" s="24">
        <v>24</v>
      </c>
      <c r="I52" s="22">
        <v>45992</v>
      </c>
      <c r="J52" s="21" t="s">
        <v>799</v>
      </c>
      <c r="K52" s="21"/>
    </row>
    <row r="53" spans="1:11" ht="21" customHeight="1">
      <c r="A53" s="21">
        <v>49</v>
      </c>
      <c r="B53" s="21" t="s">
        <v>260</v>
      </c>
      <c r="C53" s="20" t="str">
        <f>IF(B53="","",IF(COUNTIF('01_Anggota'!$D$5:$D$1212,B53)=0,"NAMA TIDAK DITEMUKAN",INDEX('01_Anggota'!$B$5:$B$1212,MATCH(B53,'01_Anggota'!$D$5:$D$1212,0))))</f>
        <v>KKSUK-000061</v>
      </c>
      <c r="D53" s="21" t="s">
        <v>168</v>
      </c>
      <c r="E53" s="23">
        <v>56000000</v>
      </c>
      <c r="F53" s="23">
        <v>17160000</v>
      </c>
      <c r="G53" s="23">
        <f>PinjamanTable[[#This Row],[Pokok (Rp) *]]+PinjamanTable[[#This Row],[Admin (Rp)]]</f>
        <v>73160000</v>
      </c>
      <c r="H53" s="24">
        <v>24</v>
      </c>
      <c r="I53" s="22">
        <v>46261</v>
      </c>
      <c r="J53" s="21" t="s">
        <v>169</v>
      </c>
      <c r="K53" s="21"/>
    </row>
    <row r="54" spans="1:11" ht="21" customHeight="1">
      <c r="A54" s="21">
        <v>50</v>
      </c>
      <c r="B54" s="21" t="s">
        <v>254</v>
      </c>
      <c r="C54" s="20" t="str">
        <f>IF(B54="","",IF(COUNTIF('01_Anggota'!$D$5:$D$1212,B54)=0,"NAMA TIDAK DITEMUKAN",INDEX('01_Anggota'!$B$5:$B$1212,MATCH(B54,'01_Anggota'!$D$5:$D$1212,0))))</f>
        <v>KKSUK-000055</v>
      </c>
      <c r="D54" s="21" t="s">
        <v>168</v>
      </c>
      <c r="E54" s="23">
        <v>38231670</v>
      </c>
      <c r="F54" s="23">
        <v>0</v>
      </c>
      <c r="G54" s="23">
        <f>PinjamanTable[[#This Row],[Pokok (Rp) *]]+PinjamanTable[[#This Row],[Admin (Rp)]]</f>
        <v>38231670</v>
      </c>
      <c r="H54" s="24">
        <v>24</v>
      </c>
      <c r="I54" s="22">
        <v>46022</v>
      </c>
      <c r="J54" s="21" t="s">
        <v>799</v>
      </c>
      <c r="K54" s="21"/>
    </row>
    <row r="55" spans="1:11" ht="21" customHeight="1">
      <c r="A55" s="21">
        <v>51</v>
      </c>
      <c r="B55" s="21" t="s">
        <v>254</v>
      </c>
      <c r="C55" s="20" t="str">
        <f>IF(B55="","",IF(COUNTIF('01_Anggota'!$D$5:$D$1212,B55)=0,"NAMA TIDAK DITEMUKAN",INDEX('01_Anggota'!$B$5:$B$1212,MATCH(B55,'01_Anggota'!$D$5:$D$1212,0))))</f>
        <v>KKSUK-000055</v>
      </c>
      <c r="D55" s="21" t="s">
        <v>168</v>
      </c>
      <c r="E55" s="23">
        <v>50000000</v>
      </c>
      <c r="F55" s="23">
        <v>15000000</v>
      </c>
      <c r="G55" s="23">
        <f>PinjamanTable[[#This Row],[Pokok (Rp) *]]+PinjamanTable[[#This Row],[Admin (Rp)]]</f>
        <v>65000000</v>
      </c>
      <c r="H55" s="24">
        <v>24</v>
      </c>
      <c r="I55" s="22">
        <v>46045</v>
      </c>
      <c r="J55" s="21" t="s">
        <v>169</v>
      </c>
      <c r="K55" s="21"/>
    </row>
    <row r="56" spans="1:11" ht="21" customHeight="1">
      <c r="A56" s="21">
        <v>52</v>
      </c>
      <c r="B56" s="21" t="s">
        <v>254</v>
      </c>
      <c r="C56" s="20" t="str">
        <f>IF(B56="","",IF(COUNTIF('01_Anggota'!$D$5:$D$1212,B56)=0,"NAMA TIDAK DITEMUKAN",INDEX('01_Anggota'!$B$5:$B$1212,MATCH(B56,'01_Anggota'!$D$5:$D$1212,0))))</f>
        <v>KKSUK-000055</v>
      </c>
      <c r="D56" s="21" t="s">
        <v>168</v>
      </c>
      <c r="E56" s="23">
        <v>12000000</v>
      </c>
      <c r="F56" s="23">
        <v>4320000</v>
      </c>
      <c r="G56" s="23">
        <f>PinjamanTable[[#This Row],[Pokok (Rp) *]]+PinjamanTable[[#This Row],[Admin (Rp)]]</f>
        <v>16320000</v>
      </c>
      <c r="H56" s="24">
        <v>24</v>
      </c>
      <c r="I56" s="22">
        <v>46245</v>
      </c>
      <c r="J56" s="21" t="s">
        <v>169</v>
      </c>
      <c r="K56" s="21"/>
    </row>
    <row r="57" spans="1:11" ht="21" customHeight="1">
      <c r="A57" s="21">
        <v>53</v>
      </c>
      <c r="B57" s="21" t="s">
        <v>373</v>
      </c>
      <c r="C57" s="20" t="str">
        <f>IF(B57="","",IF(COUNTIF('01_Anggota'!$D$5:$D$1212,B57)=0,"NAMA TIDAK DITEMUKAN",INDEX('01_Anggota'!$B$5:$B$1212,MATCH(B57,'01_Anggota'!$D$5:$D$1212,0))))</f>
        <v>KKSUK-000174</v>
      </c>
      <c r="D57" s="21" t="s">
        <v>168</v>
      </c>
      <c r="E57" s="23">
        <v>20000000</v>
      </c>
      <c r="F57" s="23">
        <v>2400000</v>
      </c>
      <c r="G57" s="23">
        <f>PinjamanTable[[#This Row],[Pokok (Rp) *]]+PinjamanTable[[#This Row],[Admin (Rp)]]</f>
        <v>22400000</v>
      </c>
      <c r="H57" s="24">
        <v>12</v>
      </c>
      <c r="I57" s="22">
        <v>45950</v>
      </c>
      <c r="J57" s="21" t="s">
        <v>799</v>
      </c>
      <c r="K57" s="21"/>
    </row>
    <row r="58" spans="1:11" ht="21" customHeight="1">
      <c r="A58" s="21">
        <v>54</v>
      </c>
      <c r="B58" s="21" t="s">
        <v>373</v>
      </c>
      <c r="C58" s="20" t="str">
        <f>IF(B58="","",IF(COUNTIF('01_Anggota'!$D$5:$D$1212,B58)=0,"NAMA TIDAK DITEMUKAN",INDEX('01_Anggota'!$B$5:$B$1212,MATCH(B58,'01_Anggota'!$D$5:$D$1212,0))))</f>
        <v>KKSUK-000174</v>
      </c>
      <c r="D58" s="21" t="s">
        <v>168</v>
      </c>
      <c r="E58" s="23">
        <v>25000000</v>
      </c>
      <c r="F58" s="23">
        <v>3000000</v>
      </c>
      <c r="G58" s="23">
        <f>PinjamanTable[[#This Row],[Pokok (Rp) *]]+PinjamanTable[[#This Row],[Admin (Rp)]]</f>
        <v>28000000</v>
      </c>
      <c r="H58" s="24">
        <v>12</v>
      </c>
      <c r="I58" s="22">
        <v>46258</v>
      </c>
      <c r="J58" s="21" t="s">
        <v>169</v>
      </c>
      <c r="K58" s="21"/>
    </row>
    <row r="59" spans="1:11" ht="21" customHeight="1">
      <c r="A59" s="21">
        <v>55</v>
      </c>
      <c r="B59" s="21" t="s">
        <v>303</v>
      </c>
      <c r="C59" s="20" t="str">
        <f>IF(B59="","",IF(COUNTIF('01_Anggota'!$D$5:$D$1212,B59)=0,"NAMA TIDAK DITEMUKAN",INDEX('01_Anggota'!$B$5:$B$1212,MATCH(B59,'01_Anggota'!$D$5:$D$1212,0))))</f>
        <v>KKSUK-000104</v>
      </c>
      <c r="D59" s="21" t="s">
        <v>168</v>
      </c>
      <c r="E59" s="23">
        <v>10000000</v>
      </c>
      <c r="F59" s="23">
        <v>2000000</v>
      </c>
      <c r="G59" s="23">
        <f>PinjamanTable[[#This Row],[Pokok (Rp) *]]+PinjamanTable[[#This Row],[Admin (Rp)]]</f>
        <v>12000000</v>
      </c>
      <c r="H59" s="24">
        <v>20</v>
      </c>
      <c r="I59" s="22">
        <v>45763</v>
      </c>
      <c r="J59" s="21" t="s">
        <v>169</v>
      </c>
      <c r="K59" s="21"/>
    </row>
    <row r="60" spans="1:11" ht="21" customHeight="1">
      <c r="A60" s="21">
        <v>56</v>
      </c>
      <c r="B60" s="21" t="s">
        <v>214</v>
      </c>
      <c r="C60" s="20" t="str">
        <f>IF(B60="","",IF(COUNTIF('01_Anggota'!$D$5:$D$1212,B60)=0,"NAMA TIDAK DITEMUKAN",INDEX('01_Anggota'!$B$5:$B$1212,MATCH(B60,'01_Anggota'!$D$5:$D$1212,0))))</f>
        <v>KKSUK-000015</v>
      </c>
      <c r="D60" s="21" t="s">
        <v>168</v>
      </c>
      <c r="E60" s="23">
        <v>1500000</v>
      </c>
      <c r="F60" s="23">
        <v>15000</v>
      </c>
      <c r="G60" s="23">
        <f>PinjamanTable[[#This Row],[Pokok (Rp) *]]+PinjamanTable[[#This Row],[Admin (Rp)]]</f>
        <v>1515000</v>
      </c>
      <c r="H60" s="24">
        <v>1</v>
      </c>
      <c r="I60" s="22">
        <v>45999</v>
      </c>
      <c r="J60" s="21" t="s">
        <v>799</v>
      </c>
      <c r="K60" s="21"/>
    </row>
    <row r="61" spans="1:11" ht="21" customHeight="1">
      <c r="A61" s="21">
        <v>57</v>
      </c>
      <c r="B61" s="21" t="s">
        <v>214</v>
      </c>
      <c r="C61" s="20" t="str">
        <f>IF(B61="","",IF(COUNTIF('01_Anggota'!$D$5:$D$1212,B61)=0,"NAMA TIDAK DITEMUKAN",INDEX('01_Anggota'!$B$5:$B$1212,MATCH(B61,'01_Anggota'!$D$5:$D$1212,0))))</f>
        <v>KKSUK-000015</v>
      </c>
      <c r="D61" s="21" t="s">
        <v>168</v>
      </c>
      <c r="E61" s="23">
        <v>4500000</v>
      </c>
      <c r="F61" s="23">
        <v>1080000</v>
      </c>
      <c r="G61" s="23">
        <f>PinjamanTable[[#This Row],[Pokok (Rp) *]]+PinjamanTable[[#This Row],[Admin (Rp)]]</f>
        <v>5580000</v>
      </c>
      <c r="H61" s="24">
        <v>24</v>
      </c>
      <c r="I61" s="22">
        <v>46119</v>
      </c>
      <c r="J61" s="21" t="s">
        <v>169</v>
      </c>
      <c r="K61" s="21"/>
    </row>
    <row r="62" spans="1:11" ht="21" customHeight="1">
      <c r="A62" s="21">
        <v>58</v>
      </c>
      <c r="B62" s="21" t="s">
        <v>216</v>
      </c>
      <c r="C62" s="20" t="str">
        <f>IF(B62="","",IF(COUNTIF('01_Anggota'!$D$5:$D$1212,B62)=0,"NAMA TIDAK DITEMUKAN",INDEX('01_Anggota'!$B$5:$B$1212,MATCH(B62,'01_Anggota'!$D$5:$D$1212,0))))</f>
        <v>KKSUK-000017</v>
      </c>
      <c r="D62" s="21" t="s">
        <v>168</v>
      </c>
      <c r="E62" s="23">
        <v>75000000</v>
      </c>
      <c r="F62" s="23">
        <v>24000000</v>
      </c>
      <c r="G62" s="23">
        <f>PinjamanTable[[#This Row],[Pokok (Rp) *]]+PinjamanTable[[#This Row],[Admin (Rp)]]</f>
        <v>99000000</v>
      </c>
      <c r="H62" s="24">
        <v>24</v>
      </c>
      <c r="I62" s="22">
        <v>45992</v>
      </c>
      <c r="J62" s="21" t="s">
        <v>169</v>
      </c>
      <c r="K62" s="21"/>
    </row>
    <row r="63" spans="1:11" ht="21" customHeight="1">
      <c r="A63" s="21">
        <v>59</v>
      </c>
      <c r="B63" s="21" t="s">
        <v>217</v>
      </c>
      <c r="C63" s="20" t="str">
        <f>IF(B63="","",IF(COUNTIF('01_Anggota'!$D$5:$D$1212,B63)=0,"NAMA TIDAK DITEMUKAN",INDEX('01_Anggota'!$B$5:$B$1212,MATCH(B63,'01_Anggota'!$D$5:$D$1212,0))))</f>
        <v>KKSUK-000018</v>
      </c>
      <c r="D63" s="21" t="s">
        <v>168</v>
      </c>
      <c r="E63" s="23">
        <v>50000000</v>
      </c>
      <c r="F63" s="23">
        <v>15000000</v>
      </c>
      <c r="G63" s="23">
        <f>PinjamanTable[[#This Row],[Pokok (Rp) *]]+PinjamanTable[[#This Row],[Admin (Rp)]]</f>
        <v>65000000</v>
      </c>
      <c r="H63" s="24">
        <v>24</v>
      </c>
      <c r="I63" s="22">
        <v>45829</v>
      </c>
      <c r="J63" s="21" t="s">
        <v>169</v>
      </c>
      <c r="K63" s="21"/>
    </row>
    <row r="64" spans="1:11" ht="21" customHeight="1">
      <c r="A64" s="21">
        <v>60</v>
      </c>
      <c r="B64" s="21" t="s">
        <v>338</v>
      </c>
      <c r="C64" s="20" t="str">
        <f>IF(B64="","",IF(COUNTIF('01_Anggota'!$D$5:$D$1212,B64)=0,"NAMA TIDAK DITEMUKAN",INDEX('01_Anggota'!$B$5:$B$1212,MATCH(B64,'01_Anggota'!$D$5:$D$1212,0))))</f>
        <v>KKSUK-000139</v>
      </c>
      <c r="D64" s="21" t="s">
        <v>168</v>
      </c>
      <c r="E64" s="23">
        <v>15000000</v>
      </c>
      <c r="F64" s="23">
        <v>2700000</v>
      </c>
      <c r="G64" s="23">
        <f>PinjamanTable[[#This Row],[Pokok (Rp) *]]+PinjamanTable[[#This Row],[Admin (Rp)]]</f>
        <v>17700000</v>
      </c>
      <c r="H64" s="24">
        <v>18</v>
      </c>
      <c r="I64" s="22">
        <v>45854</v>
      </c>
      <c r="J64" s="21" t="s">
        <v>799</v>
      </c>
      <c r="K64" s="21"/>
    </row>
    <row r="65" spans="1:11" ht="21" customHeight="1">
      <c r="A65" s="21">
        <v>61</v>
      </c>
      <c r="B65" s="21" t="s">
        <v>338</v>
      </c>
      <c r="C65" s="20" t="str">
        <f>IF(B65="","",IF(COUNTIF('01_Anggota'!$D$5:$D$1212,B65)=0,"NAMA TIDAK DITEMUKAN",INDEX('01_Anggota'!$B$5:$B$1212,MATCH(B65,'01_Anggota'!$D$5:$D$1212,0))))</f>
        <v>KKSUK-000139</v>
      </c>
      <c r="D65" s="21" t="s">
        <v>168</v>
      </c>
      <c r="E65" s="23">
        <v>19000000</v>
      </c>
      <c r="F65" s="23">
        <v>4560000</v>
      </c>
      <c r="G65" s="23">
        <f>PinjamanTable[[#This Row],[Pokok (Rp) *]]+PinjamanTable[[#This Row],[Admin (Rp)]]</f>
        <v>23560000</v>
      </c>
      <c r="H65" s="24">
        <v>24</v>
      </c>
      <c r="I65" s="22">
        <v>46125</v>
      </c>
      <c r="J65" s="21" t="s">
        <v>169</v>
      </c>
      <c r="K65" s="21"/>
    </row>
    <row r="66" spans="1:11" ht="21" customHeight="1">
      <c r="A66" s="21">
        <v>62</v>
      </c>
      <c r="B66" s="21" t="s">
        <v>272</v>
      </c>
      <c r="C66" s="20" t="str">
        <f>IF(B66="","",IF(COUNTIF('01_Anggota'!$D$5:$D$1212,B66)=0,"NAMA TIDAK DITEMUKAN",INDEX('01_Anggota'!$B$5:$B$1212,MATCH(B66,'01_Anggota'!$D$5:$D$1212,0))))</f>
        <v>KKSUK-000073</v>
      </c>
      <c r="D66" s="21" t="s">
        <v>168</v>
      </c>
      <c r="E66" s="23">
        <v>30000000</v>
      </c>
      <c r="F66" s="23">
        <v>6500000</v>
      </c>
      <c r="G66" s="23">
        <f>PinjamanTable[[#This Row],[Pokok (Rp) *]]+PinjamanTable[[#This Row],[Admin (Rp)]]</f>
        <v>36500000</v>
      </c>
      <c r="H66" s="24">
        <v>20</v>
      </c>
      <c r="I66" s="22">
        <v>45588</v>
      </c>
      <c r="J66" s="21" t="s">
        <v>799</v>
      </c>
      <c r="K66" s="21"/>
    </row>
    <row r="67" spans="1:11" ht="21" customHeight="1">
      <c r="A67" s="21">
        <v>63</v>
      </c>
      <c r="B67" s="21" t="s">
        <v>272</v>
      </c>
      <c r="C67" s="20" t="str">
        <f>IF(B67="","",IF(COUNTIF('01_Anggota'!$D$5:$D$1212,B67)=0,"NAMA TIDAK DITEMUKAN",INDEX('01_Anggota'!$B$5:$B$1212,MATCH(B67,'01_Anggota'!$D$5:$D$1212,0))))</f>
        <v>KKSUK-000073</v>
      </c>
      <c r="D67" s="21" t="s">
        <v>168</v>
      </c>
      <c r="E67" s="23">
        <v>35000000</v>
      </c>
      <c r="F67" s="23">
        <v>9600000</v>
      </c>
      <c r="G67" s="23">
        <f>PinjamanTable[[#This Row],[Pokok (Rp) *]]+PinjamanTable[[#This Row],[Admin (Rp)]]</f>
        <v>44600000</v>
      </c>
      <c r="H67" s="24">
        <v>24</v>
      </c>
      <c r="I67" s="22">
        <v>46112</v>
      </c>
      <c r="J67" s="21" t="s">
        <v>169</v>
      </c>
      <c r="K67" s="21"/>
    </row>
    <row r="68" spans="1:11" ht="21" customHeight="1">
      <c r="A68" s="21">
        <v>64</v>
      </c>
      <c r="B68" s="21" t="s">
        <v>362</v>
      </c>
      <c r="C68" s="20" t="str">
        <f>IF(B68="","",IF(COUNTIF('01_Anggota'!$D$5:$D$1212,B68)=0,"NAMA TIDAK DITEMUKAN",INDEX('01_Anggota'!$B$5:$B$1212,MATCH(B68,'01_Anggota'!$D$5:$D$1212,0))))</f>
        <v>KKSUK-000163</v>
      </c>
      <c r="D68" s="21" t="s">
        <v>168</v>
      </c>
      <c r="E68" s="23">
        <v>2000000</v>
      </c>
      <c r="F68" s="23">
        <v>60000</v>
      </c>
      <c r="G68" s="23">
        <f>PinjamanTable[[#This Row],[Pokok (Rp) *]]+PinjamanTable[[#This Row],[Admin (Rp)]]</f>
        <v>2060000</v>
      </c>
      <c r="H68" s="24">
        <v>3</v>
      </c>
      <c r="I68" s="22">
        <v>45955</v>
      </c>
      <c r="J68" s="21" t="s">
        <v>799</v>
      </c>
      <c r="K68" s="21"/>
    </row>
    <row r="69" spans="1:11" ht="21" customHeight="1">
      <c r="A69" s="21">
        <v>65</v>
      </c>
      <c r="B69" s="21" t="s">
        <v>362</v>
      </c>
      <c r="C69" s="20" t="str">
        <f>IF(B69="","",IF(COUNTIF('01_Anggota'!$D$5:$D$1212,B69)=0,"NAMA TIDAK DITEMUKAN",INDEX('01_Anggota'!$B$5:$B$1212,MATCH(B69,'01_Anggota'!$D$5:$D$1212,0))))</f>
        <v>KKSUK-000163</v>
      </c>
      <c r="D69" s="21" t="s">
        <v>168</v>
      </c>
      <c r="E69" s="23">
        <v>3500000</v>
      </c>
      <c r="F69" s="23">
        <v>175000</v>
      </c>
      <c r="G69" s="23">
        <f>PinjamanTable[[#This Row],[Pokok (Rp) *]]+PinjamanTable[[#This Row],[Admin (Rp)]]</f>
        <v>3675000</v>
      </c>
      <c r="H69" s="24">
        <v>5</v>
      </c>
      <c r="I69" s="22">
        <v>46030</v>
      </c>
      <c r="J69" s="21" t="s">
        <v>799</v>
      </c>
      <c r="K69" s="21"/>
    </row>
    <row r="70" spans="1:11" ht="21" customHeight="1">
      <c r="A70" s="21">
        <v>66</v>
      </c>
      <c r="B70" s="21" t="s">
        <v>362</v>
      </c>
      <c r="C70" s="20" t="str">
        <f>IF(B70="","",IF(COUNTIF('01_Anggota'!$D$5:$D$1212,B70)=0,"NAMA TIDAK DITEMUKAN",INDEX('01_Anggota'!$B$5:$B$1212,MATCH(B70,'01_Anggota'!$D$5:$D$1212,0))))</f>
        <v>KKSUK-000163</v>
      </c>
      <c r="D70" s="21" t="s">
        <v>168</v>
      </c>
      <c r="E70" s="23">
        <v>5000000</v>
      </c>
      <c r="F70" s="23">
        <v>500000</v>
      </c>
      <c r="G70" s="23">
        <f>PinjamanTable[[#This Row],[Pokok (Rp) *]]+PinjamanTable[[#This Row],[Admin (Rp)]]</f>
        <v>5500000</v>
      </c>
      <c r="H70" s="24">
        <v>10</v>
      </c>
      <c r="I70" s="22">
        <v>46161</v>
      </c>
      <c r="J70" s="21" t="s">
        <v>169</v>
      </c>
      <c r="K70" s="21"/>
    </row>
    <row r="71" spans="1:11" ht="21" customHeight="1">
      <c r="A71" s="21">
        <v>67</v>
      </c>
      <c r="B71" s="21" t="s">
        <v>218</v>
      </c>
      <c r="C71" s="20" t="str">
        <f>IF(B71="","",IF(COUNTIF('01_Anggota'!$D$5:$D$1212,B71)=0,"NAMA TIDAK DITEMUKAN",INDEX('01_Anggota'!$B$5:$B$1212,MATCH(B71,'01_Anggota'!$D$5:$D$1212,0))))</f>
        <v>KKSUK-000019</v>
      </c>
      <c r="D71" s="21" t="s">
        <v>168</v>
      </c>
      <c r="E71" s="23">
        <v>5000000</v>
      </c>
      <c r="F71" s="23">
        <v>150000</v>
      </c>
      <c r="G71" s="23">
        <f>PinjamanTable[[#This Row],[Pokok (Rp) *]]+PinjamanTable[[#This Row],[Admin (Rp)]]</f>
        <v>5150000</v>
      </c>
      <c r="H71" s="24">
        <v>3</v>
      </c>
      <c r="I71" s="22">
        <v>46230</v>
      </c>
      <c r="J71" s="21" t="s">
        <v>169</v>
      </c>
      <c r="K71" s="21"/>
    </row>
    <row r="72" spans="1:11" ht="21" customHeight="1">
      <c r="A72" s="21">
        <v>68</v>
      </c>
      <c r="B72" s="21" t="s">
        <v>219</v>
      </c>
      <c r="C72" s="20" t="str">
        <f>IF(B72="","",IF(COUNTIF('01_Anggota'!$D$5:$D$1212,B72)=0,"NAMA TIDAK DITEMUKAN",INDEX('01_Anggota'!$B$5:$B$1212,MATCH(B72,'01_Anggota'!$D$5:$D$1212,0))))</f>
        <v>KKSUK-000020</v>
      </c>
      <c r="D72" s="21" t="s">
        <v>168</v>
      </c>
      <c r="E72" s="23">
        <v>44000000</v>
      </c>
      <c r="F72" s="23">
        <v>12840000</v>
      </c>
      <c r="G72" s="23">
        <f>PinjamanTable[[#This Row],[Pokok (Rp) *]]+PinjamanTable[[#This Row],[Admin (Rp)]]</f>
        <v>56840000</v>
      </c>
      <c r="H72" s="24">
        <v>24</v>
      </c>
      <c r="I72" s="22">
        <v>45974</v>
      </c>
      <c r="J72" s="21" t="s">
        <v>169</v>
      </c>
      <c r="K72" s="21"/>
    </row>
    <row r="73" spans="1:11" ht="21" customHeight="1">
      <c r="A73" s="21">
        <v>69</v>
      </c>
      <c r="B73" s="21" t="s">
        <v>219</v>
      </c>
      <c r="C73" s="20" t="str">
        <f>IF(B73="","",IF(COUNTIF('01_Anggota'!$D$5:$D$1212,B73)=0,"NAMA TIDAK DITEMUKAN",INDEX('01_Anggota'!$B$5:$B$1212,MATCH(B73,'01_Anggota'!$D$5:$D$1212,0))))</f>
        <v>KKSUK-000020</v>
      </c>
      <c r="D73" s="21" t="s">
        <v>168</v>
      </c>
      <c r="E73" s="23">
        <v>7000000</v>
      </c>
      <c r="F73" s="23">
        <v>1050000</v>
      </c>
      <c r="G73" s="23">
        <f>PinjamanTable[[#This Row],[Pokok (Rp) *]]+PinjamanTable[[#This Row],[Admin (Rp)]]</f>
        <v>8050000</v>
      </c>
      <c r="H73" s="24">
        <v>10</v>
      </c>
      <c r="I73" s="22">
        <v>46125</v>
      </c>
      <c r="J73" s="21" t="s">
        <v>169</v>
      </c>
      <c r="K73" s="21"/>
    </row>
    <row r="74" spans="1:11" ht="21" customHeight="1">
      <c r="A74" s="21">
        <v>70</v>
      </c>
      <c r="B74" s="21" t="s">
        <v>302</v>
      </c>
      <c r="C74" s="20" t="str">
        <f>IF(B74="","",IF(COUNTIF('01_Anggota'!$D$5:$D$1212,B74)=0,"NAMA TIDAK DITEMUKAN",INDEX('01_Anggota'!$B$5:$B$1212,MATCH(B74,'01_Anggota'!$D$5:$D$1212,0))))</f>
        <v>KKSUK-000103</v>
      </c>
      <c r="D74" s="21" t="s">
        <v>168</v>
      </c>
      <c r="E74" s="23">
        <v>13000000</v>
      </c>
      <c r="F74" s="23">
        <v>1300000</v>
      </c>
      <c r="G74" s="23">
        <f>PinjamanTable[[#This Row],[Pokok (Rp) *]]+PinjamanTable[[#This Row],[Admin (Rp)]]</f>
        <v>14300000</v>
      </c>
      <c r="H74" s="24">
        <v>10</v>
      </c>
      <c r="I74" s="22">
        <v>45813</v>
      </c>
      <c r="J74" s="21" t="s">
        <v>799</v>
      </c>
      <c r="K74" s="21"/>
    </row>
    <row r="75" spans="1:11" ht="21" customHeight="1">
      <c r="A75" s="21">
        <v>71</v>
      </c>
      <c r="B75" s="21" t="s">
        <v>273</v>
      </c>
      <c r="C75" s="20" t="str">
        <f>IF(B75="","",IF(COUNTIF('01_Anggota'!$D$5:$D$1212,B75)=0,"NAMA TIDAK DITEMUKAN",INDEX('01_Anggota'!$B$5:$B$1212,MATCH(B75,'01_Anggota'!$D$5:$D$1212,0))))</f>
        <v>KKSUK-000074</v>
      </c>
      <c r="D75" s="21" t="s">
        <v>168</v>
      </c>
      <c r="E75" s="23">
        <v>61000000</v>
      </c>
      <c r="F75" s="23">
        <v>18960000</v>
      </c>
      <c r="G75" s="23">
        <f>PinjamanTable[[#This Row],[Pokok (Rp) *]]+PinjamanTable[[#This Row],[Admin (Rp)]]</f>
        <v>79960000</v>
      </c>
      <c r="H75" s="24">
        <v>24</v>
      </c>
      <c r="I75" s="22">
        <v>45974</v>
      </c>
      <c r="J75" s="21" t="s">
        <v>169</v>
      </c>
      <c r="K75" s="21"/>
    </row>
    <row r="76" spans="1:11" ht="21" customHeight="1">
      <c r="A76" s="21">
        <v>72</v>
      </c>
      <c r="B76" s="21" t="s">
        <v>273</v>
      </c>
      <c r="C76" s="20" t="str">
        <f>IF(B76="","",IF(COUNTIF('01_Anggota'!$D$5:$D$1212,B76)=0,"NAMA TIDAK DITEMUKAN",INDEX('01_Anggota'!$B$5:$B$1212,MATCH(B76,'01_Anggota'!$D$5:$D$1212,0))))</f>
        <v>KKSUK-000074</v>
      </c>
      <c r="D76" s="21" t="s">
        <v>168</v>
      </c>
      <c r="E76" s="23">
        <v>10000000</v>
      </c>
      <c r="F76" s="23">
        <v>1500000</v>
      </c>
      <c r="G76" s="23">
        <f>PinjamanTable[[#This Row],[Pokok (Rp) *]]+PinjamanTable[[#This Row],[Admin (Rp)]]</f>
        <v>11500000</v>
      </c>
      <c r="H76" s="24">
        <v>15</v>
      </c>
      <c r="I76" s="22">
        <v>46218</v>
      </c>
      <c r="J76" s="21" t="s">
        <v>169</v>
      </c>
      <c r="K76" s="21"/>
    </row>
    <row r="77" spans="1:11" ht="21" customHeight="1">
      <c r="A77" s="21">
        <v>73</v>
      </c>
      <c r="B77" s="21" t="s">
        <v>274</v>
      </c>
      <c r="C77" s="20" t="str">
        <f>IF(B77="","",IF(COUNTIF('01_Anggota'!$D$5:$D$1212,B77)=0,"NAMA TIDAK DITEMUKAN",INDEX('01_Anggota'!$B$5:$B$1212,MATCH(B77,'01_Anggota'!$D$5:$D$1212,0))))</f>
        <v>KKSUK-000075</v>
      </c>
      <c r="D77" s="21" t="s">
        <v>168</v>
      </c>
      <c r="E77" s="23">
        <v>60000000</v>
      </c>
      <c r="F77" s="23">
        <v>18600000</v>
      </c>
      <c r="G77" s="23">
        <f>PinjamanTable[[#This Row],[Pokok (Rp) *]]+PinjamanTable[[#This Row],[Admin (Rp)]]</f>
        <v>78600000</v>
      </c>
      <c r="H77" s="24">
        <v>24</v>
      </c>
      <c r="I77" s="22">
        <v>45455</v>
      </c>
      <c r="J77" s="21" t="s">
        <v>799</v>
      </c>
      <c r="K77" s="21"/>
    </row>
    <row r="78" spans="1:11" ht="21" customHeight="1">
      <c r="A78" s="21">
        <v>74</v>
      </c>
      <c r="B78" s="21" t="s">
        <v>275</v>
      </c>
      <c r="C78" s="20" t="str">
        <f>IF(B78="","",IF(COUNTIF('01_Anggota'!$D$5:$D$1212,B78)=0,"NAMA TIDAK DITEMUKAN",INDEX('01_Anggota'!$B$5:$B$1212,MATCH(B78,'01_Anggota'!$D$5:$D$1212,0))))</f>
        <v>KKSUK-000076</v>
      </c>
      <c r="D78" s="21" t="s">
        <v>168</v>
      </c>
      <c r="E78" s="23">
        <v>29000000</v>
      </c>
      <c r="F78" s="23">
        <v>7440000</v>
      </c>
      <c r="G78" s="23">
        <f>PinjamanTable[[#This Row],[Pokok (Rp) *]]+PinjamanTable[[#This Row],[Admin (Rp)]]</f>
        <v>36440000</v>
      </c>
      <c r="H78" s="24">
        <v>24</v>
      </c>
      <c r="I78" s="22">
        <v>45448</v>
      </c>
      <c r="J78" s="21" t="s">
        <v>799</v>
      </c>
      <c r="K78" s="21"/>
    </row>
    <row r="79" spans="1:11" ht="21" customHeight="1">
      <c r="A79" s="21">
        <v>75</v>
      </c>
      <c r="B79" s="21" t="s">
        <v>275</v>
      </c>
      <c r="C79" s="20" t="str">
        <f>IF(B79="","",IF(COUNTIF('01_Anggota'!$D$5:$D$1212,B79)=0,"NAMA TIDAK DITEMUKAN",INDEX('01_Anggota'!$B$5:$B$1212,MATCH(B79,'01_Anggota'!$D$5:$D$1212,0))))</f>
        <v>KKSUK-000076</v>
      </c>
      <c r="D79" s="21" t="s">
        <v>168</v>
      </c>
      <c r="E79" s="23">
        <v>17500000</v>
      </c>
      <c r="F79" s="23">
        <v>2625000</v>
      </c>
      <c r="G79" s="23">
        <f>PinjamanTable[[#This Row],[Pokok (Rp) *]]+PinjamanTable[[#This Row],[Admin (Rp)]]</f>
        <v>20125000</v>
      </c>
      <c r="H79" s="24">
        <v>15</v>
      </c>
      <c r="I79" s="22">
        <v>46071</v>
      </c>
      <c r="J79" s="21" t="s">
        <v>799</v>
      </c>
      <c r="K79" s="21"/>
    </row>
    <row r="80" spans="1:11" ht="21" customHeight="1">
      <c r="A80" s="21">
        <v>76</v>
      </c>
      <c r="B80" s="21" t="s">
        <v>275</v>
      </c>
      <c r="C80" s="20" t="str">
        <f>IF(B80="","",IF(COUNTIF('01_Anggota'!$D$5:$D$1212,B80)=0,"NAMA TIDAK DITEMUKAN",INDEX('01_Anggota'!$B$5:$B$1212,MATCH(B80,'01_Anggota'!$D$5:$D$1212,0))))</f>
        <v>KKSUK-000076</v>
      </c>
      <c r="D80" s="21" t="s">
        <v>168</v>
      </c>
      <c r="E80" s="23">
        <v>26000000</v>
      </c>
      <c r="F80" s="23">
        <v>6360000</v>
      </c>
      <c r="G80" s="23">
        <f>PinjamanTable[[#This Row],[Pokok (Rp) *]]+PinjamanTable[[#This Row],[Admin (Rp)]]</f>
        <v>32360000</v>
      </c>
      <c r="H80" s="24">
        <v>24</v>
      </c>
      <c r="I80" s="22">
        <v>46218</v>
      </c>
      <c r="J80" s="21" t="s">
        <v>169</v>
      </c>
      <c r="K80" s="21"/>
    </row>
    <row r="81" spans="1:11" ht="21" customHeight="1">
      <c r="A81" s="21">
        <v>77</v>
      </c>
      <c r="B81" s="21" t="s">
        <v>220</v>
      </c>
      <c r="C81" s="20" t="str">
        <f>IF(B81="","",IF(COUNTIF('01_Anggota'!$D$5:$D$1212,B81)=0,"NAMA TIDAK DITEMUKAN",INDEX('01_Anggota'!$B$5:$B$1212,MATCH(B81,'01_Anggota'!$D$5:$D$1212,0))))</f>
        <v>KKSUK-000021</v>
      </c>
      <c r="D81" s="21" t="s">
        <v>168</v>
      </c>
      <c r="E81" s="23">
        <v>3000000</v>
      </c>
      <c r="F81" s="23">
        <v>180000</v>
      </c>
      <c r="G81" s="23">
        <f>PinjamanTable[[#This Row],[Pokok (Rp) *]]+PinjamanTable[[#This Row],[Admin (Rp)]]</f>
        <v>3180000</v>
      </c>
      <c r="H81" s="24">
        <v>6</v>
      </c>
      <c r="I81" s="22">
        <v>45987</v>
      </c>
      <c r="J81" s="21" t="s">
        <v>799</v>
      </c>
      <c r="K81" s="21"/>
    </row>
    <row r="82" spans="1:11" ht="21" customHeight="1">
      <c r="A82" s="21"/>
      <c r="B82" s="21"/>
      <c r="C82" s="20" t="str">
        <f>IF(B82="","",IF(COUNTIF('01_Anggota'!$D$5:$D$1212,B82)=0,"NAMA TIDAK DITEMUKAN",INDEX('01_Anggota'!$B$5:$B$1212,MATCH(B82,'01_Anggota'!$D$5:$D$1212,0))))</f>
        <v/>
      </c>
      <c r="D82" s="21"/>
      <c r="E82" s="23"/>
      <c r="F82" s="23"/>
      <c r="G82" s="23">
        <f>PinjamanTable[[#This Row],[Pokok (Rp) *]]+PinjamanTable[[#This Row],[Admin (Rp)]]</f>
        <v>0</v>
      </c>
      <c r="H82" s="24"/>
      <c r="I82" s="22"/>
      <c r="J82" s="21"/>
      <c r="K82" s="21"/>
    </row>
    <row r="83" spans="1:11" ht="21" customHeight="1">
      <c r="A83" s="21"/>
      <c r="B83" s="21"/>
      <c r="C83" s="20" t="str">
        <f>IF(B83="","",IF(COUNTIF('01_Anggota'!$D$5:$D$1212,B83)=0,"NAMA TIDAK DITEMUKAN",INDEX('01_Anggota'!$B$5:$B$1212,MATCH(B83,'01_Anggota'!$D$5:$D$1212,0))))</f>
        <v/>
      </c>
      <c r="D83" s="21"/>
      <c r="E83" s="23"/>
      <c r="F83" s="23"/>
      <c r="G83" s="23">
        <f>PinjamanTable[[#This Row],[Pokok (Rp) *]]+PinjamanTable[[#This Row],[Admin (Rp)]]</f>
        <v>0</v>
      </c>
      <c r="H83" s="24"/>
      <c r="I83" s="22"/>
      <c r="J83" s="21"/>
      <c r="K83" s="21"/>
    </row>
    <row r="84" spans="1:11" ht="21" customHeight="1">
      <c r="A84" s="21"/>
      <c r="B84" s="21"/>
      <c r="C84" s="20" t="str">
        <f>IF(B84="","",IF(COUNTIF('01_Anggota'!$D$5:$D$1212,B84)=0,"NAMA TIDAK DITEMUKAN",INDEX('01_Anggota'!$B$5:$B$1212,MATCH(B84,'01_Anggota'!$D$5:$D$1212,0))))</f>
        <v/>
      </c>
      <c r="D84" s="21"/>
      <c r="E84" s="23"/>
      <c r="F84" s="23"/>
      <c r="G84" s="23">
        <f>PinjamanTable[[#This Row],[Pokok (Rp) *]]+PinjamanTable[[#This Row],[Admin (Rp)]]</f>
        <v>0</v>
      </c>
      <c r="H84" s="24"/>
      <c r="I84" s="22"/>
      <c r="J84" s="21"/>
      <c r="K84" s="21"/>
    </row>
    <row r="85" spans="1:11" ht="21" customHeight="1">
      <c r="A85" s="21"/>
      <c r="B85" s="21"/>
      <c r="C85" s="20" t="str">
        <f>IF(B85="","",IF(COUNTIF('01_Anggota'!$D$5:$D$1212,B85)=0,"NAMA TIDAK DITEMUKAN",INDEX('01_Anggota'!$B$5:$B$1212,MATCH(B85,'01_Anggota'!$D$5:$D$1212,0))))</f>
        <v/>
      </c>
      <c r="D85" s="21"/>
      <c r="E85" s="23"/>
      <c r="F85" s="23"/>
      <c r="G85" s="23">
        <f>PinjamanTable[[#This Row],[Pokok (Rp) *]]+PinjamanTable[[#This Row],[Admin (Rp)]]</f>
        <v>0</v>
      </c>
      <c r="H85" s="24"/>
      <c r="I85" s="22"/>
      <c r="J85" s="21"/>
      <c r="K85" s="21"/>
    </row>
    <row r="86" spans="1:11" ht="21" customHeight="1">
      <c r="A86" s="21"/>
      <c r="B86" s="21"/>
      <c r="C86" s="20" t="str">
        <f>IF(B86="","",IF(COUNTIF('01_Anggota'!$D$5:$D$1212,B86)=0,"NAMA TIDAK DITEMUKAN",INDEX('01_Anggota'!$B$5:$B$1212,MATCH(B86,'01_Anggota'!$D$5:$D$1212,0))))</f>
        <v/>
      </c>
      <c r="D86" s="21"/>
      <c r="E86" s="23"/>
      <c r="F86" s="23"/>
      <c r="G86" s="23">
        <f>PinjamanTable[[#This Row],[Pokok (Rp) *]]+PinjamanTable[[#This Row],[Admin (Rp)]]</f>
        <v>0</v>
      </c>
      <c r="H86" s="24"/>
      <c r="I86" s="22"/>
      <c r="J86" s="21"/>
      <c r="K86" s="21"/>
    </row>
    <row r="87" spans="1:11" ht="21" customHeight="1">
      <c r="A87" s="21"/>
      <c r="B87" s="21"/>
      <c r="C87" s="20" t="str">
        <f>IF(B87="","",IF(COUNTIF('01_Anggota'!$D$5:$D$1212,B87)=0,"NAMA TIDAK DITEMUKAN",INDEX('01_Anggota'!$B$5:$B$1212,MATCH(B87,'01_Anggota'!$D$5:$D$1212,0))))</f>
        <v/>
      </c>
      <c r="D87" s="21"/>
      <c r="E87" s="23"/>
      <c r="F87" s="23"/>
      <c r="G87" s="23">
        <f>PinjamanTable[[#This Row],[Pokok (Rp) *]]+PinjamanTable[[#This Row],[Admin (Rp)]]</f>
        <v>0</v>
      </c>
      <c r="H87" s="24"/>
      <c r="I87" s="22"/>
      <c r="J87" s="21"/>
      <c r="K87" s="21"/>
    </row>
    <row r="88" spans="1:11" ht="21" customHeight="1">
      <c r="A88" s="21"/>
      <c r="B88" s="21"/>
      <c r="C88" s="20" t="str">
        <f>IF(B88="","",IF(COUNTIF('01_Anggota'!$D$5:$D$1212,B88)=0,"NAMA TIDAK DITEMUKAN",INDEX('01_Anggota'!$B$5:$B$1212,MATCH(B88,'01_Anggota'!$D$5:$D$1212,0))))</f>
        <v/>
      </c>
      <c r="D88" s="21"/>
      <c r="E88" s="23"/>
      <c r="F88" s="23"/>
      <c r="G88" s="23">
        <f>PinjamanTable[[#This Row],[Pokok (Rp) *]]+PinjamanTable[[#This Row],[Admin (Rp)]]</f>
        <v>0</v>
      </c>
      <c r="H88" s="24"/>
      <c r="I88" s="22"/>
      <c r="J88" s="21"/>
      <c r="K88" s="21"/>
    </row>
    <row r="89" spans="1:11" ht="21" customHeight="1">
      <c r="A89" s="21"/>
      <c r="B89" s="21"/>
      <c r="C89" s="20" t="str">
        <f>IF(B89="","",IF(COUNTIF('01_Anggota'!$D$5:$D$1212,B89)=0,"NAMA TIDAK DITEMUKAN",INDEX('01_Anggota'!$B$5:$B$1212,MATCH(B89,'01_Anggota'!$D$5:$D$1212,0))))</f>
        <v/>
      </c>
      <c r="D89" s="21"/>
      <c r="E89" s="23"/>
      <c r="F89" s="23"/>
      <c r="G89" s="23">
        <f>PinjamanTable[[#This Row],[Pokok (Rp) *]]+PinjamanTable[[#This Row],[Admin (Rp)]]</f>
        <v>0</v>
      </c>
      <c r="H89" s="24"/>
      <c r="I89" s="22"/>
      <c r="J89" s="21"/>
      <c r="K89" s="21"/>
    </row>
    <row r="90" spans="1:11" ht="21" customHeight="1">
      <c r="A90" s="21"/>
      <c r="B90" s="21"/>
      <c r="C90" s="20" t="str">
        <f>IF(B90="","",IF(COUNTIF('01_Anggota'!$D$5:$D$1212,B90)=0,"NAMA TIDAK DITEMUKAN",INDEX('01_Anggota'!$B$5:$B$1212,MATCH(B90,'01_Anggota'!$D$5:$D$1212,0))))</f>
        <v/>
      </c>
      <c r="D90" s="21"/>
      <c r="E90" s="23"/>
      <c r="F90" s="23"/>
      <c r="G90" s="23">
        <f>PinjamanTable[[#This Row],[Pokok (Rp) *]]+PinjamanTable[[#This Row],[Admin (Rp)]]</f>
        <v>0</v>
      </c>
      <c r="H90" s="24"/>
      <c r="I90" s="22"/>
      <c r="J90" s="21"/>
      <c r="K90" s="21"/>
    </row>
    <row r="91" spans="1:11" ht="21" customHeight="1">
      <c r="A91" s="21"/>
      <c r="B91" s="21"/>
      <c r="C91" s="20" t="str">
        <f>IF(B91="","",IF(COUNTIF('01_Anggota'!$D$5:$D$1212,B91)=0,"NAMA TIDAK DITEMUKAN",INDEX('01_Anggota'!$B$5:$B$1212,MATCH(B91,'01_Anggota'!$D$5:$D$1212,0))))</f>
        <v/>
      </c>
      <c r="D91" s="21"/>
      <c r="E91" s="23"/>
      <c r="F91" s="23"/>
      <c r="G91" s="23">
        <f>PinjamanTable[[#This Row],[Pokok (Rp) *]]+PinjamanTable[[#This Row],[Admin (Rp)]]</f>
        <v>0</v>
      </c>
      <c r="H91" s="24"/>
      <c r="I91" s="22"/>
      <c r="J91" s="21"/>
      <c r="K91" s="21"/>
    </row>
    <row r="92" spans="1:11" ht="21" customHeight="1">
      <c r="A92" s="21"/>
      <c r="B92" s="21"/>
      <c r="C92" s="20" t="str">
        <f>IF(B92="","",IF(COUNTIF('01_Anggota'!$D$5:$D$1212,B92)=0,"NAMA TIDAK DITEMUKAN",INDEX('01_Anggota'!$B$5:$B$1212,MATCH(B92,'01_Anggota'!$D$5:$D$1212,0))))</f>
        <v/>
      </c>
      <c r="D92" s="21"/>
      <c r="E92" s="23"/>
      <c r="F92" s="23"/>
      <c r="G92" s="23">
        <f>PinjamanTable[[#This Row],[Pokok (Rp) *]]+PinjamanTable[[#This Row],[Admin (Rp)]]</f>
        <v>0</v>
      </c>
      <c r="H92" s="24"/>
      <c r="I92" s="22"/>
      <c r="J92" s="21"/>
      <c r="K92" s="21"/>
    </row>
    <row r="93" spans="1:11" ht="21" customHeight="1">
      <c r="A93" s="21"/>
      <c r="B93" s="21"/>
      <c r="C93" s="20" t="str">
        <f>IF(B93="","",IF(COUNTIF('01_Anggota'!$D$5:$D$1212,B93)=0,"NAMA TIDAK DITEMUKAN",INDEX('01_Anggota'!$B$5:$B$1212,MATCH(B93,'01_Anggota'!$D$5:$D$1212,0))))</f>
        <v/>
      </c>
      <c r="D93" s="21"/>
      <c r="E93" s="23"/>
      <c r="F93" s="23"/>
      <c r="G93" s="23">
        <f>PinjamanTable[[#This Row],[Pokok (Rp) *]]+PinjamanTable[[#This Row],[Admin (Rp)]]</f>
        <v>0</v>
      </c>
      <c r="H93" s="24"/>
      <c r="I93" s="22"/>
      <c r="J93" s="21"/>
      <c r="K93" s="21"/>
    </row>
    <row r="94" spans="1:11" ht="21" customHeight="1">
      <c r="A94" s="21"/>
      <c r="B94" s="21"/>
      <c r="C94" s="20" t="str">
        <f>IF(B94="","",IF(COUNTIF('01_Anggota'!$D$5:$D$1212,B94)=0,"NAMA TIDAK DITEMUKAN",INDEX('01_Anggota'!$B$5:$B$1212,MATCH(B94,'01_Anggota'!$D$5:$D$1212,0))))</f>
        <v/>
      </c>
      <c r="D94" s="21"/>
      <c r="E94" s="23"/>
      <c r="F94" s="23"/>
      <c r="G94" s="23">
        <f>PinjamanTable[[#This Row],[Pokok (Rp) *]]+PinjamanTable[[#This Row],[Admin (Rp)]]</f>
        <v>0</v>
      </c>
      <c r="H94" s="24"/>
      <c r="I94" s="22"/>
      <c r="J94" s="21"/>
      <c r="K94" s="21"/>
    </row>
    <row r="95" spans="1:11" ht="21" customHeight="1">
      <c r="A95" s="21"/>
      <c r="B95" s="21"/>
      <c r="C95" s="20" t="str">
        <f>IF(B95="","",IF(COUNTIF('01_Anggota'!$D$5:$D$1212,B95)=0,"NAMA TIDAK DITEMUKAN",INDEX('01_Anggota'!$B$5:$B$1212,MATCH(B95,'01_Anggota'!$D$5:$D$1212,0))))</f>
        <v/>
      </c>
      <c r="D95" s="21"/>
      <c r="E95" s="23"/>
      <c r="F95" s="23"/>
      <c r="G95" s="23">
        <f>PinjamanTable[[#This Row],[Pokok (Rp) *]]+PinjamanTable[[#This Row],[Admin (Rp)]]</f>
        <v>0</v>
      </c>
      <c r="H95" s="24"/>
      <c r="I95" s="22"/>
      <c r="J95" s="21"/>
      <c r="K95" s="21"/>
    </row>
    <row r="96" spans="1:11" ht="21" customHeight="1">
      <c r="A96" s="21"/>
      <c r="B96" s="21"/>
      <c r="C96" s="20" t="str">
        <f>IF(B96="","",IF(COUNTIF('01_Anggota'!$D$5:$D$1212,B96)=0,"NAMA TIDAK DITEMUKAN",INDEX('01_Anggota'!$B$5:$B$1212,MATCH(B96,'01_Anggota'!$D$5:$D$1212,0))))</f>
        <v/>
      </c>
      <c r="D96" s="21"/>
      <c r="E96" s="23"/>
      <c r="F96" s="23"/>
      <c r="G96" s="23">
        <f>PinjamanTable[[#This Row],[Pokok (Rp) *]]+PinjamanTable[[#This Row],[Admin (Rp)]]</f>
        <v>0</v>
      </c>
      <c r="H96" s="24"/>
      <c r="I96" s="22"/>
      <c r="J96" s="21"/>
      <c r="K96" s="21"/>
    </row>
    <row r="97" spans="1:11" ht="21" customHeight="1">
      <c r="A97" s="21"/>
      <c r="B97" s="21"/>
      <c r="C97" s="20" t="str">
        <f>IF(B97="","",IF(COUNTIF('01_Anggota'!$D$5:$D$1212,B97)=0,"NAMA TIDAK DITEMUKAN",INDEX('01_Anggota'!$B$5:$B$1212,MATCH(B97,'01_Anggota'!$D$5:$D$1212,0))))</f>
        <v/>
      </c>
      <c r="D97" s="21"/>
      <c r="E97" s="23"/>
      <c r="F97" s="23"/>
      <c r="G97" s="23">
        <f>PinjamanTable[[#This Row],[Pokok (Rp) *]]+PinjamanTable[[#This Row],[Admin (Rp)]]</f>
        <v>0</v>
      </c>
      <c r="H97" s="24"/>
      <c r="I97" s="22"/>
      <c r="J97" s="21"/>
      <c r="K97" s="21"/>
    </row>
    <row r="98" spans="1:11" ht="21" customHeight="1">
      <c r="A98" s="21"/>
      <c r="B98" s="21"/>
      <c r="C98" s="20" t="str">
        <f>IF(B98="","",IF(COUNTIF('01_Anggota'!$D$5:$D$1212,B98)=0,"NAMA TIDAK DITEMUKAN",INDEX('01_Anggota'!$B$5:$B$1212,MATCH(B98,'01_Anggota'!$D$5:$D$1212,0))))</f>
        <v/>
      </c>
      <c r="D98" s="21"/>
      <c r="E98" s="23"/>
      <c r="F98" s="23"/>
      <c r="G98" s="23">
        <f>PinjamanTable[[#This Row],[Pokok (Rp) *]]+PinjamanTable[[#This Row],[Admin (Rp)]]</f>
        <v>0</v>
      </c>
      <c r="H98" s="24"/>
      <c r="I98" s="22"/>
      <c r="J98" s="21"/>
      <c r="K98" s="21"/>
    </row>
    <row r="99" spans="1:11" ht="21" customHeight="1">
      <c r="A99" s="21"/>
      <c r="B99" s="21"/>
      <c r="C99" s="20" t="str">
        <f>IF(B99="","",IF(COUNTIF('01_Anggota'!$D$5:$D$1212,B99)=0,"NAMA TIDAK DITEMUKAN",INDEX('01_Anggota'!$B$5:$B$1212,MATCH(B99,'01_Anggota'!$D$5:$D$1212,0))))</f>
        <v/>
      </c>
      <c r="D99" s="21"/>
      <c r="E99" s="23"/>
      <c r="F99" s="23"/>
      <c r="G99" s="23">
        <f>PinjamanTable[[#This Row],[Pokok (Rp) *]]+PinjamanTable[[#This Row],[Admin (Rp)]]</f>
        <v>0</v>
      </c>
      <c r="H99" s="24"/>
      <c r="I99" s="22"/>
      <c r="J99" s="21"/>
      <c r="K99" s="21"/>
    </row>
    <row r="100" spans="1:11" ht="21" customHeight="1">
      <c r="A100" s="21"/>
      <c r="B100" s="21"/>
      <c r="C100" s="20" t="str">
        <f>IF(B100="","",IF(COUNTIF('01_Anggota'!$D$5:$D$1212,B100)=0,"NAMA TIDAK DITEMUKAN",INDEX('01_Anggota'!$B$5:$B$1212,MATCH(B100,'01_Anggota'!$D$5:$D$1212,0))))</f>
        <v/>
      </c>
      <c r="D100" s="21"/>
      <c r="E100" s="23"/>
      <c r="F100" s="23"/>
      <c r="G100" s="23">
        <f>PinjamanTable[[#This Row],[Pokok (Rp) *]]+PinjamanTable[[#This Row],[Admin (Rp)]]</f>
        <v>0</v>
      </c>
      <c r="H100" s="24"/>
      <c r="I100" s="22"/>
      <c r="J100" s="21"/>
      <c r="K100" s="21"/>
    </row>
    <row r="101" spans="1:11" ht="21" customHeight="1">
      <c r="A101" s="21"/>
      <c r="B101" s="21"/>
      <c r="C101" s="20" t="str">
        <f>IF(B101="","",IF(COUNTIF('01_Anggota'!$D$5:$D$1212,B101)=0,"NAMA TIDAK DITEMUKAN",INDEX('01_Anggota'!$B$5:$B$1212,MATCH(B101,'01_Anggota'!$D$5:$D$1212,0))))</f>
        <v/>
      </c>
      <c r="D101" s="21"/>
      <c r="E101" s="23"/>
      <c r="F101" s="23"/>
      <c r="G101" s="23">
        <f>PinjamanTable[[#This Row],[Pokok (Rp) *]]+PinjamanTable[[#This Row],[Admin (Rp)]]</f>
        <v>0</v>
      </c>
      <c r="H101" s="24"/>
      <c r="I101" s="22"/>
      <c r="J101" s="21"/>
      <c r="K101" s="21"/>
    </row>
    <row r="102" spans="1:11" ht="21" customHeight="1">
      <c r="A102" s="21"/>
      <c r="B102" s="21"/>
      <c r="C102" s="20" t="str">
        <f>IF(B102="","",IF(COUNTIF('01_Anggota'!$D$5:$D$1212,B102)=0,"NAMA TIDAK DITEMUKAN",INDEX('01_Anggota'!$B$5:$B$1212,MATCH(B102,'01_Anggota'!$D$5:$D$1212,0))))</f>
        <v/>
      </c>
      <c r="D102" s="21"/>
      <c r="E102" s="23"/>
      <c r="F102" s="23"/>
      <c r="G102" s="23">
        <f>PinjamanTable[[#This Row],[Pokok (Rp) *]]+PinjamanTable[[#This Row],[Admin (Rp)]]</f>
        <v>0</v>
      </c>
      <c r="H102" s="24"/>
      <c r="I102" s="22"/>
      <c r="J102" s="21"/>
      <c r="K102" s="21"/>
    </row>
    <row r="103" spans="1:11" ht="21" customHeight="1">
      <c r="A103" s="21"/>
      <c r="B103" s="21"/>
      <c r="C103" s="20" t="str">
        <f>IF(B103="","",IF(COUNTIF('01_Anggota'!$D$5:$D$1212,B103)=0,"NAMA TIDAK DITEMUKAN",INDEX('01_Anggota'!$B$5:$B$1212,MATCH(B103,'01_Anggota'!$D$5:$D$1212,0))))</f>
        <v/>
      </c>
      <c r="D103" s="21"/>
      <c r="E103" s="23"/>
      <c r="F103" s="23"/>
      <c r="G103" s="23">
        <f>PinjamanTable[[#This Row],[Pokok (Rp) *]]+PinjamanTable[[#This Row],[Admin (Rp)]]</f>
        <v>0</v>
      </c>
      <c r="H103" s="24"/>
      <c r="I103" s="22"/>
      <c r="J103" s="21"/>
      <c r="K103" s="21"/>
    </row>
    <row r="104" spans="1:11" ht="21" customHeight="1">
      <c r="A104" s="21"/>
      <c r="B104" s="21"/>
      <c r="C104" s="20" t="str">
        <f>IF(B104="","",IF(COUNTIF('01_Anggota'!$D$5:$D$1212,B104)=0,"NAMA TIDAK DITEMUKAN",INDEX('01_Anggota'!$B$5:$B$1212,MATCH(B104,'01_Anggota'!$D$5:$D$1212,0))))</f>
        <v/>
      </c>
      <c r="D104" s="21"/>
      <c r="E104" s="23"/>
      <c r="F104" s="23"/>
      <c r="G104" s="23">
        <f>PinjamanTable[[#This Row],[Pokok (Rp) *]]+PinjamanTable[[#This Row],[Admin (Rp)]]</f>
        <v>0</v>
      </c>
      <c r="H104" s="24"/>
      <c r="I104" s="22"/>
      <c r="J104" s="21"/>
      <c r="K104" s="21"/>
    </row>
    <row r="105" spans="1:11" ht="21" customHeight="1">
      <c r="A105" s="21"/>
      <c r="B105" s="21"/>
      <c r="C105" s="20" t="str">
        <f>IF(B105="","",IF(COUNTIF('01_Anggota'!$D$5:$D$1212,B105)=0,"NAMA TIDAK DITEMUKAN",INDEX('01_Anggota'!$B$5:$B$1212,MATCH(B105,'01_Anggota'!$D$5:$D$1212,0))))</f>
        <v/>
      </c>
      <c r="D105" s="21"/>
      <c r="E105" s="23"/>
      <c r="F105" s="23"/>
      <c r="G105" s="23">
        <f>PinjamanTable[[#This Row],[Pokok (Rp) *]]+PinjamanTable[[#This Row],[Admin (Rp)]]</f>
        <v>0</v>
      </c>
      <c r="H105" s="24"/>
      <c r="I105" s="22"/>
      <c r="J105" s="21"/>
      <c r="K105" s="21"/>
    </row>
    <row r="106" spans="1:11" ht="21" customHeight="1">
      <c r="A106" s="21"/>
      <c r="B106" s="21"/>
      <c r="C106" s="20" t="str">
        <f>IF(B106="","",IF(COUNTIF('01_Anggota'!$D$5:$D$1212,B106)=0,"NAMA TIDAK DITEMUKAN",INDEX('01_Anggota'!$B$5:$B$1212,MATCH(B106,'01_Anggota'!$D$5:$D$1212,0))))</f>
        <v/>
      </c>
      <c r="D106" s="21"/>
      <c r="E106" s="23"/>
      <c r="F106" s="23"/>
      <c r="G106" s="23">
        <f>PinjamanTable[[#This Row],[Pokok (Rp) *]]+PinjamanTable[[#This Row],[Admin (Rp)]]</f>
        <v>0</v>
      </c>
      <c r="H106" s="24"/>
      <c r="I106" s="22"/>
      <c r="J106" s="21"/>
      <c r="K106" s="21"/>
    </row>
    <row r="107" spans="1:11" ht="21" customHeight="1">
      <c r="A107" s="21"/>
      <c r="B107" s="21"/>
      <c r="C107" s="20" t="str">
        <f>IF(B107="","",IF(COUNTIF('01_Anggota'!$D$5:$D$1212,B107)=0,"NAMA TIDAK DITEMUKAN",INDEX('01_Anggota'!$B$5:$B$1212,MATCH(B107,'01_Anggota'!$D$5:$D$1212,0))))</f>
        <v/>
      </c>
      <c r="D107" s="21"/>
      <c r="E107" s="23"/>
      <c r="F107" s="23"/>
      <c r="G107" s="23">
        <f>PinjamanTable[[#This Row],[Pokok (Rp) *]]+PinjamanTable[[#This Row],[Admin (Rp)]]</f>
        <v>0</v>
      </c>
      <c r="H107" s="24"/>
      <c r="I107" s="22"/>
      <c r="J107" s="21"/>
      <c r="K107" s="21"/>
    </row>
    <row r="108" spans="1:11" ht="21" customHeight="1">
      <c r="A108" s="21"/>
      <c r="B108" s="21"/>
      <c r="C108" s="20" t="str">
        <f>IF(B108="","",IF(COUNTIF('01_Anggota'!$D$5:$D$1212,B108)=0,"NAMA TIDAK DITEMUKAN",INDEX('01_Anggota'!$B$5:$B$1212,MATCH(B108,'01_Anggota'!$D$5:$D$1212,0))))</f>
        <v/>
      </c>
      <c r="D108" s="21"/>
      <c r="E108" s="23"/>
      <c r="F108" s="23"/>
      <c r="G108" s="23">
        <f>PinjamanTable[[#This Row],[Pokok (Rp) *]]+PinjamanTable[[#This Row],[Admin (Rp)]]</f>
        <v>0</v>
      </c>
      <c r="H108" s="24"/>
      <c r="I108" s="22"/>
      <c r="J108" s="21"/>
      <c r="K108" s="21"/>
    </row>
    <row r="109" spans="1:11" ht="21" customHeight="1">
      <c r="A109" s="21"/>
      <c r="B109" s="21"/>
      <c r="C109" s="20" t="str">
        <f>IF(B109="","",IF(COUNTIF('01_Anggota'!$D$5:$D$1212,B109)=0,"NAMA TIDAK DITEMUKAN",INDEX('01_Anggota'!$B$5:$B$1212,MATCH(B109,'01_Anggota'!$D$5:$D$1212,0))))</f>
        <v/>
      </c>
      <c r="D109" s="21"/>
      <c r="E109" s="23"/>
      <c r="F109" s="23"/>
      <c r="G109" s="23">
        <f>PinjamanTable[[#This Row],[Pokok (Rp) *]]+PinjamanTable[[#This Row],[Admin (Rp)]]</f>
        <v>0</v>
      </c>
      <c r="H109" s="24"/>
      <c r="I109" s="22"/>
      <c r="J109" s="21"/>
      <c r="K109" s="21"/>
    </row>
    <row r="110" spans="1:11" ht="21" customHeight="1">
      <c r="A110" s="21"/>
      <c r="B110" s="21"/>
      <c r="C110" s="20" t="str">
        <f>IF(B110="","",IF(COUNTIF('01_Anggota'!$D$5:$D$1212,B110)=0,"NAMA TIDAK DITEMUKAN",INDEX('01_Anggota'!$B$5:$B$1212,MATCH(B110,'01_Anggota'!$D$5:$D$1212,0))))</f>
        <v/>
      </c>
      <c r="D110" s="21"/>
      <c r="E110" s="23"/>
      <c r="F110" s="23"/>
      <c r="G110" s="23">
        <f>PinjamanTable[[#This Row],[Pokok (Rp) *]]+PinjamanTable[[#This Row],[Admin (Rp)]]</f>
        <v>0</v>
      </c>
      <c r="H110" s="24"/>
      <c r="I110" s="22"/>
      <c r="J110" s="21"/>
      <c r="K110" s="21"/>
    </row>
    <row r="111" spans="1:11" ht="21" customHeight="1">
      <c r="A111" s="21"/>
      <c r="B111" s="21"/>
      <c r="C111" s="20" t="str">
        <f>IF(B111="","",IF(COUNTIF('01_Anggota'!$D$5:$D$1212,B111)=0,"NAMA TIDAK DITEMUKAN",INDEX('01_Anggota'!$B$5:$B$1212,MATCH(B111,'01_Anggota'!$D$5:$D$1212,0))))</f>
        <v/>
      </c>
      <c r="D111" s="21"/>
      <c r="E111" s="23"/>
      <c r="F111" s="23"/>
      <c r="G111" s="23">
        <f>PinjamanTable[[#This Row],[Pokok (Rp) *]]+PinjamanTable[[#This Row],[Admin (Rp)]]</f>
        <v>0</v>
      </c>
      <c r="H111" s="24"/>
      <c r="I111" s="22"/>
      <c r="J111" s="21"/>
      <c r="K111" s="21"/>
    </row>
    <row r="112" spans="1:11" ht="21" customHeight="1">
      <c r="A112" s="21"/>
      <c r="B112" s="21"/>
      <c r="C112" s="20" t="str">
        <f>IF(B112="","",IF(COUNTIF('01_Anggota'!$D$5:$D$1212,B112)=0,"NAMA TIDAK DITEMUKAN",INDEX('01_Anggota'!$B$5:$B$1212,MATCH(B112,'01_Anggota'!$D$5:$D$1212,0))))</f>
        <v/>
      </c>
      <c r="D112" s="21"/>
      <c r="E112" s="23"/>
      <c r="F112" s="23"/>
      <c r="G112" s="23">
        <f>PinjamanTable[[#This Row],[Pokok (Rp) *]]+PinjamanTable[[#This Row],[Admin (Rp)]]</f>
        <v>0</v>
      </c>
      <c r="H112" s="24"/>
      <c r="I112" s="22"/>
      <c r="J112" s="21"/>
      <c r="K112" s="21"/>
    </row>
    <row r="113" spans="1:11" ht="21" customHeight="1">
      <c r="A113" s="21"/>
      <c r="B113" s="21"/>
      <c r="C113" s="20" t="str">
        <f>IF(B113="","",IF(COUNTIF('01_Anggota'!$D$5:$D$1212,B113)=0,"NAMA TIDAK DITEMUKAN",INDEX('01_Anggota'!$B$5:$B$1212,MATCH(B113,'01_Anggota'!$D$5:$D$1212,0))))</f>
        <v/>
      </c>
      <c r="D113" s="21"/>
      <c r="E113" s="23"/>
      <c r="F113" s="23"/>
      <c r="G113" s="23">
        <f>PinjamanTable[[#This Row],[Pokok (Rp) *]]+PinjamanTable[[#This Row],[Admin (Rp)]]</f>
        <v>0</v>
      </c>
      <c r="H113" s="24"/>
      <c r="I113" s="22"/>
      <c r="J113" s="21"/>
      <c r="K113" s="21"/>
    </row>
    <row r="114" spans="1:11" ht="21" customHeight="1">
      <c r="A114" s="21"/>
      <c r="B114" s="21"/>
      <c r="C114" s="20" t="str">
        <f>IF(B114="","",IF(COUNTIF('01_Anggota'!$D$5:$D$1212,B114)=0,"NAMA TIDAK DITEMUKAN",INDEX('01_Anggota'!$B$5:$B$1212,MATCH(B114,'01_Anggota'!$D$5:$D$1212,0))))</f>
        <v/>
      </c>
      <c r="D114" s="21"/>
      <c r="E114" s="23"/>
      <c r="F114" s="23"/>
      <c r="G114" s="23">
        <f>PinjamanTable[[#This Row],[Pokok (Rp) *]]+PinjamanTable[[#This Row],[Admin (Rp)]]</f>
        <v>0</v>
      </c>
      <c r="H114" s="24"/>
      <c r="I114" s="22"/>
      <c r="J114" s="21"/>
      <c r="K114" s="21"/>
    </row>
    <row r="115" spans="1:11" ht="21" customHeight="1">
      <c r="A115" s="21"/>
      <c r="B115" s="21"/>
      <c r="C115" s="20" t="str">
        <f>IF(B115="","",IF(COUNTIF('01_Anggota'!$D$5:$D$1212,B115)=0,"NAMA TIDAK DITEMUKAN",INDEX('01_Anggota'!$B$5:$B$1212,MATCH(B115,'01_Anggota'!$D$5:$D$1212,0))))</f>
        <v/>
      </c>
      <c r="D115" s="21"/>
      <c r="E115" s="23"/>
      <c r="F115" s="23"/>
      <c r="G115" s="23">
        <f>PinjamanTable[[#This Row],[Pokok (Rp) *]]+PinjamanTable[[#This Row],[Admin (Rp)]]</f>
        <v>0</v>
      </c>
      <c r="H115" s="24"/>
      <c r="I115" s="22"/>
      <c r="J115" s="21"/>
      <c r="K115" s="21"/>
    </row>
    <row r="116" spans="1:11" ht="21" customHeight="1">
      <c r="A116" s="21"/>
      <c r="B116" s="21"/>
      <c r="C116" s="20" t="str">
        <f>IF(B116="","",IF(COUNTIF('01_Anggota'!$D$5:$D$1212,B116)=0,"NAMA TIDAK DITEMUKAN",INDEX('01_Anggota'!$B$5:$B$1212,MATCH(B116,'01_Anggota'!$D$5:$D$1212,0))))</f>
        <v/>
      </c>
      <c r="D116" s="21"/>
      <c r="E116" s="23"/>
      <c r="F116" s="23"/>
      <c r="G116" s="23">
        <f>PinjamanTable[[#This Row],[Pokok (Rp) *]]+PinjamanTable[[#This Row],[Admin (Rp)]]</f>
        <v>0</v>
      </c>
      <c r="H116" s="24"/>
      <c r="I116" s="22"/>
      <c r="J116" s="21"/>
      <c r="K116" s="21"/>
    </row>
    <row r="117" spans="1:11" ht="21" customHeight="1">
      <c r="A117" s="21"/>
      <c r="B117" s="21"/>
      <c r="C117" s="20" t="str">
        <f>IF(B117="","",IF(COUNTIF('01_Anggota'!$D$5:$D$1212,B117)=0,"NAMA TIDAK DITEMUKAN",INDEX('01_Anggota'!$B$5:$B$1212,MATCH(B117,'01_Anggota'!$D$5:$D$1212,0))))</f>
        <v/>
      </c>
      <c r="D117" s="21"/>
      <c r="E117" s="23"/>
      <c r="F117" s="23"/>
      <c r="G117" s="23">
        <f>PinjamanTable[[#This Row],[Pokok (Rp) *]]+PinjamanTable[[#This Row],[Admin (Rp)]]</f>
        <v>0</v>
      </c>
      <c r="H117" s="24"/>
      <c r="I117" s="22"/>
      <c r="J117" s="21"/>
      <c r="K117" s="21"/>
    </row>
    <row r="118" spans="1:11" ht="21" customHeight="1">
      <c r="A118" s="21"/>
      <c r="B118" s="21"/>
      <c r="C118" s="20" t="str">
        <f>IF(B118="","",IF(COUNTIF('01_Anggota'!$D$5:$D$1212,B118)=0,"NAMA TIDAK DITEMUKAN",INDEX('01_Anggota'!$B$5:$B$1212,MATCH(B118,'01_Anggota'!$D$5:$D$1212,0))))</f>
        <v/>
      </c>
      <c r="D118" s="21"/>
      <c r="E118" s="23"/>
      <c r="F118" s="23"/>
      <c r="G118" s="23">
        <f>PinjamanTable[[#This Row],[Pokok (Rp) *]]+PinjamanTable[[#This Row],[Admin (Rp)]]</f>
        <v>0</v>
      </c>
      <c r="H118" s="24"/>
      <c r="I118" s="22"/>
      <c r="J118" s="21"/>
      <c r="K118" s="21"/>
    </row>
    <row r="119" spans="1:11" ht="21" customHeight="1">
      <c r="A119" s="21"/>
      <c r="B119" s="21"/>
      <c r="C119" s="20" t="str">
        <f>IF(B119="","",IF(COUNTIF('01_Anggota'!$D$5:$D$1212,B119)=0,"NAMA TIDAK DITEMUKAN",INDEX('01_Anggota'!$B$5:$B$1212,MATCH(B119,'01_Anggota'!$D$5:$D$1212,0))))</f>
        <v/>
      </c>
      <c r="D119" s="21"/>
      <c r="E119" s="23"/>
      <c r="F119" s="23"/>
      <c r="G119" s="23">
        <f>PinjamanTable[[#This Row],[Pokok (Rp) *]]+PinjamanTable[[#This Row],[Admin (Rp)]]</f>
        <v>0</v>
      </c>
      <c r="H119" s="24"/>
      <c r="I119" s="22"/>
      <c r="J119" s="21"/>
      <c r="K119" s="21"/>
    </row>
    <row r="120" spans="1:11" ht="21" customHeight="1">
      <c r="A120" s="21"/>
      <c r="B120" s="21"/>
      <c r="C120" s="20" t="str">
        <f>IF(B120="","",IF(COUNTIF('01_Anggota'!$D$5:$D$1212,B120)=0,"NAMA TIDAK DITEMUKAN",INDEX('01_Anggota'!$B$5:$B$1212,MATCH(B120,'01_Anggota'!$D$5:$D$1212,0))))</f>
        <v/>
      </c>
      <c r="D120" s="21"/>
      <c r="E120" s="23"/>
      <c r="F120" s="23"/>
      <c r="G120" s="23">
        <f>PinjamanTable[[#This Row],[Pokok (Rp) *]]+PinjamanTable[[#This Row],[Admin (Rp)]]</f>
        <v>0</v>
      </c>
      <c r="H120" s="24"/>
      <c r="I120" s="22"/>
      <c r="J120" s="21"/>
      <c r="K120" s="21"/>
    </row>
    <row r="121" spans="1:11" ht="21" customHeight="1">
      <c r="A121" s="21"/>
      <c r="B121" s="21"/>
      <c r="C121" s="20" t="str">
        <f>IF(B121="","",IF(COUNTIF('01_Anggota'!$D$5:$D$1212,B121)=0,"NAMA TIDAK DITEMUKAN",INDEX('01_Anggota'!$B$5:$B$1212,MATCH(B121,'01_Anggota'!$D$5:$D$1212,0))))</f>
        <v/>
      </c>
      <c r="D121" s="21"/>
      <c r="E121" s="23"/>
      <c r="F121" s="23"/>
      <c r="G121" s="23">
        <f>PinjamanTable[[#This Row],[Pokok (Rp) *]]+PinjamanTable[[#This Row],[Admin (Rp)]]</f>
        <v>0</v>
      </c>
      <c r="H121" s="24"/>
      <c r="I121" s="22"/>
      <c r="J121" s="21"/>
      <c r="K121" s="21"/>
    </row>
    <row r="122" spans="1:11" ht="21" customHeight="1">
      <c r="A122" s="21"/>
      <c r="B122" s="21"/>
      <c r="C122" s="20" t="str">
        <f>IF(B122="","",IF(COUNTIF('01_Anggota'!$D$5:$D$1212,B122)=0,"NAMA TIDAK DITEMUKAN",INDEX('01_Anggota'!$B$5:$B$1212,MATCH(B122,'01_Anggota'!$D$5:$D$1212,0))))</f>
        <v/>
      </c>
      <c r="D122" s="21"/>
      <c r="E122" s="23"/>
      <c r="F122" s="23"/>
      <c r="G122" s="23">
        <f>PinjamanTable[[#This Row],[Pokok (Rp) *]]+PinjamanTable[[#This Row],[Admin (Rp)]]</f>
        <v>0</v>
      </c>
      <c r="H122" s="24"/>
      <c r="I122" s="22"/>
      <c r="J122" s="21"/>
      <c r="K122" s="21"/>
    </row>
    <row r="123" spans="1:11" ht="21" customHeight="1">
      <c r="A123" s="21"/>
      <c r="B123" s="21"/>
      <c r="C123" s="20" t="str">
        <f>IF(B123="","",IF(COUNTIF('01_Anggota'!$D$5:$D$1212,B123)=0,"NAMA TIDAK DITEMUKAN",INDEX('01_Anggota'!$B$5:$B$1212,MATCH(B123,'01_Anggota'!$D$5:$D$1212,0))))</f>
        <v/>
      </c>
      <c r="D123" s="21"/>
      <c r="E123" s="23"/>
      <c r="F123" s="23"/>
      <c r="G123" s="23">
        <f>PinjamanTable[[#This Row],[Pokok (Rp) *]]+PinjamanTable[[#This Row],[Admin (Rp)]]</f>
        <v>0</v>
      </c>
      <c r="H123" s="24"/>
      <c r="I123" s="22"/>
      <c r="J123" s="21"/>
      <c r="K123" s="21"/>
    </row>
    <row r="124" spans="1:11" ht="21" customHeight="1">
      <c r="A124" s="21"/>
      <c r="B124" s="21"/>
      <c r="C124" s="20" t="str">
        <f>IF(B124="","",IF(COUNTIF('01_Anggota'!$D$5:$D$1212,B124)=0,"NAMA TIDAK DITEMUKAN",INDEX('01_Anggota'!$B$5:$B$1212,MATCH(B124,'01_Anggota'!$D$5:$D$1212,0))))</f>
        <v/>
      </c>
      <c r="D124" s="21"/>
      <c r="E124" s="23"/>
      <c r="F124" s="23"/>
      <c r="G124" s="23">
        <f>PinjamanTable[[#This Row],[Pokok (Rp) *]]+PinjamanTable[[#This Row],[Admin (Rp)]]</f>
        <v>0</v>
      </c>
      <c r="H124" s="24"/>
      <c r="I124" s="22"/>
      <c r="J124" s="21"/>
      <c r="K124" s="21"/>
    </row>
    <row r="125" spans="1:11" ht="21" customHeight="1">
      <c r="A125" s="21"/>
      <c r="B125" s="21"/>
      <c r="C125" s="20" t="str">
        <f>IF(B125="","",IF(COUNTIF('01_Anggota'!$D$5:$D$1212,B125)=0,"NAMA TIDAK DITEMUKAN",INDEX('01_Anggota'!$B$5:$B$1212,MATCH(B125,'01_Anggota'!$D$5:$D$1212,0))))</f>
        <v/>
      </c>
      <c r="D125" s="21"/>
      <c r="E125" s="23"/>
      <c r="F125" s="23"/>
      <c r="G125" s="23">
        <f>PinjamanTable[[#This Row],[Pokok (Rp) *]]+PinjamanTable[[#This Row],[Admin (Rp)]]</f>
        <v>0</v>
      </c>
      <c r="H125" s="24"/>
      <c r="I125" s="22"/>
      <c r="J125" s="21"/>
      <c r="K125" s="21"/>
    </row>
    <row r="126" spans="1:11" ht="21" customHeight="1">
      <c r="A126" s="21"/>
      <c r="B126" s="21"/>
      <c r="C126" s="20" t="str">
        <f>IF(B126="","",IF(COUNTIF('01_Anggota'!$D$5:$D$1212,B126)=0,"NAMA TIDAK DITEMUKAN",INDEX('01_Anggota'!$B$5:$B$1212,MATCH(B126,'01_Anggota'!$D$5:$D$1212,0))))</f>
        <v/>
      </c>
      <c r="D126" s="21"/>
      <c r="E126" s="23"/>
      <c r="F126" s="23"/>
      <c r="G126" s="23">
        <f>PinjamanTable[[#This Row],[Pokok (Rp) *]]+PinjamanTable[[#This Row],[Admin (Rp)]]</f>
        <v>0</v>
      </c>
      <c r="H126" s="24"/>
      <c r="I126" s="22"/>
      <c r="J126" s="21"/>
      <c r="K126" s="21"/>
    </row>
    <row r="127" spans="1:11" ht="21" customHeight="1">
      <c r="A127" s="21"/>
      <c r="B127" s="21"/>
      <c r="C127" s="20" t="str">
        <f>IF(B127="","",IF(COUNTIF('01_Anggota'!$D$5:$D$1212,B127)=0,"NAMA TIDAK DITEMUKAN",INDEX('01_Anggota'!$B$5:$B$1212,MATCH(B127,'01_Anggota'!$D$5:$D$1212,0))))</f>
        <v/>
      </c>
      <c r="D127" s="21"/>
      <c r="E127" s="23"/>
      <c r="F127" s="23"/>
      <c r="G127" s="23">
        <f>PinjamanTable[[#This Row],[Pokok (Rp) *]]+PinjamanTable[[#This Row],[Admin (Rp)]]</f>
        <v>0</v>
      </c>
      <c r="H127" s="24"/>
      <c r="I127" s="22"/>
      <c r="J127" s="21"/>
      <c r="K127" s="21"/>
    </row>
    <row r="128" spans="1:11" ht="21" customHeight="1">
      <c r="A128" s="21"/>
      <c r="B128" s="21"/>
      <c r="C128" s="20" t="str">
        <f>IF(B128="","",IF(COUNTIF('01_Anggota'!$D$5:$D$1212,B128)=0,"NAMA TIDAK DITEMUKAN",INDEX('01_Anggota'!$B$5:$B$1212,MATCH(B128,'01_Anggota'!$D$5:$D$1212,0))))</f>
        <v/>
      </c>
      <c r="D128" s="21"/>
      <c r="E128" s="23"/>
      <c r="F128" s="23"/>
      <c r="G128" s="23">
        <f>PinjamanTable[[#This Row],[Pokok (Rp) *]]+PinjamanTable[[#This Row],[Admin (Rp)]]</f>
        <v>0</v>
      </c>
      <c r="H128" s="24"/>
      <c r="I128" s="22"/>
      <c r="J128" s="21"/>
      <c r="K128" s="21"/>
    </row>
    <row r="129" spans="1:11" ht="21" customHeight="1">
      <c r="A129" s="21"/>
      <c r="B129" s="21"/>
      <c r="C129" s="20" t="str">
        <f>IF(B129="","",IF(COUNTIF('01_Anggota'!$D$5:$D$1212,B129)=0,"NAMA TIDAK DITEMUKAN",INDEX('01_Anggota'!$B$5:$B$1212,MATCH(B129,'01_Anggota'!$D$5:$D$1212,0))))</f>
        <v/>
      </c>
      <c r="D129" s="21"/>
      <c r="E129" s="23"/>
      <c r="F129" s="23"/>
      <c r="G129" s="23">
        <f>PinjamanTable[[#This Row],[Pokok (Rp) *]]+PinjamanTable[[#This Row],[Admin (Rp)]]</f>
        <v>0</v>
      </c>
      <c r="H129" s="24"/>
      <c r="I129" s="22"/>
      <c r="J129" s="21"/>
      <c r="K129" s="21"/>
    </row>
    <row r="130" spans="1:11" ht="21" customHeight="1">
      <c r="A130" s="21"/>
      <c r="B130" s="21"/>
      <c r="C130" s="20" t="str">
        <f>IF(B130="","",IF(COUNTIF('01_Anggota'!$D$5:$D$1212,B130)=0,"NAMA TIDAK DITEMUKAN",INDEX('01_Anggota'!$B$5:$B$1212,MATCH(B130,'01_Anggota'!$D$5:$D$1212,0))))</f>
        <v/>
      </c>
      <c r="D130" s="21"/>
      <c r="E130" s="23"/>
      <c r="F130" s="23"/>
      <c r="G130" s="23">
        <f>PinjamanTable[[#This Row],[Pokok (Rp) *]]+PinjamanTable[[#This Row],[Admin (Rp)]]</f>
        <v>0</v>
      </c>
      <c r="H130" s="24"/>
      <c r="I130" s="22"/>
      <c r="J130" s="21"/>
      <c r="K130" s="21"/>
    </row>
    <row r="131" spans="1:11" ht="21" customHeight="1">
      <c r="A131" s="21"/>
      <c r="B131" s="21"/>
      <c r="C131" s="20" t="str">
        <f>IF(B131="","",IF(COUNTIF('01_Anggota'!$D$5:$D$1212,B131)=0,"NAMA TIDAK DITEMUKAN",INDEX('01_Anggota'!$B$5:$B$1212,MATCH(B131,'01_Anggota'!$D$5:$D$1212,0))))</f>
        <v/>
      </c>
      <c r="D131" s="21"/>
      <c r="E131" s="23"/>
      <c r="F131" s="23"/>
      <c r="G131" s="23">
        <f>PinjamanTable[[#This Row],[Pokok (Rp) *]]+PinjamanTable[[#This Row],[Admin (Rp)]]</f>
        <v>0</v>
      </c>
      <c r="H131" s="24"/>
      <c r="I131" s="22"/>
      <c r="J131" s="21"/>
      <c r="K131" s="21"/>
    </row>
    <row r="132" spans="1:11" ht="21" customHeight="1">
      <c r="A132" s="21"/>
      <c r="B132" s="21"/>
      <c r="C132" s="20" t="str">
        <f>IF(B132="","",IF(COUNTIF('01_Anggota'!$D$5:$D$1212,B132)=0,"NAMA TIDAK DITEMUKAN",INDEX('01_Anggota'!$B$5:$B$1212,MATCH(B132,'01_Anggota'!$D$5:$D$1212,0))))</f>
        <v/>
      </c>
      <c r="D132" s="21"/>
      <c r="E132" s="23"/>
      <c r="F132" s="23"/>
      <c r="G132" s="23">
        <f>PinjamanTable[[#This Row],[Pokok (Rp) *]]+PinjamanTable[[#This Row],[Admin (Rp)]]</f>
        <v>0</v>
      </c>
      <c r="H132" s="24"/>
      <c r="I132" s="22"/>
      <c r="J132" s="21"/>
      <c r="K132" s="21"/>
    </row>
    <row r="133" spans="1:11" ht="21" customHeight="1">
      <c r="A133" s="21"/>
      <c r="B133" s="21"/>
      <c r="C133" s="20" t="str">
        <f>IF(B133="","",IF(COUNTIF('01_Anggota'!$D$5:$D$1212,B133)=0,"NAMA TIDAK DITEMUKAN",INDEX('01_Anggota'!$B$5:$B$1212,MATCH(B133,'01_Anggota'!$D$5:$D$1212,0))))</f>
        <v/>
      </c>
      <c r="D133" s="21"/>
      <c r="E133" s="23"/>
      <c r="F133" s="23"/>
      <c r="G133" s="23">
        <f>PinjamanTable[[#This Row],[Pokok (Rp) *]]+PinjamanTable[[#This Row],[Admin (Rp)]]</f>
        <v>0</v>
      </c>
      <c r="H133" s="24"/>
      <c r="I133" s="22"/>
      <c r="J133" s="21"/>
      <c r="K133" s="21"/>
    </row>
    <row r="134" spans="1:11" ht="21" customHeight="1">
      <c r="A134" s="21"/>
      <c r="B134" s="21"/>
      <c r="C134" s="20" t="str">
        <f>IF(B134="","",IF(COUNTIF('01_Anggota'!$D$5:$D$1212,B134)=0,"NAMA TIDAK DITEMUKAN",INDEX('01_Anggota'!$B$5:$B$1212,MATCH(B134,'01_Anggota'!$D$5:$D$1212,0))))</f>
        <v/>
      </c>
      <c r="D134" s="21"/>
      <c r="E134" s="23"/>
      <c r="F134" s="23"/>
      <c r="G134" s="23">
        <f>PinjamanTable[[#This Row],[Pokok (Rp) *]]+PinjamanTable[[#This Row],[Admin (Rp)]]</f>
        <v>0</v>
      </c>
      <c r="H134" s="24"/>
      <c r="I134" s="22"/>
      <c r="J134" s="21"/>
      <c r="K134" s="21"/>
    </row>
    <row r="135" spans="1:11" ht="21" customHeight="1">
      <c r="A135" s="21"/>
      <c r="B135" s="21"/>
      <c r="C135" s="20" t="str">
        <f>IF(B135="","",IF(COUNTIF('01_Anggota'!$D$5:$D$1212,B135)=0,"NAMA TIDAK DITEMUKAN",INDEX('01_Anggota'!$B$5:$B$1212,MATCH(B135,'01_Anggota'!$D$5:$D$1212,0))))</f>
        <v/>
      </c>
      <c r="D135" s="21"/>
      <c r="E135" s="23"/>
      <c r="F135" s="23"/>
      <c r="G135" s="23">
        <f>PinjamanTable[[#This Row],[Pokok (Rp) *]]+PinjamanTable[[#This Row],[Admin (Rp)]]</f>
        <v>0</v>
      </c>
      <c r="H135" s="24"/>
      <c r="I135" s="22"/>
      <c r="J135" s="21"/>
      <c r="K135" s="21"/>
    </row>
    <row r="136" spans="1:11" ht="21" customHeight="1">
      <c r="A136" s="21"/>
      <c r="B136" s="21"/>
      <c r="C136" s="20" t="str">
        <f>IF(B136="","",IF(COUNTIF('01_Anggota'!$D$5:$D$1212,B136)=0,"NAMA TIDAK DITEMUKAN",INDEX('01_Anggota'!$B$5:$B$1212,MATCH(B136,'01_Anggota'!$D$5:$D$1212,0))))</f>
        <v/>
      </c>
      <c r="D136" s="21"/>
      <c r="E136" s="23"/>
      <c r="F136" s="23"/>
      <c r="G136" s="23">
        <f>PinjamanTable[[#This Row],[Pokok (Rp) *]]+PinjamanTable[[#This Row],[Admin (Rp)]]</f>
        <v>0</v>
      </c>
      <c r="H136" s="24"/>
      <c r="I136" s="22"/>
      <c r="J136" s="21"/>
      <c r="K136" s="21"/>
    </row>
    <row r="137" spans="1:11" ht="21" customHeight="1">
      <c r="A137" s="21"/>
      <c r="B137" s="21"/>
      <c r="C137" s="20" t="str">
        <f>IF(B137="","",IF(COUNTIF('01_Anggota'!$D$5:$D$1212,B137)=0,"NAMA TIDAK DITEMUKAN",INDEX('01_Anggota'!$B$5:$B$1212,MATCH(B137,'01_Anggota'!$D$5:$D$1212,0))))</f>
        <v/>
      </c>
      <c r="D137" s="21"/>
      <c r="E137" s="23"/>
      <c r="F137" s="23"/>
      <c r="G137" s="23">
        <f>PinjamanTable[[#This Row],[Pokok (Rp) *]]+PinjamanTable[[#This Row],[Admin (Rp)]]</f>
        <v>0</v>
      </c>
      <c r="H137" s="24"/>
      <c r="I137" s="22"/>
      <c r="J137" s="21"/>
      <c r="K137" s="21"/>
    </row>
    <row r="138" spans="1:11" ht="21" customHeight="1">
      <c r="A138" s="21"/>
      <c r="B138" s="21"/>
      <c r="C138" s="20" t="str">
        <f>IF(B138="","",IF(COUNTIF('01_Anggota'!$D$5:$D$1212,B138)=0,"NAMA TIDAK DITEMUKAN",INDEX('01_Anggota'!$B$5:$B$1212,MATCH(B138,'01_Anggota'!$D$5:$D$1212,0))))</f>
        <v/>
      </c>
      <c r="D138" s="21"/>
      <c r="E138" s="23"/>
      <c r="F138" s="23"/>
      <c r="G138" s="23">
        <f>PinjamanTable[[#This Row],[Pokok (Rp) *]]+PinjamanTable[[#This Row],[Admin (Rp)]]</f>
        <v>0</v>
      </c>
      <c r="H138" s="24"/>
      <c r="I138" s="22"/>
      <c r="J138" s="21"/>
      <c r="K138" s="21"/>
    </row>
    <row r="139" spans="1:11" ht="21" customHeight="1">
      <c r="A139" s="21"/>
      <c r="B139" s="21"/>
      <c r="C139" s="20" t="str">
        <f>IF(B139="","",IF(COUNTIF('01_Anggota'!$D$5:$D$1212,B139)=0,"NAMA TIDAK DITEMUKAN",INDEX('01_Anggota'!$B$5:$B$1212,MATCH(B139,'01_Anggota'!$D$5:$D$1212,0))))</f>
        <v/>
      </c>
      <c r="D139" s="21"/>
      <c r="E139" s="23"/>
      <c r="F139" s="23"/>
      <c r="G139" s="23">
        <f>PinjamanTable[[#This Row],[Pokok (Rp) *]]+PinjamanTable[[#This Row],[Admin (Rp)]]</f>
        <v>0</v>
      </c>
      <c r="H139" s="24"/>
      <c r="I139" s="22"/>
      <c r="J139" s="21"/>
      <c r="K139" s="21"/>
    </row>
    <row r="140" spans="1:11" ht="21" customHeight="1">
      <c r="A140" s="21"/>
      <c r="B140" s="21"/>
      <c r="C140" s="20" t="str">
        <f>IF(B140="","",IF(COUNTIF('01_Anggota'!$D$5:$D$1212,B140)=0,"NAMA TIDAK DITEMUKAN",INDEX('01_Anggota'!$B$5:$B$1212,MATCH(B140,'01_Anggota'!$D$5:$D$1212,0))))</f>
        <v/>
      </c>
      <c r="D140" s="21"/>
      <c r="E140" s="23"/>
      <c r="F140" s="23"/>
      <c r="G140" s="23">
        <f>PinjamanTable[[#This Row],[Pokok (Rp) *]]+PinjamanTable[[#This Row],[Admin (Rp)]]</f>
        <v>0</v>
      </c>
      <c r="H140" s="24"/>
      <c r="I140" s="22"/>
      <c r="J140" s="21"/>
      <c r="K140" s="21"/>
    </row>
    <row r="141" spans="1:11" ht="21" customHeight="1">
      <c r="A141" s="21"/>
      <c r="B141" s="21"/>
      <c r="C141" s="20" t="str">
        <f>IF(B141="","",IF(COUNTIF('01_Anggota'!$D$5:$D$1212,B141)=0,"NAMA TIDAK DITEMUKAN",INDEX('01_Anggota'!$B$5:$B$1212,MATCH(B141,'01_Anggota'!$D$5:$D$1212,0))))</f>
        <v/>
      </c>
      <c r="D141" s="21"/>
      <c r="E141" s="23"/>
      <c r="F141" s="23"/>
      <c r="G141" s="23">
        <f>PinjamanTable[[#This Row],[Pokok (Rp) *]]+PinjamanTable[[#This Row],[Admin (Rp)]]</f>
        <v>0</v>
      </c>
      <c r="H141" s="24"/>
      <c r="I141" s="22"/>
      <c r="J141" s="21"/>
      <c r="K141" s="21"/>
    </row>
    <row r="142" spans="1:11" ht="21" customHeight="1">
      <c r="A142" s="21"/>
      <c r="B142" s="21"/>
      <c r="C142" s="20" t="str">
        <f>IF(B142="","",IF(COUNTIF('01_Anggota'!$D$5:$D$1212,B142)=0,"NAMA TIDAK DITEMUKAN",INDEX('01_Anggota'!$B$5:$B$1212,MATCH(B142,'01_Anggota'!$D$5:$D$1212,0))))</f>
        <v/>
      </c>
      <c r="D142" s="21"/>
      <c r="E142" s="23"/>
      <c r="F142" s="23"/>
      <c r="G142" s="23">
        <f>PinjamanTable[[#This Row],[Pokok (Rp) *]]+PinjamanTable[[#This Row],[Admin (Rp)]]</f>
        <v>0</v>
      </c>
      <c r="H142" s="24"/>
      <c r="I142" s="22"/>
      <c r="J142" s="21"/>
      <c r="K142" s="21"/>
    </row>
    <row r="143" spans="1:11" ht="21" customHeight="1">
      <c r="A143" s="21"/>
      <c r="B143" s="21"/>
      <c r="C143" s="20" t="str">
        <f>IF(B143="","",IF(COUNTIF('01_Anggota'!$D$5:$D$1212,B143)=0,"NAMA TIDAK DITEMUKAN",INDEX('01_Anggota'!$B$5:$B$1212,MATCH(B143,'01_Anggota'!$D$5:$D$1212,0))))</f>
        <v/>
      </c>
      <c r="D143" s="21"/>
      <c r="E143" s="23"/>
      <c r="F143" s="23"/>
      <c r="G143" s="23">
        <f>PinjamanTable[[#This Row],[Pokok (Rp) *]]+PinjamanTable[[#This Row],[Admin (Rp)]]</f>
        <v>0</v>
      </c>
      <c r="H143" s="24"/>
      <c r="I143" s="22"/>
      <c r="J143" s="21"/>
      <c r="K143" s="21"/>
    </row>
    <row r="144" spans="1:11" ht="21" customHeight="1">
      <c r="A144" s="21"/>
      <c r="B144" s="21"/>
      <c r="C144" s="20" t="str">
        <f>IF(B144="","",IF(COUNTIF('01_Anggota'!$D$5:$D$1212,B144)=0,"NAMA TIDAK DITEMUKAN",INDEX('01_Anggota'!$B$5:$B$1212,MATCH(B144,'01_Anggota'!$D$5:$D$1212,0))))</f>
        <v/>
      </c>
      <c r="D144" s="21"/>
      <c r="E144" s="23"/>
      <c r="F144" s="23"/>
      <c r="G144" s="23">
        <f>PinjamanTable[[#This Row],[Pokok (Rp) *]]+PinjamanTable[[#This Row],[Admin (Rp)]]</f>
        <v>0</v>
      </c>
      <c r="H144" s="24"/>
      <c r="I144" s="22"/>
      <c r="J144" s="21"/>
      <c r="K144" s="21"/>
    </row>
    <row r="145" spans="1:11" ht="21" customHeight="1">
      <c r="A145" s="21"/>
      <c r="B145" s="21"/>
      <c r="C145" s="20" t="str">
        <f>IF(B145="","",IF(COUNTIF('01_Anggota'!$D$5:$D$1212,B145)=0,"NAMA TIDAK DITEMUKAN",INDEX('01_Anggota'!$B$5:$B$1212,MATCH(B145,'01_Anggota'!$D$5:$D$1212,0))))</f>
        <v/>
      </c>
      <c r="D145" s="21"/>
      <c r="E145" s="23"/>
      <c r="F145" s="23"/>
      <c r="G145" s="23">
        <f>PinjamanTable[[#This Row],[Pokok (Rp) *]]+PinjamanTable[[#This Row],[Admin (Rp)]]</f>
        <v>0</v>
      </c>
      <c r="H145" s="24"/>
      <c r="I145" s="22"/>
      <c r="J145" s="21"/>
      <c r="K145" s="21"/>
    </row>
    <row r="146" spans="1:11" ht="21" customHeight="1">
      <c r="A146" s="21"/>
      <c r="B146" s="21"/>
      <c r="C146" s="20" t="str">
        <f>IF(B146="","",IF(COUNTIF('01_Anggota'!$D$5:$D$1212,B146)=0,"NAMA TIDAK DITEMUKAN",INDEX('01_Anggota'!$B$5:$B$1212,MATCH(B146,'01_Anggota'!$D$5:$D$1212,0))))</f>
        <v/>
      </c>
      <c r="D146" s="21"/>
      <c r="E146" s="23"/>
      <c r="F146" s="23"/>
      <c r="G146" s="23">
        <f>PinjamanTable[[#This Row],[Pokok (Rp) *]]+PinjamanTable[[#This Row],[Admin (Rp)]]</f>
        <v>0</v>
      </c>
      <c r="H146" s="24"/>
      <c r="I146" s="22"/>
      <c r="J146" s="21"/>
      <c r="K146" s="21"/>
    </row>
    <row r="147" spans="1:11" ht="21" customHeight="1">
      <c r="A147" s="21"/>
      <c r="B147" s="21"/>
      <c r="C147" s="20" t="str">
        <f>IF(B147="","",IF(COUNTIF('01_Anggota'!$D$5:$D$1212,B147)=0,"NAMA TIDAK DITEMUKAN",INDEX('01_Anggota'!$B$5:$B$1212,MATCH(B147,'01_Anggota'!$D$5:$D$1212,0))))</f>
        <v/>
      </c>
      <c r="D147" s="21"/>
      <c r="E147" s="23"/>
      <c r="F147" s="23"/>
      <c r="G147" s="23">
        <f>PinjamanTable[[#This Row],[Pokok (Rp) *]]+PinjamanTable[[#This Row],[Admin (Rp)]]</f>
        <v>0</v>
      </c>
      <c r="H147" s="24"/>
      <c r="I147" s="22"/>
      <c r="J147" s="21"/>
      <c r="K147" s="21"/>
    </row>
    <row r="148" spans="1:11" ht="21" customHeight="1">
      <c r="A148" s="21"/>
      <c r="B148" s="21"/>
      <c r="C148" s="20" t="str">
        <f>IF(B148="","",IF(COUNTIF('01_Anggota'!$D$5:$D$1212,B148)=0,"NAMA TIDAK DITEMUKAN",INDEX('01_Anggota'!$B$5:$B$1212,MATCH(B148,'01_Anggota'!$D$5:$D$1212,0))))</f>
        <v/>
      </c>
      <c r="D148" s="21"/>
      <c r="E148" s="23"/>
      <c r="F148" s="23"/>
      <c r="G148" s="23">
        <f>PinjamanTable[[#This Row],[Pokok (Rp) *]]+PinjamanTable[[#This Row],[Admin (Rp)]]</f>
        <v>0</v>
      </c>
      <c r="H148" s="24"/>
      <c r="I148" s="22"/>
      <c r="J148" s="21"/>
      <c r="K148" s="21"/>
    </row>
    <row r="149" spans="1:11" ht="21" customHeight="1">
      <c r="A149" s="21"/>
      <c r="B149" s="21"/>
      <c r="C149" s="20" t="str">
        <f>IF(B149="","",IF(COUNTIF('01_Anggota'!$D$5:$D$1212,B149)=0,"NAMA TIDAK DITEMUKAN",INDEX('01_Anggota'!$B$5:$B$1212,MATCH(B149,'01_Anggota'!$D$5:$D$1212,0))))</f>
        <v/>
      </c>
      <c r="D149" s="21"/>
      <c r="E149" s="23"/>
      <c r="F149" s="23"/>
      <c r="G149" s="23">
        <f>PinjamanTable[[#This Row],[Pokok (Rp) *]]+PinjamanTable[[#This Row],[Admin (Rp)]]</f>
        <v>0</v>
      </c>
      <c r="H149" s="24"/>
      <c r="I149" s="22"/>
      <c r="J149" s="21"/>
      <c r="K149" s="21"/>
    </row>
    <row r="150" spans="1:11" ht="21" customHeight="1">
      <c r="A150" s="21"/>
      <c r="B150" s="21"/>
      <c r="C150" s="20" t="str">
        <f>IF(B150="","",IF(COUNTIF('01_Anggota'!$D$5:$D$1212,B150)=0,"NAMA TIDAK DITEMUKAN",INDEX('01_Anggota'!$B$5:$B$1212,MATCH(B150,'01_Anggota'!$D$5:$D$1212,0))))</f>
        <v/>
      </c>
      <c r="D150" s="21"/>
      <c r="E150" s="23"/>
      <c r="F150" s="23"/>
      <c r="G150" s="23">
        <f>PinjamanTable[[#This Row],[Pokok (Rp) *]]+PinjamanTable[[#This Row],[Admin (Rp)]]</f>
        <v>0</v>
      </c>
      <c r="H150" s="24"/>
      <c r="I150" s="22"/>
      <c r="J150" s="21"/>
      <c r="K150" s="21"/>
    </row>
    <row r="151" spans="1:11" ht="21" customHeight="1">
      <c r="A151" s="21"/>
      <c r="B151" s="21"/>
      <c r="C151" s="20" t="str">
        <f>IF(B151="","",IF(COUNTIF('01_Anggota'!$D$5:$D$1212,B151)=0,"NAMA TIDAK DITEMUKAN",INDEX('01_Anggota'!$B$5:$B$1212,MATCH(B151,'01_Anggota'!$D$5:$D$1212,0))))</f>
        <v/>
      </c>
      <c r="D151" s="21"/>
      <c r="E151" s="23"/>
      <c r="F151" s="23"/>
      <c r="G151" s="23">
        <f>PinjamanTable[[#This Row],[Pokok (Rp) *]]+PinjamanTable[[#This Row],[Admin (Rp)]]</f>
        <v>0</v>
      </c>
      <c r="H151" s="24"/>
      <c r="I151" s="22"/>
      <c r="J151" s="21"/>
      <c r="K151" s="21"/>
    </row>
    <row r="152" spans="1:11" ht="21" customHeight="1">
      <c r="A152" s="21"/>
      <c r="B152" s="21"/>
      <c r="C152" s="20" t="str">
        <f>IF(B152="","",IF(COUNTIF('01_Anggota'!$D$5:$D$1212,B152)=0,"NAMA TIDAK DITEMUKAN",INDEX('01_Anggota'!$B$5:$B$1212,MATCH(B152,'01_Anggota'!$D$5:$D$1212,0))))</f>
        <v/>
      </c>
      <c r="D152" s="21"/>
      <c r="E152" s="23"/>
      <c r="F152" s="23"/>
      <c r="G152" s="23">
        <f>PinjamanTable[[#This Row],[Pokok (Rp) *]]+PinjamanTable[[#This Row],[Admin (Rp)]]</f>
        <v>0</v>
      </c>
      <c r="H152" s="24"/>
      <c r="I152" s="22"/>
      <c r="J152" s="21"/>
      <c r="K152" s="21"/>
    </row>
    <row r="153" spans="1:11" ht="21" customHeight="1">
      <c r="A153" s="21"/>
      <c r="B153" s="21"/>
      <c r="C153" s="20" t="str">
        <f>IF(B153="","",IF(COUNTIF('01_Anggota'!$D$5:$D$1212,B153)=0,"NAMA TIDAK DITEMUKAN",INDEX('01_Anggota'!$B$5:$B$1212,MATCH(B153,'01_Anggota'!$D$5:$D$1212,0))))</f>
        <v/>
      </c>
      <c r="D153" s="21"/>
      <c r="E153" s="23"/>
      <c r="F153" s="23"/>
      <c r="G153" s="23">
        <f>PinjamanTable[[#This Row],[Pokok (Rp) *]]+PinjamanTable[[#This Row],[Admin (Rp)]]</f>
        <v>0</v>
      </c>
      <c r="H153" s="24"/>
      <c r="I153" s="22"/>
      <c r="J153" s="21"/>
      <c r="K153" s="21"/>
    </row>
    <row r="154" spans="1:11" ht="21" customHeight="1">
      <c r="A154" s="21"/>
      <c r="B154" s="21"/>
      <c r="C154" s="20" t="str">
        <f>IF(B154="","",IF(COUNTIF('01_Anggota'!$D$5:$D$1212,B154)=0,"NAMA TIDAK DITEMUKAN",INDEX('01_Anggota'!$B$5:$B$1212,MATCH(B154,'01_Anggota'!$D$5:$D$1212,0))))</f>
        <v/>
      </c>
      <c r="D154" s="21"/>
      <c r="E154" s="23"/>
      <c r="F154" s="23"/>
      <c r="G154" s="23">
        <f>PinjamanTable[[#This Row],[Pokok (Rp) *]]+PinjamanTable[[#This Row],[Admin (Rp)]]</f>
        <v>0</v>
      </c>
      <c r="H154" s="24"/>
      <c r="I154" s="22"/>
      <c r="J154" s="21"/>
      <c r="K154" s="21"/>
    </row>
    <row r="155" spans="1:11" ht="21" customHeight="1">
      <c r="A155" s="21"/>
      <c r="B155" s="21"/>
      <c r="C155" s="20" t="str">
        <f>IF(B155="","",IF(COUNTIF('01_Anggota'!$D$5:$D$1212,B155)=0,"NAMA TIDAK DITEMUKAN",INDEX('01_Anggota'!$B$5:$B$1212,MATCH(B155,'01_Anggota'!$D$5:$D$1212,0))))</f>
        <v/>
      </c>
      <c r="D155" s="21"/>
      <c r="E155" s="23"/>
      <c r="F155" s="23"/>
      <c r="G155" s="23">
        <f>PinjamanTable[[#This Row],[Pokok (Rp) *]]+PinjamanTable[[#This Row],[Admin (Rp)]]</f>
        <v>0</v>
      </c>
      <c r="H155" s="24"/>
      <c r="I155" s="22"/>
      <c r="J155" s="21"/>
      <c r="K155" s="21"/>
    </row>
    <row r="156" spans="1:11" ht="21" customHeight="1">
      <c r="A156" s="21"/>
      <c r="B156" s="21"/>
      <c r="C156" s="20" t="str">
        <f>IF(B156="","",IF(COUNTIF('01_Anggota'!$D$5:$D$1212,B156)=0,"NAMA TIDAK DITEMUKAN",INDEX('01_Anggota'!$B$5:$B$1212,MATCH(B156,'01_Anggota'!$D$5:$D$1212,0))))</f>
        <v/>
      </c>
      <c r="D156" s="21"/>
      <c r="E156" s="23"/>
      <c r="F156" s="23"/>
      <c r="G156" s="23">
        <f>PinjamanTable[[#This Row],[Pokok (Rp) *]]+PinjamanTable[[#This Row],[Admin (Rp)]]</f>
        <v>0</v>
      </c>
      <c r="H156" s="24"/>
      <c r="I156" s="22"/>
      <c r="J156" s="21"/>
      <c r="K156" s="21"/>
    </row>
    <row r="157" spans="1:11" ht="21" customHeight="1">
      <c r="A157" s="21"/>
      <c r="B157" s="21"/>
      <c r="C157" s="20" t="str">
        <f>IF(B157="","",IF(COUNTIF('01_Anggota'!$D$5:$D$1212,B157)=0,"NAMA TIDAK DITEMUKAN",INDEX('01_Anggota'!$B$5:$B$1212,MATCH(B157,'01_Anggota'!$D$5:$D$1212,0))))</f>
        <v/>
      </c>
      <c r="D157" s="21"/>
      <c r="E157" s="23"/>
      <c r="F157" s="23"/>
      <c r="G157" s="23">
        <f>PinjamanTable[[#This Row],[Pokok (Rp) *]]+PinjamanTable[[#This Row],[Admin (Rp)]]</f>
        <v>0</v>
      </c>
      <c r="H157" s="24"/>
      <c r="I157" s="22"/>
      <c r="J157" s="21"/>
      <c r="K157" s="21"/>
    </row>
    <row r="158" spans="1:11" ht="21" customHeight="1">
      <c r="A158" s="21"/>
      <c r="B158" s="21"/>
      <c r="C158" s="20" t="str">
        <f>IF(B158="","",IF(COUNTIF('01_Anggota'!$D$5:$D$1212,B158)=0,"NAMA TIDAK DITEMUKAN",INDEX('01_Anggota'!$B$5:$B$1212,MATCH(B158,'01_Anggota'!$D$5:$D$1212,0))))</f>
        <v/>
      </c>
      <c r="D158" s="21"/>
      <c r="E158" s="23"/>
      <c r="F158" s="23"/>
      <c r="G158" s="23">
        <f>PinjamanTable[[#This Row],[Pokok (Rp) *]]+PinjamanTable[[#This Row],[Admin (Rp)]]</f>
        <v>0</v>
      </c>
      <c r="H158" s="24"/>
      <c r="I158" s="22"/>
      <c r="J158" s="21"/>
      <c r="K158" s="21"/>
    </row>
    <row r="159" spans="1:11" ht="21" customHeight="1">
      <c r="A159" s="21"/>
      <c r="B159" s="21"/>
      <c r="C159" s="20" t="str">
        <f>IF(B159="","",IF(COUNTIF('01_Anggota'!$D$5:$D$1212,B159)=0,"NAMA TIDAK DITEMUKAN",INDEX('01_Anggota'!$B$5:$B$1212,MATCH(B159,'01_Anggota'!$D$5:$D$1212,0))))</f>
        <v/>
      </c>
      <c r="D159" s="21"/>
      <c r="E159" s="23"/>
      <c r="F159" s="23"/>
      <c r="G159" s="23">
        <f>PinjamanTable[[#This Row],[Pokok (Rp) *]]+PinjamanTable[[#This Row],[Admin (Rp)]]</f>
        <v>0</v>
      </c>
      <c r="H159" s="24"/>
      <c r="I159" s="22"/>
      <c r="J159" s="21"/>
      <c r="K159" s="21"/>
    </row>
    <row r="160" spans="1:11" ht="21" customHeight="1">
      <c r="A160" s="21"/>
      <c r="B160" s="21"/>
      <c r="C160" s="20" t="str">
        <f>IF(B160="","",IF(COUNTIF('01_Anggota'!$D$5:$D$1212,B160)=0,"NAMA TIDAK DITEMUKAN",INDEX('01_Anggota'!$B$5:$B$1212,MATCH(B160,'01_Anggota'!$D$5:$D$1212,0))))</f>
        <v/>
      </c>
      <c r="D160" s="21"/>
      <c r="E160" s="23"/>
      <c r="F160" s="23"/>
      <c r="G160" s="23">
        <f>PinjamanTable[[#This Row],[Pokok (Rp) *]]+PinjamanTable[[#This Row],[Admin (Rp)]]</f>
        <v>0</v>
      </c>
      <c r="H160" s="24"/>
      <c r="I160" s="22"/>
      <c r="J160" s="21"/>
      <c r="K160" s="21"/>
    </row>
    <row r="161" spans="1:11" ht="21" customHeight="1">
      <c r="A161" s="21"/>
      <c r="B161" s="21"/>
      <c r="C161" s="20" t="str">
        <f>IF(B161="","",IF(COUNTIF('01_Anggota'!$D$5:$D$1212,B161)=0,"NAMA TIDAK DITEMUKAN",INDEX('01_Anggota'!$B$5:$B$1212,MATCH(B161,'01_Anggota'!$D$5:$D$1212,0))))</f>
        <v/>
      </c>
      <c r="D161" s="21"/>
      <c r="E161" s="23"/>
      <c r="F161" s="23"/>
      <c r="G161" s="23">
        <f>PinjamanTable[[#This Row],[Pokok (Rp) *]]+PinjamanTable[[#This Row],[Admin (Rp)]]</f>
        <v>0</v>
      </c>
      <c r="H161" s="24"/>
      <c r="I161" s="22"/>
      <c r="J161" s="21"/>
      <c r="K161" s="21"/>
    </row>
    <row r="162" spans="1:11" ht="21" customHeight="1">
      <c r="A162" s="21"/>
      <c r="B162" s="21"/>
      <c r="C162" s="20" t="str">
        <f>IF(B162="","",IF(COUNTIF('01_Anggota'!$D$5:$D$1212,B162)=0,"NAMA TIDAK DITEMUKAN",INDEX('01_Anggota'!$B$5:$B$1212,MATCH(B162,'01_Anggota'!$D$5:$D$1212,0))))</f>
        <v/>
      </c>
      <c r="D162" s="21"/>
      <c r="E162" s="23"/>
      <c r="F162" s="23"/>
      <c r="G162" s="23">
        <f>PinjamanTable[[#This Row],[Pokok (Rp) *]]+PinjamanTable[[#This Row],[Admin (Rp)]]</f>
        <v>0</v>
      </c>
      <c r="H162" s="24"/>
      <c r="I162" s="22"/>
      <c r="J162" s="21"/>
      <c r="K162" s="21"/>
    </row>
    <row r="163" spans="1:11" ht="21" customHeight="1">
      <c r="A163" s="21"/>
      <c r="B163" s="21"/>
      <c r="C163" s="20" t="str">
        <f>IF(B163="","",IF(COUNTIF('01_Anggota'!$D$5:$D$1212,B163)=0,"NAMA TIDAK DITEMUKAN",INDEX('01_Anggota'!$B$5:$B$1212,MATCH(B163,'01_Anggota'!$D$5:$D$1212,0))))</f>
        <v/>
      </c>
      <c r="D163" s="21"/>
      <c r="E163" s="23"/>
      <c r="F163" s="23"/>
      <c r="G163" s="23">
        <f>PinjamanTable[[#This Row],[Pokok (Rp) *]]+PinjamanTable[[#This Row],[Admin (Rp)]]</f>
        <v>0</v>
      </c>
      <c r="H163" s="24"/>
      <c r="I163" s="22"/>
      <c r="J163" s="21"/>
      <c r="K163" s="21"/>
    </row>
    <row r="164" spans="1:11" ht="21" customHeight="1">
      <c r="A164" s="21"/>
      <c r="B164" s="21"/>
      <c r="C164" s="20" t="str">
        <f>IF(B164="","",IF(COUNTIF('01_Anggota'!$D$5:$D$1212,B164)=0,"NAMA TIDAK DITEMUKAN",INDEX('01_Anggota'!$B$5:$B$1212,MATCH(B164,'01_Anggota'!$D$5:$D$1212,0))))</f>
        <v/>
      </c>
      <c r="D164" s="21"/>
      <c r="E164" s="23"/>
      <c r="F164" s="23"/>
      <c r="G164" s="23">
        <f>PinjamanTable[[#This Row],[Pokok (Rp) *]]+PinjamanTable[[#This Row],[Admin (Rp)]]</f>
        <v>0</v>
      </c>
      <c r="H164" s="24"/>
      <c r="I164" s="22"/>
      <c r="J164" s="21"/>
      <c r="K164" s="21"/>
    </row>
    <row r="165" spans="1:11" ht="21" customHeight="1">
      <c r="A165" s="21"/>
      <c r="B165" s="21"/>
      <c r="C165" s="20" t="str">
        <f>IF(B165="","",IF(COUNTIF('01_Anggota'!$D$5:$D$1212,B165)=0,"NAMA TIDAK DITEMUKAN",INDEX('01_Anggota'!$B$5:$B$1212,MATCH(B165,'01_Anggota'!$D$5:$D$1212,0))))</f>
        <v/>
      </c>
      <c r="D165" s="21"/>
      <c r="E165" s="23"/>
      <c r="F165" s="23"/>
      <c r="G165" s="23">
        <f>PinjamanTable[[#This Row],[Pokok (Rp) *]]+PinjamanTable[[#This Row],[Admin (Rp)]]</f>
        <v>0</v>
      </c>
      <c r="H165" s="24"/>
      <c r="I165" s="22"/>
      <c r="J165" s="21"/>
      <c r="K165" s="21"/>
    </row>
    <row r="166" spans="1:11" ht="21" customHeight="1">
      <c r="A166" s="21"/>
      <c r="B166" s="21"/>
      <c r="C166" s="20" t="str">
        <f>IF(B166="","",IF(COUNTIF('01_Anggota'!$D$5:$D$1212,B166)=0,"NAMA TIDAK DITEMUKAN",INDEX('01_Anggota'!$B$5:$B$1212,MATCH(B166,'01_Anggota'!$D$5:$D$1212,0))))</f>
        <v/>
      </c>
      <c r="D166" s="21"/>
      <c r="E166" s="23"/>
      <c r="F166" s="23"/>
      <c r="G166" s="23">
        <f>PinjamanTable[[#This Row],[Pokok (Rp) *]]+PinjamanTable[[#This Row],[Admin (Rp)]]</f>
        <v>0</v>
      </c>
      <c r="H166" s="24"/>
      <c r="I166" s="22"/>
      <c r="J166" s="21"/>
      <c r="K166" s="21"/>
    </row>
    <row r="167" spans="1:11" ht="21" customHeight="1">
      <c r="A167" s="21"/>
      <c r="B167" s="21"/>
      <c r="C167" s="20" t="str">
        <f>IF(B167="","",IF(COUNTIF('01_Anggota'!$D$5:$D$1212,B167)=0,"NAMA TIDAK DITEMUKAN",INDEX('01_Anggota'!$B$5:$B$1212,MATCH(B167,'01_Anggota'!$D$5:$D$1212,0))))</f>
        <v/>
      </c>
      <c r="D167" s="21"/>
      <c r="E167" s="23"/>
      <c r="F167" s="23"/>
      <c r="G167" s="23">
        <f>PinjamanTable[[#This Row],[Pokok (Rp) *]]+PinjamanTable[[#This Row],[Admin (Rp)]]</f>
        <v>0</v>
      </c>
      <c r="H167" s="24"/>
      <c r="I167" s="22"/>
      <c r="J167" s="21"/>
      <c r="K167" s="21"/>
    </row>
    <row r="168" spans="1:11" ht="21" customHeight="1">
      <c r="A168" s="21"/>
      <c r="B168" s="21"/>
      <c r="C168" s="20" t="str">
        <f>IF(B168="","",IF(COUNTIF('01_Anggota'!$D$5:$D$1212,B168)=0,"NAMA TIDAK DITEMUKAN",INDEX('01_Anggota'!$B$5:$B$1212,MATCH(B168,'01_Anggota'!$D$5:$D$1212,0))))</f>
        <v/>
      </c>
      <c r="D168" s="21"/>
      <c r="E168" s="23"/>
      <c r="F168" s="23"/>
      <c r="G168" s="23">
        <f>PinjamanTable[[#This Row],[Pokok (Rp) *]]+PinjamanTable[[#This Row],[Admin (Rp)]]</f>
        <v>0</v>
      </c>
      <c r="H168" s="24"/>
      <c r="I168" s="22"/>
      <c r="J168" s="21"/>
      <c r="K168" s="21"/>
    </row>
    <row r="169" spans="1:11" ht="21" customHeight="1">
      <c r="A169" s="21"/>
      <c r="B169" s="21"/>
      <c r="C169" s="20" t="str">
        <f>IF(B169="","",IF(COUNTIF('01_Anggota'!$D$5:$D$1212,B169)=0,"NAMA TIDAK DITEMUKAN",INDEX('01_Anggota'!$B$5:$B$1212,MATCH(B169,'01_Anggota'!$D$5:$D$1212,0))))</f>
        <v/>
      </c>
      <c r="D169" s="21"/>
      <c r="E169" s="23"/>
      <c r="F169" s="23"/>
      <c r="G169" s="23">
        <f>PinjamanTable[[#This Row],[Pokok (Rp) *]]+PinjamanTable[[#This Row],[Admin (Rp)]]</f>
        <v>0</v>
      </c>
      <c r="H169" s="24"/>
      <c r="I169" s="22"/>
      <c r="J169" s="21"/>
      <c r="K169" s="21"/>
    </row>
    <row r="170" spans="1:11" ht="21" customHeight="1">
      <c r="A170" s="21"/>
      <c r="B170" s="21"/>
      <c r="C170" s="20" t="str">
        <f>IF(B170="","",IF(COUNTIF('01_Anggota'!$D$5:$D$1212,B170)=0,"NAMA TIDAK DITEMUKAN",INDEX('01_Anggota'!$B$5:$B$1212,MATCH(B170,'01_Anggota'!$D$5:$D$1212,0))))</f>
        <v/>
      </c>
      <c r="D170" s="21"/>
      <c r="E170" s="23"/>
      <c r="F170" s="23"/>
      <c r="G170" s="23">
        <f>PinjamanTable[[#This Row],[Pokok (Rp) *]]+PinjamanTable[[#This Row],[Admin (Rp)]]</f>
        <v>0</v>
      </c>
      <c r="H170" s="24"/>
      <c r="I170" s="22"/>
      <c r="J170" s="21"/>
      <c r="K170" s="21"/>
    </row>
    <row r="171" spans="1:11" ht="21" customHeight="1">
      <c r="A171" s="21"/>
      <c r="B171" s="21"/>
      <c r="C171" s="20" t="str">
        <f>IF(B171="","",IF(COUNTIF('01_Anggota'!$D$5:$D$1212,B171)=0,"NAMA TIDAK DITEMUKAN",INDEX('01_Anggota'!$B$5:$B$1212,MATCH(B171,'01_Anggota'!$D$5:$D$1212,0))))</f>
        <v/>
      </c>
      <c r="D171" s="21"/>
      <c r="E171" s="23"/>
      <c r="F171" s="23"/>
      <c r="G171" s="23">
        <f>PinjamanTable[[#This Row],[Pokok (Rp) *]]+PinjamanTable[[#This Row],[Admin (Rp)]]</f>
        <v>0</v>
      </c>
      <c r="H171" s="24"/>
      <c r="I171" s="22"/>
      <c r="J171" s="21"/>
      <c r="K171" s="21"/>
    </row>
    <row r="172" spans="1:11" ht="21" customHeight="1">
      <c r="A172" s="21"/>
      <c r="B172" s="21"/>
      <c r="C172" s="20" t="str">
        <f>IF(B172="","",IF(COUNTIF('01_Anggota'!$D$5:$D$1212,B172)=0,"NAMA TIDAK DITEMUKAN",INDEX('01_Anggota'!$B$5:$B$1212,MATCH(B172,'01_Anggota'!$D$5:$D$1212,0))))</f>
        <v/>
      </c>
      <c r="D172" s="21"/>
      <c r="E172" s="23"/>
      <c r="F172" s="23"/>
      <c r="G172" s="23">
        <f>PinjamanTable[[#This Row],[Pokok (Rp) *]]+PinjamanTable[[#This Row],[Admin (Rp)]]</f>
        <v>0</v>
      </c>
      <c r="H172" s="24"/>
      <c r="I172" s="22"/>
      <c r="J172" s="21"/>
      <c r="K172" s="21"/>
    </row>
    <row r="173" spans="1:11" ht="21" customHeight="1">
      <c r="A173" s="21"/>
      <c r="B173" s="21"/>
      <c r="C173" s="20" t="str">
        <f>IF(B173="","",IF(COUNTIF('01_Anggota'!$D$5:$D$1212,B173)=0,"NAMA TIDAK DITEMUKAN",INDEX('01_Anggota'!$B$5:$B$1212,MATCH(B173,'01_Anggota'!$D$5:$D$1212,0))))</f>
        <v/>
      </c>
      <c r="D173" s="21"/>
      <c r="E173" s="23"/>
      <c r="F173" s="23"/>
      <c r="G173" s="23">
        <f>PinjamanTable[[#This Row],[Pokok (Rp) *]]+PinjamanTable[[#This Row],[Admin (Rp)]]</f>
        <v>0</v>
      </c>
      <c r="H173" s="24"/>
      <c r="I173" s="22"/>
      <c r="J173" s="21"/>
      <c r="K173" s="21"/>
    </row>
    <row r="174" spans="1:11" ht="21" customHeight="1">
      <c r="A174" s="21"/>
      <c r="B174" s="21"/>
      <c r="C174" s="20" t="str">
        <f>IF(B174="","",IF(COUNTIF('01_Anggota'!$D$5:$D$1212,B174)=0,"NAMA TIDAK DITEMUKAN",INDEX('01_Anggota'!$B$5:$B$1212,MATCH(B174,'01_Anggota'!$D$5:$D$1212,0))))</f>
        <v/>
      </c>
      <c r="D174" s="21"/>
      <c r="E174" s="23"/>
      <c r="F174" s="23"/>
      <c r="G174" s="23">
        <f>PinjamanTable[[#This Row],[Pokok (Rp) *]]+PinjamanTable[[#This Row],[Admin (Rp)]]</f>
        <v>0</v>
      </c>
      <c r="H174" s="24"/>
      <c r="I174" s="22"/>
      <c r="J174" s="21"/>
      <c r="K174" s="21"/>
    </row>
    <row r="175" spans="1:11" ht="21" customHeight="1">
      <c r="A175" s="21"/>
      <c r="B175" s="21"/>
      <c r="C175" s="20" t="str">
        <f>IF(B175="","",IF(COUNTIF('01_Anggota'!$D$5:$D$1212,B175)=0,"NAMA TIDAK DITEMUKAN",INDEX('01_Anggota'!$B$5:$B$1212,MATCH(B175,'01_Anggota'!$D$5:$D$1212,0))))</f>
        <v/>
      </c>
      <c r="D175" s="21"/>
      <c r="E175" s="23"/>
      <c r="F175" s="23"/>
      <c r="G175" s="23">
        <f>PinjamanTable[[#This Row],[Pokok (Rp) *]]+PinjamanTable[[#This Row],[Admin (Rp)]]</f>
        <v>0</v>
      </c>
      <c r="H175" s="24"/>
      <c r="I175" s="22"/>
      <c r="J175" s="21"/>
      <c r="K175" s="21"/>
    </row>
    <row r="176" spans="1:11" ht="21" customHeight="1">
      <c r="A176" s="21"/>
      <c r="B176" s="21"/>
      <c r="C176" s="20" t="str">
        <f>IF(B176="","",IF(COUNTIF('01_Anggota'!$D$5:$D$1212,B176)=0,"NAMA TIDAK DITEMUKAN",INDEX('01_Anggota'!$B$5:$B$1212,MATCH(B176,'01_Anggota'!$D$5:$D$1212,0))))</f>
        <v/>
      </c>
      <c r="D176" s="21"/>
      <c r="E176" s="23"/>
      <c r="F176" s="23"/>
      <c r="G176" s="23">
        <f>PinjamanTable[[#This Row],[Pokok (Rp) *]]+PinjamanTable[[#This Row],[Admin (Rp)]]</f>
        <v>0</v>
      </c>
      <c r="H176" s="24"/>
      <c r="I176" s="22"/>
      <c r="J176" s="21"/>
      <c r="K176" s="21"/>
    </row>
    <row r="177" spans="1:11" ht="21" customHeight="1">
      <c r="A177" s="21"/>
      <c r="B177" s="21"/>
      <c r="C177" s="20" t="str">
        <f>IF(B177="","",IF(COUNTIF('01_Anggota'!$D$5:$D$1212,B177)=0,"NAMA TIDAK DITEMUKAN",INDEX('01_Anggota'!$B$5:$B$1212,MATCH(B177,'01_Anggota'!$D$5:$D$1212,0))))</f>
        <v/>
      </c>
      <c r="D177" s="21"/>
      <c r="E177" s="23"/>
      <c r="F177" s="23"/>
      <c r="G177" s="23">
        <f>PinjamanTable[[#This Row],[Pokok (Rp) *]]+PinjamanTable[[#This Row],[Admin (Rp)]]</f>
        <v>0</v>
      </c>
      <c r="H177" s="24"/>
      <c r="I177" s="22"/>
      <c r="J177" s="21"/>
      <c r="K177" s="21"/>
    </row>
    <row r="178" spans="1:11" ht="21" customHeight="1">
      <c r="A178" s="21"/>
      <c r="B178" s="21"/>
      <c r="C178" s="20" t="str">
        <f>IF(B178="","",IF(COUNTIF('01_Anggota'!$D$5:$D$1212,B178)=0,"NAMA TIDAK DITEMUKAN",INDEX('01_Anggota'!$B$5:$B$1212,MATCH(B178,'01_Anggota'!$D$5:$D$1212,0))))</f>
        <v/>
      </c>
      <c r="D178" s="21"/>
      <c r="E178" s="23"/>
      <c r="F178" s="23"/>
      <c r="G178" s="23">
        <f>PinjamanTable[[#This Row],[Pokok (Rp) *]]+PinjamanTable[[#This Row],[Admin (Rp)]]</f>
        <v>0</v>
      </c>
      <c r="H178" s="24"/>
      <c r="I178" s="22"/>
      <c r="J178" s="21"/>
      <c r="K178" s="21"/>
    </row>
    <row r="179" spans="1:11" ht="21" customHeight="1">
      <c r="A179" s="21"/>
      <c r="B179" s="21"/>
      <c r="C179" s="20" t="str">
        <f>IF(B179="","",IF(COUNTIF('01_Anggota'!$D$5:$D$1212,B179)=0,"NAMA TIDAK DITEMUKAN",INDEX('01_Anggota'!$B$5:$B$1212,MATCH(B179,'01_Anggota'!$D$5:$D$1212,0))))</f>
        <v/>
      </c>
      <c r="D179" s="21"/>
      <c r="E179" s="23"/>
      <c r="F179" s="23"/>
      <c r="G179" s="23">
        <f>PinjamanTable[[#This Row],[Pokok (Rp) *]]+PinjamanTable[[#This Row],[Admin (Rp)]]</f>
        <v>0</v>
      </c>
      <c r="H179" s="24"/>
      <c r="I179" s="22"/>
      <c r="J179" s="21"/>
      <c r="K179" s="21"/>
    </row>
    <row r="180" spans="1:11" ht="21" customHeight="1">
      <c r="A180" s="21"/>
      <c r="B180" s="21"/>
      <c r="C180" s="20" t="str">
        <f>IF(B180="","",IF(COUNTIF('01_Anggota'!$D$5:$D$1212,B180)=0,"NAMA TIDAK DITEMUKAN",INDEX('01_Anggota'!$B$5:$B$1212,MATCH(B180,'01_Anggota'!$D$5:$D$1212,0))))</f>
        <v/>
      </c>
      <c r="D180" s="21"/>
      <c r="E180" s="23"/>
      <c r="F180" s="23"/>
      <c r="G180" s="23">
        <f>PinjamanTable[[#This Row],[Pokok (Rp) *]]+PinjamanTable[[#This Row],[Admin (Rp)]]</f>
        <v>0</v>
      </c>
      <c r="H180" s="24"/>
      <c r="I180" s="22"/>
      <c r="J180" s="21"/>
      <c r="K180" s="21"/>
    </row>
    <row r="181" spans="1:11" ht="21" customHeight="1">
      <c r="A181" s="21"/>
      <c r="B181" s="21"/>
      <c r="C181" s="20" t="str">
        <f>IF(B181="","",IF(COUNTIF('01_Anggota'!$D$5:$D$1212,B181)=0,"NAMA TIDAK DITEMUKAN",INDEX('01_Anggota'!$B$5:$B$1212,MATCH(B181,'01_Anggota'!$D$5:$D$1212,0))))</f>
        <v/>
      </c>
      <c r="D181" s="21"/>
      <c r="E181" s="23"/>
      <c r="F181" s="23"/>
      <c r="G181" s="23">
        <f>PinjamanTable[[#This Row],[Pokok (Rp) *]]+PinjamanTable[[#This Row],[Admin (Rp)]]</f>
        <v>0</v>
      </c>
      <c r="H181" s="24"/>
      <c r="I181" s="22"/>
      <c r="J181" s="21"/>
      <c r="K181" s="21"/>
    </row>
    <row r="182" spans="1:11" ht="21" customHeight="1">
      <c r="A182" s="21"/>
      <c r="B182" s="21"/>
      <c r="C182" s="20" t="str">
        <f>IF(B182="","",IF(COUNTIF('01_Anggota'!$D$5:$D$1212,B182)=0,"NAMA TIDAK DITEMUKAN",INDEX('01_Anggota'!$B$5:$B$1212,MATCH(B182,'01_Anggota'!$D$5:$D$1212,0))))</f>
        <v/>
      </c>
      <c r="D182" s="21"/>
      <c r="E182" s="23"/>
      <c r="F182" s="23"/>
      <c r="G182" s="23">
        <f>PinjamanTable[[#This Row],[Pokok (Rp) *]]+PinjamanTable[[#This Row],[Admin (Rp)]]</f>
        <v>0</v>
      </c>
      <c r="H182" s="24"/>
      <c r="I182" s="22"/>
      <c r="J182" s="21"/>
      <c r="K182" s="21"/>
    </row>
    <row r="183" spans="1:11" ht="21" customHeight="1">
      <c r="A183" s="21"/>
      <c r="B183" s="21"/>
      <c r="C183" s="20" t="str">
        <f>IF(B183="","",IF(COUNTIF('01_Anggota'!$D$5:$D$1212,B183)=0,"NAMA TIDAK DITEMUKAN",INDEX('01_Anggota'!$B$5:$B$1212,MATCH(B183,'01_Anggota'!$D$5:$D$1212,0))))</f>
        <v/>
      </c>
      <c r="D183" s="21"/>
      <c r="E183" s="23"/>
      <c r="F183" s="23"/>
      <c r="G183" s="23">
        <f>PinjamanTable[[#This Row],[Pokok (Rp) *]]+PinjamanTable[[#This Row],[Admin (Rp)]]</f>
        <v>0</v>
      </c>
      <c r="H183" s="24"/>
      <c r="I183" s="22"/>
      <c r="J183" s="21"/>
      <c r="K183" s="21"/>
    </row>
    <row r="184" spans="1:11" ht="21" customHeight="1">
      <c r="A184" s="21"/>
      <c r="B184" s="21"/>
      <c r="C184" s="20" t="str">
        <f>IF(B184="","",IF(COUNTIF('01_Anggota'!$D$5:$D$1212,B184)=0,"NAMA TIDAK DITEMUKAN",INDEX('01_Anggota'!$B$5:$B$1212,MATCH(B184,'01_Anggota'!$D$5:$D$1212,0))))</f>
        <v/>
      </c>
      <c r="D184" s="21"/>
      <c r="E184" s="23"/>
      <c r="F184" s="23"/>
      <c r="G184" s="23">
        <f>PinjamanTable[[#This Row],[Pokok (Rp) *]]+PinjamanTable[[#This Row],[Admin (Rp)]]</f>
        <v>0</v>
      </c>
      <c r="H184" s="24"/>
      <c r="I184" s="22"/>
      <c r="J184" s="21"/>
      <c r="K184" s="21"/>
    </row>
    <row r="185" spans="1:11" ht="21" customHeight="1">
      <c r="A185" s="21"/>
      <c r="B185" s="21"/>
      <c r="C185" s="20" t="str">
        <f>IF(B185="","",IF(COUNTIF('01_Anggota'!$D$5:$D$1212,B185)=0,"NAMA TIDAK DITEMUKAN",INDEX('01_Anggota'!$B$5:$B$1212,MATCH(B185,'01_Anggota'!$D$5:$D$1212,0))))</f>
        <v/>
      </c>
      <c r="D185" s="21"/>
      <c r="E185" s="23"/>
      <c r="F185" s="23"/>
      <c r="G185" s="23">
        <f>PinjamanTable[[#This Row],[Pokok (Rp) *]]+PinjamanTable[[#This Row],[Admin (Rp)]]</f>
        <v>0</v>
      </c>
      <c r="H185" s="24"/>
      <c r="I185" s="22"/>
      <c r="J185" s="21"/>
      <c r="K185" s="21"/>
    </row>
    <row r="186" spans="1:11" ht="21" customHeight="1">
      <c r="A186" s="21"/>
      <c r="B186" s="21"/>
      <c r="C186" s="20" t="str">
        <f>IF(B186="","",IF(COUNTIF('01_Anggota'!$D$5:$D$1212,B186)=0,"NAMA TIDAK DITEMUKAN",INDEX('01_Anggota'!$B$5:$B$1212,MATCH(B186,'01_Anggota'!$D$5:$D$1212,0))))</f>
        <v/>
      </c>
      <c r="D186" s="21"/>
      <c r="E186" s="23"/>
      <c r="F186" s="23"/>
      <c r="G186" s="23">
        <f>PinjamanTable[[#This Row],[Pokok (Rp) *]]+PinjamanTable[[#This Row],[Admin (Rp)]]</f>
        <v>0</v>
      </c>
      <c r="H186" s="24"/>
      <c r="I186" s="22"/>
      <c r="J186" s="21"/>
      <c r="K186" s="21"/>
    </row>
    <row r="187" spans="1:11" ht="21" customHeight="1">
      <c r="A187" s="21"/>
      <c r="B187" s="21"/>
      <c r="C187" s="20" t="str">
        <f>IF(B187="","",IF(COUNTIF('01_Anggota'!$D$5:$D$1212,B187)=0,"NAMA TIDAK DITEMUKAN",INDEX('01_Anggota'!$B$5:$B$1212,MATCH(B187,'01_Anggota'!$D$5:$D$1212,0))))</f>
        <v/>
      </c>
      <c r="D187" s="21"/>
      <c r="E187" s="23"/>
      <c r="F187" s="23"/>
      <c r="G187" s="23">
        <f>PinjamanTable[[#This Row],[Pokok (Rp) *]]+PinjamanTable[[#This Row],[Admin (Rp)]]</f>
        <v>0</v>
      </c>
      <c r="H187" s="24"/>
      <c r="I187" s="22"/>
      <c r="J187" s="21"/>
      <c r="K187" s="21"/>
    </row>
    <row r="188" spans="1:11" ht="21" customHeight="1">
      <c r="A188" s="21"/>
      <c r="B188" s="21"/>
      <c r="C188" s="20" t="str">
        <f>IF(B188="","",IF(COUNTIF('01_Anggota'!$D$5:$D$1212,B188)=0,"NAMA TIDAK DITEMUKAN",INDEX('01_Anggota'!$B$5:$B$1212,MATCH(B188,'01_Anggota'!$D$5:$D$1212,0))))</f>
        <v/>
      </c>
      <c r="D188" s="21"/>
      <c r="E188" s="23"/>
      <c r="F188" s="23"/>
      <c r="G188" s="23">
        <f>PinjamanTable[[#This Row],[Pokok (Rp) *]]+PinjamanTable[[#This Row],[Admin (Rp)]]</f>
        <v>0</v>
      </c>
      <c r="H188" s="24"/>
      <c r="I188" s="22"/>
      <c r="J188" s="21"/>
      <c r="K188" s="21"/>
    </row>
    <row r="189" spans="1:11" ht="21" customHeight="1">
      <c r="A189" s="21"/>
      <c r="B189" s="21"/>
      <c r="C189" s="20" t="str">
        <f>IF(B189="","",IF(COUNTIF('01_Anggota'!$D$5:$D$1212,B189)=0,"NAMA TIDAK DITEMUKAN",INDEX('01_Anggota'!$B$5:$B$1212,MATCH(B189,'01_Anggota'!$D$5:$D$1212,0))))</f>
        <v/>
      </c>
      <c r="D189" s="21"/>
      <c r="E189" s="23"/>
      <c r="F189" s="23"/>
      <c r="G189" s="23">
        <f>PinjamanTable[[#This Row],[Pokok (Rp) *]]+PinjamanTable[[#This Row],[Admin (Rp)]]</f>
        <v>0</v>
      </c>
      <c r="H189" s="24"/>
      <c r="I189" s="22"/>
      <c r="J189" s="21"/>
      <c r="K189" s="21"/>
    </row>
    <row r="190" spans="1:11" ht="21" customHeight="1">
      <c r="A190" s="21"/>
      <c r="B190" s="21"/>
      <c r="C190" s="20" t="str">
        <f>IF(B190="","",IF(COUNTIF('01_Anggota'!$D$5:$D$1212,B190)=0,"NAMA TIDAK DITEMUKAN",INDEX('01_Anggota'!$B$5:$B$1212,MATCH(B190,'01_Anggota'!$D$5:$D$1212,0))))</f>
        <v/>
      </c>
      <c r="D190" s="21"/>
      <c r="E190" s="23"/>
      <c r="F190" s="23"/>
      <c r="G190" s="23">
        <f>PinjamanTable[[#This Row],[Pokok (Rp) *]]+PinjamanTable[[#This Row],[Admin (Rp)]]</f>
        <v>0</v>
      </c>
      <c r="H190" s="24"/>
      <c r="I190" s="22"/>
      <c r="J190" s="21"/>
      <c r="K190" s="21"/>
    </row>
    <row r="191" spans="1:11" ht="21" customHeight="1">
      <c r="A191" s="21"/>
      <c r="B191" s="21"/>
      <c r="C191" s="20" t="str">
        <f>IF(B191="","",IF(COUNTIF('01_Anggota'!$D$5:$D$1212,B191)=0,"NAMA TIDAK DITEMUKAN",INDEX('01_Anggota'!$B$5:$B$1212,MATCH(B191,'01_Anggota'!$D$5:$D$1212,0))))</f>
        <v/>
      </c>
      <c r="D191" s="21"/>
      <c r="E191" s="23"/>
      <c r="F191" s="23"/>
      <c r="G191" s="23">
        <f>PinjamanTable[[#This Row],[Pokok (Rp) *]]+PinjamanTable[[#This Row],[Admin (Rp)]]</f>
        <v>0</v>
      </c>
      <c r="H191" s="24"/>
      <c r="I191" s="22"/>
      <c r="J191" s="21"/>
      <c r="K191" s="21"/>
    </row>
    <row r="192" spans="1:11" ht="21" customHeight="1">
      <c r="A192" s="21"/>
      <c r="B192" s="21"/>
      <c r="C192" s="20" t="str">
        <f>IF(B192="","",IF(COUNTIF('01_Anggota'!$D$5:$D$1212,B192)=0,"NAMA TIDAK DITEMUKAN",INDEX('01_Anggota'!$B$5:$B$1212,MATCH(B192,'01_Anggota'!$D$5:$D$1212,0))))</f>
        <v/>
      </c>
      <c r="D192" s="21"/>
      <c r="E192" s="23"/>
      <c r="F192" s="23"/>
      <c r="G192" s="23">
        <f>PinjamanTable[[#This Row],[Pokok (Rp) *]]+PinjamanTable[[#This Row],[Admin (Rp)]]</f>
        <v>0</v>
      </c>
      <c r="H192" s="24"/>
      <c r="I192" s="22"/>
      <c r="J192" s="21"/>
      <c r="K192" s="21"/>
    </row>
    <row r="193" spans="1:11" ht="21" customHeight="1">
      <c r="A193" s="21"/>
      <c r="B193" s="21"/>
      <c r="C193" s="20" t="str">
        <f>IF(B193="","",IF(COUNTIF('01_Anggota'!$D$5:$D$1212,B193)=0,"NAMA TIDAK DITEMUKAN",INDEX('01_Anggota'!$B$5:$B$1212,MATCH(B193,'01_Anggota'!$D$5:$D$1212,0))))</f>
        <v/>
      </c>
      <c r="D193" s="21"/>
      <c r="E193" s="23"/>
      <c r="F193" s="23"/>
      <c r="G193" s="23">
        <f>PinjamanTable[[#This Row],[Pokok (Rp) *]]+PinjamanTable[[#This Row],[Admin (Rp)]]</f>
        <v>0</v>
      </c>
      <c r="H193" s="24"/>
      <c r="I193" s="22"/>
      <c r="J193" s="21"/>
      <c r="K193" s="21"/>
    </row>
    <row r="194" spans="1:11" ht="21" customHeight="1">
      <c r="A194" s="21"/>
      <c r="B194" s="21"/>
      <c r="C194" s="20" t="str">
        <f>IF(B194="","",IF(COUNTIF('01_Anggota'!$D$5:$D$1212,B194)=0,"NAMA TIDAK DITEMUKAN",INDEX('01_Anggota'!$B$5:$B$1212,MATCH(B194,'01_Anggota'!$D$5:$D$1212,0))))</f>
        <v/>
      </c>
      <c r="D194" s="21"/>
      <c r="E194" s="23"/>
      <c r="F194" s="23"/>
      <c r="G194" s="23">
        <f>PinjamanTable[[#This Row],[Pokok (Rp) *]]+PinjamanTable[[#This Row],[Admin (Rp)]]</f>
        <v>0</v>
      </c>
      <c r="H194" s="24"/>
      <c r="I194" s="22"/>
      <c r="J194" s="21"/>
      <c r="K194" s="21"/>
    </row>
    <row r="195" spans="1:11" ht="21" customHeight="1">
      <c r="A195" s="21"/>
      <c r="B195" s="21"/>
      <c r="C195" s="20" t="str">
        <f>IF(B195="","",IF(COUNTIF('01_Anggota'!$D$5:$D$1212,B195)=0,"NAMA TIDAK DITEMUKAN",INDEX('01_Anggota'!$B$5:$B$1212,MATCH(B195,'01_Anggota'!$D$5:$D$1212,0))))</f>
        <v/>
      </c>
      <c r="D195" s="21"/>
      <c r="E195" s="23"/>
      <c r="F195" s="23"/>
      <c r="G195" s="23">
        <f>PinjamanTable[[#This Row],[Pokok (Rp) *]]+PinjamanTable[[#This Row],[Admin (Rp)]]</f>
        <v>0</v>
      </c>
      <c r="H195" s="24"/>
      <c r="I195" s="22"/>
      <c r="J195" s="21"/>
      <c r="K195" s="21"/>
    </row>
    <row r="196" spans="1:11" ht="21" customHeight="1">
      <c r="A196" s="21"/>
      <c r="B196" s="21"/>
      <c r="C196" s="20" t="str">
        <f>IF(B196="","",IF(COUNTIF('01_Anggota'!$D$5:$D$1212,B196)=0,"NAMA TIDAK DITEMUKAN",INDEX('01_Anggota'!$B$5:$B$1212,MATCH(B196,'01_Anggota'!$D$5:$D$1212,0))))</f>
        <v/>
      </c>
      <c r="D196" s="21"/>
      <c r="E196" s="23"/>
      <c r="F196" s="23"/>
      <c r="G196" s="23">
        <f>PinjamanTable[[#This Row],[Pokok (Rp) *]]+PinjamanTable[[#This Row],[Admin (Rp)]]</f>
        <v>0</v>
      </c>
      <c r="H196" s="24"/>
      <c r="I196" s="22"/>
      <c r="J196" s="21"/>
      <c r="K196" s="21"/>
    </row>
    <row r="197" spans="1:11" ht="21" customHeight="1">
      <c r="A197" s="21"/>
      <c r="B197" s="21"/>
      <c r="C197" s="20" t="str">
        <f>IF(B197="","",IF(COUNTIF('01_Anggota'!$D$5:$D$1212,B197)=0,"NAMA TIDAK DITEMUKAN",INDEX('01_Anggota'!$B$5:$B$1212,MATCH(B197,'01_Anggota'!$D$5:$D$1212,0))))</f>
        <v/>
      </c>
      <c r="D197" s="21"/>
      <c r="E197" s="23"/>
      <c r="F197" s="23"/>
      <c r="G197" s="23">
        <f>PinjamanTable[[#This Row],[Pokok (Rp) *]]+PinjamanTable[[#This Row],[Admin (Rp)]]</f>
        <v>0</v>
      </c>
      <c r="H197" s="24"/>
      <c r="I197" s="22"/>
      <c r="J197" s="21"/>
      <c r="K197" s="21"/>
    </row>
    <row r="198" spans="1:11" ht="21" customHeight="1">
      <c r="A198" s="21"/>
      <c r="B198" s="21"/>
      <c r="C198" s="20" t="str">
        <f>IF(B198="","",IF(COUNTIF('01_Anggota'!$D$5:$D$1212,B198)=0,"NAMA TIDAK DITEMUKAN",INDEX('01_Anggota'!$B$5:$B$1212,MATCH(B198,'01_Anggota'!$D$5:$D$1212,0))))</f>
        <v/>
      </c>
      <c r="D198" s="21"/>
      <c r="E198" s="23"/>
      <c r="F198" s="23"/>
      <c r="G198" s="23">
        <f>PinjamanTable[[#This Row],[Pokok (Rp) *]]+PinjamanTable[[#This Row],[Admin (Rp)]]</f>
        <v>0</v>
      </c>
      <c r="H198" s="24"/>
      <c r="I198" s="22"/>
      <c r="J198" s="21"/>
      <c r="K198" s="21"/>
    </row>
    <row r="199" spans="1:11" ht="21" customHeight="1">
      <c r="A199" s="21"/>
      <c r="B199" s="21"/>
      <c r="C199" s="20" t="str">
        <f>IF(B199="","",IF(COUNTIF('01_Anggota'!$D$5:$D$1212,B199)=0,"NAMA TIDAK DITEMUKAN",INDEX('01_Anggota'!$B$5:$B$1212,MATCH(B199,'01_Anggota'!$D$5:$D$1212,0))))</f>
        <v/>
      </c>
      <c r="D199" s="21"/>
      <c r="E199" s="23"/>
      <c r="F199" s="23"/>
      <c r="G199" s="23">
        <f>PinjamanTable[[#This Row],[Pokok (Rp) *]]+PinjamanTable[[#This Row],[Admin (Rp)]]</f>
        <v>0</v>
      </c>
      <c r="H199" s="24"/>
      <c r="I199" s="22"/>
      <c r="J199" s="21"/>
      <c r="K199" s="21"/>
    </row>
    <row r="200" spans="1:11" ht="21" customHeight="1">
      <c r="A200" s="21"/>
      <c r="B200" s="21"/>
      <c r="C200" s="20" t="str">
        <f>IF(B200="","",IF(COUNTIF('01_Anggota'!$D$5:$D$1212,B200)=0,"NAMA TIDAK DITEMUKAN",INDEX('01_Anggota'!$B$5:$B$1212,MATCH(B200,'01_Anggota'!$D$5:$D$1212,0))))</f>
        <v/>
      </c>
      <c r="D200" s="21"/>
      <c r="E200" s="23"/>
      <c r="F200" s="23"/>
      <c r="G200" s="23">
        <f>PinjamanTable[[#This Row],[Pokok (Rp) *]]+PinjamanTable[[#This Row],[Admin (Rp)]]</f>
        <v>0</v>
      </c>
      <c r="H200" s="24"/>
      <c r="I200" s="22"/>
      <c r="J200" s="21"/>
      <c r="K200" s="21"/>
    </row>
    <row r="201" spans="1:11" ht="21" customHeight="1">
      <c r="A201" s="21"/>
      <c r="B201" s="21"/>
      <c r="C201" s="20" t="str">
        <f>IF(B201="","",IF(COUNTIF('01_Anggota'!$D$5:$D$1212,B201)=0,"NAMA TIDAK DITEMUKAN",INDEX('01_Anggota'!$B$5:$B$1212,MATCH(B201,'01_Anggota'!$D$5:$D$1212,0))))</f>
        <v/>
      </c>
      <c r="D201" s="21"/>
      <c r="E201" s="23"/>
      <c r="F201" s="23"/>
      <c r="G201" s="23">
        <f>PinjamanTable[[#This Row],[Pokok (Rp) *]]+PinjamanTable[[#This Row],[Admin (Rp)]]</f>
        <v>0</v>
      </c>
      <c r="H201" s="24"/>
      <c r="I201" s="22"/>
      <c r="J201" s="21"/>
      <c r="K201" s="21"/>
    </row>
    <row r="202" spans="1:11" ht="21" customHeight="1">
      <c r="A202" s="21"/>
      <c r="B202" s="21"/>
      <c r="C202" s="20" t="str">
        <f>IF(B202="","",IF(COUNTIF('01_Anggota'!$D$5:$D$1212,B202)=0,"NAMA TIDAK DITEMUKAN",INDEX('01_Anggota'!$B$5:$B$1212,MATCH(B202,'01_Anggota'!$D$5:$D$1212,0))))</f>
        <v/>
      </c>
      <c r="D202" s="21"/>
      <c r="E202" s="23"/>
      <c r="F202" s="23"/>
      <c r="G202" s="23">
        <f>PinjamanTable[[#This Row],[Pokok (Rp) *]]+PinjamanTable[[#This Row],[Admin (Rp)]]</f>
        <v>0</v>
      </c>
      <c r="H202" s="24"/>
      <c r="I202" s="22"/>
      <c r="J202" s="21"/>
      <c r="K202" s="21"/>
    </row>
    <row r="203" spans="1:11" ht="21" customHeight="1">
      <c r="A203" s="21"/>
      <c r="B203" s="21"/>
      <c r="C203" s="20" t="str">
        <f>IF(B203="","",IF(COUNTIF('01_Anggota'!$D$5:$D$1212,B203)=0,"NAMA TIDAK DITEMUKAN",INDEX('01_Anggota'!$B$5:$B$1212,MATCH(B203,'01_Anggota'!$D$5:$D$1212,0))))</f>
        <v/>
      </c>
      <c r="D203" s="21"/>
      <c r="E203" s="23"/>
      <c r="F203" s="23"/>
      <c r="G203" s="23">
        <f>PinjamanTable[[#This Row],[Pokok (Rp) *]]+PinjamanTable[[#This Row],[Admin (Rp)]]</f>
        <v>0</v>
      </c>
      <c r="H203" s="24"/>
      <c r="I203" s="22"/>
      <c r="J203" s="21"/>
      <c r="K203" s="21"/>
    </row>
    <row r="204" spans="1:11" ht="21" customHeight="1">
      <c r="A204" s="21"/>
      <c r="B204" s="21"/>
      <c r="C204" s="20" t="str">
        <f>IF(B204="","",IF(COUNTIF('01_Anggota'!$D$5:$D$1212,B204)=0,"NAMA TIDAK DITEMUKAN",INDEX('01_Anggota'!$B$5:$B$1212,MATCH(B204,'01_Anggota'!$D$5:$D$1212,0))))</f>
        <v/>
      </c>
      <c r="D204" s="21"/>
      <c r="E204" s="23"/>
      <c r="F204" s="23"/>
      <c r="G204" s="23">
        <f>PinjamanTable[[#This Row],[Pokok (Rp) *]]+PinjamanTable[[#This Row],[Admin (Rp)]]</f>
        <v>0</v>
      </c>
      <c r="H204" s="24"/>
      <c r="I204" s="22"/>
      <c r="J204" s="21"/>
      <c r="K204" s="21"/>
    </row>
    <row r="205" spans="1:11" ht="21" customHeight="1">
      <c r="A205" s="21"/>
      <c r="B205" s="21"/>
      <c r="C205" s="20" t="str">
        <f>IF(B205="","",IF(COUNTIF('01_Anggota'!$D$5:$D$1212,B205)=0,"NAMA TIDAK DITEMUKAN",INDEX('01_Anggota'!$B$5:$B$1212,MATCH(B205,'01_Anggota'!$D$5:$D$1212,0))))</f>
        <v/>
      </c>
      <c r="D205" s="21"/>
      <c r="E205" s="23"/>
      <c r="F205" s="23"/>
      <c r="G205" s="23">
        <f>PinjamanTable[[#This Row],[Pokok (Rp) *]]+PinjamanTable[[#This Row],[Admin (Rp)]]</f>
        <v>0</v>
      </c>
      <c r="H205" s="24"/>
      <c r="I205" s="22"/>
      <c r="J205" s="21"/>
      <c r="K205" s="21"/>
    </row>
    <row r="206" spans="1:11" ht="21" customHeight="1">
      <c r="A206" s="21"/>
      <c r="B206" s="21"/>
      <c r="C206" s="20" t="str">
        <f>IF(B206="","",IF(COUNTIF('01_Anggota'!$D$5:$D$1212,B206)=0,"NAMA TIDAK DITEMUKAN",INDEX('01_Anggota'!$B$5:$B$1212,MATCH(B206,'01_Anggota'!$D$5:$D$1212,0))))</f>
        <v/>
      </c>
      <c r="D206" s="21"/>
      <c r="E206" s="23"/>
      <c r="F206" s="23"/>
      <c r="G206" s="23">
        <f>PinjamanTable[[#This Row],[Pokok (Rp) *]]+PinjamanTable[[#This Row],[Admin (Rp)]]</f>
        <v>0</v>
      </c>
      <c r="H206" s="24"/>
      <c r="I206" s="22"/>
      <c r="J206" s="21"/>
      <c r="K206" s="21"/>
    </row>
    <row r="207" spans="1:11" ht="21" customHeight="1">
      <c r="A207" s="21"/>
      <c r="B207" s="21"/>
      <c r="C207" s="20" t="str">
        <f>IF(B207="","",IF(COUNTIF('01_Anggota'!$D$5:$D$1212,B207)=0,"NAMA TIDAK DITEMUKAN",INDEX('01_Anggota'!$B$5:$B$1212,MATCH(B207,'01_Anggota'!$D$5:$D$1212,0))))</f>
        <v/>
      </c>
      <c r="D207" s="21"/>
      <c r="E207" s="23"/>
      <c r="F207" s="23"/>
      <c r="G207" s="23">
        <f>PinjamanTable[[#This Row],[Pokok (Rp) *]]+PinjamanTable[[#This Row],[Admin (Rp)]]</f>
        <v>0</v>
      </c>
      <c r="H207" s="24"/>
      <c r="I207" s="22"/>
      <c r="J207" s="21"/>
      <c r="K207" s="21"/>
    </row>
    <row r="208" spans="1:11" ht="21" customHeight="1">
      <c r="A208" s="21"/>
      <c r="B208" s="21"/>
      <c r="C208" s="20" t="str">
        <f>IF(B208="","",IF(COUNTIF('01_Anggota'!$D$5:$D$1212,B208)=0,"NAMA TIDAK DITEMUKAN",INDEX('01_Anggota'!$B$5:$B$1212,MATCH(B208,'01_Anggota'!$D$5:$D$1212,0))))</f>
        <v/>
      </c>
      <c r="D208" s="21"/>
      <c r="E208" s="23"/>
      <c r="F208" s="23"/>
      <c r="G208" s="23">
        <f>PinjamanTable[[#This Row],[Pokok (Rp) *]]+PinjamanTable[[#This Row],[Admin (Rp)]]</f>
        <v>0</v>
      </c>
      <c r="H208" s="24"/>
      <c r="I208" s="22"/>
      <c r="J208" s="21"/>
      <c r="K208" s="21"/>
    </row>
    <row r="209" spans="1:11" ht="21" customHeight="1">
      <c r="A209" s="21"/>
      <c r="B209" s="21"/>
      <c r="C209" s="20" t="str">
        <f>IF(B209="","",IF(COUNTIF('01_Anggota'!$D$5:$D$1212,B209)=0,"NAMA TIDAK DITEMUKAN",INDEX('01_Anggota'!$B$5:$B$1212,MATCH(B209,'01_Anggota'!$D$5:$D$1212,0))))</f>
        <v/>
      </c>
      <c r="D209" s="21"/>
      <c r="E209" s="23"/>
      <c r="F209" s="23"/>
      <c r="G209" s="23">
        <f>PinjamanTable[[#This Row],[Pokok (Rp) *]]+PinjamanTable[[#This Row],[Admin (Rp)]]</f>
        <v>0</v>
      </c>
      <c r="H209" s="24"/>
      <c r="I209" s="22"/>
      <c r="J209" s="21"/>
      <c r="K209" s="21"/>
    </row>
    <row r="210" spans="1:11" ht="21" customHeight="1">
      <c r="A210" s="21"/>
      <c r="B210" s="21"/>
      <c r="C210" s="20" t="str">
        <f>IF(B210="","",IF(COUNTIF('01_Anggota'!$D$5:$D$1212,B210)=0,"NAMA TIDAK DITEMUKAN",INDEX('01_Anggota'!$B$5:$B$1212,MATCH(B210,'01_Anggota'!$D$5:$D$1212,0))))</f>
        <v/>
      </c>
      <c r="D210" s="21"/>
      <c r="E210" s="23"/>
      <c r="F210" s="23"/>
      <c r="G210" s="23">
        <f>PinjamanTable[[#This Row],[Pokok (Rp) *]]+PinjamanTable[[#This Row],[Admin (Rp)]]</f>
        <v>0</v>
      </c>
      <c r="H210" s="24"/>
      <c r="I210" s="22"/>
      <c r="J210" s="21"/>
      <c r="K210" s="21"/>
    </row>
    <row r="211" spans="1:11" ht="21" customHeight="1">
      <c r="A211" s="21"/>
      <c r="B211" s="21"/>
      <c r="C211" s="20" t="str">
        <f>IF(B211="","",IF(COUNTIF('01_Anggota'!$D$5:$D$1212,B211)=0,"NAMA TIDAK DITEMUKAN",INDEX('01_Anggota'!$B$5:$B$1212,MATCH(B211,'01_Anggota'!$D$5:$D$1212,0))))</f>
        <v/>
      </c>
      <c r="D211" s="21"/>
      <c r="E211" s="23"/>
      <c r="F211" s="23"/>
      <c r="G211" s="23">
        <f>PinjamanTable[[#This Row],[Pokok (Rp) *]]+PinjamanTable[[#This Row],[Admin (Rp)]]</f>
        <v>0</v>
      </c>
      <c r="H211" s="24"/>
      <c r="I211" s="22"/>
      <c r="J211" s="21"/>
      <c r="K211" s="21"/>
    </row>
    <row r="212" spans="1:11" ht="21" customHeight="1">
      <c r="A212" s="21"/>
      <c r="B212" s="21"/>
      <c r="C212" s="20" t="str">
        <f>IF(B212="","",IF(COUNTIF('01_Anggota'!$D$5:$D$1212,B212)=0,"NAMA TIDAK DITEMUKAN",INDEX('01_Anggota'!$B$5:$B$1212,MATCH(B212,'01_Anggota'!$D$5:$D$1212,0))))</f>
        <v/>
      </c>
      <c r="D212" s="21"/>
      <c r="E212" s="23"/>
      <c r="F212" s="23"/>
      <c r="G212" s="23">
        <f>PinjamanTable[[#This Row],[Pokok (Rp) *]]+PinjamanTable[[#This Row],[Admin (Rp)]]</f>
        <v>0</v>
      </c>
      <c r="H212" s="24"/>
      <c r="I212" s="22"/>
      <c r="J212" s="21"/>
      <c r="K212" s="21"/>
    </row>
    <row r="213" spans="1:11" ht="21" customHeight="1">
      <c r="A213" s="21"/>
      <c r="B213" s="21"/>
      <c r="C213" s="20" t="str">
        <f>IF(B213="","",IF(COUNTIF('01_Anggota'!$D$5:$D$1212,B213)=0,"NAMA TIDAK DITEMUKAN",INDEX('01_Anggota'!$B$5:$B$1212,MATCH(B213,'01_Anggota'!$D$5:$D$1212,0))))</f>
        <v/>
      </c>
      <c r="D213" s="21"/>
      <c r="E213" s="23"/>
      <c r="F213" s="23"/>
      <c r="G213" s="23">
        <f>PinjamanTable[[#This Row],[Pokok (Rp) *]]+PinjamanTable[[#This Row],[Admin (Rp)]]</f>
        <v>0</v>
      </c>
      <c r="H213" s="24"/>
      <c r="I213" s="22"/>
      <c r="J213" s="21"/>
      <c r="K213" s="21"/>
    </row>
    <row r="214" spans="1:11" ht="21" customHeight="1">
      <c r="A214" s="21"/>
      <c r="B214" s="21"/>
      <c r="C214" s="20" t="str">
        <f>IF(B214="","",IF(COUNTIF('01_Anggota'!$D$5:$D$1212,B214)=0,"NAMA TIDAK DITEMUKAN",INDEX('01_Anggota'!$B$5:$B$1212,MATCH(B214,'01_Anggota'!$D$5:$D$1212,0))))</f>
        <v/>
      </c>
      <c r="D214" s="21"/>
      <c r="E214" s="23"/>
      <c r="F214" s="23"/>
      <c r="G214" s="23">
        <f>PinjamanTable[[#This Row],[Pokok (Rp) *]]+PinjamanTable[[#This Row],[Admin (Rp)]]</f>
        <v>0</v>
      </c>
      <c r="H214" s="24"/>
      <c r="I214" s="22"/>
      <c r="J214" s="21"/>
      <c r="K214" s="21"/>
    </row>
    <row r="215" spans="1:11" ht="21" customHeight="1">
      <c r="A215" s="21"/>
      <c r="B215" s="21"/>
      <c r="C215" s="20" t="str">
        <f>IF(B215="","",IF(COUNTIF('01_Anggota'!$D$5:$D$1212,B215)=0,"NAMA TIDAK DITEMUKAN",INDEX('01_Anggota'!$B$5:$B$1212,MATCH(B215,'01_Anggota'!$D$5:$D$1212,0))))</f>
        <v/>
      </c>
      <c r="D215" s="21"/>
      <c r="E215" s="23"/>
      <c r="F215" s="23"/>
      <c r="G215" s="23">
        <f>PinjamanTable[[#This Row],[Pokok (Rp) *]]+PinjamanTable[[#This Row],[Admin (Rp)]]</f>
        <v>0</v>
      </c>
      <c r="H215" s="24"/>
      <c r="I215" s="22"/>
      <c r="J215" s="21"/>
      <c r="K215" s="21"/>
    </row>
    <row r="216" spans="1:11" ht="21" customHeight="1">
      <c r="A216" s="21"/>
      <c r="B216" s="21"/>
      <c r="C216" s="20" t="str">
        <f>IF(B216="","",IF(COUNTIF('01_Anggota'!$D$5:$D$1212,B216)=0,"NAMA TIDAK DITEMUKAN",INDEX('01_Anggota'!$B$5:$B$1212,MATCH(B216,'01_Anggota'!$D$5:$D$1212,0))))</f>
        <v/>
      </c>
      <c r="D216" s="21"/>
      <c r="E216" s="23"/>
      <c r="F216" s="23"/>
      <c r="G216" s="23">
        <f>PinjamanTable[[#This Row],[Pokok (Rp) *]]+PinjamanTable[[#This Row],[Admin (Rp)]]</f>
        <v>0</v>
      </c>
      <c r="H216" s="24"/>
      <c r="I216" s="22"/>
      <c r="J216" s="21"/>
      <c r="K216" s="21"/>
    </row>
    <row r="217" spans="1:11" ht="21" customHeight="1">
      <c r="A217" s="21"/>
      <c r="B217" s="21"/>
      <c r="C217" s="20" t="str">
        <f>IF(B217="","",IF(COUNTIF('01_Anggota'!$D$5:$D$1212,B217)=0,"NAMA TIDAK DITEMUKAN",INDEX('01_Anggota'!$B$5:$B$1212,MATCH(B217,'01_Anggota'!$D$5:$D$1212,0))))</f>
        <v/>
      </c>
      <c r="D217" s="21"/>
      <c r="E217" s="23"/>
      <c r="F217" s="23"/>
      <c r="G217" s="23">
        <f>PinjamanTable[[#This Row],[Pokok (Rp) *]]+PinjamanTable[[#This Row],[Admin (Rp)]]</f>
        <v>0</v>
      </c>
      <c r="H217" s="24"/>
      <c r="I217" s="22"/>
      <c r="J217" s="21"/>
      <c r="K217" s="21"/>
    </row>
    <row r="218" spans="1:11" ht="21" customHeight="1">
      <c r="A218" s="21"/>
      <c r="B218" s="21"/>
      <c r="C218" s="20" t="str">
        <f>IF(B218="","",IF(COUNTIF('01_Anggota'!$D$5:$D$1212,B218)=0,"NAMA TIDAK DITEMUKAN",INDEX('01_Anggota'!$B$5:$B$1212,MATCH(B218,'01_Anggota'!$D$5:$D$1212,0))))</f>
        <v/>
      </c>
      <c r="D218" s="21"/>
      <c r="E218" s="23"/>
      <c r="F218" s="23"/>
      <c r="G218" s="23">
        <f>PinjamanTable[[#This Row],[Pokok (Rp) *]]+PinjamanTable[[#This Row],[Admin (Rp)]]</f>
        <v>0</v>
      </c>
      <c r="H218" s="24"/>
      <c r="I218" s="22"/>
      <c r="J218" s="21"/>
      <c r="K218" s="21"/>
    </row>
    <row r="219" spans="1:11" ht="21" customHeight="1">
      <c r="A219" s="21"/>
      <c r="B219" s="21"/>
      <c r="C219" s="20" t="str">
        <f>IF(B219="","",IF(COUNTIF('01_Anggota'!$D$5:$D$1212,B219)=0,"NAMA TIDAK DITEMUKAN",INDEX('01_Anggota'!$B$5:$B$1212,MATCH(B219,'01_Anggota'!$D$5:$D$1212,0))))</f>
        <v/>
      </c>
      <c r="D219" s="21"/>
      <c r="E219" s="23"/>
      <c r="F219" s="23"/>
      <c r="G219" s="23">
        <f>PinjamanTable[[#This Row],[Pokok (Rp) *]]+PinjamanTable[[#This Row],[Admin (Rp)]]</f>
        <v>0</v>
      </c>
      <c r="H219" s="24"/>
      <c r="I219" s="22"/>
      <c r="J219" s="21"/>
      <c r="K219" s="21"/>
    </row>
    <row r="220" spans="1:11" ht="21" customHeight="1">
      <c r="A220" s="21"/>
      <c r="B220" s="21"/>
      <c r="C220" s="20" t="str">
        <f>IF(B220="","",IF(COUNTIF('01_Anggota'!$D$5:$D$1212,B220)=0,"NAMA TIDAK DITEMUKAN",INDEX('01_Anggota'!$B$5:$B$1212,MATCH(B220,'01_Anggota'!$D$5:$D$1212,0))))</f>
        <v/>
      </c>
      <c r="D220" s="21"/>
      <c r="E220" s="23"/>
      <c r="F220" s="23"/>
      <c r="G220" s="23">
        <f>PinjamanTable[[#This Row],[Pokok (Rp) *]]+PinjamanTable[[#This Row],[Admin (Rp)]]</f>
        <v>0</v>
      </c>
      <c r="H220" s="24"/>
      <c r="I220" s="22"/>
      <c r="J220" s="21"/>
      <c r="K220" s="21"/>
    </row>
    <row r="221" spans="1:11" ht="21" customHeight="1">
      <c r="A221" s="21"/>
      <c r="B221" s="21"/>
      <c r="C221" s="20" t="str">
        <f>IF(B221="","",IF(COUNTIF('01_Anggota'!$D$5:$D$1212,B221)=0,"NAMA TIDAK DITEMUKAN",INDEX('01_Anggota'!$B$5:$B$1212,MATCH(B221,'01_Anggota'!$D$5:$D$1212,0))))</f>
        <v/>
      </c>
      <c r="D221" s="21"/>
      <c r="E221" s="23"/>
      <c r="F221" s="23"/>
      <c r="G221" s="23">
        <f>PinjamanTable[[#This Row],[Pokok (Rp) *]]+PinjamanTable[[#This Row],[Admin (Rp)]]</f>
        <v>0</v>
      </c>
      <c r="H221" s="24"/>
      <c r="I221" s="22"/>
      <c r="J221" s="21"/>
      <c r="K221" s="21"/>
    </row>
    <row r="222" spans="1:11" ht="21" customHeight="1">
      <c r="A222" s="21"/>
      <c r="B222" s="21"/>
      <c r="C222" s="20" t="str">
        <f>IF(B222="","",IF(COUNTIF('01_Anggota'!$D$5:$D$1212,B222)=0,"NAMA TIDAK DITEMUKAN",INDEX('01_Anggota'!$B$5:$B$1212,MATCH(B222,'01_Anggota'!$D$5:$D$1212,0))))</f>
        <v/>
      </c>
      <c r="D222" s="21"/>
      <c r="E222" s="23"/>
      <c r="F222" s="23"/>
      <c r="G222" s="23">
        <f>PinjamanTable[[#This Row],[Pokok (Rp) *]]+PinjamanTable[[#This Row],[Admin (Rp)]]</f>
        <v>0</v>
      </c>
      <c r="H222" s="24"/>
      <c r="I222" s="22"/>
      <c r="J222" s="21"/>
      <c r="K222" s="21"/>
    </row>
    <row r="223" spans="1:11" ht="21" customHeight="1">
      <c r="A223" s="21"/>
      <c r="B223" s="21"/>
      <c r="C223" s="20" t="str">
        <f>IF(B223="","",IF(COUNTIF('01_Anggota'!$D$5:$D$1212,B223)=0,"NAMA TIDAK DITEMUKAN",INDEX('01_Anggota'!$B$5:$B$1212,MATCH(B223,'01_Anggota'!$D$5:$D$1212,0))))</f>
        <v/>
      </c>
      <c r="D223" s="21"/>
      <c r="E223" s="23"/>
      <c r="F223" s="23"/>
      <c r="G223" s="23">
        <f>PinjamanTable[[#This Row],[Pokok (Rp) *]]+PinjamanTable[[#This Row],[Admin (Rp)]]</f>
        <v>0</v>
      </c>
      <c r="H223" s="24"/>
      <c r="I223" s="22"/>
      <c r="J223" s="21"/>
      <c r="K223" s="21"/>
    </row>
    <row r="224" spans="1:11" ht="21" customHeight="1">
      <c r="A224" s="21"/>
      <c r="B224" s="21"/>
      <c r="C224" s="20" t="str">
        <f>IF(B224="","",IF(COUNTIF('01_Anggota'!$D$5:$D$1212,B224)=0,"NAMA TIDAK DITEMUKAN",INDEX('01_Anggota'!$B$5:$B$1212,MATCH(B224,'01_Anggota'!$D$5:$D$1212,0))))</f>
        <v/>
      </c>
      <c r="D224" s="21"/>
      <c r="E224" s="23"/>
      <c r="F224" s="23"/>
      <c r="G224" s="23">
        <f>PinjamanTable[[#This Row],[Pokok (Rp) *]]+PinjamanTable[[#This Row],[Admin (Rp)]]</f>
        <v>0</v>
      </c>
      <c r="H224" s="24"/>
      <c r="I224" s="22"/>
      <c r="J224" s="21"/>
      <c r="K224" s="21"/>
    </row>
    <row r="225" spans="1:11" ht="21" customHeight="1">
      <c r="A225" s="21"/>
      <c r="B225" s="21"/>
      <c r="C225" s="20" t="str">
        <f>IF(B225="","",IF(COUNTIF('01_Anggota'!$D$5:$D$1212,B225)=0,"NAMA TIDAK DITEMUKAN",INDEX('01_Anggota'!$B$5:$B$1212,MATCH(B225,'01_Anggota'!$D$5:$D$1212,0))))</f>
        <v/>
      </c>
      <c r="D225" s="21"/>
      <c r="E225" s="23"/>
      <c r="F225" s="23"/>
      <c r="G225" s="23">
        <f>PinjamanTable[[#This Row],[Pokok (Rp) *]]+PinjamanTable[[#This Row],[Admin (Rp)]]</f>
        <v>0</v>
      </c>
      <c r="H225" s="24"/>
      <c r="I225" s="22"/>
      <c r="J225" s="21"/>
      <c r="K225" s="21"/>
    </row>
    <row r="226" spans="1:11" ht="21" customHeight="1">
      <c r="A226" s="21"/>
      <c r="B226" s="21"/>
      <c r="C226" s="20" t="str">
        <f>IF(B226="","",IF(COUNTIF('01_Anggota'!$D$5:$D$1212,B226)=0,"NAMA TIDAK DITEMUKAN",INDEX('01_Anggota'!$B$5:$B$1212,MATCH(B226,'01_Anggota'!$D$5:$D$1212,0))))</f>
        <v/>
      </c>
      <c r="D226" s="21"/>
      <c r="E226" s="23"/>
      <c r="F226" s="23"/>
      <c r="G226" s="23">
        <f>PinjamanTable[[#This Row],[Pokok (Rp) *]]+PinjamanTable[[#This Row],[Admin (Rp)]]</f>
        <v>0</v>
      </c>
      <c r="H226" s="24"/>
      <c r="I226" s="22"/>
      <c r="J226" s="21"/>
      <c r="K226" s="21"/>
    </row>
    <row r="227" spans="1:11" ht="21" customHeight="1">
      <c r="A227" s="21"/>
      <c r="B227" s="21"/>
      <c r="C227" s="20" t="str">
        <f>IF(B227="","",IF(COUNTIF('01_Anggota'!$D$5:$D$1212,B227)=0,"NAMA TIDAK DITEMUKAN",INDEX('01_Anggota'!$B$5:$B$1212,MATCH(B227,'01_Anggota'!$D$5:$D$1212,0))))</f>
        <v/>
      </c>
      <c r="D227" s="21"/>
      <c r="E227" s="23"/>
      <c r="F227" s="23"/>
      <c r="G227" s="23">
        <f>PinjamanTable[[#This Row],[Pokok (Rp) *]]+PinjamanTable[[#This Row],[Admin (Rp)]]</f>
        <v>0</v>
      </c>
      <c r="H227" s="24"/>
      <c r="I227" s="22"/>
      <c r="J227" s="21"/>
      <c r="K227" s="21"/>
    </row>
    <row r="228" spans="1:11" ht="21" customHeight="1">
      <c r="A228" s="21"/>
      <c r="B228" s="21"/>
      <c r="C228" s="20" t="str">
        <f>IF(B228="","",IF(COUNTIF('01_Anggota'!$D$5:$D$1212,B228)=0,"NAMA TIDAK DITEMUKAN",INDEX('01_Anggota'!$B$5:$B$1212,MATCH(B228,'01_Anggota'!$D$5:$D$1212,0))))</f>
        <v/>
      </c>
      <c r="D228" s="21"/>
      <c r="E228" s="23"/>
      <c r="F228" s="23"/>
      <c r="G228" s="23">
        <f>PinjamanTable[[#This Row],[Pokok (Rp) *]]+PinjamanTable[[#This Row],[Admin (Rp)]]</f>
        <v>0</v>
      </c>
      <c r="H228" s="24"/>
      <c r="I228" s="22"/>
      <c r="J228" s="21"/>
      <c r="K228" s="21"/>
    </row>
    <row r="229" spans="1:11" ht="21" customHeight="1">
      <c r="A229" s="21"/>
      <c r="B229" s="21"/>
      <c r="C229" s="20" t="str">
        <f>IF(B229="","",IF(COUNTIF('01_Anggota'!$D$5:$D$1212,B229)=0,"NAMA TIDAK DITEMUKAN",INDEX('01_Anggota'!$B$5:$B$1212,MATCH(B229,'01_Anggota'!$D$5:$D$1212,0))))</f>
        <v/>
      </c>
      <c r="D229" s="21"/>
      <c r="E229" s="23"/>
      <c r="F229" s="23"/>
      <c r="G229" s="23">
        <f>PinjamanTable[[#This Row],[Pokok (Rp) *]]+PinjamanTable[[#This Row],[Admin (Rp)]]</f>
        <v>0</v>
      </c>
      <c r="H229" s="24"/>
      <c r="I229" s="22"/>
      <c r="J229" s="21"/>
      <c r="K229" s="21"/>
    </row>
    <row r="230" spans="1:11" ht="21" customHeight="1">
      <c r="A230" s="21"/>
      <c r="B230" s="21"/>
      <c r="C230" s="20" t="str">
        <f>IF(B230="","",IF(COUNTIF('01_Anggota'!$D$5:$D$1212,B230)=0,"NAMA TIDAK DITEMUKAN",INDEX('01_Anggota'!$B$5:$B$1212,MATCH(B230,'01_Anggota'!$D$5:$D$1212,0))))</f>
        <v/>
      </c>
      <c r="D230" s="21"/>
      <c r="E230" s="23"/>
      <c r="F230" s="23"/>
      <c r="G230" s="23">
        <f>PinjamanTable[[#This Row],[Pokok (Rp) *]]+PinjamanTable[[#This Row],[Admin (Rp)]]</f>
        <v>0</v>
      </c>
      <c r="H230" s="24"/>
      <c r="I230" s="22"/>
      <c r="J230" s="21"/>
      <c r="K230" s="21"/>
    </row>
    <row r="231" spans="1:11" ht="21" customHeight="1">
      <c r="A231" s="21"/>
      <c r="B231" s="21"/>
      <c r="C231" s="20" t="str">
        <f>IF(B231="","",IF(COUNTIF('01_Anggota'!$D$5:$D$1212,B231)=0,"NAMA TIDAK DITEMUKAN",INDEX('01_Anggota'!$B$5:$B$1212,MATCH(B231,'01_Anggota'!$D$5:$D$1212,0))))</f>
        <v/>
      </c>
      <c r="D231" s="21"/>
      <c r="E231" s="23"/>
      <c r="F231" s="23"/>
      <c r="G231" s="23">
        <f>PinjamanTable[[#This Row],[Pokok (Rp) *]]+PinjamanTable[[#This Row],[Admin (Rp)]]</f>
        <v>0</v>
      </c>
      <c r="H231" s="24"/>
      <c r="I231" s="22"/>
      <c r="J231" s="21"/>
      <c r="K231" s="21"/>
    </row>
    <row r="232" spans="1:11" ht="21" customHeight="1">
      <c r="A232" s="21"/>
      <c r="B232" s="21"/>
      <c r="C232" s="20" t="str">
        <f>IF(B232="","",IF(COUNTIF('01_Anggota'!$D$5:$D$1212,B232)=0,"NAMA TIDAK DITEMUKAN",INDEX('01_Anggota'!$B$5:$B$1212,MATCH(B232,'01_Anggota'!$D$5:$D$1212,0))))</f>
        <v/>
      </c>
      <c r="D232" s="21"/>
      <c r="E232" s="23"/>
      <c r="F232" s="23"/>
      <c r="G232" s="23">
        <f>PinjamanTable[[#This Row],[Pokok (Rp) *]]+PinjamanTable[[#This Row],[Admin (Rp)]]</f>
        <v>0</v>
      </c>
      <c r="H232" s="24"/>
      <c r="I232" s="22"/>
      <c r="J232" s="21"/>
      <c r="K232" s="21"/>
    </row>
    <row r="233" spans="1:11" ht="21" customHeight="1">
      <c r="A233" s="21"/>
      <c r="B233" s="21"/>
      <c r="C233" s="20" t="str">
        <f>IF(B233="","",IF(COUNTIF('01_Anggota'!$D$5:$D$1212,B233)=0,"NAMA TIDAK DITEMUKAN",INDEX('01_Anggota'!$B$5:$B$1212,MATCH(B233,'01_Anggota'!$D$5:$D$1212,0))))</f>
        <v/>
      </c>
      <c r="D233" s="21"/>
      <c r="E233" s="23"/>
      <c r="F233" s="23"/>
      <c r="G233" s="23">
        <f>PinjamanTable[[#This Row],[Pokok (Rp) *]]+PinjamanTable[[#This Row],[Admin (Rp)]]</f>
        <v>0</v>
      </c>
      <c r="H233" s="24"/>
      <c r="I233" s="22"/>
      <c r="J233" s="21"/>
      <c r="K233" s="21"/>
    </row>
    <row r="234" spans="1:11" ht="21" customHeight="1">
      <c r="A234" s="21"/>
      <c r="B234" s="21"/>
      <c r="C234" s="20" t="str">
        <f>IF(B234="","",IF(COUNTIF('01_Anggota'!$D$5:$D$1212,B234)=0,"NAMA TIDAK DITEMUKAN",INDEX('01_Anggota'!$B$5:$B$1212,MATCH(B234,'01_Anggota'!$D$5:$D$1212,0))))</f>
        <v/>
      </c>
      <c r="D234" s="21"/>
      <c r="E234" s="23"/>
      <c r="F234" s="23"/>
      <c r="G234" s="23">
        <f>PinjamanTable[[#This Row],[Pokok (Rp) *]]+PinjamanTable[[#This Row],[Admin (Rp)]]</f>
        <v>0</v>
      </c>
      <c r="H234" s="24"/>
      <c r="I234" s="22"/>
      <c r="J234" s="21"/>
      <c r="K234" s="21"/>
    </row>
    <row r="235" spans="1:11" ht="21" customHeight="1">
      <c r="A235" s="21"/>
      <c r="B235" s="21"/>
      <c r="C235" s="20" t="str">
        <f>IF(B235="","",IF(COUNTIF('01_Anggota'!$D$5:$D$1212,B235)=0,"NAMA TIDAK DITEMUKAN",INDEX('01_Anggota'!$B$5:$B$1212,MATCH(B235,'01_Anggota'!$D$5:$D$1212,0))))</f>
        <v/>
      </c>
      <c r="D235" s="21"/>
      <c r="E235" s="23"/>
      <c r="F235" s="23"/>
      <c r="G235" s="23">
        <f>PinjamanTable[[#This Row],[Pokok (Rp) *]]+PinjamanTable[[#This Row],[Admin (Rp)]]</f>
        <v>0</v>
      </c>
      <c r="H235" s="24"/>
      <c r="I235" s="22"/>
      <c r="J235" s="21"/>
      <c r="K235" s="21"/>
    </row>
    <row r="236" spans="1:11" ht="21" customHeight="1">
      <c r="A236" s="21"/>
      <c r="B236" s="21"/>
      <c r="C236" s="20" t="str">
        <f>IF(B236="","",IF(COUNTIF('01_Anggota'!$D$5:$D$1212,B236)=0,"NAMA TIDAK DITEMUKAN",INDEX('01_Anggota'!$B$5:$B$1212,MATCH(B236,'01_Anggota'!$D$5:$D$1212,0))))</f>
        <v/>
      </c>
      <c r="D236" s="21"/>
      <c r="E236" s="23"/>
      <c r="F236" s="23"/>
      <c r="G236" s="23">
        <f>PinjamanTable[[#This Row],[Pokok (Rp) *]]+PinjamanTable[[#This Row],[Admin (Rp)]]</f>
        <v>0</v>
      </c>
      <c r="H236" s="24"/>
      <c r="I236" s="22"/>
      <c r="J236" s="21"/>
      <c r="K236" s="21"/>
    </row>
    <row r="237" spans="1:11" ht="21" customHeight="1">
      <c r="A237" s="21"/>
      <c r="B237" s="21"/>
      <c r="C237" s="20" t="str">
        <f>IF(B237="","",IF(COUNTIF('01_Anggota'!$D$5:$D$1212,B237)=0,"NAMA TIDAK DITEMUKAN",INDEX('01_Anggota'!$B$5:$B$1212,MATCH(B237,'01_Anggota'!$D$5:$D$1212,0))))</f>
        <v/>
      </c>
      <c r="D237" s="21"/>
      <c r="E237" s="23"/>
      <c r="F237" s="23"/>
      <c r="G237" s="23">
        <f>PinjamanTable[[#This Row],[Pokok (Rp) *]]+PinjamanTable[[#This Row],[Admin (Rp)]]</f>
        <v>0</v>
      </c>
      <c r="H237" s="24"/>
      <c r="I237" s="22"/>
      <c r="J237" s="21"/>
      <c r="K237" s="21"/>
    </row>
    <row r="238" spans="1:11" ht="21" customHeight="1">
      <c r="A238" s="21"/>
      <c r="B238" s="21"/>
      <c r="C238" s="20" t="str">
        <f>IF(B238="","",IF(COUNTIF('01_Anggota'!$D$5:$D$1212,B238)=0,"NAMA TIDAK DITEMUKAN",INDEX('01_Anggota'!$B$5:$B$1212,MATCH(B238,'01_Anggota'!$D$5:$D$1212,0))))</f>
        <v/>
      </c>
      <c r="D238" s="21"/>
      <c r="E238" s="23"/>
      <c r="F238" s="23"/>
      <c r="G238" s="23">
        <f>PinjamanTable[[#This Row],[Pokok (Rp) *]]+PinjamanTable[[#This Row],[Admin (Rp)]]</f>
        <v>0</v>
      </c>
      <c r="H238" s="24"/>
      <c r="I238" s="22"/>
      <c r="J238" s="21"/>
      <c r="K238" s="21"/>
    </row>
    <row r="239" spans="1:11" ht="21" customHeight="1">
      <c r="A239" s="21"/>
      <c r="B239" s="21"/>
      <c r="C239" s="20" t="str">
        <f>IF(B239="","",IF(COUNTIF('01_Anggota'!$D$5:$D$1212,B239)=0,"NAMA TIDAK DITEMUKAN",INDEX('01_Anggota'!$B$5:$B$1212,MATCH(B239,'01_Anggota'!$D$5:$D$1212,0))))</f>
        <v/>
      </c>
      <c r="D239" s="21"/>
      <c r="E239" s="23"/>
      <c r="F239" s="23"/>
      <c r="G239" s="23">
        <f>PinjamanTable[[#This Row],[Pokok (Rp) *]]+PinjamanTable[[#This Row],[Admin (Rp)]]</f>
        <v>0</v>
      </c>
      <c r="H239" s="24"/>
      <c r="I239" s="22"/>
      <c r="J239" s="21"/>
      <c r="K239" s="21"/>
    </row>
    <row r="240" spans="1:11" ht="21" customHeight="1">
      <c r="A240" s="21"/>
      <c r="B240" s="21"/>
      <c r="C240" s="20" t="str">
        <f>IF(B240="","",IF(COUNTIF('01_Anggota'!$D$5:$D$1212,B240)=0,"NAMA TIDAK DITEMUKAN",INDEX('01_Anggota'!$B$5:$B$1212,MATCH(B240,'01_Anggota'!$D$5:$D$1212,0))))</f>
        <v/>
      </c>
      <c r="D240" s="21"/>
      <c r="E240" s="23"/>
      <c r="F240" s="23"/>
      <c r="G240" s="23">
        <f>PinjamanTable[[#This Row],[Pokok (Rp) *]]+PinjamanTable[[#This Row],[Admin (Rp)]]</f>
        <v>0</v>
      </c>
      <c r="H240" s="24"/>
      <c r="I240" s="22"/>
      <c r="J240" s="21"/>
      <c r="K240" s="21"/>
    </row>
    <row r="241" spans="1:11" ht="21" customHeight="1">
      <c r="A241" s="21"/>
      <c r="B241" s="21"/>
      <c r="C241" s="20" t="str">
        <f>IF(B241="","",IF(COUNTIF('01_Anggota'!$D$5:$D$1212,B241)=0,"NAMA TIDAK DITEMUKAN",INDEX('01_Anggota'!$B$5:$B$1212,MATCH(B241,'01_Anggota'!$D$5:$D$1212,0))))</f>
        <v/>
      </c>
      <c r="D241" s="21"/>
      <c r="E241" s="23"/>
      <c r="F241" s="23"/>
      <c r="G241" s="23">
        <f>PinjamanTable[[#This Row],[Pokok (Rp) *]]+PinjamanTable[[#This Row],[Admin (Rp)]]</f>
        <v>0</v>
      </c>
      <c r="H241" s="24"/>
      <c r="I241" s="22"/>
      <c r="J241" s="21"/>
      <c r="K241" s="21"/>
    </row>
    <row r="242" spans="1:11" ht="21" customHeight="1">
      <c r="A242" s="21"/>
      <c r="B242" s="21"/>
      <c r="C242" s="20" t="str">
        <f>IF(B242="","",IF(COUNTIF('01_Anggota'!$D$5:$D$1212,B242)=0,"NAMA TIDAK DITEMUKAN",INDEX('01_Anggota'!$B$5:$B$1212,MATCH(B242,'01_Anggota'!$D$5:$D$1212,0))))</f>
        <v/>
      </c>
      <c r="D242" s="21"/>
      <c r="E242" s="23"/>
      <c r="F242" s="23"/>
      <c r="G242" s="23">
        <f>PinjamanTable[[#This Row],[Pokok (Rp) *]]+PinjamanTable[[#This Row],[Admin (Rp)]]</f>
        <v>0</v>
      </c>
      <c r="H242" s="24"/>
      <c r="I242" s="22"/>
      <c r="J242" s="21"/>
      <c r="K242" s="21"/>
    </row>
    <row r="243" spans="1:11" ht="21" customHeight="1">
      <c r="A243" s="21"/>
      <c r="B243" s="21"/>
      <c r="C243" s="20" t="str">
        <f>IF(B243="","",IF(COUNTIF('01_Anggota'!$D$5:$D$1212,B243)=0,"NAMA TIDAK DITEMUKAN",INDEX('01_Anggota'!$B$5:$B$1212,MATCH(B243,'01_Anggota'!$D$5:$D$1212,0))))</f>
        <v/>
      </c>
      <c r="D243" s="21"/>
      <c r="E243" s="23"/>
      <c r="F243" s="23"/>
      <c r="G243" s="23">
        <f>PinjamanTable[[#This Row],[Pokok (Rp) *]]+PinjamanTable[[#This Row],[Admin (Rp)]]</f>
        <v>0</v>
      </c>
      <c r="H243" s="24"/>
      <c r="I243" s="22"/>
      <c r="J243" s="21"/>
      <c r="K243" s="21"/>
    </row>
    <row r="244" spans="1:11" ht="21" customHeight="1">
      <c r="A244" s="21"/>
      <c r="B244" s="21"/>
      <c r="C244" s="20" t="str">
        <f>IF(B244="","",IF(COUNTIF('01_Anggota'!$D$5:$D$1212,B244)=0,"NAMA TIDAK DITEMUKAN",INDEX('01_Anggota'!$B$5:$B$1212,MATCH(B244,'01_Anggota'!$D$5:$D$1212,0))))</f>
        <v/>
      </c>
      <c r="D244" s="21"/>
      <c r="E244" s="23"/>
      <c r="F244" s="23"/>
      <c r="G244" s="23">
        <f>PinjamanTable[[#This Row],[Pokok (Rp) *]]+PinjamanTable[[#This Row],[Admin (Rp)]]</f>
        <v>0</v>
      </c>
      <c r="H244" s="24"/>
      <c r="I244" s="22"/>
      <c r="J244" s="21"/>
      <c r="K244" s="21"/>
    </row>
    <row r="245" spans="1:11" ht="21" customHeight="1">
      <c r="A245" s="21"/>
      <c r="B245" s="21"/>
      <c r="C245" s="20" t="str">
        <f>IF(B245="","",IF(COUNTIF('01_Anggota'!$D$5:$D$1212,B245)=0,"NAMA TIDAK DITEMUKAN",INDEX('01_Anggota'!$B$5:$B$1212,MATCH(B245,'01_Anggota'!$D$5:$D$1212,0))))</f>
        <v/>
      </c>
      <c r="D245" s="21"/>
      <c r="E245" s="23"/>
      <c r="F245" s="23"/>
      <c r="G245" s="23">
        <f>PinjamanTable[[#This Row],[Pokok (Rp) *]]+PinjamanTable[[#This Row],[Admin (Rp)]]</f>
        <v>0</v>
      </c>
      <c r="H245" s="24"/>
      <c r="I245" s="22"/>
      <c r="J245" s="21"/>
      <c r="K245" s="21"/>
    </row>
    <row r="246" spans="1:11" ht="21" customHeight="1">
      <c r="A246" s="21"/>
      <c r="B246" s="21"/>
      <c r="C246" s="20" t="str">
        <f>IF(B246="","",IF(COUNTIF('01_Anggota'!$D$5:$D$1212,B246)=0,"NAMA TIDAK DITEMUKAN",INDEX('01_Anggota'!$B$5:$B$1212,MATCH(B246,'01_Anggota'!$D$5:$D$1212,0))))</f>
        <v/>
      </c>
      <c r="D246" s="21"/>
      <c r="E246" s="23"/>
      <c r="F246" s="23"/>
      <c r="G246" s="23">
        <f>PinjamanTable[[#This Row],[Pokok (Rp) *]]+PinjamanTable[[#This Row],[Admin (Rp)]]</f>
        <v>0</v>
      </c>
      <c r="H246" s="24"/>
      <c r="I246" s="22"/>
      <c r="J246" s="21"/>
      <c r="K246" s="21"/>
    </row>
    <row r="247" spans="1:11" ht="21" customHeight="1">
      <c r="A247" s="21"/>
      <c r="B247" s="21"/>
      <c r="C247" s="20" t="str">
        <f>IF(B247="","",IF(COUNTIF('01_Anggota'!$D$5:$D$1212,B247)=0,"NAMA TIDAK DITEMUKAN",INDEX('01_Anggota'!$B$5:$B$1212,MATCH(B247,'01_Anggota'!$D$5:$D$1212,0))))</f>
        <v/>
      </c>
      <c r="D247" s="21"/>
      <c r="E247" s="23"/>
      <c r="F247" s="23"/>
      <c r="G247" s="23">
        <f>PinjamanTable[[#This Row],[Pokok (Rp) *]]+PinjamanTable[[#This Row],[Admin (Rp)]]</f>
        <v>0</v>
      </c>
      <c r="H247" s="24"/>
      <c r="I247" s="22"/>
      <c r="J247" s="21"/>
      <c r="K247" s="21"/>
    </row>
    <row r="248" spans="1:11" ht="21" customHeight="1">
      <c r="A248" s="21"/>
      <c r="B248" s="21"/>
      <c r="C248" s="20" t="str">
        <f>IF(B248="","",IF(COUNTIF('01_Anggota'!$D$5:$D$1212,B248)=0,"NAMA TIDAK DITEMUKAN",INDEX('01_Anggota'!$B$5:$B$1212,MATCH(B248,'01_Anggota'!$D$5:$D$1212,0))))</f>
        <v/>
      </c>
      <c r="D248" s="21"/>
      <c r="E248" s="23"/>
      <c r="F248" s="23"/>
      <c r="G248" s="23">
        <f>PinjamanTable[[#This Row],[Pokok (Rp) *]]+PinjamanTable[[#This Row],[Admin (Rp)]]</f>
        <v>0</v>
      </c>
      <c r="H248" s="24"/>
      <c r="I248" s="22"/>
      <c r="J248" s="21"/>
      <c r="K248" s="21"/>
    </row>
    <row r="249" spans="1:11" ht="21" customHeight="1">
      <c r="A249" s="21"/>
      <c r="B249" s="21"/>
      <c r="C249" s="20" t="str">
        <f>IF(B249="","",IF(COUNTIF('01_Anggota'!$D$5:$D$1212,B249)=0,"NAMA TIDAK DITEMUKAN",INDEX('01_Anggota'!$B$5:$B$1212,MATCH(B249,'01_Anggota'!$D$5:$D$1212,0))))</f>
        <v/>
      </c>
      <c r="D249" s="21"/>
      <c r="E249" s="23"/>
      <c r="F249" s="23"/>
      <c r="G249" s="23">
        <f>PinjamanTable[[#This Row],[Pokok (Rp) *]]+PinjamanTable[[#This Row],[Admin (Rp)]]</f>
        <v>0</v>
      </c>
      <c r="H249" s="24"/>
      <c r="I249" s="22"/>
      <c r="J249" s="21"/>
      <c r="K249" s="21"/>
    </row>
    <row r="250" spans="1:11" ht="21" customHeight="1">
      <c r="A250" s="21"/>
      <c r="B250" s="21"/>
      <c r="C250" s="20" t="str">
        <f>IF(B250="","",IF(COUNTIF('01_Anggota'!$D$5:$D$1212,B250)=0,"NAMA TIDAK DITEMUKAN",INDEX('01_Anggota'!$B$5:$B$1212,MATCH(B250,'01_Anggota'!$D$5:$D$1212,0))))</f>
        <v/>
      </c>
      <c r="D250" s="21"/>
      <c r="E250" s="23"/>
      <c r="F250" s="23"/>
      <c r="G250" s="23">
        <f>PinjamanTable[[#This Row],[Pokok (Rp) *]]+PinjamanTable[[#This Row],[Admin (Rp)]]</f>
        <v>0</v>
      </c>
      <c r="H250" s="24"/>
      <c r="I250" s="22"/>
      <c r="J250" s="21"/>
      <c r="K250" s="21"/>
    </row>
    <row r="251" spans="1:11" ht="21" customHeight="1">
      <c r="A251" s="21"/>
      <c r="B251" s="21"/>
      <c r="C251" s="20" t="str">
        <f>IF(B251="","",IF(COUNTIF('01_Anggota'!$D$5:$D$1212,B251)=0,"NAMA TIDAK DITEMUKAN",INDEX('01_Anggota'!$B$5:$B$1212,MATCH(B251,'01_Anggota'!$D$5:$D$1212,0))))</f>
        <v/>
      </c>
      <c r="D251" s="21"/>
      <c r="E251" s="23"/>
      <c r="F251" s="23"/>
      <c r="G251" s="23">
        <f>PinjamanTable[[#This Row],[Pokok (Rp) *]]+PinjamanTable[[#This Row],[Admin (Rp)]]</f>
        <v>0</v>
      </c>
      <c r="H251" s="24"/>
      <c r="I251" s="22"/>
      <c r="J251" s="21"/>
      <c r="K251" s="21"/>
    </row>
    <row r="252" spans="1:11" ht="21" customHeight="1">
      <c r="A252" s="21"/>
      <c r="B252" s="21"/>
      <c r="C252" s="20" t="str">
        <f>IF(B252="","",IF(COUNTIF('01_Anggota'!$D$5:$D$1212,B252)=0,"NAMA TIDAK DITEMUKAN",INDEX('01_Anggota'!$B$5:$B$1212,MATCH(B252,'01_Anggota'!$D$5:$D$1212,0))))</f>
        <v/>
      </c>
      <c r="D252" s="21"/>
      <c r="E252" s="23"/>
      <c r="F252" s="23"/>
      <c r="G252" s="23">
        <f>PinjamanTable[[#This Row],[Pokok (Rp) *]]+PinjamanTable[[#This Row],[Admin (Rp)]]</f>
        <v>0</v>
      </c>
      <c r="H252" s="24"/>
      <c r="I252" s="22"/>
      <c r="J252" s="21"/>
      <c r="K252" s="21"/>
    </row>
    <row r="253" spans="1:11" ht="21" customHeight="1">
      <c r="A253" s="21"/>
      <c r="B253" s="21"/>
      <c r="C253" s="20" t="str">
        <f>IF(B253="","",IF(COUNTIF('01_Anggota'!$D$5:$D$1212,B253)=0,"NAMA TIDAK DITEMUKAN",INDEX('01_Anggota'!$B$5:$B$1212,MATCH(B253,'01_Anggota'!$D$5:$D$1212,0))))</f>
        <v/>
      </c>
      <c r="D253" s="21"/>
      <c r="E253" s="23"/>
      <c r="F253" s="23"/>
      <c r="G253" s="23">
        <f>PinjamanTable[[#This Row],[Pokok (Rp) *]]+PinjamanTable[[#This Row],[Admin (Rp)]]</f>
        <v>0</v>
      </c>
      <c r="H253" s="24"/>
      <c r="I253" s="22"/>
      <c r="J253" s="21"/>
      <c r="K253" s="21"/>
    </row>
    <row r="254" spans="1:11" ht="21" customHeight="1">
      <c r="A254" s="21"/>
      <c r="B254" s="21"/>
      <c r="C254" s="20" t="str">
        <f>IF(B254="","",IF(COUNTIF('01_Anggota'!$D$5:$D$1212,B254)=0,"NAMA TIDAK DITEMUKAN",INDEX('01_Anggota'!$B$5:$B$1212,MATCH(B254,'01_Anggota'!$D$5:$D$1212,0))))</f>
        <v/>
      </c>
      <c r="D254" s="21"/>
      <c r="E254" s="23"/>
      <c r="F254" s="23"/>
      <c r="G254" s="23">
        <f>PinjamanTable[[#This Row],[Pokok (Rp) *]]+PinjamanTable[[#This Row],[Admin (Rp)]]</f>
        <v>0</v>
      </c>
      <c r="H254" s="24"/>
      <c r="I254" s="22"/>
      <c r="J254" s="21"/>
      <c r="K254" s="21"/>
    </row>
    <row r="255" spans="1:11" ht="21" customHeight="1">
      <c r="A255" s="21"/>
      <c r="B255" s="21"/>
      <c r="C255" s="20" t="str">
        <f>IF(B255="","",IF(COUNTIF('01_Anggota'!$D$5:$D$1212,B255)=0,"NAMA TIDAK DITEMUKAN",INDEX('01_Anggota'!$B$5:$B$1212,MATCH(B255,'01_Anggota'!$D$5:$D$1212,0))))</f>
        <v/>
      </c>
      <c r="D255" s="21"/>
      <c r="E255" s="23"/>
      <c r="F255" s="23"/>
      <c r="G255" s="23">
        <f>PinjamanTable[[#This Row],[Pokok (Rp) *]]+PinjamanTable[[#This Row],[Admin (Rp)]]</f>
        <v>0</v>
      </c>
      <c r="H255" s="24"/>
      <c r="I255" s="22"/>
      <c r="J255" s="21"/>
      <c r="K255" s="21"/>
    </row>
    <row r="256" spans="1:11" ht="21" customHeight="1">
      <c r="A256" s="21"/>
      <c r="B256" s="21"/>
      <c r="C256" s="20" t="str">
        <f>IF(B256="","",IF(COUNTIF('01_Anggota'!$D$5:$D$1212,B256)=0,"NAMA TIDAK DITEMUKAN",INDEX('01_Anggota'!$B$5:$B$1212,MATCH(B256,'01_Anggota'!$D$5:$D$1212,0))))</f>
        <v/>
      </c>
      <c r="D256" s="21"/>
      <c r="E256" s="23"/>
      <c r="F256" s="23"/>
      <c r="G256" s="23">
        <f>PinjamanTable[[#This Row],[Pokok (Rp) *]]+PinjamanTable[[#This Row],[Admin (Rp)]]</f>
        <v>0</v>
      </c>
      <c r="H256" s="24"/>
      <c r="I256" s="22"/>
      <c r="J256" s="21"/>
      <c r="K256" s="21"/>
    </row>
    <row r="257" spans="1:11" ht="21" customHeight="1">
      <c r="A257" s="21"/>
      <c r="B257" s="21"/>
      <c r="C257" s="20" t="str">
        <f>IF(B257="","",IF(COUNTIF('01_Anggota'!$D$5:$D$1212,B257)=0,"NAMA TIDAK DITEMUKAN",INDEX('01_Anggota'!$B$5:$B$1212,MATCH(B257,'01_Anggota'!$D$5:$D$1212,0))))</f>
        <v/>
      </c>
      <c r="D257" s="21"/>
      <c r="E257" s="23"/>
      <c r="F257" s="23"/>
      <c r="G257" s="23">
        <f>PinjamanTable[[#This Row],[Pokok (Rp) *]]+PinjamanTable[[#This Row],[Admin (Rp)]]</f>
        <v>0</v>
      </c>
      <c r="H257" s="24"/>
      <c r="I257" s="22"/>
      <c r="J257" s="21"/>
      <c r="K257" s="21"/>
    </row>
    <row r="258" spans="1:11" ht="21" customHeight="1">
      <c r="A258" s="21"/>
      <c r="B258" s="21"/>
      <c r="C258" s="20" t="str">
        <f>IF(B258="","",IF(COUNTIF('01_Anggota'!$D$5:$D$1212,B258)=0,"NAMA TIDAK DITEMUKAN",INDEX('01_Anggota'!$B$5:$B$1212,MATCH(B258,'01_Anggota'!$D$5:$D$1212,0))))</f>
        <v/>
      </c>
      <c r="D258" s="21"/>
      <c r="E258" s="23"/>
      <c r="F258" s="23"/>
      <c r="G258" s="23">
        <f>PinjamanTable[[#This Row],[Pokok (Rp) *]]+PinjamanTable[[#This Row],[Admin (Rp)]]</f>
        <v>0</v>
      </c>
      <c r="H258" s="24"/>
      <c r="I258" s="22"/>
      <c r="J258" s="21"/>
      <c r="K258" s="21"/>
    </row>
    <row r="259" spans="1:11" ht="21" customHeight="1">
      <c r="A259" s="21"/>
      <c r="B259" s="21"/>
      <c r="C259" s="20" t="str">
        <f>IF(B259="","",IF(COUNTIF('01_Anggota'!$D$5:$D$1212,B259)=0,"NAMA TIDAK DITEMUKAN",INDEX('01_Anggota'!$B$5:$B$1212,MATCH(B259,'01_Anggota'!$D$5:$D$1212,0))))</f>
        <v/>
      </c>
      <c r="D259" s="21"/>
      <c r="E259" s="23"/>
      <c r="F259" s="23"/>
      <c r="G259" s="23">
        <f>PinjamanTable[[#This Row],[Pokok (Rp) *]]+PinjamanTable[[#This Row],[Admin (Rp)]]</f>
        <v>0</v>
      </c>
      <c r="H259" s="24"/>
      <c r="I259" s="22"/>
      <c r="J259" s="21"/>
      <c r="K259" s="21"/>
    </row>
    <row r="260" spans="1:11" ht="21" customHeight="1">
      <c r="A260" s="21"/>
      <c r="B260" s="21"/>
      <c r="C260" s="20" t="str">
        <f>IF(B260="","",IF(COUNTIF('01_Anggota'!$D$5:$D$1212,B260)=0,"NAMA TIDAK DITEMUKAN",INDEX('01_Anggota'!$B$5:$B$1212,MATCH(B260,'01_Anggota'!$D$5:$D$1212,0))))</f>
        <v/>
      </c>
      <c r="D260" s="21"/>
      <c r="E260" s="23"/>
      <c r="F260" s="23"/>
      <c r="G260" s="23">
        <f>PinjamanTable[[#This Row],[Pokok (Rp) *]]+PinjamanTable[[#This Row],[Admin (Rp)]]</f>
        <v>0</v>
      </c>
      <c r="H260" s="24"/>
      <c r="I260" s="22"/>
      <c r="J260" s="21"/>
      <c r="K260" s="21"/>
    </row>
    <row r="261" spans="1:11" ht="21" customHeight="1">
      <c r="A261" s="21"/>
      <c r="B261" s="21"/>
      <c r="C261" s="20" t="str">
        <f>IF(B261="","",IF(COUNTIF('01_Anggota'!$D$5:$D$1212,B261)=0,"NAMA TIDAK DITEMUKAN",INDEX('01_Anggota'!$B$5:$B$1212,MATCH(B261,'01_Anggota'!$D$5:$D$1212,0))))</f>
        <v/>
      </c>
      <c r="D261" s="21"/>
      <c r="E261" s="23"/>
      <c r="F261" s="23"/>
      <c r="G261" s="23">
        <f>PinjamanTable[[#This Row],[Pokok (Rp) *]]+PinjamanTable[[#This Row],[Admin (Rp)]]</f>
        <v>0</v>
      </c>
      <c r="H261" s="24"/>
      <c r="I261" s="22"/>
      <c r="J261" s="21"/>
      <c r="K261" s="21"/>
    </row>
    <row r="262" spans="1:11" ht="21" customHeight="1">
      <c r="A262" s="21"/>
      <c r="B262" s="21"/>
      <c r="C262" s="20" t="str">
        <f>IF(B262="","",IF(COUNTIF('01_Anggota'!$D$5:$D$1212,B262)=0,"NAMA TIDAK DITEMUKAN",INDEX('01_Anggota'!$B$5:$B$1212,MATCH(B262,'01_Anggota'!$D$5:$D$1212,0))))</f>
        <v/>
      </c>
      <c r="D262" s="21"/>
      <c r="E262" s="23"/>
      <c r="F262" s="23"/>
      <c r="G262" s="23">
        <f>PinjamanTable[[#This Row],[Pokok (Rp) *]]+PinjamanTable[[#This Row],[Admin (Rp)]]</f>
        <v>0</v>
      </c>
      <c r="H262" s="24"/>
      <c r="I262" s="22"/>
      <c r="J262" s="21"/>
      <c r="K262" s="21"/>
    </row>
    <row r="263" spans="1:11" ht="21" customHeight="1">
      <c r="A263" s="21"/>
      <c r="B263" s="21"/>
      <c r="C263" s="20" t="str">
        <f>IF(B263="","",IF(COUNTIF('01_Anggota'!$D$5:$D$1212,B263)=0,"NAMA TIDAK DITEMUKAN",INDEX('01_Anggota'!$B$5:$B$1212,MATCH(B263,'01_Anggota'!$D$5:$D$1212,0))))</f>
        <v/>
      </c>
      <c r="D263" s="21"/>
      <c r="E263" s="23"/>
      <c r="F263" s="23"/>
      <c r="G263" s="23">
        <f>PinjamanTable[[#This Row],[Pokok (Rp) *]]+PinjamanTable[[#This Row],[Admin (Rp)]]</f>
        <v>0</v>
      </c>
      <c r="H263" s="24"/>
      <c r="I263" s="22"/>
      <c r="J263" s="21"/>
      <c r="K263" s="21"/>
    </row>
    <row r="264" spans="1:11" ht="21" customHeight="1">
      <c r="A264" s="21"/>
      <c r="B264" s="21"/>
      <c r="C264" s="20" t="str">
        <f>IF(B264="","",IF(COUNTIF('01_Anggota'!$D$5:$D$1212,B264)=0,"NAMA TIDAK DITEMUKAN",INDEX('01_Anggota'!$B$5:$B$1212,MATCH(B264,'01_Anggota'!$D$5:$D$1212,0))))</f>
        <v/>
      </c>
      <c r="D264" s="21"/>
      <c r="E264" s="23"/>
      <c r="F264" s="23"/>
      <c r="G264" s="23">
        <f>PinjamanTable[[#This Row],[Pokok (Rp) *]]+PinjamanTable[[#This Row],[Admin (Rp)]]</f>
        <v>0</v>
      </c>
      <c r="H264" s="24"/>
      <c r="I264" s="22"/>
      <c r="J264" s="21"/>
      <c r="K264" s="21"/>
    </row>
    <row r="265" spans="1:11" ht="21" customHeight="1">
      <c r="A265" s="21"/>
      <c r="B265" s="21"/>
      <c r="C265" s="20" t="str">
        <f>IF(B265="","",IF(COUNTIF('01_Anggota'!$D$5:$D$1212,B265)=0,"NAMA TIDAK DITEMUKAN",INDEX('01_Anggota'!$B$5:$B$1212,MATCH(B265,'01_Anggota'!$D$5:$D$1212,0))))</f>
        <v/>
      </c>
      <c r="D265" s="21"/>
      <c r="E265" s="23"/>
      <c r="F265" s="23"/>
      <c r="G265" s="23">
        <f>PinjamanTable[[#This Row],[Pokok (Rp) *]]+PinjamanTable[[#This Row],[Admin (Rp)]]</f>
        <v>0</v>
      </c>
      <c r="H265" s="24"/>
      <c r="I265" s="22"/>
      <c r="J265" s="21"/>
      <c r="K265" s="21"/>
    </row>
    <row r="266" spans="1:11" ht="21" customHeight="1">
      <c r="A266" s="21"/>
      <c r="B266" s="21"/>
      <c r="C266" s="20" t="str">
        <f>IF(B266="","",IF(COUNTIF('01_Anggota'!$D$5:$D$1212,B266)=0,"NAMA TIDAK DITEMUKAN",INDEX('01_Anggota'!$B$5:$B$1212,MATCH(B266,'01_Anggota'!$D$5:$D$1212,0))))</f>
        <v/>
      </c>
      <c r="D266" s="21"/>
      <c r="E266" s="23"/>
      <c r="F266" s="23"/>
      <c r="G266" s="23">
        <f>PinjamanTable[[#This Row],[Pokok (Rp) *]]+PinjamanTable[[#This Row],[Admin (Rp)]]</f>
        <v>0</v>
      </c>
      <c r="H266" s="24"/>
      <c r="I266" s="22"/>
      <c r="J266" s="21"/>
      <c r="K266" s="21"/>
    </row>
    <row r="267" spans="1:11" ht="21" customHeight="1">
      <c r="A267" s="21"/>
      <c r="B267" s="21"/>
      <c r="C267" s="20" t="str">
        <f>IF(B267="","",IF(COUNTIF('01_Anggota'!$D$5:$D$1212,B267)=0,"NAMA TIDAK DITEMUKAN",INDEX('01_Anggota'!$B$5:$B$1212,MATCH(B267,'01_Anggota'!$D$5:$D$1212,0))))</f>
        <v/>
      </c>
      <c r="D267" s="21"/>
      <c r="E267" s="23"/>
      <c r="F267" s="23"/>
      <c r="G267" s="23">
        <f>PinjamanTable[[#This Row],[Pokok (Rp) *]]+PinjamanTable[[#This Row],[Admin (Rp)]]</f>
        <v>0</v>
      </c>
      <c r="H267" s="24"/>
      <c r="I267" s="22"/>
      <c r="J267" s="21"/>
      <c r="K267" s="21"/>
    </row>
    <row r="268" spans="1:11" ht="21" customHeight="1">
      <c r="A268" s="21"/>
      <c r="B268" s="21"/>
      <c r="C268" s="20" t="str">
        <f>IF(B268="","",IF(COUNTIF('01_Anggota'!$D$5:$D$1212,B268)=0,"NAMA TIDAK DITEMUKAN",INDEX('01_Anggota'!$B$5:$B$1212,MATCH(B268,'01_Anggota'!$D$5:$D$1212,0))))</f>
        <v/>
      </c>
      <c r="D268" s="21"/>
      <c r="E268" s="23"/>
      <c r="F268" s="23"/>
      <c r="G268" s="23">
        <f>PinjamanTable[[#This Row],[Pokok (Rp) *]]+PinjamanTable[[#This Row],[Admin (Rp)]]</f>
        <v>0</v>
      </c>
      <c r="H268" s="24"/>
      <c r="I268" s="22"/>
      <c r="J268" s="21"/>
      <c r="K268" s="21"/>
    </row>
    <row r="269" spans="1:11" ht="21" customHeight="1">
      <c r="A269" s="21"/>
      <c r="B269" s="21"/>
      <c r="C269" s="20" t="str">
        <f>IF(B269="","",IF(COUNTIF('01_Anggota'!$D$5:$D$1212,B269)=0,"NAMA TIDAK DITEMUKAN",INDEX('01_Anggota'!$B$5:$B$1212,MATCH(B269,'01_Anggota'!$D$5:$D$1212,0))))</f>
        <v/>
      </c>
      <c r="D269" s="21"/>
      <c r="E269" s="23"/>
      <c r="F269" s="23"/>
      <c r="G269" s="23">
        <f>PinjamanTable[[#This Row],[Pokok (Rp) *]]+PinjamanTable[[#This Row],[Admin (Rp)]]</f>
        <v>0</v>
      </c>
      <c r="H269" s="24"/>
      <c r="I269" s="22"/>
      <c r="J269" s="21"/>
      <c r="K269" s="21"/>
    </row>
    <row r="270" spans="1:11" ht="21" customHeight="1">
      <c r="A270" s="21"/>
      <c r="B270" s="21"/>
      <c r="C270" s="20" t="str">
        <f>IF(B270="","",IF(COUNTIF('01_Anggota'!$D$5:$D$1212,B270)=0,"NAMA TIDAK DITEMUKAN",INDEX('01_Anggota'!$B$5:$B$1212,MATCH(B270,'01_Anggota'!$D$5:$D$1212,0))))</f>
        <v/>
      </c>
      <c r="D270" s="21"/>
      <c r="E270" s="23"/>
      <c r="F270" s="23"/>
      <c r="G270" s="23">
        <f>PinjamanTable[[#This Row],[Pokok (Rp) *]]+PinjamanTable[[#This Row],[Admin (Rp)]]</f>
        <v>0</v>
      </c>
      <c r="H270" s="24"/>
      <c r="I270" s="22"/>
      <c r="J270" s="21"/>
      <c r="K270" s="21"/>
    </row>
    <row r="271" spans="1:11" ht="21" customHeight="1">
      <c r="A271" s="21"/>
      <c r="B271" s="21"/>
      <c r="C271" s="20" t="str">
        <f>IF(B271="","",IF(COUNTIF('01_Anggota'!$D$5:$D$1212,B271)=0,"NAMA TIDAK DITEMUKAN",INDEX('01_Anggota'!$B$5:$B$1212,MATCH(B271,'01_Anggota'!$D$5:$D$1212,0))))</f>
        <v/>
      </c>
      <c r="D271" s="21"/>
      <c r="E271" s="23"/>
      <c r="F271" s="23"/>
      <c r="G271" s="23">
        <f>PinjamanTable[[#This Row],[Pokok (Rp) *]]+PinjamanTable[[#This Row],[Admin (Rp)]]</f>
        <v>0</v>
      </c>
      <c r="H271" s="24"/>
      <c r="I271" s="22"/>
      <c r="J271" s="21"/>
      <c r="K271" s="21"/>
    </row>
    <row r="272" spans="1:11" ht="21" customHeight="1">
      <c r="A272" s="21"/>
      <c r="B272" s="21"/>
      <c r="C272" s="20" t="str">
        <f>IF(B272="","",IF(COUNTIF('01_Anggota'!$D$5:$D$1212,B272)=0,"NAMA TIDAK DITEMUKAN",INDEX('01_Anggota'!$B$5:$B$1212,MATCH(B272,'01_Anggota'!$D$5:$D$1212,0))))</f>
        <v/>
      </c>
      <c r="D272" s="21"/>
      <c r="E272" s="23"/>
      <c r="F272" s="23"/>
      <c r="G272" s="23">
        <f>PinjamanTable[[#This Row],[Pokok (Rp) *]]+PinjamanTable[[#This Row],[Admin (Rp)]]</f>
        <v>0</v>
      </c>
      <c r="H272" s="24"/>
      <c r="I272" s="22"/>
      <c r="J272" s="21"/>
      <c r="K272" s="21"/>
    </row>
    <row r="273" spans="1:11" ht="21" customHeight="1">
      <c r="A273" s="21"/>
      <c r="B273" s="21"/>
      <c r="C273" s="20" t="str">
        <f>IF(B273="","",IF(COUNTIF('01_Anggota'!$D$5:$D$1212,B273)=0,"NAMA TIDAK DITEMUKAN",INDEX('01_Anggota'!$B$5:$B$1212,MATCH(B273,'01_Anggota'!$D$5:$D$1212,0))))</f>
        <v/>
      </c>
      <c r="D273" s="21"/>
      <c r="E273" s="23"/>
      <c r="F273" s="23"/>
      <c r="G273" s="23">
        <f>PinjamanTable[[#This Row],[Pokok (Rp) *]]+PinjamanTable[[#This Row],[Admin (Rp)]]</f>
        <v>0</v>
      </c>
      <c r="H273" s="24"/>
      <c r="I273" s="22"/>
      <c r="J273" s="21"/>
      <c r="K273" s="21"/>
    </row>
    <row r="274" spans="1:11" ht="21" customHeight="1">
      <c r="A274" s="21"/>
      <c r="B274" s="21"/>
      <c r="C274" s="20" t="str">
        <f>IF(B274="","",IF(COUNTIF('01_Anggota'!$D$5:$D$1212,B274)=0,"NAMA TIDAK DITEMUKAN",INDEX('01_Anggota'!$B$5:$B$1212,MATCH(B274,'01_Anggota'!$D$5:$D$1212,0))))</f>
        <v/>
      </c>
      <c r="D274" s="21"/>
      <c r="E274" s="23"/>
      <c r="F274" s="23"/>
      <c r="G274" s="23">
        <f>PinjamanTable[[#This Row],[Pokok (Rp) *]]+PinjamanTable[[#This Row],[Admin (Rp)]]</f>
        <v>0</v>
      </c>
      <c r="H274" s="24"/>
      <c r="I274" s="22"/>
      <c r="J274" s="21"/>
      <c r="K274" s="21"/>
    </row>
    <row r="275" spans="1:11" ht="21" customHeight="1">
      <c r="A275" s="21"/>
      <c r="B275" s="21"/>
      <c r="C275" s="20" t="str">
        <f>IF(B275="","",IF(COUNTIF('01_Anggota'!$D$5:$D$1212,B275)=0,"NAMA TIDAK DITEMUKAN",INDEX('01_Anggota'!$B$5:$B$1212,MATCH(B275,'01_Anggota'!$D$5:$D$1212,0))))</f>
        <v/>
      </c>
      <c r="D275" s="21"/>
      <c r="E275" s="23"/>
      <c r="F275" s="23"/>
      <c r="G275" s="23">
        <f>PinjamanTable[[#This Row],[Pokok (Rp) *]]+PinjamanTable[[#This Row],[Admin (Rp)]]</f>
        <v>0</v>
      </c>
      <c r="H275" s="24"/>
      <c r="I275" s="22"/>
      <c r="J275" s="21"/>
      <c r="K275" s="21"/>
    </row>
    <row r="276" spans="1:11" ht="21" customHeight="1">
      <c r="A276" s="21"/>
      <c r="B276" s="21"/>
      <c r="C276" s="20" t="str">
        <f>IF(B276="","",IF(COUNTIF('01_Anggota'!$D$5:$D$1212,B276)=0,"NAMA TIDAK DITEMUKAN",INDEX('01_Anggota'!$B$5:$B$1212,MATCH(B276,'01_Anggota'!$D$5:$D$1212,0))))</f>
        <v/>
      </c>
      <c r="D276" s="21"/>
      <c r="E276" s="23"/>
      <c r="F276" s="23"/>
      <c r="G276" s="23">
        <f>PinjamanTable[[#This Row],[Pokok (Rp) *]]+PinjamanTable[[#This Row],[Admin (Rp)]]</f>
        <v>0</v>
      </c>
      <c r="H276" s="24"/>
      <c r="I276" s="22"/>
      <c r="J276" s="21"/>
      <c r="K276" s="21"/>
    </row>
    <row r="277" spans="1:11" ht="21" customHeight="1">
      <c r="A277" s="21"/>
      <c r="B277" s="21"/>
      <c r="C277" s="20" t="str">
        <f>IF(B277="","",IF(COUNTIF('01_Anggota'!$D$5:$D$1212,B277)=0,"NAMA TIDAK DITEMUKAN",INDEX('01_Anggota'!$B$5:$B$1212,MATCH(B277,'01_Anggota'!$D$5:$D$1212,0))))</f>
        <v/>
      </c>
      <c r="D277" s="21"/>
      <c r="E277" s="23"/>
      <c r="F277" s="23"/>
      <c r="G277" s="23">
        <f>PinjamanTable[[#This Row],[Pokok (Rp) *]]+PinjamanTable[[#This Row],[Admin (Rp)]]</f>
        <v>0</v>
      </c>
      <c r="H277" s="24"/>
      <c r="I277" s="22"/>
      <c r="J277" s="21"/>
      <c r="K277" s="21"/>
    </row>
    <row r="278" spans="1:11" ht="21" customHeight="1">
      <c r="A278" s="21"/>
      <c r="B278" s="21"/>
      <c r="C278" s="20" t="str">
        <f>IF(B278="","",IF(COUNTIF('01_Anggota'!$D$5:$D$1212,B278)=0,"NAMA TIDAK DITEMUKAN",INDEX('01_Anggota'!$B$5:$B$1212,MATCH(B278,'01_Anggota'!$D$5:$D$1212,0))))</f>
        <v/>
      </c>
      <c r="D278" s="21"/>
      <c r="E278" s="23"/>
      <c r="F278" s="23"/>
      <c r="G278" s="23">
        <f>PinjamanTable[[#This Row],[Pokok (Rp) *]]+PinjamanTable[[#This Row],[Admin (Rp)]]</f>
        <v>0</v>
      </c>
      <c r="H278" s="24"/>
      <c r="I278" s="22"/>
      <c r="J278" s="21"/>
      <c r="K278" s="21"/>
    </row>
    <row r="279" spans="1:11" ht="21" customHeight="1">
      <c r="A279" s="21"/>
      <c r="B279" s="21"/>
      <c r="C279" s="20" t="str">
        <f>IF(B279="","",IF(COUNTIF('01_Anggota'!$D$5:$D$1212,B279)=0,"NAMA TIDAK DITEMUKAN",INDEX('01_Anggota'!$B$5:$B$1212,MATCH(B279,'01_Anggota'!$D$5:$D$1212,0))))</f>
        <v/>
      </c>
      <c r="D279" s="21"/>
      <c r="E279" s="23"/>
      <c r="F279" s="23"/>
      <c r="G279" s="23">
        <f>PinjamanTable[[#This Row],[Pokok (Rp) *]]+PinjamanTable[[#This Row],[Admin (Rp)]]</f>
        <v>0</v>
      </c>
      <c r="H279" s="24"/>
      <c r="I279" s="22"/>
      <c r="J279" s="21"/>
      <c r="K279" s="21"/>
    </row>
    <row r="280" spans="1:11" ht="21" customHeight="1">
      <c r="A280" s="21"/>
      <c r="B280" s="21"/>
      <c r="C280" s="20" t="str">
        <f>IF(B280="","",IF(COUNTIF('01_Anggota'!$D$5:$D$1212,B280)=0,"NAMA TIDAK DITEMUKAN",INDEX('01_Anggota'!$B$5:$B$1212,MATCH(B280,'01_Anggota'!$D$5:$D$1212,0))))</f>
        <v/>
      </c>
      <c r="D280" s="21"/>
      <c r="E280" s="23"/>
      <c r="F280" s="23"/>
      <c r="G280" s="23">
        <f>PinjamanTable[[#This Row],[Pokok (Rp) *]]+PinjamanTable[[#This Row],[Admin (Rp)]]</f>
        <v>0</v>
      </c>
      <c r="H280" s="24"/>
      <c r="I280" s="22"/>
      <c r="J280" s="21"/>
      <c r="K280" s="21"/>
    </row>
    <row r="281" spans="1:11" ht="21" customHeight="1">
      <c r="A281" s="21"/>
      <c r="B281" s="21"/>
      <c r="C281" s="20" t="str">
        <f>IF(B281="","",IF(COUNTIF('01_Anggota'!$D$5:$D$1212,B281)=0,"NAMA TIDAK DITEMUKAN",INDEX('01_Anggota'!$B$5:$B$1212,MATCH(B281,'01_Anggota'!$D$5:$D$1212,0))))</f>
        <v/>
      </c>
      <c r="D281" s="21"/>
      <c r="E281" s="23"/>
      <c r="F281" s="23"/>
      <c r="G281" s="23">
        <f>PinjamanTable[[#This Row],[Pokok (Rp) *]]+PinjamanTable[[#This Row],[Admin (Rp)]]</f>
        <v>0</v>
      </c>
      <c r="H281" s="24"/>
      <c r="I281" s="22"/>
      <c r="J281" s="21"/>
      <c r="K281" s="21"/>
    </row>
    <row r="282" spans="1:11" ht="21" customHeight="1">
      <c r="A282" s="21"/>
      <c r="B282" s="21"/>
      <c r="C282" s="20" t="str">
        <f>IF(B282="","",IF(COUNTIF('01_Anggota'!$D$5:$D$1212,B282)=0,"NAMA TIDAK DITEMUKAN",INDEX('01_Anggota'!$B$5:$B$1212,MATCH(B282,'01_Anggota'!$D$5:$D$1212,0))))</f>
        <v/>
      </c>
      <c r="D282" s="21"/>
      <c r="E282" s="23"/>
      <c r="F282" s="23"/>
      <c r="G282" s="23">
        <f>PinjamanTable[[#This Row],[Pokok (Rp) *]]+PinjamanTable[[#This Row],[Admin (Rp)]]</f>
        <v>0</v>
      </c>
      <c r="H282" s="24"/>
      <c r="I282" s="22"/>
      <c r="J282" s="21"/>
      <c r="K282" s="21"/>
    </row>
    <row r="283" spans="1:11" ht="21" customHeight="1">
      <c r="A283" s="21"/>
      <c r="B283" s="21"/>
      <c r="C283" s="20" t="str">
        <f>IF(B283="","",IF(COUNTIF('01_Anggota'!$D$5:$D$1212,B283)=0,"NAMA TIDAK DITEMUKAN",INDEX('01_Anggota'!$B$5:$B$1212,MATCH(B283,'01_Anggota'!$D$5:$D$1212,0))))</f>
        <v/>
      </c>
      <c r="D283" s="21"/>
      <c r="E283" s="23"/>
      <c r="F283" s="23"/>
      <c r="G283" s="23">
        <f>PinjamanTable[[#This Row],[Pokok (Rp) *]]+PinjamanTable[[#This Row],[Admin (Rp)]]</f>
        <v>0</v>
      </c>
      <c r="H283" s="24"/>
      <c r="I283" s="22"/>
      <c r="J283" s="21"/>
      <c r="K283" s="21"/>
    </row>
    <row r="284" spans="1:11" ht="21" customHeight="1">
      <c r="A284" s="21"/>
      <c r="B284" s="21"/>
      <c r="C284" s="20" t="str">
        <f>IF(B284="","",IF(COUNTIF('01_Anggota'!$D$5:$D$1212,B284)=0,"NAMA TIDAK DITEMUKAN",INDEX('01_Anggota'!$B$5:$B$1212,MATCH(B284,'01_Anggota'!$D$5:$D$1212,0))))</f>
        <v/>
      </c>
      <c r="D284" s="21"/>
      <c r="E284" s="23"/>
      <c r="F284" s="23"/>
      <c r="G284" s="23">
        <f>PinjamanTable[[#This Row],[Pokok (Rp) *]]+PinjamanTable[[#This Row],[Admin (Rp)]]</f>
        <v>0</v>
      </c>
      <c r="H284" s="24"/>
      <c r="I284" s="22"/>
      <c r="J284" s="21"/>
      <c r="K284" s="21"/>
    </row>
    <row r="285" spans="1:11" ht="21" customHeight="1">
      <c r="A285" s="21"/>
      <c r="B285" s="21"/>
      <c r="C285" s="20" t="str">
        <f>IF(B285="","",IF(COUNTIF('01_Anggota'!$D$5:$D$1212,B285)=0,"NAMA TIDAK DITEMUKAN",INDEX('01_Anggota'!$B$5:$B$1212,MATCH(B285,'01_Anggota'!$D$5:$D$1212,0))))</f>
        <v/>
      </c>
      <c r="D285" s="21"/>
      <c r="E285" s="23"/>
      <c r="F285" s="23"/>
      <c r="G285" s="23">
        <f>PinjamanTable[[#This Row],[Pokok (Rp) *]]+PinjamanTable[[#This Row],[Admin (Rp)]]</f>
        <v>0</v>
      </c>
      <c r="H285" s="24"/>
      <c r="I285" s="22"/>
      <c r="J285" s="21"/>
      <c r="K285" s="21"/>
    </row>
    <row r="286" spans="1:11" ht="21" customHeight="1">
      <c r="A286" s="21"/>
      <c r="B286" s="21"/>
      <c r="C286" s="20" t="str">
        <f>IF(B286="","",IF(COUNTIF('01_Anggota'!$D$5:$D$1212,B286)=0,"NAMA TIDAK DITEMUKAN",INDEX('01_Anggota'!$B$5:$B$1212,MATCH(B286,'01_Anggota'!$D$5:$D$1212,0))))</f>
        <v/>
      </c>
      <c r="D286" s="21"/>
      <c r="E286" s="23"/>
      <c r="F286" s="23"/>
      <c r="G286" s="23">
        <f>PinjamanTable[[#This Row],[Pokok (Rp) *]]+PinjamanTable[[#This Row],[Admin (Rp)]]</f>
        <v>0</v>
      </c>
      <c r="H286" s="24"/>
      <c r="I286" s="22"/>
      <c r="J286" s="21"/>
      <c r="K286" s="21"/>
    </row>
    <row r="287" spans="1:11" ht="21" customHeight="1">
      <c r="A287" s="21"/>
      <c r="B287" s="21"/>
      <c r="C287" s="20" t="str">
        <f>IF(B287="","",IF(COUNTIF('01_Anggota'!$D$5:$D$1212,B287)=0,"NAMA TIDAK DITEMUKAN",INDEX('01_Anggota'!$B$5:$B$1212,MATCH(B287,'01_Anggota'!$D$5:$D$1212,0))))</f>
        <v/>
      </c>
      <c r="D287" s="21"/>
      <c r="E287" s="23"/>
      <c r="F287" s="23"/>
      <c r="G287" s="23">
        <f>PinjamanTable[[#This Row],[Pokok (Rp) *]]+PinjamanTable[[#This Row],[Admin (Rp)]]</f>
        <v>0</v>
      </c>
      <c r="H287" s="24"/>
      <c r="I287" s="22"/>
      <c r="J287" s="21"/>
      <c r="K287" s="21"/>
    </row>
    <row r="288" spans="1:11" ht="21" customHeight="1">
      <c r="A288" s="21"/>
      <c r="B288" s="21"/>
      <c r="C288" s="20" t="str">
        <f>IF(B288="","",IF(COUNTIF('01_Anggota'!$D$5:$D$1212,B288)=0,"NAMA TIDAK DITEMUKAN",INDEX('01_Anggota'!$B$5:$B$1212,MATCH(B288,'01_Anggota'!$D$5:$D$1212,0))))</f>
        <v/>
      </c>
      <c r="D288" s="21"/>
      <c r="E288" s="23"/>
      <c r="F288" s="23"/>
      <c r="G288" s="23">
        <f>PinjamanTable[[#This Row],[Pokok (Rp) *]]+PinjamanTable[[#This Row],[Admin (Rp)]]</f>
        <v>0</v>
      </c>
      <c r="H288" s="24"/>
      <c r="I288" s="22"/>
      <c r="J288" s="21"/>
      <c r="K288" s="21"/>
    </row>
    <row r="289" spans="1:11" ht="21" customHeight="1">
      <c r="A289" s="21"/>
      <c r="B289" s="21"/>
      <c r="C289" s="20" t="str">
        <f>IF(B289="","",IF(COUNTIF('01_Anggota'!$D$5:$D$1212,B289)=0,"NAMA TIDAK DITEMUKAN",INDEX('01_Anggota'!$B$5:$B$1212,MATCH(B289,'01_Anggota'!$D$5:$D$1212,0))))</f>
        <v/>
      </c>
      <c r="D289" s="21"/>
      <c r="E289" s="23"/>
      <c r="F289" s="23"/>
      <c r="G289" s="23">
        <f>PinjamanTable[[#This Row],[Pokok (Rp) *]]+PinjamanTable[[#This Row],[Admin (Rp)]]</f>
        <v>0</v>
      </c>
      <c r="H289" s="24"/>
      <c r="I289" s="22"/>
      <c r="J289" s="21"/>
      <c r="K289" s="21"/>
    </row>
    <row r="290" spans="1:11" ht="21" customHeight="1">
      <c r="A290" s="21"/>
      <c r="B290" s="21"/>
      <c r="C290" s="20" t="str">
        <f>IF(B290="","",IF(COUNTIF('01_Anggota'!$D$5:$D$1212,B290)=0,"NAMA TIDAK DITEMUKAN",INDEX('01_Anggota'!$B$5:$B$1212,MATCH(B290,'01_Anggota'!$D$5:$D$1212,0))))</f>
        <v/>
      </c>
      <c r="D290" s="21"/>
      <c r="E290" s="23"/>
      <c r="F290" s="23"/>
      <c r="G290" s="23">
        <f>PinjamanTable[[#This Row],[Pokok (Rp) *]]+PinjamanTable[[#This Row],[Admin (Rp)]]</f>
        <v>0</v>
      </c>
      <c r="H290" s="24"/>
      <c r="I290" s="22"/>
      <c r="J290" s="21"/>
      <c r="K290" s="21"/>
    </row>
    <row r="291" spans="1:11" ht="21" customHeight="1">
      <c r="A291" s="21"/>
      <c r="B291" s="21"/>
      <c r="C291" s="20" t="str">
        <f>IF(B291="","",IF(COUNTIF('01_Anggota'!$D$5:$D$1212,B291)=0,"NAMA TIDAK DITEMUKAN",INDEX('01_Anggota'!$B$5:$B$1212,MATCH(B291,'01_Anggota'!$D$5:$D$1212,0))))</f>
        <v/>
      </c>
      <c r="D291" s="21"/>
      <c r="E291" s="23"/>
      <c r="F291" s="23"/>
      <c r="G291" s="23">
        <f>PinjamanTable[[#This Row],[Pokok (Rp) *]]+PinjamanTable[[#This Row],[Admin (Rp)]]</f>
        <v>0</v>
      </c>
      <c r="H291" s="24"/>
      <c r="I291" s="22"/>
      <c r="J291" s="21"/>
      <c r="K291" s="21"/>
    </row>
    <row r="292" spans="1:11" ht="21" customHeight="1">
      <c r="A292" s="21"/>
      <c r="B292" s="21"/>
      <c r="C292" s="20" t="str">
        <f>IF(B292="","",IF(COUNTIF('01_Anggota'!$D$5:$D$1212,B292)=0,"NAMA TIDAK DITEMUKAN",INDEX('01_Anggota'!$B$5:$B$1212,MATCH(B292,'01_Anggota'!$D$5:$D$1212,0))))</f>
        <v/>
      </c>
      <c r="D292" s="21"/>
      <c r="E292" s="23"/>
      <c r="F292" s="23"/>
      <c r="G292" s="23">
        <f>PinjamanTable[[#This Row],[Pokok (Rp) *]]+PinjamanTable[[#This Row],[Admin (Rp)]]</f>
        <v>0</v>
      </c>
      <c r="H292" s="24"/>
      <c r="I292" s="22"/>
      <c r="J292" s="21"/>
      <c r="K292" s="21"/>
    </row>
    <row r="293" spans="1:11" ht="21" customHeight="1">
      <c r="A293" s="21"/>
      <c r="B293" s="21"/>
      <c r="C293" s="20" t="str">
        <f>IF(B293="","",IF(COUNTIF('01_Anggota'!$D$5:$D$1212,B293)=0,"NAMA TIDAK DITEMUKAN",INDEX('01_Anggota'!$B$5:$B$1212,MATCH(B293,'01_Anggota'!$D$5:$D$1212,0))))</f>
        <v/>
      </c>
      <c r="D293" s="21"/>
      <c r="E293" s="23"/>
      <c r="F293" s="23"/>
      <c r="G293" s="23">
        <f>PinjamanTable[[#This Row],[Pokok (Rp) *]]+PinjamanTable[[#This Row],[Admin (Rp)]]</f>
        <v>0</v>
      </c>
      <c r="H293" s="24"/>
      <c r="I293" s="22"/>
      <c r="J293" s="21"/>
      <c r="K293" s="21"/>
    </row>
    <row r="294" spans="1:11" ht="21" customHeight="1">
      <c r="A294" s="21"/>
      <c r="B294" s="21"/>
      <c r="C294" s="20" t="str">
        <f>IF(B294="","",IF(COUNTIF('01_Anggota'!$D$5:$D$1212,B294)=0,"NAMA TIDAK DITEMUKAN",INDEX('01_Anggota'!$B$5:$B$1212,MATCH(B294,'01_Anggota'!$D$5:$D$1212,0))))</f>
        <v/>
      </c>
      <c r="D294" s="21"/>
      <c r="E294" s="23"/>
      <c r="F294" s="23"/>
      <c r="G294" s="23">
        <f>PinjamanTable[[#This Row],[Pokok (Rp) *]]+PinjamanTable[[#This Row],[Admin (Rp)]]</f>
        <v>0</v>
      </c>
      <c r="H294" s="24"/>
      <c r="I294" s="22"/>
      <c r="J294" s="21"/>
      <c r="K294" s="21"/>
    </row>
    <row r="295" spans="1:11" ht="21" customHeight="1">
      <c r="A295" s="21"/>
      <c r="B295" s="21"/>
      <c r="C295" s="20" t="str">
        <f>IF(B295="","",IF(COUNTIF('01_Anggota'!$D$5:$D$1212,B295)=0,"NAMA TIDAK DITEMUKAN",INDEX('01_Anggota'!$B$5:$B$1212,MATCH(B295,'01_Anggota'!$D$5:$D$1212,0))))</f>
        <v/>
      </c>
      <c r="D295" s="21"/>
      <c r="E295" s="23"/>
      <c r="F295" s="23"/>
      <c r="G295" s="23">
        <f>PinjamanTable[[#This Row],[Pokok (Rp) *]]+PinjamanTable[[#This Row],[Admin (Rp)]]</f>
        <v>0</v>
      </c>
      <c r="H295" s="24"/>
      <c r="I295" s="22"/>
      <c r="J295" s="21"/>
      <c r="K295" s="21"/>
    </row>
    <row r="296" spans="1:11" ht="21" customHeight="1">
      <c r="A296" s="21"/>
      <c r="B296" s="21"/>
      <c r="C296" s="20" t="str">
        <f>IF(B296="","",IF(COUNTIF('01_Anggota'!$D$5:$D$1212,B296)=0,"NAMA TIDAK DITEMUKAN",INDEX('01_Anggota'!$B$5:$B$1212,MATCH(B296,'01_Anggota'!$D$5:$D$1212,0))))</f>
        <v/>
      </c>
      <c r="D296" s="21"/>
      <c r="E296" s="23"/>
      <c r="F296" s="23"/>
      <c r="G296" s="23">
        <f>PinjamanTable[[#This Row],[Pokok (Rp) *]]+PinjamanTable[[#This Row],[Admin (Rp)]]</f>
        <v>0</v>
      </c>
      <c r="H296" s="24"/>
      <c r="I296" s="22"/>
      <c r="J296" s="21"/>
      <c r="K296" s="21"/>
    </row>
    <row r="297" spans="1:11" ht="21" customHeight="1">
      <c r="A297" s="21"/>
      <c r="B297" s="21"/>
      <c r="C297" s="20" t="str">
        <f>IF(B297="","",IF(COUNTIF('01_Anggota'!$D$5:$D$1212,B297)=0,"NAMA TIDAK DITEMUKAN",INDEX('01_Anggota'!$B$5:$B$1212,MATCH(B297,'01_Anggota'!$D$5:$D$1212,0))))</f>
        <v/>
      </c>
      <c r="D297" s="21"/>
      <c r="E297" s="23"/>
      <c r="F297" s="23"/>
      <c r="G297" s="23">
        <f>PinjamanTable[[#This Row],[Pokok (Rp) *]]+PinjamanTable[[#This Row],[Admin (Rp)]]</f>
        <v>0</v>
      </c>
      <c r="H297" s="24"/>
      <c r="I297" s="22"/>
      <c r="J297" s="21"/>
      <c r="K297" s="21"/>
    </row>
    <row r="298" spans="1:11" ht="21" customHeight="1">
      <c r="A298" s="21"/>
      <c r="B298" s="21"/>
      <c r="C298" s="20" t="str">
        <f>IF(B298="","",IF(COUNTIF('01_Anggota'!$D$5:$D$1212,B298)=0,"NAMA TIDAK DITEMUKAN",INDEX('01_Anggota'!$B$5:$B$1212,MATCH(B298,'01_Anggota'!$D$5:$D$1212,0))))</f>
        <v/>
      </c>
      <c r="D298" s="21"/>
      <c r="E298" s="23"/>
      <c r="F298" s="23"/>
      <c r="G298" s="23">
        <f>PinjamanTable[[#This Row],[Pokok (Rp) *]]+PinjamanTable[[#This Row],[Admin (Rp)]]</f>
        <v>0</v>
      </c>
      <c r="H298" s="24"/>
      <c r="I298" s="22"/>
      <c r="J298" s="21"/>
      <c r="K298" s="21"/>
    </row>
    <row r="299" spans="1:11" ht="21" customHeight="1">
      <c r="A299" s="21"/>
      <c r="B299" s="21"/>
      <c r="C299" s="20" t="str">
        <f>IF(B299="","",IF(COUNTIF('01_Anggota'!$D$5:$D$1212,B299)=0,"NAMA TIDAK DITEMUKAN",INDEX('01_Anggota'!$B$5:$B$1212,MATCH(B299,'01_Anggota'!$D$5:$D$1212,0))))</f>
        <v/>
      </c>
      <c r="D299" s="21"/>
      <c r="E299" s="23"/>
      <c r="F299" s="23"/>
      <c r="G299" s="23">
        <f>PinjamanTable[[#This Row],[Pokok (Rp) *]]+PinjamanTable[[#This Row],[Admin (Rp)]]</f>
        <v>0</v>
      </c>
      <c r="H299" s="24"/>
      <c r="I299" s="22"/>
      <c r="J299" s="21"/>
      <c r="K299" s="21"/>
    </row>
    <row r="300" spans="1:11" ht="21" customHeight="1">
      <c r="A300" s="21"/>
      <c r="B300" s="21"/>
      <c r="C300" s="20" t="str">
        <f>IF(B300="","",IF(COUNTIF('01_Anggota'!$D$5:$D$1212,B300)=0,"NAMA TIDAK DITEMUKAN",INDEX('01_Anggota'!$B$5:$B$1212,MATCH(B300,'01_Anggota'!$D$5:$D$1212,0))))</f>
        <v/>
      </c>
      <c r="D300" s="21"/>
      <c r="E300" s="23"/>
      <c r="F300" s="23"/>
      <c r="G300" s="23">
        <f>PinjamanTable[[#This Row],[Pokok (Rp) *]]+PinjamanTable[[#This Row],[Admin (Rp)]]</f>
        <v>0</v>
      </c>
      <c r="H300" s="24"/>
      <c r="I300" s="22"/>
      <c r="J300" s="21"/>
      <c r="K300" s="21"/>
    </row>
    <row r="301" spans="1:11" ht="21" customHeight="1">
      <c r="A301" s="21"/>
      <c r="B301" s="21"/>
      <c r="C301" s="20" t="str">
        <f>IF(B301="","",IF(COUNTIF('01_Anggota'!$D$5:$D$1212,B301)=0,"NAMA TIDAK DITEMUKAN",INDEX('01_Anggota'!$B$5:$B$1212,MATCH(B301,'01_Anggota'!$D$5:$D$1212,0))))</f>
        <v/>
      </c>
      <c r="D301" s="21"/>
      <c r="E301" s="23"/>
      <c r="F301" s="23"/>
      <c r="G301" s="23">
        <f>PinjamanTable[[#This Row],[Pokok (Rp) *]]+PinjamanTable[[#This Row],[Admin (Rp)]]</f>
        <v>0</v>
      </c>
      <c r="H301" s="24"/>
      <c r="I301" s="22"/>
      <c r="J301" s="21"/>
      <c r="K301" s="21"/>
    </row>
    <row r="302" spans="1:11" ht="21" customHeight="1">
      <c r="A302" s="21"/>
      <c r="B302" s="21"/>
      <c r="C302" s="20" t="str">
        <f>IF(B302="","",IF(COUNTIF('01_Anggota'!$D$5:$D$1212,B302)=0,"NAMA TIDAK DITEMUKAN",INDEX('01_Anggota'!$B$5:$B$1212,MATCH(B302,'01_Anggota'!$D$5:$D$1212,0))))</f>
        <v/>
      </c>
      <c r="D302" s="21"/>
      <c r="E302" s="23"/>
      <c r="F302" s="23"/>
      <c r="G302" s="23">
        <f>PinjamanTable[[#This Row],[Pokok (Rp) *]]+PinjamanTable[[#This Row],[Admin (Rp)]]</f>
        <v>0</v>
      </c>
      <c r="H302" s="24"/>
      <c r="I302" s="22"/>
      <c r="J302" s="21"/>
      <c r="K302" s="21"/>
    </row>
    <row r="303" spans="1:11" ht="21" customHeight="1">
      <c r="A303" s="21"/>
      <c r="B303" s="21"/>
      <c r="C303" s="20" t="str">
        <f>IF(B303="","",IF(COUNTIF('01_Anggota'!$D$5:$D$1212,B303)=0,"NAMA TIDAK DITEMUKAN",INDEX('01_Anggota'!$B$5:$B$1212,MATCH(B303,'01_Anggota'!$D$5:$D$1212,0))))</f>
        <v/>
      </c>
      <c r="D303" s="21"/>
      <c r="E303" s="23"/>
      <c r="F303" s="23"/>
      <c r="G303" s="23">
        <f>PinjamanTable[[#This Row],[Pokok (Rp) *]]+PinjamanTable[[#This Row],[Admin (Rp)]]</f>
        <v>0</v>
      </c>
      <c r="H303" s="24"/>
      <c r="I303" s="22"/>
      <c r="J303" s="21"/>
      <c r="K303" s="21"/>
    </row>
    <row r="304" spans="1:11" ht="21" customHeight="1">
      <c r="A304" s="21"/>
      <c r="B304" s="21"/>
      <c r="C304" s="20" t="str">
        <f>IF(B304="","",IF(COUNTIF('01_Anggota'!$D$5:$D$1212,B304)=0,"NAMA TIDAK DITEMUKAN",INDEX('01_Anggota'!$B$5:$B$1212,MATCH(B304,'01_Anggota'!$D$5:$D$1212,0))))</f>
        <v/>
      </c>
      <c r="D304" s="21"/>
      <c r="E304" s="23"/>
      <c r="F304" s="23"/>
      <c r="G304" s="23">
        <f>PinjamanTable[[#This Row],[Pokok (Rp) *]]+PinjamanTable[[#This Row],[Admin (Rp)]]</f>
        <v>0</v>
      </c>
      <c r="H304" s="24"/>
      <c r="I304" s="22"/>
      <c r="J304" s="21"/>
      <c r="K304" s="21"/>
    </row>
    <row r="305" spans="1:11" ht="21" customHeight="1">
      <c r="A305" s="21"/>
      <c r="B305" s="21"/>
      <c r="C305" s="20" t="str">
        <f>IF(B305="","",IF(COUNTIF('01_Anggota'!$D$5:$D$1212,B305)=0,"NAMA TIDAK DITEMUKAN",INDEX('01_Anggota'!$B$5:$B$1212,MATCH(B305,'01_Anggota'!$D$5:$D$1212,0))))</f>
        <v/>
      </c>
      <c r="D305" s="21"/>
      <c r="E305" s="23"/>
      <c r="F305" s="23"/>
      <c r="G305" s="23">
        <f>PinjamanTable[[#This Row],[Pokok (Rp) *]]+PinjamanTable[[#This Row],[Admin (Rp)]]</f>
        <v>0</v>
      </c>
      <c r="H305" s="24"/>
      <c r="I305" s="22"/>
      <c r="J305" s="21"/>
      <c r="K305" s="21"/>
    </row>
    <row r="306" spans="1:11" ht="21" customHeight="1">
      <c r="A306" s="21"/>
      <c r="B306" s="21"/>
      <c r="C306" s="20" t="str">
        <f>IF(B306="","",IF(COUNTIF('01_Anggota'!$D$5:$D$1212,B306)=0,"NAMA TIDAK DITEMUKAN",INDEX('01_Anggota'!$B$5:$B$1212,MATCH(B306,'01_Anggota'!$D$5:$D$1212,0))))</f>
        <v/>
      </c>
      <c r="D306" s="21"/>
      <c r="E306" s="23"/>
      <c r="F306" s="23"/>
      <c r="G306" s="23">
        <f>PinjamanTable[[#This Row],[Pokok (Rp) *]]+PinjamanTable[[#This Row],[Admin (Rp)]]</f>
        <v>0</v>
      </c>
      <c r="H306" s="24"/>
      <c r="I306" s="22"/>
      <c r="J306" s="21"/>
      <c r="K306" s="21"/>
    </row>
    <row r="307" spans="1:11" ht="21" customHeight="1">
      <c r="A307" s="21"/>
      <c r="B307" s="21"/>
      <c r="C307" s="20" t="str">
        <f>IF(B307="","",IF(COUNTIF('01_Anggota'!$D$5:$D$1212,B307)=0,"NAMA TIDAK DITEMUKAN",INDEX('01_Anggota'!$B$5:$B$1212,MATCH(B307,'01_Anggota'!$D$5:$D$1212,0))))</f>
        <v/>
      </c>
      <c r="D307" s="21"/>
      <c r="E307" s="23"/>
      <c r="F307" s="23"/>
      <c r="G307" s="23">
        <f>PinjamanTable[[#This Row],[Pokok (Rp) *]]+PinjamanTable[[#This Row],[Admin (Rp)]]</f>
        <v>0</v>
      </c>
      <c r="H307" s="24"/>
      <c r="I307" s="22"/>
      <c r="J307" s="21"/>
      <c r="K307" s="21"/>
    </row>
    <row r="308" spans="1:11" ht="21" customHeight="1">
      <c r="A308" s="21"/>
      <c r="B308" s="21"/>
      <c r="C308" s="20" t="str">
        <f>IF(B308="","",IF(COUNTIF('01_Anggota'!$D$5:$D$1212,B308)=0,"NAMA TIDAK DITEMUKAN",INDEX('01_Anggota'!$B$5:$B$1212,MATCH(B308,'01_Anggota'!$D$5:$D$1212,0))))</f>
        <v/>
      </c>
      <c r="D308" s="21"/>
      <c r="E308" s="23"/>
      <c r="F308" s="23"/>
      <c r="G308" s="23">
        <f>PinjamanTable[[#This Row],[Pokok (Rp) *]]+PinjamanTable[[#This Row],[Admin (Rp)]]</f>
        <v>0</v>
      </c>
      <c r="H308" s="24"/>
      <c r="I308" s="22"/>
      <c r="J308" s="21"/>
      <c r="K308" s="21"/>
    </row>
    <row r="309" spans="1:11" ht="21" customHeight="1">
      <c r="A309" s="21"/>
      <c r="B309" s="21"/>
      <c r="C309" s="20" t="str">
        <f>IF(B309="","",IF(COUNTIF('01_Anggota'!$D$5:$D$1212,B309)=0,"NAMA TIDAK DITEMUKAN",INDEX('01_Anggota'!$B$5:$B$1212,MATCH(B309,'01_Anggota'!$D$5:$D$1212,0))))</f>
        <v/>
      </c>
      <c r="D309" s="21"/>
      <c r="E309" s="23"/>
      <c r="F309" s="23"/>
      <c r="G309" s="23">
        <f>PinjamanTable[[#This Row],[Pokok (Rp) *]]+PinjamanTable[[#This Row],[Admin (Rp)]]</f>
        <v>0</v>
      </c>
      <c r="H309" s="24"/>
      <c r="I309" s="22"/>
      <c r="J309" s="21"/>
      <c r="K309" s="21"/>
    </row>
    <row r="310" spans="1:11" ht="21" customHeight="1">
      <c r="A310" s="21"/>
      <c r="B310" s="21"/>
      <c r="C310" s="20" t="str">
        <f>IF(B310="","",IF(COUNTIF('01_Anggota'!$D$5:$D$1212,B310)=0,"NAMA TIDAK DITEMUKAN",INDEX('01_Anggota'!$B$5:$B$1212,MATCH(B310,'01_Anggota'!$D$5:$D$1212,0))))</f>
        <v/>
      </c>
      <c r="D310" s="21"/>
      <c r="E310" s="23"/>
      <c r="F310" s="23"/>
      <c r="G310" s="23">
        <f>PinjamanTable[[#This Row],[Pokok (Rp) *]]+PinjamanTable[[#This Row],[Admin (Rp)]]</f>
        <v>0</v>
      </c>
      <c r="H310" s="24"/>
      <c r="I310" s="22"/>
      <c r="J310" s="21"/>
      <c r="K310" s="21"/>
    </row>
    <row r="311" spans="1:11" ht="21" customHeight="1">
      <c r="A311" s="21"/>
      <c r="B311" s="21"/>
      <c r="C311" s="20" t="str">
        <f>IF(B311="","",IF(COUNTIF('01_Anggota'!$D$5:$D$1212,B311)=0,"NAMA TIDAK DITEMUKAN",INDEX('01_Anggota'!$B$5:$B$1212,MATCH(B311,'01_Anggota'!$D$5:$D$1212,0))))</f>
        <v/>
      </c>
      <c r="D311" s="21"/>
      <c r="E311" s="23"/>
      <c r="F311" s="23"/>
      <c r="G311" s="23">
        <f>PinjamanTable[[#This Row],[Pokok (Rp) *]]+PinjamanTable[[#This Row],[Admin (Rp)]]</f>
        <v>0</v>
      </c>
      <c r="H311" s="24"/>
      <c r="I311" s="22"/>
      <c r="J311" s="21"/>
      <c r="K311" s="21"/>
    </row>
    <row r="312" spans="1:11" ht="21" customHeight="1">
      <c r="A312" s="21"/>
      <c r="B312" s="21"/>
      <c r="C312" s="20" t="str">
        <f>IF(B312="","",IF(COUNTIF('01_Anggota'!$D$5:$D$1212,B312)=0,"NAMA TIDAK DITEMUKAN",INDEX('01_Anggota'!$B$5:$B$1212,MATCH(B312,'01_Anggota'!$D$5:$D$1212,0))))</f>
        <v/>
      </c>
      <c r="D312" s="21"/>
      <c r="E312" s="23"/>
      <c r="F312" s="23"/>
      <c r="G312" s="23">
        <f>PinjamanTable[[#This Row],[Pokok (Rp) *]]+PinjamanTable[[#This Row],[Admin (Rp)]]</f>
        <v>0</v>
      </c>
      <c r="H312" s="24"/>
      <c r="I312" s="22"/>
      <c r="J312" s="21"/>
      <c r="K312" s="21"/>
    </row>
    <row r="313" spans="1:11" ht="21" customHeight="1">
      <c r="A313" s="21"/>
      <c r="B313" s="21"/>
      <c r="C313" s="20" t="str">
        <f>IF(B313="","",IF(COUNTIF('01_Anggota'!$D$5:$D$1212,B313)=0,"NAMA TIDAK DITEMUKAN",INDEX('01_Anggota'!$B$5:$B$1212,MATCH(B313,'01_Anggota'!$D$5:$D$1212,0))))</f>
        <v/>
      </c>
      <c r="D313" s="21"/>
      <c r="E313" s="23"/>
      <c r="F313" s="23"/>
      <c r="G313" s="23">
        <f>PinjamanTable[[#This Row],[Pokok (Rp) *]]+PinjamanTable[[#This Row],[Admin (Rp)]]</f>
        <v>0</v>
      </c>
      <c r="H313" s="24"/>
      <c r="I313" s="22"/>
      <c r="J313" s="21"/>
      <c r="K313" s="21"/>
    </row>
    <row r="314" spans="1:11" ht="21" customHeight="1">
      <c r="A314" s="21"/>
      <c r="B314" s="21"/>
      <c r="C314" s="20" t="str">
        <f>IF(B314="","",IF(COUNTIF('01_Anggota'!$D$5:$D$1212,B314)=0,"NAMA TIDAK DITEMUKAN",INDEX('01_Anggota'!$B$5:$B$1212,MATCH(B314,'01_Anggota'!$D$5:$D$1212,0))))</f>
        <v/>
      </c>
      <c r="D314" s="21"/>
      <c r="E314" s="23"/>
      <c r="F314" s="23"/>
      <c r="G314" s="23">
        <f>PinjamanTable[[#This Row],[Pokok (Rp) *]]+PinjamanTable[[#This Row],[Admin (Rp)]]</f>
        <v>0</v>
      </c>
      <c r="H314" s="24"/>
      <c r="I314" s="22"/>
      <c r="J314" s="21"/>
      <c r="K314" s="21"/>
    </row>
    <row r="315" spans="1:11" ht="21" customHeight="1">
      <c r="A315" s="21"/>
      <c r="B315" s="21"/>
      <c r="C315" s="20" t="str">
        <f>IF(B315="","",IF(COUNTIF('01_Anggota'!$D$5:$D$1212,B315)=0,"NAMA TIDAK DITEMUKAN",INDEX('01_Anggota'!$B$5:$B$1212,MATCH(B315,'01_Anggota'!$D$5:$D$1212,0))))</f>
        <v/>
      </c>
      <c r="D315" s="21"/>
      <c r="E315" s="23"/>
      <c r="F315" s="23"/>
      <c r="G315" s="23">
        <f>PinjamanTable[[#This Row],[Pokok (Rp) *]]+PinjamanTable[[#This Row],[Admin (Rp)]]</f>
        <v>0</v>
      </c>
      <c r="H315" s="24"/>
      <c r="I315" s="22"/>
      <c r="J315" s="21"/>
      <c r="K315" s="21"/>
    </row>
    <row r="316" spans="1:11" ht="21" customHeight="1">
      <c r="A316" s="21"/>
      <c r="B316" s="21"/>
      <c r="C316" s="20" t="str">
        <f>IF(B316="","",IF(COUNTIF('01_Anggota'!$D$5:$D$1212,B316)=0,"NAMA TIDAK DITEMUKAN",INDEX('01_Anggota'!$B$5:$B$1212,MATCH(B316,'01_Anggota'!$D$5:$D$1212,0))))</f>
        <v/>
      </c>
      <c r="D316" s="21"/>
      <c r="E316" s="23"/>
      <c r="F316" s="23"/>
      <c r="G316" s="23">
        <f>PinjamanTable[[#This Row],[Pokok (Rp) *]]+PinjamanTable[[#This Row],[Admin (Rp)]]</f>
        <v>0</v>
      </c>
      <c r="H316" s="24"/>
      <c r="I316" s="22"/>
      <c r="J316" s="21"/>
      <c r="K316" s="21"/>
    </row>
    <row r="317" spans="1:11" ht="21" customHeight="1">
      <c r="A317" s="21"/>
      <c r="B317" s="21"/>
      <c r="C317" s="20" t="str">
        <f>IF(B317="","",IF(COUNTIF('01_Anggota'!$D$5:$D$1212,B317)=0,"NAMA TIDAK DITEMUKAN",INDEX('01_Anggota'!$B$5:$B$1212,MATCH(B317,'01_Anggota'!$D$5:$D$1212,0))))</f>
        <v/>
      </c>
      <c r="D317" s="21"/>
      <c r="E317" s="23"/>
      <c r="F317" s="23"/>
      <c r="G317" s="23">
        <f>PinjamanTable[[#This Row],[Pokok (Rp) *]]+PinjamanTable[[#This Row],[Admin (Rp)]]</f>
        <v>0</v>
      </c>
      <c r="H317" s="24"/>
      <c r="I317" s="22"/>
      <c r="J317" s="21"/>
      <c r="K317" s="21"/>
    </row>
    <row r="318" spans="1:11" ht="21" customHeight="1">
      <c r="A318" s="21"/>
      <c r="B318" s="21"/>
      <c r="C318" s="20" t="str">
        <f>IF(B318="","",IF(COUNTIF('01_Anggota'!$D$5:$D$1212,B318)=0,"NAMA TIDAK DITEMUKAN",INDEX('01_Anggota'!$B$5:$B$1212,MATCH(B318,'01_Anggota'!$D$5:$D$1212,0))))</f>
        <v/>
      </c>
      <c r="D318" s="21"/>
      <c r="E318" s="23"/>
      <c r="F318" s="23"/>
      <c r="G318" s="23">
        <f>PinjamanTable[[#This Row],[Pokok (Rp) *]]+PinjamanTable[[#This Row],[Admin (Rp)]]</f>
        <v>0</v>
      </c>
      <c r="H318" s="24"/>
      <c r="I318" s="22"/>
      <c r="J318" s="21"/>
      <c r="K318" s="21"/>
    </row>
    <row r="319" spans="1:11" ht="21" customHeight="1">
      <c r="A319" s="21"/>
      <c r="B319" s="21"/>
      <c r="C319" s="20" t="str">
        <f>IF(B319="","",IF(COUNTIF('01_Anggota'!$D$5:$D$1212,B319)=0,"NAMA TIDAK DITEMUKAN",INDEX('01_Anggota'!$B$5:$B$1212,MATCH(B319,'01_Anggota'!$D$5:$D$1212,0))))</f>
        <v/>
      </c>
      <c r="D319" s="21"/>
      <c r="E319" s="23"/>
      <c r="F319" s="23"/>
      <c r="G319" s="23">
        <f>PinjamanTable[[#This Row],[Pokok (Rp) *]]+PinjamanTable[[#This Row],[Admin (Rp)]]</f>
        <v>0</v>
      </c>
      <c r="H319" s="24"/>
      <c r="I319" s="22"/>
      <c r="J319" s="21"/>
      <c r="K319" s="21"/>
    </row>
    <row r="320" spans="1:11" ht="21" customHeight="1">
      <c r="A320" s="21"/>
      <c r="B320" s="21"/>
      <c r="C320" s="20" t="str">
        <f>IF(B320="","",IF(COUNTIF('01_Anggota'!$D$5:$D$1212,B320)=0,"NAMA TIDAK DITEMUKAN",INDEX('01_Anggota'!$B$5:$B$1212,MATCH(B320,'01_Anggota'!$D$5:$D$1212,0))))</f>
        <v/>
      </c>
      <c r="D320" s="21"/>
      <c r="E320" s="23"/>
      <c r="F320" s="23"/>
      <c r="G320" s="23">
        <f>PinjamanTable[[#This Row],[Pokok (Rp) *]]+PinjamanTable[[#This Row],[Admin (Rp)]]</f>
        <v>0</v>
      </c>
      <c r="H320" s="24"/>
      <c r="I320" s="22"/>
      <c r="J320" s="21"/>
      <c r="K320" s="21"/>
    </row>
    <row r="321" spans="1:11" ht="21" customHeight="1">
      <c r="A321" s="21"/>
      <c r="B321" s="21"/>
      <c r="C321" s="20" t="str">
        <f>IF(B321="","",IF(COUNTIF('01_Anggota'!$D$5:$D$1212,B321)=0,"NAMA TIDAK DITEMUKAN",INDEX('01_Anggota'!$B$5:$B$1212,MATCH(B321,'01_Anggota'!$D$5:$D$1212,0))))</f>
        <v/>
      </c>
      <c r="D321" s="21"/>
      <c r="E321" s="23"/>
      <c r="F321" s="23"/>
      <c r="G321" s="23">
        <f>PinjamanTable[[#This Row],[Pokok (Rp) *]]+PinjamanTable[[#This Row],[Admin (Rp)]]</f>
        <v>0</v>
      </c>
      <c r="H321" s="24"/>
      <c r="I321" s="22"/>
      <c r="J321" s="21"/>
      <c r="K321" s="21"/>
    </row>
    <row r="322" spans="1:11" ht="21" customHeight="1">
      <c r="A322" s="21"/>
      <c r="B322" s="21"/>
      <c r="C322" s="20" t="str">
        <f>IF(B322="","",IF(COUNTIF('01_Anggota'!$D$5:$D$1212,B322)=0,"NAMA TIDAK DITEMUKAN",INDEX('01_Anggota'!$B$5:$B$1212,MATCH(B322,'01_Anggota'!$D$5:$D$1212,0))))</f>
        <v/>
      </c>
      <c r="D322" s="21"/>
      <c r="E322" s="23"/>
      <c r="F322" s="23"/>
      <c r="G322" s="23">
        <f>PinjamanTable[[#This Row],[Pokok (Rp) *]]+PinjamanTable[[#This Row],[Admin (Rp)]]</f>
        <v>0</v>
      </c>
      <c r="H322" s="24"/>
      <c r="I322" s="22"/>
      <c r="J322" s="21"/>
      <c r="K322" s="21"/>
    </row>
    <row r="323" spans="1:11" ht="21" customHeight="1">
      <c r="A323" s="21"/>
      <c r="B323" s="21"/>
      <c r="C323" s="20" t="str">
        <f>IF(B323="","",IF(COUNTIF('01_Anggota'!$D$5:$D$1212,B323)=0,"NAMA TIDAK DITEMUKAN",INDEX('01_Anggota'!$B$5:$B$1212,MATCH(B323,'01_Anggota'!$D$5:$D$1212,0))))</f>
        <v/>
      </c>
      <c r="D323" s="21"/>
      <c r="E323" s="23"/>
      <c r="F323" s="23"/>
      <c r="G323" s="23">
        <f>PinjamanTable[[#This Row],[Pokok (Rp) *]]+PinjamanTable[[#This Row],[Admin (Rp)]]</f>
        <v>0</v>
      </c>
      <c r="H323" s="24"/>
      <c r="I323" s="22"/>
      <c r="J323" s="21"/>
      <c r="K323" s="21"/>
    </row>
    <row r="324" spans="1:11" ht="21" customHeight="1">
      <c r="A324" s="21"/>
      <c r="B324" s="21"/>
      <c r="C324" s="20" t="str">
        <f>IF(B324="","",IF(COUNTIF('01_Anggota'!$D$5:$D$1212,B324)=0,"NAMA TIDAK DITEMUKAN",INDEX('01_Anggota'!$B$5:$B$1212,MATCH(B324,'01_Anggota'!$D$5:$D$1212,0))))</f>
        <v/>
      </c>
      <c r="D324" s="21"/>
      <c r="E324" s="23"/>
      <c r="F324" s="23"/>
      <c r="G324" s="23">
        <f>PinjamanTable[[#This Row],[Pokok (Rp) *]]+PinjamanTable[[#This Row],[Admin (Rp)]]</f>
        <v>0</v>
      </c>
      <c r="H324" s="24"/>
      <c r="I324" s="22"/>
      <c r="J324" s="21"/>
      <c r="K324" s="21"/>
    </row>
    <row r="325" spans="1:11" ht="21" customHeight="1">
      <c r="A325" s="21"/>
      <c r="B325" s="21"/>
      <c r="C325" s="20" t="str">
        <f>IF(B325="","",IF(COUNTIF('01_Anggota'!$D$5:$D$1212,B325)=0,"NAMA TIDAK DITEMUKAN",INDEX('01_Anggota'!$B$5:$B$1212,MATCH(B325,'01_Anggota'!$D$5:$D$1212,0))))</f>
        <v/>
      </c>
      <c r="D325" s="21"/>
      <c r="E325" s="23"/>
      <c r="F325" s="23"/>
      <c r="G325" s="23">
        <f>PinjamanTable[[#This Row],[Pokok (Rp) *]]+PinjamanTable[[#This Row],[Admin (Rp)]]</f>
        <v>0</v>
      </c>
      <c r="H325" s="24"/>
      <c r="I325" s="22"/>
      <c r="J325" s="21"/>
      <c r="K325" s="21"/>
    </row>
    <row r="326" spans="1:11" ht="21" customHeight="1">
      <c r="A326" s="21"/>
      <c r="B326" s="21"/>
      <c r="C326" s="20" t="str">
        <f>IF(B326="","",IF(COUNTIF('01_Anggota'!$D$5:$D$1212,B326)=0,"NAMA TIDAK DITEMUKAN",INDEX('01_Anggota'!$B$5:$B$1212,MATCH(B326,'01_Anggota'!$D$5:$D$1212,0))))</f>
        <v/>
      </c>
      <c r="D326" s="21"/>
      <c r="E326" s="23"/>
      <c r="F326" s="23"/>
      <c r="G326" s="23">
        <f>PinjamanTable[[#This Row],[Pokok (Rp) *]]+PinjamanTable[[#This Row],[Admin (Rp)]]</f>
        <v>0</v>
      </c>
      <c r="H326" s="24"/>
      <c r="I326" s="22"/>
      <c r="J326" s="21"/>
      <c r="K326" s="21"/>
    </row>
    <row r="327" spans="1:11" ht="21" customHeight="1">
      <c r="A327" s="21"/>
      <c r="B327" s="21"/>
      <c r="C327" s="20" t="str">
        <f>IF(B327="","",IF(COUNTIF('01_Anggota'!$D$5:$D$1212,B327)=0,"NAMA TIDAK DITEMUKAN",INDEX('01_Anggota'!$B$5:$B$1212,MATCH(B327,'01_Anggota'!$D$5:$D$1212,0))))</f>
        <v/>
      </c>
      <c r="D327" s="21"/>
      <c r="E327" s="23"/>
      <c r="F327" s="23"/>
      <c r="G327" s="23">
        <f>PinjamanTable[[#This Row],[Pokok (Rp) *]]+PinjamanTable[[#This Row],[Admin (Rp)]]</f>
        <v>0</v>
      </c>
      <c r="H327" s="24"/>
      <c r="I327" s="22"/>
      <c r="J327" s="21"/>
      <c r="K327" s="21"/>
    </row>
    <row r="328" spans="1:11" ht="21" customHeight="1">
      <c r="A328" s="21"/>
      <c r="B328" s="21"/>
      <c r="C328" s="20" t="str">
        <f>IF(B328="","",IF(COUNTIF('01_Anggota'!$D$5:$D$1212,B328)=0,"NAMA TIDAK DITEMUKAN",INDEX('01_Anggota'!$B$5:$B$1212,MATCH(B328,'01_Anggota'!$D$5:$D$1212,0))))</f>
        <v/>
      </c>
      <c r="D328" s="21"/>
      <c r="E328" s="23"/>
      <c r="F328" s="23"/>
      <c r="G328" s="23">
        <f>PinjamanTable[[#This Row],[Pokok (Rp) *]]+PinjamanTable[[#This Row],[Admin (Rp)]]</f>
        <v>0</v>
      </c>
      <c r="H328" s="24"/>
      <c r="I328" s="22"/>
      <c r="J328" s="21"/>
      <c r="K328" s="21"/>
    </row>
    <row r="329" spans="1:11" ht="21" customHeight="1">
      <c r="A329" s="21"/>
      <c r="B329" s="21"/>
      <c r="C329" s="20" t="str">
        <f>IF(B329="","",IF(COUNTIF('01_Anggota'!$D$5:$D$1212,B329)=0,"NAMA TIDAK DITEMUKAN",INDEX('01_Anggota'!$B$5:$B$1212,MATCH(B329,'01_Anggota'!$D$5:$D$1212,0))))</f>
        <v/>
      </c>
      <c r="D329" s="21"/>
      <c r="E329" s="23"/>
      <c r="F329" s="23"/>
      <c r="G329" s="23">
        <f>PinjamanTable[[#This Row],[Pokok (Rp) *]]+PinjamanTable[[#This Row],[Admin (Rp)]]</f>
        <v>0</v>
      </c>
      <c r="H329" s="24"/>
      <c r="I329" s="22"/>
      <c r="J329" s="21"/>
      <c r="K329" s="21"/>
    </row>
    <row r="330" spans="1:11" ht="21" customHeight="1">
      <c r="A330" s="21"/>
      <c r="B330" s="21"/>
      <c r="C330" s="20" t="str">
        <f>IF(B330="","",IF(COUNTIF('01_Anggota'!$D$5:$D$1212,B330)=0,"NAMA TIDAK DITEMUKAN",INDEX('01_Anggota'!$B$5:$B$1212,MATCH(B330,'01_Anggota'!$D$5:$D$1212,0))))</f>
        <v/>
      </c>
      <c r="D330" s="21"/>
      <c r="E330" s="23"/>
      <c r="F330" s="23"/>
      <c r="G330" s="23">
        <f>PinjamanTable[[#This Row],[Pokok (Rp) *]]+PinjamanTable[[#This Row],[Admin (Rp)]]</f>
        <v>0</v>
      </c>
      <c r="H330" s="24"/>
      <c r="I330" s="22"/>
      <c r="J330" s="21"/>
      <c r="K330" s="21"/>
    </row>
    <row r="331" spans="1:11" ht="21" customHeight="1">
      <c r="A331" s="21"/>
      <c r="B331" s="21"/>
      <c r="C331" s="20" t="str">
        <f>IF(B331="","",IF(COUNTIF('01_Anggota'!$D$5:$D$1212,B331)=0,"NAMA TIDAK DITEMUKAN",INDEX('01_Anggota'!$B$5:$B$1212,MATCH(B331,'01_Anggota'!$D$5:$D$1212,0))))</f>
        <v/>
      </c>
      <c r="D331" s="21"/>
      <c r="E331" s="23"/>
      <c r="F331" s="23"/>
      <c r="G331" s="23">
        <f>PinjamanTable[[#This Row],[Pokok (Rp) *]]+PinjamanTable[[#This Row],[Admin (Rp)]]</f>
        <v>0</v>
      </c>
      <c r="H331" s="24"/>
      <c r="I331" s="22"/>
      <c r="J331" s="21"/>
      <c r="K331" s="21"/>
    </row>
    <row r="332" spans="1:11" ht="21" customHeight="1">
      <c r="A332" s="21"/>
      <c r="B332" s="21"/>
      <c r="C332" s="20" t="str">
        <f>IF(B332="","",IF(COUNTIF('01_Anggota'!$D$5:$D$1212,B332)=0,"NAMA TIDAK DITEMUKAN",INDEX('01_Anggota'!$B$5:$B$1212,MATCH(B332,'01_Anggota'!$D$5:$D$1212,0))))</f>
        <v/>
      </c>
      <c r="D332" s="21"/>
      <c r="E332" s="23"/>
      <c r="F332" s="23"/>
      <c r="G332" s="23">
        <f>PinjamanTable[[#This Row],[Pokok (Rp) *]]+PinjamanTable[[#This Row],[Admin (Rp)]]</f>
        <v>0</v>
      </c>
      <c r="H332" s="24"/>
      <c r="I332" s="22"/>
      <c r="J332" s="21"/>
      <c r="K332" s="21"/>
    </row>
    <row r="333" spans="1:11" ht="21" customHeight="1">
      <c r="A333" s="21"/>
      <c r="B333" s="21"/>
      <c r="C333" s="20" t="str">
        <f>IF(B333="","",IF(COUNTIF('01_Anggota'!$D$5:$D$1212,B333)=0,"NAMA TIDAK DITEMUKAN",INDEX('01_Anggota'!$B$5:$B$1212,MATCH(B333,'01_Anggota'!$D$5:$D$1212,0))))</f>
        <v/>
      </c>
      <c r="D333" s="21"/>
      <c r="E333" s="23"/>
      <c r="F333" s="23"/>
      <c r="G333" s="23">
        <f>PinjamanTable[[#This Row],[Pokok (Rp) *]]+PinjamanTable[[#This Row],[Admin (Rp)]]</f>
        <v>0</v>
      </c>
      <c r="H333" s="24"/>
      <c r="I333" s="22"/>
      <c r="J333" s="21"/>
      <c r="K333" s="21"/>
    </row>
    <row r="334" spans="1:11" ht="21" customHeight="1">
      <c r="A334" s="21"/>
      <c r="B334" s="21"/>
      <c r="C334" s="20" t="str">
        <f>IF(B334="","",IF(COUNTIF('01_Anggota'!$D$5:$D$1212,B334)=0,"NAMA TIDAK DITEMUKAN",INDEX('01_Anggota'!$B$5:$B$1212,MATCH(B334,'01_Anggota'!$D$5:$D$1212,0))))</f>
        <v/>
      </c>
      <c r="D334" s="21"/>
      <c r="E334" s="23"/>
      <c r="F334" s="23"/>
      <c r="G334" s="23">
        <f>PinjamanTable[[#This Row],[Pokok (Rp) *]]+PinjamanTable[[#This Row],[Admin (Rp)]]</f>
        <v>0</v>
      </c>
      <c r="H334" s="24"/>
      <c r="I334" s="22"/>
      <c r="J334" s="21"/>
      <c r="K334" s="21"/>
    </row>
    <row r="335" spans="1:11" ht="21" customHeight="1">
      <c r="A335" s="21"/>
      <c r="B335" s="21"/>
      <c r="C335" s="20" t="str">
        <f>IF(B335="","",IF(COUNTIF('01_Anggota'!$D$5:$D$1212,B335)=0,"NAMA TIDAK DITEMUKAN",INDEX('01_Anggota'!$B$5:$B$1212,MATCH(B335,'01_Anggota'!$D$5:$D$1212,0))))</f>
        <v/>
      </c>
      <c r="D335" s="21"/>
      <c r="E335" s="23"/>
      <c r="F335" s="23"/>
      <c r="G335" s="23">
        <f>PinjamanTable[[#This Row],[Pokok (Rp) *]]+PinjamanTable[[#This Row],[Admin (Rp)]]</f>
        <v>0</v>
      </c>
      <c r="H335" s="24"/>
      <c r="I335" s="22"/>
      <c r="J335" s="21"/>
      <c r="K335" s="21"/>
    </row>
    <row r="336" spans="1:11" ht="21" customHeight="1">
      <c r="A336" s="21"/>
      <c r="B336" s="21"/>
      <c r="C336" s="20" t="str">
        <f>IF(B336="","",IF(COUNTIF('01_Anggota'!$D$5:$D$1212,B336)=0,"NAMA TIDAK DITEMUKAN",INDEX('01_Anggota'!$B$5:$B$1212,MATCH(B336,'01_Anggota'!$D$5:$D$1212,0))))</f>
        <v/>
      </c>
      <c r="D336" s="21"/>
      <c r="E336" s="23"/>
      <c r="F336" s="23"/>
      <c r="G336" s="23">
        <f>PinjamanTable[[#This Row],[Pokok (Rp) *]]+PinjamanTable[[#This Row],[Admin (Rp)]]</f>
        <v>0</v>
      </c>
      <c r="H336" s="24"/>
      <c r="I336" s="22"/>
      <c r="J336" s="21"/>
      <c r="K336" s="21"/>
    </row>
    <row r="337" spans="1:11" ht="21" customHeight="1">
      <c r="A337" s="21"/>
      <c r="B337" s="21"/>
      <c r="C337" s="20" t="str">
        <f>IF(B337="","",IF(COUNTIF('01_Anggota'!$D$5:$D$1212,B337)=0,"NAMA TIDAK DITEMUKAN",INDEX('01_Anggota'!$B$5:$B$1212,MATCH(B337,'01_Anggota'!$D$5:$D$1212,0))))</f>
        <v/>
      </c>
      <c r="D337" s="21"/>
      <c r="E337" s="23"/>
      <c r="F337" s="23"/>
      <c r="G337" s="23">
        <f>PinjamanTable[[#This Row],[Pokok (Rp) *]]+PinjamanTable[[#This Row],[Admin (Rp)]]</f>
        <v>0</v>
      </c>
      <c r="H337" s="24"/>
      <c r="I337" s="22"/>
      <c r="J337" s="21"/>
      <c r="K337" s="21"/>
    </row>
    <row r="338" spans="1:11" ht="21" customHeight="1">
      <c r="A338" s="21"/>
      <c r="B338" s="21"/>
      <c r="C338" s="20" t="str">
        <f>IF(B338="","",IF(COUNTIF('01_Anggota'!$D$5:$D$1212,B338)=0,"NAMA TIDAK DITEMUKAN",INDEX('01_Anggota'!$B$5:$B$1212,MATCH(B338,'01_Anggota'!$D$5:$D$1212,0))))</f>
        <v/>
      </c>
      <c r="D338" s="21"/>
      <c r="E338" s="23"/>
      <c r="F338" s="23"/>
      <c r="G338" s="23">
        <f>PinjamanTable[[#This Row],[Pokok (Rp) *]]+PinjamanTable[[#This Row],[Admin (Rp)]]</f>
        <v>0</v>
      </c>
      <c r="H338" s="24"/>
      <c r="I338" s="22"/>
      <c r="J338" s="21"/>
      <c r="K338" s="21"/>
    </row>
    <row r="339" spans="1:11" ht="21" customHeight="1">
      <c r="A339" s="21"/>
      <c r="B339" s="21"/>
      <c r="C339" s="20" t="str">
        <f>IF(B339="","",IF(COUNTIF('01_Anggota'!$D$5:$D$1212,B339)=0,"NAMA TIDAK DITEMUKAN",INDEX('01_Anggota'!$B$5:$B$1212,MATCH(B339,'01_Anggota'!$D$5:$D$1212,0))))</f>
        <v/>
      </c>
      <c r="D339" s="21"/>
      <c r="E339" s="23"/>
      <c r="F339" s="23"/>
      <c r="G339" s="23">
        <f>PinjamanTable[[#This Row],[Pokok (Rp) *]]+PinjamanTable[[#This Row],[Admin (Rp)]]</f>
        <v>0</v>
      </c>
      <c r="H339" s="24"/>
      <c r="I339" s="22"/>
      <c r="J339" s="21"/>
      <c r="K339" s="21"/>
    </row>
    <row r="340" spans="1:11" ht="21" customHeight="1">
      <c r="A340" s="21"/>
      <c r="B340" s="21"/>
      <c r="C340" s="20" t="str">
        <f>IF(B340="","",IF(COUNTIF('01_Anggota'!$D$5:$D$1212,B340)=0,"NAMA TIDAK DITEMUKAN",INDEX('01_Anggota'!$B$5:$B$1212,MATCH(B340,'01_Anggota'!$D$5:$D$1212,0))))</f>
        <v/>
      </c>
      <c r="D340" s="21"/>
      <c r="E340" s="23"/>
      <c r="F340" s="23"/>
      <c r="G340" s="23">
        <f>PinjamanTable[[#This Row],[Pokok (Rp) *]]+PinjamanTable[[#This Row],[Admin (Rp)]]</f>
        <v>0</v>
      </c>
      <c r="H340" s="24"/>
      <c r="I340" s="22"/>
      <c r="J340" s="21"/>
      <c r="K340" s="21"/>
    </row>
    <row r="341" spans="1:11" ht="21" customHeight="1">
      <c r="A341" s="21"/>
      <c r="B341" s="21"/>
      <c r="C341" s="20" t="str">
        <f>IF(B341="","",IF(COUNTIF('01_Anggota'!$D$5:$D$1212,B341)=0,"NAMA TIDAK DITEMUKAN",INDEX('01_Anggota'!$B$5:$B$1212,MATCH(B341,'01_Anggota'!$D$5:$D$1212,0))))</f>
        <v/>
      </c>
      <c r="D341" s="21"/>
      <c r="E341" s="23"/>
      <c r="F341" s="23"/>
      <c r="G341" s="23">
        <f>PinjamanTable[[#This Row],[Pokok (Rp) *]]+PinjamanTable[[#This Row],[Admin (Rp)]]</f>
        <v>0</v>
      </c>
      <c r="H341" s="24"/>
      <c r="I341" s="22"/>
      <c r="J341" s="21"/>
      <c r="K341" s="21"/>
    </row>
    <row r="342" spans="1:11" ht="21" customHeight="1">
      <c r="A342" s="21"/>
      <c r="B342" s="21"/>
      <c r="C342" s="20" t="str">
        <f>IF(B342="","",IF(COUNTIF('01_Anggota'!$D$5:$D$1212,B342)=0,"NAMA TIDAK DITEMUKAN",INDEX('01_Anggota'!$B$5:$B$1212,MATCH(B342,'01_Anggota'!$D$5:$D$1212,0))))</f>
        <v/>
      </c>
      <c r="D342" s="21"/>
      <c r="E342" s="23"/>
      <c r="F342" s="23"/>
      <c r="G342" s="23">
        <f>PinjamanTable[[#This Row],[Pokok (Rp) *]]+PinjamanTable[[#This Row],[Admin (Rp)]]</f>
        <v>0</v>
      </c>
      <c r="H342" s="24"/>
      <c r="I342" s="22"/>
      <c r="J342" s="21"/>
      <c r="K342" s="21"/>
    </row>
    <row r="343" spans="1:11" ht="21" customHeight="1">
      <c r="A343" s="21"/>
      <c r="B343" s="21"/>
      <c r="C343" s="20" t="str">
        <f>IF(B343="","",IF(COUNTIF('01_Anggota'!$D$5:$D$1212,B343)=0,"NAMA TIDAK DITEMUKAN",INDEX('01_Anggota'!$B$5:$B$1212,MATCH(B343,'01_Anggota'!$D$5:$D$1212,0))))</f>
        <v/>
      </c>
      <c r="D343" s="21"/>
      <c r="E343" s="23"/>
      <c r="F343" s="23"/>
      <c r="G343" s="23">
        <f>PinjamanTable[[#This Row],[Pokok (Rp) *]]+PinjamanTable[[#This Row],[Admin (Rp)]]</f>
        <v>0</v>
      </c>
      <c r="H343" s="24"/>
      <c r="I343" s="22"/>
      <c r="J343" s="21"/>
      <c r="K343" s="21"/>
    </row>
    <row r="344" spans="1:11" ht="21" customHeight="1">
      <c r="A344" s="21"/>
      <c r="B344" s="21"/>
      <c r="C344" s="20" t="str">
        <f>IF(B344="","",IF(COUNTIF('01_Anggota'!$D$5:$D$1212,B344)=0,"NAMA TIDAK DITEMUKAN",INDEX('01_Anggota'!$B$5:$B$1212,MATCH(B344,'01_Anggota'!$D$5:$D$1212,0))))</f>
        <v/>
      </c>
      <c r="D344" s="21"/>
      <c r="E344" s="23"/>
      <c r="F344" s="23"/>
      <c r="G344" s="23">
        <f>PinjamanTable[[#This Row],[Pokok (Rp) *]]+PinjamanTable[[#This Row],[Admin (Rp)]]</f>
        <v>0</v>
      </c>
      <c r="H344" s="24"/>
      <c r="I344" s="22"/>
      <c r="J344" s="21"/>
      <c r="K344" s="21"/>
    </row>
    <row r="345" spans="1:11" ht="21" customHeight="1">
      <c r="A345" s="21"/>
      <c r="B345" s="21"/>
      <c r="C345" s="20" t="str">
        <f>IF(B345="","",IF(COUNTIF('01_Anggota'!$D$5:$D$1212,B345)=0,"NAMA TIDAK DITEMUKAN",INDEX('01_Anggota'!$B$5:$B$1212,MATCH(B345,'01_Anggota'!$D$5:$D$1212,0))))</f>
        <v/>
      </c>
      <c r="D345" s="21"/>
      <c r="E345" s="23"/>
      <c r="F345" s="23"/>
      <c r="G345" s="23">
        <f>PinjamanTable[[#This Row],[Pokok (Rp) *]]+PinjamanTable[[#This Row],[Admin (Rp)]]</f>
        <v>0</v>
      </c>
      <c r="H345" s="24"/>
      <c r="I345" s="22"/>
      <c r="J345" s="21"/>
      <c r="K345" s="21"/>
    </row>
    <row r="346" spans="1:11" ht="21" customHeight="1">
      <c r="A346" s="21"/>
      <c r="B346" s="21"/>
      <c r="C346" s="20" t="str">
        <f>IF(B346="","",IF(COUNTIF('01_Anggota'!$D$5:$D$1212,B346)=0,"NAMA TIDAK DITEMUKAN",INDEX('01_Anggota'!$B$5:$B$1212,MATCH(B346,'01_Anggota'!$D$5:$D$1212,0))))</f>
        <v/>
      </c>
      <c r="D346" s="21"/>
      <c r="E346" s="23"/>
      <c r="F346" s="23"/>
      <c r="G346" s="23">
        <f>PinjamanTable[[#This Row],[Pokok (Rp) *]]+PinjamanTable[[#This Row],[Admin (Rp)]]</f>
        <v>0</v>
      </c>
      <c r="H346" s="24"/>
      <c r="I346" s="22"/>
      <c r="J346" s="21"/>
      <c r="K346" s="21"/>
    </row>
    <row r="347" spans="1:11" ht="21" customHeight="1">
      <c r="A347" s="21"/>
      <c r="B347" s="21"/>
      <c r="C347" s="20" t="str">
        <f>IF(B347="","",IF(COUNTIF('01_Anggota'!$D$5:$D$1212,B347)=0,"NAMA TIDAK DITEMUKAN",INDEX('01_Anggota'!$B$5:$B$1212,MATCH(B347,'01_Anggota'!$D$5:$D$1212,0))))</f>
        <v/>
      </c>
      <c r="D347" s="21"/>
      <c r="E347" s="23"/>
      <c r="F347" s="23"/>
      <c r="G347" s="23">
        <f>PinjamanTable[[#This Row],[Pokok (Rp) *]]+PinjamanTable[[#This Row],[Admin (Rp)]]</f>
        <v>0</v>
      </c>
      <c r="H347" s="24"/>
      <c r="I347" s="22"/>
      <c r="J347" s="21"/>
      <c r="K347" s="21"/>
    </row>
    <row r="348" spans="1:11" ht="21" customHeight="1">
      <c r="A348" s="21"/>
      <c r="B348" s="21"/>
      <c r="C348" s="20" t="str">
        <f>IF(B348="","",IF(COUNTIF('01_Anggota'!$D$5:$D$1212,B348)=0,"NAMA TIDAK DITEMUKAN",INDEX('01_Anggota'!$B$5:$B$1212,MATCH(B348,'01_Anggota'!$D$5:$D$1212,0))))</f>
        <v/>
      </c>
      <c r="D348" s="21"/>
      <c r="E348" s="23"/>
      <c r="F348" s="23"/>
      <c r="G348" s="23">
        <f>PinjamanTable[[#This Row],[Pokok (Rp) *]]+PinjamanTable[[#This Row],[Admin (Rp)]]</f>
        <v>0</v>
      </c>
      <c r="H348" s="24"/>
      <c r="I348" s="22"/>
      <c r="J348" s="21"/>
      <c r="K348" s="21"/>
    </row>
    <row r="349" spans="1:11" ht="21" customHeight="1">
      <c r="A349" s="21"/>
      <c r="B349" s="21"/>
      <c r="C349" s="20" t="str">
        <f>IF(B349="","",IF(COUNTIF('01_Anggota'!$D$5:$D$1212,B349)=0,"NAMA TIDAK DITEMUKAN",INDEX('01_Anggota'!$B$5:$B$1212,MATCH(B349,'01_Anggota'!$D$5:$D$1212,0))))</f>
        <v/>
      </c>
      <c r="D349" s="21"/>
      <c r="E349" s="23"/>
      <c r="F349" s="23"/>
      <c r="G349" s="23">
        <f>PinjamanTable[[#This Row],[Pokok (Rp) *]]+PinjamanTable[[#This Row],[Admin (Rp)]]</f>
        <v>0</v>
      </c>
      <c r="H349" s="24"/>
      <c r="I349" s="22"/>
      <c r="J349" s="21"/>
      <c r="K349" s="21"/>
    </row>
    <row r="350" spans="1:11" ht="21" customHeight="1">
      <c r="A350" s="21"/>
      <c r="B350" s="21"/>
      <c r="C350" s="20" t="str">
        <f>IF(B350="","",IF(COUNTIF('01_Anggota'!$D$5:$D$1212,B350)=0,"NAMA TIDAK DITEMUKAN",INDEX('01_Anggota'!$B$5:$B$1212,MATCH(B350,'01_Anggota'!$D$5:$D$1212,0))))</f>
        <v/>
      </c>
      <c r="D350" s="21"/>
      <c r="E350" s="23"/>
      <c r="F350" s="23"/>
      <c r="G350" s="23">
        <f>PinjamanTable[[#This Row],[Pokok (Rp) *]]+PinjamanTable[[#This Row],[Admin (Rp)]]</f>
        <v>0</v>
      </c>
      <c r="H350" s="24"/>
      <c r="I350" s="22"/>
      <c r="J350" s="21"/>
      <c r="K350" s="21"/>
    </row>
    <row r="351" spans="1:11" ht="21" customHeight="1">
      <c r="A351" s="21"/>
      <c r="B351" s="21"/>
      <c r="C351" s="20" t="str">
        <f>IF(B351="","",IF(COUNTIF('01_Anggota'!$D$5:$D$1212,B351)=0,"NAMA TIDAK DITEMUKAN",INDEX('01_Anggota'!$B$5:$B$1212,MATCH(B351,'01_Anggota'!$D$5:$D$1212,0))))</f>
        <v/>
      </c>
      <c r="D351" s="21"/>
      <c r="E351" s="23"/>
      <c r="F351" s="23"/>
      <c r="G351" s="23">
        <f>PinjamanTable[[#This Row],[Pokok (Rp) *]]+PinjamanTable[[#This Row],[Admin (Rp)]]</f>
        <v>0</v>
      </c>
      <c r="H351" s="24"/>
      <c r="I351" s="22"/>
      <c r="J351" s="21"/>
      <c r="K351" s="21"/>
    </row>
    <row r="352" spans="1:11" ht="21" customHeight="1">
      <c r="A352" s="21"/>
      <c r="B352" s="21"/>
      <c r="C352" s="20" t="str">
        <f>IF(B352="","",IF(COUNTIF('01_Anggota'!$D$5:$D$1212,B352)=0,"NAMA TIDAK DITEMUKAN",INDEX('01_Anggota'!$B$5:$B$1212,MATCH(B352,'01_Anggota'!$D$5:$D$1212,0))))</f>
        <v/>
      </c>
      <c r="D352" s="21"/>
      <c r="E352" s="23"/>
      <c r="F352" s="23"/>
      <c r="G352" s="23">
        <f>PinjamanTable[[#This Row],[Pokok (Rp) *]]+PinjamanTable[[#This Row],[Admin (Rp)]]</f>
        <v>0</v>
      </c>
      <c r="H352" s="24"/>
      <c r="I352" s="22"/>
      <c r="J352" s="21"/>
      <c r="K352" s="21"/>
    </row>
    <row r="353" spans="1:11" ht="21" customHeight="1">
      <c r="A353" s="21"/>
      <c r="B353" s="21"/>
      <c r="C353" s="20" t="str">
        <f>IF(B353="","",IF(COUNTIF('01_Anggota'!$D$5:$D$1212,B353)=0,"NAMA TIDAK DITEMUKAN",INDEX('01_Anggota'!$B$5:$B$1212,MATCH(B353,'01_Anggota'!$D$5:$D$1212,0))))</f>
        <v/>
      </c>
      <c r="D353" s="21"/>
      <c r="E353" s="23"/>
      <c r="F353" s="23"/>
      <c r="G353" s="23">
        <f>PinjamanTable[[#This Row],[Pokok (Rp) *]]+PinjamanTable[[#This Row],[Admin (Rp)]]</f>
        <v>0</v>
      </c>
      <c r="H353" s="24"/>
      <c r="I353" s="22"/>
      <c r="J353" s="21"/>
      <c r="K353" s="21"/>
    </row>
    <row r="354" spans="1:11" ht="21" customHeight="1">
      <c r="A354" s="21"/>
      <c r="B354" s="21"/>
      <c r="C354" s="20" t="str">
        <f>IF(B354="","",IF(COUNTIF('01_Anggota'!$D$5:$D$1212,B354)=0,"NAMA TIDAK DITEMUKAN",INDEX('01_Anggota'!$B$5:$B$1212,MATCH(B354,'01_Anggota'!$D$5:$D$1212,0))))</f>
        <v/>
      </c>
      <c r="D354" s="21"/>
      <c r="E354" s="23"/>
      <c r="F354" s="23"/>
      <c r="G354" s="23">
        <f>PinjamanTable[[#This Row],[Pokok (Rp) *]]+PinjamanTable[[#This Row],[Admin (Rp)]]</f>
        <v>0</v>
      </c>
      <c r="H354" s="24"/>
      <c r="I354" s="22"/>
      <c r="J354" s="21"/>
      <c r="K354" s="21"/>
    </row>
    <row r="355" spans="1:11" ht="21" customHeight="1">
      <c r="A355" s="21"/>
      <c r="B355" s="21"/>
      <c r="C355" s="20" t="str">
        <f>IF(B355="","",IF(COUNTIF('01_Anggota'!$D$5:$D$1212,B355)=0,"NAMA TIDAK DITEMUKAN",INDEX('01_Anggota'!$B$5:$B$1212,MATCH(B355,'01_Anggota'!$D$5:$D$1212,0))))</f>
        <v/>
      </c>
      <c r="D355" s="21"/>
      <c r="E355" s="23"/>
      <c r="F355" s="23"/>
      <c r="G355" s="23">
        <f>PinjamanTable[[#This Row],[Pokok (Rp) *]]+PinjamanTable[[#This Row],[Admin (Rp)]]</f>
        <v>0</v>
      </c>
      <c r="H355" s="24"/>
      <c r="I355" s="22"/>
      <c r="J355" s="21"/>
      <c r="K355" s="21"/>
    </row>
    <row r="356" spans="1:11" ht="21" customHeight="1">
      <c r="A356" s="21"/>
      <c r="B356" s="21"/>
      <c r="C356" s="20" t="str">
        <f>IF(B356="","",IF(COUNTIF('01_Anggota'!$D$5:$D$1212,B356)=0,"NAMA TIDAK DITEMUKAN",INDEX('01_Anggota'!$B$5:$B$1212,MATCH(B356,'01_Anggota'!$D$5:$D$1212,0))))</f>
        <v/>
      </c>
      <c r="D356" s="21"/>
      <c r="E356" s="23"/>
      <c r="F356" s="23"/>
      <c r="G356" s="23">
        <f>PinjamanTable[[#This Row],[Pokok (Rp) *]]+PinjamanTable[[#This Row],[Admin (Rp)]]</f>
        <v>0</v>
      </c>
      <c r="H356" s="24"/>
      <c r="I356" s="22"/>
      <c r="J356" s="21"/>
      <c r="K356" s="21"/>
    </row>
    <row r="357" spans="1:11" ht="21" customHeight="1">
      <c r="A357" s="21"/>
      <c r="B357" s="21"/>
      <c r="C357" s="20" t="str">
        <f>IF(B357="","",IF(COUNTIF('01_Anggota'!$D$5:$D$1212,B357)=0,"NAMA TIDAK DITEMUKAN",INDEX('01_Anggota'!$B$5:$B$1212,MATCH(B357,'01_Anggota'!$D$5:$D$1212,0))))</f>
        <v/>
      </c>
      <c r="D357" s="21"/>
      <c r="E357" s="23"/>
      <c r="F357" s="23"/>
      <c r="G357" s="23">
        <f>PinjamanTable[[#This Row],[Pokok (Rp) *]]+PinjamanTable[[#This Row],[Admin (Rp)]]</f>
        <v>0</v>
      </c>
      <c r="H357" s="24"/>
      <c r="I357" s="22"/>
      <c r="J357" s="21"/>
      <c r="K357" s="21"/>
    </row>
    <row r="358" spans="1:11" ht="21" customHeight="1">
      <c r="A358" s="21"/>
      <c r="B358" s="21"/>
      <c r="C358" s="20" t="str">
        <f>IF(B358="","",IF(COUNTIF('01_Anggota'!$D$5:$D$1212,B358)=0,"NAMA TIDAK DITEMUKAN",INDEX('01_Anggota'!$B$5:$B$1212,MATCH(B358,'01_Anggota'!$D$5:$D$1212,0))))</f>
        <v/>
      </c>
      <c r="D358" s="21"/>
      <c r="E358" s="23"/>
      <c r="F358" s="23"/>
      <c r="G358" s="23">
        <f>PinjamanTable[[#This Row],[Pokok (Rp) *]]+PinjamanTable[[#This Row],[Admin (Rp)]]</f>
        <v>0</v>
      </c>
      <c r="H358" s="24"/>
      <c r="I358" s="22"/>
      <c r="J358" s="21"/>
      <c r="K358" s="21"/>
    </row>
    <row r="359" spans="1:11" ht="21" customHeight="1">
      <c r="A359" s="21"/>
      <c r="B359" s="21"/>
      <c r="C359" s="20" t="str">
        <f>IF(B359="","",IF(COUNTIF('01_Anggota'!$D$5:$D$1212,B359)=0,"NAMA TIDAK DITEMUKAN",INDEX('01_Anggota'!$B$5:$B$1212,MATCH(B359,'01_Anggota'!$D$5:$D$1212,0))))</f>
        <v/>
      </c>
      <c r="D359" s="21"/>
      <c r="E359" s="23"/>
      <c r="F359" s="23"/>
      <c r="G359" s="23">
        <f>PinjamanTable[[#This Row],[Pokok (Rp) *]]+PinjamanTable[[#This Row],[Admin (Rp)]]</f>
        <v>0</v>
      </c>
      <c r="H359" s="24"/>
      <c r="I359" s="22"/>
      <c r="J359" s="21"/>
      <c r="K359" s="21"/>
    </row>
    <row r="360" spans="1:11" ht="21" customHeight="1">
      <c r="A360" s="21"/>
      <c r="B360" s="21"/>
      <c r="C360" s="20" t="str">
        <f>IF(B360="","",IF(COUNTIF('01_Anggota'!$D$5:$D$1212,B360)=0,"NAMA TIDAK DITEMUKAN",INDEX('01_Anggota'!$B$5:$B$1212,MATCH(B360,'01_Anggota'!$D$5:$D$1212,0))))</f>
        <v/>
      </c>
      <c r="D360" s="21"/>
      <c r="E360" s="23"/>
      <c r="F360" s="23"/>
      <c r="G360" s="23">
        <f>PinjamanTable[[#This Row],[Pokok (Rp) *]]+PinjamanTable[[#This Row],[Admin (Rp)]]</f>
        <v>0</v>
      </c>
      <c r="H360" s="24"/>
      <c r="I360" s="22"/>
      <c r="J360" s="21"/>
      <c r="K360" s="21"/>
    </row>
    <row r="361" spans="1:11" ht="21" customHeight="1">
      <c r="A361" s="21"/>
      <c r="B361" s="21"/>
      <c r="C361" s="20" t="str">
        <f>IF(B361="","",IF(COUNTIF('01_Anggota'!$D$5:$D$1212,B361)=0,"NAMA TIDAK DITEMUKAN",INDEX('01_Anggota'!$B$5:$B$1212,MATCH(B361,'01_Anggota'!$D$5:$D$1212,0))))</f>
        <v/>
      </c>
      <c r="D361" s="21"/>
      <c r="E361" s="23"/>
      <c r="F361" s="23"/>
      <c r="G361" s="23">
        <f>PinjamanTable[[#This Row],[Pokok (Rp) *]]+PinjamanTable[[#This Row],[Admin (Rp)]]</f>
        <v>0</v>
      </c>
      <c r="H361" s="24"/>
      <c r="I361" s="22"/>
      <c r="J361" s="21"/>
      <c r="K361" s="21"/>
    </row>
    <row r="362" spans="1:11" ht="21" customHeight="1">
      <c r="A362" s="21"/>
      <c r="B362" s="21"/>
      <c r="C362" s="20" t="str">
        <f>IF(B362="","",IF(COUNTIF('01_Anggota'!$D$5:$D$1212,B362)=0,"NAMA TIDAK DITEMUKAN",INDEX('01_Anggota'!$B$5:$B$1212,MATCH(B362,'01_Anggota'!$D$5:$D$1212,0))))</f>
        <v/>
      </c>
      <c r="D362" s="21"/>
      <c r="E362" s="23"/>
      <c r="F362" s="23"/>
      <c r="G362" s="23">
        <f>PinjamanTable[[#This Row],[Pokok (Rp) *]]+PinjamanTable[[#This Row],[Admin (Rp)]]</f>
        <v>0</v>
      </c>
      <c r="H362" s="24"/>
      <c r="I362" s="22"/>
      <c r="J362" s="21"/>
      <c r="K362" s="21"/>
    </row>
    <row r="363" spans="1:11" ht="21" customHeight="1">
      <c r="A363" s="21"/>
      <c r="B363" s="21"/>
      <c r="C363" s="20" t="str">
        <f>IF(B363="","",IF(COUNTIF('01_Anggota'!$D$5:$D$1212,B363)=0,"NAMA TIDAK DITEMUKAN",INDEX('01_Anggota'!$B$5:$B$1212,MATCH(B363,'01_Anggota'!$D$5:$D$1212,0))))</f>
        <v/>
      </c>
      <c r="D363" s="21"/>
      <c r="E363" s="23"/>
      <c r="F363" s="23"/>
      <c r="G363" s="23">
        <f>PinjamanTable[[#This Row],[Pokok (Rp) *]]+PinjamanTable[[#This Row],[Admin (Rp)]]</f>
        <v>0</v>
      </c>
      <c r="H363" s="24"/>
      <c r="I363" s="22"/>
      <c r="J363" s="21"/>
      <c r="K363" s="21"/>
    </row>
    <row r="364" spans="1:11" ht="21" customHeight="1">
      <c r="A364" s="21"/>
      <c r="B364" s="21"/>
      <c r="C364" s="20" t="str">
        <f>IF(B364="","",IF(COUNTIF('01_Anggota'!$D$5:$D$1212,B364)=0,"NAMA TIDAK DITEMUKAN",INDEX('01_Anggota'!$B$5:$B$1212,MATCH(B364,'01_Anggota'!$D$5:$D$1212,0))))</f>
        <v/>
      </c>
      <c r="D364" s="21"/>
      <c r="E364" s="23"/>
      <c r="F364" s="23"/>
      <c r="G364" s="23">
        <f>PinjamanTable[[#This Row],[Pokok (Rp) *]]+PinjamanTable[[#This Row],[Admin (Rp)]]</f>
        <v>0</v>
      </c>
      <c r="H364" s="24"/>
      <c r="I364" s="22"/>
      <c r="J364" s="21"/>
      <c r="K364" s="21"/>
    </row>
    <row r="365" spans="1:11" ht="21" customHeight="1">
      <c r="A365" s="21"/>
      <c r="B365" s="21"/>
      <c r="C365" s="20" t="str">
        <f>IF(B365="","",IF(COUNTIF('01_Anggota'!$D$5:$D$1212,B365)=0,"NAMA TIDAK DITEMUKAN",INDEX('01_Anggota'!$B$5:$B$1212,MATCH(B365,'01_Anggota'!$D$5:$D$1212,0))))</f>
        <v/>
      </c>
      <c r="D365" s="21"/>
      <c r="E365" s="23"/>
      <c r="F365" s="23"/>
      <c r="G365" s="23">
        <f>PinjamanTable[[#This Row],[Pokok (Rp) *]]+PinjamanTable[[#This Row],[Admin (Rp)]]</f>
        <v>0</v>
      </c>
      <c r="H365" s="24"/>
      <c r="I365" s="22"/>
      <c r="J365" s="21"/>
      <c r="K365" s="21"/>
    </row>
    <row r="366" spans="1:11" ht="21" customHeight="1">
      <c r="A366" s="21"/>
      <c r="B366" s="21"/>
      <c r="C366" s="20" t="str">
        <f>IF(B366="","",IF(COUNTIF('01_Anggota'!$D$5:$D$1212,B366)=0,"NAMA TIDAK DITEMUKAN",INDEX('01_Anggota'!$B$5:$B$1212,MATCH(B366,'01_Anggota'!$D$5:$D$1212,0))))</f>
        <v/>
      </c>
      <c r="D366" s="21"/>
      <c r="E366" s="23"/>
      <c r="F366" s="23"/>
      <c r="G366" s="23">
        <f>PinjamanTable[[#This Row],[Pokok (Rp) *]]+PinjamanTable[[#This Row],[Admin (Rp)]]</f>
        <v>0</v>
      </c>
      <c r="H366" s="24"/>
      <c r="I366" s="22"/>
      <c r="J366" s="21"/>
      <c r="K366" s="21"/>
    </row>
    <row r="367" spans="1:11" ht="21" customHeight="1">
      <c r="A367" s="21"/>
      <c r="B367" s="21"/>
      <c r="C367" s="20" t="str">
        <f>IF(B367="","",IF(COUNTIF('01_Anggota'!$D$5:$D$1212,B367)=0,"NAMA TIDAK DITEMUKAN",INDEX('01_Anggota'!$B$5:$B$1212,MATCH(B367,'01_Anggota'!$D$5:$D$1212,0))))</f>
        <v/>
      </c>
      <c r="D367" s="21"/>
      <c r="E367" s="23"/>
      <c r="F367" s="23"/>
      <c r="G367" s="23">
        <f>PinjamanTable[[#This Row],[Pokok (Rp) *]]+PinjamanTable[[#This Row],[Admin (Rp)]]</f>
        <v>0</v>
      </c>
      <c r="H367" s="24"/>
      <c r="I367" s="22"/>
      <c r="J367" s="21"/>
      <c r="K367" s="21"/>
    </row>
    <row r="368" spans="1:11" ht="21" customHeight="1">
      <c r="A368" s="21"/>
      <c r="B368" s="21"/>
      <c r="C368" s="20" t="str">
        <f>IF(B368="","",IF(COUNTIF('01_Anggota'!$D$5:$D$1212,B368)=0,"NAMA TIDAK DITEMUKAN",INDEX('01_Anggota'!$B$5:$B$1212,MATCH(B368,'01_Anggota'!$D$5:$D$1212,0))))</f>
        <v/>
      </c>
      <c r="D368" s="21"/>
      <c r="E368" s="23"/>
      <c r="F368" s="23"/>
      <c r="G368" s="23">
        <f>PinjamanTable[[#This Row],[Pokok (Rp) *]]+PinjamanTable[[#This Row],[Admin (Rp)]]</f>
        <v>0</v>
      </c>
      <c r="H368" s="24"/>
      <c r="I368" s="22"/>
      <c r="J368" s="21"/>
      <c r="K368" s="21"/>
    </row>
    <row r="369" spans="1:11" ht="21" customHeight="1">
      <c r="A369" s="21"/>
      <c r="B369" s="21"/>
      <c r="C369" s="20" t="str">
        <f>IF(B369="","",IF(COUNTIF('01_Anggota'!$D$5:$D$1212,B369)=0,"NAMA TIDAK DITEMUKAN",INDEX('01_Anggota'!$B$5:$B$1212,MATCH(B369,'01_Anggota'!$D$5:$D$1212,0))))</f>
        <v/>
      </c>
      <c r="D369" s="21"/>
      <c r="E369" s="23"/>
      <c r="F369" s="23"/>
      <c r="G369" s="23">
        <f>PinjamanTable[[#This Row],[Pokok (Rp) *]]+PinjamanTable[[#This Row],[Admin (Rp)]]</f>
        <v>0</v>
      </c>
      <c r="H369" s="24"/>
      <c r="I369" s="22"/>
      <c r="J369" s="21"/>
      <c r="K369" s="21"/>
    </row>
    <row r="370" spans="1:11" ht="21" customHeight="1">
      <c r="A370" s="21"/>
      <c r="B370" s="21"/>
      <c r="C370" s="20" t="str">
        <f>IF(B370="","",IF(COUNTIF('01_Anggota'!$D$5:$D$1212,B370)=0,"NAMA TIDAK DITEMUKAN",INDEX('01_Anggota'!$B$5:$B$1212,MATCH(B370,'01_Anggota'!$D$5:$D$1212,0))))</f>
        <v/>
      </c>
      <c r="D370" s="21"/>
      <c r="E370" s="23"/>
      <c r="F370" s="23"/>
      <c r="G370" s="23">
        <f>PinjamanTable[[#This Row],[Pokok (Rp) *]]+PinjamanTable[[#This Row],[Admin (Rp)]]</f>
        <v>0</v>
      </c>
      <c r="H370" s="24"/>
      <c r="I370" s="22"/>
      <c r="J370" s="21"/>
      <c r="K370" s="21"/>
    </row>
    <row r="371" spans="1:11" ht="21" customHeight="1">
      <c r="A371" s="21"/>
      <c r="B371" s="21"/>
      <c r="C371" s="20" t="str">
        <f>IF(B371="","",IF(COUNTIF('01_Anggota'!$D$5:$D$1212,B371)=0,"NAMA TIDAK DITEMUKAN",INDEX('01_Anggota'!$B$5:$B$1212,MATCH(B371,'01_Anggota'!$D$5:$D$1212,0))))</f>
        <v/>
      </c>
      <c r="D371" s="21"/>
      <c r="E371" s="23"/>
      <c r="F371" s="23"/>
      <c r="G371" s="23">
        <f>PinjamanTable[[#This Row],[Pokok (Rp) *]]+PinjamanTable[[#This Row],[Admin (Rp)]]</f>
        <v>0</v>
      </c>
      <c r="H371" s="24"/>
      <c r="I371" s="22"/>
      <c r="J371" s="21"/>
      <c r="K371" s="21"/>
    </row>
    <row r="372" spans="1:11" ht="21" customHeight="1">
      <c r="A372" s="21"/>
      <c r="B372" s="21"/>
      <c r="C372" s="20" t="str">
        <f>IF(B372="","",IF(COUNTIF('01_Anggota'!$D$5:$D$1212,B372)=0,"NAMA TIDAK DITEMUKAN",INDEX('01_Anggota'!$B$5:$B$1212,MATCH(B372,'01_Anggota'!$D$5:$D$1212,0))))</f>
        <v/>
      </c>
      <c r="D372" s="21"/>
      <c r="E372" s="23"/>
      <c r="F372" s="23"/>
      <c r="G372" s="23">
        <f>PinjamanTable[[#This Row],[Pokok (Rp) *]]+PinjamanTable[[#This Row],[Admin (Rp)]]</f>
        <v>0</v>
      </c>
      <c r="H372" s="24"/>
      <c r="I372" s="22"/>
      <c r="J372" s="21"/>
      <c r="K372" s="21"/>
    </row>
    <row r="373" spans="1:11" ht="21" customHeight="1">
      <c r="A373" s="21"/>
      <c r="B373" s="21"/>
      <c r="C373" s="20" t="str">
        <f>IF(B373="","",IF(COUNTIF('01_Anggota'!$D$5:$D$1212,B373)=0,"NAMA TIDAK DITEMUKAN",INDEX('01_Anggota'!$B$5:$B$1212,MATCH(B373,'01_Anggota'!$D$5:$D$1212,0))))</f>
        <v/>
      </c>
      <c r="D373" s="21"/>
      <c r="E373" s="23"/>
      <c r="F373" s="23"/>
      <c r="G373" s="23">
        <f>PinjamanTable[[#This Row],[Pokok (Rp) *]]+PinjamanTable[[#This Row],[Admin (Rp)]]</f>
        <v>0</v>
      </c>
      <c r="H373" s="24"/>
      <c r="I373" s="22"/>
      <c r="J373" s="21"/>
      <c r="K373" s="21"/>
    </row>
    <row r="374" spans="1:11" ht="21" customHeight="1">
      <c r="A374" s="21"/>
      <c r="B374" s="21"/>
      <c r="C374" s="20" t="str">
        <f>IF(B374="","",IF(COUNTIF('01_Anggota'!$D$5:$D$1212,B374)=0,"NAMA TIDAK DITEMUKAN",INDEX('01_Anggota'!$B$5:$B$1212,MATCH(B374,'01_Anggota'!$D$5:$D$1212,0))))</f>
        <v/>
      </c>
      <c r="D374" s="21"/>
      <c r="E374" s="23"/>
      <c r="F374" s="23"/>
      <c r="G374" s="23">
        <f>PinjamanTable[[#This Row],[Pokok (Rp) *]]+PinjamanTable[[#This Row],[Admin (Rp)]]</f>
        <v>0</v>
      </c>
      <c r="H374" s="24"/>
      <c r="I374" s="22"/>
      <c r="J374" s="21"/>
      <c r="K374" s="21"/>
    </row>
    <row r="375" spans="1:11" ht="21" customHeight="1">
      <c r="A375" s="21"/>
      <c r="B375" s="21"/>
      <c r="C375" s="20" t="str">
        <f>IF(B375="","",IF(COUNTIF('01_Anggota'!$D$5:$D$1212,B375)=0,"NAMA TIDAK DITEMUKAN",INDEX('01_Anggota'!$B$5:$B$1212,MATCH(B375,'01_Anggota'!$D$5:$D$1212,0))))</f>
        <v/>
      </c>
      <c r="D375" s="21"/>
      <c r="E375" s="23"/>
      <c r="F375" s="23"/>
      <c r="G375" s="23">
        <f>PinjamanTable[[#This Row],[Pokok (Rp) *]]+PinjamanTable[[#This Row],[Admin (Rp)]]</f>
        <v>0</v>
      </c>
      <c r="H375" s="24"/>
      <c r="I375" s="22"/>
      <c r="J375" s="21"/>
      <c r="K375" s="21"/>
    </row>
    <row r="376" spans="1:11" ht="21" customHeight="1">
      <c r="A376" s="21"/>
      <c r="B376" s="21"/>
      <c r="C376" s="20" t="str">
        <f>IF(B376="","",IF(COUNTIF('01_Anggota'!$D$5:$D$1212,B376)=0,"NAMA TIDAK DITEMUKAN",INDEX('01_Anggota'!$B$5:$B$1212,MATCH(B376,'01_Anggota'!$D$5:$D$1212,0))))</f>
        <v/>
      </c>
      <c r="D376" s="21"/>
      <c r="E376" s="23"/>
      <c r="F376" s="23"/>
      <c r="G376" s="23">
        <f>PinjamanTable[[#This Row],[Pokok (Rp) *]]+PinjamanTable[[#This Row],[Admin (Rp)]]</f>
        <v>0</v>
      </c>
      <c r="H376" s="24"/>
      <c r="I376" s="22"/>
      <c r="J376" s="21"/>
      <c r="K376" s="21"/>
    </row>
    <row r="377" spans="1:11" ht="21" customHeight="1">
      <c r="A377" s="21"/>
      <c r="B377" s="21"/>
      <c r="C377" s="20" t="str">
        <f>IF(B377="","",IF(COUNTIF('01_Anggota'!$D$5:$D$1212,B377)=0,"NAMA TIDAK DITEMUKAN",INDEX('01_Anggota'!$B$5:$B$1212,MATCH(B377,'01_Anggota'!$D$5:$D$1212,0))))</f>
        <v/>
      </c>
      <c r="D377" s="21"/>
      <c r="E377" s="23"/>
      <c r="F377" s="23"/>
      <c r="G377" s="23">
        <f>PinjamanTable[[#This Row],[Pokok (Rp) *]]+PinjamanTable[[#This Row],[Admin (Rp)]]</f>
        <v>0</v>
      </c>
      <c r="H377" s="24"/>
      <c r="I377" s="22"/>
      <c r="J377" s="21"/>
      <c r="K377" s="21"/>
    </row>
    <row r="378" spans="1:11" ht="21" customHeight="1">
      <c r="A378" s="21"/>
      <c r="B378" s="21"/>
      <c r="C378" s="20" t="str">
        <f>IF(B378="","",IF(COUNTIF('01_Anggota'!$D$5:$D$1212,B378)=0,"NAMA TIDAK DITEMUKAN",INDEX('01_Anggota'!$B$5:$B$1212,MATCH(B378,'01_Anggota'!$D$5:$D$1212,0))))</f>
        <v/>
      </c>
      <c r="D378" s="21"/>
      <c r="E378" s="23"/>
      <c r="F378" s="23"/>
      <c r="G378" s="23">
        <f>PinjamanTable[[#This Row],[Pokok (Rp) *]]+PinjamanTable[[#This Row],[Admin (Rp)]]</f>
        <v>0</v>
      </c>
      <c r="H378" s="24"/>
      <c r="I378" s="22"/>
      <c r="J378" s="21"/>
      <c r="K378" s="21"/>
    </row>
    <row r="379" spans="1:11" ht="21" customHeight="1">
      <c r="A379" s="21"/>
      <c r="B379" s="21"/>
      <c r="C379" s="20" t="str">
        <f>IF(B379="","",IF(COUNTIF('01_Anggota'!$D$5:$D$1212,B379)=0,"NAMA TIDAK DITEMUKAN",INDEX('01_Anggota'!$B$5:$B$1212,MATCH(B379,'01_Anggota'!$D$5:$D$1212,0))))</f>
        <v/>
      </c>
      <c r="D379" s="21"/>
      <c r="E379" s="23"/>
      <c r="F379" s="23"/>
      <c r="G379" s="23">
        <f>PinjamanTable[[#This Row],[Pokok (Rp) *]]+PinjamanTable[[#This Row],[Admin (Rp)]]</f>
        <v>0</v>
      </c>
      <c r="H379" s="24"/>
      <c r="I379" s="22"/>
      <c r="J379" s="21"/>
      <c r="K379" s="21"/>
    </row>
    <row r="380" spans="1:11" ht="21" customHeight="1">
      <c r="A380" s="21"/>
      <c r="B380" s="21"/>
      <c r="C380" s="20" t="str">
        <f>IF(B380="","",IF(COUNTIF('01_Anggota'!$D$5:$D$1212,B380)=0,"NAMA TIDAK DITEMUKAN",INDEX('01_Anggota'!$B$5:$B$1212,MATCH(B380,'01_Anggota'!$D$5:$D$1212,0))))</f>
        <v/>
      </c>
      <c r="D380" s="21"/>
      <c r="E380" s="23"/>
      <c r="F380" s="23"/>
      <c r="G380" s="23">
        <f>PinjamanTable[[#This Row],[Pokok (Rp) *]]+PinjamanTable[[#This Row],[Admin (Rp)]]</f>
        <v>0</v>
      </c>
      <c r="H380" s="24"/>
      <c r="I380" s="22"/>
      <c r="J380" s="21"/>
      <c r="K380" s="21"/>
    </row>
    <row r="381" spans="1:11" ht="21" customHeight="1">
      <c r="A381" s="21"/>
      <c r="B381" s="21"/>
      <c r="C381" s="20" t="str">
        <f>IF(B381="","",IF(COUNTIF('01_Anggota'!$D$5:$D$1212,B381)=0,"NAMA TIDAK DITEMUKAN",INDEX('01_Anggota'!$B$5:$B$1212,MATCH(B381,'01_Anggota'!$D$5:$D$1212,0))))</f>
        <v/>
      </c>
      <c r="D381" s="21"/>
      <c r="E381" s="23"/>
      <c r="F381" s="23"/>
      <c r="G381" s="23">
        <f>PinjamanTable[[#This Row],[Pokok (Rp) *]]+PinjamanTable[[#This Row],[Admin (Rp)]]</f>
        <v>0</v>
      </c>
      <c r="H381" s="24"/>
      <c r="I381" s="22"/>
      <c r="J381" s="21"/>
      <c r="K381" s="21"/>
    </row>
    <row r="382" spans="1:11" ht="21" customHeight="1">
      <c r="A382" s="21"/>
      <c r="B382" s="21"/>
      <c r="C382" s="20" t="str">
        <f>IF(B382="","",IF(COUNTIF('01_Anggota'!$D$5:$D$1212,B382)=0,"NAMA TIDAK DITEMUKAN",INDEX('01_Anggota'!$B$5:$B$1212,MATCH(B382,'01_Anggota'!$D$5:$D$1212,0))))</f>
        <v/>
      </c>
      <c r="D382" s="21"/>
      <c r="E382" s="23"/>
      <c r="F382" s="23"/>
      <c r="G382" s="23">
        <f>PinjamanTable[[#This Row],[Pokok (Rp) *]]+PinjamanTable[[#This Row],[Admin (Rp)]]</f>
        <v>0</v>
      </c>
      <c r="H382" s="24"/>
      <c r="I382" s="22"/>
      <c r="J382" s="21"/>
      <c r="K382" s="21"/>
    </row>
    <row r="383" spans="1:11" ht="21" customHeight="1">
      <c r="A383" s="21"/>
      <c r="B383" s="21"/>
      <c r="C383" s="20" t="str">
        <f>IF(B383="","",IF(COUNTIF('01_Anggota'!$D$5:$D$1212,B383)=0,"NAMA TIDAK DITEMUKAN",INDEX('01_Anggota'!$B$5:$B$1212,MATCH(B383,'01_Anggota'!$D$5:$D$1212,0))))</f>
        <v/>
      </c>
      <c r="D383" s="21"/>
      <c r="E383" s="23"/>
      <c r="F383" s="23"/>
      <c r="G383" s="23">
        <f>PinjamanTable[[#This Row],[Pokok (Rp) *]]+PinjamanTable[[#This Row],[Admin (Rp)]]</f>
        <v>0</v>
      </c>
      <c r="H383" s="24"/>
      <c r="I383" s="22"/>
      <c r="J383" s="21"/>
      <c r="K383" s="21"/>
    </row>
    <row r="384" spans="1:11" ht="21" customHeight="1">
      <c r="A384" s="21"/>
      <c r="B384" s="21"/>
      <c r="C384" s="20" t="str">
        <f>IF(B384="","",IF(COUNTIF('01_Anggota'!$D$5:$D$1212,B384)=0,"NAMA TIDAK DITEMUKAN",INDEX('01_Anggota'!$B$5:$B$1212,MATCH(B384,'01_Anggota'!$D$5:$D$1212,0))))</f>
        <v/>
      </c>
      <c r="D384" s="21"/>
      <c r="E384" s="23"/>
      <c r="F384" s="23"/>
      <c r="G384" s="23">
        <f>PinjamanTable[[#This Row],[Pokok (Rp) *]]+PinjamanTable[[#This Row],[Admin (Rp)]]</f>
        <v>0</v>
      </c>
      <c r="H384" s="24"/>
      <c r="I384" s="22"/>
      <c r="J384" s="21"/>
      <c r="K384" s="21"/>
    </row>
    <row r="385" spans="1:11" ht="21" customHeight="1">
      <c r="A385" s="21"/>
      <c r="B385" s="21"/>
      <c r="C385" s="20" t="str">
        <f>IF(B385="","",IF(COUNTIF('01_Anggota'!$D$5:$D$1212,B385)=0,"NAMA TIDAK DITEMUKAN",INDEX('01_Anggota'!$B$5:$B$1212,MATCH(B385,'01_Anggota'!$D$5:$D$1212,0))))</f>
        <v/>
      </c>
      <c r="D385" s="21"/>
      <c r="E385" s="23"/>
      <c r="F385" s="23"/>
      <c r="G385" s="23">
        <f>PinjamanTable[[#This Row],[Pokok (Rp) *]]+PinjamanTable[[#This Row],[Admin (Rp)]]</f>
        <v>0</v>
      </c>
      <c r="H385" s="24"/>
      <c r="I385" s="22"/>
      <c r="J385" s="21"/>
      <c r="K385" s="21"/>
    </row>
    <row r="386" spans="1:11" ht="21" customHeight="1">
      <c r="A386" s="21"/>
      <c r="B386" s="21"/>
      <c r="C386" s="20" t="str">
        <f>IF(B386="","",IF(COUNTIF('01_Anggota'!$D$5:$D$1212,B386)=0,"NAMA TIDAK DITEMUKAN",INDEX('01_Anggota'!$B$5:$B$1212,MATCH(B386,'01_Anggota'!$D$5:$D$1212,0))))</f>
        <v/>
      </c>
      <c r="D386" s="21"/>
      <c r="E386" s="23"/>
      <c r="F386" s="23"/>
      <c r="G386" s="23">
        <f>PinjamanTable[[#This Row],[Pokok (Rp) *]]+PinjamanTable[[#This Row],[Admin (Rp)]]</f>
        <v>0</v>
      </c>
      <c r="H386" s="24"/>
      <c r="I386" s="22"/>
      <c r="J386" s="21"/>
      <c r="K386" s="21"/>
    </row>
    <row r="387" spans="1:11" ht="21" customHeight="1">
      <c r="A387" s="21"/>
      <c r="B387" s="21"/>
      <c r="C387" s="20" t="str">
        <f>IF(B387="","",IF(COUNTIF('01_Anggota'!$D$5:$D$1212,B387)=0,"NAMA TIDAK DITEMUKAN",INDEX('01_Anggota'!$B$5:$B$1212,MATCH(B387,'01_Anggota'!$D$5:$D$1212,0))))</f>
        <v/>
      </c>
      <c r="D387" s="21"/>
      <c r="E387" s="23"/>
      <c r="F387" s="23"/>
      <c r="G387" s="23">
        <f>PinjamanTable[[#This Row],[Pokok (Rp) *]]+PinjamanTable[[#This Row],[Admin (Rp)]]</f>
        <v>0</v>
      </c>
      <c r="H387" s="24"/>
      <c r="I387" s="22"/>
      <c r="J387" s="21"/>
      <c r="K387" s="21"/>
    </row>
    <row r="388" spans="1:11" ht="21" customHeight="1">
      <c r="A388" s="21"/>
      <c r="B388" s="21"/>
      <c r="C388" s="20" t="str">
        <f>IF(B388="","",IF(COUNTIF('01_Anggota'!$D$5:$D$1212,B388)=0,"NAMA TIDAK DITEMUKAN",INDEX('01_Anggota'!$B$5:$B$1212,MATCH(B388,'01_Anggota'!$D$5:$D$1212,0))))</f>
        <v/>
      </c>
      <c r="D388" s="21"/>
      <c r="E388" s="23"/>
      <c r="F388" s="23"/>
      <c r="G388" s="23">
        <f>PinjamanTable[[#This Row],[Pokok (Rp) *]]+PinjamanTable[[#This Row],[Admin (Rp)]]</f>
        <v>0</v>
      </c>
      <c r="H388" s="24"/>
      <c r="I388" s="22"/>
      <c r="J388" s="21"/>
      <c r="K388" s="21"/>
    </row>
    <row r="389" spans="1:11" ht="21" customHeight="1">
      <c r="A389" s="21"/>
      <c r="B389" s="21"/>
      <c r="C389" s="20" t="str">
        <f>IF(B389="","",IF(COUNTIF('01_Anggota'!$D$5:$D$1212,B389)=0,"NAMA TIDAK DITEMUKAN",INDEX('01_Anggota'!$B$5:$B$1212,MATCH(B389,'01_Anggota'!$D$5:$D$1212,0))))</f>
        <v/>
      </c>
      <c r="D389" s="21"/>
      <c r="E389" s="23"/>
      <c r="F389" s="23"/>
      <c r="G389" s="23">
        <f>PinjamanTable[[#This Row],[Pokok (Rp) *]]+PinjamanTable[[#This Row],[Admin (Rp)]]</f>
        <v>0</v>
      </c>
      <c r="H389" s="24"/>
      <c r="I389" s="22"/>
      <c r="J389" s="21"/>
      <c r="K389" s="21"/>
    </row>
    <row r="390" spans="1:11" ht="21" customHeight="1">
      <c r="A390" s="21"/>
      <c r="B390" s="21"/>
      <c r="C390" s="20" t="str">
        <f>IF(B390="","",IF(COUNTIF('01_Anggota'!$D$5:$D$1212,B390)=0,"NAMA TIDAK DITEMUKAN",INDEX('01_Anggota'!$B$5:$B$1212,MATCH(B390,'01_Anggota'!$D$5:$D$1212,0))))</f>
        <v/>
      </c>
      <c r="D390" s="21"/>
      <c r="E390" s="23"/>
      <c r="F390" s="23"/>
      <c r="G390" s="23">
        <f>PinjamanTable[[#This Row],[Pokok (Rp) *]]+PinjamanTable[[#This Row],[Admin (Rp)]]</f>
        <v>0</v>
      </c>
      <c r="H390" s="24"/>
      <c r="I390" s="22"/>
      <c r="J390" s="21"/>
      <c r="K390" s="21"/>
    </row>
    <row r="391" spans="1:11" ht="21" customHeight="1">
      <c r="A391" s="21"/>
      <c r="B391" s="21"/>
      <c r="C391" s="20" t="str">
        <f>IF(B391="","",IF(COUNTIF('01_Anggota'!$D$5:$D$1212,B391)=0,"NAMA TIDAK DITEMUKAN",INDEX('01_Anggota'!$B$5:$B$1212,MATCH(B391,'01_Anggota'!$D$5:$D$1212,0))))</f>
        <v/>
      </c>
      <c r="D391" s="21"/>
      <c r="E391" s="23"/>
      <c r="F391" s="23"/>
      <c r="G391" s="23">
        <f>PinjamanTable[[#This Row],[Pokok (Rp) *]]+PinjamanTable[[#This Row],[Admin (Rp)]]</f>
        <v>0</v>
      </c>
      <c r="H391" s="24"/>
      <c r="I391" s="22"/>
      <c r="J391" s="21"/>
      <c r="K391" s="21"/>
    </row>
    <row r="392" spans="1:11" ht="21" customHeight="1">
      <c r="A392" s="21"/>
      <c r="B392" s="21"/>
      <c r="C392" s="20" t="str">
        <f>IF(B392="","",IF(COUNTIF('01_Anggota'!$D$5:$D$1212,B392)=0,"NAMA TIDAK DITEMUKAN",INDEX('01_Anggota'!$B$5:$B$1212,MATCH(B392,'01_Anggota'!$D$5:$D$1212,0))))</f>
        <v/>
      </c>
      <c r="D392" s="21"/>
      <c r="E392" s="23"/>
      <c r="F392" s="23"/>
      <c r="G392" s="23">
        <f>PinjamanTable[[#This Row],[Pokok (Rp) *]]+PinjamanTable[[#This Row],[Admin (Rp)]]</f>
        <v>0</v>
      </c>
      <c r="H392" s="24"/>
      <c r="I392" s="22"/>
      <c r="J392" s="21"/>
      <c r="K392" s="21"/>
    </row>
    <row r="393" spans="1:11" ht="21" customHeight="1">
      <c r="A393" s="21"/>
      <c r="B393" s="21"/>
      <c r="C393" s="20" t="str">
        <f>IF(B393="","",IF(COUNTIF('01_Anggota'!$D$5:$D$1212,B393)=0,"NAMA TIDAK DITEMUKAN",INDEX('01_Anggota'!$B$5:$B$1212,MATCH(B393,'01_Anggota'!$D$5:$D$1212,0))))</f>
        <v/>
      </c>
      <c r="D393" s="21"/>
      <c r="E393" s="23"/>
      <c r="F393" s="23"/>
      <c r="G393" s="23">
        <f>PinjamanTable[[#This Row],[Pokok (Rp) *]]+PinjamanTable[[#This Row],[Admin (Rp)]]</f>
        <v>0</v>
      </c>
      <c r="H393" s="24"/>
      <c r="I393" s="22"/>
      <c r="J393" s="21"/>
      <c r="K393" s="21"/>
    </row>
    <row r="394" spans="1:11" ht="21" customHeight="1">
      <c r="A394" s="21"/>
      <c r="B394" s="21"/>
      <c r="C394" s="20" t="str">
        <f>IF(B394="","",IF(COUNTIF('01_Anggota'!$D$5:$D$1212,B394)=0,"NAMA TIDAK DITEMUKAN",INDEX('01_Anggota'!$B$5:$B$1212,MATCH(B394,'01_Anggota'!$D$5:$D$1212,0))))</f>
        <v/>
      </c>
      <c r="D394" s="21"/>
      <c r="E394" s="23"/>
      <c r="F394" s="23"/>
      <c r="G394" s="23">
        <f>PinjamanTable[[#This Row],[Pokok (Rp) *]]+PinjamanTable[[#This Row],[Admin (Rp)]]</f>
        <v>0</v>
      </c>
      <c r="H394" s="24"/>
      <c r="I394" s="22"/>
      <c r="J394" s="21"/>
      <c r="K394" s="21"/>
    </row>
    <row r="395" spans="1:11" ht="21" customHeight="1">
      <c r="A395" s="21"/>
      <c r="B395" s="21"/>
      <c r="C395" s="20" t="str">
        <f>IF(B395="","",IF(COUNTIF('01_Anggota'!$D$5:$D$1212,B395)=0,"NAMA TIDAK DITEMUKAN",INDEX('01_Anggota'!$B$5:$B$1212,MATCH(B395,'01_Anggota'!$D$5:$D$1212,0))))</f>
        <v/>
      </c>
      <c r="D395" s="21"/>
      <c r="E395" s="23"/>
      <c r="F395" s="23"/>
      <c r="G395" s="23">
        <f>PinjamanTable[[#This Row],[Pokok (Rp) *]]+PinjamanTable[[#This Row],[Admin (Rp)]]</f>
        <v>0</v>
      </c>
      <c r="H395" s="24"/>
      <c r="I395" s="22"/>
      <c r="J395" s="21"/>
      <c r="K395" s="21"/>
    </row>
    <row r="396" spans="1:11" ht="21" customHeight="1">
      <c r="A396" s="21"/>
      <c r="B396" s="21"/>
      <c r="C396" s="20" t="str">
        <f>IF(B396="","",IF(COUNTIF('01_Anggota'!$D$5:$D$1212,B396)=0,"NAMA TIDAK DITEMUKAN",INDEX('01_Anggota'!$B$5:$B$1212,MATCH(B396,'01_Anggota'!$D$5:$D$1212,0))))</f>
        <v/>
      </c>
      <c r="D396" s="21"/>
      <c r="E396" s="23"/>
      <c r="F396" s="23"/>
      <c r="G396" s="23">
        <f>PinjamanTable[[#This Row],[Pokok (Rp) *]]+PinjamanTable[[#This Row],[Admin (Rp)]]</f>
        <v>0</v>
      </c>
      <c r="H396" s="24"/>
      <c r="I396" s="22"/>
      <c r="J396" s="21"/>
      <c r="K396" s="21"/>
    </row>
    <row r="397" spans="1:11" ht="21" customHeight="1">
      <c r="A397" s="21"/>
      <c r="B397" s="21"/>
      <c r="C397" s="20" t="str">
        <f>IF(B397="","",IF(COUNTIF('01_Anggota'!$D$5:$D$1212,B397)=0,"NAMA TIDAK DITEMUKAN",INDEX('01_Anggota'!$B$5:$B$1212,MATCH(B397,'01_Anggota'!$D$5:$D$1212,0))))</f>
        <v/>
      </c>
      <c r="D397" s="21"/>
      <c r="E397" s="23"/>
      <c r="F397" s="23"/>
      <c r="G397" s="23">
        <f>PinjamanTable[[#This Row],[Pokok (Rp) *]]+PinjamanTable[[#This Row],[Admin (Rp)]]</f>
        <v>0</v>
      </c>
      <c r="H397" s="24"/>
      <c r="I397" s="22"/>
      <c r="J397" s="21"/>
      <c r="K397" s="21"/>
    </row>
    <row r="398" spans="1:11" ht="21" customHeight="1">
      <c r="A398" s="21"/>
      <c r="B398" s="21"/>
      <c r="C398" s="20" t="str">
        <f>IF(B398="","",IF(COUNTIF('01_Anggota'!$D$5:$D$1212,B398)=0,"NAMA TIDAK DITEMUKAN",INDEX('01_Anggota'!$B$5:$B$1212,MATCH(B398,'01_Anggota'!$D$5:$D$1212,0))))</f>
        <v/>
      </c>
      <c r="D398" s="21"/>
      <c r="E398" s="23"/>
      <c r="F398" s="23"/>
      <c r="G398" s="23">
        <f>PinjamanTable[[#This Row],[Pokok (Rp) *]]+PinjamanTable[[#This Row],[Admin (Rp)]]</f>
        <v>0</v>
      </c>
      <c r="H398" s="24"/>
      <c r="I398" s="22"/>
      <c r="J398" s="21"/>
      <c r="K398" s="21"/>
    </row>
    <row r="399" spans="1:11" ht="21" customHeight="1">
      <c r="A399" s="21"/>
      <c r="B399" s="21"/>
      <c r="C399" s="20" t="str">
        <f>IF(B399="","",IF(COUNTIF('01_Anggota'!$D$5:$D$1212,B399)=0,"NAMA TIDAK DITEMUKAN",INDEX('01_Anggota'!$B$5:$B$1212,MATCH(B399,'01_Anggota'!$D$5:$D$1212,0))))</f>
        <v/>
      </c>
      <c r="D399" s="21"/>
      <c r="E399" s="23"/>
      <c r="F399" s="23"/>
      <c r="G399" s="23">
        <f>PinjamanTable[[#This Row],[Pokok (Rp) *]]+PinjamanTable[[#This Row],[Admin (Rp)]]</f>
        <v>0</v>
      </c>
      <c r="H399" s="24"/>
      <c r="I399" s="22"/>
      <c r="J399" s="21"/>
      <c r="K399" s="21"/>
    </row>
    <row r="400" spans="1:11" ht="21" customHeight="1">
      <c r="A400" s="21"/>
      <c r="B400" s="21"/>
      <c r="C400" s="20" t="str">
        <f>IF(B400="","",IF(COUNTIF('01_Anggota'!$D$5:$D$1212,B400)=0,"NAMA TIDAK DITEMUKAN",INDEX('01_Anggota'!$B$5:$B$1212,MATCH(B400,'01_Anggota'!$D$5:$D$1212,0))))</f>
        <v/>
      </c>
      <c r="D400" s="21"/>
      <c r="E400" s="23"/>
      <c r="F400" s="23"/>
      <c r="G400" s="23">
        <f>PinjamanTable[[#This Row],[Pokok (Rp) *]]+PinjamanTable[[#This Row],[Admin (Rp)]]</f>
        <v>0</v>
      </c>
      <c r="H400" s="24"/>
      <c r="I400" s="22"/>
      <c r="J400" s="21"/>
      <c r="K400" s="21"/>
    </row>
    <row r="401" spans="1:11" ht="21" customHeight="1">
      <c r="A401" s="21"/>
      <c r="B401" s="21"/>
      <c r="C401" s="20" t="str">
        <f>IF(B401="","",IF(COUNTIF('01_Anggota'!$D$5:$D$1212,B401)=0,"NAMA TIDAK DITEMUKAN",INDEX('01_Anggota'!$B$5:$B$1212,MATCH(B401,'01_Anggota'!$D$5:$D$1212,0))))</f>
        <v/>
      </c>
      <c r="D401" s="21"/>
      <c r="E401" s="23"/>
      <c r="F401" s="23"/>
      <c r="G401" s="23">
        <f>PinjamanTable[[#This Row],[Pokok (Rp) *]]+PinjamanTable[[#This Row],[Admin (Rp)]]</f>
        <v>0</v>
      </c>
      <c r="H401" s="24"/>
      <c r="I401" s="22"/>
      <c r="J401" s="21"/>
      <c r="K401" s="21"/>
    </row>
    <row r="402" spans="1:11" ht="21" customHeight="1">
      <c r="A402" s="21"/>
      <c r="B402" s="21"/>
      <c r="C402" s="20" t="str">
        <f>IF(B402="","",IF(COUNTIF('01_Anggota'!$D$5:$D$1212,B402)=0,"NAMA TIDAK DITEMUKAN",INDEX('01_Anggota'!$B$5:$B$1212,MATCH(B402,'01_Anggota'!$D$5:$D$1212,0))))</f>
        <v/>
      </c>
      <c r="D402" s="21"/>
      <c r="E402" s="23"/>
      <c r="F402" s="23"/>
      <c r="G402" s="23">
        <f>PinjamanTable[[#This Row],[Pokok (Rp) *]]+PinjamanTable[[#This Row],[Admin (Rp)]]</f>
        <v>0</v>
      </c>
      <c r="H402" s="24"/>
      <c r="I402" s="22"/>
      <c r="J402" s="21"/>
      <c r="K402" s="21"/>
    </row>
    <row r="403" spans="1:11" ht="21" customHeight="1">
      <c r="A403" s="21"/>
      <c r="B403" s="21"/>
      <c r="C403" s="20" t="str">
        <f>IF(B403="","",IF(COUNTIF('01_Anggota'!$D$5:$D$1212,B403)=0,"NAMA TIDAK DITEMUKAN",INDEX('01_Anggota'!$B$5:$B$1212,MATCH(B403,'01_Anggota'!$D$5:$D$1212,0))))</f>
        <v/>
      </c>
      <c r="D403" s="21"/>
      <c r="E403" s="23"/>
      <c r="F403" s="23"/>
      <c r="G403" s="23">
        <f>PinjamanTable[[#This Row],[Pokok (Rp) *]]+PinjamanTable[[#This Row],[Admin (Rp)]]</f>
        <v>0</v>
      </c>
      <c r="H403" s="24"/>
      <c r="I403" s="22"/>
      <c r="J403" s="21"/>
      <c r="K403" s="21"/>
    </row>
    <row r="404" spans="1:11" ht="21" customHeight="1">
      <c r="A404" s="21"/>
      <c r="B404" s="21"/>
      <c r="C404" s="20" t="str">
        <f>IF(B404="","",IF(COUNTIF('01_Anggota'!$D$5:$D$1212,B404)=0,"NAMA TIDAK DITEMUKAN",INDEX('01_Anggota'!$B$5:$B$1212,MATCH(B404,'01_Anggota'!$D$5:$D$1212,0))))</f>
        <v/>
      </c>
      <c r="D404" s="21"/>
      <c r="E404" s="23"/>
      <c r="F404" s="23"/>
      <c r="G404" s="23">
        <f>PinjamanTable[[#This Row],[Pokok (Rp) *]]+PinjamanTable[[#This Row],[Admin (Rp)]]</f>
        <v>0</v>
      </c>
      <c r="H404" s="24"/>
      <c r="I404" s="22"/>
      <c r="J404" s="21"/>
      <c r="K404" s="21"/>
    </row>
    <row r="405" spans="1:11" ht="21" customHeight="1">
      <c r="A405" s="21"/>
      <c r="B405" s="21"/>
      <c r="C405" s="20" t="str">
        <f>IF(B405="","",IF(COUNTIF('01_Anggota'!$D$5:$D$1212,B405)=0,"NAMA TIDAK DITEMUKAN",INDEX('01_Anggota'!$B$5:$B$1212,MATCH(B405,'01_Anggota'!$D$5:$D$1212,0))))</f>
        <v/>
      </c>
      <c r="D405" s="21"/>
      <c r="E405" s="23"/>
      <c r="F405" s="23"/>
      <c r="G405" s="23">
        <f>PinjamanTable[[#This Row],[Pokok (Rp) *]]+PinjamanTable[[#This Row],[Admin (Rp)]]</f>
        <v>0</v>
      </c>
      <c r="H405" s="24"/>
      <c r="I405" s="22"/>
      <c r="J405" s="21"/>
      <c r="K405" s="21"/>
    </row>
    <row r="406" spans="1:11" ht="21" customHeight="1">
      <c r="A406" s="21"/>
      <c r="B406" s="21"/>
      <c r="C406" s="20" t="str">
        <f>IF(B406="","",IF(COUNTIF('01_Anggota'!$D$5:$D$1212,B406)=0,"NAMA TIDAK DITEMUKAN",INDEX('01_Anggota'!$B$5:$B$1212,MATCH(B406,'01_Anggota'!$D$5:$D$1212,0))))</f>
        <v/>
      </c>
      <c r="D406" s="21"/>
      <c r="E406" s="23"/>
      <c r="F406" s="23"/>
      <c r="G406" s="23">
        <f>PinjamanTable[[#This Row],[Pokok (Rp) *]]+PinjamanTable[[#This Row],[Admin (Rp)]]</f>
        <v>0</v>
      </c>
      <c r="H406" s="24"/>
      <c r="I406" s="22"/>
      <c r="J406" s="21"/>
      <c r="K406" s="21"/>
    </row>
    <row r="407" spans="1:11" ht="21" customHeight="1">
      <c r="A407" s="21"/>
      <c r="B407" s="21"/>
      <c r="C407" s="20" t="str">
        <f>IF(B407="","",IF(COUNTIF('01_Anggota'!$D$5:$D$1212,B407)=0,"NAMA TIDAK DITEMUKAN",INDEX('01_Anggota'!$B$5:$B$1212,MATCH(B407,'01_Anggota'!$D$5:$D$1212,0))))</f>
        <v/>
      </c>
      <c r="D407" s="21"/>
      <c r="E407" s="23"/>
      <c r="F407" s="23"/>
      <c r="G407" s="23">
        <f>PinjamanTable[[#This Row],[Pokok (Rp) *]]+PinjamanTable[[#This Row],[Admin (Rp)]]</f>
        <v>0</v>
      </c>
      <c r="H407" s="24"/>
      <c r="I407" s="22"/>
      <c r="J407" s="21"/>
      <c r="K407" s="21"/>
    </row>
    <row r="408" spans="1:11" ht="21" customHeight="1">
      <c r="A408" s="21"/>
      <c r="B408" s="21"/>
      <c r="C408" s="20" t="str">
        <f>IF(B408="","",IF(COUNTIF('01_Anggota'!$D$5:$D$1212,B408)=0,"NAMA TIDAK DITEMUKAN",INDEX('01_Anggota'!$B$5:$B$1212,MATCH(B408,'01_Anggota'!$D$5:$D$1212,0))))</f>
        <v/>
      </c>
      <c r="D408" s="21"/>
      <c r="E408" s="23"/>
      <c r="F408" s="23"/>
      <c r="G408" s="23">
        <f>PinjamanTable[[#This Row],[Pokok (Rp) *]]+PinjamanTable[[#This Row],[Admin (Rp)]]</f>
        <v>0</v>
      </c>
      <c r="H408" s="24"/>
      <c r="I408" s="22"/>
      <c r="J408" s="21"/>
      <c r="K408" s="21"/>
    </row>
    <row r="409" spans="1:11" ht="21" customHeight="1">
      <c r="A409" s="21"/>
      <c r="B409" s="21"/>
      <c r="C409" s="20" t="str">
        <f>IF(B409="","",IF(COUNTIF('01_Anggota'!$D$5:$D$1212,B409)=0,"NAMA TIDAK DITEMUKAN",INDEX('01_Anggota'!$B$5:$B$1212,MATCH(B409,'01_Anggota'!$D$5:$D$1212,0))))</f>
        <v/>
      </c>
      <c r="D409" s="21"/>
      <c r="E409" s="23"/>
      <c r="F409" s="23"/>
      <c r="G409" s="23">
        <f>PinjamanTable[[#This Row],[Pokok (Rp) *]]+PinjamanTable[[#This Row],[Admin (Rp)]]</f>
        <v>0</v>
      </c>
      <c r="H409" s="24"/>
      <c r="I409" s="22"/>
      <c r="J409" s="21"/>
      <c r="K409" s="21"/>
    </row>
    <row r="410" spans="1:11" ht="21" customHeight="1">
      <c r="A410" s="21"/>
      <c r="B410" s="21"/>
      <c r="C410" s="20" t="str">
        <f>IF(B410="","",IF(COUNTIF('01_Anggota'!$D$5:$D$1212,B410)=0,"NAMA TIDAK DITEMUKAN",INDEX('01_Anggota'!$B$5:$B$1212,MATCH(B410,'01_Anggota'!$D$5:$D$1212,0))))</f>
        <v/>
      </c>
      <c r="D410" s="21"/>
      <c r="E410" s="23"/>
      <c r="F410" s="23"/>
      <c r="G410" s="23">
        <f>PinjamanTable[[#This Row],[Pokok (Rp) *]]+PinjamanTable[[#This Row],[Admin (Rp)]]</f>
        <v>0</v>
      </c>
      <c r="H410" s="24"/>
      <c r="I410" s="22"/>
      <c r="J410" s="21"/>
      <c r="K410" s="21"/>
    </row>
    <row r="411" spans="1:11" ht="21" customHeight="1">
      <c r="A411" s="21"/>
      <c r="B411" s="21"/>
      <c r="C411" s="20" t="str">
        <f>IF(B411="","",IF(COUNTIF('01_Anggota'!$D$5:$D$1212,B411)=0,"NAMA TIDAK DITEMUKAN",INDEX('01_Anggota'!$B$5:$B$1212,MATCH(B411,'01_Anggota'!$D$5:$D$1212,0))))</f>
        <v/>
      </c>
      <c r="D411" s="21"/>
      <c r="E411" s="23"/>
      <c r="F411" s="23"/>
      <c r="G411" s="23">
        <f>PinjamanTable[[#This Row],[Pokok (Rp) *]]+PinjamanTable[[#This Row],[Admin (Rp)]]</f>
        <v>0</v>
      </c>
      <c r="H411" s="24"/>
      <c r="I411" s="22"/>
      <c r="J411" s="21"/>
      <c r="K411" s="21"/>
    </row>
    <row r="412" spans="1:11" ht="21" customHeight="1">
      <c r="A412" s="21"/>
      <c r="B412" s="21"/>
      <c r="C412" s="20" t="str">
        <f>IF(B412="","",IF(COUNTIF('01_Anggota'!$D$5:$D$1212,B412)=0,"NAMA TIDAK DITEMUKAN",INDEX('01_Anggota'!$B$5:$B$1212,MATCH(B412,'01_Anggota'!$D$5:$D$1212,0))))</f>
        <v/>
      </c>
      <c r="D412" s="21"/>
      <c r="E412" s="23"/>
      <c r="F412" s="23"/>
      <c r="G412" s="23">
        <f>PinjamanTable[[#This Row],[Pokok (Rp) *]]+PinjamanTable[[#This Row],[Admin (Rp)]]</f>
        <v>0</v>
      </c>
      <c r="H412" s="24"/>
      <c r="I412" s="22"/>
      <c r="J412" s="21"/>
      <c r="K412" s="21"/>
    </row>
    <row r="413" spans="1:11" ht="21" customHeight="1">
      <c r="A413" s="21"/>
      <c r="B413" s="21"/>
      <c r="C413" s="20" t="str">
        <f>IF(B413="","",IF(COUNTIF('01_Anggota'!$D$5:$D$1212,B413)=0,"NAMA TIDAK DITEMUKAN",INDEX('01_Anggota'!$B$5:$B$1212,MATCH(B413,'01_Anggota'!$D$5:$D$1212,0))))</f>
        <v/>
      </c>
      <c r="D413" s="21"/>
      <c r="E413" s="23"/>
      <c r="F413" s="23"/>
      <c r="G413" s="23">
        <f>PinjamanTable[[#This Row],[Pokok (Rp) *]]+PinjamanTable[[#This Row],[Admin (Rp)]]</f>
        <v>0</v>
      </c>
      <c r="H413" s="24"/>
      <c r="I413" s="22"/>
      <c r="J413" s="21"/>
      <c r="K413" s="21"/>
    </row>
    <row r="414" spans="1:11" ht="21" customHeight="1">
      <c r="A414" s="21"/>
      <c r="B414" s="21"/>
      <c r="C414" s="20" t="str">
        <f>IF(B414="","",IF(COUNTIF('01_Anggota'!$D$5:$D$1212,B414)=0,"NAMA TIDAK DITEMUKAN",INDEX('01_Anggota'!$B$5:$B$1212,MATCH(B414,'01_Anggota'!$D$5:$D$1212,0))))</f>
        <v/>
      </c>
      <c r="D414" s="21"/>
      <c r="E414" s="23"/>
      <c r="F414" s="23"/>
      <c r="G414" s="23">
        <f>PinjamanTable[[#This Row],[Pokok (Rp) *]]+PinjamanTable[[#This Row],[Admin (Rp)]]</f>
        <v>0</v>
      </c>
      <c r="H414" s="24"/>
      <c r="I414" s="22"/>
      <c r="J414" s="21"/>
      <c r="K414" s="21"/>
    </row>
    <row r="415" spans="1:11" ht="21" customHeight="1">
      <c r="A415" s="21"/>
      <c r="B415" s="21"/>
      <c r="C415" s="20" t="str">
        <f>IF(B415="","",IF(COUNTIF('01_Anggota'!$D$5:$D$1212,B415)=0,"NAMA TIDAK DITEMUKAN",INDEX('01_Anggota'!$B$5:$B$1212,MATCH(B415,'01_Anggota'!$D$5:$D$1212,0))))</f>
        <v/>
      </c>
      <c r="D415" s="21"/>
      <c r="E415" s="23"/>
      <c r="F415" s="23"/>
      <c r="G415" s="23">
        <f>PinjamanTable[[#This Row],[Pokok (Rp) *]]+PinjamanTable[[#This Row],[Admin (Rp)]]</f>
        <v>0</v>
      </c>
      <c r="H415" s="24"/>
      <c r="I415" s="22"/>
      <c r="J415" s="21"/>
      <c r="K415" s="21"/>
    </row>
    <row r="416" spans="1:11" ht="21" customHeight="1">
      <c r="A416" s="21"/>
      <c r="B416" s="21"/>
      <c r="C416" s="20" t="str">
        <f>IF(B416="","",IF(COUNTIF('01_Anggota'!$D$5:$D$1212,B416)=0,"NAMA TIDAK DITEMUKAN",INDEX('01_Anggota'!$B$5:$B$1212,MATCH(B416,'01_Anggota'!$D$5:$D$1212,0))))</f>
        <v/>
      </c>
      <c r="D416" s="21"/>
      <c r="E416" s="23"/>
      <c r="F416" s="23"/>
      <c r="G416" s="23">
        <f>PinjamanTable[[#This Row],[Pokok (Rp) *]]+PinjamanTable[[#This Row],[Admin (Rp)]]</f>
        <v>0</v>
      </c>
      <c r="H416" s="24"/>
      <c r="I416" s="22"/>
      <c r="J416" s="21"/>
      <c r="K416" s="21"/>
    </row>
    <row r="417" spans="1:11" ht="21" customHeight="1">
      <c r="A417" s="21"/>
      <c r="B417" s="21"/>
      <c r="C417" s="20" t="str">
        <f>IF(B417="","",IF(COUNTIF('01_Anggota'!$D$5:$D$1212,B417)=0,"NAMA TIDAK DITEMUKAN",INDEX('01_Anggota'!$B$5:$B$1212,MATCH(B417,'01_Anggota'!$D$5:$D$1212,0))))</f>
        <v/>
      </c>
      <c r="D417" s="21"/>
      <c r="E417" s="23"/>
      <c r="F417" s="23"/>
      <c r="G417" s="23">
        <f>PinjamanTable[[#This Row],[Pokok (Rp) *]]+PinjamanTable[[#This Row],[Admin (Rp)]]</f>
        <v>0</v>
      </c>
      <c r="H417" s="24"/>
      <c r="I417" s="22"/>
      <c r="J417" s="21"/>
      <c r="K417" s="21"/>
    </row>
    <row r="418" spans="1:11" ht="21" customHeight="1">
      <c r="A418" s="21"/>
      <c r="B418" s="21"/>
      <c r="C418" s="20" t="str">
        <f>IF(B418="","",IF(COUNTIF('01_Anggota'!$D$5:$D$1212,B418)=0,"NAMA TIDAK DITEMUKAN",INDEX('01_Anggota'!$B$5:$B$1212,MATCH(B418,'01_Anggota'!$D$5:$D$1212,0))))</f>
        <v/>
      </c>
      <c r="D418" s="21"/>
      <c r="E418" s="23"/>
      <c r="F418" s="23"/>
      <c r="G418" s="23">
        <f>PinjamanTable[[#This Row],[Pokok (Rp) *]]+PinjamanTable[[#This Row],[Admin (Rp)]]</f>
        <v>0</v>
      </c>
      <c r="H418" s="24"/>
      <c r="I418" s="22"/>
      <c r="J418" s="21"/>
      <c r="K418" s="21"/>
    </row>
    <row r="419" spans="1:11" ht="21" customHeight="1">
      <c r="A419" s="21"/>
      <c r="B419" s="21"/>
      <c r="C419" s="20" t="str">
        <f>IF(B419="","",IF(COUNTIF('01_Anggota'!$D$5:$D$1212,B419)=0,"NAMA TIDAK DITEMUKAN",INDEX('01_Anggota'!$B$5:$B$1212,MATCH(B419,'01_Anggota'!$D$5:$D$1212,0))))</f>
        <v/>
      </c>
      <c r="D419" s="21"/>
      <c r="E419" s="23"/>
      <c r="F419" s="23"/>
      <c r="G419" s="23">
        <f>PinjamanTable[[#This Row],[Pokok (Rp) *]]+PinjamanTable[[#This Row],[Admin (Rp)]]</f>
        <v>0</v>
      </c>
      <c r="H419" s="24"/>
      <c r="I419" s="22"/>
      <c r="J419" s="21"/>
      <c r="K419" s="21"/>
    </row>
    <row r="420" spans="1:11" ht="21" customHeight="1">
      <c r="A420" s="21"/>
      <c r="B420" s="21"/>
      <c r="C420" s="20" t="str">
        <f>IF(B420="","",IF(COUNTIF('01_Anggota'!$D$5:$D$1212,B420)=0,"NAMA TIDAK DITEMUKAN",INDEX('01_Anggota'!$B$5:$B$1212,MATCH(B420,'01_Anggota'!$D$5:$D$1212,0))))</f>
        <v/>
      </c>
      <c r="D420" s="21"/>
      <c r="E420" s="23"/>
      <c r="F420" s="23"/>
      <c r="G420" s="23">
        <f>PinjamanTable[[#This Row],[Pokok (Rp) *]]+PinjamanTable[[#This Row],[Admin (Rp)]]</f>
        <v>0</v>
      </c>
      <c r="H420" s="24"/>
      <c r="I420" s="22"/>
      <c r="J420" s="21"/>
      <c r="K420" s="21"/>
    </row>
    <row r="421" spans="1:11" ht="21" customHeight="1">
      <c r="A421" s="21"/>
      <c r="B421" s="21"/>
      <c r="C421" s="20" t="str">
        <f>IF(B421="","",IF(COUNTIF('01_Anggota'!$D$5:$D$1212,B421)=0,"NAMA TIDAK DITEMUKAN",INDEX('01_Anggota'!$B$5:$B$1212,MATCH(B421,'01_Anggota'!$D$5:$D$1212,0))))</f>
        <v/>
      </c>
      <c r="D421" s="21"/>
      <c r="E421" s="23"/>
      <c r="F421" s="23"/>
      <c r="G421" s="23">
        <f>PinjamanTable[[#This Row],[Pokok (Rp) *]]+PinjamanTable[[#This Row],[Admin (Rp)]]</f>
        <v>0</v>
      </c>
      <c r="H421" s="24"/>
      <c r="I421" s="22"/>
      <c r="J421" s="21"/>
      <c r="K421" s="21"/>
    </row>
    <row r="422" spans="1:11" ht="21" customHeight="1">
      <c r="A422" s="21"/>
      <c r="B422" s="21"/>
      <c r="C422" s="20" t="str">
        <f>IF(B422="","",IF(COUNTIF('01_Anggota'!$D$5:$D$1212,B422)=0,"NAMA TIDAK DITEMUKAN",INDEX('01_Anggota'!$B$5:$B$1212,MATCH(B422,'01_Anggota'!$D$5:$D$1212,0))))</f>
        <v/>
      </c>
      <c r="D422" s="21"/>
      <c r="E422" s="23"/>
      <c r="F422" s="23"/>
      <c r="G422" s="23">
        <f>PinjamanTable[[#This Row],[Pokok (Rp) *]]+PinjamanTable[[#This Row],[Admin (Rp)]]</f>
        <v>0</v>
      </c>
      <c r="H422" s="24"/>
      <c r="I422" s="22"/>
      <c r="J422" s="21"/>
      <c r="K422" s="21"/>
    </row>
    <row r="423" spans="1:11" ht="21" customHeight="1">
      <c r="A423" s="21"/>
      <c r="B423" s="21"/>
      <c r="C423" s="20" t="str">
        <f>IF(B423="","",IF(COUNTIF('01_Anggota'!$D$5:$D$1212,B423)=0,"NAMA TIDAK DITEMUKAN",INDEX('01_Anggota'!$B$5:$B$1212,MATCH(B423,'01_Anggota'!$D$5:$D$1212,0))))</f>
        <v/>
      </c>
      <c r="D423" s="21"/>
      <c r="E423" s="23"/>
      <c r="F423" s="23"/>
      <c r="G423" s="23">
        <f>PinjamanTable[[#This Row],[Pokok (Rp) *]]+PinjamanTable[[#This Row],[Admin (Rp)]]</f>
        <v>0</v>
      </c>
      <c r="H423" s="24"/>
      <c r="I423" s="22"/>
      <c r="J423" s="21"/>
      <c r="K423" s="21"/>
    </row>
    <row r="424" spans="1:11" ht="21" customHeight="1">
      <c r="A424" s="21"/>
      <c r="B424" s="21"/>
      <c r="C424" s="20" t="str">
        <f>IF(B424="","",IF(COUNTIF('01_Anggota'!$D$5:$D$1212,B424)=0,"NAMA TIDAK DITEMUKAN",INDEX('01_Anggota'!$B$5:$B$1212,MATCH(B424,'01_Anggota'!$D$5:$D$1212,0))))</f>
        <v/>
      </c>
      <c r="D424" s="21"/>
      <c r="E424" s="23"/>
      <c r="F424" s="23"/>
      <c r="G424" s="23">
        <f>PinjamanTable[[#This Row],[Pokok (Rp) *]]+PinjamanTable[[#This Row],[Admin (Rp)]]</f>
        <v>0</v>
      </c>
      <c r="H424" s="24"/>
      <c r="I424" s="22"/>
      <c r="J424" s="21"/>
      <c r="K424" s="21"/>
    </row>
    <row r="425" spans="1:11" ht="21" customHeight="1">
      <c r="A425" s="21"/>
      <c r="B425" s="21"/>
      <c r="C425" s="20" t="str">
        <f>IF(B425="","",IF(COUNTIF('01_Anggota'!$D$5:$D$1212,B425)=0,"NAMA TIDAK DITEMUKAN",INDEX('01_Anggota'!$B$5:$B$1212,MATCH(B425,'01_Anggota'!$D$5:$D$1212,0))))</f>
        <v/>
      </c>
      <c r="D425" s="21"/>
      <c r="E425" s="23"/>
      <c r="F425" s="23"/>
      <c r="G425" s="23">
        <f>PinjamanTable[[#This Row],[Pokok (Rp) *]]+PinjamanTable[[#This Row],[Admin (Rp)]]</f>
        <v>0</v>
      </c>
      <c r="H425" s="24"/>
      <c r="I425" s="22"/>
      <c r="J425" s="21"/>
      <c r="K425" s="21"/>
    </row>
    <row r="426" spans="1:11" ht="21" customHeight="1">
      <c r="A426" s="21"/>
      <c r="B426" s="21"/>
      <c r="C426" s="20" t="str">
        <f>IF(B426="","",IF(COUNTIF('01_Anggota'!$D$5:$D$1212,B426)=0,"NAMA TIDAK DITEMUKAN",INDEX('01_Anggota'!$B$5:$B$1212,MATCH(B426,'01_Anggota'!$D$5:$D$1212,0))))</f>
        <v/>
      </c>
      <c r="D426" s="21"/>
      <c r="E426" s="23"/>
      <c r="F426" s="23"/>
      <c r="G426" s="23">
        <f>PinjamanTable[[#This Row],[Pokok (Rp) *]]+PinjamanTable[[#This Row],[Admin (Rp)]]</f>
        <v>0</v>
      </c>
      <c r="H426" s="24"/>
      <c r="I426" s="22"/>
      <c r="J426" s="21"/>
      <c r="K426" s="21"/>
    </row>
    <row r="427" spans="1:11" ht="21" customHeight="1">
      <c r="A427" s="21"/>
      <c r="B427" s="21"/>
      <c r="C427" s="20" t="str">
        <f>IF(B427="","",IF(COUNTIF('01_Anggota'!$D$5:$D$1212,B427)=0,"NAMA TIDAK DITEMUKAN",INDEX('01_Anggota'!$B$5:$B$1212,MATCH(B427,'01_Anggota'!$D$5:$D$1212,0))))</f>
        <v/>
      </c>
      <c r="D427" s="21"/>
      <c r="E427" s="23"/>
      <c r="F427" s="23"/>
      <c r="G427" s="23">
        <f>PinjamanTable[[#This Row],[Pokok (Rp) *]]+PinjamanTable[[#This Row],[Admin (Rp)]]</f>
        <v>0</v>
      </c>
      <c r="H427" s="24"/>
      <c r="I427" s="22"/>
      <c r="J427" s="21"/>
      <c r="K427" s="21"/>
    </row>
    <row r="428" spans="1:11" ht="21" customHeight="1">
      <c r="A428" s="21"/>
      <c r="B428" s="21"/>
      <c r="C428" s="20" t="str">
        <f>IF(B428="","",IF(COUNTIF('01_Anggota'!$D$5:$D$1212,B428)=0,"NAMA TIDAK DITEMUKAN",INDEX('01_Anggota'!$B$5:$B$1212,MATCH(B428,'01_Anggota'!$D$5:$D$1212,0))))</f>
        <v/>
      </c>
      <c r="D428" s="21"/>
      <c r="E428" s="23"/>
      <c r="F428" s="23"/>
      <c r="G428" s="23">
        <f>PinjamanTable[[#This Row],[Pokok (Rp) *]]+PinjamanTable[[#This Row],[Admin (Rp)]]</f>
        <v>0</v>
      </c>
      <c r="H428" s="24"/>
      <c r="I428" s="22"/>
      <c r="J428" s="21"/>
      <c r="K428" s="21"/>
    </row>
    <row r="429" spans="1:11" ht="21" customHeight="1">
      <c r="A429" s="21"/>
      <c r="B429" s="21"/>
      <c r="C429" s="20" t="str">
        <f>IF(B429="","",IF(COUNTIF('01_Anggota'!$D$5:$D$1212,B429)=0,"NAMA TIDAK DITEMUKAN",INDEX('01_Anggota'!$B$5:$B$1212,MATCH(B429,'01_Anggota'!$D$5:$D$1212,0))))</f>
        <v/>
      </c>
      <c r="D429" s="21"/>
      <c r="E429" s="23"/>
      <c r="F429" s="23"/>
      <c r="G429" s="23">
        <f>PinjamanTable[[#This Row],[Pokok (Rp) *]]+PinjamanTable[[#This Row],[Admin (Rp)]]</f>
        <v>0</v>
      </c>
      <c r="H429" s="24"/>
      <c r="I429" s="22"/>
      <c r="J429" s="21"/>
      <c r="K429" s="21"/>
    </row>
    <row r="430" spans="1:11" ht="21" customHeight="1">
      <c r="A430" s="21"/>
      <c r="B430" s="21"/>
      <c r="C430" s="20" t="str">
        <f>IF(B430="","",IF(COUNTIF('01_Anggota'!$D$5:$D$1212,B430)=0,"NAMA TIDAK DITEMUKAN",INDEX('01_Anggota'!$B$5:$B$1212,MATCH(B430,'01_Anggota'!$D$5:$D$1212,0))))</f>
        <v/>
      </c>
      <c r="D430" s="21"/>
      <c r="E430" s="23"/>
      <c r="F430" s="23"/>
      <c r="G430" s="23">
        <f>PinjamanTable[[#This Row],[Pokok (Rp) *]]+PinjamanTable[[#This Row],[Admin (Rp)]]</f>
        <v>0</v>
      </c>
      <c r="H430" s="24"/>
      <c r="I430" s="22"/>
      <c r="J430" s="21"/>
      <c r="K430" s="21"/>
    </row>
    <row r="431" spans="1:11" ht="21" customHeight="1">
      <c r="A431" s="21"/>
      <c r="B431" s="21"/>
      <c r="C431" s="20" t="str">
        <f>IF(B431="","",IF(COUNTIF('01_Anggota'!$D$5:$D$1212,B431)=0,"NAMA TIDAK DITEMUKAN",INDEX('01_Anggota'!$B$5:$B$1212,MATCH(B431,'01_Anggota'!$D$5:$D$1212,0))))</f>
        <v/>
      </c>
      <c r="D431" s="21"/>
      <c r="E431" s="23"/>
      <c r="F431" s="23"/>
      <c r="G431" s="23">
        <f>PinjamanTable[[#This Row],[Pokok (Rp) *]]+PinjamanTable[[#This Row],[Admin (Rp)]]</f>
        <v>0</v>
      </c>
      <c r="H431" s="24"/>
      <c r="I431" s="22"/>
      <c r="J431" s="21"/>
      <c r="K431" s="21"/>
    </row>
    <row r="432" spans="1:11" ht="21" customHeight="1">
      <c r="A432" s="21"/>
      <c r="B432" s="21"/>
      <c r="C432" s="20" t="str">
        <f>IF(B432="","",IF(COUNTIF('01_Anggota'!$D$5:$D$1212,B432)=0,"NAMA TIDAK DITEMUKAN",INDEX('01_Anggota'!$B$5:$B$1212,MATCH(B432,'01_Anggota'!$D$5:$D$1212,0))))</f>
        <v/>
      </c>
      <c r="D432" s="21"/>
      <c r="E432" s="23"/>
      <c r="F432" s="23"/>
      <c r="G432" s="23">
        <f>PinjamanTable[[#This Row],[Pokok (Rp) *]]+PinjamanTable[[#This Row],[Admin (Rp)]]</f>
        <v>0</v>
      </c>
      <c r="H432" s="24"/>
      <c r="I432" s="22"/>
      <c r="J432" s="21"/>
      <c r="K432" s="21"/>
    </row>
    <row r="433" spans="1:11" ht="21" customHeight="1">
      <c r="A433" s="21"/>
      <c r="B433" s="21"/>
      <c r="C433" s="20" t="str">
        <f>IF(B433="","",IF(COUNTIF('01_Anggota'!$D$5:$D$1212,B433)=0,"NAMA TIDAK DITEMUKAN",INDEX('01_Anggota'!$B$5:$B$1212,MATCH(B433,'01_Anggota'!$D$5:$D$1212,0))))</f>
        <v/>
      </c>
      <c r="D433" s="21"/>
      <c r="E433" s="23"/>
      <c r="F433" s="23"/>
      <c r="G433" s="23">
        <f>PinjamanTable[[#This Row],[Pokok (Rp) *]]+PinjamanTable[[#This Row],[Admin (Rp)]]</f>
        <v>0</v>
      </c>
      <c r="H433" s="24"/>
      <c r="I433" s="22"/>
      <c r="J433" s="21"/>
      <c r="K433" s="21"/>
    </row>
    <row r="434" spans="1:11" ht="21" customHeight="1">
      <c r="A434" s="21"/>
      <c r="B434" s="21"/>
      <c r="C434" s="20" t="str">
        <f>IF(B434="","",IF(COUNTIF('01_Anggota'!$D$5:$D$1212,B434)=0,"NAMA TIDAK DITEMUKAN",INDEX('01_Anggota'!$B$5:$B$1212,MATCH(B434,'01_Anggota'!$D$5:$D$1212,0))))</f>
        <v/>
      </c>
      <c r="D434" s="21"/>
      <c r="E434" s="23"/>
      <c r="F434" s="23"/>
      <c r="G434" s="23">
        <f>PinjamanTable[[#This Row],[Pokok (Rp) *]]+PinjamanTable[[#This Row],[Admin (Rp)]]</f>
        <v>0</v>
      </c>
      <c r="H434" s="24"/>
      <c r="I434" s="22"/>
      <c r="J434" s="21"/>
      <c r="K434" s="21"/>
    </row>
    <row r="435" spans="1:11" ht="21" customHeight="1">
      <c r="A435" s="21"/>
      <c r="B435" s="21"/>
      <c r="C435" s="20" t="str">
        <f>IF(B435="","",IF(COUNTIF('01_Anggota'!$D$5:$D$1212,B435)=0,"NAMA TIDAK DITEMUKAN",INDEX('01_Anggota'!$B$5:$B$1212,MATCH(B435,'01_Anggota'!$D$5:$D$1212,0))))</f>
        <v/>
      </c>
      <c r="D435" s="21"/>
      <c r="E435" s="23"/>
      <c r="F435" s="23"/>
      <c r="G435" s="23">
        <f>PinjamanTable[[#This Row],[Pokok (Rp) *]]+PinjamanTable[[#This Row],[Admin (Rp)]]</f>
        <v>0</v>
      </c>
      <c r="H435" s="24"/>
      <c r="I435" s="22"/>
      <c r="J435" s="21"/>
      <c r="K435" s="21"/>
    </row>
    <row r="436" spans="1:11" ht="21" customHeight="1">
      <c r="A436" s="21"/>
      <c r="B436" s="21"/>
      <c r="C436" s="20" t="str">
        <f>IF(B436="","",IF(COUNTIF('01_Anggota'!$D$5:$D$1212,B436)=0,"NAMA TIDAK DITEMUKAN",INDEX('01_Anggota'!$B$5:$B$1212,MATCH(B436,'01_Anggota'!$D$5:$D$1212,0))))</f>
        <v/>
      </c>
      <c r="D436" s="21"/>
      <c r="E436" s="23"/>
      <c r="F436" s="23"/>
      <c r="G436" s="23">
        <f>PinjamanTable[[#This Row],[Pokok (Rp) *]]+PinjamanTable[[#This Row],[Admin (Rp)]]</f>
        <v>0</v>
      </c>
      <c r="H436" s="24"/>
      <c r="I436" s="22"/>
      <c r="J436" s="21"/>
      <c r="K436" s="21"/>
    </row>
    <row r="437" spans="1:11" ht="21" customHeight="1">
      <c r="A437" s="21"/>
      <c r="B437" s="21"/>
      <c r="C437" s="20" t="str">
        <f>IF(B437="","",IF(COUNTIF('01_Anggota'!$D$5:$D$1212,B437)=0,"NAMA TIDAK DITEMUKAN",INDEX('01_Anggota'!$B$5:$B$1212,MATCH(B437,'01_Anggota'!$D$5:$D$1212,0))))</f>
        <v/>
      </c>
      <c r="D437" s="21"/>
      <c r="E437" s="23"/>
      <c r="F437" s="23"/>
      <c r="G437" s="23">
        <f>PinjamanTable[[#This Row],[Pokok (Rp) *]]+PinjamanTable[[#This Row],[Admin (Rp)]]</f>
        <v>0</v>
      </c>
      <c r="H437" s="24"/>
      <c r="I437" s="22"/>
      <c r="J437" s="21"/>
      <c r="K437" s="21"/>
    </row>
    <row r="438" spans="1:11" ht="21" customHeight="1">
      <c r="A438" s="21"/>
      <c r="B438" s="21"/>
      <c r="C438" s="20" t="str">
        <f>IF(B438="","",IF(COUNTIF('01_Anggota'!$D$5:$D$1212,B438)=0,"NAMA TIDAK DITEMUKAN",INDEX('01_Anggota'!$B$5:$B$1212,MATCH(B438,'01_Anggota'!$D$5:$D$1212,0))))</f>
        <v/>
      </c>
      <c r="D438" s="21"/>
      <c r="E438" s="23"/>
      <c r="F438" s="23"/>
      <c r="G438" s="23">
        <f>PinjamanTable[[#This Row],[Pokok (Rp) *]]+PinjamanTable[[#This Row],[Admin (Rp)]]</f>
        <v>0</v>
      </c>
      <c r="H438" s="24"/>
      <c r="I438" s="22"/>
      <c r="J438" s="21"/>
      <c r="K438" s="21"/>
    </row>
    <row r="439" spans="1:11" ht="21" customHeight="1">
      <c r="A439" s="21"/>
      <c r="B439" s="21"/>
      <c r="C439" s="20" t="str">
        <f>IF(B439="","",IF(COUNTIF('01_Anggota'!$D$5:$D$1212,B439)=0,"NAMA TIDAK DITEMUKAN",INDEX('01_Anggota'!$B$5:$B$1212,MATCH(B439,'01_Anggota'!$D$5:$D$1212,0))))</f>
        <v/>
      </c>
      <c r="D439" s="21"/>
      <c r="E439" s="23"/>
      <c r="F439" s="23"/>
      <c r="G439" s="23">
        <f>PinjamanTable[[#This Row],[Pokok (Rp) *]]+PinjamanTable[[#This Row],[Admin (Rp)]]</f>
        <v>0</v>
      </c>
      <c r="H439" s="24"/>
      <c r="I439" s="22"/>
      <c r="J439" s="21"/>
      <c r="K439" s="21"/>
    </row>
    <row r="440" spans="1:11" ht="21" customHeight="1">
      <c r="A440" s="21"/>
      <c r="B440" s="21"/>
      <c r="C440" s="20" t="str">
        <f>IF(B440="","",IF(COUNTIF('01_Anggota'!$D$5:$D$1212,B440)=0,"NAMA TIDAK DITEMUKAN",INDEX('01_Anggota'!$B$5:$B$1212,MATCH(B440,'01_Anggota'!$D$5:$D$1212,0))))</f>
        <v/>
      </c>
      <c r="D440" s="21"/>
      <c r="E440" s="23"/>
      <c r="F440" s="23"/>
      <c r="G440" s="23">
        <f>PinjamanTable[[#This Row],[Pokok (Rp) *]]+PinjamanTable[[#This Row],[Admin (Rp)]]</f>
        <v>0</v>
      </c>
      <c r="H440" s="24"/>
      <c r="I440" s="22"/>
      <c r="J440" s="21"/>
      <c r="K440" s="21"/>
    </row>
    <row r="441" spans="1:11" ht="21" customHeight="1">
      <c r="A441" s="21"/>
      <c r="B441" s="21"/>
      <c r="C441" s="20" t="str">
        <f>IF(B441="","",IF(COUNTIF('01_Anggota'!$D$5:$D$1212,B441)=0,"NAMA TIDAK DITEMUKAN",INDEX('01_Anggota'!$B$5:$B$1212,MATCH(B441,'01_Anggota'!$D$5:$D$1212,0))))</f>
        <v/>
      </c>
      <c r="D441" s="21"/>
      <c r="E441" s="23"/>
      <c r="F441" s="23"/>
      <c r="G441" s="23">
        <f>PinjamanTable[[#This Row],[Pokok (Rp) *]]+PinjamanTable[[#This Row],[Admin (Rp)]]</f>
        <v>0</v>
      </c>
      <c r="H441" s="24"/>
      <c r="I441" s="22"/>
      <c r="J441" s="21"/>
      <c r="K441" s="21"/>
    </row>
    <row r="442" spans="1:11" ht="21" customHeight="1">
      <c r="A442" s="21"/>
      <c r="B442" s="21"/>
      <c r="C442" s="20" t="str">
        <f>IF(B442="","",IF(COUNTIF('01_Anggota'!$D$5:$D$1212,B442)=0,"NAMA TIDAK DITEMUKAN",INDEX('01_Anggota'!$B$5:$B$1212,MATCH(B442,'01_Anggota'!$D$5:$D$1212,0))))</f>
        <v/>
      </c>
      <c r="D442" s="21"/>
      <c r="E442" s="23"/>
      <c r="F442" s="23"/>
      <c r="G442" s="23">
        <f>PinjamanTable[[#This Row],[Pokok (Rp) *]]+PinjamanTable[[#This Row],[Admin (Rp)]]</f>
        <v>0</v>
      </c>
      <c r="H442" s="24"/>
      <c r="I442" s="22"/>
      <c r="J442" s="21"/>
      <c r="K442" s="21"/>
    </row>
    <row r="443" spans="1:11" ht="21" customHeight="1">
      <c r="A443" s="21"/>
      <c r="B443" s="21"/>
      <c r="C443" s="20" t="str">
        <f>IF(B443="","",IF(COUNTIF('01_Anggota'!$D$5:$D$1212,B443)=0,"NAMA TIDAK DITEMUKAN",INDEX('01_Anggota'!$B$5:$B$1212,MATCH(B443,'01_Anggota'!$D$5:$D$1212,0))))</f>
        <v/>
      </c>
      <c r="D443" s="21"/>
      <c r="E443" s="23"/>
      <c r="F443" s="23"/>
      <c r="G443" s="23">
        <f>PinjamanTable[[#This Row],[Pokok (Rp) *]]+PinjamanTable[[#This Row],[Admin (Rp)]]</f>
        <v>0</v>
      </c>
      <c r="H443" s="24"/>
      <c r="I443" s="22"/>
      <c r="J443" s="21"/>
      <c r="K443" s="21"/>
    </row>
    <row r="444" spans="1:11" ht="21" customHeight="1">
      <c r="A444" s="21"/>
      <c r="B444" s="21"/>
      <c r="C444" s="20" t="str">
        <f>IF(B444="","",IF(COUNTIF('01_Anggota'!$D$5:$D$1212,B444)=0,"NAMA TIDAK DITEMUKAN",INDEX('01_Anggota'!$B$5:$B$1212,MATCH(B444,'01_Anggota'!$D$5:$D$1212,0))))</f>
        <v/>
      </c>
      <c r="D444" s="21"/>
      <c r="E444" s="23"/>
      <c r="F444" s="23"/>
      <c r="G444" s="23">
        <f>PinjamanTable[[#This Row],[Pokok (Rp) *]]+PinjamanTable[[#This Row],[Admin (Rp)]]</f>
        <v>0</v>
      </c>
      <c r="H444" s="24"/>
      <c r="I444" s="22"/>
      <c r="J444" s="21"/>
      <c r="K444" s="21"/>
    </row>
    <row r="445" spans="1:11" ht="21" customHeight="1">
      <c r="A445" s="21"/>
      <c r="B445" s="21"/>
      <c r="C445" s="20" t="str">
        <f>IF(B445="","",IF(COUNTIF('01_Anggota'!$D$5:$D$1212,B445)=0,"NAMA TIDAK DITEMUKAN",INDEX('01_Anggota'!$B$5:$B$1212,MATCH(B445,'01_Anggota'!$D$5:$D$1212,0))))</f>
        <v/>
      </c>
      <c r="D445" s="21"/>
      <c r="E445" s="23"/>
      <c r="F445" s="23"/>
      <c r="G445" s="23">
        <f>PinjamanTable[[#This Row],[Pokok (Rp) *]]+PinjamanTable[[#This Row],[Admin (Rp)]]</f>
        <v>0</v>
      </c>
      <c r="H445" s="24"/>
      <c r="I445" s="22"/>
      <c r="J445" s="21"/>
      <c r="K445" s="21"/>
    </row>
    <row r="446" spans="1:11" ht="21" customHeight="1">
      <c r="A446" s="21"/>
      <c r="B446" s="21"/>
      <c r="C446" s="20" t="str">
        <f>IF(B446="","",IF(COUNTIF('01_Anggota'!$D$5:$D$1212,B446)=0,"NAMA TIDAK DITEMUKAN",INDEX('01_Anggota'!$B$5:$B$1212,MATCH(B446,'01_Anggota'!$D$5:$D$1212,0))))</f>
        <v/>
      </c>
      <c r="D446" s="21"/>
      <c r="E446" s="23"/>
      <c r="F446" s="23"/>
      <c r="G446" s="23">
        <f>PinjamanTable[[#This Row],[Pokok (Rp) *]]+PinjamanTable[[#This Row],[Admin (Rp)]]</f>
        <v>0</v>
      </c>
      <c r="H446" s="24"/>
      <c r="I446" s="22"/>
      <c r="J446" s="21"/>
      <c r="K446" s="21"/>
    </row>
    <row r="447" spans="1:11" ht="21" customHeight="1">
      <c r="A447" s="21"/>
      <c r="B447" s="21"/>
      <c r="C447" s="20" t="str">
        <f>IF(B447="","",IF(COUNTIF('01_Anggota'!$D$5:$D$1212,B447)=0,"NAMA TIDAK DITEMUKAN",INDEX('01_Anggota'!$B$5:$B$1212,MATCH(B447,'01_Anggota'!$D$5:$D$1212,0))))</f>
        <v/>
      </c>
      <c r="D447" s="21"/>
      <c r="E447" s="23"/>
      <c r="F447" s="23"/>
      <c r="G447" s="23">
        <f>PinjamanTable[[#This Row],[Pokok (Rp) *]]+PinjamanTable[[#This Row],[Admin (Rp)]]</f>
        <v>0</v>
      </c>
      <c r="H447" s="24"/>
      <c r="I447" s="22"/>
      <c r="J447" s="21"/>
      <c r="K447" s="21"/>
    </row>
    <row r="448" spans="1:11" ht="21" customHeight="1">
      <c r="A448" s="21"/>
      <c r="B448" s="21"/>
      <c r="C448" s="20" t="str">
        <f>IF(B448="","",IF(COUNTIF('01_Anggota'!$D$5:$D$1212,B448)=0,"NAMA TIDAK DITEMUKAN",INDEX('01_Anggota'!$B$5:$B$1212,MATCH(B448,'01_Anggota'!$D$5:$D$1212,0))))</f>
        <v/>
      </c>
      <c r="D448" s="21"/>
      <c r="E448" s="23"/>
      <c r="F448" s="23"/>
      <c r="G448" s="23">
        <f>PinjamanTable[[#This Row],[Pokok (Rp) *]]+PinjamanTable[[#This Row],[Admin (Rp)]]</f>
        <v>0</v>
      </c>
      <c r="H448" s="24"/>
      <c r="I448" s="22"/>
      <c r="J448" s="21"/>
      <c r="K448" s="21"/>
    </row>
    <row r="449" spans="1:11" ht="21" customHeight="1">
      <c r="A449" s="21"/>
      <c r="B449" s="21"/>
      <c r="C449" s="20" t="str">
        <f>IF(B449="","",IF(COUNTIF('01_Anggota'!$D$5:$D$1212,B449)=0,"NAMA TIDAK DITEMUKAN",INDEX('01_Anggota'!$B$5:$B$1212,MATCH(B449,'01_Anggota'!$D$5:$D$1212,0))))</f>
        <v/>
      </c>
      <c r="D449" s="21"/>
      <c r="E449" s="23"/>
      <c r="F449" s="23"/>
      <c r="G449" s="23">
        <f>PinjamanTable[[#This Row],[Pokok (Rp) *]]+PinjamanTable[[#This Row],[Admin (Rp)]]</f>
        <v>0</v>
      </c>
      <c r="H449" s="24"/>
      <c r="I449" s="22"/>
      <c r="J449" s="21"/>
      <c r="K449" s="21"/>
    </row>
    <row r="450" spans="1:11" ht="21" customHeight="1">
      <c r="A450" s="21"/>
      <c r="B450" s="21"/>
      <c r="C450" s="20" t="str">
        <f>IF(B450="","",IF(COUNTIF('01_Anggota'!$D$5:$D$1212,B450)=0,"NAMA TIDAK DITEMUKAN",INDEX('01_Anggota'!$B$5:$B$1212,MATCH(B450,'01_Anggota'!$D$5:$D$1212,0))))</f>
        <v/>
      </c>
      <c r="D450" s="21"/>
      <c r="E450" s="23"/>
      <c r="F450" s="23"/>
      <c r="G450" s="23">
        <f>PinjamanTable[[#This Row],[Pokok (Rp) *]]+PinjamanTable[[#This Row],[Admin (Rp)]]</f>
        <v>0</v>
      </c>
      <c r="H450" s="24"/>
      <c r="I450" s="22"/>
      <c r="J450" s="21"/>
      <c r="K450" s="21"/>
    </row>
    <row r="451" spans="1:11" ht="21" customHeight="1">
      <c r="A451" s="21"/>
      <c r="B451" s="21"/>
      <c r="C451" s="20" t="str">
        <f>IF(B451="","",IF(COUNTIF('01_Anggota'!$D$5:$D$1212,B451)=0,"NAMA TIDAK DITEMUKAN",INDEX('01_Anggota'!$B$5:$B$1212,MATCH(B451,'01_Anggota'!$D$5:$D$1212,0))))</f>
        <v/>
      </c>
      <c r="D451" s="21"/>
      <c r="E451" s="23"/>
      <c r="F451" s="23"/>
      <c r="G451" s="23">
        <f>PinjamanTable[[#This Row],[Pokok (Rp) *]]+PinjamanTable[[#This Row],[Admin (Rp)]]</f>
        <v>0</v>
      </c>
      <c r="H451" s="24"/>
      <c r="I451" s="22"/>
      <c r="J451" s="21"/>
      <c r="K451" s="21"/>
    </row>
    <row r="452" spans="1:11" ht="21" customHeight="1">
      <c r="A452" s="21"/>
      <c r="B452" s="21"/>
      <c r="C452" s="20" t="str">
        <f>IF(B452="","",IF(COUNTIF('01_Anggota'!$D$5:$D$1212,B452)=0,"NAMA TIDAK DITEMUKAN",INDEX('01_Anggota'!$B$5:$B$1212,MATCH(B452,'01_Anggota'!$D$5:$D$1212,0))))</f>
        <v/>
      </c>
      <c r="D452" s="21"/>
      <c r="E452" s="23"/>
      <c r="F452" s="23"/>
      <c r="G452" s="23">
        <f>PinjamanTable[[#This Row],[Pokok (Rp) *]]+PinjamanTable[[#This Row],[Admin (Rp)]]</f>
        <v>0</v>
      </c>
      <c r="H452" s="24"/>
      <c r="I452" s="22"/>
      <c r="J452" s="21"/>
      <c r="K452" s="21"/>
    </row>
    <row r="453" spans="1:11" ht="21" customHeight="1">
      <c r="A453" s="21"/>
      <c r="B453" s="21"/>
      <c r="C453" s="20" t="str">
        <f>IF(B453="","",IF(COUNTIF('01_Anggota'!$D$5:$D$1212,B453)=0,"NAMA TIDAK DITEMUKAN",INDEX('01_Anggota'!$B$5:$B$1212,MATCH(B453,'01_Anggota'!$D$5:$D$1212,0))))</f>
        <v/>
      </c>
      <c r="D453" s="21"/>
      <c r="E453" s="23"/>
      <c r="F453" s="23"/>
      <c r="G453" s="23">
        <f>PinjamanTable[[#This Row],[Pokok (Rp) *]]+PinjamanTable[[#This Row],[Admin (Rp)]]</f>
        <v>0</v>
      </c>
      <c r="H453" s="24"/>
      <c r="I453" s="22"/>
      <c r="J453" s="21"/>
      <c r="K453" s="21"/>
    </row>
    <row r="454" spans="1:11" ht="21" customHeight="1">
      <c r="A454" s="21"/>
      <c r="B454" s="21"/>
      <c r="C454" s="20" t="str">
        <f>IF(B454="","",IF(COUNTIF('01_Anggota'!$D$5:$D$1212,B454)=0,"NAMA TIDAK DITEMUKAN",INDEX('01_Anggota'!$B$5:$B$1212,MATCH(B454,'01_Anggota'!$D$5:$D$1212,0))))</f>
        <v/>
      </c>
      <c r="D454" s="21"/>
      <c r="E454" s="23"/>
      <c r="F454" s="23"/>
      <c r="G454" s="23">
        <f>PinjamanTable[[#This Row],[Pokok (Rp) *]]+PinjamanTable[[#This Row],[Admin (Rp)]]</f>
        <v>0</v>
      </c>
      <c r="H454" s="24"/>
      <c r="I454" s="22"/>
      <c r="J454" s="21"/>
      <c r="K454" s="21"/>
    </row>
    <row r="455" spans="1:11" ht="21" customHeight="1">
      <c r="A455" s="21"/>
      <c r="B455" s="21"/>
      <c r="C455" s="20" t="str">
        <f>IF(B455="","",IF(COUNTIF('01_Anggota'!$D$5:$D$1212,B455)=0,"NAMA TIDAK DITEMUKAN",INDEX('01_Anggota'!$B$5:$B$1212,MATCH(B455,'01_Anggota'!$D$5:$D$1212,0))))</f>
        <v/>
      </c>
      <c r="D455" s="21"/>
      <c r="E455" s="23"/>
      <c r="F455" s="23"/>
      <c r="G455" s="23">
        <f>PinjamanTable[[#This Row],[Pokok (Rp) *]]+PinjamanTable[[#This Row],[Admin (Rp)]]</f>
        <v>0</v>
      </c>
      <c r="H455" s="24"/>
      <c r="I455" s="22"/>
      <c r="J455" s="21"/>
      <c r="K455" s="21"/>
    </row>
    <row r="456" spans="1:11" ht="21" customHeight="1">
      <c r="A456" s="21"/>
      <c r="B456" s="21"/>
      <c r="C456" s="20" t="str">
        <f>IF(B456="","",IF(COUNTIF('01_Anggota'!$D$5:$D$1212,B456)=0,"NAMA TIDAK DITEMUKAN",INDEX('01_Anggota'!$B$5:$B$1212,MATCH(B456,'01_Anggota'!$D$5:$D$1212,0))))</f>
        <v/>
      </c>
      <c r="D456" s="21"/>
      <c r="E456" s="23"/>
      <c r="F456" s="23"/>
      <c r="G456" s="23">
        <f>PinjamanTable[[#This Row],[Pokok (Rp) *]]+PinjamanTable[[#This Row],[Admin (Rp)]]</f>
        <v>0</v>
      </c>
      <c r="H456" s="24"/>
      <c r="I456" s="22"/>
      <c r="J456" s="21"/>
      <c r="K456" s="21"/>
    </row>
    <row r="457" spans="1:11" ht="21" customHeight="1">
      <c r="A457" s="21"/>
      <c r="B457" s="21"/>
      <c r="C457" s="20" t="str">
        <f>IF(B457="","",IF(COUNTIF('01_Anggota'!$D$5:$D$1212,B457)=0,"NAMA TIDAK DITEMUKAN",INDEX('01_Anggota'!$B$5:$B$1212,MATCH(B457,'01_Anggota'!$D$5:$D$1212,0))))</f>
        <v/>
      </c>
      <c r="D457" s="21"/>
      <c r="E457" s="23"/>
      <c r="F457" s="23"/>
      <c r="G457" s="23">
        <f>PinjamanTable[[#This Row],[Pokok (Rp) *]]+PinjamanTable[[#This Row],[Admin (Rp)]]</f>
        <v>0</v>
      </c>
      <c r="H457" s="24"/>
      <c r="I457" s="22"/>
      <c r="J457" s="21"/>
      <c r="K457" s="21"/>
    </row>
    <row r="458" spans="1:11" ht="21" customHeight="1">
      <c r="A458" s="21"/>
      <c r="B458" s="21"/>
      <c r="C458" s="20" t="str">
        <f>IF(B458="","",IF(COUNTIF('01_Anggota'!$D$5:$D$1212,B458)=0,"NAMA TIDAK DITEMUKAN",INDEX('01_Anggota'!$B$5:$B$1212,MATCH(B458,'01_Anggota'!$D$5:$D$1212,0))))</f>
        <v/>
      </c>
      <c r="D458" s="21"/>
      <c r="E458" s="23"/>
      <c r="F458" s="23"/>
      <c r="G458" s="23">
        <f>PinjamanTable[[#This Row],[Pokok (Rp) *]]+PinjamanTable[[#This Row],[Admin (Rp)]]</f>
        <v>0</v>
      </c>
      <c r="H458" s="24"/>
      <c r="I458" s="22"/>
      <c r="J458" s="21"/>
      <c r="K458" s="21"/>
    </row>
    <row r="459" spans="1:11" ht="21" customHeight="1">
      <c r="A459" s="21"/>
      <c r="B459" s="21"/>
      <c r="C459" s="20" t="str">
        <f>IF(B459="","",IF(COUNTIF('01_Anggota'!$D$5:$D$1212,B459)=0,"NAMA TIDAK DITEMUKAN",INDEX('01_Anggota'!$B$5:$B$1212,MATCH(B459,'01_Anggota'!$D$5:$D$1212,0))))</f>
        <v/>
      </c>
      <c r="D459" s="21"/>
      <c r="E459" s="23"/>
      <c r="F459" s="23"/>
      <c r="G459" s="23">
        <f>PinjamanTable[[#This Row],[Pokok (Rp) *]]+PinjamanTable[[#This Row],[Admin (Rp)]]</f>
        <v>0</v>
      </c>
      <c r="H459" s="24"/>
      <c r="I459" s="22"/>
      <c r="J459" s="21"/>
      <c r="K459" s="21"/>
    </row>
    <row r="460" spans="1:11" ht="21" customHeight="1">
      <c r="A460" s="21"/>
      <c r="B460" s="21"/>
      <c r="C460" s="20" t="str">
        <f>IF(B460="","",IF(COUNTIF('01_Anggota'!$D$5:$D$1212,B460)=0,"NAMA TIDAK DITEMUKAN",INDEX('01_Anggota'!$B$5:$B$1212,MATCH(B460,'01_Anggota'!$D$5:$D$1212,0))))</f>
        <v/>
      </c>
      <c r="D460" s="21"/>
      <c r="E460" s="23"/>
      <c r="F460" s="23"/>
      <c r="G460" s="23">
        <f>PinjamanTable[[#This Row],[Pokok (Rp) *]]+PinjamanTable[[#This Row],[Admin (Rp)]]</f>
        <v>0</v>
      </c>
      <c r="H460" s="24"/>
      <c r="I460" s="22"/>
      <c r="J460" s="21"/>
      <c r="K460" s="21"/>
    </row>
    <row r="461" spans="1:11" ht="21" customHeight="1">
      <c r="A461" s="21"/>
      <c r="B461" s="21"/>
      <c r="C461" s="20" t="str">
        <f>IF(B461="","",IF(COUNTIF('01_Anggota'!$D$5:$D$1212,B461)=0,"NAMA TIDAK DITEMUKAN",INDEX('01_Anggota'!$B$5:$B$1212,MATCH(B461,'01_Anggota'!$D$5:$D$1212,0))))</f>
        <v/>
      </c>
      <c r="D461" s="21"/>
      <c r="E461" s="23"/>
      <c r="F461" s="23"/>
      <c r="G461" s="23">
        <f>PinjamanTable[[#This Row],[Pokok (Rp) *]]+PinjamanTable[[#This Row],[Admin (Rp)]]</f>
        <v>0</v>
      </c>
      <c r="H461" s="24"/>
      <c r="I461" s="22"/>
      <c r="J461" s="21"/>
      <c r="K461" s="21"/>
    </row>
    <row r="462" spans="1:11" ht="21" customHeight="1">
      <c r="A462" s="21"/>
      <c r="B462" s="21"/>
      <c r="C462" s="20" t="str">
        <f>IF(B462="","",IF(COUNTIF('01_Anggota'!$D$5:$D$1212,B462)=0,"NAMA TIDAK DITEMUKAN",INDEX('01_Anggota'!$B$5:$B$1212,MATCH(B462,'01_Anggota'!$D$5:$D$1212,0))))</f>
        <v/>
      </c>
      <c r="D462" s="21"/>
      <c r="E462" s="23"/>
      <c r="F462" s="23"/>
      <c r="G462" s="23">
        <f>PinjamanTable[[#This Row],[Pokok (Rp) *]]+PinjamanTable[[#This Row],[Admin (Rp)]]</f>
        <v>0</v>
      </c>
      <c r="H462" s="24"/>
      <c r="I462" s="22"/>
      <c r="J462" s="21"/>
      <c r="K462" s="21"/>
    </row>
    <row r="463" spans="1:11" ht="21" customHeight="1">
      <c r="A463" s="21"/>
      <c r="B463" s="21"/>
      <c r="C463" s="20" t="str">
        <f>IF(B463="","",IF(COUNTIF('01_Anggota'!$D$5:$D$1212,B463)=0,"NAMA TIDAK DITEMUKAN",INDEX('01_Anggota'!$B$5:$B$1212,MATCH(B463,'01_Anggota'!$D$5:$D$1212,0))))</f>
        <v/>
      </c>
      <c r="D463" s="21"/>
      <c r="E463" s="23"/>
      <c r="F463" s="23"/>
      <c r="G463" s="23">
        <f>PinjamanTable[[#This Row],[Pokok (Rp) *]]+PinjamanTable[[#This Row],[Admin (Rp)]]</f>
        <v>0</v>
      </c>
      <c r="H463" s="24"/>
      <c r="I463" s="22"/>
      <c r="J463" s="21"/>
      <c r="K463" s="21"/>
    </row>
    <row r="464" spans="1:11" ht="21" customHeight="1">
      <c r="A464" s="21"/>
      <c r="B464" s="21"/>
      <c r="C464" s="20" t="str">
        <f>IF(B464="","",IF(COUNTIF('01_Anggota'!$D$5:$D$1212,B464)=0,"NAMA TIDAK DITEMUKAN",INDEX('01_Anggota'!$B$5:$B$1212,MATCH(B464,'01_Anggota'!$D$5:$D$1212,0))))</f>
        <v/>
      </c>
      <c r="D464" s="21"/>
      <c r="E464" s="23"/>
      <c r="F464" s="23"/>
      <c r="G464" s="23">
        <f>PinjamanTable[[#This Row],[Pokok (Rp) *]]+PinjamanTable[[#This Row],[Admin (Rp)]]</f>
        <v>0</v>
      </c>
      <c r="H464" s="24"/>
      <c r="I464" s="22"/>
      <c r="J464" s="21"/>
      <c r="K464" s="21"/>
    </row>
    <row r="465" spans="1:11" ht="21" customHeight="1">
      <c r="A465" s="21"/>
      <c r="B465" s="21"/>
      <c r="C465" s="20" t="str">
        <f>IF(B465="","",IF(COUNTIF('01_Anggota'!$D$5:$D$1212,B465)=0,"NAMA TIDAK DITEMUKAN",INDEX('01_Anggota'!$B$5:$B$1212,MATCH(B465,'01_Anggota'!$D$5:$D$1212,0))))</f>
        <v/>
      </c>
      <c r="D465" s="21"/>
      <c r="E465" s="23"/>
      <c r="F465" s="23"/>
      <c r="G465" s="23">
        <f>PinjamanTable[[#This Row],[Pokok (Rp) *]]+PinjamanTable[[#This Row],[Admin (Rp)]]</f>
        <v>0</v>
      </c>
      <c r="H465" s="24"/>
      <c r="I465" s="22"/>
      <c r="J465" s="21"/>
      <c r="K465" s="21"/>
    </row>
    <row r="466" spans="1:11" ht="21" customHeight="1">
      <c r="A466" s="21"/>
      <c r="B466" s="21"/>
      <c r="C466" s="20" t="str">
        <f>IF(B466="","",IF(COUNTIF('01_Anggota'!$D$5:$D$1212,B466)=0,"NAMA TIDAK DITEMUKAN",INDEX('01_Anggota'!$B$5:$B$1212,MATCH(B466,'01_Anggota'!$D$5:$D$1212,0))))</f>
        <v/>
      </c>
      <c r="D466" s="21"/>
      <c r="E466" s="23"/>
      <c r="F466" s="23"/>
      <c r="G466" s="23">
        <f>PinjamanTable[[#This Row],[Pokok (Rp) *]]+PinjamanTable[[#This Row],[Admin (Rp)]]</f>
        <v>0</v>
      </c>
      <c r="H466" s="24"/>
      <c r="I466" s="22"/>
      <c r="J466" s="21"/>
      <c r="K466" s="21"/>
    </row>
    <row r="467" spans="1:11" ht="21" customHeight="1">
      <c r="A467" s="21"/>
      <c r="B467" s="21"/>
      <c r="C467" s="20" t="str">
        <f>IF(B467="","",IF(COUNTIF('01_Anggota'!$D$5:$D$1212,B467)=0,"NAMA TIDAK DITEMUKAN",INDEX('01_Anggota'!$B$5:$B$1212,MATCH(B467,'01_Anggota'!$D$5:$D$1212,0))))</f>
        <v/>
      </c>
      <c r="D467" s="21"/>
      <c r="E467" s="23"/>
      <c r="F467" s="23"/>
      <c r="G467" s="23">
        <f>PinjamanTable[[#This Row],[Pokok (Rp) *]]+PinjamanTable[[#This Row],[Admin (Rp)]]</f>
        <v>0</v>
      </c>
      <c r="H467" s="24"/>
      <c r="I467" s="22"/>
      <c r="J467" s="21"/>
      <c r="K467" s="21"/>
    </row>
    <row r="468" spans="1:11" ht="21" customHeight="1">
      <c r="A468" s="21"/>
      <c r="B468" s="21"/>
      <c r="C468" s="20" t="str">
        <f>IF(B468="","",IF(COUNTIF('01_Anggota'!$D$5:$D$1212,B468)=0,"NAMA TIDAK DITEMUKAN",INDEX('01_Anggota'!$B$5:$B$1212,MATCH(B468,'01_Anggota'!$D$5:$D$1212,0))))</f>
        <v/>
      </c>
      <c r="D468" s="21"/>
      <c r="E468" s="23"/>
      <c r="F468" s="23"/>
      <c r="G468" s="23">
        <f>PinjamanTable[[#This Row],[Pokok (Rp) *]]+PinjamanTable[[#This Row],[Admin (Rp)]]</f>
        <v>0</v>
      </c>
      <c r="H468" s="24"/>
      <c r="I468" s="22"/>
      <c r="J468" s="21"/>
      <c r="K468" s="21"/>
    </row>
    <row r="469" spans="1:11" ht="21" customHeight="1">
      <c r="A469" s="21"/>
      <c r="B469" s="21"/>
      <c r="C469" s="20" t="str">
        <f>IF(B469="","",IF(COUNTIF('01_Anggota'!$D$5:$D$1212,B469)=0,"NAMA TIDAK DITEMUKAN",INDEX('01_Anggota'!$B$5:$B$1212,MATCH(B469,'01_Anggota'!$D$5:$D$1212,0))))</f>
        <v/>
      </c>
      <c r="D469" s="21"/>
      <c r="E469" s="23"/>
      <c r="F469" s="23"/>
      <c r="G469" s="23">
        <f>PinjamanTable[[#This Row],[Pokok (Rp) *]]+PinjamanTable[[#This Row],[Admin (Rp)]]</f>
        <v>0</v>
      </c>
      <c r="H469" s="24"/>
      <c r="I469" s="22"/>
      <c r="J469" s="21"/>
      <c r="K469" s="21"/>
    </row>
    <row r="470" spans="1:11" ht="21" customHeight="1">
      <c r="A470" s="21"/>
      <c r="B470" s="21"/>
      <c r="C470" s="20" t="str">
        <f>IF(B470="","",IF(COUNTIF('01_Anggota'!$D$5:$D$1212,B470)=0,"NAMA TIDAK DITEMUKAN",INDEX('01_Anggota'!$B$5:$B$1212,MATCH(B470,'01_Anggota'!$D$5:$D$1212,0))))</f>
        <v/>
      </c>
      <c r="D470" s="21"/>
      <c r="E470" s="23"/>
      <c r="F470" s="23"/>
      <c r="G470" s="23">
        <f>PinjamanTable[[#This Row],[Pokok (Rp) *]]+PinjamanTable[[#This Row],[Admin (Rp)]]</f>
        <v>0</v>
      </c>
      <c r="H470" s="24"/>
      <c r="I470" s="22"/>
      <c r="J470" s="21"/>
      <c r="K470" s="21"/>
    </row>
    <row r="471" spans="1:11" ht="21" customHeight="1">
      <c r="A471" s="21"/>
      <c r="B471" s="21"/>
      <c r="C471" s="20" t="str">
        <f>IF(B471="","",IF(COUNTIF('01_Anggota'!$D$5:$D$1212,B471)=0,"NAMA TIDAK DITEMUKAN",INDEX('01_Anggota'!$B$5:$B$1212,MATCH(B471,'01_Anggota'!$D$5:$D$1212,0))))</f>
        <v/>
      </c>
      <c r="D471" s="21"/>
      <c r="E471" s="23"/>
      <c r="F471" s="23"/>
      <c r="G471" s="23">
        <f>PinjamanTable[[#This Row],[Pokok (Rp) *]]+PinjamanTable[[#This Row],[Admin (Rp)]]</f>
        <v>0</v>
      </c>
      <c r="H471" s="24"/>
      <c r="I471" s="22"/>
      <c r="J471" s="21"/>
      <c r="K471" s="21"/>
    </row>
    <row r="472" spans="1:11" ht="21" customHeight="1">
      <c r="A472" s="21"/>
      <c r="B472" s="21"/>
      <c r="C472" s="20" t="str">
        <f>IF(B472="","",IF(COUNTIF('01_Anggota'!$D$5:$D$1212,B472)=0,"NAMA TIDAK DITEMUKAN",INDEX('01_Anggota'!$B$5:$B$1212,MATCH(B472,'01_Anggota'!$D$5:$D$1212,0))))</f>
        <v/>
      </c>
      <c r="D472" s="21"/>
      <c r="E472" s="23"/>
      <c r="F472" s="23"/>
      <c r="G472" s="23">
        <f>PinjamanTable[[#This Row],[Pokok (Rp) *]]+PinjamanTable[[#This Row],[Admin (Rp)]]</f>
        <v>0</v>
      </c>
      <c r="H472" s="24"/>
      <c r="I472" s="22"/>
      <c r="J472" s="21"/>
      <c r="K472" s="21"/>
    </row>
    <row r="473" spans="1:11" ht="21" customHeight="1">
      <c r="A473" s="21"/>
      <c r="B473" s="21"/>
      <c r="C473" s="20" t="str">
        <f>IF(B473="","",IF(COUNTIF('01_Anggota'!$D$5:$D$1212,B473)=0,"NAMA TIDAK DITEMUKAN",INDEX('01_Anggota'!$B$5:$B$1212,MATCH(B473,'01_Anggota'!$D$5:$D$1212,0))))</f>
        <v/>
      </c>
      <c r="D473" s="21"/>
      <c r="E473" s="23"/>
      <c r="F473" s="23"/>
      <c r="G473" s="23">
        <f>PinjamanTable[[#This Row],[Pokok (Rp) *]]+PinjamanTable[[#This Row],[Admin (Rp)]]</f>
        <v>0</v>
      </c>
      <c r="H473" s="24"/>
      <c r="I473" s="22"/>
      <c r="J473" s="21"/>
      <c r="K473" s="21"/>
    </row>
    <row r="474" spans="1:11" ht="21" customHeight="1">
      <c r="A474" s="21"/>
      <c r="B474" s="21"/>
      <c r="C474" s="20" t="str">
        <f>IF(B474="","",IF(COUNTIF('01_Anggota'!$D$5:$D$1212,B474)=0,"NAMA TIDAK DITEMUKAN",INDEX('01_Anggota'!$B$5:$B$1212,MATCH(B474,'01_Anggota'!$D$5:$D$1212,0))))</f>
        <v/>
      </c>
      <c r="D474" s="21"/>
      <c r="E474" s="23"/>
      <c r="F474" s="23"/>
      <c r="G474" s="23">
        <f>PinjamanTable[[#This Row],[Pokok (Rp) *]]+PinjamanTable[[#This Row],[Admin (Rp)]]</f>
        <v>0</v>
      </c>
      <c r="H474" s="24"/>
      <c r="I474" s="22"/>
      <c r="J474" s="21"/>
      <c r="K474" s="21"/>
    </row>
    <row r="475" spans="1:11" ht="21" customHeight="1">
      <c r="A475" s="21"/>
      <c r="B475" s="21"/>
      <c r="C475" s="20" t="str">
        <f>IF(B475="","",IF(COUNTIF('01_Anggota'!$D$5:$D$1212,B475)=0,"NAMA TIDAK DITEMUKAN",INDEX('01_Anggota'!$B$5:$B$1212,MATCH(B475,'01_Anggota'!$D$5:$D$1212,0))))</f>
        <v/>
      </c>
      <c r="D475" s="21"/>
      <c r="E475" s="23"/>
      <c r="F475" s="23"/>
      <c r="G475" s="23">
        <f>PinjamanTable[[#This Row],[Pokok (Rp) *]]+PinjamanTable[[#This Row],[Admin (Rp)]]</f>
        <v>0</v>
      </c>
      <c r="H475" s="24"/>
      <c r="I475" s="22"/>
      <c r="J475" s="21"/>
      <c r="K475" s="21"/>
    </row>
    <row r="476" spans="1:11" ht="21" customHeight="1">
      <c r="A476" s="21"/>
      <c r="B476" s="21"/>
      <c r="C476" s="20" t="str">
        <f>IF(B476="","",IF(COUNTIF('01_Anggota'!$D$5:$D$1212,B476)=0,"NAMA TIDAK DITEMUKAN",INDEX('01_Anggota'!$B$5:$B$1212,MATCH(B476,'01_Anggota'!$D$5:$D$1212,0))))</f>
        <v/>
      </c>
      <c r="D476" s="21"/>
      <c r="E476" s="23"/>
      <c r="F476" s="23"/>
      <c r="G476" s="23">
        <f>PinjamanTable[[#This Row],[Pokok (Rp) *]]+PinjamanTable[[#This Row],[Admin (Rp)]]</f>
        <v>0</v>
      </c>
      <c r="H476" s="24"/>
      <c r="I476" s="22"/>
      <c r="J476" s="21"/>
      <c r="K476" s="21"/>
    </row>
    <row r="477" spans="1:11" ht="21" customHeight="1">
      <c r="A477" s="21"/>
      <c r="B477" s="21"/>
      <c r="C477" s="20" t="str">
        <f>IF(B477="","",IF(COUNTIF('01_Anggota'!$D$5:$D$1212,B477)=0,"NAMA TIDAK DITEMUKAN",INDEX('01_Anggota'!$B$5:$B$1212,MATCH(B477,'01_Anggota'!$D$5:$D$1212,0))))</f>
        <v/>
      </c>
      <c r="D477" s="21"/>
      <c r="E477" s="23"/>
      <c r="F477" s="23"/>
      <c r="G477" s="23">
        <f>PinjamanTable[[#This Row],[Pokok (Rp) *]]+PinjamanTable[[#This Row],[Admin (Rp)]]</f>
        <v>0</v>
      </c>
      <c r="H477" s="24"/>
      <c r="I477" s="22"/>
      <c r="J477" s="21"/>
      <c r="K477" s="21"/>
    </row>
    <row r="478" spans="1:11" ht="21" customHeight="1">
      <c r="A478" s="21"/>
      <c r="B478" s="21"/>
      <c r="C478" s="20" t="str">
        <f>IF(B478="","",IF(COUNTIF('01_Anggota'!$D$5:$D$1212,B478)=0,"NAMA TIDAK DITEMUKAN",INDEX('01_Anggota'!$B$5:$B$1212,MATCH(B478,'01_Anggota'!$D$5:$D$1212,0))))</f>
        <v/>
      </c>
      <c r="D478" s="21"/>
      <c r="E478" s="23"/>
      <c r="F478" s="23"/>
      <c r="G478" s="23">
        <f>PinjamanTable[[#This Row],[Pokok (Rp) *]]+PinjamanTable[[#This Row],[Admin (Rp)]]</f>
        <v>0</v>
      </c>
      <c r="H478" s="24"/>
      <c r="I478" s="22"/>
      <c r="J478" s="21"/>
      <c r="K478" s="21"/>
    </row>
    <row r="479" spans="1:11" ht="21" customHeight="1">
      <c r="A479" s="21"/>
      <c r="B479" s="21"/>
      <c r="C479" s="20" t="str">
        <f>IF(B479="","",IF(COUNTIF('01_Anggota'!$D$5:$D$1212,B479)=0,"NAMA TIDAK DITEMUKAN",INDEX('01_Anggota'!$B$5:$B$1212,MATCH(B479,'01_Anggota'!$D$5:$D$1212,0))))</f>
        <v/>
      </c>
      <c r="D479" s="21"/>
      <c r="E479" s="23"/>
      <c r="F479" s="23"/>
      <c r="G479" s="23">
        <f>PinjamanTable[[#This Row],[Pokok (Rp) *]]+PinjamanTable[[#This Row],[Admin (Rp)]]</f>
        <v>0</v>
      </c>
      <c r="H479" s="24"/>
      <c r="I479" s="22"/>
      <c r="J479" s="21"/>
      <c r="K479" s="21"/>
    </row>
    <row r="480" spans="1:11" ht="21" customHeight="1">
      <c r="A480" s="21"/>
      <c r="B480" s="21"/>
      <c r="C480" s="20" t="str">
        <f>IF(B480="","",IF(COUNTIF('01_Anggota'!$D$5:$D$1212,B480)=0,"NAMA TIDAK DITEMUKAN",INDEX('01_Anggota'!$B$5:$B$1212,MATCH(B480,'01_Anggota'!$D$5:$D$1212,0))))</f>
        <v/>
      </c>
      <c r="D480" s="21"/>
      <c r="E480" s="23"/>
      <c r="F480" s="23"/>
      <c r="G480" s="23">
        <f>PinjamanTable[[#This Row],[Pokok (Rp) *]]+PinjamanTable[[#This Row],[Admin (Rp)]]</f>
        <v>0</v>
      </c>
      <c r="H480" s="24"/>
      <c r="I480" s="22"/>
      <c r="J480" s="21"/>
      <c r="K480" s="21"/>
    </row>
    <row r="481" spans="1:11" ht="21" customHeight="1">
      <c r="A481" s="21"/>
      <c r="B481" s="21"/>
      <c r="C481" s="20" t="str">
        <f>IF(B481="","",IF(COUNTIF('01_Anggota'!$D$5:$D$1212,B481)=0,"NAMA TIDAK DITEMUKAN",INDEX('01_Anggota'!$B$5:$B$1212,MATCH(B481,'01_Anggota'!$D$5:$D$1212,0))))</f>
        <v/>
      </c>
      <c r="D481" s="21"/>
      <c r="E481" s="23"/>
      <c r="F481" s="23"/>
      <c r="G481" s="23">
        <f>PinjamanTable[[#This Row],[Pokok (Rp) *]]+PinjamanTable[[#This Row],[Admin (Rp)]]</f>
        <v>0</v>
      </c>
      <c r="H481" s="24"/>
      <c r="I481" s="22"/>
      <c r="J481" s="21"/>
      <c r="K481" s="21"/>
    </row>
    <row r="482" spans="1:11" ht="21" customHeight="1">
      <c r="A482" s="21"/>
      <c r="B482" s="21"/>
      <c r="C482" s="20" t="str">
        <f>IF(B482="","",IF(COUNTIF('01_Anggota'!$D$5:$D$1212,B482)=0,"NAMA TIDAK DITEMUKAN",INDEX('01_Anggota'!$B$5:$B$1212,MATCH(B482,'01_Anggota'!$D$5:$D$1212,0))))</f>
        <v/>
      </c>
      <c r="D482" s="21"/>
      <c r="E482" s="23"/>
      <c r="F482" s="23"/>
      <c r="G482" s="23">
        <f>PinjamanTable[[#This Row],[Pokok (Rp) *]]+PinjamanTable[[#This Row],[Admin (Rp)]]</f>
        <v>0</v>
      </c>
      <c r="H482" s="24"/>
      <c r="I482" s="22"/>
      <c r="J482" s="21"/>
      <c r="K482" s="21"/>
    </row>
    <row r="483" spans="1:11" ht="21" customHeight="1">
      <c r="A483" s="21"/>
      <c r="B483" s="21"/>
      <c r="C483" s="20" t="str">
        <f>IF(B483="","",IF(COUNTIF('01_Anggota'!$D$5:$D$1212,B483)=0,"NAMA TIDAK DITEMUKAN",INDEX('01_Anggota'!$B$5:$B$1212,MATCH(B483,'01_Anggota'!$D$5:$D$1212,0))))</f>
        <v/>
      </c>
      <c r="D483" s="21"/>
      <c r="E483" s="23"/>
      <c r="F483" s="23"/>
      <c r="G483" s="23">
        <f>PinjamanTable[[#This Row],[Pokok (Rp) *]]+PinjamanTable[[#This Row],[Admin (Rp)]]</f>
        <v>0</v>
      </c>
      <c r="H483" s="24"/>
      <c r="I483" s="22"/>
      <c r="J483" s="21"/>
      <c r="K483" s="21"/>
    </row>
    <row r="484" spans="1:11" ht="21" customHeight="1">
      <c r="A484" s="21"/>
      <c r="B484" s="21"/>
      <c r="C484" s="20" t="str">
        <f>IF(B484="","",IF(COUNTIF('01_Anggota'!$D$5:$D$1212,B484)=0,"NAMA TIDAK DITEMUKAN",INDEX('01_Anggota'!$B$5:$B$1212,MATCH(B484,'01_Anggota'!$D$5:$D$1212,0))))</f>
        <v/>
      </c>
      <c r="D484" s="21"/>
      <c r="E484" s="23"/>
      <c r="F484" s="23"/>
      <c r="G484" s="23">
        <f>PinjamanTable[[#This Row],[Pokok (Rp) *]]+PinjamanTable[[#This Row],[Admin (Rp)]]</f>
        <v>0</v>
      </c>
      <c r="H484" s="24"/>
      <c r="I484" s="22"/>
      <c r="J484" s="21"/>
      <c r="K484" s="21"/>
    </row>
    <row r="485" spans="1:11" ht="21" customHeight="1">
      <c r="A485" s="21"/>
      <c r="B485" s="21"/>
      <c r="C485" s="20" t="str">
        <f>IF(B485="","",IF(COUNTIF('01_Anggota'!$D$5:$D$1212,B485)=0,"NAMA TIDAK DITEMUKAN",INDEX('01_Anggota'!$B$5:$B$1212,MATCH(B485,'01_Anggota'!$D$5:$D$1212,0))))</f>
        <v/>
      </c>
      <c r="D485" s="21"/>
      <c r="E485" s="23"/>
      <c r="F485" s="23"/>
      <c r="G485" s="23">
        <f>PinjamanTable[[#This Row],[Pokok (Rp) *]]+PinjamanTable[[#This Row],[Admin (Rp)]]</f>
        <v>0</v>
      </c>
      <c r="H485" s="24"/>
      <c r="I485" s="22"/>
      <c r="J485" s="21"/>
      <c r="K485" s="21"/>
    </row>
    <row r="486" spans="1:11" ht="21" customHeight="1">
      <c r="A486" s="21"/>
      <c r="B486" s="21"/>
      <c r="C486" s="20" t="str">
        <f>IF(B486="","",IF(COUNTIF('01_Anggota'!$D$5:$D$1212,B486)=0,"NAMA TIDAK DITEMUKAN",INDEX('01_Anggota'!$B$5:$B$1212,MATCH(B486,'01_Anggota'!$D$5:$D$1212,0))))</f>
        <v/>
      </c>
      <c r="D486" s="21"/>
      <c r="E486" s="23"/>
      <c r="F486" s="23"/>
      <c r="G486" s="23">
        <f>PinjamanTable[[#This Row],[Pokok (Rp) *]]+PinjamanTable[[#This Row],[Admin (Rp)]]</f>
        <v>0</v>
      </c>
      <c r="H486" s="24"/>
      <c r="I486" s="22"/>
      <c r="J486" s="21"/>
      <c r="K486" s="21"/>
    </row>
    <row r="487" spans="1:11" ht="21" customHeight="1">
      <c r="A487" s="21"/>
      <c r="B487" s="21"/>
      <c r="C487" s="20" t="str">
        <f>IF(B487="","",IF(COUNTIF('01_Anggota'!$D$5:$D$1212,B487)=0,"NAMA TIDAK DITEMUKAN",INDEX('01_Anggota'!$B$5:$B$1212,MATCH(B487,'01_Anggota'!$D$5:$D$1212,0))))</f>
        <v/>
      </c>
      <c r="D487" s="21"/>
      <c r="E487" s="23"/>
      <c r="F487" s="23"/>
      <c r="G487" s="23">
        <f>PinjamanTable[[#This Row],[Pokok (Rp) *]]+PinjamanTable[[#This Row],[Admin (Rp)]]</f>
        <v>0</v>
      </c>
      <c r="H487" s="24"/>
      <c r="I487" s="22"/>
      <c r="J487" s="21"/>
      <c r="K487" s="21"/>
    </row>
    <row r="488" spans="1:11" ht="21" customHeight="1">
      <c r="A488" s="21"/>
      <c r="B488" s="21"/>
      <c r="C488" s="20" t="str">
        <f>IF(B488="","",IF(COUNTIF('01_Anggota'!$D$5:$D$1212,B488)=0,"NAMA TIDAK DITEMUKAN",INDEX('01_Anggota'!$B$5:$B$1212,MATCH(B488,'01_Anggota'!$D$5:$D$1212,0))))</f>
        <v/>
      </c>
      <c r="D488" s="21"/>
      <c r="E488" s="23"/>
      <c r="F488" s="23"/>
      <c r="G488" s="23">
        <f>PinjamanTable[[#This Row],[Pokok (Rp) *]]+PinjamanTable[[#This Row],[Admin (Rp)]]</f>
        <v>0</v>
      </c>
      <c r="H488" s="24"/>
      <c r="I488" s="22"/>
      <c r="J488" s="21"/>
      <c r="K488" s="21"/>
    </row>
    <row r="489" spans="1:11" ht="21" customHeight="1">
      <c r="A489" s="21"/>
      <c r="B489" s="21"/>
      <c r="C489" s="20" t="str">
        <f>IF(B489="","",IF(COUNTIF('01_Anggota'!$D$5:$D$1212,B489)=0,"NAMA TIDAK DITEMUKAN",INDEX('01_Anggota'!$B$5:$B$1212,MATCH(B489,'01_Anggota'!$D$5:$D$1212,0))))</f>
        <v/>
      </c>
      <c r="D489" s="21"/>
      <c r="E489" s="23"/>
      <c r="F489" s="23"/>
      <c r="G489" s="23">
        <f>PinjamanTable[[#This Row],[Pokok (Rp) *]]+PinjamanTable[[#This Row],[Admin (Rp)]]</f>
        <v>0</v>
      </c>
      <c r="H489" s="24"/>
      <c r="I489" s="22"/>
      <c r="J489" s="21"/>
      <c r="K489" s="21"/>
    </row>
    <row r="490" spans="1:11" ht="21" customHeight="1">
      <c r="A490" s="21"/>
      <c r="B490" s="21"/>
      <c r="C490" s="20" t="str">
        <f>IF(B490="","",IF(COUNTIF('01_Anggota'!$D$5:$D$1212,B490)=0,"NAMA TIDAK DITEMUKAN",INDEX('01_Anggota'!$B$5:$B$1212,MATCH(B490,'01_Anggota'!$D$5:$D$1212,0))))</f>
        <v/>
      </c>
      <c r="D490" s="21"/>
      <c r="E490" s="23"/>
      <c r="F490" s="23"/>
      <c r="G490" s="23">
        <f>PinjamanTable[[#This Row],[Pokok (Rp) *]]+PinjamanTable[[#This Row],[Admin (Rp)]]</f>
        <v>0</v>
      </c>
      <c r="H490" s="24"/>
      <c r="I490" s="22"/>
      <c r="J490" s="21"/>
      <c r="K490" s="21"/>
    </row>
    <row r="491" spans="1:11" ht="21" customHeight="1">
      <c r="A491" s="21"/>
      <c r="B491" s="21"/>
      <c r="C491" s="20" t="str">
        <f>IF(B491="","",IF(COUNTIF('01_Anggota'!$D$5:$D$1212,B491)=0,"NAMA TIDAK DITEMUKAN",INDEX('01_Anggota'!$B$5:$B$1212,MATCH(B491,'01_Anggota'!$D$5:$D$1212,0))))</f>
        <v/>
      </c>
      <c r="D491" s="21"/>
      <c r="E491" s="23"/>
      <c r="F491" s="23"/>
      <c r="G491" s="23">
        <f>PinjamanTable[[#This Row],[Pokok (Rp) *]]+PinjamanTable[[#This Row],[Admin (Rp)]]</f>
        <v>0</v>
      </c>
      <c r="H491" s="24"/>
      <c r="I491" s="22"/>
      <c r="J491" s="21"/>
      <c r="K491" s="21"/>
    </row>
    <row r="492" spans="1:11" ht="21" customHeight="1">
      <c r="A492" s="21"/>
      <c r="B492" s="21"/>
      <c r="C492" s="20" t="str">
        <f>IF(B492="","",IF(COUNTIF('01_Anggota'!$D$5:$D$1212,B492)=0,"NAMA TIDAK DITEMUKAN",INDEX('01_Anggota'!$B$5:$B$1212,MATCH(B492,'01_Anggota'!$D$5:$D$1212,0))))</f>
        <v/>
      </c>
      <c r="D492" s="21"/>
      <c r="E492" s="23"/>
      <c r="F492" s="23"/>
      <c r="G492" s="23">
        <f>PinjamanTable[[#This Row],[Pokok (Rp) *]]+PinjamanTable[[#This Row],[Admin (Rp)]]</f>
        <v>0</v>
      </c>
      <c r="H492" s="24"/>
      <c r="I492" s="22"/>
      <c r="J492" s="21"/>
      <c r="K492" s="21"/>
    </row>
    <row r="493" spans="1:11" ht="21" customHeight="1">
      <c r="A493" s="21"/>
      <c r="B493" s="21"/>
      <c r="C493" s="20" t="str">
        <f>IF(B493="","",IF(COUNTIF('01_Anggota'!$D$5:$D$1212,B493)=0,"NAMA TIDAK DITEMUKAN",INDEX('01_Anggota'!$B$5:$B$1212,MATCH(B493,'01_Anggota'!$D$5:$D$1212,0))))</f>
        <v/>
      </c>
      <c r="D493" s="21"/>
      <c r="E493" s="23"/>
      <c r="F493" s="23"/>
      <c r="G493" s="23">
        <f>PinjamanTable[[#This Row],[Pokok (Rp) *]]+PinjamanTable[[#This Row],[Admin (Rp)]]</f>
        <v>0</v>
      </c>
      <c r="H493" s="24"/>
      <c r="I493" s="22"/>
      <c r="J493" s="21"/>
      <c r="K493" s="21"/>
    </row>
    <row r="494" spans="1:11" ht="21" customHeight="1">
      <c r="A494" s="21"/>
      <c r="B494" s="21"/>
      <c r="C494" s="20" t="str">
        <f>IF(B494="","",IF(COUNTIF('01_Anggota'!$D$5:$D$1212,B494)=0,"NAMA TIDAK DITEMUKAN",INDEX('01_Anggota'!$B$5:$B$1212,MATCH(B494,'01_Anggota'!$D$5:$D$1212,0))))</f>
        <v/>
      </c>
      <c r="D494" s="21"/>
      <c r="E494" s="23"/>
      <c r="F494" s="23"/>
      <c r="G494" s="23">
        <f>PinjamanTable[[#This Row],[Pokok (Rp) *]]+PinjamanTable[[#This Row],[Admin (Rp)]]</f>
        <v>0</v>
      </c>
      <c r="H494" s="24"/>
      <c r="I494" s="22"/>
      <c r="J494" s="21"/>
      <c r="K494" s="21"/>
    </row>
    <row r="495" spans="1:11" ht="21" customHeight="1">
      <c r="A495" s="21"/>
      <c r="B495" s="21"/>
      <c r="C495" s="20" t="str">
        <f>IF(B495="","",IF(COUNTIF('01_Anggota'!$D$5:$D$1212,B495)=0,"NAMA TIDAK DITEMUKAN",INDEX('01_Anggota'!$B$5:$B$1212,MATCH(B495,'01_Anggota'!$D$5:$D$1212,0))))</f>
        <v/>
      </c>
      <c r="D495" s="21"/>
      <c r="E495" s="23"/>
      <c r="F495" s="23"/>
      <c r="G495" s="23">
        <f>PinjamanTable[[#This Row],[Pokok (Rp) *]]+PinjamanTable[[#This Row],[Admin (Rp)]]</f>
        <v>0</v>
      </c>
      <c r="H495" s="24"/>
      <c r="I495" s="22"/>
      <c r="J495" s="21"/>
      <c r="K495" s="21"/>
    </row>
    <row r="496" spans="1:11" ht="21" customHeight="1">
      <c r="A496" s="21"/>
      <c r="B496" s="21"/>
      <c r="C496" s="20" t="str">
        <f>IF(B496="","",IF(COUNTIF('01_Anggota'!$D$5:$D$1212,B496)=0,"NAMA TIDAK DITEMUKAN",INDEX('01_Anggota'!$B$5:$B$1212,MATCH(B496,'01_Anggota'!$D$5:$D$1212,0))))</f>
        <v/>
      </c>
      <c r="D496" s="21"/>
      <c r="E496" s="23"/>
      <c r="F496" s="23"/>
      <c r="G496" s="23">
        <f>PinjamanTable[[#This Row],[Pokok (Rp) *]]+PinjamanTable[[#This Row],[Admin (Rp)]]</f>
        <v>0</v>
      </c>
      <c r="H496" s="24"/>
      <c r="I496" s="22"/>
      <c r="J496" s="21"/>
      <c r="K496" s="21"/>
    </row>
    <row r="497" spans="1:11" ht="21" customHeight="1">
      <c r="A497" s="21"/>
      <c r="B497" s="21"/>
      <c r="C497" s="20" t="str">
        <f>IF(B497="","",IF(COUNTIF('01_Anggota'!$D$5:$D$1212,B497)=0,"NAMA TIDAK DITEMUKAN",INDEX('01_Anggota'!$B$5:$B$1212,MATCH(B497,'01_Anggota'!$D$5:$D$1212,0))))</f>
        <v/>
      </c>
      <c r="D497" s="21"/>
      <c r="E497" s="23"/>
      <c r="F497" s="23"/>
      <c r="G497" s="23">
        <f>PinjamanTable[[#This Row],[Pokok (Rp) *]]+PinjamanTable[[#This Row],[Admin (Rp)]]</f>
        <v>0</v>
      </c>
      <c r="H497" s="24"/>
      <c r="I497" s="22"/>
      <c r="J497" s="21"/>
      <c r="K497" s="21"/>
    </row>
    <row r="498" spans="1:11" ht="21" customHeight="1">
      <c r="A498" s="21"/>
      <c r="B498" s="21"/>
      <c r="C498" s="20" t="str">
        <f>IF(B498="","",IF(COUNTIF('01_Anggota'!$D$5:$D$1212,B498)=0,"NAMA TIDAK DITEMUKAN",INDEX('01_Anggota'!$B$5:$B$1212,MATCH(B498,'01_Anggota'!$D$5:$D$1212,0))))</f>
        <v/>
      </c>
      <c r="D498" s="21"/>
      <c r="E498" s="23"/>
      <c r="F498" s="23"/>
      <c r="G498" s="23">
        <f>PinjamanTable[[#This Row],[Pokok (Rp) *]]+PinjamanTable[[#This Row],[Admin (Rp)]]</f>
        <v>0</v>
      </c>
      <c r="H498" s="24"/>
      <c r="I498" s="22"/>
      <c r="J498" s="21"/>
      <c r="K498" s="21"/>
    </row>
    <row r="499" spans="1:11" ht="21" customHeight="1">
      <c r="A499" s="21"/>
      <c r="B499" s="21"/>
      <c r="C499" s="20" t="str">
        <f>IF(B499="","",IF(COUNTIF('01_Anggota'!$D$5:$D$1212,B499)=0,"NAMA TIDAK DITEMUKAN",INDEX('01_Anggota'!$B$5:$B$1212,MATCH(B499,'01_Anggota'!$D$5:$D$1212,0))))</f>
        <v/>
      </c>
      <c r="D499" s="21"/>
      <c r="E499" s="23"/>
      <c r="F499" s="23"/>
      <c r="G499" s="23">
        <f>PinjamanTable[[#This Row],[Pokok (Rp) *]]+PinjamanTable[[#This Row],[Admin (Rp)]]</f>
        <v>0</v>
      </c>
      <c r="H499" s="24"/>
      <c r="I499" s="22"/>
      <c r="J499" s="21"/>
      <c r="K499" s="21"/>
    </row>
    <row r="500" spans="1:11" ht="21" customHeight="1">
      <c r="A500" s="21"/>
      <c r="B500" s="21"/>
      <c r="C500" s="20" t="str">
        <f>IF(B500="","",IF(COUNTIF('01_Anggota'!$D$5:$D$1212,B500)=0,"NAMA TIDAK DITEMUKAN",INDEX('01_Anggota'!$B$5:$B$1212,MATCH(B500,'01_Anggota'!$D$5:$D$1212,0))))</f>
        <v/>
      </c>
      <c r="D500" s="21"/>
      <c r="E500" s="23"/>
      <c r="F500" s="23"/>
      <c r="G500" s="23">
        <f>PinjamanTable[[#This Row],[Pokok (Rp) *]]+PinjamanTable[[#This Row],[Admin (Rp)]]</f>
        <v>0</v>
      </c>
      <c r="H500" s="24"/>
      <c r="I500" s="22"/>
      <c r="J500" s="21"/>
      <c r="K500" s="21"/>
    </row>
    <row r="501" spans="1:11" ht="21" customHeight="1">
      <c r="A501" s="21"/>
      <c r="B501" s="21"/>
      <c r="C501" s="20" t="str">
        <f>IF(B501="","",IF(COUNTIF('01_Anggota'!$D$5:$D$1212,B501)=0,"NAMA TIDAK DITEMUKAN",INDEX('01_Anggota'!$B$5:$B$1212,MATCH(B501,'01_Anggota'!$D$5:$D$1212,0))))</f>
        <v/>
      </c>
      <c r="D501" s="21"/>
      <c r="E501" s="23"/>
      <c r="F501" s="23"/>
      <c r="G501" s="23">
        <f>PinjamanTable[[#This Row],[Pokok (Rp) *]]+PinjamanTable[[#This Row],[Admin (Rp)]]</f>
        <v>0</v>
      </c>
      <c r="H501" s="24"/>
      <c r="I501" s="22"/>
      <c r="J501" s="21"/>
      <c r="K501" s="21"/>
    </row>
    <row r="502" spans="1:11" ht="21" customHeight="1">
      <c r="A502" s="21"/>
      <c r="B502" s="21"/>
      <c r="C502" s="20" t="str">
        <f>IF(B502="","",IF(COUNTIF('01_Anggota'!$D$5:$D$1212,B502)=0,"NAMA TIDAK DITEMUKAN",INDEX('01_Anggota'!$B$5:$B$1212,MATCH(B502,'01_Anggota'!$D$5:$D$1212,0))))</f>
        <v/>
      </c>
      <c r="D502" s="21"/>
      <c r="E502" s="23"/>
      <c r="F502" s="23"/>
      <c r="G502" s="23">
        <f>PinjamanTable[[#This Row],[Pokok (Rp) *]]+PinjamanTable[[#This Row],[Admin (Rp)]]</f>
        <v>0</v>
      </c>
      <c r="H502" s="24"/>
      <c r="I502" s="22"/>
      <c r="J502" s="21"/>
      <c r="K502" s="21"/>
    </row>
    <row r="503" spans="1:11" ht="21" customHeight="1">
      <c r="A503" s="21"/>
      <c r="B503" s="21"/>
      <c r="C503" s="20" t="str">
        <f>IF(B503="","",IF(COUNTIF('01_Anggota'!$D$5:$D$1212,B503)=0,"NAMA TIDAK DITEMUKAN",INDEX('01_Anggota'!$B$5:$B$1212,MATCH(B503,'01_Anggota'!$D$5:$D$1212,0))))</f>
        <v/>
      </c>
      <c r="D503" s="21"/>
      <c r="E503" s="23"/>
      <c r="F503" s="23"/>
      <c r="G503" s="23">
        <f>PinjamanTable[[#This Row],[Pokok (Rp) *]]+PinjamanTable[[#This Row],[Admin (Rp)]]</f>
        <v>0</v>
      </c>
      <c r="H503" s="24"/>
      <c r="I503" s="22"/>
      <c r="J503" s="21"/>
      <c r="K503" s="21"/>
    </row>
    <row r="504" spans="1:11" ht="21" customHeight="1">
      <c r="A504" s="21"/>
      <c r="B504" s="21"/>
      <c r="C504" s="20" t="str">
        <f>IF(B504="","",IF(COUNTIF('01_Anggota'!$D$5:$D$1212,B504)=0,"NAMA TIDAK DITEMUKAN",INDEX('01_Anggota'!$B$5:$B$1212,MATCH(B504,'01_Anggota'!$D$5:$D$1212,0))))</f>
        <v/>
      </c>
      <c r="D504" s="21"/>
      <c r="E504" s="23"/>
      <c r="F504" s="23"/>
      <c r="G504" s="23">
        <f>PinjamanTable[[#This Row],[Pokok (Rp) *]]+PinjamanTable[[#This Row],[Admin (Rp)]]</f>
        <v>0</v>
      </c>
      <c r="H504" s="24"/>
      <c r="I504" s="22"/>
      <c r="J504" s="21"/>
      <c r="K504" s="21"/>
    </row>
    <row r="505" spans="1:11" ht="21" customHeight="1">
      <c r="A505" s="21"/>
      <c r="B505" s="21"/>
      <c r="C505" s="20" t="str">
        <f>IF(B505="","",IF(COUNTIF('01_Anggota'!$D$5:$D$1212,B505)=0,"NAMA TIDAK DITEMUKAN",INDEX('01_Anggota'!$B$5:$B$1212,MATCH(B505,'01_Anggota'!$D$5:$D$1212,0))))</f>
        <v/>
      </c>
      <c r="D505" s="21"/>
      <c r="E505" s="23"/>
      <c r="F505" s="23"/>
      <c r="G505" s="23">
        <f>PinjamanTable[[#This Row],[Pokok (Rp) *]]+PinjamanTable[[#This Row],[Admin (Rp)]]</f>
        <v>0</v>
      </c>
      <c r="H505" s="24"/>
      <c r="I505" s="22"/>
      <c r="J505" s="21"/>
      <c r="K505" s="21"/>
    </row>
    <row r="506" spans="1:11" ht="21" customHeight="1">
      <c r="A506" s="21"/>
      <c r="B506" s="21"/>
      <c r="C506" s="20" t="str">
        <f>IF(B506="","",IF(COUNTIF('01_Anggota'!$D$5:$D$1212,B506)=0,"NAMA TIDAK DITEMUKAN",INDEX('01_Anggota'!$B$5:$B$1212,MATCH(B506,'01_Anggota'!$D$5:$D$1212,0))))</f>
        <v/>
      </c>
      <c r="D506" s="21"/>
      <c r="E506" s="23"/>
      <c r="F506" s="23"/>
      <c r="G506" s="23">
        <f>PinjamanTable[[#This Row],[Pokok (Rp) *]]+PinjamanTable[[#This Row],[Admin (Rp)]]</f>
        <v>0</v>
      </c>
      <c r="H506" s="24"/>
      <c r="I506" s="22"/>
      <c r="J506" s="21"/>
      <c r="K506" s="21"/>
    </row>
    <row r="507" spans="1:11" ht="21" customHeight="1">
      <c r="A507" s="21"/>
      <c r="B507" s="21"/>
      <c r="C507" s="20" t="str">
        <f>IF(B507="","",IF(COUNTIF('01_Anggota'!$D$5:$D$1212,B507)=0,"NAMA TIDAK DITEMUKAN",INDEX('01_Anggota'!$B$5:$B$1212,MATCH(B507,'01_Anggota'!$D$5:$D$1212,0))))</f>
        <v/>
      </c>
      <c r="D507" s="21"/>
      <c r="E507" s="23"/>
      <c r="F507" s="23"/>
      <c r="G507" s="23">
        <f>PinjamanTable[[#This Row],[Pokok (Rp) *]]+PinjamanTable[[#This Row],[Admin (Rp)]]</f>
        <v>0</v>
      </c>
      <c r="H507" s="24"/>
      <c r="I507" s="22"/>
      <c r="J507" s="21"/>
      <c r="K507" s="21"/>
    </row>
    <row r="508" spans="1:11" ht="21" customHeight="1">
      <c r="A508" s="21"/>
      <c r="B508" s="21"/>
      <c r="C508" s="20" t="str">
        <f>IF(B508="","",IF(COUNTIF('01_Anggota'!$D$5:$D$1212,B508)=0,"NAMA TIDAK DITEMUKAN",INDEX('01_Anggota'!$B$5:$B$1212,MATCH(B508,'01_Anggota'!$D$5:$D$1212,0))))</f>
        <v/>
      </c>
      <c r="D508" s="21"/>
      <c r="E508" s="23"/>
      <c r="F508" s="23"/>
      <c r="G508" s="23">
        <f>PinjamanTable[[#This Row],[Pokok (Rp) *]]+PinjamanTable[[#This Row],[Admin (Rp)]]</f>
        <v>0</v>
      </c>
      <c r="H508" s="24"/>
      <c r="I508" s="22"/>
      <c r="J508" s="21"/>
      <c r="K508" s="21"/>
    </row>
    <row r="509" spans="1:11" ht="21" customHeight="1">
      <c r="A509" s="21"/>
      <c r="B509" s="21"/>
      <c r="C509" s="20" t="str">
        <f>IF(B509="","",IF(COUNTIF('01_Anggota'!$D$5:$D$1212,B509)=0,"NAMA TIDAK DITEMUKAN",INDEX('01_Anggota'!$B$5:$B$1212,MATCH(B509,'01_Anggota'!$D$5:$D$1212,0))))</f>
        <v/>
      </c>
      <c r="D509" s="21"/>
      <c r="E509" s="23"/>
      <c r="F509" s="23"/>
      <c r="G509" s="23">
        <f>PinjamanTable[[#This Row],[Pokok (Rp) *]]+PinjamanTable[[#This Row],[Admin (Rp)]]</f>
        <v>0</v>
      </c>
      <c r="H509" s="24"/>
      <c r="I509" s="22"/>
      <c r="J509" s="21"/>
      <c r="K509" s="21"/>
    </row>
    <row r="510" spans="1:11" ht="21" customHeight="1">
      <c r="A510" s="21"/>
      <c r="B510" s="21"/>
      <c r="C510" s="20" t="str">
        <f>IF(B510="","",IF(COUNTIF('01_Anggota'!$D$5:$D$1212,B510)=0,"NAMA TIDAK DITEMUKAN",INDEX('01_Anggota'!$B$5:$B$1212,MATCH(B510,'01_Anggota'!$D$5:$D$1212,0))))</f>
        <v/>
      </c>
      <c r="D510" s="21"/>
      <c r="E510" s="23"/>
      <c r="F510" s="23"/>
      <c r="G510" s="23">
        <f>PinjamanTable[[#This Row],[Pokok (Rp) *]]+PinjamanTable[[#This Row],[Admin (Rp)]]</f>
        <v>0</v>
      </c>
      <c r="H510" s="24"/>
      <c r="I510" s="22"/>
      <c r="J510" s="21"/>
      <c r="K510" s="21"/>
    </row>
    <row r="511" spans="1:11" ht="21" customHeight="1">
      <c r="A511" s="21"/>
      <c r="B511" s="21"/>
      <c r="C511" s="20" t="str">
        <f>IF(B511="","",IF(COUNTIF('01_Anggota'!$D$5:$D$1212,B511)=0,"NAMA TIDAK DITEMUKAN",INDEX('01_Anggota'!$B$5:$B$1212,MATCH(B511,'01_Anggota'!$D$5:$D$1212,0))))</f>
        <v/>
      </c>
      <c r="D511" s="21"/>
      <c r="E511" s="23"/>
      <c r="F511" s="23"/>
      <c r="G511" s="23">
        <f>PinjamanTable[[#This Row],[Pokok (Rp) *]]+PinjamanTable[[#This Row],[Admin (Rp)]]</f>
        <v>0</v>
      </c>
      <c r="H511" s="24"/>
      <c r="I511" s="22"/>
      <c r="J511" s="21"/>
      <c r="K511" s="21"/>
    </row>
    <row r="512" spans="1:11" ht="21" customHeight="1">
      <c r="A512" s="21"/>
      <c r="B512" s="21"/>
      <c r="C512" s="20" t="str">
        <f>IF(B512="","",IF(COUNTIF('01_Anggota'!$D$5:$D$1212,B512)=0,"NAMA TIDAK DITEMUKAN",INDEX('01_Anggota'!$B$5:$B$1212,MATCH(B512,'01_Anggota'!$D$5:$D$1212,0))))</f>
        <v/>
      </c>
      <c r="D512" s="21"/>
      <c r="E512" s="23"/>
      <c r="F512" s="23"/>
      <c r="G512" s="23">
        <f>PinjamanTable[[#This Row],[Pokok (Rp) *]]+PinjamanTable[[#This Row],[Admin (Rp)]]</f>
        <v>0</v>
      </c>
      <c r="H512" s="24"/>
      <c r="I512" s="22"/>
      <c r="J512" s="21"/>
      <c r="K512" s="21"/>
    </row>
    <row r="513" spans="1:11" ht="21" customHeight="1">
      <c r="A513" s="21"/>
      <c r="B513" s="21"/>
      <c r="C513" s="20" t="str">
        <f>IF(B513="","",IF(COUNTIF('01_Anggota'!$D$5:$D$1212,B513)=0,"NAMA TIDAK DITEMUKAN",INDEX('01_Anggota'!$B$5:$B$1212,MATCH(B513,'01_Anggota'!$D$5:$D$1212,0))))</f>
        <v/>
      </c>
      <c r="D513" s="21"/>
      <c r="E513" s="23"/>
      <c r="F513" s="23"/>
      <c r="G513" s="23">
        <f>PinjamanTable[[#This Row],[Pokok (Rp) *]]+PinjamanTable[[#This Row],[Admin (Rp)]]</f>
        <v>0</v>
      </c>
      <c r="H513" s="24"/>
      <c r="I513" s="22"/>
      <c r="J513" s="21"/>
      <c r="K513" s="21"/>
    </row>
    <row r="514" spans="1:11" ht="21" customHeight="1">
      <c r="A514" s="21"/>
      <c r="B514" s="21"/>
      <c r="C514" s="20" t="str">
        <f>IF(B514="","",IF(COUNTIF('01_Anggota'!$D$5:$D$1212,B514)=0,"NAMA TIDAK DITEMUKAN",INDEX('01_Anggota'!$B$5:$B$1212,MATCH(B514,'01_Anggota'!$D$5:$D$1212,0))))</f>
        <v/>
      </c>
      <c r="D514" s="21"/>
      <c r="E514" s="23"/>
      <c r="F514" s="23"/>
      <c r="G514" s="23">
        <f>PinjamanTable[[#This Row],[Pokok (Rp) *]]+PinjamanTable[[#This Row],[Admin (Rp)]]</f>
        <v>0</v>
      </c>
      <c r="H514" s="24"/>
      <c r="I514" s="22"/>
      <c r="J514" s="21"/>
      <c r="K514" s="21"/>
    </row>
    <row r="515" spans="1:11" ht="21" customHeight="1">
      <c r="A515" s="21"/>
      <c r="B515" s="21"/>
      <c r="C515" s="20" t="str">
        <f>IF(B515="","",IF(COUNTIF('01_Anggota'!$D$5:$D$1212,B515)=0,"NAMA TIDAK DITEMUKAN",INDEX('01_Anggota'!$B$5:$B$1212,MATCH(B515,'01_Anggota'!$D$5:$D$1212,0))))</f>
        <v/>
      </c>
      <c r="D515" s="21"/>
      <c r="E515" s="23"/>
      <c r="F515" s="23"/>
      <c r="G515" s="23">
        <f>PinjamanTable[[#This Row],[Pokok (Rp) *]]+PinjamanTable[[#This Row],[Admin (Rp)]]</f>
        <v>0</v>
      </c>
      <c r="H515" s="24"/>
      <c r="I515" s="22"/>
      <c r="J515" s="21"/>
      <c r="K515" s="21"/>
    </row>
    <row r="516" spans="1:11" ht="21" customHeight="1">
      <c r="A516" s="21"/>
      <c r="B516" s="21"/>
      <c r="C516" s="20" t="str">
        <f>IF(B516="","",IF(COUNTIF('01_Anggota'!$D$5:$D$1212,B516)=0,"NAMA TIDAK DITEMUKAN",INDEX('01_Anggota'!$B$5:$B$1212,MATCH(B516,'01_Anggota'!$D$5:$D$1212,0))))</f>
        <v/>
      </c>
      <c r="D516" s="21"/>
      <c r="E516" s="23"/>
      <c r="F516" s="23"/>
      <c r="G516" s="23">
        <f>PinjamanTable[[#This Row],[Pokok (Rp) *]]+PinjamanTable[[#This Row],[Admin (Rp)]]</f>
        <v>0</v>
      </c>
      <c r="H516" s="24"/>
      <c r="I516" s="22"/>
      <c r="J516" s="21"/>
      <c r="K516" s="21"/>
    </row>
    <row r="517" spans="1:11" ht="21" customHeight="1">
      <c r="A517" s="21"/>
      <c r="B517" s="21"/>
      <c r="C517" s="20" t="str">
        <f>IF(B517="","",IF(COUNTIF('01_Anggota'!$D$5:$D$1212,B517)=0,"NAMA TIDAK DITEMUKAN",INDEX('01_Anggota'!$B$5:$B$1212,MATCH(B517,'01_Anggota'!$D$5:$D$1212,0))))</f>
        <v/>
      </c>
      <c r="D517" s="21"/>
      <c r="E517" s="23"/>
      <c r="F517" s="23"/>
      <c r="G517" s="23">
        <f>PinjamanTable[[#This Row],[Pokok (Rp) *]]+PinjamanTable[[#This Row],[Admin (Rp)]]</f>
        <v>0</v>
      </c>
      <c r="H517" s="24"/>
      <c r="I517" s="22"/>
      <c r="J517" s="21"/>
      <c r="K517" s="21"/>
    </row>
    <row r="518" spans="1:11" ht="21" customHeight="1">
      <c r="A518" s="21"/>
      <c r="B518" s="21"/>
      <c r="C518" s="20" t="str">
        <f>IF(B518="","",IF(COUNTIF('01_Anggota'!$D$5:$D$1212,B518)=0,"NAMA TIDAK DITEMUKAN",INDEX('01_Anggota'!$B$5:$B$1212,MATCH(B518,'01_Anggota'!$D$5:$D$1212,0))))</f>
        <v/>
      </c>
      <c r="D518" s="21"/>
      <c r="E518" s="23"/>
      <c r="F518" s="23"/>
      <c r="G518" s="23">
        <f>PinjamanTable[[#This Row],[Pokok (Rp) *]]+PinjamanTable[[#This Row],[Admin (Rp)]]</f>
        <v>0</v>
      </c>
      <c r="H518" s="24"/>
      <c r="I518" s="22"/>
      <c r="J518" s="21"/>
      <c r="K518" s="21"/>
    </row>
    <row r="519" spans="1:11" ht="21" customHeight="1">
      <c r="A519" s="21"/>
      <c r="B519" s="21"/>
      <c r="C519" s="20" t="str">
        <f>IF(B519="","",IF(COUNTIF('01_Anggota'!$D$5:$D$1212,B519)=0,"NAMA TIDAK DITEMUKAN",INDEX('01_Anggota'!$B$5:$B$1212,MATCH(B519,'01_Anggota'!$D$5:$D$1212,0))))</f>
        <v/>
      </c>
      <c r="D519" s="21"/>
      <c r="E519" s="23"/>
      <c r="F519" s="23"/>
      <c r="G519" s="23">
        <f>PinjamanTable[[#This Row],[Pokok (Rp) *]]+PinjamanTable[[#This Row],[Admin (Rp)]]</f>
        <v>0</v>
      </c>
      <c r="H519" s="24"/>
      <c r="I519" s="22"/>
      <c r="J519" s="21"/>
      <c r="K519" s="21"/>
    </row>
    <row r="520" spans="1:11" ht="21" customHeight="1">
      <c r="A520" s="21"/>
      <c r="B520" s="21"/>
      <c r="C520" s="20" t="str">
        <f>IF(B520="","",IF(COUNTIF('01_Anggota'!$D$5:$D$1212,B520)=0,"NAMA TIDAK DITEMUKAN",INDEX('01_Anggota'!$B$5:$B$1212,MATCH(B520,'01_Anggota'!$D$5:$D$1212,0))))</f>
        <v/>
      </c>
      <c r="D520" s="21"/>
      <c r="E520" s="23"/>
      <c r="F520" s="23"/>
      <c r="G520" s="23">
        <f>PinjamanTable[[#This Row],[Pokok (Rp) *]]+PinjamanTable[[#This Row],[Admin (Rp)]]</f>
        <v>0</v>
      </c>
      <c r="H520" s="24"/>
      <c r="I520" s="22"/>
      <c r="J520" s="21"/>
      <c r="K520" s="21"/>
    </row>
    <row r="521" spans="1:11" ht="21" customHeight="1">
      <c r="A521" s="21"/>
      <c r="B521" s="21"/>
      <c r="C521" s="20" t="str">
        <f>IF(B521="","",IF(COUNTIF('01_Anggota'!$D$5:$D$1212,B521)=0,"NAMA TIDAK DITEMUKAN",INDEX('01_Anggota'!$B$5:$B$1212,MATCH(B521,'01_Anggota'!$D$5:$D$1212,0))))</f>
        <v/>
      </c>
      <c r="D521" s="21"/>
      <c r="E521" s="23"/>
      <c r="F521" s="23"/>
      <c r="G521" s="23">
        <f>PinjamanTable[[#This Row],[Pokok (Rp) *]]+PinjamanTable[[#This Row],[Admin (Rp)]]</f>
        <v>0</v>
      </c>
      <c r="H521" s="24"/>
      <c r="I521" s="22"/>
      <c r="J521" s="21"/>
      <c r="K521" s="21"/>
    </row>
    <row r="522" spans="1:11" ht="21" customHeight="1">
      <c r="A522" s="21"/>
      <c r="B522" s="21"/>
      <c r="C522" s="20" t="str">
        <f>IF(B522="","",IF(COUNTIF('01_Anggota'!$D$5:$D$1212,B522)=0,"NAMA TIDAK DITEMUKAN",INDEX('01_Anggota'!$B$5:$B$1212,MATCH(B522,'01_Anggota'!$D$5:$D$1212,0))))</f>
        <v/>
      </c>
      <c r="D522" s="21"/>
      <c r="E522" s="23"/>
      <c r="F522" s="23"/>
      <c r="G522" s="23">
        <f>PinjamanTable[[#This Row],[Pokok (Rp) *]]+PinjamanTable[[#This Row],[Admin (Rp)]]</f>
        <v>0</v>
      </c>
      <c r="H522" s="24"/>
      <c r="I522" s="22"/>
      <c r="J522" s="21"/>
      <c r="K522" s="21"/>
    </row>
    <row r="523" spans="1:11" ht="21" customHeight="1">
      <c r="A523" s="21"/>
      <c r="B523" s="21"/>
      <c r="C523" s="20" t="str">
        <f>IF(B523="","",IF(COUNTIF('01_Anggota'!$D$5:$D$1212,B523)=0,"NAMA TIDAK DITEMUKAN",INDEX('01_Anggota'!$B$5:$B$1212,MATCH(B523,'01_Anggota'!$D$5:$D$1212,0))))</f>
        <v/>
      </c>
      <c r="D523" s="21"/>
      <c r="E523" s="23"/>
      <c r="F523" s="23"/>
      <c r="G523" s="23">
        <f>PinjamanTable[[#This Row],[Pokok (Rp) *]]+PinjamanTable[[#This Row],[Admin (Rp)]]</f>
        <v>0</v>
      </c>
      <c r="H523" s="24"/>
      <c r="I523" s="22"/>
      <c r="J523" s="21"/>
      <c r="K523" s="21"/>
    </row>
    <row r="524" spans="1:11" ht="21" customHeight="1">
      <c r="A524" s="21"/>
      <c r="B524" s="21"/>
      <c r="C524" s="20" t="str">
        <f>IF(B524="","",IF(COUNTIF('01_Anggota'!$D$5:$D$1212,B524)=0,"NAMA TIDAK DITEMUKAN",INDEX('01_Anggota'!$B$5:$B$1212,MATCH(B524,'01_Anggota'!$D$5:$D$1212,0))))</f>
        <v/>
      </c>
      <c r="D524" s="21"/>
      <c r="E524" s="23"/>
      <c r="F524" s="23"/>
      <c r="G524" s="23">
        <f>PinjamanTable[[#This Row],[Pokok (Rp) *]]+PinjamanTable[[#This Row],[Admin (Rp)]]</f>
        <v>0</v>
      </c>
      <c r="H524" s="24"/>
      <c r="I524" s="22"/>
      <c r="J524" s="21"/>
      <c r="K524" s="21"/>
    </row>
    <row r="525" spans="1:11" ht="21" customHeight="1">
      <c r="A525" s="21"/>
      <c r="B525" s="21"/>
      <c r="C525" s="20" t="str">
        <f>IF(B525="","",IF(COUNTIF('01_Anggota'!$D$5:$D$1212,B525)=0,"NAMA TIDAK DITEMUKAN",INDEX('01_Anggota'!$B$5:$B$1212,MATCH(B525,'01_Anggota'!$D$5:$D$1212,0))))</f>
        <v/>
      </c>
      <c r="D525" s="21"/>
      <c r="E525" s="23"/>
      <c r="F525" s="23"/>
      <c r="G525" s="23">
        <f>PinjamanTable[[#This Row],[Pokok (Rp) *]]+PinjamanTable[[#This Row],[Admin (Rp)]]</f>
        <v>0</v>
      </c>
      <c r="H525" s="24"/>
      <c r="I525" s="22"/>
      <c r="J525" s="21"/>
      <c r="K525" s="21"/>
    </row>
    <row r="526" spans="1:11" ht="21" customHeight="1">
      <c r="A526" s="21"/>
      <c r="B526" s="21"/>
      <c r="C526" s="20" t="str">
        <f>IF(B526="","",IF(COUNTIF('01_Anggota'!$D$5:$D$1212,B526)=0,"NAMA TIDAK DITEMUKAN",INDEX('01_Anggota'!$B$5:$B$1212,MATCH(B526,'01_Anggota'!$D$5:$D$1212,0))))</f>
        <v/>
      </c>
      <c r="D526" s="21"/>
      <c r="E526" s="23"/>
      <c r="F526" s="23"/>
      <c r="G526" s="23">
        <f>PinjamanTable[[#This Row],[Pokok (Rp) *]]+PinjamanTable[[#This Row],[Admin (Rp)]]</f>
        <v>0</v>
      </c>
      <c r="H526" s="24"/>
      <c r="I526" s="22"/>
      <c r="J526" s="21"/>
      <c r="K526" s="21"/>
    </row>
    <row r="527" spans="1:11" ht="21" customHeight="1">
      <c r="A527" s="21"/>
      <c r="B527" s="21"/>
      <c r="C527" s="20" t="str">
        <f>IF(B527="","",IF(COUNTIF('01_Anggota'!$D$5:$D$1212,B527)=0,"NAMA TIDAK DITEMUKAN",INDEX('01_Anggota'!$B$5:$B$1212,MATCH(B527,'01_Anggota'!$D$5:$D$1212,0))))</f>
        <v/>
      </c>
      <c r="D527" s="21"/>
      <c r="E527" s="23"/>
      <c r="F527" s="23"/>
      <c r="G527" s="23">
        <f>PinjamanTable[[#This Row],[Pokok (Rp) *]]+PinjamanTable[[#This Row],[Admin (Rp)]]</f>
        <v>0</v>
      </c>
      <c r="H527" s="24"/>
      <c r="I527" s="22"/>
      <c r="J527" s="21"/>
      <c r="K527" s="21"/>
    </row>
    <row r="528" spans="1:11" ht="21" customHeight="1">
      <c r="A528" s="21"/>
      <c r="B528" s="21"/>
      <c r="C528" s="20" t="str">
        <f>IF(B528="","",IF(COUNTIF('01_Anggota'!$D$5:$D$1212,B528)=0,"NAMA TIDAK DITEMUKAN",INDEX('01_Anggota'!$B$5:$B$1212,MATCH(B528,'01_Anggota'!$D$5:$D$1212,0))))</f>
        <v/>
      </c>
      <c r="D528" s="21"/>
      <c r="E528" s="23"/>
      <c r="F528" s="23"/>
      <c r="G528" s="23">
        <f>PinjamanTable[[#This Row],[Pokok (Rp) *]]+PinjamanTable[[#This Row],[Admin (Rp)]]</f>
        <v>0</v>
      </c>
      <c r="H528" s="24"/>
      <c r="I528" s="22"/>
      <c r="J528" s="21"/>
      <c r="K528" s="21"/>
    </row>
    <row r="529" spans="1:11" ht="21" customHeight="1">
      <c r="A529" s="21"/>
      <c r="B529" s="21"/>
      <c r="C529" s="20" t="str">
        <f>IF(B529="","",IF(COUNTIF('01_Anggota'!$D$5:$D$1212,B529)=0,"NAMA TIDAK DITEMUKAN",INDEX('01_Anggota'!$B$5:$B$1212,MATCH(B529,'01_Anggota'!$D$5:$D$1212,0))))</f>
        <v/>
      </c>
      <c r="D529" s="21"/>
      <c r="E529" s="23"/>
      <c r="F529" s="23"/>
      <c r="G529" s="23">
        <f>PinjamanTable[[#This Row],[Pokok (Rp) *]]+PinjamanTable[[#This Row],[Admin (Rp)]]</f>
        <v>0</v>
      </c>
      <c r="H529" s="24"/>
      <c r="I529" s="22"/>
      <c r="J529" s="21"/>
      <c r="K529" s="21"/>
    </row>
    <row r="530" spans="1:11" ht="21" customHeight="1">
      <c r="A530" s="21"/>
      <c r="B530" s="21"/>
      <c r="C530" s="20" t="str">
        <f>IF(B530="","",IF(COUNTIF('01_Anggota'!$D$5:$D$1212,B530)=0,"NAMA TIDAK DITEMUKAN",INDEX('01_Anggota'!$B$5:$B$1212,MATCH(B530,'01_Anggota'!$D$5:$D$1212,0))))</f>
        <v/>
      </c>
      <c r="D530" s="21"/>
      <c r="E530" s="23"/>
      <c r="F530" s="23"/>
      <c r="G530" s="23">
        <f>PinjamanTable[[#This Row],[Pokok (Rp) *]]+PinjamanTable[[#This Row],[Admin (Rp)]]</f>
        <v>0</v>
      </c>
      <c r="H530" s="24"/>
      <c r="I530" s="22"/>
      <c r="J530" s="21"/>
      <c r="K530" s="21"/>
    </row>
    <row r="531" spans="1:11" ht="21" customHeight="1">
      <c r="A531" s="21"/>
      <c r="B531" s="21"/>
      <c r="C531" s="20" t="str">
        <f>IF(B531="","",IF(COUNTIF('01_Anggota'!$D$5:$D$1212,B531)=0,"NAMA TIDAK DITEMUKAN",INDEX('01_Anggota'!$B$5:$B$1212,MATCH(B531,'01_Anggota'!$D$5:$D$1212,0))))</f>
        <v/>
      </c>
      <c r="D531" s="21"/>
      <c r="E531" s="23"/>
      <c r="F531" s="23"/>
      <c r="G531" s="23">
        <f>PinjamanTable[[#This Row],[Pokok (Rp) *]]+PinjamanTable[[#This Row],[Admin (Rp)]]</f>
        <v>0</v>
      </c>
      <c r="H531" s="24"/>
      <c r="I531" s="22"/>
      <c r="J531" s="21"/>
      <c r="K531" s="21"/>
    </row>
    <row r="532" spans="1:11" ht="21" customHeight="1">
      <c r="A532" s="21"/>
      <c r="B532" s="21"/>
      <c r="C532" s="20" t="str">
        <f>IF(B532="","",IF(COUNTIF('01_Anggota'!$D$5:$D$1212,B532)=0,"NAMA TIDAK DITEMUKAN",INDEX('01_Anggota'!$B$5:$B$1212,MATCH(B532,'01_Anggota'!$D$5:$D$1212,0))))</f>
        <v/>
      </c>
      <c r="D532" s="21"/>
      <c r="E532" s="23"/>
      <c r="F532" s="23"/>
      <c r="G532" s="23">
        <f>PinjamanTable[[#This Row],[Pokok (Rp) *]]+PinjamanTable[[#This Row],[Admin (Rp)]]</f>
        <v>0</v>
      </c>
      <c r="H532" s="24"/>
      <c r="I532" s="22"/>
      <c r="J532" s="21"/>
      <c r="K532" s="21"/>
    </row>
    <row r="533" spans="1:11" ht="21" customHeight="1">
      <c r="A533" s="21"/>
      <c r="B533" s="21"/>
      <c r="C533" s="20" t="str">
        <f>IF(B533="","",IF(COUNTIF('01_Anggota'!$D$5:$D$1212,B533)=0,"NAMA TIDAK DITEMUKAN",INDEX('01_Anggota'!$B$5:$B$1212,MATCH(B533,'01_Anggota'!$D$5:$D$1212,0))))</f>
        <v/>
      </c>
      <c r="D533" s="21"/>
      <c r="E533" s="23"/>
      <c r="F533" s="23"/>
      <c r="G533" s="23">
        <f>PinjamanTable[[#This Row],[Pokok (Rp) *]]+PinjamanTable[[#This Row],[Admin (Rp)]]</f>
        <v>0</v>
      </c>
      <c r="H533" s="24"/>
      <c r="I533" s="22"/>
      <c r="J533" s="21"/>
      <c r="K533" s="21"/>
    </row>
    <row r="534" spans="1:11" ht="21" customHeight="1">
      <c r="A534" s="21"/>
      <c r="B534" s="21"/>
      <c r="C534" s="20" t="str">
        <f>IF(B534="","",IF(COUNTIF('01_Anggota'!$D$5:$D$1212,B534)=0,"NAMA TIDAK DITEMUKAN",INDEX('01_Anggota'!$B$5:$B$1212,MATCH(B534,'01_Anggota'!$D$5:$D$1212,0))))</f>
        <v/>
      </c>
      <c r="D534" s="21"/>
      <c r="E534" s="23"/>
      <c r="F534" s="23"/>
      <c r="G534" s="23">
        <f>PinjamanTable[[#This Row],[Pokok (Rp) *]]+PinjamanTable[[#This Row],[Admin (Rp)]]</f>
        <v>0</v>
      </c>
      <c r="H534" s="24"/>
      <c r="I534" s="22"/>
      <c r="J534" s="21"/>
      <c r="K534" s="21"/>
    </row>
    <row r="535" spans="1:11" ht="21" customHeight="1">
      <c r="A535" s="21"/>
      <c r="B535" s="21"/>
      <c r="C535" s="20" t="str">
        <f>IF(B535="","",IF(COUNTIF('01_Anggota'!$D$5:$D$1212,B535)=0,"NAMA TIDAK DITEMUKAN",INDEX('01_Anggota'!$B$5:$B$1212,MATCH(B535,'01_Anggota'!$D$5:$D$1212,0))))</f>
        <v/>
      </c>
      <c r="D535" s="21"/>
      <c r="E535" s="23"/>
      <c r="F535" s="23"/>
      <c r="G535" s="23">
        <f>PinjamanTable[[#This Row],[Pokok (Rp) *]]+PinjamanTable[[#This Row],[Admin (Rp)]]</f>
        <v>0</v>
      </c>
      <c r="H535" s="24"/>
      <c r="I535" s="22"/>
      <c r="J535" s="21"/>
      <c r="K535" s="21"/>
    </row>
    <row r="536" spans="1:11" ht="21" customHeight="1">
      <c r="A536" s="21"/>
      <c r="B536" s="21"/>
      <c r="C536" s="20" t="str">
        <f>IF(B536="","",IF(COUNTIF('01_Anggota'!$D$5:$D$1212,B536)=0,"NAMA TIDAK DITEMUKAN",INDEX('01_Anggota'!$B$5:$B$1212,MATCH(B536,'01_Anggota'!$D$5:$D$1212,0))))</f>
        <v/>
      </c>
      <c r="D536" s="21"/>
      <c r="E536" s="23"/>
      <c r="F536" s="23"/>
      <c r="G536" s="23">
        <f>PinjamanTable[[#This Row],[Pokok (Rp) *]]+PinjamanTable[[#This Row],[Admin (Rp)]]</f>
        <v>0</v>
      </c>
      <c r="H536" s="24"/>
      <c r="I536" s="22"/>
      <c r="J536" s="21"/>
      <c r="K536" s="21"/>
    </row>
    <row r="537" spans="1:11" ht="21" customHeight="1">
      <c r="A537" s="21"/>
      <c r="B537" s="21"/>
      <c r="C537" s="20" t="str">
        <f>IF(B537="","",IF(COUNTIF('01_Anggota'!$D$5:$D$1212,B537)=0,"NAMA TIDAK DITEMUKAN",INDEX('01_Anggota'!$B$5:$B$1212,MATCH(B537,'01_Anggota'!$D$5:$D$1212,0))))</f>
        <v/>
      </c>
      <c r="D537" s="21"/>
      <c r="E537" s="23"/>
      <c r="F537" s="23"/>
      <c r="G537" s="23">
        <f>PinjamanTable[[#This Row],[Pokok (Rp) *]]+PinjamanTable[[#This Row],[Admin (Rp)]]</f>
        <v>0</v>
      </c>
      <c r="H537" s="24"/>
      <c r="I537" s="22"/>
      <c r="J537" s="21"/>
      <c r="K537" s="21"/>
    </row>
    <row r="538" spans="1:11" ht="21" customHeight="1">
      <c r="A538" s="21"/>
      <c r="B538" s="21"/>
      <c r="C538" s="20" t="str">
        <f>IF(B538="","",IF(COUNTIF('01_Anggota'!$D$5:$D$1212,B538)=0,"NAMA TIDAK DITEMUKAN",INDEX('01_Anggota'!$B$5:$B$1212,MATCH(B538,'01_Anggota'!$D$5:$D$1212,0))))</f>
        <v/>
      </c>
      <c r="D538" s="21"/>
      <c r="E538" s="23"/>
      <c r="F538" s="23"/>
      <c r="G538" s="23">
        <f>PinjamanTable[[#This Row],[Pokok (Rp) *]]+PinjamanTable[[#This Row],[Admin (Rp)]]</f>
        <v>0</v>
      </c>
      <c r="H538" s="24"/>
      <c r="I538" s="22"/>
      <c r="J538" s="21"/>
      <c r="K538" s="21"/>
    </row>
    <row r="539" spans="1:11" ht="21" customHeight="1">
      <c r="A539" s="21"/>
      <c r="B539" s="21"/>
      <c r="C539" s="20" t="str">
        <f>IF(B539="","",IF(COUNTIF('01_Anggota'!$D$5:$D$1212,B539)=0,"NAMA TIDAK DITEMUKAN",INDEX('01_Anggota'!$B$5:$B$1212,MATCH(B539,'01_Anggota'!$D$5:$D$1212,0))))</f>
        <v/>
      </c>
      <c r="D539" s="21"/>
      <c r="E539" s="23"/>
      <c r="F539" s="23"/>
      <c r="G539" s="23">
        <f>PinjamanTable[[#This Row],[Pokok (Rp) *]]+PinjamanTable[[#This Row],[Admin (Rp)]]</f>
        <v>0</v>
      </c>
      <c r="H539" s="24"/>
      <c r="I539" s="22"/>
      <c r="J539" s="21"/>
      <c r="K539" s="21"/>
    </row>
    <row r="540" spans="1:11" ht="21" customHeight="1">
      <c r="A540" s="21"/>
      <c r="B540" s="21"/>
      <c r="C540" s="20" t="str">
        <f>IF(B540="","",IF(COUNTIF('01_Anggota'!$D$5:$D$1212,B540)=0,"NAMA TIDAK DITEMUKAN",INDEX('01_Anggota'!$B$5:$B$1212,MATCH(B540,'01_Anggota'!$D$5:$D$1212,0))))</f>
        <v/>
      </c>
      <c r="D540" s="21"/>
      <c r="E540" s="23"/>
      <c r="F540" s="23"/>
      <c r="G540" s="23">
        <f>PinjamanTable[[#This Row],[Pokok (Rp) *]]+PinjamanTable[[#This Row],[Admin (Rp)]]</f>
        <v>0</v>
      </c>
      <c r="H540" s="24"/>
      <c r="I540" s="22"/>
      <c r="J540" s="21"/>
      <c r="K540" s="21"/>
    </row>
    <row r="541" spans="1:11" ht="21" customHeight="1">
      <c r="A541" s="21"/>
      <c r="B541" s="21"/>
      <c r="C541" s="20" t="str">
        <f>IF(B541="","",IF(COUNTIF('01_Anggota'!$D$5:$D$1212,B541)=0,"NAMA TIDAK DITEMUKAN",INDEX('01_Anggota'!$B$5:$B$1212,MATCH(B541,'01_Anggota'!$D$5:$D$1212,0))))</f>
        <v/>
      </c>
      <c r="D541" s="21"/>
      <c r="E541" s="23"/>
      <c r="F541" s="23"/>
      <c r="G541" s="23">
        <f>PinjamanTable[[#This Row],[Pokok (Rp) *]]+PinjamanTable[[#This Row],[Admin (Rp)]]</f>
        <v>0</v>
      </c>
      <c r="H541" s="24"/>
      <c r="I541" s="22"/>
      <c r="J541" s="21"/>
      <c r="K541" s="21"/>
    </row>
    <row r="542" spans="1:11" ht="21" customHeight="1">
      <c r="A542" s="21"/>
      <c r="B542" s="21"/>
      <c r="C542" s="20" t="str">
        <f>IF(B542="","",IF(COUNTIF('01_Anggota'!$D$5:$D$1212,B542)=0,"NAMA TIDAK DITEMUKAN",INDEX('01_Anggota'!$B$5:$B$1212,MATCH(B542,'01_Anggota'!$D$5:$D$1212,0))))</f>
        <v/>
      </c>
      <c r="D542" s="21"/>
      <c r="E542" s="23"/>
      <c r="F542" s="23"/>
      <c r="G542" s="23">
        <f>PinjamanTable[[#This Row],[Pokok (Rp) *]]+PinjamanTable[[#This Row],[Admin (Rp)]]</f>
        <v>0</v>
      </c>
      <c r="H542" s="24"/>
      <c r="I542" s="22"/>
      <c r="J542" s="21"/>
      <c r="K542" s="21"/>
    </row>
    <row r="543" spans="1:11" ht="21" customHeight="1">
      <c r="A543" s="21"/>
      <c r="B543" s="21"/>
      <c r="C543" s="20" t="str">
        <f>IF(B543="","",IF(COUNTIF('01_Anggota'!$D$5:$D$1212,B543)=0,"NAMA TIDAK DITEMUKAN",INDEX('01_Anggota'!$B$5:$B$1212,MATCH(B543,'01_Anggota'!$D$5:$D$1212,0))))</f>
        <v/>
      </c>
      <c r="D543" s="21"/>
      <c r="E543" s="23"/>
      <c r="F543" s="23"/>
      <c r="G543" s="23">
        <f>PinjamanTable[[#This Row],[Pokok (Rp) *]]+PinjamanTable[[#This Row],[Admin (Rp)]]</f>
        <v>0</v>
      </c>
      <c r="H543" s="24"/>
      <c r="I543" s="22"/>
      <c r="J543" s="21"/>
      <c r="K543" s="21"/>
    </row>
    <row r="544" spans="1:11" ht="21" customHeight="1">
      <c r="A544" s="21"/>
      <c r="B544" s="21"/>
      <c r="C544" s="20" t="str">
        <f>IF(B544="","",IF(COUNTIF('01_Anggota'!$D$5:$D$1212,B544)=0,"NAMA TIDAK DITEMUKAN",INDEX('01_Anggota'!$B$5:$B$1212,MATCH(B544,'01_Anggota'!$D$5:$D$1212,0))))</f>
        <v/>
      </c>
      <c r="D544" s="21"/>
      <c r="E544" s="23"/>
      <c r="F544" s="23"/>
      <c r="G544" s="23">
        <f>PinjamanTable[[#This Row],[Pokok (Rp) *]]+PinjamanTable[[#This Row],[Admin (Rp)]]</f>
        <v>0</v>
      </c>
      <c r="H544" s="24"/>
      <c r="I544" s="22"/>
      <c r="J544" s="21"/>
      <c r="K544" s="21"/>
    </row>
    <row r="545" spans="1:11" ht="21" customHeight="1">
      <c r="A545" s="21"/>
      <c r="B545" s="21"/>
      <c r="C545" s="20" t="str">
        <f>IF(B545="","",IF(COUNTIF('01_Anggota'!$D$5:$D$1212,B545)=0,"NAMA TIDAK DITEMUKAN",INDEX('01_Anggota'!$B$5:$B$1212,MATCH(B545,'01_Anggota'!$D$5:$D$1212,0))))</f>
        <v/>
      </c>
      <c r="D545" s="21"/>
      <c r="E545" s="23"/>
      <c r="F545" s="23"/>
      <c r="G545" s="23">
        <f>PinjamanTable[[#This Row],[Pokok (Rp) *]]+PinjamanTable[[#This Row],[Admin (Rp)]]</f>
        <v>0</v>
      </c>
      <c r="H545" s="24"/>
      <c r="I545" s="22"/>
      <c r="J545" s="21"/>
      <c r="K545" s="21"/>
    </row>
    <row r="546" spans="1:11" ht="21" customHeight="1">
      <c r="A546" s="21"/>
      <c r="B546" s="21"/>
      <c r="C546" s="20" t="str">
        <f>IF(B546="","",IF(COUNTIF('01_Anggota'!$D$5:$D$1212,B546)=0,"NAMA TIDAK DITEMUKAN",INDEX('01_Anggota'!$B$5:$B$1212,MATCH(B546,'01_Anggota'!$D$5:$D$1212,0))))</f>
        <v/>
      </c>
      <c r="D546" s="21"/>
      <c r="E546" s="23"/>
      <c r="F546" s="23"/>
      <c r="G546" s="23">
        <f>PinjamanTable[[#This Row],[Pokok (Rp) *]]+PinjamanTable[[#This Row],[Admin (Rp)]]</f>
        <v>0</v>
      </c>
      <c r="H546" s="24"/>
      <c r="I546" s="22"/>
      <c r="J546" s="21"/>
      <c r="K546" s="21"/>
    </row>
    <row r="547" spans="1:11" ht="21" customHeight="1">
      <c r="A547" s="21"/>
      <c r="B547" s="21"/>
      <c r="C547" s="20" t="str">
        <f>IF(B547="","",IF(COUNTIF('01_Anggota'!$D$5:$D$1212,B547)=0,"NAMA TIDAK DITEMUKAN",INDEX('01_Anggota'!$B$5:$B$1212,MATCH(B547,'01_Anggota'!$D$5:$D$1212,0))))</f>
        <v/>
      </c>
      <c r="D547" s="21"/>
      <c r="E547" s="23"/>
      <c r="F547" s="23"/>
      <c r="G547" s="23">
        <f>PinjamanTable[[#This Row],[Pokok (Rp) *]]+PinjamanTable[[#This Row],[Admin (Rp)]]</f>
        <v>0</v>
      </c>
      <c r="H547" s="24"/>
      <c r="I547" s="22"/>
      <c r="J547" s="21"/>
      <c r="K547" s="21"/>
    </row>
    <row r="548" spans="1:11" ht="21" customHeight="1">
      <c r="A548" s="21"/>
      <c r="B548" s="21"/>
      <c r="C548" s="20" t="str">
        <f>IF(B548="","",IF(COUNTIF('01_Anggota'!$D$5:$D$1212,B548)=0,"NAMA TIDAK DITEMUKAN",INDEX('01_Anggota'!$B$5:$B$1212,MATCH(B548,'01_Anggota'!$D$5:$D$1212,0))))</f>
        <v/>
      </c>
      <c r="D548" s="21"/>
      <c r="E548" s="23"/>
      <c r="F548" s="23"/>
      <c r="G548" s="23">
        <f>PinjamanTable[[#This Row],[Pokok (Rp) *]]+PinjamanTable[[#This Row],[Admin (Rp)]]</f>
        <v>0</v>
      </c>
      <c r="H548" s="24"/>
      <c r="I548" s="22"/>
      <c r="J548" s="21"/>
      <c r="K548" s="21"/>
    </row>
    <row r="549" spans="1:11" ht="21" customHeight="1">
      <c r="A549" s="21"/>
      <c r="B549" s="21"/>
      <c r="C549" s="20" t="str">
        <f>IF(B549="","",IF(COUNTIF('01_Anggota'!$D$5:$D$1212,B549)=0,"NAMA TIDAK DITEMUKAN",INDEX('01_Anggota'!$B$5:$B$1212,MATCH(B549,'01_Anggota'!$D$5:$D$1212,0))))</f>
        <v/>
      </c>
      <c r="D549" s="21"/>
      <c r="E549" s="23"/>
      <c r="F549" s="23"/>
      <c r="G549" s="23">
        <f>PinjamanTable[[#This Row],[Pokok (Rp) *]]+PinjamanTable[[#This Row],[Admin (Rp)]]</f>
        <v>0</v>
      </c>
      <c r="H549" s="24"/>
      <c r="I549" s="22"/>
      <c r="J549" s="21"/>
      <c r="K549" s="21"/>
    </row>
    <row r="550" spans="1:11" ht="21" customHeight="1">
      <c r="A550" s="21"/>
      <c r="B550" s="21"/>
      <c r="C550" s="20" t="str">
        <f>IF(B550="","",IF(COUNTIF('01_Anggota'!$D$5:$D$1212,B550)=0,"NAMA TIDAK DITEMUKAN",INDEX('01_Anggota'!$B$5:$B$1212,MATCH(B550,'01_Anggota'!$D$5:$D$1212,0))))</f>
        <v/>
      </c>
      <c r="D550" s="21"/>
      <c r="E550" s="23"/>
      <c r="F550" s="23"/>
      <c r="G550" s="23">
        <f>PinjamanTable[[#This Row],[Pokok (Rp) *]]+PinjamanTable[[#This Row],[Admin (Rp)]]</f>
        <v>0</v>
      </c>
      <c r="H550" s="24"/>
      <c r="I550" s="22"/>
      <c r="J550" s="21"/>
      <c r="K550" s="21"/>
    </row>
    <row r="551" spans="1:11" ht="21" customHeight="1">
      <c r="A551" s="21"/>
      <c r="B551" s="21"/>
      <c r="C551" s="20" t="str">
        <f>IF(B551="","",IF(COUNTIF('01_Anggota'!$D$5:$D$1212,B551)=0,"NAMA TIDAK DITEMUKAN",INDEX('01_Anggota'!$B$5:$B$1212,MATCH(B551,'01_Anggota'!$D$5:$D$1212,0))))</f>
        <v/>
      </c>
      <c r="D551" s="21"/>
      <c r="E551" s="23"/>
      <c r="F551" s="23"/>
      <c r="G551" s="23">
        <f>PinjamanTable[[#This Row],[Pokok (Rp) *]]+PinjamanTable[[#This Row],[Admin (Rp)]]</f>
        <v>0</v>
      </c>
      <c r="H551" s="24"/>
      <c r="I551" s="22"/>
      <c r="J551" s="21"/>
      <c r="K551" s="21"/>
    </row>
    <row r="552" spans="1:11" ht="21" customHeight="1">
      <c r="A552" s="21"/>
      <c r="B552" s="21"/>
      <c r="C552" s="20" t="str">
        <f>IF(B552="","",IF(COUNTIF('01_Anggota'!$D$5:$D$1212,B552)=0,"NAMA TIDAK DITEMUKAN",INDEX('01_Anggota'!$B$5:$B$1212,MATCH(B552,'01_Anggota'!$D$5:$D$1212,0))))</f>
        <v/>
      </c>
      <c r="D552" s="21"/>
      <c r="E552" s="23"/>
      <c r="F552" s="23"/>
      <c r="G552" s="23">
        <f>PinjamanTable[[#This Row],[Pokok (Rp) *]]+PinjamanTable[[#This Row],[Admin (Rp)]]</f>
        <v>0</v>
      </c>
      <c r="H552" s="24"/>
      <c r="I552" s="22"/>
      <c r="J552" s="21"/>
      <c r="K552" s="21"/>
    </row>
    <row r="553" spans="1:11" ht="21" customHeight="1">
      <c r="A553" s="21"/>
      <c r="B553" s="21"/>
      <c r="C553" s="20" t="str">
        <f>IF(B553="","",IF(COUNTIF('01_Anggota'!$D$5:$D$1212,B553)=0,"NAMA TIDAK DITEMUKAN",INDEX('01_Anggota'!$B$5:$B$1212,MATCH(B553,'01_Anggota'!$D$5:$D$1212,0))))</f>
        <v/>
      </c>
      <c r="D553" s="21"/>
      <c r="E553" s="23"/>
      <c r="F553" s="23"/>
      <c r="G553" s="23">
        <f>PinjamanTable[[#This Row],[Pokok (Rp) *]]+PinjamanTable[[#This Row],[Admin (Rp)]]</f>
        <v>0</v>
      </c>
      <c r="H553" s="24"/>
      <c r="I553" s="22"/>
      <c r="J553" s="21"/>
      <c r="K553" s="21"/>
    </row>
    <row r="554" spans="1:11" ht="21" customHeight="1">
      <c r="A554" s="21"/>
      <c r="B554" s="21"/>
      <c r="C554" s="20" t="str">
        <f>IF(B554="","",IF(COUNTIF('01_Anggota'!$D$5:$D$1212,B554)=0,"NAMA TIDAK DITEMUKAN",INDEX('01_Anggota'!$B$5:$B$1212,MATCH(B554,'01_Anggota'!$D$5:$D$1212,0))))</f>
        <v/>
      </c>
      <c r="D554" s="21"/>
      <c r="E554" s="23"/>
      <c r="F554" s="23"/>
      <c r="G554" s="23">
        <f>PinjamanTable[[#This Row],[Pokok (Rp) *]]+PinjamanTable[[#This Row],[Admin (Rp)]]</f>
        <v>0</v>
      </c>
      <c r="H554" s="24"/>
      <c r="I554" s="22"/>
      <c r="J554" s="21"/>
      <c r="K554" s="21"/>
    </row>
    <row r="555" spans="1:11" ht="21" customHeight="1">
      <c r="A555" s="21"/>
      <c r="B555" s="21"/>
      <c r="C555" s="20" t="str">
        <f>IF(B555="","",IF(COUNTIF('01_Anggota'!$D$5:$D$1212,B555)=0,"NAMA TIDAK DITEMUKAN",INDEX('01_Anggota'!$B$5:$B$1212,MATCH(B555,'01_Anggota'!$D$5:$D$1212,0))))</f>
        <v/>
      </c>
      <c r="D555" s="21"/>
      <c r="E555" s="23"/>
      <c r="F555" s="23"/>
      <c r="G555" s="23">
        <f>PinjamanTable[[#This Row],[Pokok (Rp) *]]+PinjamanTable[[#This Row],[Admin (Rp)]]</f>
        <v>0</v>
      </c>
      <c r="H555" s="24"/>
      <c r="I555" s="22"/>
      <c r="J555" s="21"/>
      <c r="K555" s="21"/>
    </row>
    <row r="556" spans="1:11" ht="21" customHeight="1">
      <c r="A556" s="21"/>
      <c r="B556" s="21"/>
      <c r="C556" s="20" t="str">
        <f>IF(B556="","",IF(COUNTIF('01_Anggota'!$D$5:$D$1212,B556)=0,"NAMA TIDAK DITEMUKAN",INDEX('01_Anggota'!$B$5:$B$1212,MATCH(B556,'01_Anggota'!$D$5:$D$1212,0))))</f>
        <v/>
      </c>
      <c r="D556" s="21"/>
      <c r="E556" s="23"/>
      <c r="F556" s="23"/>
      <c r="G556" s="23">
        <f>PinjamanTable[[#This Row],[Pokok (Rp) *]]+PinjamanTable[[#This Row],[Admin (Rp)]]</f>
        <v>0</v>
      </c>
      <c r="H556" s="24"/>
      <c r="I556" s="22"/>
      <c r="J556" s="21"/>
      <c r="K556" s="21"/>
    </row>
    <row r="557" spans="1:11" ht="21" customHeight="1">
      <c r="A557" s="21"/>
      <c r="B557" s="21"/>
      <c r="C557" s="20" t="str">
        <f>IF(B557="","",IF(COUNTIF('01_Anggota'!$D$5:$D$1212,B557)=0,"NAMA TIDAK DITEMUKAN",INDEX('01_Anggota'!$B$5:$B$1212,MATCH(B557,'01_Anggota'!$D$5:$D$1212,0))))</f>
        <v/>
      </c>
      <c r="D557" s="21"/>
      <c r="E557" s="23"/>
      <c r="F557" s="23"/>
      <c r="G557" s="23">
        <f>PinjamanTable[[#This Row],[Pokok (Rp) *]]+PinjamanTable[[#This Row],[Admin (Rp)]]</f>
        <v>0</v>
      </c>
      <c r="H557" s="24"/>
      <c r="I557" s="22"/>
      <c r="J557" s="21"/>
      <c r="K557" s="21"/>
    </row>
    <row r="558" spans="1:11" ht="21" customHeight="1">
      <c r="A558" s="21"/>
      <c r="B558" s="21"/>
      <c r="C558" s="20" t="str">
        <f>IF(B558="","",IF(COUNTIF('01_Anggota'!$D$5:$D$1212,B558)=0,"NAMA TIDAK DITEMUKAN",INDEX('01_Anggota'!$B$5:$B$1212,MATCH(B558,'01_Anggota'!$D$5:$D$1212,0))))</f>
        <v/>
      </c>
      <c r="D558" s="21"/>
      <c r="E558" s="23"/>
      <c r="F558" s="23"/>
      <c r="G558" s="23">
        <f>PinjamanTable[[#This Row],[Pokok (Rp) *]]+PinjamanTable[[#This Row],[Admin (Rp)]]</f>
        <v>0</v>
      </c>
      <c r="H558" s="24"/>
      <c r="I558" s="22"/>
      <c r="J558" s="21"/>
      <c r="K558" s="21"/>
    </row>
    <row r="559" spans="1:11" ht="21" customHeight="1">
      <c r="A559" s="21"/>
      <c r="B559" s="21"/>
      <c r="C559" s="20" t="str">
        <f>IF(B559="","",IF(COUNTIF('01_Anggota'!$D$5:$D$1212,B559)=0,"NAMA TIDAK DITEMUKAN",INDEX('01_Anggota'!$B$5:$B$1212,MATCH(B559,'01_Anggota'!$D$5:$D$1212,0))))</f>
        <v/>
      </c>
      <c r="D559" s="21"/>
      <c r="E559" s="23"/>
      <c r="F559" s="23"/>
      <c r="G559" s="23">
        <f>PinjamanTable[[#This Row],[Pokok (Rp) *]]+PinjamanTable[[#This Row],[Admin (Rp)]]</f>
        <v>0</v>
      </c>
      <c r="H559" s="24"/>
      <c r="I559" s="22"/>
      <c r="J559" s="21"/>
      <c r="K559" s="21"/>
    </row>
    <row r="560" spans="1:11" ht="21" customHeight="1">
      <c r="A560" s="21"/>
      <c r="B560" s="21"/>
      <c r="C560" s="20" t="str">
        <f>IF(B560="","",IF(COUNTIF('01_Anggota'!$D$5:$D$1212,B560)=0,"NAMA TIDAK DITEMUKAN",INDEX('01_Anggota'!$B$5:$B$1212,MATCH(B560,'01_Anggota'!$D$5:$D$1212,0))))</f>
        <v/>
      </c>
      <c r="D560" s="21"/>
      <c r="E560" s="23"/>
      <c r="F560" s="23"/>
      <c r="G560" s="23">
        <f>PinjamanTable[[#This Row],[Pokok (Rp) *]]+PinjamanTable[[#This Row],[Admin (Rp)]]</f>
        <v>0</v>
      </c>
      <c r="H560" s="24"/>
      <c r="I560" s="22"/>
      <c r="J560" s="21"/>
      <c r="K560" s="21"/>
    </row>
    <row r="561" spans="1:11" ht="21" customHeight="1">
      <c r="A561" s="21"/>
      <c r="B561" s="21"/>
      <c r="C561" s="20" t="str">
        <f>IF(B561="","",IF(COUNTIF('01_Anggota'!$D$5:$D$1212,B561)=0,"NAMA TIDAK DITEMUKAN",INDEX('01_Anggota'!$B$5:$B$1212,MATCH(B561,'01_Anggota'!$D$5:$D$1212,0))))</f>
        <v/>
      </c>
      <c r="D561" s="21"/>
      <c r="E561" s="23"/>
      <c r="F561" s="23"/>
      <c r="G561" s="23">
        <f>PinjamanTable[[#This Row],[Pokok (Rp) *]]+PinjamanTable[[#This Row],[Admin (Rp)]]</f>
        <v>0</v>
      </c>
      <c r="H561" s="24"/>
      <c r="I561" s="22"/>
      <c r="J561" s="21"/>
      <c r="K561" s="21"/>
    </row>
    <row r="562" spans="1:11" ht="21" customHeight="1">
      <c r="A562" s="21"/>
      <c r="B562" s="21"/>
      <c r="C562" s="20" t="str">
        <f>IF(B562="","",IF(COUNTIF('01_Anggota'!$D$5:$D$1212,B562)=0,"NAMA TIDAK DITEMUKAN",INDEX('01_Anggota'!$B$5:$B$1212,MATCH(B562,'01_Anggota'!$D$5:$D$1212,0))))</f>
        <v/>
      </c>
      <c r="D562" s="21"/>
      <c r="E562" s="23"/>
      <c r="F562" s="23"/>
      <c r="G562" s="23">
        <f>PinjamanTable[[#This Row],[Pokok (Rp) *]]+PinjamanTable[[#This Row],[Admin (Rp)]]</f>
        <v>0</v>
      </c>
      <c r="H562" s="24"/>
      <c r="I562" s="22"/>
      <c r="J562" s="21"/>
      <c r="K562" s="21"/>
    </row>
    <row r="563" spans="1:11" ht="21" customHeight="1">
      <c r="A563" s="21"/>
      <c r="B563" s="21"/>
      <c r="C563" s="20" t="str">
        <f>IF(B563="","",IF(COUNTIF('01_Anggota'!$D$5:$D$1212,B563)=0,"NAMA TIDAK DITEMUKAN",INDEX('01_Anggota'!$B$5:$B$1212,MATCH(B563,'01_Anggota'!$D$5:$D$1212,0))))</f>
        <v/>
      </c>
      <c r="D563" s="21"/>
      <c r="E563" s="23"/>
      <c r="F563" s="23"/>
      <c r="G563" s="23">
        <f>PinjamanTable[[#This Row],[Pokok (Rp) *]]+PinjamanTable[[#This Row],[Admin (Rp)]]</f>
        <v>0</v>
      </c>
      <c r="H563" s="24"/>
      <c r="I563" s="22"/>
      <c r="J563" s="21"/>
      <c r="K563" s="21"/>
    </row>
    <row r="564" spans="1:11" ht="21" customHeight="1">
      <c r="A564" s="21"/>
      <c r="B564" s="21"/>
      <c r="C564" s="20" t="str">
        <f>IF(B564="","",IF(COUNTIF('01_Anggota'!$D$5:$D$1212,B564)=0,"NAMA TIDAK DITEMUKAN",INDEX('01_Anggota'!$B$5:$B$1212,MATCH(B564,'01_Anggota'!$D$5:$D$1212,0))))</f>
        <v/>
      </c>
      <c r="D564" s="21"/>
      <c r="E564" s="23"/>
      <c r="F564" s="23"/>
      <c r="G564" s="23">
        <f>PinjamanTable[[#This Row],[Pokok (Rp) *]]+PinjamanTable[[#This Row],[Admin (Rp)]]</f>
        <v>0</v>
      </c>
      <c r="H564" s="24"/>
      <c r="I564" s="22"/>
      <c r="J564" s="21"/>
      <c r="K564" s="21"/>
    </row>
    <row r="565" spans="1:11" ht="21" customHeight="1">
      <c r="A565" s="21"/>
      <c r="B565" s="21"/>
      <c r="C565" s="20" t="str">
        <f>IF(B565="","",IF(COUNTIF('01_Anggota'!$D$5:$D$1212,B565)=0,"NAMA TIDAK DITEMUKAN",INDEX('01_Anggota'!$B$5:$B$1212,MATCH(B565,'01_Anggota'!$D$5:$D$1212,0))))</f>
        <v/>
      </c>
      <c r="D565" s="21"/>
      <c r="E565" s="23"/>
      <c r="F565" s="23"/>
      <c r="G565" s="23">
        <f>PinjamanTable[[#This Row],[Pokok (Rp) *]]+PinjamanTable[[#This Row],[Admin (Rp)]]</f>
        <v>0</v>
      </c>
      <c r="H565" s="24"/>
      <c r="I565" s="22"/>
      <c r="J565" s="21"/>
      <c r="K565" s="21"/>
    </row>
    <row r="566" spans="1:11" ht="21" customHeight="1">
      <c r="A566" s="21"/>
      <c r="B566" s="21"/>
      <c r="C566" s="20" t="str">
        <f>IF(B566="","",IF(COUNTIF('01_Anggota'!$D$5:$D$1212,B566)=0,"NAMA TIDAK DITEMUKAN",INDEX('01_Anggota'!$B$5:$B$1212,MATCH(B566,'01_Anggota'!$D$5:$D$1212,0))))</f>
        <v/>
      </c>
      <c r="D566" s="21"/>
      <c r="E566" s="23"/>
      <c r="F566" s="23"/>
      <c r="G566" s="23">
        <f>PinjamanTable[[#This Row],[Pokok (Rp) *]]+PinjamanTable[[#This Row],[Admin (Rp)]]</f>
        <v>0</v>
      </c>
      <c r="H566" s="24"/>
      <c r="I566" s="22"/>
      <c r="J566" s="21"/>
      <c r="K566" s="21"/>
    </row>
    <row r="567" spans="1:11" ht="21" customHeight="1">
      <c r="A567" s="21"/>
      <c r="B567" s="21"/>
      <c r="C567" s="20" t="str">
        <f>IF(B567="","",IF(COUNTIF('01_Anggota'!$D$5:$D$1212,B567)=0,"NAMA TIDAK DITEMUKAN",INDEX('01_Anggota'!$B$5:$B$1212,MATCH(B567,'01_Anggota'!$D$5:$D$1212,0))))</f>
        <v/>
      </c>
      <c r="D567" s="21"/>
      <c r="E567" s="23"/>
      <c r="F567" s="23"/>
      <c r="G567" s="23">
        <f>PinjamanTable[[#This Row],[Pokok (Rp) *]]+PinjamanTable[[#This Row],[Admin (Rp)]]</f>
        <v>0</v>
      </c>
      <c r="H567" s="24"/>
      <c r="I567" s="22"/>
      <c r="J567" s="21"/>
      <c r="K567" s="21"/>
    </row>
    <row r="568" spans="1:11" ht="21" customHeight="1">
      <c r="A568" s="21"/>
      <c r="B568" s="21"/>
      <c r="C568" s="20" t="str">
        <f>IF(B568="","",IF(COUNTIF('01_Anggota'!$D$5:$D$1212,B568)=0,"NAMA TIDAK DITEMUKAN",INDEX('01_Anggota'!$B$5:$B$1212,MATCH(B568,'01_Anggota'!$D$5:$D$1212,0))))</f>
        <v/>
      </c>
      <c r="D568" s="21"/>
      <c r="E568" s="23"/>
      <c r="F568" s="23"/>
      <c r="G568" s="23">
        <f>PinjamanTable[[#This Row],[Pokok (Rp) *]]+PinjamanTable[[#This Row],[Admin (Rp)]]</f>
        <v>0</v>
      </c>
      <c r="H568" s="24"/>
      <c r="I568" s="22"/>
      <c r="J568" s="21"/>
      <c r="K568" s="21"/>
    </row>
    <row r="569" spans="1:11" ht="21" customHeight="1">
      <c r="A569" s="21"/>
      <c r="B569" s="21"/>
      <c r="C569" s="20" t="str">
        <f>IF(B569="","",IF(COUNTIF('01_Anggota'!$D$5:$D$1212,B569)=0,"NAMA TIDAK DITEMUKAN",INDEX('01_Anggota'!$B$5:$B$1212,MATCH(B569,'01_Anggota'!$D$5:$D$1212,0))))</f>
        <v/>
      </c>
      <c r="D569" s="21"/>
      <c r="E569" s="23"/>
      <c r="F569" s="23"/>
      <c r="G569" s="23">
        <f>PinjamanTable[[#This Row],[Pokok (Rp) *]]+PinjamanTable[[#This Row],[Admin (Rp)]]</f>
        <v>0</v>
      </c>
      <c r="H569" s="24"/>
      <c r="I569" s="22"/>
      <c r="J569" s="21"/>
      <c r="K569" s="21"/>
    </row>
    <row r="570" spans="1:11" ht="21" customHeight="1">
      <c r="A570" s="21"/>
      <c r="B570" s="21"/>
      <c r="C570" s="20" t="str">
        <f>IF(B570="","",IF(COUNTIF('01_Anggota'!$D$5:$D$1212,B570)=0,"NAMA TIDAK DITEMUKAN",INDEX('01_Anggota'!$B$5:$B$1212,MATCH(B570,'01_Anggota'!$D$5:$D$1212,0))))</f>
        <v/>
      </c>
      <c r="D570" s="21"/>
      <c r="E570" s="23"/>
      <c r="F570" s="23"/>
      <c r="G570" s="23">
        <f>PinjamanTable[[#This Row],[Pokok (Rp) *]]+PinjamanTable[[#This Row],[Admin (Rp)]]</f>
        <v>0</v>
      </c>
      <c r="H570" s="24"/>
      <c r="I570" s="22"/>
      <c r="J570" s="21"/>
      <c r="K570" s="21"/>
    </row>
    <row r="571" spans="1:11" ht="21" customHeight="1">
      <c r="A571" s="21"/>
      <c r="B571" s="21"/>
      <c r="C571" s="20" t="str">
        <f>IF(B571="","",IF(COUNTIF('01_Anggota'!$D$5:$D$1212,B571)=0,"NAMA TIDAK DITEMUKAN",INDEX('01_Anggota'!$B$5:$B$1212,MATCH(B571,'01_Anggota'!$D$5:$D$1212,0))))</f>
        <v/>
      </c>
      <c r="D571" s="21"/>
      <c r="E571" s="23"/>
      <c r="F571" s="23"/>
      <c r="G571" s="23">
        <f>PinjamanTable[[#This Row],[Pokok (Rp) *]]+PinjamanTable[[#This Row],[Admin (Rp)]]</f>
        <v>0</v>
      </c>
      <c r="H571" s="24"/>
      <c r="I571" s="22"/>
      <c r="J571" s="21"/>
      <c r="K571" s="21"/>
    </row>
    <row r="572" spans="1:11" ht="21" customHeight="1">
      <c r="A572" s="21"/>
      <c r="B572" s="21"/>
      <c r="C572" s="20" t="str">
        <f>IF(B572="","",IF(COUNTIF('01_Anggota'!$D$5:$D$1212,B572)=0,"NAMA TIDAK DITEMUKAN",INDEX('01_Anggota'!$B$5:$B$1212,MATCH(B572,'01_Anggota'!$D$5:$D$1212,0))))</f>
        <v/>
      </c>
      <c r="D572" s="21"/>
      <c r="E572" s="23"/>
      <c r="F572" s="23"/>
      <c r="G572" s="23">
        <f>PinjamanTable[[#This Row],[Pokok (Rp) *]]+PinjamanTable[[#This Row],[Admin (Rp)]]</f>
        <v>0</v>
      </c>
      <c r="H572" s="24"/>
      <c r="I572" s="22"/>
      <c r="J572" s="21"/>
      <c r="K572" s="21"/>
    </row>
    <row r="573" spans="1:11" ht="21" customHeight="1">
      <c r="A573" s="21"/>
      <c r="B573" s="21"/>
      <c r="C573" s="20" t="str">
        <f>IF(B573="","",IF(COUNTIF('01_Anggota'!$D$5:$D$1212,B573)=0,"NAMA TIDAK DITEMUKAN",INDEX('01_Anggota'!$B$5:$B$1212,MATCH(B573,'01_Anggota'!$D$5:$D$1212,0))))</f>
        <v/>
      </c>
      <c r="D573" s="21"/>
      <c r="E573" s="23"/>
      <c r="F573" s="23"/>
      <c r="G573" s="23">
        <f>PinjamanTable[[#This Row],[Pokok (Rp) *]]+PinjamanTable[[#This Row],[Admin (Rp)]]</f>
        <v>0</v>
      </c>
      <c r="H573" s="24"/>
      <c r="I573" s="22"/>
      <c r="J573" s="21"/>
      <c r="K573" s="21"/>
    </row>
    <row r="574" spans="1:11" ht="21" customHeight="1">
      <c r="A574" s="21"/>
      <c r="B574" s="21"/>
      <c r="C574" s="20" t="str">
        <f>IF(B574="","",IF(COUNTIF('01_Anggota'!$D$5:$D$1212,B574)=0,"NAMA TIDAK DITEMUKAN",INDEX('01_Anggota'!$B$5:$B$1212,MATCH(B574,'01_Anggota'!$D$5:$D$1212,0))))</f>
        <v/>
      </c>
      <c r="D574" s="21"/>
      <c r="E574" s="23"/>
      <c r="F574" s="23"/>
      <c r="G574" s="23">
        <f>PinjamanTable[[#This Row],[Pokok (Rp) *]]+PinjamanTable[[#This Row],[Admin (Rp)]]</f>
        <v>0</v>
      </c>
      <c r="H574" s="24"/>
      <c r="I574" s="22"/>
      <c r="J574" s="21"/>
      <c r="K574" s="21"/>
    </row>
    <row r="575" spans="1:11" ht="21" customHeight="1">
      <c r="A575" s="21"/>
      <c r="B575" s="21"/>
      <c r="C575" s="20" t="str">
        <f>IF(B575="","",IF(COUNTIF('01_Anggota'!$D$5:$D$1212,B575)=0,"NAMA TIDAK DITEMUKAN",INDEX('01_Anggota'!$B$5:$B$1212,MATCH(B575,'01_Anggota'!$D$5:$D$1212,0))))</f>
        <v/>
      </c>
      <c r="D575" s="21"/>
      <c r="E575" s="23"/>
      <c r="F575" s="23"/>
      <c r="G575" s="23">
        <f>PinjamanTable[[#This Row],[Pokok (Rp) *]]+PinjamanTable[[#This Row],[Admin (Rp)]]</f>
        <v>0</v>
      </c>
      <c r="H575" s="24"/>
      <c r="I575" s="22"/>
      <c r="J575" s="21"/>
      <c r="K575" s="21"/>
    </row>
    <row r="576" spans="1:11" ht="21" customHeight="1">
      <c r="A576" s="21"/>
      <c r="B576" s="21"/>
      <c r="C576" s="20" t="str">
        <f>IF(B576="","",IF(COUNTIF('01_Anggota'!$D$5:$D$1212,B576)=0,"NAMA TIDAK DITEMUKAN",INDEX('01_Anggota'!$B$5:$B$1212,MATCH(B576,'01_Anggota'!$D$5:$D$1212,0))))</f>
        <v/>
      </c>
      <c r="D576" s="21"/>
      <c r="E576" s="23"/>
      <c r="F576" s="23"/>
      <c r="G576" s="23">
        <f>PinjamanTable[[#This Row],[Pokok (Rp) *]]+PinjamanTable[[#This Row],[Admin (Rp)]]</f>
        <v>0</v>
      </c>
      <c r="H576" s="24"/>
      <c r="I576" s="22"/>
      <c r="J576" s="21"/>
      <c r="K576" s="21"/>
    </row>
    <row r="577" spans="1:11" ht="21" customHeight="1">
      <c r="A577" s="21"/>
      <c r="B577" s="21"/>
      <c r="C577" s="20" t="str">
        <f>IF(B577="","",IF(COUNTIF('01_Anggota'!$D$5:$D$1212,B577)=0,"NAMA TIDAK DITEMUKAN",INDEX('01_Anggota'!$B$5:$B$1212,MATCH(B577,'01_Anggota'!$D$5:$D$1212,0))))</f>
        <v/>
      </c>
      <c r="D577" s="21"/>
      <c r="E577" s="23"/>
      <c r="F577" s="23"/>
      <c r="G577" s="23">
        <f>PinjamanTable[[#This Row],[Pokok (Rp) *]]+PinjamanTable[[#This Row],[Admin (Rp)]]</f>
        <v>0</v>
      </c>
      <c r="H577" s="24"/>
      <c r="I577" s="22"/>
      <c r="J577" s="21"/>
      <c r="K577" s="21"/>
    </row>
    <row r="578" spans="1:11" ht="21" customHeight="1">
      <c r="A578" s="21"/>
      <c r="B578" s="21"/>
      <c r="C578" s="20" t="str">
        <f>IF(B578="","",IF(COUNTIF('01_Anggota'!$D$5:$D$1212,B578)=0,"NAMA TIDAK DITEMUKAN",INDEX('01_Anggota'!$B$5:$B$1212,MATCH(B578,'01_Anggota'!$D$5:$D$1212,0))))</f>
        <v/>
      </c>
      <c r="D578" s="21"/>
      <c r="E578" s="23"/>
      <c r="F578" s="23"/>
      <c r="G578" s="23">
        <f>PinjamanTable[[#This Row],[Pokok (Rp) *]]+PinjamanTable[[#This Row],[Admin (Rp)]]</f>
        <v>0</v>
      </c>
      <c r="H578" s="24"/>
      <c r="I578" s="22"/>
      <c r="J578" s="21"/>
      <c r="K578" s="21"/>
    </row>
    <row r="579" spans="1:11" ht="21" customHeight="1">
      <c r="A579" s="21"/>
      <c r="B579" s="21"/>
      <c r="C579" s="20" t="str">
        <f>IF(B579="","",IF(COUNTIF('01_Anggota'!$D$5:$D$1212,B579)=0,"NAMA TIDAK DITEMUKAN",INDEX('01_Anggota'!$B$5:$B$1212,MATCH(B579,'01_Anggota'!$D$5:$D$1212,0))))</f>
        <v/>
      </c>
      <c r="D579" s="21"/>
      <c r="E579" s="23"/>
      <c r="F579" s="23"/>
      <c r="G579" s="23">
        <f>PinjamanTable[[#This Row],[Pokok (Rp) *]]+PinjamanTable[[#This Row],[Admin (Rp)]]</f>
        <v>0</v>
      </c>
      <c r="H579" s="24"/>
      <c r="I579" s="22"/>
      <c r="J579" s="21"/>
      <c r="K579" s="21"/>
    </row>
    <row r="580" spans="1:11" ht="21" customHeight="1">
      <c r="A580" s="21"/>
      <c r="B580" s="21"/>
      <c r="C580" s="20" t="str">
        <f>IF(B580="","",IF(COUNTIF('01_Anggota'!$D$5:$D$1212,B580)=0,"NAMA TIDAK DITEMUKAN",INDEX('01_Anggota'!$B$5:$B$1212,MATCH(B580,'01_Anggota'!$D$5:$D$1212,0))))</f>
        <v/>
      </c>
      <c r="D580" s="21"/>
      <c r="E580" s="23"/>
      <c r="F580" s="23"/>
      <c r="G580" s="23">
        <f>PinjamanTable[[#This Row],[Pokok (Rp) *]]+PinjamanTable[[#This Row],[Admin (Rp)]]</f>
        <v>0</v>
      </c>
      <c r="H580" s="24"/>
      <c r="I580" s="22"/>
      <c r="J580" s="21"/>
      <c r="K580" s="21"/>
    </row>
    <row r="581" spans="1:11" ht="21" customHeight="1">
      <c r="A581" s="21"/>
      <c r="B581" s="21"/>
      <c r="C581" s="20" t="str">
        <f>IF(B581="","",IF(COUNTIF('01_Anggota'!$D$5:$D$1212,B581)=0,"NAMA TIDAK DITEMUKAN",INDEX('01_Anggota'!$B$5:$B$1212,MATCH(B581,'01_Anggota'!$D$5:$D$1212,0))))</f>
        <v/>
      </c>
      <c r="D581" s="21"/>
      <c r="E581" s="23"/>
      <c r="F581" s="23"/>
      <c r="G581" s="23">
        <f>PinjamanTable[[#This Row],[Pokok (Rp) *]]+PinjamanTable[[#This Row],[Admin (Rp)]]</f>
        <v>0</v>
      </c>
      <c r="H581" s="24"/>
      <c r="I581" s="22"/>
      <c r="J581" s="21"/>
      <c r="K581" s="21"/>
    </row>
    <row r="582" spans="1:11" ht="21" customHeight="1">
      <c r="A582" s="21"/>
      <c r="B582" s="21"/>
      <c r="C582" s="20" t="str">
        <f>IF(B582="","",IF(COUNTIF('01_Anggota'!$D$5:$D$1212,B582)=0,"NAMA TIDAK DITEMUKAN",INDEX('01_Anggota'!$B$5:$B$1212,MATCH(B582,'01_Anggota'!$D$5:$D$1212,0))))</f>
        <v/>
      </c>
      <c r="D582" s="21"/>
      <c r="E582" s="23"/>
      <c r="F582" s="23"/>
      <c r="G582" s="23">
        <f>PinjamanTable[[#This Row],[Pokok (Rp) *]]+PinjamanTable[[#This Row],[Admin (Rp)]]</f>
        <v>0</v>
      </c>
      <c r="H582" s="24"/>
      <c r="I582" s="22"/>
      <c r="J582" s="21"/>
      <c r="K582" s="21"/>
    </row>
    <row r="583" spans="1:11" ht="21" customHeight="1">
      <c r="A583" s="21"/>
      <c r="B583" s="21"/>
      <c r="C583" s="20" t="str">
        <f>IF(B583="","",IF(COUNTIF('01_Anggota'!$D$5:$D$1212,B583)=0,"NAMA TIDAK DITEMUKAN",INDEX('01_Anggota'!$B$5:$B$1212,MATCH(B583,'01_Anggota'!$D$5:$D$1212,0))))</f>
        <v/>
      </c>
      <c r="D583" s="21"/>
      <c r="E583" s="23"/>
      <c r="F583" s="23"/>
      <c r="G583" s="23">
        <f>PinjamanTable[[#This Row],[Pokok (Rp) *]]+PinjamanTable[[#This Row],[Admin (Rp)]]</f>
        <v>0</v>
      </c>
      <c r="H583" s="24"/>
      <c r="I583" s="22"/>
      <c r="J583" s="21"/>
      <c r="K583" s="21"/>
    </row>
    <row r="584" spans="1:11" ht="21" customHeight="1">
      <c r="A584" s="21"/>
      <c r="B584" s="21"/>
      <c r="C584" s="20" t="str">
        <f>IF(B584="","",IF(COUNTIF('01_Anggota'!$D$5:$D$1212,B584)=0,"NAMA TIDAK DITEMUKAN",INDEX('01_Anggota'!$B$5:$B$1212,MATCH(B584,'01_Anggota'!$D$5:$D$1212,0))))</f>
        <v/>
      </c>
      <c r="D584" s="21"/>
      <c r="E584" s="23"/>
      <c r="F584" s="23"/>
      <c r="G584" s="23">
        <f>PinjamanTable[[#This Row],[Pokok (Rp) *]]+PinjamanTable[[#This Row],[Admin (Rp)]]</f>
        <v>0</v>
      </c>
      <c r="H584" s="24"/>
      <c r="I584" s="22"/>
      <c r="J584" s="21"/>
      <c r="K584" s="21"/>
    </row>
    <row r="585" spans="1:11" ht="21" customHeight="1">
      <c r="A585" s="21"/>
      <c r="B585" s="21"/>
      <c r="C585" s="20" t="str">
        <f>IF(B585="","",IF(COUNTIF('01_Anggota'!$D$5:$D$1212,B585)=0,"NAMA TIDAK DITEMUKAN",INDEX('01_Anggota'!$B$5:$B$1212,MATCH(B585,'01_Anggota'!$D$5:$D$1212,0))))</f>
        <v/>
      </c>
      <c r="D585" s="21"/>
      <c r="E585" s="23"/>
      <c r="F585" s="23"/>
      <c r="G585" s="23">
        <f>PinjamanTable[[#This Row],[Pokok (Rp) *]]+PinjamanTable[[#This Row],[Admin (Rp)]]</f>
        <v>0</v>
      </c>
      <c r="H585" s="24"/>
      <c r="I585" s="22"/>
      <c r="J585" s="21"/>
      <c r="K585" s="21"/>
    </row>
    <row r="586" spans="1:11" ht="21" customHeight="1">
      <c r="A586" s="21"/>
      <c r="B586" s="21"/>
      <c r="C586" s="20" t="str">
        <f>IF(B586="","",IF(COUNTIF('01_Anggota'!$D$5:$D$1212,B586)=0,"NAMA TIDAK DITEMUKAN",INDEX('01_Anggota'!$B$5:$B$1212,MATCH(B586,'01_Anggota'!$D$5:$D$1212,0))))</f>
        <v/>
      </c>
      <c r="D586" s="21"/>
      <c r="E586" s="23"/>
      <c r="F586" s="23"/>
      <c r="G586" s="23">
        <f>PinjamanTable[[#This Row],[Pokok (Rp) *]]+PinjamanTable[[#This Row],[Admin (Rp)]]</f>
        <v>0</v>
      </c>
      <c r="H586" s="24"/>
      <c r="I586" s="22"/>
      <c r="J586" s="21"/>
      <c r="K586" s="21"/>
    </row>
    <row r="587" spans="1:11" ht="21" customHeight="1">
      <c r="A587" s="21"/>
      <c r="B587" s="21"/>
      <c r="C587" s="20" t="str">
        <f>IF(B587="","",IF(COUNTIF('01_Anggota'!$D$5:$D$1212,B587)=0,"NAMA TIDAK DITEMUKAN",INDEX('01_Anggota'!$B$5:$B$1212,MATCH(B587,'01_Anggota'!$D$5:$D$1212,0))))</f>
        <v/>
      </c>
      <c r="D587" s="21"/>
      <c r="E587" s="23"/>
      <c r="F587" s="23"/>
      <c r="G587" s="23">
        <f>PinjamanTable[[#This Row],[Pokok (Rp) *]]+PinjamanTable[[#This Row],[Admin (Rp)]]</f>
        <v>0</v>
      </c>
      <c r="H587" s="24"/>
      <c r="I587" s="22"/>
      <c r="J587" s="21"/>
      <c r="K587" s="21"/>
    </row>
    <row r="588" spans="1:11" ht="21" customHeight="1">
      <c r="A588" s="21"/>
      <c r="B588" s="21"/>
      <c r="C588" s="20" t="str">
        <f>IF(B588="","",IF(COUNTIF('01_Anggota'!$D$5:$D$1212,B588)=0,"NAMA TIDAK DITEMUKAN",INDEX('01_Anggota'!$B$5:$B$1212,MATCH(B588,'01_Anggota'!$D$5:$D$1212,0))))</f>
        <v/>
      </c>
      <c r="D588" s="21"/>
      <c r="E588" s="23"/>
      <c r="F588" s="23"/>
      <c r="G588" s="23">
        <f>PinjamanTable[[#This Row],[Pokok (Rp) *]]+PinjamanTable[[#This Row],[Admin (Rp)]]</f>
        <v>0</v>
      </c>
      <c r="H588" s="24"/>
      <c r="I588" s="22"/>
      <c r="J588" s="21"/>
      <c r="K588" s="21"/>
    </row>
    <row r="589" spans="1:11" ht="21" customHeight="1">
      <c r="A589" s="21"/>
      <c r="B589" s="21"/>
      <c r="C589" s="20" t="str">
        <f>IF(B589="","",IF(COUNTIF('01_Anggota'!$D$5:$D$1212,B589)=0,"NAMA TIDAK DITEMUKAN",INDEX('01_Anggota'!$B$5:$B$1212,MATCH(B589,'01_Anggota'!$D$5:$D$1212,0))))</f>
        <v/>
      </c>
      <c r="D589" s="21"/>
      <c r="E589" s="23"/>
      <c r="F589" s="23"/>
      <c r="G589" s="23">
        <f>PinjamanTable[[#This Row],[Pokok (Rp) *]]+PinjamanTable[[#This Row],[Admin (Rp)]]</f>
        <v>0</v>
      </c>
      <c r="H589" s="24"/>
      <c r="I589" s="22"/>
      <c r="J589" s="21"/>
      <c r="K589" s="21"/>
    </row>
    <row r="590" spans="1:11" ht="21" customHeight="1">
      <c r="A590" s="21"/>
      <c r="B590" s="21"/>
      <c r="C590" s="20" t="str">
        <f>IF(B590="","",IF(COUNTIF('01_Anggota'!$D$5:$D$1212,B590)=0,"NAMA TIDAK DITEMUKAN",INDEX('01_Anggota'!$B$5:$B$1212,MATCH(B590,'01_Anggota'!$D$5:$D$1212,0))))</f>
        <v/>
      </c>
      <c r="D590" s="21"/>
      <c r="E590" s="23"/>
      <c r="F590" s="23"/>
      <c r="G590" s="23">
        <f>PinjamanTable[[#This Row],[Pokok (Rp) *]]+PinjamanTable[[#This Row],[Admin (Rp)]]</f>
        <v>0</v>
      </c>
      <c r="H590" s="24"/>
      <c r="I590" s="22"/>
      <c r="J590" s="21"/>
      <c r="K590" s="21"/>
    </row>
    <row r="591" spans="1:11" ht="21" customHeight="1">
      <c r="A591" s="21"/>
      <c r="B591" s="21"/>
      <c r="C591" s="20" t="str">
        <f>IF(B591="","",IF(COUNTIF('01_Anggota'!$D$5:$D$1212,B591)=0,"NAMA TIDAK DITEMUKAN",INDEX('01_Anggota'!$B$5:$B$1212,MATCH(B591,'01_Anggota'!$D$5:$D$1212,0))))</f>
        <v/>
      </c>
      <c r="D591" s="21"/>
      <c r="E591" s="23"/>
      <c r="F591" s="23"/>
      <c r="G591" s="23">
        <f>PinjamanTable[[#This Row],[Pokok (Rp) *]]+PinjamanTable[[#This Row],[Admin (Rp)]]</f>
        <v>0</v>
      </c>
      <c r="H591" s="24"/>
      <c r="I591" s="22"/>
      <c r="J591" s="21"/>
      <c r="K591" s="21"/>
    </row>
    <row r="592" spans="1:11" ht="21" customHeight="1">
      <c r="A592" s="21"/>
      <c r="B592" s="21"/>
      <c r="C592" s="20" t="str">
        <f>IF(B592="","",IF(COUNTIF('01_Anggota'!$D$5:$D$1212,B592)=0,"NAMA TIDAK DITEMUKAN",INDEX('01_Anggota'!$B$5:$B$1212,MATCH(B592,'01_Anggota'!$D$5:$D$1212,0))))</f>
        <v/>
      </c>
      <c r="D592" s="21"/>
      <c r="E592" s="23"/>
      <c r="F592" s="23"/>
      <c r="G592" s="23">
        <f>PinjamanTable[[#This Row],[Pokok (Rp) *]]+PinjamanTable[[#This Row],[Admin (Rp)]]</f>
        <v>0</v>
      </c>
      <c r="H592" s="24"/>
      <c r="I592" s="22"/>
      <c r="J592" s="21"/>
      <c r="K592" s="21"/>
    </row>
    <row r="593" spans="1:11" ht="21" customHeight="1">
      <c r="A593" s="21"/>
      <c r="B593" s="21"/>
      <c r="C593" s="20" t="str">
        <f>IF(B593="","",IF(COUNTIF('01_Anggota'!$D$5:$D$1212,B593)=0,"NAMA TIDAK DITEMUKAN",INDEX('01_Anggota'!$B$5:$B$1212,MATCH(B593,'01_Anggota'!$D$5:$D$1212,0))))</f>
        <v/>
      </c>
      <c r="D593" s="21"/>
      <c r="E593" s="23"/>
      <c r="F593" s="23"/>
      <c r="G593" s="23">
        <f>PinjamanTable[[#This Row],[Pokok (Rp) *]]+PinjamanTable[[#This Row],[Admin (Rp)]]</f>
        <v>0</v>
      </c>
      <c r="H593" s="24"/>
      <c r="I593" s="22"/>
      <c r="J593" s="21"/>
      <c r="K593" s="21"/>
    </row>
    <row r="594" spans="1:11" ht="21" customHeight="1">
      <c r="A594" s="21"/>
      <c r="B594" s="21"/>
      <c r="C594" s="20" t="str">
        <f>IF(B594="","",IF(COUNTIF('01_Anggota'!$D$5:$D$1212,B594)=0,"NAMA TIDAK DITEMUKAN",INDEX('01_Anggota'!$B$5:$B$1212,MATCH(B594,'01_Anggota'!$D$5:$D$1212,0))))</f>
        <v/>
      </c>
      <c r="D594" s="21"/>
      <c r="E594" s="23"/>
      <c r="F594" s="23"/>
      <c r="G594" s="23">
        <f>PinjamanTable[[#This Row],[Pokok (Rp) *]]+PinjamanTable[[#This Row],[Admin (Rp)]]</f>
        <v>0</v>
      </c>
      <c r="H594" s="24"/>
      <c r="I594" s="22"/>
      <c r="J594" s="21"/>
      <c r="K594" s="21"/>
    </row>
    <row r="595" spans="1:11" ht="21" customHeight="1">
      <c r="A595" s="21"/>
      <c r="B595" s="21"/>
      <c r="C595" s="20" t="str">
        <f>IF(B595="","",IF(COUNTIF('01_Anggota'!$D$5:$D$1212,B595)=0,"NAMA TIDAK DITEMUKAN",INDEX('01_Anggota'!$B$5:$B$1212,MATCH(B595,'01_Anggota'!$D$5:$D$1212,0))))</f>
        <v/>
      </c>
      <c r="D595" s="21"/>
      <c r="E595" s="23"/>
      <c r="F595" s="23"/>
      <c r="G595" s="23">
        <f>PinjamanTable[[#This Row],[Pokok (Rp) *]]+PinjamanTable[[#This Row],[Admin (Rp)]]</f>
        <v>0</v>
      </c>
      <c r="H595" s="24"/>
      <c r="I595" s="22"/>
      <c r="J595" s="21"/>
      <c r="K595" s="21"/>
    </row>
    <row r="596" spans="1:11" ht="21" customHeight="1">
      <c r="A596" s="21"/>
      <c r="B596" s="21"/>
      <c r="C596" s="20" t="str">
        <f>IF(B596="","",IF(COUNTIF('01_Anggota'!$D$5:$D$1212,B596)=0,"NAMA TIDAK DITEMUKAN",INDEX('01_Anggota'!$B$5:$B$1212,MATCH(B596,'01_Anggota'!$D$5:$D$1212,0))))</f>
        <v/>
      </c>
      <c r="D596" s="21"/>
      <c r="E596" s="23"/>
      <c r="F596" s="23"/>
      <c r="G596" s="23">
        <f>PinjamanTable[[#This Row],[Pokok (Rp) *]]+PinjamanTable[[#This Row],[Admin (Rp)]]</f>
        <v>0</v>
      </c>
      <c r="H596" s="24"/>
      <c r="I596" s="22"/>
      <c r="J596" s="21"/>
      <c r="K596" s="21"/>
    </row>
    <row r="597" spans="1:11" ht="21" customHeight="1">
      <c r="A597" s="21"/>
      <c r="B597" s="21"/>
      <c r="C597" s="20" t="str">
        <f>IF(B597="","",IF(COUNTIF('01_Anggota'!$D$5:$D$1212,B597)=0,"NAMA TIDAK DITEMUKAN",INDEX('01_Anggota'!$B$5:$B$1212,MATCH(B597,'01_Anggota'!$D$5:$D$1212,0))))</f>
        <v/>
      </c>
      <c r="D597" s="21"/>
      <c r="E597" s="23"/>
      <c r="F597" s="23"/>
      <c r="G597" s="23">
        <f>PinjamanTable[[#This Row],[Pokok (Rp) *]]+PinjamanTable[[#This Row],[Admin (Rp)]]</f>
        <v>0</v>
      </c>
      <c r="H597" s="24"/>
      <c r="I597" s="22"/>
      <c r="J597" s="21"/>
      <c r="K597" s="21"/>
    </row>
    <row r="598" spans="1:11" ht="21" customHeight="1">
      <c r="A598" s="21"/>
      <c r="B598" s="21"/>
      <c r="C598" s="20" t="str">
        <f>IF(B598="","",IF(COUNTIF('01_Anggota'!$D$5:$D$1212,B598)=0,"NAMA TIDAK DITEMUKAN",INDEX('01_Anggota'!$B$5:$B$1212,MATCH(B598,'01_Anggota'!$D$5:$D$1212,0))))</f>
        <v/>
      </c>
      <c r="D598" s="21"/>
      <c r="E598" s="23"/>
      <c r="F598" s="23"/>
      <c r="G598" s="23">
        <f>PinjamanTable[[#This Row],[Pokok (Rp) *]]+PinjamanTable[[#This Row],[Admin (Rp)]]</f>
        <v>0</v>
      </c>
      <c r="H598" s="24"/>
      <c r="I598" s="22"/>
      <c r="J598" s="21"/>
      <c r="K598" s="21"/>
    </row>
    <row r="599" spans="1:11" ht="21" customHeight="1">
      <c r="A599" s="21"/>
      <c r="B599" s="21"/>
      <c r="C599" s="20" t="str">
        <f>IF(B599="","",IF(COUNTIF('01_Anggota'!$D$5:$D$1212,B599)=0,"NAMA TIDAK DITEMUKAN",INDEX('01_Anggota'!$B$5:$B$1212,MATCH(B599,'01_Anggota'!$D$5:$D$1212,0))))</f>
        <v/>
      </c>
      <c r="D599" s="21"/>
      <c r="E599" s="23"/>
      <c r="F599" s="23"/>
      <c r="G599" s="23">
        <f>PinjamanTable[[#This Row],[Pokok (Rp) *]]+PinjamanTable[[#This Row],[Admin (Rp)]]</f>
        <v>0</v>
      </c>
      <c r="H599" s="24"/>
      <c r="I599" s="22"/>
      <c r="J599" s="21"/>
      <c r="K599" s="21"/>
    </row>
    <row r="600" spans="1:11" ht="21" customHeight="1">
      <c r="A600" s="21"/>
      <c r="B600" s="21"/>
      <c r="C600" s="20" t="str">
        <f>IF(B600="","",IF(COUNTIF('01_Anggota'!$D$5:$D$1212,B600)=0,"NAMA TIDAK DITEMUKAN",INDEX('01_Anggota'!$B$5:$B$1212,MATCH(B600,'01_Anggota'!$D$5:$D$1212,0))))</f>
        <v/>
      </c>
      <c r="D600" s="21"/>
      <c r="E600" s="23"/>
      <c r="F600" s="23"/>
      <c r="G600" s="23">
        <f>PinjamanTable[[#This Row],[Pokok (Rp) *]]+PinjamanTable[[#This Row],[Admin (Rp)]]</f>
        <v>0</v>
      </c>
      <c r="H600" s="24"/>
      <c r="I600" s="22"/>
      <c r="J600" s="21"/>
      <c r="K600" s="21"/>
    </row>
    <row r="601" spans="1:11" ht="21" customHeight="1">
      <c r="A601" s="21"/>
      <c r="B601" s="21"/>
      <c r="C601" s="20" t="str">
        <f>IF(B601="","",IF(COUNTIF('01_Anggota'!$D$5:$D$1212,B601)=0,"NAMA TIDAK DITEMUKAN",INDEX('01_Anggota'!$B$5:$B$1212,MATCH(B601,'01_Anggota'!$D$5:$D$1212,0))))</f>
        <v/>
      </c>
      <c r="D601" s="21"/>
      <c r="E601" s="23"/>
      <c r="F601" s="23"/>
      <c r="G601" s="23">
        <f>PinjamanTable[[#This Row],[Pokok (Rp) *]]+PinjamanTable[[#This Row],[Admin (Rp)]]</f>
        <v>0</v>
      </c>
      <c r="H601" s="24"/>
      <c r="I601" s="22"/>
      <c r="J601" s="21"/>
      <c r="K601" s="21"/>
    </row>
    <row r="602" spans="1:11" ht="21" customHeight="1">
      <c r="A602" s="21"/>
      <c r="B602" s="21"/>
      <c r="C602" s="20" t="str">
        <f>IF(B602="","",IF(COUNTIF('01_Anggota'!$D$5:$D$1212,B602)=0,"NAMA TIDAK DITEMUKAN",INDEX('01_Anggota'!$B$5:$B$1212,MATCH(B602,'01_Anggota'!$D$5:$D$1212,0))))</f>
        <v/>
      </c>
      <c r="D602" s="21"/>
      <c r="E602" s="23"/>
      <c r="F602" s="23"/>
      <c r="G602" s="23">
        <f>PinjamanTable[[#This Row],[Pokok (Rp) *]]+PinjamanTable[[#This Row],[Admin (Rp)]]</f>
        <v>0</v>
      </c>
      <c r="H602" s="24"/>
      <c r="I602" s="22"/>
      <c r="J602" s="21"/>
      <c r="K602" s="21"/>
    </row>
    <row r="603" spans="1:11" ht="21" customHeight="1">
      <c r="A603" s="21"/>
      <c r="B603" s="21"/>
      <c r="C603" s="20" t="str">
        <f>IF(B603="","",IF(COUNTIF('01_Anggota'!$D$5:$D$1212,B603)=0,"NAMA TIDAK DITEMUKAN",INDEX('01_Anggota'!$B$5:$B$1212,MATCH(B603,'01_Anggota'!$D$5:$D$1212,0))))</f>
        <v/>
      </c>
      <c r="D603" s="21"/>
      <c r="E603" s="23"/>
      <c r="F603" s="23"/>
      <c r="G603" s="23">
        <f>PinjamanTable[[#This Row],[Pokok (Rp) *]]+PinjamanTable[[#This Row],[Admin (Rp)]]</f>
        <v>0</v>
      </c>
      <c r="H603" s="24"/>
      <c r="I603" s="22"/>
      <c r="J603" s="21"/>
      <c r="K603" s="21"/>
    </row>
    <row r="604" spans="1:11" ht="21" customHeight="1">
      <c r="A604" s="21"/>
      <c r="B604" s="21"/>
      <c r="C604" s="20" t="str">
        <f>IF(B604="","",IF(COUNTIF('01_Anggota'!$D$5:$D$1212,B604)=0,"NAMA TIDAK DITEMUKAN",INDEX('01_Anggota'!$B$5:$B$1212,MATCH(B604,'01_Anggota'!$D$5:$D$1212,0))))</f>
        <v/>
      </c>
      <c r="D604" s="21"/>
      <c r="E604" s="23"/>
      <c r="F604" s="23"/>
      <c r="G604" s="23">
        <f>PinjamanTable[[#This Row],[Pokok (Rp) *]]+PinjamanTable[[#This Row],[Admin (Rp)]]</f>
        <v>0</v>
      </c>
      <c r="H604" s="24"/>
      <c r="I604" s="22"/>
      <c r="J604" s="21"/>
      <c r="K604" s="21"/>
    </row>
    <row r="605" spans="1:11" ht="21" customHeight="1">
      <c r="A605" s="21"/>
      <c r="B605" s="21"/>
      <c r="C605" s="20" t="str">
        <f>IF(B605="","",IF(COUNTIF('01_Anggota'!$D$5:$D$1212,B605)=0,"NAMA TIDAK DITEMUKAN",INDEX('01_Anggota'!$B$5:$B$1212,MATCH(B605,'01_Anggota'!$D$5:$D$1212,0))))</f>
        <v/>
      </c>
      <c r="D605" s="21"/>
      <c r="E605" s="23"/>
      <c r="F605" s="23"/>
      <c r="G605" s="23">
        <f>PinjamanTable[[#This Row],[Pokok (Rp) *]]+PinjamanTable[[#This Row],[Admin (Rp)]]</f>
        <v>0</v>
      </c>
      <c r="H605" s="24"/>
      <c r="I605" s="22"/>
      <c r="J605" s="21"/>
      <c r="K605" s="21"/>
    </row>
    <row r="606" spans="1:11" ht="21" customHeight="1">
      <c r="A606" s="21"/>
      <c r="B606" s="21"/>
      <c r="C606" s="20" t="str">
        <f>IF(B606="","",IF(COUNTIF('01_Anggota'!$D$5:$D$1212,B606)=0,"NAMA TIDAK DITEMUKAN",INDEX('01_Anggota'!$B$5:$B$1212,MATCH(B606,'01_Anggota'!$D$5:$D$1212,0))))</f>
        <v/>
      </c>
      <c r="D606" s="21"/>
      <c r="E606" s="23"/>
      <c r="F606" s="23"/>
      <c r="G606" s="23">
        <f>PinjamanTable[[#This Row],[Pokok (Rp) *]]+PinjamanTable[[#This Row],[Admin (Rp)]]</f>
        <v>0</v>
      </c>
      <c r="H606" s="24"/>
      <c r="I606" s="22"/>
      <c r="J606" s="21"/>
      <c r="K606" s="21"/>
    </row>
    <row r="607" spans="1:11" ht="21" customHeight="1">
      <c r="A607" s="21"/>
      <c r="B607" s="21"/>
      <c r="C607" s="20" t="str">
        <f>IF(B607="","",IF(COUNTIF('01_Anggota'!$D$5:$D$1212,B607)=0,"NAMA TIDAK DITEMUKAN",INDEX('01_Anggota'!$B$5:$B$1212,MATCH(B607,'01_Anggota'!$D$5:$D$1212,0))))</f>
        <v/>
      </c>
      <c r="D607" s="21"/>
      <c r="E607" s="23"/>
      <c r="F607" s="23"/>
      <c r="G607" s="23">
        <f>PinjamanTable[[#This Row],[Pokok (Rp) *]]+PinjamanTable[[#This Row],[Admin (Rp)]]</f>
        <v>0</v>
      </c>
      <c r="H607" s="24"/>
      <c r="I607" s="22"/>
      <c r="J607" s="21"/>
      <c r="K607" s="21"/>
    </row>
    <row r="608" spans="1:11" ht="21" customHeight="1">
      <c r="A608" s="21"/>
      <c r="B608" s="21"/>
      <c r="C608" s="20" t="str">
        <f>IF(B608="","",IF(COUNTIF('01_Anggota'!$D$5:$D$1212,B608)=0,"NAMA TIDAK DITEMUKAN",INDEX('01_Anggota'!$B$5:$B$1212,MATCH(B608,'01_Anggota'!$D$5:$D$1212,0))))</f>
        <v/>
      </c>
      <c r="D608" s="21"/>
      <c r="E608" s="23"/>
      <c r="F608" s="23"/>
      <c r="G608" s="23">
        <f>PinjamanTable[[#This Row],[Pokok (Rp) *]]+PinjamanTable[[#This Row],[Admin (Rp)]]</f>
        <v>0</v>
      </c>
      <c r="H608" s="24"/>
      <c r="I608" s="22"/>
      <c r="J608" s="21"/>
      <c r="K608" s="21"/>
    </row>
    <row r="609" spans="1:11" ht="21" customHeight="1">
      <c r="A609" s="21"/>
      <c r="B609" s="21"/>
      <c r="C609" s="20" t="str">
        <f>IF(B609="","",IF(COUNTIF('01_Anggota'!$D$5:$D$1212,B609)=0,"NAMA TIDAK DITEMUKAN",INDEX('01_Anggota'!$B$5:$B$1212,MATCH(B609,'01_Anggota'!$D$5:$D$1212,0))))</f>
        <v/>
      </c>
      <c r="D609" s="21"/>
      <c r="E609" s="23"/>
      <c r="F609" s="23"/>
      <c r="G609" s="23">
        <f>PinjamanTable[[#This Row],[Pokok (Rp) *]]+PinjamanTable[[#This Row],[Admin (Rp)]]</f>
        <v>0</v>
      </c>
      <c r="H609" s="24"/>
      <c r="I609" s="22"/>
      <c r="J609" s="21"/>
      <c r="K609" s="21"/>
    </row>
    <row r="610" spans="1:11" ht="21" customHeight="1">
      <c r="A610" s="21"/>
      <c r="B610" s="21"/>
      <c r="C610" s="20" t="str">
        <f>IF(B610="","",IF(COUNTIF('01_Anggota'!$D$5:$D$1212,B610)=0,"NAMA TIDAK DITEMUKAN",INDEX('01_Anggota'!$B$5:$B$1212,MATCH(B610,'01_Anggota'!$D$5:$D$1212,0))))</f>
        <v/>
      </c>
      <c r="D610" s="21"/>
      <c r="E610" s="23"/>
      <c r="F610" s="23"/>
      <c r="G610" s="23">
        <f>PinjamanTable[[#This Row],[Pokok (Rp) *]]+PinjamanTable[[#This Row],[Admin (Rp)]]</f>
        <v>0</v>
      </c>
      <c r="H610" s="24"/>
      <c r="I610" s="22"/>
      <c r="J610" s="21"/>
      <c r="K610" s="21"/>
    </row>
    <row r="611" spans="1:11" ht="21" customHeight="1">
      <c r="A611" s="21"/>
      <c r="B611" s="21"/>
      <c r="C611" s="20" t="str">
        <f>IF(B611="","",IF(COUNTIF('01_Anggota'!$D$5:$D$1212,B611)=0,"NAMA TIDAK DITEMUKAN",INDEX('01_Anggota'!$B$5:$B$1212,MATCH(B611,'01_Anggota'!$D$5:$D$1212,0))))</f>
        <v/>
      </c>
      <c r="D611" s="21"/>
      <c r="E611" s="23"/>
      <c r="F611" s="23"/>
      <c r="G611" s="23">
        <f>PinjamanTable[[#This Row],[Pokok (Rp) *]]+PinjamanTable[[#This Row],[Admin (Rp)]]</f>
        <v>0</v>
      </c>
      <c r="H611" s="24"/>
      <c r="I611" s="22"/>
      <c r="J611" s="21"/>
      <c r="K611" s="21"/>
    </row>
    <row r="612" spans="1:11" ht="21" customHeight="1">
      <c r="A612" s="21"/>
      <c r="B612" s="21"/>
      <c r="C612" s="20" t="str">
        <f>IF(B612="","",IF(COUNTIF('01_Anggota'!$D$5:$D$1212,B612)=0,"NAMA TIDAK DITEMUKAN",INDEX('01_Anggota'!$B$5:$B$1212,MATCH(B612,'01_Anggota'!$D$5:$D$1212,0))))</f>
        <v/>
      </c>
      <c r="D612" s="21"/>
      <c r="E612" s="23"/>
      <c r="F612" s="23"/>
      <c r="G612" s="23">
        <f>PinjamanTable[[#This Row],[Pokok (Rp) *]]+PinjamanTable[[#This Row],[Admin (Rp)]]</f>
        <v>0</v>
      </c>
      <c r="H612" s="24"/>
      <c r="I612" s="22"/>
      <c r="J612" s="21"/>
      <c r="K612" s="21"/>
    </row>
    <row r="613" spans="1:11" ht="21" customHeight="1">
      <c r="A613" s="21"/>
      <c r="B613" s="21"/>
      <c r="C613" s="20" t="str">
        <f>IF(B613="","",IF(COUNTIF('01_Anggota'!$D$5:$D$1212,B613)=0,"NAMA TIDAK DITEMUKAN",INDEX('01_Anggota'!$B$5:$B$1212,MATCH(B613,'01_Anggota'!$D$5:$D$1212,0))))</f>
        <v/>
      </c>
      <c r="D613" s="21"/>
      <c r="E613" s="23"/>
      <c r="F613" s="23"/>
      <c r="G613" s="23">
        <f>PinjamanTable[[#This Row],[Pokok (Rp) *]]+PinjamanTable[[#This Row],[Admin (Rp)]]</f>
        <v>0</v>
      </c>
      <c r="H613" s="24"/>
      <c r="I613" s="22"/>
      <c r="J613" s="21"/>
      <c r="K613" s="21"/>
    </row>
    <row r="614" spans="1:11" ht="21" customHeight="1">
      <c r="A614" s="21"/>
      <c r="B614" s="21"/>
      <c r="C614" s="20" t="str">
        <f>IF(B614="","",IF(COUNTIF('01_Anggota'!$D$5:$D$1212,B614)=0,"NAMA TIDAK DITEMUKAN",INDEX('01_Anggota'!$B$5:$B$1212,MATCH(B614,'01_Anggota'!$D$5:$D$1212,0))))</f>
        <v/>
      </c>
      <c r="D614" s="21"/>
      <c r="E614" s="23"/>
      <c r="F614" s="23"/>
      <c r="G614" s="23">
        <f>PinjamanTable[[#This Row],[Pokok (Rp) *]]+PinjamanTable[[#This Row],[Admin (Rp)]]</f>
        <v>0</v>
      </c>
      <c r="H614" s="24"/>
      <c r="I614" s="22"/>
      <c r="J614" s="21"/>
      <c r="K614" s="21"/>
    </row>
    <row r="615" spans="1:11" ht="21" customHeight="1">
      <c r="A615" s="21"/>
      <c r="B615" s="21"/>
      <c r="C615" s="20" t="str">
        <f>IF(B615="","",IF(COUNTIF('01_Anggota'!$D$5:$D$1212,B615)=0,"NAMA TIDAK DITEMUKAN",INDEX('01_Anggota'!$B$5:$B$1212,MATCH(B615,'01_Anggota'!$D$5:$D$1212,0))))</f>
        <v/>
      </c>
      <c r="D615" s="21"/>
      <c r="E615" s="23"/>
      <c r="F615" s="23"/>
      <c r="G615" s="23">
        <f>PinjamanTable[[#This Row],[Pokok (Rp) *]]+PinjamanTable[[#This Row],[Admin (Rp)]]</f>
        <v>0</v>
      </c>
      <c r="H615" s="24"/>
      <c r="I615" s="22"/>
      <c r="J615" s="21"/>
      <c r="K615" s="21"/>
    </row>
    <row r="616" spans="1:11" ht="21" customHeight="1">
      <c r="A616" s="21"/>
      <c r="B616" s="21"/>
      <c r="C616" s="20" t="str">
        <f>IF(B616="","",IF(COUNTIF('01_Anggota'!$D$5:$D$1212,B616)=0,"NAMA TIDAK DITEMUKAN",INDEX('01_Anggota'!$B$5:$B$1212,MATCH(B616,'01_Anggota'!$D$5:$D$1212,0))))</f>
        <v/>
      </c>
      <c r="D616" s="21"/>
      <c r="E616" s="23"/>
      <c r="F616" s="23"/>
      <c r="G616" s="23">
        <f>PinjamanTable[[#This Row],[Pokok (Rp) *]]+PinjamanTable[[#This Row],[Admin (Rp)]]</f>
        <v>0</v>
      </c>
      <c r="H616" s="24"/>
      <c r="I616" s="22"/>
      <c r="J616" s="21"/>
      <c r="K616" s="21"/>
    </row>
    <row r="617" spans="1:11" ht="21" customHeight="1">
      <c r="A617" s="21"/>
      <c r="B617" s="21"/>
      <c r="C617" s="20" t="str">
        <f>IF(B617="","",IF(COUNTIF('01_Anggota'!$D$5:$D$1212,B617)=0,"NAMA TIDAK DITEMUKAN",INDEX('01_Anggota'!$B$5:$B$1212,MATCH(B617,'01_Anggota'!$D$5:$D$1212,0))))</f>
        <v/>
      </c>
      <c r="D617" s="21"/>
      <c r="E617" s="23"/>
      <c r="F617" s="23"/>
      <c r="G617" s="23">
        <f>PinjamanTable[[#This Row],[Pokok (Rp) *]]+PinjamanTable[[#This Row],[Admin (Rp)]]</f>
        <v>0</v>
      </c>
      <c r="H617" s="24"/>
      <c r="I617" s="22"/>
      <c r="J617" s="21"/>
      <c r="K617" s="21"/>
    </row>
    <row r="618" spans="1:11" ht="21" customHeight="1">
      <c r="A618" s="21"/>
      <c r="B618" s="21"/>
      <c r="C618" s="20" t="str">
        <f>IF(B618="","",IF(COUNTIF('01_Anggota'!$D$5:$D$1212,B618)=0,"NAMA TIDAK DITEMUKAN",INDEX('01_Anggota'!$B$5:$B$1212,MATCH(B618,'01_Anggota'!$D$5:$D$1212,0))))</f>
        <v/>
      </c>
      <c r="D618" s="21"/>
      <c r="E618" s="23"/>
      <c r="F618" s="23"/>
      <c r="G618" s="23">
        <f>PinjamanTable[[#This Row],[Pokok (Rp) *]]+PinjamanTable[[#This Row],[Admin (Rp)]]</f>
        <v>0</v>
      </c>
      <c r="H618" s="24"/>
      <c r="I618" s="22"/>
      <c r="J618" s="21"/>
      <c r="K618" s="21"/>
    </row>
    <row r="619" spans="1:11" ht="21" customHeight="1">
      <c r="A619" s="21"/>
      <c r="B619" s="21"/>
      <c r="C619" s="20" t="str">
        <f>IF(B619="","",IF(COUNTIF('01_Anggota'!$D$5:$D$1212,B619)=0,"NAMA TIDAK DITEMUKAN",INDEX('01_Anggota'!$B$5:$B$1212,MATCH(B619,'01_Anggota'!$D$5:$D$1212,0))))</f>
        <v/>
      </c>
      <c r="D619" s="21"/>
      <c r="E619" s="23"/>
      <c r="F619" s="23"/>
      <c r="G619" s="23">
        <f>PinjamanTable[[#This Row],[Pokok (Rp) *]]+PinjamanTable[[#This Row],[Admin (Rp)]]</f>
        <v>0</v>
      </c>
      <c r="H619" s="24"/>
      <c r="I619" s="22"/>
      <c r="J619" s="21"/>
      <c r="K619" s="21"/>
    </row>
    <row r="620" spans="1:11" ht="21" customHeight="1">
      <c r="A620" s="21"/>
      <c r="B620" s="21"/>
      <c r="C620" s="20" t="str">
        <f>IF(B620="","",IF(COUNTIF('01_Anggota'!$D$5:$D$1212,B620)=0,"NAMA TIDAK DITEMUKAN",INDEX('01_Anggota'!$B$5:$B$1212,MATCH(B620,'01_Anggota'!$D$5:$D$1212,0))))</f>
        <v/>
      </c>
      <c r="D620" s="21"/>
      <c r="E620" s="23"/>
      <c r="F620" s="23"/>
      <c r="G620" s="23">
        <f>PinjamanTable[[#This Row],[Pokok (Rp) *]]+PinjamanTable[[#This Row],[Admin (Rp)]]</f>
        <v>0</v>
      </c>
      <c r="H620" s="24"/>
      <c r="I620" s="22"/>
      <c r="J620" s="21"/>
      <c r="K620" s="21"/>
    </row>
    <row r="621" spans="1:11" ht="21" customHeight="1">
      <c r="A621" s="21"/>
      <c r="B621" s="21"/>
      <c r="C621" s="20" t="str">
        <f>IF(B621="","",IF(COUNTIF('01_Anggota'!$D$5:$D$1212,B621)=0,"NAMA TIDAK DITEMUKAN",INDEX('01_Anggota'!$B$5:$B$1212,MATCH(B621,'01_Anggota'!$D$5:$D$1212,0))))</f>
        <v/>
      </c>
      <c r="D621" s="21"/>
      <c r="E621" s="23"/>
      <c r="F621" s="23"/>
      <c r="G621" s="23">
        <f>PinjamanTable[[#This Row],[Pokok (Rp) *]]+PinjamanTable[[#This Row],[Admin (Rp)]]</f>
        <v>0</v>
      </c>
      <c r="H621" s="24"/>
      <c r="I621" s="22"/>
      <c r="J621" s="21"/>
      <c r="K621" s="21"/>
    </row>
    <row r="622" spans="1:11" ht="21" customHeight="1">
      <c r="A622" s="21"/>
      <c r="B622" s="21"/>
      <c r="C622" s="20" t="str">
        <f>IF(B622="","",IF(COUNTIF('01_Anggota'!$D$5:$D$1212,B622)=0,"NAMA TIDAK DITEMUKAN",INDEX('01_Anggota'!$B$5:$B$1212,MATCH(B622,'01_Anggota'!$D$5:$D$1212,0))))</f>
        <v/>
      </c>
      <c r="D622" s="21"/>
      <c r="E622" s="23"/>
      <c r="F622" s="23"/>
      <c r="G622" s="23">
        <f>PinjamanTable[[#This Row],[Pokok (Rp) *]]+PinjamanTable[[#This Row],[Admin (Rp)]]</f>
        <v>0</v>
      </c>
      <c r="H622" s="24"/>
      <c r="I622" s="22"/>
      <c r="J622" s="21"/>
      <c r="K622" s="21"/>
    </row>
    <row r="623" spans="1:11" ht="21" customHeight="1">
      <c r="A623" s="21"/>
      <c r="B623" s="21"/>
      <c r="C623" s="20" t="str">
        <f>IF(B623="","",IF(COUNTIF('01_Anggota'!$D$5:$D$1212,B623)=0,"NAMA TIDAK DITEMUKAN",INDEX('01_Anggota'!$B$5:$B$1212,MATCH(B623,'01_Anggota'!$D$5:$D$1212,0))))</f>
        <v/>
      </c>
      <c r="D623" s="21"/>
      <c r="E623" s="23"/>
      <c r="F623" s="23"/>
      <c r="G623" s="23">
        <f>PinjamanTable[[#This Row],[Pokok (Rp) *]]+PinjamanTable[[#This Row],[Admin (Rp)]]</f>
        <v>0</v>
      </c>
      <c r="H623" s="24"/>
      <c r="I623" s="22"/>
      <c r="J623" s="21"/>
      <c r="K623" s="21"/>
    </row>
    <row r="624" spans="1:11" ht="21" customHeight="1">
      <c r="A624" s="21"/>
      <c r="B624" s="21"/>
      <c r="C624" s="20" t="str">
        <f>IF(B624="","",IF(COUNTIF('01_Anggota'!$D$5:$D$1212,B624)=0,"NAMA TIDAK DITEMUKAN",INDEX('01_Anggota'!$B$5:$B$1212,MATCH(B624,'01_Anggota'!$D$5:$D$1212,0))))</f>
        <v/>
      </c>
      <c r="D624" s="21"/>
      <c r="E624" s="23"/>
      <c r="F624" s="23"/>
      <c r="G624" s="23">
        <f>PinjamanTable[[#This Row],[Pokok (Rp) *]]+PinjamanTable[[#This Row],[Admin (Rp)]]</f>
        <v>0</v>
      </c>
      <c r="H624" s="24"/>
      <c r="I624" s="22"/>
      <c r="J624" s="21"/>
      <c r="K624" s="21"/>
    </row>
    <row r="625" spans="1:11" ht="21" customHeight="1">
      <c r="A625" s="21"/>
      <c r="B625" s="21"/>
      <c r="C625" s="20" t="str">
        <f>IF(B625="","",IF(COUNTIF('01_Anggota'!$D$5:$D$1212,B625)=0,"NAMA TIDAK DITEMUKAN",INDEX('01_Anggota'!$B$5:$B$1212,MATCH(B625,'01_Anggota'!$D$5:$D$1212,0))))</f>
        <v/>
      </c>
      <c r="D625" s="21"/>
      <c r="E625" s="23"/>
      <c r="F625" s="23"/>
      <c r="G625" s="23">
        <f>PinjamanTable[[#This Row],[Pokok (Rp) *]]+PinjamanTable[[#This Row],[Admin (Rp)]]</f>
        <v>0</v>
      </c>
      <c r="H625" s="24"/>
      <c r="I625" s="22"/>
      <c r="J625" s="21"/>
      <c r="K625" s="21"/>
    </row>
    <row r="626" spans="1:11" ht="21" customHeight="1">
      <c r="A626" s="21"/>
      <c r="B626" s="21"/>
      <c r="C626" s="20" t="str">
        <f>IF(B626="","",IF(COUNTIF('01_Anggota'!$D$5:$D$1212,B626)=0,"NAMA TIDAK DITEMUKAN",INDEX('01_Anggota'!$B$5:$B$1212,MATCH(B626,'01_Anggota'!$D$5:$D$1212,0))))</f>
        <v/>
      </c>
      <c r="D626" s="21"/>
      <c r="E626" s="23"/>
      <c r="F626" s="23"/>
      <c r="G626" s="23">
        <f>PinjamanTable[[#This Row],[Pokok (Rp) *]]+PinjamanTable[[#This Row],[Admin (Rp)]]</f>
        <v>0</v>
      </c>
      <c r="H626" s="24"/>
      <c r="I626" s="22"/>
      <c r="J626" s="21"/>
      <c r="K626" s="21"/>
    </row>
    <row r="627" spans="1:11" ht="21" customHeight="1">
      <c r="A627" s="21"/>
      <c r="B627" s="21"/>
      <c r="C627" s="20" t="str">
        <f>IF(B627="","",IF(COUNTIF('01_Anggota'!$D$5:$D$1212,B627)=0,"NAMA TIDAK DITEMUKAN",INDEX('01_Anggota'!$B$5:$B$1212,MATCH(B627,'01_Anggota'!$D$5:$D$1212,0))))</f>
        <v/>
      </c>
      <c r="D627" s="21"/>
      <c r="E627" s="23"/>
      <c r="F627" s="23"/>
      <c r="G627" s="23">
        <f>PinjamanTable[[#This Row],[Pokok (Rp) *]]+PinjamanTable[[#This Row],[Admin (Rp)]]</f>
        <v>0</v>
      </c>
      <c r="H627" s="24"/>
      <c r="I627" s="22"/>
      <c r="J627" s="21"/>
      <c r="K627" s="21"/>
    </row>
    <row r="628" spans="1:11" ht="21" customHeight="1">
      <c r="A628" s="21"/>
      <c r="B628" s="21"/>
      <c r="C628" s="20" t="str">
        <f>IF(B628="","",IF(COUNTIF('01_Anggota'!$D$5:$D$1212,B628)=0,"NAMA TIDAK DITEMUKAN",INDEX('01_Anggota'!$B$5:$B$1212,MATCH(B628,'01_Anggota'!$D$5:$D$1212,0))))</f>
        <v/>
      </c>
      <c r="D628" s="21"/>
      <c r="E628" s="23"/>
      <c r="F628" s="23"/>
      <c r="G628" s="23">
        <f>PinjamanTable[[#This Row],[Pokok (Rp) *]]+PinjamanTable[[#This Row],[Admin (Rp)]]</f>
        <v>0</v>
      </c>
      <c r="H628" s="24"/>
      <c r="I628" s="22"/>
      <c r="J628" s="21"/>
      <c r="K628" s="21"/>
    </row>
    <row r="629" spans="1:11" ht="21" customHeight="1">
      <c r="A629" s="21"/>
      <c r="B629" s="21"/>
      <c r="C629" s="20" t="str">
        <f>IF(B629="","",IF(COUNTIF('01_Anggota'!$D$5:$D$1212,B629)=0,"NAMA TIDAK DITEMUKAN",INDEX('01_Anggota'!$B$5:$B$1212,MATCH(B629,'01_Anggota'!$D$5:$D$1212,0))))</f>
        <v/>
      </c>
      <c r="D629" s="21"/>
      <c r="E629" s="23"/>
      <c r="F629" s="23"/>
      <c r="G629" s="23">
        <f>PinjamanTable[[#This Row],[Pokok (Rp) *]]+PinjamanTable[[#This Row],[Admin (Rp)]]</f>
        <v>0</v>
      </c>
      <c r="H629" s="24"/>
      <c r="I629" s="22"/>
      <c r="J629" s="21"/>
      <c r="K629" s="21"/>
    </row>
    <row r="630" spans="1:11" ht="21" customHeight="1">
      <c r="A630" s="21"/>
      <c r="B630" s="21"/>
      <c r="C630" s="20" t="str">
        <f>IF(B630="","",IF(COUNTIF('01_Anggota'!$D$5:$D$1212,B630)=0,"NAMA TIDAK DITEMUKAN",INDEX('01_Anggota'!$B$5:$B$1212,MATCH(B630,'01_Anggota'!$D$5:$D$1212,0))))</f>
        <v/>
      </c>
      <c r="D630" s="21"/>
      <c r="E630" s="23"/>
      <c r="F630" s="23"/>
      <c r="G630" s="23">
        <f>PinjamanTable[[#This Row],[Pokok (Rp) *]]+PinjamanTable[[#This Row],[Admin (Rp)]]</f>
        <v>0</v>
      </c>
      <c r="H630" s="24"/>
      <c r="I630" s="22"/>
      <c r="J630" s="21"/>
      <c r="K630" s="21"/>
    </row>
    <row r="631" spans="1:11" ht="21" customHeight="1">
      <c r="A631" s="21"/>
      <c r="B631" s="21"/>
      <c r="C631" s="20" t="str">
        <f>IF(B631="","",IF(COUNTIF('01_Anggota'!$D$5:$D$1212,B631)=0,"NAMA TIDAK DITEMUKAN",INDEX('01_Anggota'!$B$5:$B$1212,MATCH(B631,'01_Anggota'!$D$5:$D$1212,0))))</f>
        <v/>
      </c>
      <c r="D631" s="21"/>
      <c r="E631" s="23"/>
      <c r="F631" s="23"/>
      <c r="G631" s="23">
        <f>PinjamanTable[[#This Row],[Pokok (Rp) *]]+PinjamanTable[[#This Row],[Admin (Rp)]]</f>
        <v>0</v>
      </c>
      <c r="H631" s="24"/>
      <c r="I631" s="22"/>
      <c r="J631" s="21"/>
      <c r="K631" s="21"/>
    </row>
    <row r="632" spans="1:11" ht="21" customHeight="1">
      <c r="A632" s="21"/>
      <c r="B632" s="21"/>
      <c r="C632" s="20" t="str">
        <f>IF(B632="","",IF(COUNTIF('01_Anggota'!$D$5:$D$1212,B632)=0,"NAMA TIDAK DITEMUKAN",INDEX('01_Anggota'!$B$5:$B$1212,MATCH(B632,'01_Anggota'!$D$5:$D$1212,0))))</f>
        <v/>
      </c>
      <c r="D632" s="21"/>
      <c r="E632" s="23"/>
      <c r="F632" s="23"/>
      <c r="G632" s="23">
        <f>PinjamanTable[[#This Row],[Pokok (Rp) *]]+PinjamanTable[[#This Row],[Admin (Rp)]]</f>
        <v>0</v>
      </c>
      <c r="H632" s="24"/>
      <c r="I632" s="22"/>
      <c r="J632" s="21"/>
      <c r="K632" s="21"/>
    </row>
    <row r="633" spans="1:11" ht="21" customHeight="1">
      <c r="A633" s="21"/>
      <c r="B633" s="21"/>
      <c r="C633" s="20" t="str">
        <f>IF(B633="","",IF(COUNTIF('01_Anggota'!$D$5:$D$1212,B633)=0,"NAMA TIDAK DITEMUKAN",INDEX('01_Anggota'!$B$5:$B$1212,MATCH(B633,'01_Anggota'!$D$5:$D$1212,0))))</f>
        <v/>
      </c>
      <c r="D633" s="21"/>
      <c r="E633" s="23"/>
      <c r="F633" s="23"/>
      <c r="G633" s="23">
        <f>PinjamanTable[[#This Row],[Pokok (Rp) *]]+PinjamanTable[[#This Row],[Admin (Rp)]]</f>
        <v>0</v>
      </c>
      <c r="H633" s="24"/>
      <c r="I633" s="22"/>
      <c r="J633" s="21"/>
      <c r="K633" s="21"/>
    </row>
    <row r="634" spans="1:11" ht="21" customHeight="1">
      <c r="A634" s="21"/>
      <c r="B634" s="21"/>
      <c r="C634" s="20" t="str">
        <f>IF(B634="","",IF(COUNTIF('01_Anggota'!$D$5:$D$1212,B634)=0,"NAMA TIDAK DITEMUKAN",INDEX('01_Anggota'!$B$5:$B$1212,MATCH(B634,'01_Anggota'!$D$5:$D$1212,0))))</f>
        <v/>
      </c>
      <c r="D634" s="21"/>
      <c r="E634" s="23"/>
      <c r="F634" s="23"/>
      <c r="G634" s="23">
        <f>PinjamanTable[[#This Row],[Pokok (Rp) *]]+PinjamanTable[[#This Row],[Admin (Rp)]]</f>
        <v>0</v>
      </c>
      <c r="H634" s="24"/>
      <c r="I634" s="22"/>
      <c r="J634" s="21"/>
      <c r="K634" s="21"/>
    </row>
    <row r="635" spans="1:11" ht="21" customHeight="1">
      <c r="A635" s="21"/>
      <c r="B635" s="21"/>
      <c r="C635" s="20" t="str">
        <f>IF(B635="","",IF(COUNTIF('01_Anggota'!$D$5:$D$1212,B635)=0,"NAMA TIDAK DITEMUKAN",INDEX('01_Anggota'!$B$5:$B$1212,MATCH(B635,'01_Anggota'!$D$5:$D$1212,0))))</f>
        <v/>
      </c>
      <c r="D635" s="21"/>
      <c r="E635" s="23"/>
      <c r="F635" s="23"/>
      <c r="G635" s="23">
        <f>PinjamanTable[[#This Row],[Pokok (Rp) *]]+PinjamanTable[[#This Row],[Admin (Rp)]]</f>
        <v>0</v>
      </c>
      <c r="H635" s="24"/>
      <c r="I635" s="22"/>
      <c r="J635" s="21"/>
      <c r="K635" s="21"/>
    </row>
    <row r="636" spans="1:11" ht="21" customHeight="1">
      <c r="A636" s="21"/>
      <c r="B636" s="21"/>
      <c r="C636" s="20" t="str">
        <f>IF(B636="","",IF(COUNTIF('01_Anggota'!$D$5:$D$1212,B636)=0,"NAMA TIDAK DITEMUKAN",INDEX('01_Anggota'!$B$5:$B$1212,MATCH(B636,'01_Anggota'!$D$5:$D$1212,0))))</f>
        <v/>
      </c>
      <c r="D636" s="21"/>
      <c r="E636" s="23"/>
      <c r="F636" s="23"/>
      <c r="G636" s="23">
        <f>PinjamanTable[[#This Row],[Pokok (Rp) *]]+PinjamanTable[[#This Row],[Admin (Rp)]]</f>
        <v>0</v>
      </c>
      <c r="H636" s="24"/>
      <c r="I636" s="22"/>
      <c r="J636" s="21"/>
      <c r="K636" s="21"/>
    </row>
    <row r="637" spans="1:11" ht="21" customHeight="1">
      <c r="A637" s="21"/>
      <c r="B637" s="21"/>
      <c r="C637" s="20" t="str">
        <f>IF(B637="","",IF(COUNTIF('01_Anggota'!$D$5:$D$1212,B637)=0,"NAMA TIDAK DITEMUKAN",INDEX('01_Anggota'!$B$5:$B$1212,MATCH(B637,'01_Anggota'!$D$5:$D$1212,0))))</f>
        <v/>
      </c>
      <c r="D637" s="21"/>
      <c r="E637" s="23"/>
      <c r="F637" s="23"/>
      <c r="G637" s="23">
        <f>PinjamanTable[[#This Row],[Pokok (Rp) *]]+PinjamanTable[[#This Row],[Admin (Rp)]]</f>
        <v>0</v>
      </c>
      <c r="H637" s="24"/>
      <c r="I637" s="22"/>
      <c r="J637" s="21"/>
      <c r="K637" s="21"/>
    </row>
    <row r="638" spans="1:11" ht="21" customHeight="1">
      <c r="A638" s="21"/>
      <c r="B638" s="21"/>
      <c r="C638" s="20" t="str">
        <f>IF(B638="","",IF(COUNTIF('01_Anggota'!$D$5:$D$1212,B638)=0,"NAMA TIDAK DITEMUKAN",INDEX('01_Anggota'!$B$5:$B$1212,MATCH(B638,'01_Anggota'!$D$5:$D$1212,0))))</f>
        <v/>
      </c>
      <c r="D638" s="21"/>
      <c r="E638" s="23"/>
      <c r="F638" s="23"/>
      <c r="G638" s="23">
        <f>PinjamanTable[[#This Row],[Pokok (Rp) *]]+PinjamanTable[[#This Row],[Admin (Rp)]]</f>
        <v>0</v>
      </c>
      <c r="H638" s="24"/>
      <c r="I638" s="22"/>
      <c r="J638" s="21"/>
      <c r="K638" s="21"/>
    </row>
    <row r="639" spans="1:11" ht="21" customHeight="1">
      <c r="A639" s="21"/>
      <c r="B639" s="21"/>
      <c r="C639" s="20" t="str">
        <f>IF(B639="","",IF(COUNTIF('01_Anggota'!$D$5:$D$1212,B639)=0,"NAMA TIDAK DITEMUKAN",INDEX('01_Anggota'!$B$5:$B$1212,MATCH(B639,'01_Anggota'!$D$5:$D$1212,0))))</f>
        <v/>
      </c>
      <c r="D639" s="21"/>
      <c r="E639" s="23"/>
      <c r="F639" s="23"/>
      <c r="G639" s="23">
        <f>PinjamanTable[[#This Row],[Pokok (Rp) *]]+PinjamanTable[[#This Row],[Admin (Rp)]]</f>
        <v>0</v>
      </c>
      <c r="H639" s="24"/>
      <c r="I639" s="22"/>
      <c r="J639" s="21"/>
      <c r="K639" s="21"/>
    </row>
    <row r="640" spans="1:11" ht="21" customHeight="1">
      <c r="A640" s="21"/>
      <c r="B640" s="21"/>
      <c r="C640" s="20" t="str">
        <f>IF(B640="","",IF(COUNTIF('01_Anggota'!$D$5:$D$1212,B640)=0,"NAMA TIDAK DITEMUKAN",INDEX('01_Anggota'!$B$5:$B$1212,MATCH(B640,'01_Anggota'!$D$5:$D$1212,0))))</f>
        <v/>
      </c>
      <c r="D640" s="21"/>
      <c r="E640" s="23"/>
      <c r="F640" s="23"/>
      <c r="G640" s="23">
        <f>PinjamanTable[[#This Row],[Pokok (Rp) *]]+PinjamanTable[[#This Row],[Admin (Rp)]]</f>
        <v>0</v>
      </c>
      <c r="H640" s="24"/>
      <c r="I640" s="22"/>
      <c r="J640" s="21"/>
      <c r="K640" s="21"/>
    </row>
    <row r="641" spans="1:11" ht="21" customHeight="1">
      <c r="A641" s="21"/>
      <c r="B641" s="21"/>
      <c r="C641" s="20" t="str">
        <f>IF(B641="","",IF(COUNTIF('01_Anggota'!$D$5:$D$1212,B641)=0,"NAMA TIDAK DITEMUKAN",INDEX('01_Anggota'!$B$5:$B$1212,MATCH(B641,'01_Anggota'!$D$5:$D$1212,0))))</f>
        <v/>
      </c>
      <c r="D641" s="21"/>
      <c r="E641" s="23"/>
      <c r="F641" s="23"/>
      <c r="G641" s="23">
        <f>PinjamanTable[[#This Row],[Pokok (Rp) *]]+PinjamanTable[[#This Row],[Admin (Rp)]]</f>
        <v>0</v>
      </c>
      <c r="H641" s="24"/>
      <c r="I641" s="22"/>
      <c r="J641" s="21"/>
      <c r="K641" s="21"/>
    </row>
    <row r="642" spans="1:11" ht="21" customHeight="1">
      <c r="A642" s="21"/>
      <c r="B642" s="21"/>
      <c r="C642" s="20" t="str">
        <f>IF(B642="","",IF(COUNTIF('01_Anggota'!$D$5:$D$1212,B642)=0,"NAMA TIDAK DITEMUKAN",INDEX('01_Anggota'!$B$5:$B$1212,MATCH(B642,'01_Anggota'!$D$5:$D$1212,0))))</f>
        <v/>
      </c>
      <c r="D642" s="21"/>
      <c r="E642" s="23"/>
      <c r="F642" s="23"/>
      <c r="G642" s="23">
        <f>PinjamanTable[[#This Row],[Pokok (Rp) *]]+PinjamanTable[[#This Row],[Admin (Rp)]]</f>
        <v>0</v>
      </c>
      <c r="H642" s="24"/>
      <c r="I642" s="22"/>
      <c r="J642" s="21"/>
      <c r="K642" s="21"/>
    </row>
    <row r="643" spans="1:11" ht="21" customHeight="1">
      <c r="A643" s="21"/>
      <c r="B643" s="21"/>
      <c r="C643" s="20" t="str">
        <f>IF(B643="","",IF(COUNTIF('01_Anggota'!$D$5:$D$1212,B643)=0,"NAMA TIDAK DITEMUKAN",INDEX('01_Anggota'!$B$5:$B$1212,MATCH(B643,'01_Anggota'!$D$5:$D$1212,0))))</f>
        <v/>
      </c>
      <c r="D643" s="21"/>
      <c r="E643" s="23"/>
      <c r="F643" s="23"/>
      <c r="G643" s="23">
        <f>PinjamanTable[[#This Row],[Pokok (Rp) *]]+PinjamanTable[[#This Row],[Admin (Rp)]]</f>
        <v>0</v>
      </c>
      <c r="H643" s="24"/>
      <c r="I643" s="22"/>
      <c r="J643" s="21"/>
      <c r="K643" s="21"/>
    </row>
    <row r="644" spans="1:11" ht="21" customHeight="1">
      <c r="A644" s="21"/>
      <c r="B644" s="21"/>
      <c r="C644" s="20" t="str">
        <f>IF(B644="","",IF(COUNTIF('01_Anggota'!$D$5:$D$1212,B644)=0,"NAMA TIDAK DITEMUKAN",INDEX('01_Anggota'!$B$5:$B$1212,MATCH(B644,'01_Anggota'!$D$5:$D$1212,0))))</f>
        <v/>
      </c>
      <c r="D644" s="21"/>
      <c r="E644" s="23"/>
      <c r="F644" s="23"/>
      <c r="G644" s="23">
        <f>PinjamanTable[[#This Row],[Pokok (Rp) *]]+PinjamanTable[[#This Row],[Admin (Rp)]]</f>
        <v>0</v>
      </c>
      <c r="H644" s="24"/>
      <c r="I644" s="22"/>
      <c r="J644" s="21"/>
      <c r="K644" s="21"/>
    </row>
    <row r="645" spans="1:11" ht="21" customHeight="1">
      <c r="A645" s="21"/>
      <c r="B645" s="21"/>
      <c r="C645" s="20" t="str">
        <f>IF(B645="","",IF(COUNTIF('01_Anggota'!$D$5:$D$1212,B645)=0,"NAMA TIDAK DITEMUKAN",INDEX('01_Anggota'!$B$5:$B$1212,MATCH(B645,'01_Anggota'!$D$5:$D$1212,0))))</f>
        <v/>
      </c>
      <c r="D645" s="21"/>
      <c r="E645" s="23"/>
      <c r="F645" s="23"/>
      <c r="G645" s="23">
        <f>PinjamanTable[[#This Row],[Pokok (Rp) *]]+PinjamanTable[[#This Row],[Admin (Rp)]]</f>
        <v>0</v>
      </c>
      <c r="H645" s="24"/>
      <c r="I645" s="22"/>
      <c r="J645" s="21"/>
      <c r="K645" s="21"/>
    </row>
    <row r="646" spans="1:11" ht="21" customHeight="1">
      <c r="A646" s="21"/>
      <c r="B646" s="21"/>
      <c r="C646" s="20" t="str">
        <f>IF(B646="","",IF(COUNTIF('01_Anggota'!$D$5:$D$1212,B646)=0,"NAMA TIDAK DITEMUKAN",INDEX('01_Anggota'!$B$5:$B$1212,MATCH(B646,'01_Anggota'!$D$5:$D$1212,0))))</f>
        <v/>
      </c>
      <c r="D646" s="21"/>
      <c r="E646" s="23"/>
      <c r="F646" s="23"/>
      <c r="G646" s="23">
        <f>PinjamanTable[[#This Row],[Pokok (Rp) *]]+PinjamanTable[[#This Row],[Admin (Rp)]]</f>
        <v>0</v>
      </c>
      <c r="H646" s="24"/>
      <c r="I646" s="22"/>
      <c r="J646" s="21"/>
      <c r="K646" s="21"/>
    </row>
    <row r="647" spans="1:11" ht="21" customHeight="1">
      <c r="A647" s="21"/>
      <c r="B647" s="21"/>
      <c r="C647" s="20" t="str">
        <f>IF(B647="","",IF(COUNTIF('01_Anggota'!$D$5:$D$1212,B647)=0,"NAMA TIDAK DITEMUKAN",INDEX('01_Anggota'!$B$5:$B$1212,MATCH(B647,'01_Anggota'!$D$5:$D$1212,0))))</f>
        <v/>
      </c>
      <c r="D647" s="21"/>
      <c r="E647" s="23"/>
      <c r="F647" s="23"/>
      <c r="G647" s="23">
        <f>PinjamanTable[[#This Row],[Pokok (Rp) *]]+PinjamanTable[[#This Row],[Admin (Rp)]]</f>
        <v>0</v>
      </c>
      <c r="H647" s="24"/>
      <c r="I647" s="22"/>
      <c r="J647" s="21"/>
      <c r="K647" s="21"/>
    </row>
    <row r="648" spans="1:11" ht="21" customHeight="1">
      <c r="A648" s="21"/>
      <c r="B648" s="21"/>
      <c r="C648" s="20" t="str">
        <f>IF(B648="","",IF(COUNTIF('01_Anggota'!$D$5:$D$1212,B648)=0,"NAMA TIDAK DITEMUKAN",INDEX('01_Anggota'!$B$5:$B$1212,MATCH(B648,'01_Anggota'!$D$5:$D$1212,0))))</f>
        <v/>
      </c>
      <c r="D648" s="21"/>
      <c r="E648" s="23"/>
      <c r="F648" s="23"/>
      <c r="G648" s="23">
        <f>PinjamanTable[[#This Row],[Pokok (Rp) *]]+PinjamanTable[[#This Row],[Admin (Rp)]]</f>
        <v>0</v>
      </c>
      <c r="H648" s="24"/>
      <c r="I648" s="22"/>
      <c r="J648" s="21"/>
      <c r="K648" s="21"/>
    </row>
    <row r="649" spans="1:11" ht="21" customHeight="1">
      <c r="A649" s="21"/>
      <c r="B649" s="21"/>
      <c r="C649" s="20" t="str">
        <f>IF(B649="","",IF(COUNTIF('01_Anggota'!$D$5:$D$1212,B649)=0,"NAMA TIDAK DITEMUKAN",INDEX('01_Anggota'!$B$5:$B$1212,MATCH(B649,'01_Anggota'!$D$5:$D$1212,0))))</f>
        <v/>
      </c>
      <c r="D649" s="21"/>
      <c r="E649" s="23"/>
      <c r="F649" s="23"/>
      <c r="G649" s="23">
        <f>PinjamanTable[[#This Row],[Pokok (Rp) *]]+PinjamanTable[[#This Row],[Admin (Rp)]]</f>
        <v>0</v>
      </c>
      <c r="H649" s="24"/>
      <c r="I649" s="22"/>
      <c r="J649" s="21"/>
      <c r="K649" s="21"/>
    </row>
    <row r="650" spans="1:11" ht="21" customHeight="1">
      <c r="A650" s="21"/>
      <c r="B650" s="21"/>
      <c r="C650" s="20" t="str">
        <f>IF(B650="","",IF(COUNTIF('01_Anggota'!$D$5:$D$1212,B650)=0,"NAMA TIDAK DITEMUKAN",INDEX('01_Anggota'!$B$5:$B$1212,MATCH(B650,'01_Anggota'!$D$5:$D$1212,0))))</f>
        <v/>
      </c>
      <c r="D650" s="21"/>
      <c r="E650" s="23"/>
      <c r="F650" s="23"/>
      <c r="G650" s="23">
        <f>PinjamanTable[[#This Row],[Pokok (Rp) *]]+PinjamanTable[[#This Row],[Admin (Rp)]]</f>
        <v>0</v>
      </c>
      <c r="H650" s="24"/>
      <c r="I650" s="22"/>
      <c r="J650" s="21"/>
      <c r="K650" s="21"/>
    </row>
    <row r="651" spans="1:11" ht="21" customHeight="1">
      <c r="A651" s="21"/>
      <c r="B651" s="21"/>
      <c r="C651" s="20" t="str">
        <f>IF(B651="","",IF(COUNTIF('01_Anggota'!$D$5:$D$1212,B651)=0,"NAMA TIDAK DITEMUKAN",INDEX('01_Anggota'!$B$5:$B$1212,MATCH(B651,'01_Anggota'!$D$5:$D$1212,0))))</f>
        <v/>
      </c>
      <c r="D651" s="21"/>
      <c r="E651" s="23"/>
      <c r="F651" s="23"/>
      <c r="G651" s="23">
        <f>PinjamanTable[[#This Row],[Pokok (Rp) *]]+PinjamanTable[[#This Row],[Admin (Rp)]]</f>
        <v>0</v>
      </c>
      <c r="H651" s="24"/>
      <c r="I651" s="22"/>
      <c r="J651" s="21"/>
      <c r="K651" s="21"/>
    </row>
    <row r="652" spans="1:11" ht="21" customHeight="1">
      <c r="A652" s="21"/>
      <c r="B652" s="21"/>
      <c r="C652" s="20" t="str">
        <f>IF(B652="","",IF(COUNTIF('01_Anggota'!$D$5:$D$1212,B652)=0,"NAMA TIDAK DITEMUKAN",INDEX('01_Anggota'!$B$5:$B$1212,MATCH(B652,'01_Anggota'!$D$5:$D$1212,0))))</f>
        <v/>
      </c>
      <c r="D652" s="21"/>
      <c r="E652" s="23"/>
      <c r="F652" s="23"/>
      <c r="G652" s="23">
        <f>PinjamanTable[[#This Row],[Pokok (Rp) *]]+PinjamanTable[[#This Row],[Admin (Rp)]]</f>
        <v>0</v>
      </c>
      <c r="H652" s="24"/>
      <c r="I652" s="22"/>
      <c r="J652" s="21"/>
      <c r="K652" s="21"/>
    </row>
    <row r="653" spans="1:11" ht="21" customHeight="1">
      <c r="A653" s="21"/>
      <c r="B653" s="21"/>
      <c r="C653" s="20" t="str">
        <f>IF(B653="","",IF(COUNTIF('01_Anggota'!$D$5:$D$1212,B653)=0,"NAMA TIDAK DITEMUKAN",INDEX('01_Anggota'!$B$5:$B$1212,MATCH(B653,'01_Anggota'!$D$5:$D$1212,0))))</f>
        <v/>
      </c>
      <c r="D653" s="21"/>
      <c r="E653" s="23"/>
      <c r="F653" s="23"/>
      <c r="G653" s="23">
        <f>PinjamanTable[[#This Row],[Pokok (Rp) *]]+PinjamanTable[[#This Row],[Admin (Rp)]]</f>
        <v>0</v>
      </c>
      <c r="H653" s="24"/>
      <c r="I653" s="22"/>
      <c r="J653" s="21"/>
      <c r="K653" s="21"/>
    </row>
    <row r="654" spans="1:11" ht="21" customHeight="1">
      <c r="A654" s="21"/>
      <c r="B654" s="21"/>
      <c r="C654" s="20" t="str">
        <f>IF(B654="","",IF(COUNTIF('01_Anggota'!$D$5:$D$1212,B654)=0,"NAMA TIDAK DITEMUKAN",INDEX('01_Anggota'!$B$5:$B$1212,MATCH(B654,'01_Anggota'!$D$5:$D$1212,0))))</f>
        <v/>
      </c>
      <c r="D654" s="21"/>
      <c r="E654" s="23"/>
      <c r="F654" s="23"/>
      <c r="G654" s="23">
        <f>PinjamanTable[[#This Row],[Pokok (Rp) *]]+PinjamanTable[[#This Row],[Admin (Rp)]]</f>
        <v>0</v>
      </c>
      <c r="H654" s="24"/>
      <c r="I654" s="22"/>
      <c r="J654" s="21"/>
      <c r="K654" s="21"/>
    </row>
    <row r="655" spans="1:11" ht="21" customHeight="1">
      <c r="A655" s="21"/>
      <c r="B655" s="21"/>
      <c r="C655" s="20" t="str">
        <f>IF(B655="","",IF(COUNTIF('01_Anggota'!$D$5:$D$1212,B655)=0,"NAMA TIDAK DITEMUKAN",INDEX('01_Anggota'!$B$5:$B$1212,MATCH(B655,'01_Anggota'!$D$5:$D$1212,0))))</f>
        <v/>
      </c>
      <c r="D655" s="21"/>
      <c r="E655" s="23"/>
      <c r="F655" s="23"/>
      <c r="G655" s="23">
        <f>PinjamanTable[[#This Row],[Pokok (Rp) *]]+PinjamanTable[[#This Row],[Admin (Rp)]]</f>
        <v>0</v>
      </c>
      <c r="H655" s="24"/>
      <c r="I655" s="22"/>
      <c r="J655" s="21"/>
      <c r="K655" s="21"/>
    </row>
    <row r="656" spans="1:11" ht="21" customHeight="1">
      <c r="A656" s="21"/>
      <c r="B656" s="21"/>
      <c r="C656" s="20" t="str">
        <f>IF(B656="","",IF(COUNTIF('01_Anggota'!$D$5:$D$1212,B656)=0,"NAMA TIDAK DITEMUKAN",INDEX('01_Anggota'!$B$5:$B$1212,MATCH(B656,'01_Anggota'!$D$5:$D$1212,0))))</f>
        <v/>
      </c>
      <c r="D656" s="21"/>
      <c r="E656" s="23"/>
      <c r="F656" s="23"/>
      <c r="G656" s="23">
        <f>PinjamanTable[[#This Row],[Pokok (Rp) *]]+PinjamanTable[[#This Row],[Admin (Rp)]]</f>
        <v>0</v>
      </c>
      <c r="H656" s="24"/>
      <c r="I656" s="22"/>
      <c r="J656" s="21"/>
      <c r="K656" s="21"/>
    </row>
    <row r="657" spans="1:11" ht="21" customHeight="1">
      <c r="A657" s="21"/>
      <c r="B657" s="21"/>
      <c r="C657" s="20" t="str">
        <f>IF(B657="","",IF(COUNTIF('01_Anggota'!$D$5:$D$1212,B657)=0,"NAMA TIDAK DITEMUKAN",INDEX('01_Anggota'!$B$5:$B$1212,MATCH(B657,'01_Anggota'!$D$5:$D$1212,0))))</f>
        <v/>
      </c>
      <c r="D657" s="21"/>
      <c r="E657" s="23"/>
      <c r="F657" s="23"/>
      <c r="G657" s="23">
        <f>PinjamanTable[[#This Row],[Pokok (Rp) *]]+PinjamanTable[[#This Row],[Admin (Rp)]]</f>
        <v>0</v>
      </c>
      <c r="H657" s="24"/>
      <c r="I657" s="22"/>
      <c r="J657" s="21"/>
      <c r="K657" s="21"/>
    </row>
    <row r="658" spans="1:11" ht="21" customHeight="1">
      <c r="A658" s="21"/>
      <c r="B658" s="21"/>
      <c r="C658" s="20" t="str">
        <f>IF(B658="","",IF(COUNTIF('01_Anggota'!$D$5:$D$1212,B658)=0,"NAMA TIDAK DITEMUKAN",INDEX('01_Anggota'!$B$5:$B$1212,MATCH(B658,'01_Anggota'!$D$5:$D$1212,0))))</f>
        <v/>
      </c>
      <c r="D658" s="21"/>
      <c r="E658" s="23"/>
      <c r="F658" s="23"/>
      <c r="G658" s="23">
        <f>PinjamanTable[[#This Row],[Pokok (Rp) *]]+PinjamanTable[[#This Row],[Admin (Rp)]]</f>
        <v>0</v>
      </c>
      <c r="H658" s="24"/>
      <c r="I658" s="22"/>
      <c r="J658" s="21"/>
      <c r="K658" s="21"/>
    </row>
    <row r="659" spans="1:11" ht="21" customHeight="1">
      <c r="A659" s="21"/>
      <c r="B659" s="21"/>
      <c r="C659" s="20" t="str">
        <f>IF(B659="","",IF(COUNTIF('01_Anggota'!$D$5:$D$1212,B659)=0,"NAMA TIDAK DITEMUKAN",INDEX('01_Anggota'!$B$5:$B$1212,MATCH(B659,'01_Anggota'!$D$5:$D$1212,0))))</f>
        <v/>
      </c>
      <c r="D659" s="21"/>
      <c r="E659" s="23"/>
      <c r="F659" s="23"/>
      <c r="G659" s="23">
        <f>PinjamanTable[[#This Row],[Pokok (Rp) *]]+PinjamanTable[[#This Row],[Admin (Rp)]]</f>
        <v>0</v>
      </c>
      <c r="H659" s="24"/>
      <c r="I659" s="22"/>
      <c r="J659" s="21"/>
      <c r="K659" s="21"/>
    </row>
    <row r="660" spans="1:11" ht="21" customHeight="1">
      <c r="A660" s="21"/>
      <c r="B660" s="21"/>
      <c r="C660" s="20" t="str">
        <f>IF(B660="","",IF(COUNTIF('01_Anggota'!$D$5:$D$1212,B660)=0,"NAMA TIDAK DITEMUKAN",INDEX('01_Anggota'!$B$5:$B$1212,MATCH(B660,'01_Anggota'!$D$5:$D$1212,0))))</f>
        <v/>
      </c>
      <c r="D660" s="21"/>
      <c r="E660" s="23"/>
      <c r="F660" s="23"/>
      <c r="G660" s="23">
        <f>PinjamanTable[[#This Row],[Pokok (Rp) *]]+PinjamanTable[[#This Row],[Admin (Rp)]]</f>
        <v>0</v>
      </c>
      <c r="H660" s="24"/>
      <c r="I660" s="22"/>
      <c r="J660" s="21"/>
      <c r="K660" s="21"/>
    </row>
    <row r="661" spans="1:11" ht="21" customHeight="1">
      <c r="A661" s="21"/>
      <c r="B661" s="21"/>
      <c r="C661" s="20" t="str">
        <f>IF(B661="","",IF(COUNTIF('01_Anggota'!$D$5:$D$1212,B661)=0,"NAMA TIDAK DITEMUKAN",INDEX('01_Anggota'!$B$5:$B$1212,MATCH(B661,'01_Anggota'!$D$5:$D$1212,0))))</f>
        <v/>
      </c>
      <c r="D661" s="21"/>
      <c r="E661" s="23"/>
      <c r="F661" s="23"/>
      <c r="G661" s="23">
        <f>PinjamanTable[[#This Row],[Pokok (Rp) *]]+PinjamanTable[[#This Row],[Admin (Rp)]]</f>
        <v>0</v>
      </c>
      <c r="H661" s="24"/>
      <c r="I661" s="22"/>
      <c r="J661" s="21"/>
      <c r="K661" s="21"/>
    </row>
    <row r="662" spans="1:11" ht="21" customHeight="1">
      <c r="A662" s="21"/>
      <c r="B662" s="21"/>
      <c r="C662" s="20" t="str">
        <f>IF(B662="","",IF(COUNTIF('01_Anggota'!$D$5:$D$1212,B662)=0,"NAMA TIDAK DITEMUKAN",INDEX('01_Anggota'!$B$5:$B$1212,MATCH(B662,'01_Anggota'!$D$5:$D$1212,0))))</f>
        <v/>
      </c>
      <c r="D662" s="21"/>
      <c r="E662" s="23"/>
      <c r="F662" s="23"/>
      <c r="G662" s="23">
        <f>PinjamanTable[[#This Row],[Pokok (Rp) *]]+PinjamanTable[[#This Row],[Admin (Rp)]]</f>
        <v>0</v>
      </c>
      <c r="H662" s="24"/>
      <c r="I662" s="22"/>
      <c r="J662" s="21"/>
      <c r="K662" s="21"/>
    </row>
    <row r="663" spans="1:11" ht="21" customHeight="1">
      <c r="A663" s="21"/>
      <c r="B663" s="21"/>
      <c r="C663" s="20" t="str">
        <f>IF(B663="","",IF(COUNTIF('01_Anggota'!$D$5:$D$1212,B663)=0,"NAMA TIDAK DITEMUKAN",INDEX('01_Anggota'!$B$5:$B$1212,MATCH(B663,'01_Anggota'!$D$5:$D$1212,0))))</f>
        <v/>
      </c>
      <c r="D663" s="21"/>
      <c r="E663" s="23"/>
      <c r="F663" s="23"/>
      <c r="G663" s="23">
        <f>PinjamanTable[[#This Row],[Pokok (Rp) *]]+PinjamanTable[[#This Row],[Admin (Rp)]]</f>
        <v>0</v>
      </c>
      <c r="H663" s="24"/>
      <c r="I663" s="22"/>
      <c r="J663" s="21"/>
      <c r="K663" s="21"/>
    </row>
    <row r="664" spans="1:11" ht="21" customHeight="1">
      <c r="A664" s="21"/>
      <c r="B664" s="21"/>
      <c r="C664" s="20" t="str">
        <f>IF(B664="","",IF(COUNTIF('01_Anggota'!$D$5:$D$1212,B664)=0,"NAMA TIDAK DITEMUKAN",INDEX('01_Anggota'!$B$5:$B$1212,MATCH(B664,'01_Anggota'!$D$5:$D$1212,0))))</f>
        <v/>
      </c>
      <c r="D664" s="21"/>
      <c r="E664" s="23"/>
      <c r="F664" s="23"/>
      <c r="G664" s="23">
        <f>PinjamanTable[[#This Row],[Pokok (Rp) *]]+PinjamanTable[[#This Row],[Admin (Rp)]]</f>
        <v>0</v>
      </c>
      <c r="H664" s="24"/>
      <c r="I664" s="22"/>
      <c r="J664" s="21"/>
      <c r="K664" s="21"/>
    </row>
    <row r="665" spans="1:11" ht="21" customHeight="1">
      <c r="A665" s="21"/>
      <c r="B665" s="21"/>
      <c r="C665" s="20" t="str">
        <f>IF(B665="","",IF(COUNTIF('01_Anggota'!$D$5:$D$1212,B665)=0,"NAMA TIDAK DITEMUKAN",INDEX('01_Anggota'!$B$5:$B$1212,MATCH(B665,'01_Anggota'!$D$5:$D$1212,0))))</f>
        <v/>
      </c>
      <c r="D665" s="21"/>
      <c r="E665" s="23"/>
      <c r="F665" s="23"/>
      <c r="G665" s="23">
        <f>PinjamanTable[[#This Row],[Pokok (Rp) *]]+PinjamanTable[[#This Row],[Admin (Rp)]]</f>
        <v>0</v>
      </c>
      <c r="H665" s="24"/>
      <c r="I665" s="22"/>
      <c r="J665" s="21"/>
      <c r="K665" s="21"/>
    </row>
    <row r="666" spans="1:11" ht="21" customHeight="1">
      <c r="A666" s="21"/>
      <c r="B666" s="21"/>
      <c r="C666" s="20" t="str">
        <f>IF(B666="","",IF(COUNTIF('01_Anggota'!$D$5:$D$1212,B666)=0,"NAMA TIDAK DITEMUKAN",INDEX('01_Anggota'!$B$5:$B$1212,MATCH(B666,'01_Anggota'!$D$5:$D$1212,0))))</f>
        <v/>
      </c>
      <c r="D666" s="21"/>
      <c r="E666" s="23"/>
      <c r="F666" s="23"/>
      <c r="G666" s="23">
        <f>PinjamanTable[[#This Row],[Pokok (Rp) *]]+PinjamanTable[[#This Row],[Admin (Rp)]]</f>
        <v>0</v>
      </c>
      <c r="H666" s="24"/>
      <c r="I666" s="22"/>
      <c r="J666" s="21"/>
      <c r="K666" s="21"/>
    </row>
    <row r="667" spans="1:11" ht="21" customHeight="1">
      <c r="A667" s="21"/>
      <c r="B667" s="21"/>
      <c r="C667" s="20" t="str">
        <f>IF(B667="","",IF(COUNTIF('01_Anggota'!$D$5:$D$1212,B667)=0,"NAMA TIDAK DITEMUKAN",INDEX('01_Anggota'!$B$5:$B$1212,MATCH(B667,'01_Anggota'!$D$5:$D$1212,0))))</f>
        <v/>
      </c>
      <c r="D667" s="21"/>
      <c r="E667" s="23"/>
      <c r="F667" s="23"/>
      <c r="G667" s="23">
        <f>PinjamanTable[[#This Row],[Pokok (Rp) *]]+PinjamanTable[[#This Row],[Admin (Rp)]]</f>
        <v>0</v>
      </c>
      <c r="H667" s="24"/>
      <c r="I667" s="22"/>
      <c r="J667" s="21"/>
      <c r="K667" s="21"/>
    </row>
    <row r="668" spans="1:11" ht="21" customHeight="1">
      <c r="A668" s="21"/>
      <c r="B668" s="21"/>
      <c r="C668" s="20" t="str">
        <f>IF(B668="","",IF(COUNTIF('01_Anggota'!$D$5:$D$1212,B668)=0,"NAMA TIDAK DITEMUKAN",INDEX('01_Anggota'!$B$5:$B$1212,MATCH(B668,'01_Anggota'!$D$5:$D$1212,0))))</f>
        <v/>
      </c>
      <c r="D668" s="21"/>
      <c r="E668" s="23"/>
      <c r="F668" s="23"/>
      <c r="G668" s="23">
        <f>PinjamanTable[[#This Row],[Pokok (Rp) *]]+PinjamanTable[[#This Row],[Admin (Rp)]]</f>
        <v>0</v>
      </c>
      <c r="H668" s="24"/>
      <c r="I668" s="22"/>
      <c r="J668" s="21"/>
      <c r="K668" s="21"/>
    </row>
    <row r="669" spans="1:11" ht="21" customHeight="1">
      <c r="A669" s="21"/>
      <c r="B669" s="21"/>
      <c r="C669" s="20" t="str">
        <f>IF(B669="","",IF(COUNTIF('01_Anggota'!$D$5:$D$1212,B669)=0,"NAMA TIDAK DITEMUKAN",INDEX('01_Anggota'!$B$5:$B$1212,MATCH(B669,'01_Anggota'!$D$5:$D$1212,0))))</f>
        <v/>
      </c>
      <c r="D669" s="21"/>
      <c r="E669" s="23"/>
      <c r="F669" s="23"/>
      <c r="G669" s="23">
        <f>PinjamanTable[[#This Row],[Pokok (Rp) *]]+PinjamanTable[[#This Row],[Admin (Rp)]]</f>
        <v>0</v>
      </c>
      <c r="H669" s="24"/>
      <c r="I669" s="22"/>
      <c r="J669" s="21"/>
      <c r="K669" s="21"/>
    </row>
    <row r="670" spans="1:11" ht="21" customHeight="1">
      <c r="A670" s="21"/>
      <c r="B670" s="21"/>
      <c r="C670" s="20" t="str">
        <f>IF(B670="","",IF(COUNTIF('01_Anggota'!$D$5:$D$1212,B670)=0,"NAMA TIDAK DITEMUKAN",INDEX('01_Anggota'!$B$5:$B$1212,MATCH(B670,'01_Anggota'!$D$5:$D$1212,0))))</f>
        <v/>
      </c>
      <c r="D670" s="21"/>
      <c r="E670" s="23"/>
      <c r="F670" s="23"/>
      <c r="G670" s="23">
        <f>PinjamanTable[[#This Row],[Pokok (Rp) *]]+PinjamanTable[[#This Row],[Admin (Rp)]]</f>
        <v>0</v>
      </c>
      <c r="H670" s="24"/>
      <c r="I670" s="22"/>
      <c r="J670" s="21"/>
      <c r="K670" s="21"/>
    </row>
    <row r="671" spans="1:11" ht="21" customHeight="1">
      <c r="A671" s="21"/>
      <c r="B671" s="21"/>
      <c r="C671" s="20" t="str">
        <f>IF(B671="","",IF(COUNTIF('01_Anggota'!$D$5:$D$1212,B671)=0,"NAMA TIDAK DITEMUKAN",INDEX('01_Anggota'!$B$5:$B$1212,MATCH(B671,'01_Anggota'!$D$5:$D$1212,0))))</f>
        <v/>
      </c>
      <c r="D671" s="21"/>
      <c r="E671" s="23"/>
      <c r="F671" s="23"/>
      <c r="G671" s="23">
        <f>PinjamanTable[[#This Row],[Pokok (Rp) *]]+PinjamanTable[[#This Row],[Admin (Rp)]]</f>
        <v>0</v>
      </c>
      <c r="H671" s="24"/>
      <c r="I671" s="22"/>
      <c r="J671" s="21"/>
      <c r="K671" s="21"/>
    </row>
    <row r="672" spans="1:11" ht="21" customHeight="1">
      <c r="A672" s="21"/>
      <c r="B672" s="21"/>
      <c r="C672" s="20" t="str">
        <f>IF(B672="","",IF(COUNTIF('01_Anggota'!$D$5:$D$1212,B672)=0,"NAMA TIDAK DITEMUKAN",INDEX('01_Anggota'!$B$5:$B$1212,MATCH(B672,'01_Anggota'!$D$5:$D$1212,0))))</f>
        <v/>
      </c>
      <c r="D672" s="21"/>
      <c r="E672" s="23"/>
      <c r="F672" s="23"/>
      <c r="G672" s="23">
        <f>PinjamanTable[[#This Row],[Pokok (Rp) *]]+PinjamanTable[[#This Row],[Admin (Rp)]]</f>
        <v>0</v>
      </c>
      <c r="H672" s="24"/>
      <c r="I672" s="22"/>
      <c r="J672" s="21"/>
      <c r="K672" s="21"/>
    </row>
    <row r="673" spans="1:11" ht="21" customHeight="1">
      <c r="A673" s="21"/>
      <c r="B673" s="21"/>
      <c r="C673" s="20" t="str">
        <f>IF(B673="","",IF(COUNTIF('01_Anggota'!$D$5:$D$1212,B673)=0,"NAMA TIDAK DITEMUKAN",INDEX('01_Anggota'!$B$5:$B$1212,MATCH(B673,'01_Anggota'!$D$5:$D$1212,0))))</f>
        <v/>
      </c>
      <c r="D673" s="21"/>
      <c r="E673" s="23"/>
      <c r="F673" s="23"/>
      <c r="G673" s="23">
        <f>PinjamanTable[[#This Row],[Pokok (Rp) *]]+PinjamanTable[[#This Row],[Admin (Rp)]]</f>
        <v>0</v>
      </c>
      <c r="H673" s="24"/>
      <c r="I673" s="22"/>
      <c r="J673" s="21"/>
      <c r="K673" s="21"/>
    </row>
    <row r="674" spans="1:11" ht="21" customHeight="1">
      <c r="A674" s="21"/>
      <c r="B674" s="21"/>
      <c r="C674" s="20" t="str">
        <f>IF(B674="","",IF(COUNTIF('01_Anggota'!$D$5:$D$1212,B674)=0,"NAMA TIDAK DITEMUKAN",INDEX('01_Anggota'!$B$5:$B$1212,MATCH(B674,'01_Anggota'!$D$5:$D$1212,0))))</f>
        <v/>
      </c>
      <c r="D674" s="21"/>
      <c r="E674" s="23"/>
      <c r="F674" s="23"/>
      <c r="G674" s="23">
        <f>PinjamanTable[[#This Row],[Pokok (Rp) *]]+PinjamanTable[[#This Row],[Admin (Rp)]]</f>
        <v>0</v>
      </c>
      <c r="H674" s="24"/>
      <c r="I674" s="22"/>
      <c r="J674" s="21"/>
      <c r="K674" s="21"/>
    </row>
    <row r="675" spans="1:11" ht="21" customHeight="1">
      <c r="A675" s="21"/>
      <c r="B675" s="21"/>
      <c r="C675" s="20" t="str">
        <f>IF(B675="","",IF(COUNTIF('01_Anggota'!$D$5:$D$1212,B675)=0,"NAMA TIDAK DITEMUKAN",INDEX('01_Anggota'!$B$5:$B$1212,MATCH(B675,'01_Anggota'!$D$5:$D$1212,0))))</f>
        <v/>
      </c>
      <c r="D675" s="21"/>
      <c r="E675" s="23"/>
      <c r="F675" s="23"/>
      <c r="G675" s="23">
        <f>PinjamanTable[[#This Row],[Pokok (Rp) *]]+PinjamanTable[[#This Row],[Admin (Rp)]]</f>
        <v>0</v>
      </c>
      <c r="H675" s="24"/>
      <c r="I675" s="22"/>
      <c r="J675" s="21"/>
      <c r="K675" s="21"/>
    </row>
    <row r="676" spans="1:11" ht="21" customHeight="1">
      <c r="A676" s="21"/>
      <c r="B676" s="21"/>
      <c r="C676" s="20" t="str">
        <f>IF(B676="","",IF(COUNTIF('01_Anggota'!$D$5:$D$1212,B676)=0,"NAMA TIDAK DITEMUKAN",INDEX('01_Anggota'!$B$5:$B$1212,MATCH(B676,'01_Anggota'!$D$5:$D$1212,0))))</f>
        <v/>
      </c>
      <c r="D676" s="21"/>
      <c r="E676" s="23"/>
      <c r="F676" s="23"/>
      <c r="G676" s="23">
        <f>PinjamanTable[[#This Row],[Pokok (Rp) *]]+PinjamanTable[[#This Row],[Admin (Rp)]]</f>
        <v>0</v>
      </c>
      <c r="H676" s="24"/>
      <c r="I676" s="22"/>
      <c r="J676" s="21"/>
      <c r="K676" s="21"/>
    </row>
    <row r="677" spans="1:11" ht="21" customHeight="1">
      <c r="A677" s="21"/>
      <c r="B677" s="21"/>
      <c r="C677" s="20" t="str">
        <f>IF(B677="","",IF(COUNTIF('01_Anggota'!$D$5:$D$1212,B677)=0,"NAMA TIDAK DITEMUKAN",INDEX('01_Anggota'!$B$5:$B$1212,MATCH(B677,'01_Anggota'!$D$5:$D$1212,0))))</f>
        <v/>
      </c>
      <c r="D677" s="21"/>
      <c r="E677" s="23"/>
      <c r="F677" s="23"/>
      <c r="G677" s="23">
        <f>PinjamanTable[[#This Row],[Pokok (Rp) *]]+PinjamanTable[[#This Row],[Admin (Rp)]]</f>
        <v>0</v>
      </c>
      <c r="H677" s="24"/>
      <c r="I677" s="22"/>
      <c r="J677" s="21"/>
      <c r="K677" s="21"/>
    </row>
    <row r="678" spans="1:11" ht="21" customHeight="1">
      <c r="A678" s="21"/>
      <c r="B678" s="21"/>
      <c r="C678" s="20" t="str">
        <f>IF(B678="","",IF(COUNTIF('01_Anggota'!$D$5:$D$1212,B678)=0,"NAMA TIDAK DITEMUKAN",INDEX('01_Anggota'!$B$5:$B$1212,MATCH(B678,'01_Anggota'!$D$5:$D$1212,0))))</f>
        <v/>
      </c>
      <c r="D678" s="21"/>
      <c r="E678" s="23"/>
      <c r="F678" s="23"/>
      <c r="G678" s="23">
        <f>PinjamanTable[[#This Row],[Pokok (Rp) *]]+PinjamanTable[[#This Row],[Admin (Rp)]]</f>
        <v>0</v>
      </c>
      <c r="H678" s="24"/>
      <c r="I678" s="22"/>
      <c r="J678" s="21"/>
      <c r="K678" s="21"/>
    </row>
    <row r="679" spans="1:11" ht="21" customHeight="1">
      <c r="A679" s="21"/>
      <c r="B679" s="21"/>
      <c r="C679" s="20" t="str">
        <f>IF(B679="","",IF(COUNTIF('01_Anggota'!$D$5:$D$1212,B679)=0,"NAMA TIDAK DITEMUKAN",INDEX('01_Anggota'!$B$5:$B$1212,MATCH(B679,'01_Anggota'!$D$5:$D$1212,0))))</f>
        <v/>
      </c>
      <c r="D679" s="21"/>
      <c r="E679" s="23"/>
      <c r="F679" s="23"/>
      <c r="G679" s="23">
        <f>PinjamanTable[[#This Row],[Pokok (Rp) *]]+PinjamanTable[[#This Row],[Admin (Rp)]]</f>
        <v>0</v>
      </c>
      <c r="H679" s="24"/>
      <c r="I679" s="22"/>
      <c r="J679" s="21"/>
      <c r="K679" s="21"/>
    </row>
    <row r="680" spans="1:11" ht="21" customHeight="1">
      <c r="A680" s="21"/>
      <c r="B680" s="21"/>
      <c r="C680" s="20" t="str">
        <f>IF(B680="","",IF(COUNTIF('01_Anggota'!$D$5:$D$1212,B680)=0,"NAMA TIDAK DITEMUKAN",INDEX('01_Anggota'!$B$5:$B$1212,MATCH(B680,'01_Anggota'!$D$5:$D$1212,0))))</f>
        <v/>
      </c>
      <c r="D680" s="21"/>
      <c r="E680" s="23"/>
      <c r="F680" s="23"/>
      <c r="G680" s="23">
        <f>PinjamanTable[[#This Row],[Pokok (Rp) *]]+PinjamanTable[[#This Row],[Admin (Rp)]]</f>
        <v>0</v>
      </c>
      <c r="H680" s="24"/>
      <c r="I680" s="22"/>
      <c r="J680" s="21"/>
      <c r="K680" s="21"/>
    </row>
    <row r="681" spans="1:11" ht="21" customHeight="1">
      <c r="A681" s="21"/>
      <c r="B681" s="21"/>
      <c r="C681" s="20" t="str">
        <f>IF(B681="","",IF(COUNTIF('01_Anggota'!$D$5:$D$1212,B681)=0,"NAMA TIDAK DITEMUKAN",INDEX('01_Anggota'!$B$5:$B$1212,MATCH(B681,'01_Anggota'!$D$5:$D$1212,0))))</f>
        <v/>
      </c>
      <c r="D681" s="21"/>
      <c r="E681" s="23"/>
      <c r="F681" s="23"/>
      <c r="G681" s="23">
        <f>PinjamanTable[[#This Row],[Pokok (Rp) *]]+PinjamanTable[[#This Row],[Admin (Rp)]]</f>
        <v>0</v>
      </c>
      <c r="H681" s="24"/>
      <c r="I681" s="22"/>
      <c r="J681" s="21"/>
      <c r="K681" s="21"/>
    </row>
    <row r="682" spans="1:11" ht="21" customHeight="1">
      <c r="A682" s="21"/>
      <c r="B682" s="21"/>
      <c r="C682" s="20" t="str">
        <f>IF(B682="","",IF(COUNTIF('01_Anggota'!$D$5:$D$1212,B682)=0,"NAMA TIDAK DITEMUKAN",INDEX('01_Anggota'!$B$5:$B$1212,MATCH(B682,'01_Anggota'!$D$5:$D$1212,0))))</f>
        <v/>
      </c>
      <c r="D682" s="21"/>
      <c r="E682" s="23"/>
      <c r="F682" s="23"/>
      <c r="G682" s="23">
        <f>PinjamanTable[[#This Row],[Pokok (Rp) *]]+PinjamanTable[[#This Row],[Admin (Rp)]]</f>
        <v>0</v>
      </c>
      <c r="H682" s="24"/>
      <c r="I682" s="22"/>
      <c r="J682" s="21"/>
      <c r="K682" s="21"/>
    </row>
    <row r="683" spans="1:11" ht="21" customHeight="1">
      <c r="A683" s="21"/>
      <c r="B683" s="21"/>
      <c r="C683" s="20" t="str">
        <f>IF(B683="","",IF(COUNTIF('01_Anggota'!$D$5:$D$1212,B683)=0,"NAMA TIDAK DITEMUKAN",INDEX('01_Anggota'!$B$5:$B$1212,MATCH(B683,'01_Anggota'!$D$5:$D$1212,0))))</f>
        <v/>
      </c>
      <c r="D683" s="21"/>
      <c r="E683" s="23"/>
      <c r="F683" s="23"/>
      <c r="G683" s="23">
        <f>PinjamanTable[[#This Row],[Pokok (Rp) *]]+PinjamanTable[[#This Row],[Admin (Rp)]]</f>
        <v>0</v>
      </c>
      <c r="H683" s="24"/>
      <c r="I683" s="22"/>
      <c r="J683" s="21"/>
      <c r="K683" s="21"/>
    </row>
    <row r="684" spans="1:11" ht="21" customHeight="1">
      <c r="A684" s="21"/>
      <c r="B684" s="21"/>
      <c r="C684" s="20" t="str">
        <f>IF(B684="","",IF(COUNTIF('01_Anggota'!$D$5:$D$1212,B684)=0,"NAMA TIDAK DITEMUKAN",INDEX('01_Anggota'!$B$5:$B$1212,MATCH(B684,'01_Anggota'!$D$5:$D$1212,0))))</f>
        <v/>
      </c>
      <c r="D684" s="21"/>
      <c r="E684" s="23"/>
      <c r="F684" s="23"/>
      <c r="G684" s="23">
        <f>PinjamanTable[[#This Row],[Pokok (Rp) *]]+PinjamanTable[[#This Row],[Admin (Rp)]]</f>
        <v>0</v>
      </c>
      <c r="H684" s="24"/>
      <c r="I684" s="22"/>
      <c r="J684" s="21"/>
      <c r="K684" s="21"/>
    </row>
    <row r="685" spans="1:11" ht="21" customHeight="1">
      <c r="A685" s="21"/>
      <c r="B685" s="21"/>
      <c r="C685" s="20" t="str">
        <f>IF(B685="","",IF(COUNTIF('01_Anggota'!$D$5:$D$1212,B685)=0,"NAMA TIDAK DITEMUKAN",INDEX('01_Anggota'!$B$5:$B$1212,MATCH(B685,'01_Anggota'!$D$5:$D$1212,0))))</f>
        <v/>
      </c>
      <c r="D685" s="21"/>
      <c r="E685" s="23"/>
      <c r="F685" s="23"/>
      <c r="G685" s="23">
        <f>PinjamanTable[[#This Row],[Pokok (Rp) *]]+PinjamanTable[[#This Row],[Admin (Rp)]]</f>
        <v>0</v>
      </c>
      <c r="H685" s="24"/>
      <c r="I685" s="22"/>
      <c r="J685" s="21"/>
      <c r="K685" s="21"/>
    </row>
    <row r="686" spans="1:11" ht="21" customHeight="1">
      <c r="A686" s="21"/>
      <c r="B686" s="21"/>
      <c r="C686" s="20" t="str">
        <f>IF(B686="","",IF(COUNTIF('01_Anggota'!$D$5:$D$1212,B686)=0,"NAMA TIDAK DITEMUKAN",INDEX('01_Anggota'!$B$5:$B$1212,MATCH(B686,'01_Anggota'!$D$5:$D$1212,0))))</f>
        <v/>
      </c>
      <c r="D686" s="21"/>
      <c r="E686" s="23"/>
      <c r="F686" s="23"/>
      <c r="G686" s="23">
        <f>PinjamanTable[[#This Row],[Pokok (Rp) *]]+PinjamanTable[[#This Row],[Admin (Rp)]]</f>
        <v>0</v>
      </c>
      <c r="H686" s="24"/>
      <c r="I686" s="22"/>
      <c r="J686" s="21"/>
      <c r="K686" s="21"/>
    </row>
    <row r="687" spans="1:11" ht="21" customHeight="1">
      <c r="A687" s="21"/>
      <c r="B687" s="21"/>
      <c r="C687" s="20" t="str">
        <f>IF(B687="","",IF(COUNTIF('01_Anggota'!$D$5:$D$1212,B687)=0,"NAMA TIDAK DITEMUKAN",INDEX('01_Anggota'!$B$5:$B$1212,MATCH(B687,'01_Anggota'!$D$5:$D$1212,0))))</f>
        <v/>
      </c>
      <c r="D687" s="21"/>
      <c r="E687" s="23"/>
      <c r="F687" s="23"/>
      <c r="G687" s="23">
        <f>PinjamanTable[[#This Row],[Pokok (Rp) *]]+PinjamanTable[[#This Row],[Admin (Rp)]]</f>
        <v>0</v>
      </c>
      <c r="H687" s="24"/>
      <c r="I687" s="22"/>
      <c r="J687" s="21"/>
      <c r="K687" s="21"/>
    </row>
    <row r="688" spans="1:11" ht="21" customHeight="1">
      <c r="A688" s="21"/>
      <c r="B688" s="21"/>
      <c r="C688" s="20" t="str">
        <f>IF(B688="","",IF(COUNTIF('01_Anggota'!$D$5:$D$1212,B688)=0,"NAMA TIDAK DITEMUKAN",INDEX('01_Anggota'!$B$5:$B$1212,MATCH(B688,'01_Anggota'!$D$5:$D$1212,0))))</f>
        <v/>
      </c>
      <c r="D688" s="21"/>
      <c r="E688" s="23"/>
      <c r="F688" s="23"/>
      <c r="G688" s="23">
        <f>PinjamanTable[[#This Row],[Pokok (Rp) *]]+PinjamanTable[[#This Row],[Admin (Rp)]]</f>
        <v>0</v>
      </c>
      <c r="H688" s="24"/>
      <c r="I688" s="22"/>
      <c r="J688" s="21"/>
      <c r="K688" s="21"/>
    </row>
    <row r="689" spans="1:11" ht="21" customHeight="1">
      <c r="A689" s="21"/>
      <c r="B689" s="21"/>
      <c r="C689" s="20" t="str">
        <f>IF(B689="","",IF(COUNTIF('01_Anggota'!$D$5:$D$1212,B689)=0,"NAMA TIDAK DITEMUKAN",INDEX('01_Anggota'!$B$5:$B$1212,MATCH(B689,'01_Anggota'!$D$5:$D$1212,0))))</f>
        <v/>
      </c>
      <c r="D689" s="21"/>
      <c r="E689" s="23"/>
      <c r="F689" s="23"/>
      <c r="G689" s="23">
        <f>PinjamanTable[[#This Row],[Pokok (Rp) *]]+PinjamanTable[[#This Row],[Admin (Rp)]]</f>
        <v>0</v>
      </c>
      <c r="H689" s="24"/>
      <c r="I689" s="22"/>
      <c r="J689" s="21"/>
      <c r="K689" s="21"/>
    </row>
    <row r="690" spans="1:11" ht="21" customHeight="1">
      <c r="A690" s="21"/>
      <c r="B690" s="21"/>
      <c r="C690" s="20" t="str">
        <f>IF(B690="","",IF(COUNTIF('01_Anggota'!$D$5:$D$1212,B690)=0,"NAMA TIDAK DITEMUKAN",INDEX('01_Anggota'!$B$5:$B$1212,MATCH(B690,'01_Anggota'!$D$5:$D$1212,0))))</f>
        <v/>
      </c>
      <c r="D690" s="21"/>
      <c r="E690" s="23"/>
      <c r="F690" s="23"/>
      <c r="G690" s="23">
        <f>PinjamanTable[[#This Row],[Pokok (Rp) *]]+PinjamanTable[[#This Row],[Admin (Rp)]]</f>
        <v>0</v>
      </c>
      <c r="H690" s="24"/>
      <c r="I690" s="22"/>
      <c r="J690" s="21"/>
      <c r="K690" s="21"/>
    </row>
    <row r="691" spans="1:11" ht="21" customHeight="1">
      <c r="A691" s="21"/>
      <c r="B691" s="21"/>
      <c r="C691" s="20" t="str">
        <f>IF(B691="","",IF(COUNTIF('01_Anggota'!$D$5:$D$1212,B691)=0,"NAMA TIDAK DITEMUKAN",INDEX('01_Anggota'!$B$5:$B$1212,MATCH(B691,'01_Anggota'!$D$5:$D$1212,0))))</f>
        <v/>
      </c>
      <c r="D691" s="21"/>
      <c r="E691" s="23"/>
      <c r="F691" s="23"/>
      <c r="G691" s="23">
        <f>PinjamanTable[[#This Row],[Pokok (Rp) *]]+PinjamanTable[[#This Row],[Admin (Rp)]]</f>
        <v>0</v>
      </c>
      <c r="H691" s="24"/>
      <c r="I691" s="22"/>
      <c r="J691" s="21"/>
      <c r="K691" s="21"/>
    </row>
    <row r="692" spans="1:11" ht="21" customHeight="1">
      <c r="A692" s="21"/>
      <c r="B692" s="21"/>
      <c r="C692" s="20" t="str">
        <f>IF(B692="","",IF(COUNTIF('01_Anggota'!$D$5:$D$1212,B692)=0,"NAMA TIDAK DITEMUKAN",INDEX('01_Anggota'!$B$5:$B$1212,MATCH(B692,'01_Anggota'!$D$5:$D$1212,0))))</f>
        <v/>
      </c>
      <c r="D692" s="21"/>
      <c r="E692" s="23"/>
      <c r="F692" s="23"/>
      <c r="G692" s="23">
        <f>PinjamanTable[[#This Row],[Pokok (Rp) *]]+PinjamanTable[[#This Row],[Admin (Rp)]]</f>
        <v>0</v>
      </c>
      <c r="H692" s="24"/>
      <c r="I692" s="22"/>
      <c r="J692" s="21"/>
      <c r="K692" s="21"/>
    </row>
    <row r="693" spans="1:11" ht="21" customHeight="1">
      <c r="A693" s="21"/>
      <c r="B693" s="21"/>
      <c r="C693" s="20" t="str">
        <f>IF(B693="","",IF(COUNTIF('01_Anggota'!$D$5:$D$1212,B693)=0,"NAMA TIDAK DITEMUKAN",INDEX('01_Anggota'!$B$5:$B$1212,MATCH(B693,'01_Anggota'!$D$5:$D$1212,0))))</f>
        <v/>
      </c>
      <c r="D693" s="21"/>
      <c r="E693" s="23"/>
      <c r="F693" s="23"/>
      <c r="G693" s="23">
        <f>PinjamanTable[[#This Row],[Pokok (Rp) *]]+PinjamanTable[[#This Row],[Admin (Rp)]]</f>
        <v>0</v>
      </c>
      <c r="H693" s="24"/>
      <c r="I693" s="22"/>
      <c r="J693" s="21"/>
      <c r="K693" s="21"/>
    </row>
    <row r="694" spans="1:11" ht="21" customHeight="1">
      <c r="A694" s="21"/>
      <c r="B694" s="21"/>
      <c r="C694" s="20" t="str">
        <f>IF(B694="","",IF(COUNTIF('01_Anggota'!$D$5:$D$1212,B694)=0,"NAMA TIDAK DITEMUKAN",INDEX('01_Anggota'!$B$5:$B$1212,MATCH(B694,'01_Anggota'!$D$5:$D$1212,0))))</f>
        <v/>
      </c>
      <c r="D694" s="21"/>
      <c r="E694" s="23"/>
      <c r="F694" s="23"/>
      <c r="G694" s="23">
        <f>PinjamanTable[[#This Row],[Pokok (Rp) *]]+PinjamanTable[[#This Row],[Admin (Rp)]]</f>
        <v>0</v>
      </c>
      <c r="H694" s="24"/>
      <c r="I694" s="22"/>
      <c r="J694" s="21"/>
      <c r="K694" s="21"/>
    </row>
    <row r="695" spans="1:11" ht="21" customHeight="1">
      <c r="A695" s="21"/>
      <c r="B695" s="21"/>
      <c r="C695" s="20" t="str">
        <f>IF(B695="","",IF(COUNTIF('01_Anggota'!$D$5:$D$1212,B695)=0,"NAMA TIDAK DITEMUKAN",INDEX('01_Anggota'!$B$5:$B$1212,MATCH(B695,'01_Anggota'!$D$5:$D$1212,0))))</f>
        <v/>
      </c>
      <c r="D695" s="21"/>
      <c r="E695" s="23"/>
      <c r="F695" s="23"/>
      <c r="G695" s="23">
        <f>PinjamanTable[[#This Row],[Pokok (Rp) *]]+PinjamanTable[[#This Row],[Admin (Rp)]]</f>
        <v>0</v>
      </c>
      <c r="H695" s="24"/>
      <c r="I695" s="22"/>
      <c r="J695" s="21"/>
      <c r="K695" s="21"/>
    </row>
    <row r="696" spans="1:11" ht="21" customHeight="1">
      <c r="A696" s="21"/>
      <c r="B696" s="21"/>
      <c r="C696" s="20" t="str">
        <f>IF(B696="","",IF(COUNTIF('01_Anggota'!$D$5:$D$1212,B696)=0,"NAMA TIDAK DITEMUKAN",INDEX('01_Anggota'!$B$5:$B$1212,MATCH(B696,'01_Anggota'!$D$5:$D$1212,0))))</f>
        <v/>
      </c>
      <c r="D696" s="21"/>
      <c r="E696" s="23"/>
      <c r="F696" s="23"/>
      <c r="G696" s="23">
        <f>PinjamanTable[[#This Row],[Pokok (Rp) *]]+PinjamanTable[[#This Row],[Admin (Rp)]]</f>
        <v>0</v>
      </c>
      <c r="H696" s="24"/>
      <c r="I696" s="22"/>
      <c r="J696" s="21"/>
      <c r="K696" s="21"/>
    </row>
    <row r="697" spans="1:11" ht="21" customHeight="1">
      <c r="A697" s="21"/>
      <c r="B697" s="21"/>
      <c r="C697" s="20" t="str">
        <f>IF(B697="","",IF(COUNTIF('01_Anggota'!$D$5:$D$1212,B697)=0,"NAMA TIDAK DITEMUKAN",INDEX('01_Anggota'!$B$5:$B$1212,MATCH(B697,'01_Anggota'!$D$5:$D$1212,0))))</f>
        <v/>
      </c>
      <c r="D697" s="21"/>
      <c r="E697" s="23"/>
      <c r="F697" s="23"/>
      <c r="G697" s="23">
        <f>PinjamanTable[[#This Row],[Pokok (Rp) *]]+PinjamanTable[[#This Row],[Admin (Rp)]]</f>
        <v>0</v>
      </c>
      <c r="H697" s="24"/>
      <c r="I697" s="22"/>
      <c r="J697" s="21"/>
      <c r="K697" s="21"/>
    </row>
    <row r="698" spans="1:11" ht="21" customHeight="1">
      <c r="A698" s="21"/>
      <c r="B698" s="21"/>
      <c r="C698" s="20" t="str">
        <f>IF(B698="","",IF(COUNTIF('01_Anggota'!$D$5:$D$1212,B698)=0,"NAMA TIDAK DITEMUKAN",INDEX('01_Anggota'!$B$5:$B$1212,MATCH(B698,'01_Anggota'!$D$5:$D$1212,0))))</f>
        <v/>
      </c>
      <c r="D698" s="21"/>
      <c r="E698" s="23"/>
      <c r="F698" s="23"/>
      <c r="G698" s="23">
        <f>PinjamanTable[[#This Row],[Pokok (Rp) *]]+PinjamanTable[[#This Row],[Admin (Rp)]]</f>
        <v>0</v>
      </c>
      <c r="H698" s="24"/>
      <c r="I698" s="22"/>
      <c r="J698" s="21"/>
      <c r="K698" s="21"/>
    </row>
    <row r="699" spans="1:11" ht="21" customHeight="1">
      <c r="A699" s="21"/>
      <c r="B699" s="21"/>
      <c r="C699" s="20" t="str">
        <f>IF(B699="","",IF(COUNTIF('01_Anggota'!$D$5:$D$1212,B699)=0,"NAMA TIDAK DITEMUKAN",INDEX('01_Anggota'!$B$5:$B$1212,MATCH(B699,'01_Anggota'!$D$5:$D$1212,0))))</f>
        <v/>
      </c>
      <c r="D699" s="21"/>
      <c r="E699" s="23"/>
      <c r="F699" s="23"/>
      <c r="G699" s="23">
        <f>PinjamanTable[[#This Row],[Pokok (Rp) *]]+PinjamanTable[[#This Row],[Admin (Rp)]]</f>
        <v>0</v>
      </c>
      <c r="H699" s="24"/>
      <c r="I699" s="22"/>
      <c r="J699" s="21"/>
      <c r="K699" s="21"/>
    </row>
    <row r="700" spans="1:11" ht="21" customHeight="1">
      <c r="A700" s="21"/>
      <c r="B700" s="21"/>
      <c r="C700" s="20" t="str">
        <f>IF(B700="","",IF(COUNTIF('01_Anggota'!$D$5:$D$1212,B700)=0,"NAMA TIDAK DITEMUKAN",INDEX('01_Anggota'!$B$5:$B$1212,MATCH(B700,'01_Anggota'!$D$5:$D$1212,0))))</f>
        <v/>
      </c>
      <c r="D700" s="21"/>
      <c r="E700" s="23"/>
      <c r="F700" s="23"/>
      <c r="G700" s="23">
        <f>PinjamanTable[[#This Row],[Pokok (Rp) *]]+PinjamanTable[[#This Row],[Admin (Rp)]]</f>
        <v>0</v>
      </c>
      <c r="H700" s="24"/>
      <c r="I700" s="22"/>
      <c r="J700" s="21"/>
      <c r="K700" s="21"/>
    </row>
    <row r="701" spans="1:11" ht="21" customHeight="1">
      <c r="A701" s="21"/>
      <c r="B701" s="21"/>
      <c r="C701" s="20" t="str">
        <f>IF(B701="","",IF(COUNTIF('01_Anggota'!$D$5:$D$1212,B701)=0,"NAMA TIDAK DITEMUKAN",INDEX('01_Anggota'!$B$5:$B$1212,MATCH(B701,'01_Anggota'!$D$5:$D$1212,0))))</f>
        <v/>
      </c>
      <c r="D701" s="21"/>
      <c r="E701" s="23"/>
      <c r="F701" s="23"/>
      <c r="G701" s="23">
        <f>PinjamanTable[[#This Row],[Pokok (Rp) *]]+PinjamanTable[[#This Row],[Admin (Rp)]]</f>
        <v>0</v>
      </c>
      <c r="H701" s="24"/>
      <c r="I701" s="22"/>
      <c r="J701" s="21"/>
      <c r="K701" s="21"/>
    </row>
    <row r="702" spans="1:11" ht="21" customHeight="1">
      <c r="A702" s="21"/>
      <c r="B702" s="21"/>
      <c r="C702" s="20" t="str">
        <f>IF(B702="","",IF(COUNTIF('01_Anggota'!$D$5:$D$1212,B702)=0,"NAMA TIDAK DITEMUKAN",INDEX('01_Anggota'!$B$5:$B$1212,MATCH(B702,'01_Anggota'!$D$5:$D$1212,0))))</f>
        <v/>
      </c>
      <c r="D702" s="21"/>
      <c r="E702" s="23"/>
      <c r="F702" s="23"/>
      <c r="G702" s="23">
        <f>PinjamanTable[[#This Row],[Pokok (Rp) *]]+PinjamanTable[[#This Row],[Admin (Rp)]]</f>
        <v>0</v>
      </c>
      <c r="H702" s="24"/>
      <c r="I702" s="22"/>
      <c r="J702" s="21"/>
      <c r="K702" s="21"/>
    </row>
    <row r="703" spans="1:11" ht="21" customHeight="1">
      <c r="A703" s="21"/>
      <c r="B703" s="21"/>
      <c r="C703" s="20" t="str">
        <f>IF(B703="","",IF(COUNTIF('01_Anggota'!$D$5:$D$1212,B703)=0,"NAMA TIDAK DITEMUKAN",INDEX('01_Anggota'!$B$5:$B$1212,MATCH(B703,'01_Anggota'!$D$5:$D$1212,0))))</f>
        <v/>
      </c>
      <c r="D703" s="21"/>
      <c r="E703" s="23"/>
      <c r="F703" s="23"/>
      <c r="G703" s="23">
        <f>PinjamanTable[[#This Row],[Pokok (Rp) *]]+PinjamanTable[[#This Row],[Admin (Rp)]]</f>
        <v>0</v>
      </c>
      <c r="H703" s="24"/>
      <c r="I703" s="22"/>
      <c r="J703" s="21"/>
      <c r="K703" s="21"/>
    </row>
    <row r="704" spans="1:11" ht="21" customHeight="1">
      <c r="A704" s="21"/>
      <c r="B704" s="21"/>
      <c r="C704" s="20" t="str">
        <f>IF(B704="","",IF(COUNTIF('01_Anggota'!$D$5:$D$1212,B704)=0,"NAMA TIDAK DITEMUKAN",INDEX('01_Anggota'!$B$5:$B$1212,MATCH(B704,'01_Anggota'!$D$5:$D$1212,0))))</f>
        <v/>
      </c>
      <c r="D704" s="21"/>
      <c r="E704" s="23"/>
      <c r="F704" s="23"/>
      <c r="G704" s="23">
        <f>PinjamanTable[[#This Row],[Pokok (Rp) *]]+PinjamanTable[[#This Row],[Admin (Rp)]]</f>
        <v>0</v>
      </c>
      <c r="H704" s="24"/>
      <c r="I704" s="22"/>
      <c r="J704" s="21"/>
      <c r="K704" s="21"/>
    </row>
    <row r="705" spans="1:11" ht="21" customHeight="1">
      <c r="A705" s="21"/>
      <c r="B705" s="21"/>
      <c r="C705" s="20" t="str">
        <f>IF(B705="","",IF(COUNTIF('01_Anggota'!$D$5:$D$1212,B705)=0,"NAMA TIDAK DITEMUKAN",INDEX('01_Anggota'!$B$5:$B$1212,MATCH(B705,'01_Anggota'!$D$5:$D$1212,0))))</f>
        <v/>
      </c>
      <c r="D705" s="21"/>
      <c r="E705" s="23"/>
      <c r="F705" s="23"/>
      <c r="G705" s="23">
        <f>PinjamanTable[[#This Row],[Pokok (Rp) *]]+PinjamanTable[[#This Row],[Admin (Rp)]]</f>
        <v>0</v>
      </c>
      <c r="H705" s="24"/>
      <c r="I705" s="22"/>
      <c r="J705" s="21"/>
      <c r="K705" s="21"/>
    </row>
    <row r="706" spans="1:11" ht="21" customHeight="1">
      <c r="A706" s="21"/>
      <c r="B706" s="21"/>
      <c r="C706" s="20" t="str">
        <f>IF(B706="","",IF(COUNTIF('01_Anggota'!$D$5:$D$1212,B706)=0,"NAMA TIDAK DITEMUKAN",INDEX('01_Anggota'!$B$5:$B$1212,MATCH(B706,'01_Anggota'!$D$5:$D$1212,0))))</f>
        <v/>
      </c>
      <c r="D706" s="21"/>
      <c r="E706" s="23"/>
      <c r="F706" s="23"/>
      <c r="G706" s="23">
        <f>PinjamanTable[[#This Row],[Pokok (Rp) *]]+PinjamanTable[[#This Row],[Admin (Rp)]]</f>
        <v>0</v>
      </c>
      <c r="H706" s="24"/>
      <c r="I706" s="22"/>
      <c r="J706" s="21"/>
      <c r="K706" s="21"/>
    </row>
    <row r="707" spans="1:11" ht="21" customHeight="1">
      <c r="A707" s="21"/>
      <c r="B707" s="21"/>
      <c r="C707" s="20" t="str">
        <f>IF(B707="","",IF(COUNTIF('01_Anggota'!$D$5:$D$1212,B707)=0,"NAMA TIDAK DITEMUKAN",INDEX('01_Anggota'!$B$5:$B$1212,MATCH(B707,'01_Anggota'!$D$5:$D$1212,0))))</f>
        <v/>
      </c>
      <c r="D707" s="21"/>
      <c r="E707" s="23"/>
      <c r="F707" s="23"/>
      <c r="G707" s="23">
        <f>PinjamanTable[[#This Row],[Pokok (Rp) *]]+PinjamanTable[[#This Row],[Admin (Rp)]]</f>
        <v>0</v>
      </c>
      <c r="H707" s="24"/>
      <c r="I707" s="22"/>
      <c r="J707" s="21"/>
      <c r="K707" s="21"/>
    </row>
    <row r="708" spans="1:11" ht="21" customHeight="1">
      <c r="A708" s="21"/>
      <c r="B708" s="21"/>
      <c r="C708" s="20" t="str">
        <f>IF(B708="","",IF(COUNTIF('01_Anggota'!$D$5:$D$1212,B708)=0,"NAMA TIDAK DITEMUKAN",INDEX('01_Anggota'!$B$5:$B$1212,MATCH(B708,'01_Anggota'!$D$5:$D$1212,0))))</f>
        <v/>
      </c>
      <c r="D708" s="21"/>
      <c r="E708" s="23"/>
      <c r="F708" s="23"/>
      <c r="G708" s="23">
        <f>PinjamanTable[[#This Row],[Pokok (Rp) *]]+PinjamanTable[[#This Row],[Admin (Rp)]]</f>
        <v>0</v>
      </c>
      <c r="H708" s="24"/>
      <c r="I708" s="22"/>
      <c r="J708" s="21"/>
      <c r="K708" s="21"/>
    </row>
    <row r="709" spans="1:11" ht="21" customHeight="1">
      <c r="A709" s="21"/>
      <c r="B709" s="21"/>
      <c r="C709" s="20" t="str">
        <f>IF(B709="","",IF(COUNTIF('01_Anggota'!$D$5:$D$1212,B709)=0,"NAMA TIDAK DITEMUKAN",INDEX('01_Anggota'!$B$5:$B$1212,MATCH(B709,'01_Anggota'!$D$5:$D$1212,0))))</f>
        <v/>
      </c>
      <c r="D709" s="21"/>
      <c r="E709" s="23"/>
      <c r="F709" s="23"/>
      <c r="G709" s="23">
        <f>PinjamanTable[[#This Row],[Pokok (Rp) *]]+PinjamanTable[[#This Row],[Admin (Rp)]]</f>
        <v>0</v>
      </c>
      <c r="H709" s="24"/>
      <c r="I709" s="22"/>
      <c r="J709" s="21"/>
      <c r="K709" s="21"/>
    </row>
    <row r="710" spans="1:11" ht="21" customHeight="1">
      <c r="A710" s="21"/>
      <c r="B710" s="21"/>
      <c r="C710" s="20" t="str">
        <f>IF(B710="","",IF(COUNTIF('01_Anggota'!$D$5:$D$1212,B710)=0,"NAMA TIDAK DITEMUKAN",INDEX('01_Anggota'!$B$5:$B$1212,MATCH(B710,'01_Anggota'!$D$5:$D$1212,0))))</f>
        <v/>
      </c>
      <c r="D710" s="21"/>
      <c r="E710" s="23"/>
      <c r="F710" s="23"/>
      <c r="G710" s="23">
        <f>PinjamanTable[[#This Row],[Pokok (Rp) *]]+PinjamanTable[[#This Row],[Admin (Rp)]]</f>
        <v>0</v>
      </c>
      <c r="H710" s="24"/>
      <c r="I710" s="22"/>
      <c r="J710" s="21"/>
      <c r="K710" s="21"/>
    </row>
    <row r="711" spans="1:11" ht="21" customHeight="1">
      <c r="A711" s="21"/>
      <c r="B711" s="21"/>
      <c r="C711" s="20" t="str">
        <f>IF(B711="","",IF(COUNTIF('01_Anggota'!$D$5:$D$1212,B711)=0,"NAMA TIDAK DITEMUKAN",INDEX('01_Anggota'!$B$5:$B$1212,MATCH(B711,'01_Anggota'!$D$5:$D$1212,0))))</f>
        <v/>
      </c>
      <c r="D711" s="21"/>
      <c r="E711" s="23"/>
      <c r="F711" s="23"/>
      <c r="G711" s="23">
        <f>PinjamanTable[[#This Row],[Pokok (Rp) *]]+PinjamanTable[[#This Row],[Admin (Rp)]]</f>
        <v>0</v>
      </c>
      <c r="H711" s="24"/>
      <c r="I711" s="22"/>
      <c r="J711" s="21"/>
      <c r="K711" s="21"/>
    </row>
    <row r="712" spans="1:11" ht="21" customHeight="1">
      <c r="A712" s="21"/>
      <c r="B712" s="21"/>
      <c r="C712" s="20" t="str">
        <f>IF(B712="","",IF(COUNTIF('01_Anggota'!$D$5:$D$1212,B712)=0,"NAMA TIDAK DITEMUKAN",INDEX('01_Anggota'!$B$5:$B$1212,MATCH(B712,'01_Anggota'!$D$5:$D$1212,0))))</f>
        <v/>
      </c>
      <c r="D712" s="21"/>
      <c r="E712" s="23"/>
      <c r="F712" s="23"/>
      <c r="G712" s="23">
        <f>PinjamanTable[[#This Row],[Pokok (Rp) *]]+PinjamanTable[[#This Row],[Admin (Rp)]]</f>
        <v>0</v>
      </c>
      <c r="H712" s="24"/>
      <c r="I712" s="22"/>
      <c r="J712" s="21"/>
      <c r="K712" s="21"/>
    </row>
    <row r="713" spans="1:11" ht="21" customHeight="1">
      <c r="A713" s="21"/>
      <c r="B713" s="21"/>
      <c r="C713" s="20" t="str">
        <f>IF(B713="","",IF(COUNTIF('01_Anggota'!$D$5:$D$1212,B713)=0,"NAMA TIDAK DITEMUKAN",INDEX('01_Anggota'!$B$5:$B$1212,MATCH(B713,'01_Anggota'!$D$5:$D$1212,0))))</f>
        <v/>
      </c>
      <c r="D713" s="21"/>
      <c r="E713" s="23"/>
      <c r="F713" s="23"/>
      <c r="G713" s="23">
        <f>PinjamanTable[[#This Row],[Pokok (Rp) *]]+PinjamanTable[[#This Row],[Admin (Rp)]]</f>
        <v>0</v>
      </c>
      <c r="H713" s="24"/>
      <c r="I713" s="22"/>
      <c r="J713" s="21"/>
      <c r="K713" s="21"/>
    </row>
    <row r="714" spans="1:11" ht="21" customHeight="1">
      <c r="A714" s="21"/>
      <c r="B714" s="21"/>
      <c r="C714" s="20" t="str">
        <f>IF(B714="","",IF(COUNTIF('01_Anggota'!$D$5:$D$1212,B714)=0,"NAMA TIDAK DITEMUKAN",INDEX('01_Anggota'!$B$5:$B$1212,MATCH(B714,'01_Anggota'!$D$5:$D$1212,0))))</f>
        <v/>
      </c>
      <c r="D714" s="21"/>
      <c r="E714" s="23"/>
      <c r="F714" s="23"/>
      <c r="G714" s="23">
        <f>PinjamanTable[[#This Row],[Pokok (Rp) *]]+PinjamanTable[[#This Row],[Admin (Rp)]]</f>
        <v>0</v>
      </c>
      <c r="H714" s="24"/>
      <c r="I714" s="22"/>
      <c r="J714" s="21"/>
      <c r="K714" s="21"/>
    </row>
    <row r="715" spans="1:11" ht="21" customHeight="1">
      <c r="A715" s="21"/>
      <c r="B715" s="21"/>
      <c r="C715" s="20" t="str">
        <f>IF(B715="","",IF(COUNTIF('01_Anggota'!$D$5:$D$1212,B715)=0,"NAMA TIDAK DITEMUKAN",INDEX('01_Anggota'!$B$5:$B$1212,MATCH(B715,'01_Anggota'!$D$5:$D$1212,0))))</f>
        <v/>
      </c>
      <c r="D715" s="21"/>
      <c r="E715" s="23"/>
      <c r="F715" s="23"/>
      <c r="G715" s="23">
        <f>PinjamanTable[[#This Row],[Pokok (Rp) *]]+PinjamanTable[[#This Row],[Admin (Rp)]]</f>
        <v>0</v>
      </c>
      <c r="H715" s="24"/>
      <c r="I715" s="22"/>
      <c r="J715" s="21"/>
      <c r="K715" s="21"/>
    </row>
    <row r="716" spans="1:11" ht="21" customHeight="1">
      <c r="A716" s="21"/>
      <c r="B716" s="21"/>
      <c r="C716" s="20" t="str">
        <f>IF(B716="","",IF(COUNTIF('01_Anggota'!$D$5:$D$1212,B716)=0,"NAMA TIDAK DITEMUKAN",INDEX('01_Anggota'!$B$5:$B$1212,MATCH(B716,'01_Anggota'!$D$5:$D$1212,0))))</f>
        <v/>
      </c>
      <c r="D716" s="21"/>
      <c r="E716" s="23"/>
      <c r="F716" s="23"/>
      <c r="G716" s="23">
        <f>PinjamanTable[[#This Row],[Pokok (Rp) *]]+PinjamanTable[[#This Row],[Admin (Rp)]]</f>
        <v>0</v>
      </c>
      <c r="H716" s="24"/>
      <c r="I716" s="22"/>
      <c r="J716" s="21"/>
      <c r="K716" s="21"/>
    </row>
    <row r="717" spans="1:11" ht="21" customHeight="1">
      <c r="A717" s="21"/>
      <c r="B717" s="21"/>
      <c r="C717" s="20" t="str">
        <f>IF(B717="","",IF(COUNTIF('01_Anggota'!$D$5:$D$1212,B717)=0,"NAMA TIDAK DITEMUKAN",INDEX('01_Anggota'!$B$5:$B$1212,MATCH(B717,'01_Anggota'!$D$5:$D$1212,0))))</f>
        <v/>
      </c>
      <c r="D717" s="21"/>
      <c r="E717" s="23"/>
      <c r="F717" s="23"/>
      <c r="G717" s="23">
        <f>PinjamanTable[[#This Row],[Pokok (Rp) *]]+PinjamanTable[[#This Row],[Admin (Rp)]]</f>
        <v>0</v>
      </c>
      <c r="H717" s="24"/>
      <c r="I717" s="22"/>
      <c r="J717" s="21"/>
      <c r="K717" s="21"/>
    </row>
    <row r="718" spans="1:11" ht="21" customHeight="1">
      <c r="A718" s="21"/>
      <c r="B718" s="21"/>
      <c r="C718" s="20" t="str">
        <f>IF(B718="","",IF(COUNTIF('01_Anggota'!$D$5:$D$1212,B718)=0,"NAMA TIDAK DITEMUKAN",INDEX('01_Anggota'!$B$5:$B$1212,MATCH(B718,'01_Anggota'!$D$5:$D$1212,0))))</f>
        <v/>
      </c>
      <c r="D718" s="21"/>
      <c r="E718" s="23"/>
      <c r="F718" s="23"/>
      <c r="G718" s="23">
        <f>PinjamanTable[[#This Row],[Pokok (Rp) *]]+PinjamanTable[[#This Row],[Admin (Rp)]]</f>
        <v>0</v>
      </c>
      <c r="H718" s="24"/>
      <c r="I718" s="22"/>
      <c r="J718" s="21"/>
      <c r="K718" s="21"/>
    </row>
    <row r="719" spans="1:11" ht="21" customHeight="1">
      <c r="A719" s="21"/>
      <c r="B719" s="21"/>
      <c r="C719" s="20" t="str">
        <f>IF(B719="","",IF(COUNTIF('01_Anggota'!$D$5:$D$1212,B719)=0,"NAMA TIDAK DITEMUKAN",INDEX('01_Anggota'!$B$5:$B$1212,MATCH(B719,'01_Anggota'!$D$5:$D$1212,0))))</f>
        <v/>
      </c>
      <c r="D719" s="21"/>
      <c r="E719" s="23"/>
      <c r="F719" s="23"/>
      <c r="G719" s="23">
        <f>PinjamanTable[[#This Row],[Pokok (Rp) *]]+PinjamanTable[[#This Row],[Admin (Rp)]]</f>
        <v>0</v>
      </c>
      <c r="H719" s="24"/>
      <c r="I719" s="22"/>
      <c r="J719" s="21"/>
      <c r="K719" s="21"/>
    </row>
    <row r="720" spans="1:11" ht="21" customHeight="1">
      <c r="A720" s="21"/>
      <c r="B720" s="21"/>
      <c r="C720" s="20" t="str">
        <f>IF(B720="","",IF(COUNTIF('01_Anggota'!$D$5:$D$1212,B720)=0,"NAMA TIDAK DITEMUKAN",INDEX('01_Anggota'!$B$5:$B$1212,MATCH(B720,'01_Anggota'!$D$5:$D$1212,0))))</f>
        <v/>
      </c>
      <c r="D720" s="21"/>
      <c r="E720" s="23"/>
      <c r="F720" s="23"/>
      <c r="G720" s="23">
        <f>PinjamanTable[[#This Row],[Pokok (Rp) *]]+PinjamanTable[[#This Row],[Admin (Rp)]]</f>
        <v>0</v>
      </c>
      <c r="H720" s="24"/>
      <c r="I720" s="22"/>
      <c r="J720" s="21"/>
      <c r="K720" s="21"/>
    </row>
    <row r="721" spans="1:11" ht="21" customHeight="1">
      <c r="A721" s="21"/>
      <c r="B721" s="21"/>
      <c r="C721" s="20" t="str">
        <f>IF(B721="","",IF(COUNTIF('01_Anggota'!$D$5:$D$1212,B721)=0,"NAMA TIDAK DITEMUKAN",INDEX('01_Anggota'!$B$5:$B$1212,MATCH(B721,'01_Anggota'!$D$5:$D$1212,0))))</f>
        <v/>
      </c>
      <c r="D721" s="21"/>
      <c r="E721" s="23"/>
      <c r="F721" s="23"/>
      <c r="G721" s="23">
        <f>PinjamanTable[[#This Row],[Pokok (Rp) *]]+PinjamanTable[[#This Row],[Admin (Rp)]]</f>
        <v>0</v>
      </c>
      <c r="H721" s="24"/>
      <c r="I721" s="22"/>
      <c r="J721" s="21"/>
      <c r="K721" s="21"/>
    </row>
    <row r="722" spans="1:11" ht="21" customHeight="1">
      <c r="A722" s="21"/>
      <c r="B722" s="21"/>
      <c r="C722" s="20" t="str">
        <f>IF(B722="","",IF(COUNTIF('01_Anggota'!$D$5:$D$1212,B722)=0,"NAMA TIDAK DITEMUKAN",INDEX('01_Anggota'!$B$5:$B$1212,MATCH(B722,'01_Anggota'!$D$5:$D$1212,0))))</f>
        <v/>
      </c>
      <c r="D722" s="21"/>
      <c r="E722" s="23"/>
      <c r="F722" s="23"/>
      <c r="G722" s="23">
        <f>PinjamanTable[[#This Row],[Pokok (Rp) *]]+PinjamanTable[[#This Row],[Admin (Rp)]]</f>
        <v>0</v>
      </c>
      <c r="H722" s="24"/>
      <c r="I722" s="22"/>
      <c r="J722" s="21"/>
      <c r="K722" s="21"/>
    </row>
    <row r="723" spans="1:11" ht="21" customHeight="1">
      <c r="A723" s="21"/>
      <c r="B723" s="21"/>
      <c r="C723" s="20" t="str">
        <f>IF(B723="","",IF(COUNTIF('01_Anggota'!$D$5:$D$1212,B723)=0,"NAMA TIDAK DITEMUKAN",INDEX('01_Anggota'!$B$5:$B$1212,MATCH(B723,'01_Anggota'!$D$5:$D$1212,0))))</f>
        <v/>
      </c>
      <c r="D723" s="21"/>
      <c r="E723" s="23"/>
      <c r="F723" s="23"/>
      <c r="G723" s="23">
        <f>PinjamanTable[[#This Row],[Pokok (Rp) *]]+PinjamanTable[[#This Row],[Admin (Rp)]]</f>
        <v>0</v>
      </c>
      <c r="H723" s="24"/>
      <c r="I723" s="22"/>
      <c r="J723" s="21"/>
      <c r="K723" s="21"/>
    </row>
    <row r="724" spans="1:11" ht="21" customHeight="1">
      <c r="A724" s="21"/>
      <c r="B724" s="21"/>
      <c r="C724" s="20" t="str">
        <f>IF(B724="","",IF(COUNTIF('01_Anggota'!$D$5:$D$1212,B724)=0,"NAMA TIDAK DITEMUKAN",INDEX('01_Anggota'!$B$5:$B$1212,MATCH(B724,'01_Anggota'!$D$5:$D$1212,0))))</f>
        <v/>
      </c>
      <c r="D724" s="21"/>
      <c r="E724" s="23"/>
      <c r="F724" s="23"/>
      <c r="G724" s="23">
        <f>PinjamanTable[[#This Row],[Pokok (Rp) *]]+PinjamanTable[[#This Row],[Admin (Rp)]]</f>
        <v>0</v>
      </c>
      <c r="H724" s="24"/>
      <c r="I724" s="22"/>
      <c r="J724" s="21"/>
      <c r="K724" s="21"/>
    </row>
    <row r="725" spans="1:11" ht="21" customHeight="1">
      <c r="A725" s="21"/>
      <c r="B725" s="21"/>
      <c r="C725" s="20" t="str">
        <f>IF(B725="","",IF(COUNTIF('01_Anggota'!$D$5:$D$1212,B725)=0,"NAMA TIDAK DITEMUKAN",INDEX('01_Anggota'!$B$5:$B$1212,MATCH(B725,'01_Anggota'!$D$5:$D$1212,0))))</f>
        <v/>
      </c>
      <c r="D725" s="21"/>
      <c r="E725" s="23"/>
      <c r="F725" s="23"/>
      <c r="G725" s="23">
        <f>PinjamanTable[[#This Row],[Pokok (Rp) *]]+PinjamanTable[[#This Row],[Admin (Rp)]]</f>
        <v>0</v>
      </c>
      <c r="H725" s="24"/>
      <c r="I725" s="22"/>
      <c r="J725" s="21"/>
      <c r="K725" s="21"/>
    </row>
    <row r="726" spans="1:11" ht="21" customHeight="1">
      <c r="A726" s="21"/>
      <c r="B726" s="21"/>
      <c r="C726" s="20" t="str">
        <f>IF(B726="","",IF(COUNTIF('01_Anggota'!$D$5:$D$1212,B726)=0,"NAMA TIDAK DITEMUKAN",INDEX('01_Anggota'!$B$5:$B$1212,MATCH(B726,'01_Anggota'!$D$5:$D$1212,0))))</f>
        <v/>
      </c>
      <c r="D726" s="21"/>
      <c r="E726" s="23"/>
      <c r="F726" s="23"/>
      <c r="G726" s="23">
        <f>PinjamanTable[[#This Row],[Pokok (Rp) *]]+PinjamanTable[[#This Row],[Admin (Rp)]]</f>
        <v>0</v>
      </c>
      <c r="H726" s="24"/>
      <c r="I726" s="22"/>
      <c r="J726" s="21"/>
      <c r="K726" s="21"/>
    </row>
    <row r="727" spans="1:11" ht="21" customHeight="1">
      <c r="A727" s="21"/>
      <c r="B727" s="21"/>
      <c r="C727" s="20" t="str">
        <f>IF(B727="","",IF(COUNTIF('01_Anggota'!$D$5:$D$1212,B727)=0,"NAMA TIDAK DITEMUKAN",INDEX('01_Anggota'!$B$5:$B$1212,MATCH(B727,'01_Anggota'!$D$5:$D$1212,0))))</f>
        <v/>
      </c>
      <c r="D727" s="21"/>
      <c r="E727" s="23"/>
      <c r="F727" s="23"/>
      <c r="G727" s="23">
        <f>PinjamanTable[[#This Row],[Pokok (Rp) *]]+PinjamanTable[[#This Row],[Admin (Rp)]]</f>
        <v>0</v>
      </c>
      <c r="H727" s="24"/>
      <c r="I727" s="22"/>
      <c r="J727" s="21"/>
      <c r="K727" s="21"/>
    </row>
    <row r="728" spans="1:11" ht="21" customHeight="1">
      <c r="A728" s="21"/>
      <c r="B728" s="21"/>
      <c r="C728" s="20" t="str">
        <f>IF(B728="","",IF(COUNTIF('01_Anggota'!$D$5:$D$1212,B728)=0,"NAMA TIDAK DITEMUKAN",INDEX('01_Anggota'!$B$5:$B$1212,MATCH(B728,'01_Anggota'!$D$5:$D$1212,0))))</f>
        <v/>
      </c>
      <c r="D728" s="21"/>
      <c r="E728" s="23"/>
      <c r="F728" s="23"/>
      <c r="G728" s="23">
        <f>PinjamanTable[[#This Row],[Pokok (Rp) *]]+PinjamanTable[[#This Row],[Admin (Rp)]]</f>
        <v>0</v>
      </c>
      <c r="H728" s="24"/>
      <c r="I728" s="22"/>
      <c r="J728" s="21"/>
      <c r="K728" s="21"/>
    </row>
    <row r="729" spans="1:11" ht="21" customHeight="1">
      <c r="A729" s="21"/>
      <c r="B729" s="21"/>
      <c r="C729" s="20" t="str">
        <f>IF(B729="","",IF(COUNTIF('01_Anggota'!$D$5:$D$1212,B729)=0,"NAMA TIDAK DITEMUKAN",INDEX('01_Anggota'!$B$5:$B$1212,MATCH(B729,'01_Anggota'!$D$5:$D$1212,0))))</f>
        <v/>
      </c>
      <c r="D729" s="21"/>
      <c r="E729" s="23"/>
      <c r="F729" s="23"/>
      <c r="G729" s="23">
        <f>PinjamanTable[[#This Row],[Pokok (Rp) *]]+PinjamanTable[[#This Row],[Admin (Rp)]]</f>
        <v>0</v>
      </c>
      <c r="H729" s="24"/>
      <c r="I729" s="22"/>
      <c r="J729" s="21"/>
      <c r="K729" s="21"/>
    </row>
    <row r="730" spans="1:11" ht="21" customHeight="1">
      <c r="A730" s="21"/>
      <c r="B730" s="21"/>
      <c r="C730" s="20" t="str">
        <f>IF(B730="","",IF(COUNTIF('01_Anggota'!$D$5:$D$1212,B730)=0,"NAMA TIDAK DITEMUKAN",INDEX('01_Anggota'!$B$5:$B$1212,MATCH(B730,'01_Anggota'!$D$5:$D$1212,0))))</f>
        <v/>
      </c>
      <c r="D730" s="21"/>
      <c r="E730" s="23"/>
      <c r="F730" s="23"/>
      <c r="G730" s="23">
        <f>PinjamanTable[[#This Row],[Pokok (Rp) *]]+PinjamanTable[[#This Row],[Admin (Rp)]]</f>
        <v>0</v>
      </c>
      <c r="H730" s="24"/>
      <c r="I730" s="22"/>
      <c r="J730" s="21"/>
      <c r="K730" s="21"/>
    </row>
    <row r="731" spans="1:11" ht="21" customHeight="1">
      <c r="A731" s="21"/>
      <c r="B731" s="21"/>
      <c r="C731" s="20" t="str">
        <f>IF(B731="","",IF(COUNTIF('01_Anggota'!$D$5:$D$1212,B731)=0,"NAMA TIDAK DITEMUKAN",INDEX('01_Anggota'!$B$5:$B$1212,MATCH(B731,'01_Anggota'!$D$5:$D$1212,0))))</f>
        <v/>
      </c>
      <c r="D731" s="21"/>
      <c r="E731" s="23"/>
      <c r="F731" s="23"/>
      <c r="G731" s="23">
        <f>PinjamanTable[[#This Row],[Pokok (Rp) *]]+PinjamanTable[[#This Row],[Admin (Rp)]]</f>
        <v>0</v>
      </c>
      <c r="H731" s="24"/>
      <c r="I731" s="22"/>
      <c r="J731" s="21"/>
      <c r="K731" s="21"/>
    </row>
    <row r="732" spans="1:11" ht="21" customHeight="1">
      <c r="A732" s="21"/>
      <c r="B732" s="21"/>
      <c r="C732" s="20" t="str">
        <f>IF(B732="","",IF(COUNTIF('01_Anggota'!$D$5:$D$1212,B732)=0,"NAMA TIDAK DITEMUKAN",INDEX('01_Anggota'!$B$5:$B$1212,MATCH(B732,'01_Anggota'!$D$5:$D$1212,0))))</f>
        <v/>
      </c>
      <c r="D732" s="21"/>
      <c r="E732" s="23"/>
      <c r="F732" s="23"/>
      <c r="G732" s="23">
        <f>PinjamanTable[[#This Row],[Pokok (Rp) *]]+PinjamanTable[[#This Row],[Admin (Rp)]]</f>
        <v>0</v>
      </c>
      <c r="H732" s="24"/>
      <c r="I732" s="22"/>
      <c r="J732" s="21"/>
      <c r="K732" s="21"/>
    </row>
    <row r="733" spans="1:11" ht="21" customHeight="1">
      <c r="A733" s="21"/>
      <c r="B733" s="21"/>
      <c r="C733" s="20" t="str">
        <f>IF(B733="","",IF(COUNTIF('01_Anggota'!$D$5:$D$1212,B733)=0,"NAMA TIDAK DITEMUKAN",INDEX('01_Anggota'!$B$5:$B$1212,MATCH(B733,'01_Anggota'!$D$5:$D$1212,0))))</f>
        <v/>
      </c>
      <c r="D733" s="21"/>
      <c r="E733" s="23"/>
      <c r="F733" s="23"/>
      <c r="G733" s="23">
        <f>PinjamanTable[[#This Row],[Pokok (Rp) *]]+PinjamanTable[[#This Row],[Admin (Rp)]]</f>
        <v>0</v>
      </c>
      <c r="H733" s="24"/>
      <c r="I733" s="22"/>
      <c r="J733" s="21"/>
      <c r="K733" s="21"/>
    </row>
    <row r="734" spans="1:11" ht="21" customHeight="1">
      <c r="A734" s="21"/>
      <c r="B734" s="21"/>
      <c r="C734" s="20" t="str">
        <f>IF(B734="","",IF(COUNTIF('01_Anggota'!$D$5:$D$1212,B734)=0,"NAMA TIDAK DITEMUKAN",INDEX('01_Anggota'!$B$5:$B$1212,MATCH(B734,'01_Anggota'!$D$5:$D$1212,0))))</f>
        <v/>
      </c>
      <c r="D734" s="21"/>
      <c r="E734" s="23"/>
      <c r="F734" s="23"/>
      <c r="G734" s="23">
        <f>PinjamanTable[[#This Row],[Pokok (Rp) *]]+PinjamanTable[[#This Row],[Admin (Rp)]]</f>
        <v>0</v>
      </c>
      <c r="H734" s="24"/>
      <c r="I734" s="22"/>
      <c r="J734" s="21"/>
      <c r="K734" s="21"/>
    </row>
    <row r="735" spans="1:11" ht="21" customHeight="1">
      <c r="A735" s="21"/>
      <c r="B735" s="21"/>
      <c r="C735" s="20" t="str">
        <f>IF(B735="","",IF(COUNTIF('01_Anggota'!$D$5:$D$1212,B735)=0,"NAMA TIDAK DITEMUKAN",INDEX('01_Anggota'!$B$5:$B$1212,MATCH(B735,'01_Anggota'!$D$5:$D$1212,0))))</f>
        <v/>
      </c>
      <c r="D735" s="21"/>
      <c r="E735" s="23"/>
      <c r="F735" s="23"/>
      <c r="G735" s="23">
        <f>PinjamanTable[[#This Row],[Pokok (Rp) *]]+PinjamanTable[[#This Row],[Admin (Rp)]]</f>
        <v>0</v>
      </c>
      <c r="H735" s="24"/>
      <c r="I735" s="22"/>
      <c r="J735" s="21"/>
      <c r="K735" s="21"/>
    </row>
    <row r="736" spans="1:11" ht="21" customHeight="1">
      <c r="A736" s="21"/>
      <c r="B736" s="21"/>
      <c r="C736" s="20" t="str">
        <f>IF(B736="","",IF(COUNTIF('01_Anggota'!$D$5:$D$1212,B736)=0,"NAMA TIDAK DITEMUKAN",INDEX('01_Anggota'!$B$5:$B$1212,MATCH(B736,'01_Anggota'!$D$5:$D$1212,0))))</f>
        <v/>
      </c>
      <c r="D736" s="21"/>
      <c r="E736" s="23"/>
      <c r="F736" s="23"/>
      <c r="G736" s="23">
        <f>PinjamanTable[[#This Row],[Pokok (Rp) *]]+PinjamanTable[[#This Row],[Admin (Rp)]]</f>
        <v>0</v>
      </c>
      <c r="H736" s="24"/>
      <c r="I736" s="22"/>
      <c r="J736" s="21"/>
      <c r="K736" s="21"/>
    </row>
    <row r="737" spans="1:11" ht="21" customHeight="1">
      <c r="A737" s="21"/>
      <c r="B737" s="21"/>
      <c r="C737" s="20" t="str">
        <f>IF(B737="","",IF(COUNTIF('01_Anggota'!$D$5:$D$1212,B737)=0,"NAMA TIDAK DITEMUKAN",INDEX('01_Anggota'!$B$5:$B$1212,MATCH(B737,'01_Anggota'!$D$5:$D$1212,0))))</f>
        <v/>
      </c>
      <c r="D737" s="21"/>
      <c r="E737" s="23"/>
      <c r="F737" s="23"/>
      <c r="G737" s="23">
        <f>PinjamanTable[[#This Row],[Pokok (Rp) *]]+PinjamanTable[[#This Row],[Admin (Rp)]]</f>
        <v>0</v>
      </c>
      <c r="H737" s="24"/>
      <c r="I737" s="22"/>
      <c r="J737" s="21"/>
      <c r="K737" s="21"/>
    </row>
    <row r="738" spans="1:11" ht="21" customHeight="1">
      <c r="A738" s="21"/>
      <c r="B738" s="21"/>
      <c r="C738" s="20" t="str">
        <f>IF(B738="","",IF(COUNTIF('01_Anggota'!$D$5:$D$1212,B738)=0,"NAMA TIDAK DITEMUKAN",INDEX('01_Anggota'!$B$5:$B$1212,MATCH(B738,'01_Anggota'!$D$5:$D$1212,0))))</f>
        <v/>
      </c>
      <c r="D738" s="21"/>
      <c r="E738" s="23"/>
      <c r="F738" s="23"/>
      <c r="G738" s="23">
        <f>PinjamanTable[[#This Row],[Pokok (Rp) *]]+PinjamanTable[[#This Row],[Admin (Rp)]]</f>
        <v>0</v>
      </c>
      <c r="H738" s="24"/>
      <c r="I738" s="22"/>
      <c r="J738" s="21"/>
      <c r="K738" s="21"/>
    </row>
    <row r="739" spans="1:11" ht="21" customHeight="1">
      <c r="A739" s="21"/>
      <c r="B739" s="21"/>
      <c r="C739" s="20" t="str">
        <f>IF(B739="","",IF(COUNTIF('01_Anggota'!$D$5:$D$1212,B739)=0,"NAMA TIDAK DITEMUKAN",INDEX('01_Anggota'!$B$5:$B$1212,MATCH(B739,'01_Anggota'!$D$5:$D$1212,0))))</f>
        <v/>
      </c>
      <c r="D739" s="21"/>
      <c r="E739" s="23"/>
      <c r="F739" s="23"/>
      <c r="G739" s="23">
        <f>PinjamanTable[[#This Row],[Pokok (Rp) *]]+PinjamanTable[[#This Row],[Admin (Rp)]]</f>
        <v>0</v>
      </c>
      <c r="H739" s="24"/>
      <c r="I739" s="22"/>
      <c r="J739" s="21"/>
      <c r="K739" s="21"/>
    </row>
    <row r="740" spans="1:11" ht="21" customHeight="1">
      <c r="A740" s="21"/>
      <c r="B740" s="21"/>
      <c r="C740" s="20" t="str">
        <f>IF(B740="","",IF(COUNTIF('01_Anggota'!$D$5:$D$1212,B740)=0,"NAMA TIDAK DITEMUKAN",INDEX('01_Anggota'!$B$5:$B$1212,MATCH(B740,'01_Anggota'!$D$5:$D$1212,0))))</f>
        <v/>
      </c>
      <c r="D740" s="21"/>
      <c r="E740" s="23"/>
      <c r="F740" s="23"/>
      <c r="G740" s="23">
        <f>PinjamanTable[[#This Row],[Pokok (Rp) *]]+PinjamanTable[[#This Row],[Admin (Rp)]]</f>
        <v>0</v>
      </c>
      <c r="H740" s="24"/>
      <c r="I740" s="22"/>
      <c r="J740" s="21"/>
      <c r="K740" s="21"/>
    </row>
    <row r="741" spans="1:11" ht="21" customHeight="1">
      <c r="A741" s="21"/>
      <c r="B741" s="21"/>
      <c r="C741" s="20" t="str">
        <f>IF(B741="","",IF(COUNTIF('01_Anggota'!$D$5:$D$1212,B741)=0,"NAMA TIDAK DITEMUKAN",INDEX('01_Anggota'!$B$5:$B$1212,MATCH(B741,'01_Anggota'!$D$5:$D$1212,0))))</f>
        <v/>
      </c>
      <c r="D741" s="21"/>
      <c r="E741" s="23"/>
      <c r="F741" s="23"/>
      <c r="G741" s="23">
        <f>PinjamanTable[[#This Row],[Pokok (Rp) *]]+PinjamanTable[[#This Row],[Admin (Rp)]]</f>
        <v>0</v>
      </c>
      <c r="H741" s="24"/>
      <c r="I741" s="22"/>
      <c r="J741" s="21"/>
      <c r="K741" s="21"/>
    </row>
    <row r="742" spans="1:11" ht="21" customHeight="1">
      <c r="A742" s="21"/>
      <c r="B742" s="21"/>
      <c r="C742" s="20" t="str">
        <f>IF(B742="","",IF(COUNTIF('01_Anggota'!$D$5:$D$1212,B742)=0,"NAMA TIDAK DITEMUKAN",INDEX('01_Anggota'!$B$5:$B$1212,MATCH(B742,'01_Anggota'!$D$5:$D$1212,0))))</f>
        <v/>
      </c>
      <c r="D742" s="21"/>
      <c r="E742" s="23"/>
      <c r="F742" s="23"/>
      <c r="G742" s="23">
        <f>PinjamanTable[[#This Row],[Pokok (Rp) *]]+PinjamanTable[[#This Row],[Admin (Rp)]]</f>
        <v>0</v>
      </c>
      <c r="H742" s="24"/>
      <c r="I742" s="22"/>
      <c r="J742" s="21"/>
      <c r="K742" s="21"/>
    </row>
    <row r="743" spans="1:11" ht="21" customHeight="1">
      <c r="A743" s="21"/>
      <c r="B743" s="21"/>
      <c r="C743" s="20" t="str">
        <f>IF(B743="","",IF(COUNTIF('01_Anggota'!$D$5:$D$1212,B743)=0,"NAMA TIDAK DITEMUKAN",INDEX('01_Anggota'!$B$5:$B$1212,MATCH(B743,'01_Anggota'!$D$5:$D$1212,0))))</f>
        <v/>
      </c>
      <c r="D743" s="21"/>
      <c r="E743" s="23"/>
      <c r="F743" s="23"/>
      <c r="G743" s="23">
        <f>PinjamanTable[[#This Row],[Pokok (Rp) *]]+PinjamanTable[[#This Row],[Admin (Rp)]]</f>
        <v>0</v>
      </c>
      <c r="H743" s="24"/>
      <c r="I743" s="22"/>
      <c r="J743" s="21"/>
      <c r="K743" s="21"/>
    </row>
    <row r="744" spans="1:11" ht="21" customHeight="1">
      <c r="A744" s="21"/>
      <c r="B744" s="21"/>
      <c r="C744" s="20" t="str">
        <f>IF(B744="","",IF(COUNTIF('01_Anggota'!$D$5:$D$1212,B744)=0,"NAMA TIDAK DITEMUKAN",INDEX('01_Anggota'!$B$5:$B$1212,MATCH(B744,'01_Anggota'!$D$5:$D$1212,0))))</f>
        <v/>
      </c>
      <c r="D744" s="21"/>
      <c r="E744" s="23"/>
      <c r="F744" s="23"/>
      <c r="G744" s="23">
        <f>PinjamanTable[[#This Row],[Pokok (Rp) *]]+PinjamanTable[[#This Row],[Admin (Rp)]]</f>
        <v>0</v>
      </c>
      <c r="H744" s="24"/>
      <c r="I744" s="22"/>
      <c r="J744" s="21"/>
      <c r="K744" s="21"/>
    </row>
    <row r="745" spans="1:11" ht="21" customHeight="1">
      <c r="A745" s="21"/>
      <c r="B745" s="21"/>
      <c r="C745" s="20" t="str">
        <f>IF(B745="","",IF(COUNTIF('01_Anggota'!$D$5:$D$1212,B745)=0,"NAMA TIDAK DITEMUKAN",INDEX('01_Anggota'!$B$5:$B$1212,MATCH(B745,'01_Anggota'!$D$5:$D$1212,0))))</f>
        <v/>
      </c>
      <c r="D745" s="21"/>
      <c r="E745" s="23"/>
      <c r="F745" s="23"/>
      <c r="G745" s="23">
        <f>PinjamanTable[[#This Row],[Pokok (Rp) *]]+PinjamanTable[[#This Row],[Admin (Rp)]]</f>
        <v>0</v>
      </c>
      <c r="H745" s="24"/>
      <c r="I745" s="22"/>
      <c r="J745" s="21"/>
      <c r="K745" s="21"/>
    </row>
    <row r="746" spans="1:11" ht="21" customHeight="1">
      <c r="A746" s="21"/>
      <c r="B746" s="21"/>
      <c r="C746" s="20" t="str">
        <f>IF(B746="","",IF(COUNTIF('01_Anggota'!$D$5:$D$1212,B746)=0,"NAMA TIDAK DITEMUKAN",INDEX('01_Anggota'!$B$5:$B$1212,MATCH(B746,'01_Anggota'!$D$5:$D$1212,0))))</f>
        <v/>
      </c>
      <c r="D746" s="21"/>
      <c r="E746" s="23"/>
      <c r="F746" s="23"/>
      <c r="G746" s="23">
        <f>PinjamanTable[[#This Row],[Pokok (Rp) *]]+PinjamanTable[[#This Row],[Admin (Rp)]]</f>
        <v>0</v>
      </c>
      <c r="H746" s="24"/>
      <c r="I746" s="22"/>
      <c r="J746" s="21"/>
      <c r="K746" s="21"/>
    </row>
    <row r="747" spans="1:11" ht="21" customHeight="1">
      <c r="A747" s="21"/>
      <c r="B747" s="21"/>
      <c r="C747" s="20" t="str">
        <f>IF(B747="","",IF(COUNTIF('01_Anggota'!$D$5:$D$1212,B747)=0,"NAMA TIDAK DITEMUKAN",INDEX('01_Anggota'!$B$5:$B$1212,MATCH(B747,'01_Anggota'!$D$5:$D$1212,0))))</f>
        <v/>
      </c>
      <c r="D747" s="21"/>
      <c r="E747" s="23"/>
      <c r="F747" s="23"/>
      <c r="G747" s="23">
        <f>PinjamanTable[[#This Row],[Pokok (Rp) *]]+PinjamanTable[[#This Row],[Admin (Rp)]]</f>
        <v>0</v>
      </c>
      <c r="H747" s="24"/>
      <c r="I747" s="22"/>
      <c r="J747" s="21"/>
      <c r="K747" s="21"/>
    </row>
    <row r="748" spans="1:11" ht="21" customHeight="1">
      <c r="A748" s="21"/>
      <c r="B748" s="21"/>
      <c r="C748" s="20" t="str">
        <f>IF(B748="","",IF(COUNTIF('01_Anggota'!$D$5:$D$1212,B748)=0,"NAMA TIDAK DITEMUKAN",INDEX('01_Anggota'!$B$5:$B$1212,MATCH(B748,'01_Anggota'!$D$5:$D$1212,0))))</f>
        <v/>
      </c>
      <c r="D748" s="21"/>
      <c r="E748" s="23"/>
      <c r="F748" s="23"/>
      <c r="G748" s="23">
        <f>PinjamanTable[[#This Row],[Pokok (Rp) *]]+PinjamanTable[[#This Row],[Admin (Rp)]]</f>
        <v>0</v>
      </c>
      <c r="H748" s="24"/>
      <c r="I748" s="22"/>
      <c r="J748" s="21"/>
      <c r="K748" s="21"/>
    </row>
    <row r="749" spans="1:11" ht="21" customHeight="1">
      <c r="A749" s="21"/>
      <c r="B749" s="21"/>
      <c r="C749" s="20" t="str">
        <f>IF(B749="","",IF(COUNTIF('01_Anggota'!$D$5:$D$1212,B749)=0,"NAMA TIDAK DITEMUKAN",INDEX('01_Anggota'!$B$5:$B$1212,MATCH(B749,'01_Anggota'!$D$5:$D$1212,0))))</f>
        <v/>
      </c>
      <c r="D749" s="21"/>
      <c r="E749" s="23"/>
      <c r="F749" s="23"/>
      <c r="G749" s="23">
        <f>PinjamanTable[[#This Row],[Pokok (Rp) *]]+PinjamanTable[[#This Row],[Admin (Rp)]]</f>
        <v>0</v>
      </c>
      <c r="H749" s="24"/>
      <c r="I749" s="22"/>
      <c r="J749" s="21"/>
      <c r="K749" s="21"/>
    </row>
    <row r="750" spans="1:11" ht="21" customHeight="1">
      <c r="A750" s="21"/>
      <c r="B750" s="21"/>
      <c r="C750" s="20" t="str">
        <f>IF(B750="","",IF(COUNTIF('01_Anggota'!$D$5:$D$1212,B750)=0,"NAMA TIDAK DITEMUKAN",INDEX('01_Anggota'!$B$5:$B$1212,MATCH(B750,'01_Anggota'!$D$5:$D$1212,0))))</f>
        <v/>
      </c>
      <c r="D750" s="21"/>
      <c r="E750" s="23"/>
      <c r="F750" s="23"/>
      <c r="G750" s="23">
        <f>PinjamanTable[[#This Row],[Pokok (Rp) *]]+PinjamanTable[[#This Row],[Admin (Rp)]]</f>
        <v>0</v>
      </c>
      <c r="H750" s="24"/>
      <c r="I750" s="22"/>
      <c r="J750" s="21"/>
      <c r="K750" s="21"/>
    </row>
    <row r="751" spans="1:11" ht="21" customHeight="1">
      <c r="A751" s="21"/>
      <c r="B751" s="21"/>
      <c r="C751" s="20" t="str">
        <f>IF(B751="","",IF(COUNTIF('01_Anggota'!$D$5:$D$1212,B751)=0,"NAMA TIDAK DITEMUKAN",INDEX('01_Anggota'!$B$5:$B$1212,MATCH(B751,'01_Anggota'!$D$5:$D$1212,0))))</f>
        <v/>
      </c>
      <c r="D751" s="21"/>
      <c r="E751" s="23"/>
      <c r="F751" s="23"/>
      <c r="G751" s="23">
        <f>PinjamanTable[[#This Row],[Pokok (Rp) *]]+PinjamanTable[[#This Row],[Admin (Rp)]]</f>
        <v>0</v>
      </c>
      <c r="H751" s="24"/>
      <c r="I751" s="22"/>
      <c r="J751" s="21"/>
      <c r="K751" s="21"/>
    </row>
    <row r="752" spans="1:11" ht="21" customHeight="1">
      <c r="A752" s="21"/>
      <c r="B752" s="21"/>
      <c r="C752" s="20" t="str">
        <f>IF(B752="","",IF(COUNTIF('01_Anggota'!$D$5:$D$1212,B752)=0,"NAMA TIDAK DITEMUKAN",INDEX('01_Anggota'!$B$5:$B$1212,MATCH(B752,'01_Anggota'!$D$5:$D$1212,0))))</f>
        <v/>
      </c>
      <c r="D752" s="21"/>
      <c r="E752" s="23"/>
      <c r="F752" s="23"/>
      <c r="G752" s="23">
        <f>PinjamanTable[[#This Row],[Pokok (Rp) *]]+PinjamanTable[[#This Row],[Admin (Rp)]]</f>
        <v>0</v>
      </c>
      <c r="H752" s="24"/>
      <c r="I752" s="22"/>
      <c r="J752" s="21"/>
      <c r="K752" s="21"/>
    </row>
    <row r="753" spans="1:11" ht="21" customHeight="1">
      <c r="A753" s="21"/>
      <c r="B753" s="21"/>
      <c r="C753" s="20" t="str">
        <f>IF(B753="","",IF(COUNTIF('01_Anggota'!$D$5:$D$1212,B753)=0,"NAMA TIDAK DITEMUKAN",INDEX('01_Anggota'!$B$5:$B$1212,MATCH(B753,'01_Anggota'!$D$5:$D$1212,0))))</f>
        <v/>
      </c>
      <c r="D753" s="21"/>
      <c r="E753" s="23"/>
      <c r="F753" s="23"/>
      <c r="G753" s="23">
        <f>PinjamanTable[[#This Row],[Pokok (Rp) *]]+PinjamanTable[[#This Row],[Admin (Rp)]]</f>
        <v>0</v>
      </c>
      <c r="H753" s="24"/>
      <c r="I753" s="22"/>
      <c r="J753" s="21"/>
      <c r="K753" s="21"/>
    </row>
    <row r="754" spans="1:11" ht="21" customHeight="1">
      <c r="A754" s="21"/>
      <c r="B754" s="21"/>
      <c r="C754" s="20" t="str">
        <f>IF(B754="","",IF(COUNTIF('01_Anggota'!$D$5:$D$1212,B754)=0,"NAMA TIDAK DITEMUKAN",INDEX('01_Anggota'!$B$5:$B$1212,MATCH(B754,'01_Anggota'!$D$5:$D$1212,0))))</f>
        <v/>
      </c>
      <c r="D754" s="21"/>
      <c r="E754" s="23"/>
      <c r="F754" s="23"/>
      <c r="G754" s="23">
        <f>PinjamanTable[[#This Row],[Pokok (Rp) *]]+PinjamanTable[[#This Row],[Admin (Rp)]]</f>
        <v>0</v>
      </c>
      <c r="H754" s="24"/>
      <c r="I754" s="22"/>
      <c r="J754" s="21"/>
      <c r="K754" s="21"/>
    </row>
    <row r="755" spans="1:11" ht="21" customHeight="1">
      <c r="A755" s="21"/>
      <c r="B755" s="21"/>
      <c r="C755" s="20" t="str">
        <f>IF(B755="","",IF(COUNTIF('01_Anggota'!$D$5:$D$1212,B755)=0,"NAMA TIDAK DITEMUKAN",INDEX('01_Anggota'!$B$5:$B$1212,MATCH(B755,'01_Anggota'!$D$5:$D$1212,0))))</f>
        <v/>
      </c>
      <c r="D755" s="21"/>
      <c r="E755" s="23"/>
      <c r="F755" s="23"/>
      <c r="G755" s="23">
        <f>PinjamanTable[[#This Row],[Pokok (Rp) *]]+PinjamanTable[[#This Row],[Admin (Rp)]]</f>
        <v>0</v>
      </c>
      <c r="H755" s="24"/>
      <c r="I755" s="22"/>
      <c r="J755" s="21"/>
      <c r="K755" s="21"/>
    </row>
    <row r="756" spans="1:11" ht="21" customHeight="1">
      <c r="A756" s="21"/>
      <c r="B756" s="21"/>
      <c r="C756" s="20" t="str">
        <f>IF(B756="","",IF(COUNTIF('01_Anggota'!$D$5:$D$1212,B756)=0,"NAMA TIDAK DITEMUKAN",INDEX('01_Anggota'!$B$5:$B$1212,MATCH(B756,'01_Anggota'!$D$5:$D$1212,0))))</f>
        <v/>
      </c>
      <c r="D756" s="21"/>
      <c r="E756" s="23"/>
      <c r="F756" s="23"/>
      <c r="G756" s="23">
        <f>PinjamanTable[[#This Row],[Pokok (Rp) *]]+PinjamanTable[[#This Row],[Admin (Rp)]]</f>
        <v>0</v>
      </c>
      <c r="H756" s="24"/>
      <c r="I756" s="22"/>
      <c r="J756" s="21"/>
      <c r="K756" s="21"/>
    </row>
    <row r="757" spans="1:11" ht="21" customHeight="1">
      <c r="A757" s="21"/>
      <c r="B757" s="21"/>
      <c r="C757" s="20" t="str">
        <f>IF(B757="","",IF(COUNTIF('01_Anggota'!$D$5:$D$1212,B757)=0,"NAMA TIDAK DITEMUKAN",INDEX('01_Anggota'!$B$5:$B$1212,MATCH(B757,'01_Anggota'!$D$5:$D$1212,0))))</f>
        <v/>
      </c>
      <c r="D757" s="21"/>
      <c r="E757" s="23"/>
      <c r="F757" s="23"/>
      <c r="G757" s="23">
        <f>PinjamanTable[[#This Row],[Pokok (Rp) *]]+PinjamanTable[[#This Row],[Admin (Rp)]]</f>
        <v>0</v>
      </c>
      <c r="H757" s="24"/>
      <c r="I757" s="22"/>
      <c r="J757" s="21"/>
      <c r="K757" s="21"/>
    </row>
    <row r="758" spans="1:11" ht="21" customHeight="1">
      <c r="A758" s="21"/>
      <c r="B758" s="21"/>
      <c r="C758" s="20" t="str">
        <f>IF(B758="","",IF(COUNTIF('01_Anggota'!$D$5:$D$1212,B758)=0,"NAMA TIDAK DITEMUKAN",INDEX('01_Anggota'!$B$5:$B$1212,MATCH(B758,'01_Anggota'!$D$5:$D$1212,0))))</f>
        <v/>
      </c>
      <c r="D758" s="21"/>
      <c r="E758" s="23"/>
      <c r="F758" s="23"/>
      <c r="G758" s="23">
        <f>PinjamanTable[[#This Row],[Pokok (Rp) *]]+PinjamanTable[[#This Row],[Admin (Rp)]]</f>
        <v>0</v>
      </c>
      <c r="H758" s="24"/>
      <c r="I758" s="22"/>
      <c r="J758" s="21"/>
      <c r="K758" s="21"/>
    </row>
    <row r="759" spans="1:11" ht="21" customHeight="1">
      <c r="A759" s="21"/>
      <c r="B759" s="21"/>
      <c r="C759" s="20" t="str">
        <f>IF(B759="","",IF(COUNTIF('01_Anggota'!$D$5:$D$1212,B759)=0,"NAMA TIDAK DITEMUKAN",INDEX('01_Anggota'!$B$5:$B$1212,MATCH(B759,'01_Anggota'!$D$5:$D$1212,0))))</f>
        <v/>
      </c>
      <c r="D759" s="21"/>
      <c r="E759" s="23"/>
      <c r="F759" s="23"/>
      <c r="G759" s="23">
        <f>PinjamanTable[[#This Row],[Pokok (Rp) *]]+PinjamanTable[[#This Row],[Admin (Rp)]]</f>
        <v>0</v>
      </c>
      <c r="H759" s="24"/>
      <c r="I759" s="22"/>
      <c r="J759" s="21"/>
      <c r="K759" s="21"/>
    </row>
    <row r="760" spans="1:11" ht="21" customHeight="1">
      <c r="A760" s="21"/>
      <c r="B760" s="21"/>
      <c r="C760" s="20" t="str">
        <f>IF(B760="","",IF(COUNTIF('01_Anggota'!$D$5:$D$1212,B760)=0,"NAMA TIDAK DITEMUKAN",INDEX('01_Anggota'!$B$5:$B$1212,MATCH(B760,'01_Anggota'!$D$5:$D$1212,0))))</f>
        <v/>
      </c>
      <c r="D760" s="21"/>
      <c r="E760" s="23"/>
      <c r="F760" s="23"/>
      <c r="G760" s="23">
        <f>PinjamanTable[[#This Row],[Pokok (Rp) *]]+PinjamanTable[[#This Row],[Admin (Rp)]]</f>
        <v>0</v>
      </c>
      <c r="H760" s="24"/>
      <c r="I760" s="22"/>
      <c r="J760" s="21"/>
      <c r="K760" s="21"/>
    </row>
    <row r="761" spans="1:11" ht="21" customHeight="1">
      <c r="A761" s="21"/>
      <c r="B761" s="21"/>
      <c r="C761" s="20" t="str">
        <f>IF(B761="","",IF(COUNTIF('01_Anggota'!$D$5:$D$1212,B761)=0,"NAMA TIDAK DITEMUKAN",INDEX('01_Anggota'!$B$5:$B$1212,MATCH(B761,'01_Anggota'!$D$5:$D$1212,0))))</f>
        <v/>
      </c>
      <c r="D761" s="21"/>
      <c r="E761" s="23"/>
      <c r="F761" s="23"/>
      <c r="G761" s="23">
        <f>PinjamanTable[[#This Row],[Pokok (Rp) *]]+PinjamanTable[[#This Row],[Admin (Rp)]]</f>
        <v>0</v>
      </c>
      <c r="H761" s="24"/>
      <c r="I761" s="22"/>
      <c r="J761" s="21"/>
      <c r="K761" s="21"/>
    </row>
    <row r="762" spans="1:11" ht="21" customHeight="1">
      <c r="A762" s="21"/>
      <c r="B762" s="21"/>
      <c r="C762" s="20" t="str">
        <f>IF(B762="","",IF(COUNTIF('01_Anggota'!$D$5:$D$1212,B762)=0,"NAMA TIDAK DITEMUKAN",INDEX('01_Anggota'!$B$5:$B$1212,MATCH(B762,'01_Anggota'!$D$5:$D$1212,0))))</f>
        <v/>
      </c>
      <c r="D762" s="21"/>
      <c r="E762" s="23"/>
      <c r="F762" s="23"/>
      <c r="G762" s="23">
        <f>PinjamanTable[[#This Row],[Pokok (Rp) *]]+PinjamanTable[[#This Row],[Admin (Rp)]]</f>
        <v>0</v>
      </c>
      <c r="H762" s="24"/>
      <c r="I762" s="22"/>
      <c r="J762" s="21"/>
      <c r="K762" s="21"/>
    </row>
    <row r="763" spans="1:11" ht="21" customHeight="1">
      <c r="A763" s="21"/>
      <c r="B763" s="21"/>
      <c r="C763" s="20" t="str">
        <f>IF(B763="","",IF(COUNTIF('01_Anggota'!$D$5:$D$1212,B763)=0,"NAMA TIDAK DITEMUKAN",INDEX('01_Anggota'!$B$5:$B$1212,MATCH(B763,'01_Anggota'!$D$5:$D$1212,0))))</f>
        <v/>
      </c>
      <c r="D763" s="21"/>
      <c r="E763" s="23"/>
      <c r="F763" s="23"/>
      <c r="G763" s="23">
        <f>PinjamanTable[[#This Row],[Pokok (Rp) *]]+PinjamanTable[[#This Row],[Admin (Rp)]]</f>
        <v>0</v>
      </c>
      <c r="H763" s="24"/>
      <c r="I763" s="22"/>
      <c r="J763" s="21"/>
      <c r="K763" s="21"/>
    </row>
    <row r="764" spans="1:11" ht="21" customHeight="1">
      <c r="A764" s="21"/>
      <c r="B764" s="21"/>
      <c r="C764" s="20" t="str">
        <f>IF(B764="","",IF(COUNTIF('01_Anggota'!$D$5:$D$1212,B764)=0,"NAMA TIDAK DITEMUKAN",INDEX('01_Anggota'!$B$5:$B$1212,MATCH(B764,'01_Anggota'!$D$5:$D$1212,0))))</f>
        <v/>
      </c>
      <c r="D764" s="21"/>
      <c r="E764" s="23"/>
      <c r="F764" s="23"/>
      <c r="G764" s="23">
        <f>PinjamanTable[[#This Row],[Pokok (Rp) *]]+PinjamanTable[[#This Row],[Admin (Rp)]]</f>
        <v>0</v>
      </c>
      <c r="H764" s="24"/>
      <c r="I764" s="22"/>
      <c r="J764" s="21"/>
      <c r="K764" s="21"/>
    </row>
    <row r="765" spans="1:11" ht="21" customHeight="1">
      <c r="A765" s="21"/>
      <c r="B765" s="21"/>
      <c r="C765" s="20" t="str">
        <f>IF(B765="","",IF(COUNTIF('01_Anggota'!$D$5:$D$1212,B765)=0,"NAMA TIDAK DITEMUKAN",INDEX('01_Anggota'!$B$5:$B$1212,MATCH(B765,'01_Anggota'!$D$5:$D$1212,0))))</f>
        <v/>
      </c>
      <c r="D765" s="21"/>
      <c r="E765" s="23"/>
      <c r="F765" s="23"/>
      <c r="G765" s="23">
        <f>PinjamanTable[[#This Row],[Pokok (Rp) *]]+PinjamanTable[[#This Row],[Admin (Rp)]]</f>
        <v>0</v>
      </c>
      <c r="H765" s="24"/>
      <c r="I765" s="22"/>
      <c r="J765" s="21"/>
      <c r="K765" s="21"/>
    </row>
    <row r="766" spans="1:11" ht="21" customHeight="1">
      <c r="A766" s="21"/>
      <c r="B766" s="21"/>
      <c r="C766" s="20" t="str">
        <f>IF(B766="","",IF(COUNTIF('01_Anggota'!$D$5:$D$1212,B766)=0,"NAMA TIDAK DITEMUKAN",INDEX('01_Anggota'!$B$5:$B$1212,MATCH(B766,'01_Anggota'!$D$5:$D$1212,0))))</f>
        <v/>
      </c>
      <c r="D766" s="21"/>
      <c r="E766" s="23"/>
      <c r="F766" s="23"/>
      <c r="G766" s="23">
        <f>PinjamanTable[[#This Row],[Pokok (Rp) *]]+PinjamanTable[[#This Row],[Admin (Rp)]]</f>
        <v>0</v>
      </c>
      <c r="H766" s="24"/>
      <c r="I766" s="22"/>
      <c r="J766" s="21"/>
      <c r="K766" s="21"/>
    </row>
    <row r="767" spans="1:11" ht="21" customHeight="1">
      <c r="A767" s="21"/>
      <c r="B767" s="21"/>
      <c r="C767" s="20" t="str">
        <f>IF(B767="","",IF(COUNTIF('01_Anggota'!$D$5:$D$1212,B767)=0,"NAMA TIDAK DITEMUKAN",INDEX('01_Anggota'!$B$5:$B$1212,MATCH(B767,'01_Anggota'!$D$5:$D$1212,0))))</f>
        <v/>
      </c>
      <c r="D767" s="21"/>
      <c r="E767" s="23"/>
      <c r="F767" s="23"/>
      <c r="G767" s="23">
        <f>PinjamanTable[[#This Row],[Pokok (Rp) *]]+PinjamanTable[[#This Row],[Admin (Rp)]]</f>
        <v>0</v>
      </c>
      <c r="H767" s="24"/>
      <c r="I767" s="22"/>
      <c r="J767" s="21"/>
      <c r="K767" s="21"/>
    </row>
    <row r="768" spans="1:11" ht="21" customHeight="1">
      <c r="A768" s="21"/>
      <c r="B768" s="21"/>
      <c r="C768" s="20" t="str">
        <f>IF(B768="","",IF(COUNTIF('01_Anggota'!$D$5:$D$1212,B768)=0,"NAMA TIDAK DITEMUKAN",INDEX('01_Anggota'!$B$5:$B$1212,MATCH(B768,'01_Anggota'!$D$5:$D$1212,0))))</f>
        <v/>
      </c>
      <c r="D768" s="21"/>
      <c r="E768" s="23"/>
      <c r="F768" s="23"/>
      <c r="G768" s="23">
        <f>PinjamanTable[[#This Row],[Pokok (Rp) *]]+PinjamanTable[[#This Row],[Admin (Rp)]]</f>
        <v>0</v>
      </c>
      <c r="H768" s="24"/>
      <c r="I768" s="22"/>
      <c r="J768" s="21"/>
      <c r="K768" s="21"/>
    </row>
    <row r="769" spans="1:11" ht="21" customHeight="1">
      <c r="A769" s="21"/>
      <c r="B769" s="21"/>
      <c r="C769" s="20" t="str">
        <f>IF(B769="","",IF(COUNTIF('01_Anggota'!$D$5:$D$1212,B769)=0,"NAMA TIDAK DITEMUKAN",INDEX('01_Anggota'!$B$5:$B$1212,MATCH(B769,'01_Anggota'!$D$5:$D$1212,0))))</f>
        <v/>
      </c>
      <c r="D769" s="21"/>
      <c r="E769" s="23"/>
      <c r="F769" s="23"/>
      <c r="G769" s="23">
        <f>PinjamanTable[[#This Row],[Pokok (Rp) *]]+PinjamanTable[[#This Row],[Admin (Rp)]]</f>
        <v>0</v>
      </c>
      <c r="H769" s="24"/>
      <c r="I769" s="22"/>
      <c r="J769" s="21"/>
      <c r="K769" s="21"/>
    </row>
    <row r="770" spans="1:11" ht="21" customHeight="1">
      <c r="A770" s="21"/>
      <c r="B770" s="21"/>
      <c r="C770" s="20" t="str">
        <f>IF(B770="","",IF(COUNTIF('01_Anggota'!$D$5:$D$1212,B770)=0,"NAMA TIDAK DITEMUKAN",INDEX('01_Anggota'!$B$5:$B$1212,MATCH(B770,'01_Anggota'!$D$5:$D$1212,0))))</f>
        <v/>
      </c>
      <c r="D770" s="21"/>
      <c r="E770" s="23"/>
      <c r="F770" s="23"/>
      <c r="G770" s="23">
        <f>PinjamanTable[[#This Row],[Pokok (Rp) *]]+PinjamanTable[[#This Row],[Admin (Rp)]]</f>
        <v>0</v>
      </c>
      <c r="H770" s="24"/>
      <c r="I770" s="22"/>
      <c r="J770" s="21"/>
      <c r="K770" s="21"/>
    </row>
    <row r="771" spans="1:11" ht="21" customHeight="1">
      <c r="A771" s="21"/>
      <c r="B771" s="21"/>
      <c r="C771" s="20" t="str">
        <f>IF(B771="","",IF(COUNTIF('01_Anggota'!$D$5:$D$1212,B771)=0,"NAMA TIDAK DITEMUKAN",INDEX('01_Anggota'!$B$5:$B$1212,MATCH(B771,'01_Anggota'!$D$5:$D$1212,0))))</f>
        <v/>
      </c>
      <c r="D771" s="21"/>
      <c r="E771" s="23"/>
      <c r="F771" s="23"/>
      <c r="G771" s="23">
        <f>PinjamanTable[[#This Row],[Pokok (Rp) *]]+PinjamanTable[[#This Row],[Admin (Rp)]]</f>
        <v>0</v>
      </c>
      <c r="H771" s="24"/>
      <c r="I771" s="22"/>
      <c r="J771" s="21"/>
      <c r="K771" s="21"/>
    </row>
    <row r="772" spans="1:11" ht="21" customHeight="1">
      <c r="A772" s="21"/>
      <c r="B772" s="21"/>
      <c r="C772" s="20" t="str">
        <f>IF(B772="","",IF(COUNTIF('01_Anggota'!$D$5:$D$1212,B772)=0,"NAMA TIDAK DITEMUKAN",INDEX('01_Anggota'!$B$5:$B$1212,MATCH(B772,'01_Anggota'!$D$5:$D$1212,0))))</f>
        <v/>
      </c>
      <c r="D772" s="21"/>
      <c r="E772" s="23"/>
      <c r="F772" s="23"/>
      <c r="G772" s="23">
        <f>PinjamanTable[[#This Row],[Pokok (Rp) *]]+PinjamanTable[[#This Row],[Admin (Rp)]]</f>
        <v>0</v>
      </c>
      <c r="H772" s="24"/>
      <c r="I772" s="22"/>
      <c r="J772" s="21"/>
      <c r="K772" s="21"/>
    </row>
    <row r="773" spans="1:11" ht="21" customHeight="1">
      <c r="A773" s="21"/>
      <c r="B773" s="21"/>
      <c r="C773" s="20" t="str">
        <f>IF(B773="","",IF(COUNTIF('01_Anggota'!$D$5:$D$1212,B773)=0,"NAMA TIDAK DITEMUKAN",INDEX('01_Anggota'!$B$5:$B$1212,MATCH(B773,'01_Anggota'!$D$5:$D$1212,0))))</f>
        <v/>
      </c>
      <c r="D773" s="21"/>
      <c r="E773" s="23"/>
      <c r="F773" s="23"/>
      <c r="G773" s="23">
        <f>PinjamanTable[[#This Row],[Pokok (Rp) *]]+PinjamanTable[[#This Row],[Admin (Rp)]]</f>
        <v>0</v>
      </c>
      <c r="H773" s="24"/>
      <c r="I773" s="22"/>
      <c r="J773" s="21"/>
      <c r="K773" s="21"/>
    </row>
    <row r="774" spans="1:11" ht="21" customHeight="1">
      <c r="A774" s="21"/>
      <c r="B774" s="21"/>
      <c r="C774" s="20" t="str">
        <f>IF(B774="","",IF(COUNTIF('01_Anggota'!$D$5:$D$1212,B774)=0,"NAMA TIDAK DITEMUKAN",INDEX('01_Anggota'!$B$5:$B$1212,MATCH(B774,'01_Anggota'!$D$5:$D$1212,0))))</f>
        <v/>
      </c>
      <c r="D774" s="21"/>
      <c r="E774" s="23"/>
      <c r="F774" s="23"/>
      <c r="G774" s="23">
        <f>PinjamanTable[[#This Row],[Pokok (Rp) *]]+PinjamanTable[[#This Row],[Admin (Rp)]]</f>
        <v>0</v>
      </c>
      <c r="H774" s="24"/>
      <c r="I774" s="22"/>
      <c r="J774" s="21"/>
      <c r="K774" s="21"/>
    </row>
    <row r="775" spans="1:11" ht="21" customHeight="1">
      <c r="A775" s="21"/>
      <c r="B775" s="21"/>
      <c r="C775" s="20" t="str">
        <f>IF(B775="","",IF(COUNTIF('01_Anggota'!$D$5:$D$1212,B775)=0,"NAMA TIDAK DITEMUKAN",INDEX('01_Anggota'!$B$5:$B$1212,MATCH(B775,'01_Anggota'!$D$5:$D$1212,0))))</f>
        <v/>
      </c>
      <c r="D775" s="21"/>
      <c r="E775" s="23"/>
      <c r="F775" s="23"/>
      <c r="G775" s="23">
        <f>PinjamanTable[[#This Row],[Pokok (Rp) *]]+PinjamanTable[[#This Row],[Admin (Rp)]]</f>
        <v>0</v>
      </c>
      <c r="H775" s="24"/>
      <c r="I775" s="22"/>
      <c r="J775" s="21"/>
      <c r="K775" s="21"/>
    </row>
    <row r="776" spans="1:11" ht="21" customHeight="1">
      <c r="A776" s="21"/>
      <c r="B776" s="21"/>
      <c r="C776" s="20" t="str">
        <f>IF(B776="","",IF(COUNTIF('01_Anggota'!$D$5:$D$1212,B776)=0,"NAMA TIDAK DITEMUKAN",INDEX('01_Anggota'!$B$5:$B$1212,MATCH(B776,'01_Anggota'!$D$5:$D$1212,0))))</f>
        <v/>
      </c>
      <c r="D776" s="21"/>
      <c r="E776" s="23"/>
      <c r="F776" s="23"/>
      <c r="G776" s="23">
        <f>PinjamanTable[[#This Row],[Pokok (Rp) *]]+PinjamanTable[[#This Row],[Admin (Rp)]]</f>
        <v>0</v>
      </c>
      <c r="H776" s="24"/>
      <c r="I776" s="22"/>
      <c r="J776" s="21"/>
      <c r="K776" s="21"/>
    </row>
    <row r="777" spans="1:11" ht="21" customHeight="1">
      <c r="A777" s="21"/>
      <c r="B777" s="21"/>
      <c r="C777" s="20" t="str">
        <f>IF(B777="","",IF(COUNTIF('01_Anggota'!$D$5:$D$1212,B777)=0,"NAMA TIDAK DITEMUKAN",INDEX('01_Anggota'!$B$5:$B$1212,MATCH(B777,'01_Anggota'!$D$5:$D$1212,0))))</f>
        <v/>
      </c>
      <c r="D777" s="21"/>
      <c r="E777" s="23"/>
      <c r="F777" s="23"/>
      <c r="G777" s="23">
        <f>PinjamanTable[[#This Row],[Pokok (Rp) *]]+PinjamanTable[[#This Row],[Admin (Rp)]]</f>
        <v>0</v>
      </c>
      <c r="H777" s="24"/>
      <c r="I777" s="22"/>
      <c r="J777" s="21"/>
      <c r="K777" s="21"/>
    </row>
    <row r="778" spans="1:11" ht="21" customHeight="1">
      <c r="A778" s="21"/>
      <c r="B778" s="21"/>
      <c r="C778" s="20" t="str">
        <f>IF(B778="","",IF(COUNTIF('01_Anggota'!$D$5:$D$1212,B778)=0,"NAMA TIDAK DITEMUKAN",INDEX('01_Anggota'!$B$5:$B$1212,MATCH(B778,'01_Anggota'!$D$5:$D$1212,0))))</f>
        <v/>
      </c>
      <c r="D778" s="21"/>
      <c r="E778" s="23"/>
      <c r="F778" s="23"/>
      <c r="G778" s="23">
        <f>PinjamanTable[[#This Row],[Pokok (Rp) *]]+PinjamanTable[[#This Row],[Admin (Rp)]]</f>
        <v>0</v>
      </c>
      <c r="H778" s="24"/>
      <c r="I778" s="22"/>
      <c r="J778" s="21"/>
      <c r="K778" s="21"/>
    </row>
    <row r="779" spans="1:11" ht="21" customHeight="1">
      <c r="A779" s="21"/>
      <c r="B779" s="21"/>
      <c r="C779" s="20" t="str">
        <f>IF(B779="","",IF(COUNTIF('01_Anggota'!$D$5:$D$1212,B779)=0,"NAMA TIDAK DITEMUKAN",INDEX('01_Anggota'!$B$5:$B$1212,MATCH(B779,'01_Anggota'!$D$5:$D$1212,0))))</f>
        <v/>
      </c>
      <c r="D779" s="21"/>
      <c r="E779" s="23"/>
      <c r="F779" s="23"/>
      <c r="G779" s="23">
        <f>PinjamanTable[[#This Row],[Pokok (Rp) *]]+PinjamanTable[[#This Row],[Admin (Rp)]]</f>
        <v>0</v>
      </c>
      <c r="H779" s="24"/>
      <c r="I779" s="22"/>
      <c r="J779" s="21"/>
      <c r="K779" s="21"/>
    </row>
    <row r="780" spans="1:11" ht="21" customHeight="1">
      <c r="A780" s="21"/>
      <c r="B780" s="21"/>
      <c r="C780" s="20" t="str">
        <f>IF(B780="","",IF(COUNTIF('01_Anggota'!$D$5:$D$1212,B780)=0,"NAMA TIDAK DITEMUKAN",INDEX('01_Anggota'!$B$5:$B$1212,MATCH(B780,'01_Anggota'!$D$5:$D$1212,0))))</f>
        <v/>
      </c>
      <c r="D780" s="21"/>
      <c r="E780" s="23"/>
      <c r="F780" s="23"/>
      <c r="G780" s="23">
        <f>PinjamanTable[[#This Row],[Pokok (Rp) *]]+PinjamanTable[[#This Row],[Admin (Rp)]]</f>
        <v>0</v>
      </c>
      <c r="H780" s="24"/>
      <c r="I780" s="22"/>
      <c r="J780" s="21"/>
      <c r="K780" s="21"/>
    </row>
    <row r="781" spans="1:11" ht="21" customHeight="1">
      <c r="A781" s="21"/>
      <c r="B781" s="21"/>
      <c r="C781" s="20" t="str">
        <f>IF(B781="","",IF(COUNTIF('01_Anggota'!$D$5:$D$1212,B781)=0,"NAMA TIDAK DITEMUKAN",INDEX('01_Anggota'!$B$5:$B$1212,MATCH(B781,'01_Anggota'!$D$5:$D$1212,0))))</f>
        <v/>
      </c>
      <c r="D781" s="21"/>
      <c r="E781" s="23"/>
      <c r="F781" s="23"/>
      <c r="G781" s="23">
        <f>PinjamanTable[[#This Row],[Pokok (Rp) *]]+PinjamanTable[[#This Row],[Admin (Rp)]]</f>
        <v>0</v>
      </c>
      <c r="H781" s="24"/>
      <c r="I781" s="22"/>
      <c r="J781" s="21"/>
      <c r="K781" s="21"/>
    </row>
    <row r="782" spans="1:11" ht="21" customHeight="1">
      <c r="A782" s="21"/>
      <c r="B782" s="21"/>
      <c r="C782" s="20" t="str">
        <f>IF(B782="","",IF(COUNTIF('01_Anggota'!$D$5:$D$1212,B782)=0,"NAMA TIDAK DITEMUKAN",INDEX('01_Anggota'!$B$5:$B$1212,MATCH(B782,'01_Anggota'!$D$5:$D$1212,0))))</f>
        <v/>
      </c>
      <c r="D782" s="21"/>
      <c r="E782" s="23"/>
      <c r="F782" s="23"/>
      <c r="G782" s="23">
        <f>PinjamanTable[[#This Row],[Pokok (Rp) *]]+PinjamanTable[[#This Row],[Admin (Rp)]]</f>
        <v>0</v>
      </c>
      <c r="H782" s="24"/>
      <c r="I782" s="22"/>
      <c r="J782" s="21"/>
      <c r="K782" s="21"/>
    </row>
    <row r="783" spans="1:11" ht="21" customHeight="1">
      <c r="A783" s="21"/>
      <c r="B783" s="21"/>
      <c r="C783" s="20" t="str">
        <f>IF(B783="","",IF(COUNTIF('01_Anggota'!$D$5:$D$1212,B783)=0,"NAMA TIDAK DITEMUKAN",INDEX('01_Anggota'!$B$5:$B$1212,MATCH(B783,'01_Anggota'!$D$5:$D$1212,0))))</f>
        <v/>
      </c>
      <c r="D783" s="21"/>
      <c r="E783" s="23"/>
      <c r="F783" s="23"/>
      <c r="G783" s="23">
        <f>PinjamanTable[[#This Row],[Pokok (Rp) *]]+PinjamanTable[[#This Row],[Admin (Rp)]]</f>
        <v>0</v>
      </c>
      <c r="H783" s="24"/>
      <c r="I783" s="22"/>
      <c r="J783" s="21"/>
      <c r="K783" s="21"/>
    </row>
    <row r="784" spans="1:11" ht="21" customHeight="1">
      <c r="A784" s="21"/>
      <c r="B784" s="21"/>
      <c r="C784" s="20" t="str">
        <f>IF(B784="","",IF(COUNTIF('01_Anggota'!$D$5:$D$1212,B784)=0,"NAMA TIDAK DITEMUKAN",INDEX('01_Anggota'!$B$5:$B$1212,MATCH(B784,'01_Anggota'!$D$5:$D$1212,0))))</f>
        <v/>
      </c>
      <c r="D784" s="21"/>
      <c r="E784" s="23"/>
      <c r="F784" s="23"/>
      <c r="G784" s="23">
        <f>PinjamanTable[[#This Row],[Pokok (Rp) *]]+PinjamanTable[[#This Row],[Admin (Rp)]]</f>
        <v>0</v>
      </c>
      <c r="H784" s="24"/>
      <c r="I784" s="22"/>
      <c r="J784" s="21"/>
      <c r="K784" s="21"/>
    </row>
    <row r="785" spans="1:11" ht="21" customHeight="1">
      <c r="A785" s="21"/>
      <c r="B785" s="21"/>
      <c r="C785" s="20" t="str">
        <f>IF(B785="","",IF(COUNTIF('01_Anggota'!$D$5:$D$1212,B785)=0,"NAMA TIDAK DITEMUKAN",INDEX('01_Anggota'!$B$5:$B$1212,MATCH(B785,'01_Anggota'!$D$5:$D$1212,0))))</f>
        <v/>
      </c>
      <c r="D785" s="21"/>
      <c r="E785" s="23"/>
      <c r="F785" s="23"/>
      <c r="G785" s="23">
        <f>PinjamanTable[[#This Row],[Pokok (Rp) *]]+PinjamanTable[[#This Row],[Admin (Rp)]]</f>
        <v>0</v>
      </c>
      <c r="H785" s="24"/>
      <c r="I785" s="22"/>
      <c r="J785" s="21"/>
      <c r="K785" s="21"/>
    </row>
    <row r="786" spans="1:11" ht="21" customHeight="1">
      <c r="A786" s="21"/>
      <c r="B786" s="21"/>
      <c r="C786" s="20" t="str">
        <f>IF(B786="","",IF(COUNTIF('01_Anggota'!$D$5:$D$1212,B786)=0,"NAMA TIDAK DITEMUKAN",INDEX('01_Anggota'!$B$5:$B$1212,MATCH(B786,'01_Anggota'!$D$5:$D$1212,0))))</f>
        <v/>
      </c>
      <c r="D786" s="21"/>
      <c r="E786" s="23"/>
      <c r="F786" s="23"/>
      <c r="G786" s="23">
        <f>PinjamanTable[[#This Row],[Pokok (Rp) *]]+PinjamanTable[[#This Row],[Admin (Rp)]]</f>
        <v>0</v>
      </c>
      <c r="H786" s="24"/>
      <c r="I786" s="22"/>
      <c r="J786" s="21"/>
      <c r="K786" s="21"/>
    </row>
    <row r="787" spans="1:11" ht="21" customHeight="1">
      <c r="A787" s="21"/>
      <c r="B787" s="21"/>
      <c r="C787" s="20" t="str">
        <f>IF(B787="","",IF(COUNTIF('01_Anggota'!$D$5:$D$1212,B787)=0,"NAMA TIDAK DITEMUKAN",INDEX('01_Anggota'!$B$5:$B$1212,MATCH(B787,'01_Anggota'!$D$5:$D$1212,0))))</f>
        <v/>
      </c>
      <c r="D787" s="21"/>
      <c r="E787" s="23"/>
      <c r="F787" s="23"/>
      <c r="G787" s="23">
        <f>PinjamanTable[[#This Row],[Pokok (Rp) *]]+PinjamanTable[[#This Row],[Admin (Rp)]]</f>
        <v>0</v>
      </c>
      <c r="H787" s="24"/>
      <c r="I787" s="22"/>
      <c r="J787" s="21"/>
      <c r="K787" s="21"/>
    </row>
    <row r="788" spans="1:11" ht="21" customHeight="1">
      <c r="A788" s="21"/>
      <c r="B788" s="21"/>
      <c r="C788" s="20" t="str">
        <f>IF(B788="","",IF(COUNTIF('01_Anggota'!$D$5:$D$1212,B788)=0,"NAMA TIDAK DITEMUKAN",INDEX('01_Anggota'!$B$5:$B$1212,MATCH(B788,'01_Anggota'!$D$5:$D$1212,0))))</f>
        <v/>
      </c>
      <c r="D788" s="21"/>
      <c r="E788" s="23"/>
      <c r="F788" s="23"/>
      <c r="G788" s="23">
        <f>PinjamanTable[[#This Row],[Pokok (Rp) *]]+PinjamanTable[[#This Row],[Admin (Rp)]]</f>
        <v>0</v>
      </c>
      <c r="H788" s="24"/>
      <c r="I788" s="22"/>
      <c r="J788" s="21"/>
      <c r="K788" s="21"/>
    </row>
    <row r="789" spans="1:11" ht="21" customHeight="1">
      <c r="A789" s="21"/>
      <c r="B789" s="21"/>
      <c r="C789" s="20" t="str">
        <f>IF(B789="","",IF(COUNTIF('01_Anggota'!$D$5:$D$1212,B789)=0,"NAMA TIDAK DITEMUKAN",INDEX('01_Anggota'!$B$5:$B$1212,MATCH(B789,'01_Anggota'!$D$5:$D$1212,0))))</f>
        <v/>
      </c>
      <c r="D789" s="21"/>
      <c r="E789" s="23"/>
      <c r="F789" s="23"/>
      <c r="G789" s="23">
        <f>PinjamanTable[[#This Row],[Pokok (Rp) *]]+PinjamanTable[[#This Row],[Admin (Rp)]]</f>
        <v>0</v>
      </c>
      <c r="H789" s="24"/>
      <c r="I789" s="22"/>
      <c r="J789" s="21"/>
      <c r="K789" s="21"/>
    </row>
    <row r="790" spans="1:11" ht="21" customHeight="1">
      <c r="A790" s="21"/>
      <c r="B790" s="21"/>
      <c r="C790" s="20" t="str">
        <f>IF(B790="","",IF(COUNTIF('01_Anggota'!$D$5:$D$1212,B790)=0,"NAMA TIDAK DITEMUKAN",INDEX('01_Anggota'!$B$5:$B$1212,MATCH(B790,'01_Anggota'!$D$5:$D$1212,0))))</f>
        <v/>
      </c>
      <c r="D790" s="21"/>
      <c r="E790" s="23"/>
      <c r="F790" s="23"/>
      <c r="G790" s="23">
        <f>PinjamanTable[[#This Row],[Pokok (Rp) *]]+PinjamanTable[[#This Row],[Admin (Rp)]]</f>
        <v>0</v>
      </c>
      <c r="H790" s="24"/>
      <c r="I790" s="22"/>
      <c r="J790" s="21"/>
      <c r="K790" s="21"/>
    </row>
    <row r="791" spans="1:11" ht="21" customHeight="1">
      <c r="A791" s="21"/>
      <c r="B791" s="21"/>
      <c r="C791" s="20" t="str">
        <f>IF(B791="","",IF(COUNTIF('01_Anggota'!$D$5:$D$1212,B791)=0,"NAMA TIDAK DITEMUKAN",INDEX('01_Anggota'!$B$5:$B$1212,MATCH(B791,'01_Anggota'!$D$5:$D$1212,0))))</f>
        <v/>
      </c>
      <c r="D791" s="21"/>
      <c r="E791" s="23"/>
      <c r="F791" s="23"/>
      <c r="G791" s="23">
        <f>PinjamanTable[[#This Row],[Pokok (Rp) *]]+PinjamanTable[[#This Row],[Admin (Rp)]]</f>
        <v>0</v>
      </c>
      <c r="H791" s="24"/>
      <c r="I791" s="22"/>
      <c r="J791" s="21"/>
      <c r="K791" s="21"/>
    </row>
    <row r="792" spans="1:11" ht="21" customHeight="1">
      <c r="A792" s="21"/>
      <c r="B792" s="21"/>
      <c r="C792" s="20" t="str">
        <f>IF(B792="","",IF(COUNTIF('01_Anggota'!$D$5:$D$1212,B792)=0,"NAMA TIDAK DITEMUKAN",INDEX('01_Anggota'!$B$5:$B$1212,MATCH(B792,'01_Anggota'!$D$5:$D$1212,0))))</f>
        <v/>
      </c>
      <c r="D792" s="21"/>
      <c r="E792" s="23"/>
      <c r="F792" s="23"/>
      <c r="G792" s="23">
        <f>PinjamanTable[[#This Row],[Pokok (Rp) *]]+PinjamanTable[[#This Row],[Admin (Rp)]]</f>
        <v>0</v>
      </c>
      <c r="H792" s="24"/>
      <c r="I792" s="22"/>
      <c r="J792" s="21"/>
      <c r="K792" s="21"/>
    </row>
    <row r="793" spans="1:11" ht="21" customHeight="1">
      <c r="A793" s="21"/>
      <c r="B793" s="21"/>
      <c r="C793" s="20" t="str">
        <f>IF(B793="","",IF(COUNTIF('01_Anggota'!$D$5:$D$1212,B793)=0,"NAMA TIDAK DITEMUKAN",INDEX('01_Anggota'!$B$5:$B$1212,MATCH(B793,'01_Anggota'!$D$5:$D$1212,0))))</f>
        <v/>
      </c>
      <c r="D793" s="21"/>
      <c r="E793" s="23"/>
      <c r="F793" s="23"/>
      <c r="G793" s="23">
        <f>PinjamanTable[[#This Row],[Pokok (Rp) *]]+PinjamanTable[[#This Row],[Admin (Rp)]]</f>
        <v>0</v>
      </c>
      <c r="H793" s="24"/>
      <c r="I793" s="22"/>
      <c r="J793" s="21"/>
      <c r="K793" s="21"/>
    </row>
    <row r="794" spans="1:11" ht="21" customHeight="1">
      <c r="A794" s="21"/>
      <c r="B794" s="21"/>
      <c r="C794" s="20" t="str">
        <f>IF(B794="","",IF(COUNTIF('01_Anggota'!$D$5:$D$1212,B794)=0,"NAMA TIDAK DITEMUKAN",INDEX('01_Anggota'!$B$5:$B$1212,MATCH(B794,'01_Anggota'!$D$5:$D$1212,0))))</f>
        <v/>
      </c>
      <c r="D794" s="21"/>
      <c r="E794" s="23"/>
      <c r="F794" s="23"/>
      <c r="G794" s="23">
        <f>PinjamanTable[[#This Row],[Pokok (Rp) *]]+PinjamanTable[[#This Row],[Admin (Rp)]]</f>
        <v>0</v>
      </c>
      <c r="H794" s="24"/>
      <c r="I794" s="22"/>
      <c r="J794" s="21"/>
      <c r="K794" s="21"/>
    </row>
    <row r="795" spans="1:11" ht="21" customHeight="1">
      <c r="A795" s="21"/>
      <c r="B795" s="21"/>
      <c r="C795" s="20" t="str">
        <f>IF(B795="","",IF(COUNTIF('01_Anggota'!$D$5:$D$1212,B795)=0,"NAMA TIDAK DITEMUKAN",INDEX('01_Anggota'!$B$5:$B$1212,MATCH(B795,'01_Anggota'!$D$5:$D$1212,0))))</f>
        <v/>
      </c>
      <c r="D795" s="21"/>
      <c r="E795" s="23"/>
      <c r="F795" s="23"/>
      <c r="G795" s="23">
        <f>PinjamanTable[[#This Row],[Pokok (Rp) *]]+PinjamanTable[[#This Row],[Admin (Rp)]]</f>
        <v>0</v>
      </c>
      <c r="H795" s="24"/>
      <c r="I795" s="22"/>
      <c r="J795" s="21"/>
      <c r="K795" s="21"/>
    </row>
    <row r="796" spans="1:11" ht="21" customHeight="1">
      <c r="A796" s="21"/>
      <c r="B796" s="21"/>
      <c r="C796" s="20" t="str">
        <f>IF(B796="","",IF(COUNTIF('01_Anggota'!$D$5:$D$1212,B796)=0,"NAMA TIDAK DITEMUKAN",INDEX('01_Anggota'!$B$5:$B$1212,MATCH(B796,'01_Anggota'!$D$5:$D$1212,0))))</f>
        <v/>
      </c>
      <c r="D796" s="21"/>
      <c r="E796" s="23"/>
      <c r="F796" s="23"/>
      <c r="G796" s="23">
        <f>PinjamanTable[[#This Row],[Pokok (Rp) *]]+PinjamanTable[[#This Row],[Admin (Rp)]]</f>
        <v>0</v>
      </c>
      <c r="H796" s="24"/>
      <c r="I796" s="22"/>
      <c r="J796" s="21"/>
      <c r="K796" s="21"/>
    </row>
    <row r="797" spans="1:11" ht="21" customHeight="1">
      <c r="A797" s="21"/>
      <c r="B797" s="21"/>
      <c r="C797" s="20" t="str">
        <f>IF(B797="","",IF(COUNTIF('01_Anggota'!$D$5:$D$1212,B797)=0,"NAMA TIDAK DITEMUKAN",INDEX('01_Anggota'!$B$5:$B$1212,MATCH(B797,'01_Anggota'!$D$5:$D$1212,0))))</f>
        <v/>
      </c>
      <c r="D797" s="21"/>
      <c r="E797" s="23"/>
      <c r="F797" s="23"/>
      <c r="G797" s="23">
        <f>PinjamanTable[[#This Row],[Pokok (Rp) *]]+PinjamanTable[[#This Row],[Admin (Rp)]]</f>
        <v>0</v>
      </c>
      <c r="H797" s="24"/>
      <c r="I797" s="22"/>
      <c r="J797" s="21"/>
      <c r="K797" s="21"/>
    </row>
    <row r="798" spans="1:11" ht="21" customHeight="1">
      <c r="A798" s="21"/>
      <c r="B798" s="21"/>
      <c r="C798" s="20" t="str">
        <f>IF(B798="","",IF(COUNTIF('01_Anggota'!$D$5:$D$1212,B798)=0,"NAMA TIDAK DITEMUKAN",INDEX('01_Anggota'!$B$5:$B$1212,MATCH(B798,'01_Anggota'!$D$5:$D$1212,0))))</f>
        <v/>
      </c>
      <c r="D798" s="21"/>
      <c r="E798" s="23"/>
      <c r="F798" s="23"/>
      <c r="G798" s="23">
        <f>PinjamanTable[[#This Row],[Pokok (Rp) *]]+PinjamanTable[[#This Row],[Admin (Rp)]]</f>
        <v>0</v>
      </c>
      <c r="H798" s="24"/>
      <c r="I798" s="22"/>
      <c r="J798" s="21"/>
      <c r="K798" s="21"/>
    </row>
    <row r="799" spans="1:11" ht="21" customHeight="1">
      <c r="A799" s="21"/>
      <c r="B799" s="21"/>
      <c r="C799" s="20" t="str">
        <f>IF(B799="","",IF(COUNTIF('01_Anggota'!$D$5:$D$1212,B799)=0,"NAMA TIDAK DITEMUKAN",INDEX('01_Anggota'!$B$5:$B$1212,MATCH(B799,'01_Anggota'!$D$5:$D$1212,0))))</f>
        <v/>
      </c>
      <c r="D799" s="21"/>
      <c r="E799" s="23"/>
      <c r="F799" s="23"/>
      <c r="G799" s="23">
        <f>PinjamanTable[[#This Row],[Pokok (Rp) *]]+PinjamanTable[[#This Row],[Admin (Rp)]]</f>
        <v>0</v>
      </c>
      <c r="H799" s="24"/>
      <c r="I799" s="22"/>
      <c r="J799" s="21"/>
      <c r="K799" s="21"/>
    </row>
    <row r="800" spans="1:11" ht="21" customHeight="1">
      <c r="A800" s="21"/>
      <c r="B800" s="21"/>
      <c r="C800" s="20" t="str">
        <f>IF(B800="","",IF(COUNTIF('01_Anggota'!$D$5:$D$1212,B800)=0,"NAMA TIDAK DITEMUKAN",INDEX('01_Anggota'!$B$5:$B$1212,MATCH(B800,'01_Anggota'!$D$5:$D$1212,0))))</f>
        <v/>
      </c>
      <c r="D800" s="21"/>
      <c r="E800" s="23"/>
      <c r="F800" s="23"/>
      <c r="G800" s="23">
        <f>PinjamanTable[[#This Row],[Pokok (Rp) *]]+PinjamanTable[[#This Row],[Admin (Rp)]]</f>
        <v>0</v>
      </c>
      <c r="H800" s="24"/>
      <c r="I800" s="22"/>
      <c r="J800" s="21"/>
      <c r="K800" s="21"/>
    </row>
    <row r="801" spans="1:11" ht="21" customHeight="1">
      <c r="A801" s="21"/>
      <c r="B801" s="21"/>
      <c r="C801" s="20" t="str">
        <f>IF(B801="","",IF(COUNTIF('01_Anggota'!$D$5:$D$1212,B801)=0,"NAMA TIDAK DITEMUKAN",INDEX('01_Anggota'!$B$5:$B$1212,MATCH(B801,'01_Anggota'!$D$5:$D$1212,0))))</f>
        <v/>
      </c>
      <c r="D801" s="21"/>
      <c r="E801" s="23"/>
      <c r="F801" s="23"/>
      <c r="G801" s="23">
        <f>PinjamanTable[[#This Row],[Pokok (Rp) *]]+PinjamanTable[[#This Row],[Admin (Rp)]]</f>
        <v>0</v>
      </c>
      <c r="H801" s="24"/>
      <c r="I801" s="22"/>
      <c r="J801" s="21"/>
      <c r="K801" s="21"/>
    </row>
    <row r="802" spans="1:11" ht="21" customHeight="1">
      <c r="A802" s="21"/>
      <c r="B802" s="21"/>
      <c r="C802" s="20" t="str">
        <f>IF(B802="","",IF(COUNTIF('01_Anggota'!$D$5:$D$1212,B802)=0,"NAMA TIDAK DITEMUKAN",INDEX('01_Anggota'!$B$5:$B$1212,MATCH(B802,'01_Anggota'!$D$5:$D$1212,0))))</f>
        <v/>
      </c>
      <c r="D802" s="21"/>
      <c r="E802" s="23"/>
      <c r="F802" s="23"/>
      <c r="G802" s="23">
        <f>PinjamanTable[[#This Row],[Pokok (Rp) *]]+PinjamanTable[[#This Row],[Admin (Rp)]]</f>
        <v>0</v>
      </c>
      <c r="H802" s="24"/>
      <c r="I802" s="22"/>
      <c r="J802" s="21"/>
      <c r="K802" s="21"/>
    </row>
    <row r="803" spans="1:11" ht="21" customHeight="1">
      <c r="A803" s="21"/>
      <c r="B803" s="21"/>
      <c r="C803" s="20" t="str">
        <f>IF(B803="","",IF(COUNTIF('01_Anggota'!$D$5:$D$1212,B803)=0,"NAMA TIDAK DITEMUKAN",INDEX('01_Anggota'!$B$5:$B$1212,MATCH(B803,'01_Anggota'!$D$5:$D$1212,0))))</f>
        <v/>
      </c>
      <c r="D803" s="21"/>
      <c r="E803" s="23"/>
      <c r="F803" s="23"/>
      <c r="G803" s="23">
        <f>PinjamanTable[[#This Row],[Pokok (Rp) *]]+PinjamanTable[[#This Row],[Admin (Rp)]]</f>
        <v>0</v>
      </c>
      <c r="H803" s="24"/>
      <c r="I803" s="22"/>
      <c r="J803" s="21"/>
      <c r="K803" s="21"/>
    </row>
    <row r="804" spans="1:11" ht="21" customHeight="1">
      <c r="A804" s="21"/>
      <c r="B804" s="21"/>
      <c r="C804" s="20" t="str">
        <f>IF(B804="","",IF(COUNTIF('01_Anggota'!$D$5:$D$1212,B804)=0,"NAMA TIDAK DITEMUKAN",INDEX('01_Anggota'!$B$5:$B$1212,MATCH(B804,'01_Anggota'!$D$5:$D$1212,0))))</f>
        <v/>
      </c>
      <c r="D804" s="21"/>
      <c r="E804" s="23"/>
      <c r="F804" s="23"/>
      <c r="G804" s="23">
        <f>PinjamanTable[[#This Row],[Pokok (Rp) *]]+PinjamanTable[[#This Row],[Admin (Rp)]]</f>
        <v>0</v>
      </c>
      <c r="H804" s="24"/>
      <c r="I804" s="22"/>
      <c r="J804" s="21"/>
      <c r="K804" s="21"/>
    </row>
    <row r="805" spans="1:11" ht="21" customHeight="1">
      <c r="A805" s="21"/>
      <c r="B805" s="21"/>
      <c r="C805" s="20" t="str">
        <f>IF(B805="","",IF(COUNTIF('01_Anggota'!$D$5:$D$1212,B805)=0,"NAMA TIDAK DITEMUKAN",INDEX('01_Anggota'!$B$5:$B$1212,MATCH(B805,'01_Anggota'!$D$5:$D$1212,0))))</f>
        <v/>
      </c>
      <c r="D805" s="21"/>
      <c r="E805" s="23"/>
      <c r="F805" s="23"/>
      <c r="G805" s="23">
        <f>PinjamanTable[[#This Row],[Pokok (Rp) *]]+PinjamanTable[[#This Row],[Admin (Rp)]]</f>
        <v>0</v>
      </c>
      <c r="H805" s="24"/>
      <c r="I805" s="22"/>
      <c r="J805" s="21"/>
      <c r="K805" s="21"/>
    </row>
    <row r="806" spans="1:11" ht="21" customHeight="1">
      <c r="A806" s="21"/>
      <c r="B806" s="21"/>
      <c r="C806" s="20" t="str">
        <f>IF(B806="","",IF(COUNTIF('01_Anggota'!$D$5:$D$1212,B806)=0,"NAMA TIDAK DITEMUKAN",INDEX('01_Anggota'!$B$5:$B$1212,MATCH(B806,'01_Anggota'!$D$5:$D$1212,0))))</f>
        <v/>
      </c>
      <c r="D806" s="21"/>
      <c r="E806" s="23"/>
      <c r="F806" s="23"/>
      <c r="G806" s="23">
        <f>PinjamanTable[[#This Row],[Pokok (Rp) *]]+PinjamanTable[[#This Row],[Admin (Rp)]]</f>
        <v>0</v>
      </c>
      <c r="H806" s="24"/>
      <c r="I806" s="22"/>
      <c r="J806" s="21"/>
      <c r="K806" s="21"/>
    </row>
    <row r="807" spans="1:11" ht="21" customHeight="1">
      <c r="A807" s="21"/>
      <c r="B807" s="21"/>
      <c r="C807" s="20" t="str">
        <f>IF(B807="","",IF(COUNTIF('01_Anggota'!$D$5:$D$1212,B807)=0,"NAMA TIDAK DITEMUKAN",INDEX('01_Anggota'!$B$5:$B$1212,MATCH(B807,'01_Anggota'!$D$5:$D$1212,0))))</f>
        <v/>
      </c>
      <c r="D807" s="21"/>
      <c r="E807" s="23"/>
      <c r="F807" s="23"/>
      <c r="G807" s="23">
        <f>PinjamanTable[[#This Row],[Pokok (Rp) *]]+PinjamanTable[[#This Row],[Admin (Rp)]]</f>
        <v>0</v>
      </c>
      <c r="H807" s="24"/>
      <c r="I807" s="22"/>
      <c r="J807" s="21"/>
      <c r="K807" s="21"/>
    </row>
    <row r="808" spans="1:11" ht="21" customHeight="1">
      <c r="A808" s="21"/>
      <c r="B808" s="21"/>
      <c r="C808" s="20" t="str">
        <f>IF(B808="","",IF(COUNTIF('01_Anggota'!$D$5:$D$1212,B808)=0,"NAMA TIDAK DITEMUKAN",INDEX('01_Anggota'!$B$5:$B$1212,MATCH(B808,'01_Anggota'!$D$5:$D$1212,0))))</f>
        <v/>
      </c>
      <c r="D808" s="21"/>
      <c r="E808" s="23"/>
      <c r="F808" s="23"/>
      <c r="G808" s="23">
        <f>PinjamanTable[[#This Row],[Pokok (Rp) *]]+PinjamanTable[[#This Row],[Admin (Rp)]]</f>
        <v>0</v>
      </c>
      <c r="H808" s="24"/>
      <c r="I808" s="22"/>
      <c r="J808" s="21"/>
      <c r="K808" s="21"/>
    </row>
    <row r="809" spans="1:11" ht="21" customHeight="1">
      <c r="A809" s="21"/>
      <c r="B809" s="21"/>
      <c r="C809" s="20" t="str">
        <f>IF(B809="","",IF(COUNTIF('01_Anggota'!$D$5:$D$1212,B809)=0,"NAMA TIDAK DITEMUKAN",INDEX('01_Anggota'!$B$5:$B$1212,MATCH(B809,'01_Anggota'!$D$5:$D$1212,0))))</f>
        <v/>
      </c>
      <c r="D809" s="21"/>
      <c r="E809" s="23"/>
      <c r="F809" s="23"/>
      <c r="G809" s="23">
        <f>PinjamanTable[[#This Row],[Pokok (Rp) *]]+PinjamanTable[[#This Row],[Admin (Rp)]]</f>
        <v>0</v>
      </c>
      <c r="H809" s="24"/>
      <c r="I809" s="22"/>
      <c r="J809" s="21"/>
      <c r="K809" s="21"/>
    </row>
    <row r="810" spans="1:11" ht="21" customHeight="1">
      <c r="A810" s="21"/>
      <c r="B810" s="21"/>
      <c r="C810" s="20" t="str">
        <f>IF(B810="","",IF(COUNTIF('01_Anggota'!$D$5:$D$1212,B810)=0,"NAMA TIDAK DITEMUKAN",INDEX('01_Anggota'!$B$5:$B$1212,MATCH(B810,'01_Anggota'!$D$5:$D$1212,0))))</f>
        <v/>
      </c>
      <c r="D810" s="21"/>
      <c r="E810" s="23"/>
      <c r="F810" s="23"/>
      <c r="G810" s="23">
        <f>PinjamanTable[[#This Row],[Pokok (Rp) *]]+PinjamanTable[[#This Row],[Admin (Rp)]]</f>
        <v>0</v>
      </c>
      <c r="H810" s="24"/>
      <c r="I810" s="22"/>
      <c r="J810" s="21"/>
      <c r="K810" s="21"/>
    </row>
    <row r="811" spans="1:11" ht="21" customHeight="1">
      <c r="A811" s="21"/>
      <c r="B811" s="21"/>
      <c r="C811" s="20" t="str">
        <f>IF(B811="","",IF(COUNTIF('01_Anggota'!$D$5:$D$1212,B811)=0,"NAMA TIDAK DITEMUKAN",INDEX('01_Anggota'!$B$5:$B$1212,MATCH(B811,'01_Anggota'!$D$5:$D$1212,0))))</f>
        <v/>
      </c>
      <c r="D811" s="21"/>
      <c r="E811" s="23"/>
      <c r="F811" s="23"/>
      <c r="G811" s="23">
        <f>PinjamanTable[[#This Row],[Pokok (Rp) *]]+PinjamanTable[[#This Row],[Admin (Rp)]]</f>
        <v>0</v>
      </c>
      <c r="H811" s="24"/>
      <c r="I811" s="22"/>
      <c r="J811" s="21"/>
      <c r="K811" s="21"/>
    </row>
    <row r="812" spans="1:11" ht="21" customHeight="1">
      <c r="A812" s="21"/>
      <c r="B812" s="21"/>
      <c r="C812" s="20" t="str">
        <f>IF(B812="","",IF(COUNTIF('01_Anggota'!$D$5:$D$1212,B812)=0,"NAMA TIDAK DITEMUKAN",INDEX('01_Anggota'!$B$5:$B$1212,MATCH(B812,'01_Anggota'!$D$5:$D$1212,0))))</f>
        <v/>
      </c>
      <c r="D812" s="21"/>
      <c r="E812" s="23"/>
      <c r="F812" s="23"/>
      <c r="G812" s="23">
        <f>PinjamanTable[[#This Row],[Pokok (Rp) *]]+PinjamanTable[[#This Row],[Admin (Rp)]]</f>
        <v>0</v>
      </c>
      <c r="H812" s="24"/>
      <c r="I812" s="22"/>
      <c r="J812" s="21"/>
      <c r="K812" s="21"/>
    </row>
    <row r="813" spans="1:11" ht="21" customHeight="1">
      <c r="A813" s="21"/>
      <c r="B813" s="21"/>
      <c r="C813" s="20" t="str">
        <f>IF(B813="","",IF(COUNTIF('01_Anggota'!$D$5:$D$1212,B813)=0,"NAMA TIDAK DITEMUKAN",INDEX('01_Anggota'!$B$5:$B$1212,MATCH(B813,'01_Anggota'!$D$5:$D$1212,0))))</f>
        <v/>
      </c>
      <c r="D813" s="21"/>
      <c r="E813" s="23"/>
      <c r="F813" s="23"/>
      <c r="G813" s="23">
        <f>PinjamanTable[[#This Row],[Pokok (Rp) *]]+PinjamanTable[[#This Row],[Admin (Rp)]]</f>
        <v>0</v>
      </c>
      <c r="H813" s="24"/>
      <c r="I813" s="22"/>
      <c r="J813" s="21"/>
      <c r="K813" s="21"/>
    </row>
    <row r="814" spans="1:11" ht="21" customHeight="1">
      <c r="A814" s="21"/>
      <c r="B814" s="21"/>
      <c r="C814" s="20" t="str">
        <f>IF(B814="","",IF(COUNTIF('01_Anggota'!$D$5:$D$1212,B814)=0,"NAMA TIDAK DITEMUKAN",INDEX('01_Anggota'!$B$5:$B$1212,MATCH(B814,'01_Anggota'!$D$5:$D$1212,0))))</f>
        <v/>
      </c>
      <c r="D814" s="21"/>
      <c r="E814" s="23"/>
      <c r="F814" s="23"/>
      <c r="G814" s="23">
        <f>PinjamanTable[[#This Row],[Pokok (Rp) *]]+PinjamanTable[[#This Row],[Admin (Rp)]]</f>
        <v>0</v>
      </c>
      <c r="H814" s="24"/>
      <c r="I814" s="22"/>
      <c r="J814" s="21"/>
      <c r="K814" s="21"/>
    </row>
    <row r="815" spans="1:11" ht="21" customHeight="1">
      <c r="A815" s="21"/>
      <c r="B815" s="21"/>
      <c r="C815" s="20" t="str">
        <f>IF(B815="","",IF(COUNTIF('01_Anggota'!$D$5:$D$1212,B815)=0,"NAMA TIDAK DITEMUKAN",INDEX('01_Anggota'!$B$5:$B$1212,MATCH(B815,'01_Anggota'!$D$5:$D$1212,0))))</f>
        <v/>
      </c>
      <c r="D815" s="21"/>
      <c r="E815" s="23"/>
      <c r="F815" s="23"/>
      <c r="G815" s="23">
        <f>PinjamanTable[[#This Row],[Pokok (Rp) *]]+PinjamanTable[[#This Row],[Admin (Rp)]]</f>
        <v>0</v>
      </c>
      <c r="H815" s="24"/>
      <c r="I815" s="22"/>
      <c r="J815" s="21"/>
      <c r="K815" s="21"/>
    </row>
    <row r="816" spans="1:11" ht="21" customHeight="1">
      <c r="A816" s="21"/>
      <c r="B816" s="21"/>
      <c r="C816" s="20" t="str">
        <f>IF(B816="","",IF(COUNTIF('01_Anggota'!$D$5:$D$1212,B816)=0,"NAMA TIDAK DITEMUKAN",INDEX('01_Anggota'!$B$5:$B$1212,MATCH(B816,'01_Anggota'!$D$5:$D$1212,0))))</f>
        <v/>
      </c>
      <c r="D816" s="21"/>
      <c r="E816" s="23"/>
      <c r="F816" s="23"/>
      <c r="G816" s="23">
        <f>PinjamanTable[[#This Row],[Pokok (Rp) *]]+PinjamanTable[[#This Row],[Admin (Rp)]]</f>
        <v>0</v>
      </c>
      <c r="H816" s="24"/>
      <c r="I816" s="22"/>
      <c r="J816" s="21"/>
      <c r="K816" s="21"/>
    </row>
    <row r="817" spans="1:11" ht="21" customHeight="1">
      <c r="A817" s="21"/>
      <c r="B817" s="21"/>
      <c r="C817" s="20" t="str">
        <f>IF(B817="","",IF(COUNTIF('01_Anggota'!$D$5:$D$1212,B817)=0,"NAMA TIDAK DITEMUKAN",INDEX('01_Anggota'!$B$5:$B$1212,MATCH(B817,'01_Anggota'!$D$5:$D$1212,0))))</f>
        <v/>
      </c>
      <c r="D817" s="21"/>
      <c r="E817" s="23"/>
      <c r="F817" s="23"/>
      <c r="G817" s="23">
        <f>PinjamanTable[[#This Row],[Pokok (Rp) *]]+PinjamanTable[[#This Row],[Admin (Rp)]]</f>
        <v>0</v>
      </c>
      <c r="H817" s="24"/>
      <c r="I817" s="22"/>
      <c r="J817" s="21"/>
      <c r="K817" s="21"/>
    </row>
    <row r="818" spans="1:11" ht="21" customHeight="1">
      <c r="A818" s="21"/>
      <c r="B818" s="21"/>
      <c r="C818" s="20" t="str">
        <f>IF(B818="","",IF(COUNTIF('01_Anggota'!$D$5:$D$1212,B818)=0,"NAMA TIDAK DITEMUKAN",INDEX('01_Anggota'!$B$5:$B$1212,MATCH(B818,'01_Anggota'!$D$5:$D$1212,0))))</f>
        <v/>
      </c>
      <c r="D818" s="21"/>
      <c r="E818" s="23"/>
      <c r="F818" s="23"/>
      <c r="G818" s="23">
        <f>PinjamanTable[[#This Row],[Pokok (Rp) *]]+PinjamanTable[[#This Row],[Admin (Rp)]]</f>
        <v>0</v>
      </c>
      <c r="H818" s="24"/>
      <c r="I818" s="22"/>
      <c r="J818" s="21"/>
      <c r="K818" s="21"/>
    </row>
    <row r="819" spans="1:11" ht="21" customHeight="1">
      <c r="A819" s="21"/>
      <c r="B819" s="21"/>
      <c r="C819" s="20" t="str">
        <f>IF(B819="","",IF(COUNTIF('01_Anggota'!$D$5:$D$1212,B819)=0,"NAMA TIDAK DITEMUKAN",INDEX('01_Anggota'!$B$5:$B$1212,MATCH(B819,'01_Anggota'!$D$5:$D$1212,0))))</f>
        <v/>
      </c>
      <c r="D819" s="21"/>
      <c r="E819" s="23"/>
      <c r="F819" s="23"/>
      <c r="G819" s="23">
        <f>PinjamanTable[[#This Row],[Pokok (Rp) *]]+PinjamanTable[[#This Row],[Admin (Rp)]]</f>
        <v>0</v>
      </c>
      <c r="H819" s="24"/>
      <c r="I819" s="22"/>
      <c r="J819" s="21"/>
      <c r="K819" s="21"/>
    </row>
    <row r="820" spans="1:11" ht="21" customHeight="1">
      <c r="A820" s="21"/>
      <c r="B820" s="21"/>
      <c r="C820" s="20" t="str">
        <f>IF(B820="","",IF(COUNTIF('01_Anggota'!$D$5:$D$1212,B820)=0,"NAMA TIDAK DITEMUKAN",INDEX('01_Anggota'!$B$5:$B$1212,MATCH(B820,'01_Anggota'!$D$5:$D$1212,0))))</f>
        <v/>
      </c>
      <c r="D820" s="21"/>
      <c r="E820" s="23"/>
      <c r="F820" s="23"/>
      <c r="G820" s="23">
        <f>PinjamanTable[[#This Row],[Pokok (Rp) *]]+PinjamanTable[[#This Row],[Admin (Rp)]]</f>
        <v>0</v>
      </c>
      <c r="H820" s="24"/>
      <c r="I820" s="22"/>
      <c r="J820" s="21"/>
      <c r="K820" s="21"/>
    </row>
    <row r="821" spans="1:11" ht="21" customHeight="1">
      <c r="A821" s="21"/>
      <c r="B821" s="21"/>
      <c r="C821" s="20" t="str">
        <f>IF(B821="","",IF(COUNTIF('01_Anggota'!$D$5:$D$1212,B821)=0,"NAMA TIDAK DITEMUKAN",INDEX('01_Anggota'!$B$5:$B$1212,MATCH(B821,'01_Anggota'!$D$5:$D$1212,0))))</f>
        <v/>
      </c>
      <c r="D821" s="21"/>
      <c r="E821" s="23"/>
      <c r="F821" s="23"/>
      <c r="G821" s="23">
        <f>PinjamanTable[[#This Row],[Pokok (Rp) *]]+PinjamanTable[[#This Row],[Admin (Rp)]]</f>
        <v>0</v>
      </c>
      <c r="H821" s="24"/>
      <c r="I821" s="22"/>
      <c r="J821" s="21"/>
      <c r="K821" s="21"/>
    </row>
    <row r="822" spans="1:11" ht="21" customHeight="1">
      <c r="A822" s="21"/>
      <c r="B822" s="21"/>
      <c r="C822" s="20" t="str">
        <f>IF(B822="","",IF(COUNTIF('01_Anggota'!$D$5:$D$1212,B822)=0,"NAMA TIDAK DITEMUKAN",INDEX('01_Anggota'!$B$5:$B$1212,MATCH(B822,'01_Anggota'!$D$5:$D$1212,0))))</f>
        <v/>
      </c>
      <c r="D822" s="21"/>
      <c r="E822" s="23"/>
      <c r="F822" s="23"/>
      <c r="G822" s="23">
        <f>PinjamanTable[[#This Row],[Pokok (Rp) *]]+PinjamanTable[[#This Row],[Admin (Rp)]]</f>
        <v>0</v>
      </c>
      <c r="H822" s="24"/>
      <c r="I822" s="22"/>
      <c r="J822" s="21"/>
      <c r="K822" s="21"/>
    </row>
    <row r="823" spans="1:11" ht="21" customHeight="1">
      <c r="A823" s="21"/>
      <c r="B823" s="21"/>
      <c r="C823" s="20" t="str">
        <f>IF(B823="","",IF(COUNTIF('01_Anggota'!$D$5:$D$1212,B823)=0,"NAMA TIDAK DITEMUKAN",INDEX('01_Anggota'!$B$5:$B$1212,MATCH(B823,'01_Anggota'!$D$5:$D$1212,0))))</f>
        <v/>
      </c>
      <c r="D823" s="21"/>
      <c r="E823" s="23"/>
      <c r="F823" s="23"/>
      <c r="G823" s="23">
        <f>PinjamanTable[[#This Row],[Pokok (Rp) *]]+PinjamanTable[[#This Row],[Admin (Rp)]]</f>
        <v>0</v>
      </c>
      <c r="H823" s="24"/>
      <c r="I823" s="22"/>
      <c r="J823" s="21"/>
      <c r="K823" s="21"/>
    </row>
    <row r="824" spans="1:11" ht="21" customHeight="1">
      <c r="A824" s="21"/>
      <c r="B824" s="21"/>
      <c r="C824" s="20" t="str">
        <f>IF(B824="","",IF(COUNTIF('01_Anggota'!$D$5:$D$1212,B824)=0,"NAMA TIDAK DITEMUKAN",INDEX('01_Anggota'!$B$5:$B$1212,MATCH(B824,'01_Anggota'!$D$5:$D$1212,0))))</f>
        <v/>
      </c>
      <c r="D824" s="21"/>
      <c r="E824" s="23"/>
      <c r="F824" s="23"/>
      <c r="G824" s="23">
        <f>PinjamanTable[[#This Row],[Pokok (Rp) *]]+PinjamanTable[[#This Row],[Admin (Rp)]]</f>
        <v>0</v>
      </c>
      <c r="H824" s="24"/>
      <c r="I824" s="22"/>
      <c r="J824" s="21"/>
      <c r="K824" s="21"/>
    </row>
    <row r="825" spans="1:11" ht="21" customHeight="1">
      <c r="A825" s="21"/>
      <c r="B825" s="21"/>
      <c r="C825" s="20" t="str">
        <f>IF(B825="","",IF(COUNTIF('01_Anggota'!$D$5:$D$1212,B825)=0,"NAMA TIDAK DITEMUKAN",INDEX('01_Anggota'!$B$5:$B$1212,MATCH(B825,'01_Anggota'!$D$5:$D$1212,0))))</f>
        <v/>
      </c>
      <c r="D825" s="21"/>
      <c r="E825" s="23"/>
      <c r="F825" s="23"/>
      <c r="G825" s="23">
        <f>PinjamanTable[[#This Row],[Pokok (Rp) *]]+PinjamanTable[[#This Row],[Admin (Rp)]]</f>
        <v>0</v>
      </c>
      <c r="H825" s="24"/>
      <c r="I825" s="22"/>
      <c r="J825" s="21"/>
      <c r="K825" s="21"/>
    </row>
    <row r="826" spans="1:11" ht="21" customHeight="1">
      <c r="A826" s="21"/>
      <c r="B826" s="21"/>
      <c r="C826" s="20" t="str">
        <f>IF(B826="","",IF(COUNTIF('01_Anggota'!$D$5:$D$1212,B826)=0,"NAMA TIDAK DITEMUKAN",INDEX('01_Anggota'!$B$5:$B$1212,MATCH(B826,'01_Anggota'!$D$5:$D$1212,0))))</f>
        <v/>
      </c>
      <c r="D826" s="21"/>
      <c r="E826" s="23"/>
      <c r="F826" s="23"/>
      <c r="G826" s="23">
        <f>PinjamanTable[[#This Row],[Pokok (Rp) *]]+PinjamanTable[[#This Row],[Admin (Rp)]]</f>
        <v>0</v>
      </c>
      <c r="H826" s="24"/>
      <c r="I826" s="22"/>
      <c r="J826" s="21"/>
      <c r="K826" s="21"/>
    </row>
    <row r="827" spans="1:11" ht="21" customHeight="1">
      <c r="A827" s="21"/>
      <c r="B827" s="21"/>
      <c r="C827" s="20" t="str">
        <f>IF(B827="","",IF(COUNTIF('01_Anggota'!$D$5:$D$1212,B827)=0,"NAMA TIDAK DITEMUKAN",INDEX('01_Anggota'!$B$5:$B$1212,MATCH(B827,'01_Anggota'!$D$5:$D$1212,0))))</f>
        <v/>
      </c>
      <c r="D827" s="21"/>
      <c r="E827" s="23"/>
      <c r="F827" s="23"/>
      <c r="G827" s="23">
        <f>PinjamanTable[[#This Row],[Pokok (Rp) *]]+PinjamanTable[[#This Row],[Admin (Rp)]]</f>
        <v>0</v>
      </c>
      <c r="H827" s="24"/>
      <c r="I827" s="22"/>
      <c r="J827" s="21"/>
      <c r="K827" s="21"/>
    </row>
    <row r="828" spans="1:11" ht="21" customHeight="1">
      <c r="A828" s="21"/>
      <c r="B828" s="21"/>
      <c r="C828" s="20" t="str">
        <f>IF(B828="","",IF(COUNTIF('01_Anggota'!$D$5:$D$1212,B828)=0,"NAMA TIDAK DITEMUKAN",INDEX('01_Anggota'!$B$5:$B$1212,MATCH(B828,'01_Anggota'!$D$5:$D$1212,0))))</f>
        <v/>
      </c>
      <c r="D828" s="21"/>
      <c r="E828" s="23"/>
      <c r="F828" s="23"/>
      <c r="G828" s="23">
        <f>PinjamanTable[[#This Row],[Pokok (Rp) *]]+PinjamanTable[[#This Row],[Admin (Rp)]]</f>
        <v>0</v>
      </c>
      <c r="H828" s="24"/>
      <c r="I828" s="22"/>
      <c r="J828" s="21"/>
      <c r="K828" s="21"/>
    </row>
    <row r="829" spans="1:11" ht="21" customHeight="1">
      <c r="A829" s="21"/>
      <c r="B829" s="21"/>
      <c r="C829" s="20" t="str">
        <f>IF(B829="","",IF(COUNTIF('01_Anggota'!$D$5:$D$1212,B829)=0,"NAMA TIDAK DITEMUKAN",INDEX('01_Anggota'!$B$5:$B$1212,MATCH(B829,'01_Anggota'!$D$5:$D$1212,0))))</f>
        <v/>
      </c>
      <c r="D829" s="21"/>
      <c r="E829" s="23"/>
      <c r="F829" s="23"/>
      <c r="G829" s="23">
        <f>PinjamanTable[[#This Row],[Pokok (Rp) *]]+PinjamanTable[[#This Row],[Admin (Rp)]]</f>
        <v>0</v>
      </c>
      <c r="H829" s="24"/>
      <c r="I829" s="22"/>
      <c r="J829" s="21"/>
      <c r="K829" s="21"/>
    </row>
    <row r="830" spans="1:11" ht="21" customHeight="1">
      <c r="A830" s="21"/>
      <c r="B830" s="21"/>
      <c r="C830" s="20" t="str">
        <f>IF(B830="","",IF(COUNTIF('01_Anggota'!$D$5:$D$1212,B830)=0,"NAMA TIDAK DITEMUKAN",INDEX('01_Anggota'!$B$5:$B$1212,MATCH(B830,'01_Anggota'!$D$5:$D$1212,0))))</f>
        <v/>
      </c>
      <c r="D830" s="21"/>
      <c r="E830" s="23"/>
      <c r="F830" s="23"/>
      <c r="G830" s="23">
        <f>PinjamanTable[[#This Row],[Pokok (Rp) *]]+PinjamanTable[[#This Row],[Admin (Rp)]]</f>
        <v>0</v>
      </c>
      <c r="H830" s="24"/>
      <c r="I830" s="22"/>
      <c r="J830" s="21"/>
      <c r="K830" s="21"/>
    </row>
    <row r="831" spans="1:11" ht="21" customHeight="1">
      <c r="A831" s="21"/>
      <c r="B831" s="21"/>
      <c r="C831" s="20" t="str">
        <f>IF(B831="","",IF(COUNTIF('01_Anggota'!$D$5:$D$1212,B831)=0,"NAMA TIDAK DITEMUKAN",INDEX('01_Anggota'!$B$5:$B$1212,MATCH(B831,'01_Anggota'!$D$5:$D$1212,0))))</f>
        <v/>
      </c>
      <c r="D831" s="21"/>
      <c r="E831" s="23"/>
      <c r="F831" s="23"/>
      <c r="G831" s="23">
        <f>PinjamanTable[[#This Row],[Pokok (Rp) *]]+PinjamanTable[[#This Row],[Admin (Rp)]]</f>
        <v>0</v>
      </c>
      <c r="H831" s="24"/>
      <c r="I831" s="22"/>
      <c r="J831" s="21"/>
      <c r="K831" s="21"/>
    </row>
    <row r="832" spans="1:11" ht="21" customHeight="1">
      <c r="A832" s="21"/>
      <c r="B832" s="21"/>
      <c r="C832" s="20" t="str">
        <f>IF(B832="","",IF(COUNTIF('01_Anggota'!$D$5:$D$1212,B832)=0,"NAMA TIDAK DITEMUKAN",INDEX('01_Anggota'!$B$5:$B$1212,MATCH(B832,'01_Anggota'!$D$5:$D$1212,0))))</f>
        <v/>
      </c>
      <c r="D832" s="21"/>
      <c r="E832" s="23"/>
      <c r="F832" s="23"/>
      <c r="G832" s="23">
        <f>PinjamanTable[[#This Row],[Pokok (Rp) *]]+PinjamanTable[[#This Row],[Admin (Rp)]]</f>
        <v>0</v>
      </c>
      <c r="H832" s="24"/>
      <c r="I832" s="22"/>
      <c r="J832" s="21"/>
      <c r="K832" s="21"/>
    </row>
    <row r="833" spans="1:11" ht="21" customHeight="1">
      <c r="A833" s="21"/>
      <c r="B833" s="21"/>
      <c r="C833" s="20" t="str">
        <f>IF(B833="","",IF(COUNTIF('01_Anggota'!$D$5:$D$1212,B833)=0,"NAMA TIDAK DITEMUKAN",INDEX('01_Anggota'!$B$5:$B$1212,MATCH(B833,'01_Anggota'!$D$5:$D$1212,0))))</f>
        <v/>
      </c>
      <c r="D833" s="21"/>
      <c r="E833" s="23"/>
      <c r="F833" s="23"/>
      <c r="G833" s="23">
        <f>PinjamanTable[[#This Row],[Pokok (Rp) *]]+PinjamanTable[[#This Row],[Admin (Rp)]]</f>
        <v>0</v>
      </c>
      <c r="H833" s="24"/>
      <c r="I833" s="22"/>
      <c r="J833" s="21"/>
      <c r="K833" s="21"/>
    </row>
    <row r="834" spans="1:11" ht="21" customHeight="1">
      <c r="A834" s="21"/>
      <c r="B834" s="21"/>
      <c r="C834" s="20" t="str">
        <f>IF(B834="","",IF(COUNTIF('01_Anggota'!$D$5:$D$1212,B834)=0,"NAMA TIDAK DITEMUKAN",INDEX('01_Anggota'!$B$5:$B$1212,MATCH(B834,'01_Anggota'!$D$5:$D$1212,0))))</f>
        <v/>
      </c>
      <c r="D834" s="21"/>
      <c r="E834" s="23"/>
      <c r="F834" s="23"/>
      <c r="G834" s="23">
        <f>PinjamanTable[[#This Row],[Pokok (Rp) *]]+PinjamanTable[[#This Row],[Admin (Rp)]]</f>
        <v>0</v>
      </c>
      <c r="H834" s="24"/>
      <c r="I834" s="22"/>
      <c r="J834" s="21"/>
      <c r="K834" s="21"/>
    </row>
    <row r="835" spans="1:11" ht="21" customHeight="1">
      <c r="A835" s="21"/>
      <c r="B835" s="21"/>
      <c r="C835" s="20" t="str">
        <f>IF(B835="","",IF(COUNTIF('01_Anggota'!$D$5:$D$1212,B835)=0,"NAMA TIDAK DITEMUKAN",INDEX('01_Anggota'!$B$5:$B$1212,MATCH(B835,'01_Anggota'!$D$5:$D$1212,0))))</f>
        <v/>
      </c>
      <c r="D835" s="21"/>
      <c r="E835" s="23"/>
      <c r="F835" s="23"/>
      <c r="G835" s="23">
        <f>PinjamanTable[[#This Row],[Pokok (Rp) *]]+PinjamanTable[[#This Row],[Admin (Rp)]]</f>
        <v>0</v>
      </c>
      <c r="H835" s="24"/>
      <c r="I835" s="22"/>
      <c r="J835" s="21"/>
      <c r="K835" s="21"/>
    </row>
    <row r="836" spans="1:11" ht="21" customHeight="1">
      <c r="A836" s="21"/>
      <c r="B836" s="21"/>
      <c r="C836" s="20" t="str">
        <f>IF(B836="","",IF(COUNTIF('01_Anggota'!$D$5:$D$1212,B836)=0,"NAMA TIDAK DITEMUKAN",INDEX('01_Anggota'!$B$5:$B$1212,MATCH(B836,'01_Anggota'!$D$5:$D$1212,0))))</f>
        <v/>
      </c>
      <c r="D836" s="21"/>
      <c r="E836" s="23"/>
      <c r="F836" s="23"/>
      <c r="G836" s="23">
        <f>PinjamanTable[[#This Row],[Pokok (Rp) *]]+PinjamanTable[[#This Row],[Admin (Rp)]]</f>
        <v>0</v>
      </c>
      <c r="H836" s="24"/>
      <c r="I836" s="22"/>
      <c r="J836" s="21"/>
      <c r="K836" s="21"/>
    </row>
    <row r="837" spans="1:11" ht="21" customHeight="1">
      <c r="A837" s="21"/>
      <c r="B837" s="21"/>
      <c r="C837" s="20" t="str">
        <f>IF(B837="","",IF(COUNTIF('01_Anggota'!$D$5:$D$1212,B837)=0,"NAMA TIDAK DITEMUKAN",INDEX('01_Anggota'!$B$5:$B$1212,MATCH(B837,'01_Anggota'!$D$5:$D$1212,0))))</f>
        <v/>
      </c>
      <c r="D837" s="21"/>
      <c r="E837" s="23"/>
      <c r="F837" s="23"/>
      <c r="G837" s="23">
        <f>PinjamanTable[[#This Row],[Pokok (Rp) *]]+PinjamanTable[[#This Row],[Admin (Rp)]]</f>
        <v>0</v>
      </c>
      <c r="H837" s="24"/>
      <c r="I837" s="22"/>
      <c r="J837" s="21"/>
      <c r="K837" s="21"/>
    </row>
    <row r="838" spans="1:11" ht="21" customHeight="1">
      <c r="A838" s="21"/>
      <c r="B838" s="21"/>
      <c r="C838" s="20" t="str">
        <f>IF(B838="","",IF(COUNTIF('01_Anggota'!$D$5:$D$1212,B838)=0,"NAMA TIDAK DITEMUKAN",INDEX('01_Anggota'!$B$5:$B$1212,MATCH(B838,'01_Anggota'!$D$5:$D$1212,0))))</f>
        <v/>
      </c>
      <c r="D838" s="21"/>
      <c r="E838" s="23"/>
      <c r="F838" s="23"/>
      <c r="G838" s="23">
        <f>PinjamanTable[[#This Row],[Pokok (Rp) *]]+PinjamanTable[[#This Row],[Admin (Rp)]]</f>
        <v>0</v>
      </c>
      <c r="H838" s="24"/>
      <c r="I838" s="22"/>
      <c r="J838" s="21"/>
      <c r="K838" s="21"/>
    </row>
    <row r="839" spans="1:11" ht="21" customHeight="1">
      <c r="A839" s="21"/>
      <c r="B839" s="21"/>
      <c r="C839" s="20" t="str">
        <f>IF(B839="","",IF(COUNTIF('01_Anggota'!$D$5:$D$1212,B839)=0,"NAMA TIDAK DITEMUKAN",INDEX('01_Anggota'!$B$5:$B$1212,MATCH(B839,'01_Anggota'!$D$5:$D$1212,0))))</f>
        <v/>
      </c>
      <c r="D839" s="21"/>
      <c r="E839" s="23"/>
      <c r="F839" s="23"/>
      <c r="G839" s="23">
        <f>PinjamanTable[[#This Row],[Pokok (Rp) *]]+PinjamanTable[[#This Row],[Admin (Rp)]]</f>
        <v>0</v>
      </c>
      <c r="H839" s="24"/>
      <c r="I839" s="22"/>
      <c r="J839" s="21"/>
      <c r="K839" s="21"/>
    </row>
    <row r="840" spans="1:11" ht="21" customHeight="1">
      <c r="A840" s="21"/>
      <c r="B840" s="21"/>
      <c r="C840" s="20" t="str">
        <f>IF(B840="","",IF(COUNTIF('01_Anggota'!$D$5:$D$1212,B840)=0,"NAMA TIDAK DITEMUKAN",INDEX('01_Anggota'!$B$5:$B$1212,MATCH(B840,'01_Anggota'!$D$5:$D$1212,0))))</f>
        <v/>
      </c>
      <c r="D840" s="21"/>
      <c r="E840" s="23"/>
      <c r="F840" s="23"/>
      <c r="G840" s="23">
        <f>PinjamanTable[[#This Row],[Pokok (Rp) *]]+PinjamanTable[[#This Row],[Admin (Rp)]]</f>
        <v>0</v>
      </c>
      <c r="H840" s="24"/>
      <c r="I840" s="22"/>
      <c r="J840" s="21"/>
      <c r="K840" s="21"/>
    </row>
    <row r="841" spans="1:11" ht="21" customHeight="1">
      <c r="A841" s="21"/>
      <c r="B841" s="21"/>
      <c r="C841" s="20" t="str">
        <f>IF(B841="","",IF(COUNTIF('01_Anggota'!$D$5:$D$1212,B841)=0,"NAMA TIDAK DITEMUKAN",INDEX('01_Anggota'!$B$5:$B$1212,MATCH(B841,'01_Anggota'!$D$5:$D$1212,0))))</f>
        <v/>
      </c>
      <c r="D841" s="21"/>
      <c r="E841" s="23"/>
      <c r="F841" s="23"/>
      <c r="G841" s="23">
        <f>PinjamanTable[[#This Row],[Pokok (Rp) *]]+PinjamanTable[[#This Row],[Admin (Rp)]]</f>
        <v>0</v>
      </c>
      <c r="H841" s="24"/>
      <c r="I841" s="22"/>
      <c r="J841" s="21"/>
      <c r="K841" s="21"/>
    </row>
    <row r="842" spans="1:11" ht="21" customHeight="1">
      <c r="A842" s="21"/>
      <c r="B842" s="21"/>
      <c r="C842" s="20" t="str">
        <f>IF(B842="","",IF(COUNTIF('01_Anggota'!$D$5:$D$1212,B842)=0,"NAMA TIDAK DITEMUKAN",INDEX('01_Anggota'!$B$5:$B$1212,MATCH(B842,'01_Anggota'!$D$5:$D$1212,0))))</f>
        <v/>
      </c>
      <c r="D842" s="21"/>
      <c r="E842" s="23"/>
      <c r="F842" s="23"/>
      <c r="G842" s="23">
        <f>PinjamanTable[[#This Row],[Pokok (Rp) *]]+PinjamanTable[[#This Row],[Admin (Rp)]]</f>
        <v>0</v>
      </c>
      <c r="H842" s="24"/>
      <c r="I842" s="22"/>
      <c r="J842" s="21"/>
      <c r="K842" s="21"/>
    </row>
    <row r="843" spans="1:11" ht="21" customHeight="1">
      <c r="A843" s="21"/>
      <c r="B843" s="21"/>
      <c r="C843" s="20" t="str">
        <f>IF(B843="","",IF(COUNTIF('01_Anggota'!$D$5:$D$1212,B843)=0,"NAMA TIDAK DITEMUKAN",INDEX('01_Anggota'!$B$5:$B$1212,MATCH(B843,'01_Anggota'!$D$5:$D$1212,0))))</f>
        <v/>
      </c>
      <c r="D843" s="21"/>
      <c r="E843" s="23"/>
      <c r="F843" s="23"/>
      <c r="G843" s="23">
        <f>PinjamanTable[[#This Row],[Pokok (Rp) *]]+PinjamanTable[[#This Row],[Admin (Rp)]]</f>
        <v>0</v>
      </c>
      <c r="H843" s="24"/>
      <c r="I843" s="22"/>
      <c r="J843" s="21"/>
      <c r="K843" s="21"/>
    </row>
    <row r="844" spans="1:11" ht="21" customHeight="1">
      <c r="A844" s="21"/>
      <c r="B844" s="21"/>
      <c r="C844" s="20" t="str">
        <f>IF(B844="","",IF(COUNTIF('01_Anggota'!$D$5:$D$1212,B844)=0,"NAMA TIDAK DITEMUKAN",INDEX('01_Anggota'!$B$5:$B$1212,MATCH(B844,'01_Anggota'!$D$5:$D$1212,0))))</f>
        <v/>
      </c>
      <c r="D844" s="21"/>
      <c r="E844" s="23"/>
      <c r="F844" s="23"/>
      <c r="G844" s="23">
        <f>PinjamanTable[[#This Row],[Pokok (Rp) *]]+PinjamanTable[[#This Row],[Admin (Rp)]]</f>
        <v>0</v>
      </c>
      <c r="H844" s="24"/>
      <c r="I844" s="22"/>
      <c r="J844" s="21"/>
      <c r="K844" s="21"/>
    </row>
    <row r="845" spans="1:11" ht="21" customHeight="1">
      <c r="A845" s="21"/>
      <c r="B845" s="21"/>
      <c r="C845" s="20" t="str">
        <f>IF(B845="","",IF(COUNTIF('01_Anggota'!$D$5:$D$1212,B845)=0,"NAMA TIDAK DITEMUKAN",INDEX('01_Anggota'!$B$5:$B$1212,MATCH(B845,'01_Anggota'!$D$5:$D$1212,0))))</f>
        <v/>
      </c>
      <c r="D845" s="21"/>
      <c r="E845" s="23"/>
      <c r="F845" s="23"/>
      <c r="G845" s="23">
        <f>PinjamanTable[[#This Row],[Pokok (Rp) *]]+PinjamanTable[[#This Row],[Admin (Rp)]]</f>
        <v>0</v>
      </c>
      <c r="H845" s="24"/>
      <c r="I845" s="22"/>
      <c r="J845" s="21"/>
      <c r="K845" s="21"/>
    </row>
    <row r="846" spans="1:11" ht="21" customHeight="1">
      <c r="A846" s="21"/>
      <c r="B846" s="21"/>
      <c r="C846" s="20" t="str">
        <f>IF(B846="","",IF(COUNTIF('01_Anggota'!$D$5:$D$1212,B846)=0,"NAMA TIDAK DITEMUKAN",INDEX('01_Anggota'!$B$5:$B$1212,MATCH(B846,'01_Anggota'!$D$5:$D$1212,0))))</f>
        <v/>
      </c>
      <c r="D846" s="21"/>
      <c r="E846" s="23"/>
      <c r="F846" s="23"/>
      <c r="G846" s="23">
        <f>PinjamanTable[[#This Row],[Pokok (Rp) *]]+PinjamanTable[[#This Row],[Admin (Rp)]]</f>
        <v>0</v>
      </c>
      <c r="H846" s="24"/>
      <c r="I846" s="22"/>
      <c r="J846" s="21"/>
      <c r="K846" s="21"/>
    </row>
    <row r="847" spans="1:11" ht="21" customHeight="1">
      <c r="A847" s="21"/>
      <c r="B847" s="21"/>
      <c r="C847" s="20" t="str">
        <f>IF(B847="","",IF(COUNTIF('01_Anggota'!$D$5:$D$1212,B847)=0,"NAMA TIDAK DITEMUKAN",INDEX('01_Anggota'!$B$5:$B$1212,MATCH(B847,'01_Anggota'!$D$5:$D$1212,0))))</f>
        <v/>
      </c>
      <c r="D847" s="21"/>
      <c r="E847" s="23"/>
      <c r="F847" s="23"/>
      <c r="G847" s="23">
        <f>PinjamanTable[[#This Row],[Pokok (Rp) *]]+PinjamanTable[[#This Row],[Admin (Rp)]]</f>
        <v>0</v>
      </c>
      <c r="H847" s="24"/>
      <c r="I847" s="22"/>
      <c r="J847" s="21"/>
      <c r="K847" s="21"/>
    </row>
    <row r="848" spans="1:11" ht="21" customHeight="1">
      <c r="A848" s="21"/>
      <c r="B848" s="21"/>
      <c r="C848" s="20" t="str">
        <f>IF(B848="","",IF(COUNTIF('01_Anggota'!$D$5:$D$1212,B848)=0,"NAMA TIDAK DITEMUKAN",INDEX('01_Anggota'!$B$5:$B$1212,MATCH(B848,'01_Anggota'!$D$5:$D$1212,0))))</f>
        <v/>
      </c>
      <c r="D848" s="21"/>
      <c r="E848" s="23"/>
      <c r="F848" s="23"/>
      <c r="G848" s="23">
        <f>PinjamanTable[[#This Row],[Pokok (Rp) *]]+PinjamanTable[[#This Row],[Admin (Rp)]]</f>
        <v>0</v>
      </c>
      <c r="H848" s="24"/>
      <c r="I848" s="22"/>
      <c r="J848" s="21"/>
      <c r="K848" s="21"/>
    </row>
    <row r="849" spans="1:11" ht="21" customHeight="1">
      <c r="A849" s="21"/>
      <c r="B849" s="21"/>
      <c r="C849" s="20" t="str">
        <f>IF(B849="","",IF(COUNTIF('01_Anggota'!$D$5:$D$1212,B849)=0,"NAMA TIDAK DITEMUKAN",INDEX('01_Anggota'!$B$5:$B$1212,MATCH(B849,'01_Anggota'!$D$5:$D$1212,0))))</f>
        <v/>
      </c>
      <c r="D849" s="21"/>
      <c r="E849" s="23"/>
      <c r="F849" s="23"/>
      <c r="G849" s="23">
        <f>PinjamanTable[[#This Row],[Pokok (Rp) *]]+PinjamanTable[[#This Row],[Admin (Rp)]]</f>
        <v>0</v>
      </c>
      <c r="H849" s="24"/>
      <c r="I849" s="22"/>
      <c r="J849" s="21"/>
      <c r="K849" s="21"/>
    </row>
    <row r="850" spans="1:11" ht="21" customHeight="1">
      <c r="A850" s="21"/>
      <c r="B850" s="21"/>
      <c r="C850" s="20" t="str">
        <f>IF(B850="","",IF(COUNTIF('01_Anggota'!$D$5:$D$1212,B850)=0,"NAMA TIDAK DITEMUKAN",INDEX('01_Anggota'!$B$5:$B$1212,MATCH(B850,'01_Anggota'!$D$5:$D$1212,0))))</f>
        <v/>
      </c>
      <c r="D850" s="21"/>
      <c r="E850" s="23"/>
      <c r="F850" s="23"/>
      <c r="G850" s="23">
        <f>PinjamanTable[[#This Row],[Pokok (Rp) *]]+PinjamanTable[[#This Row],[Admin (Rp)]]</f>
        <v>0</v>
      </c>
      <c r="H850" s="24"/>
      <c r="I850" s="22"/>
      <c r="J850" s="21"/>
      <c r="K850" s="21"/>
    </row>
    <row r="851" spans="1:11" ht="21" customHeight="1">
      <c r="A851" s="21"/>
      <c r="B851" s="21"/>
      <c r="C851" s="20" t="str">
        <f>IF(B851="","",IF(COUNTIF('01_Anggota'!$D$5:$D$1212,B851)=0,"NAMA TIDAK DITEMUKAN",INDEX('01_Anggota'!$B$5:$B$1212,MATCH(B851,'01_Anggota'!$D$5:$D$1212,0))))</f>
        <v/>
      </c>
      <c r="D851" s="21"/>
      <c r="E851" s="23"/>
      <c r="F851" s="23"/>
      <c r="G851" s="23">
        <f>PinjamanTable[[#This Row],[Pokok (Rp) *]]+PinjamanTable[[#This Row],[Admin (Rp)]]</f>
        <v>0</v>
      </c>
      <c r="H851" s="24"/>
      <c r="I851" s="22"/>
      <c r="J851" s="21"/>
      <c r="K851" s="21"/>
    </row>
    <row r="852" spans="1:11" ht="21" customHeight="1">
      <c r="A852" s="21"/>
      <c r="B852" s="21"/>
      <c r="C852" s="20" t="str">
        <f>IF(B852="","",IF(COUNTIF('01_Anggota'!$D$5:$D$1212,B852)=0,"NAMA TIDAK DITEMUKAN",INDEX('01_Anggota'!$B$5:$B$1212,MATCH(B852,'01_Anggota'!$D$5:$D$1212,0))))</f>
        <v/>
      </c>
      <c r="D852" s="21"/>
      <c r="E852" s="23"/>
      <c r="F852" s="23"/>
      <c r="G852" s="23">
        <f>PinjamanTable[[#This Row],[Pokok (Rp) *]]+PinjamanTable[[#This Row],[Admin (Rp)]]</f>
        <v>0</v>
      </c>
      <c r="H852" s="24"/>
      <c r="I852" s="22"/>
      <c r="J852" s="21"/>
      <c r="K852" s="21"/>
    </row>
    <row r="853" spans="1:11" ht="21" customHeight="1">
      <c r="A853" s="21"/>
      <c r="B853" s="21"/>
      <c r="C853" s="20" t="str">
        <f>IF(B853="","",IF(COUNTIF('01_Anggota'!$D$5:$D$1212,B853)=0,"NAMA TIDAK DITEMUKAN",INDEX('01_Anggota'!$B$5:$B$1212,MATCH(B853,'01_Anggota'!$D$5:$D$1212,0))))</f>
        <v/>
      </c>
      <c r="D853" s="21"/>
      <c r="E853" s="23"/>
      <c r="F853" s="23"/>
      <c r="G853" s="23">
        <f>PinjamanTable[[#This Row],[Pokok (Rp) *]]+PinjamanTable[[#This Row],[Admin (Rp)]]</f>
        <v>0</v>
      </c>
      <c r="H853" s="24"/>
      <c r="I853" s="22"/>
      <c r="J853" s="21"/>
      <c r="K853" s="21"/>
    </row>
    <row r="854" spans="1:11" ht="21" customHeight="1">
      <c r="A854" s="21"/>
      <c r="B854" s="21"/>
      <c r="C854" s="20" t="str">
        <f>IF(B854="","",IF(COUNTIF('01_Anggota'!$D$5:$D$1212,B854)=0,"NAMA TIDAK DITEMUKAN",INDEX('01_Anggota'!$B$5:$B$1212,MATCH(B854,'01_Anggota'!$D$5:$D$1212,0))))</f>
        <v/>
      </c>
      <c r="D854" s="21"/>
      <c r="E854" s="23"/>
      <c r="F854" s="23"/>
      <c r="G854" s="23">
        <f>PinjamanTable[[#This Row],[Pokok (Rp) *]]+PinjamanTable[[#This Row],[Admin (Rp)]]</f>
        <v>0</v>
      </c>
      <c r="H854" s="24"/>
      <c r="I854" s="22"/>
      <c r="J854" s="21"/>
      <c r="K854" s="21"/>
    </row>
    <row r="855" spans="1:11" ht="21" customHeight="1">
      <c r="A855" s="21"/>
      <c r="B855" s="21"/>
      <c r="C855" s="20" t="str">
        <f>IF(B855="","",IF(COUNTIF('01_Anggota'!$D$5:$D$1212,B855)=0,"NAMA TIDAK DITEMUKAN",INDEX('01_Anggota'!$B$5:$B$1212,MATCH(B855,'01_Anggota'!$D$5:$D$1212,0))))</f>
        <v/>
      </c>
      <c r="D855" s="21"/>
      <c r="E855" s="23"/>
      <c r="F855" s="23"/>
      <c r="G855" s="23">
        <f>PinjamanTable[[#This Row],[Pokok (Rp) *]]+PinjamanTable[[#This Row],[Admin (Rp)]]</f>
        <v>0</v>
      </c>
      <c r="H855" s="24"/>
      <c r="I855" s="22"/>
      <c r="J855" s="21"/>
      <c r="K855" s="21"/>
    </row>
    <row r="856" spans="1:11" ht="21" customHeight="1">
      <c r="A856" s="21"/>
      <c r="B856" s="21"/>
      <c r="C856" s="20" t="str">
        <f>IF(B856="","",IF(COUNTIF('01_Anggota'!$D$5:$D$1212,B856)=0,"NAMA TIDAK DITEMUKAN",INDEX('01_Anggota'!$B$5:$B$1212,MATCH(B856,'01_Anggota'!$D$5:$D$1212,0))))</f>
        <v/>
      </c>
      <c r="D856" s="21"/>
      <c r="E856" s="23"/>
      <c r="F856" s="23"/>
      <c r="G856" s="23">
        <f>PinjamanTable[[#This Row],[Pokok (Rp) *]]+PinjamanTable[[#This Row],[Admin (Rp)]]</f>
        <v>0</v>
      </c>
      <c r="H856" s="24"/>
      <c r="I856" s="22"/>
      <c r="J856" s="21"/>
      <c r="K856" s="21"/>
    </row>
    <row r="857" spans="1:11" ht="21" customHeight="1">
      <c r="A857" s="21"/>
      <c r="B857" s="21"/>
      <c r="C857" s="20" t="str">
        <f>IF(B857="","",IF(COUNTIF('01_Anggota'!$D$5:$D$1212,B857)=0,"NAMA TIDAK DITEMUKAN",INDEX('01_Anggota'!$B$5:$B$1212,MATCH(B857,'01_Anggota'!$D$5:$D$1212,0))))</f>
        <v/>
      </c>
      <c r="D857" s="21"/>
      <c r="E857" s="23"/>
      <c r="F857" s="23"/>
      <c r="G857" s="23">
        <f>PinjamanTable[[#This Row],[Pokok (Rp) *]]+PinjamanTable[[#This Row],[Admin (Rp)]]</f>
        <v>0</v>
      </c>
      <c r="H857" s="24"/>
      <c r="I857" s="22"/>
      <c r="J857" s="21"/>
      <c r="K857" s="21"/>
    </row>
    <row r="858" spans="1:11" ht="21" customHeight="1">
      <c r="A858" s="21"/>
      <c r="B858" s="21"/>
      <c r="C858" s="20" t="str">
        <f>IF(B858="","",IF(COUNTIF('01_Anggota'!$D$5:$D$1212,B858)=0,"NAMA TIDAK DITEMUKAN",INDEX('01_Anggota'!$B$5:$B$1212,MATCH(B858,'01_Anggota'!$D$5:$D$1212,0))))</f>
        <v/>
      </c>
      <c r="D858" s="21"/>
      <c r="E858" s="23"/>
      <c r="F858" s="23"/>
      <c r="G858" s="23">
        <f>PinjamanTable[[#This Row],[Pokok (Rp) *]]+PinjamanTable[[#This Row],[Admin (Rp)]]</f>
        <v>0</v>
      </c>
      <c r="H858" s="24"/>
      <c r="I858" s="22"/>
      <c r="J858" s="21"/>
      <c r="K858" s="21"/>
    </row>
    <row r="859" spans="1:11" ht="21" customHeight="1">
      <c r="A859" s="21"/>
      <c r="B859" s="21"/>
      <c r="C859" s="20" t="str">
        <f>IF(B859="","",IF(COUNTIF('01_Anggota'!$D$5:$D$1212,B859)=0,"NAMA TIDAK DITEMUKAN",INDEX('01_Anggota'!$B$5:$B$1212,MATCH(B859,'01_Anggota'!$D$5:$D$1212,0))))</f>
        <v/>
      </c>
      <c r="D859" s="21"/>
      <c r="E859" s="23"/>
      <c r="F859" s="23"/>
      <c r="G859" s="23">
        <f>PinjamanTable[[#This Row],[Pokok (Rp) *]]+PinjamanTable[[#This Row],[Admin (Rp)]]</f>
        <v>0</v>
      </c>
      <c r="H859" s="24"/>
      <c r="I859" s="22"/>
      <c r="J859" s="21"/>
      <c r="K859" s="21"/>
    </row>
    <row r="860" spans="1:11" ht="21" customHeight="1">
      <c r="A860" s="21"/>
      <c r="B860" s="21"/>
      <c r="C860" s="20" t="str">
        <f>IF(B860="","",IF(COUNTIF('01_Anggota'!$D$5:$D$1212,B860)=0,"NAMA TIDAK DITEMUKAN",INDEX('01_Anggota'!$B$5:$B$1212,MATCH(B860,'01_Anggota'!$D$5:$D$1212,0))))</f>
        <v/>
      </c>
      <c r="D860" s="21"/>
      <c r="E860" s="23"/>
      <c r="F860" s="23"/>
      <c r="G860" s="23">
        <f>PinjamanTable[[#This Row],[Pokok (Rp) *]]+PinjamanTable[[#This Row],[Admin (Rp)]]</f>
        <v>0</v>
      </c>
      <c r="H860" s="24"/>
      <c r="I860" s="22"/>
      <c r="J860" s="21"/>
      <c r="K860" s="21"/>
    </row>
    <row r="861" spans="1:11" ht="21" customHeight="1">
      <c r="A861" s="21"/>
      <c r="B861" s="21"/>
      <c r="C861" s="20" t="str">
        <f>IF(B861="","",IF(COUNTIF('01_Anggota'!$D$5:$D$1212,B861)=0,"NAMA TIDAK DITEMUKAN",INDEX('01_Anggota'!$B$5:$B$1212,MATCH(B861,'01_Anggota'!$D$5:$D$1212,0))))</f>
        <v/>
      </c>
      <c r="D861" s="21"/>
      <c r="E861" s="23"/>
      <c r="F861" s="23"/>
      <c r="G861" s="23">
        <f>PinjamanTable[[#This Row],[Pokok (Rp) *]]+PinjamanTable[[#This Row],[Admin (Rp)]]</f>
        <v>0</v>
      </c>
      <c r="H861" s="24"/>
      <c r="I861" s="22"/>
      <c r="J861" s="21"/>
      <c r="K861" s="21"/>
    </row>
    <row r="862" spans="1:11" ht="21" customHeight="1">
      <c r="A862" s="21"/>
      <c r="B862" s="21"/>
      <c r="C862" s="20" t="str">
        <f>IF(B862="","",IF(COUNTIF('01_Anggota'!$D$5:$D$1212,B862)=0,"NAMA TIDAK DITEMUKAN",INDEX('01_Anggota'!$B$5:$B$1212,MATCH(B862,'01_Anggota'!$D$5:$D$1212,0))))</f>
        <v/>
      </c>
      <c r="D862" s="21"/>
      <c r="E862" s="23"/>
      <c r="F862" s="23"/>
      <c r="G862" s="23">
        <f>PinjamanTable[[#This Row],[Pokok (Rp) *]]+PinjamanTable[[#This Row],[Admin (Rp)]]</f>
        <v>0</v>
      </c>
      <c r="H862" s="24"/>
      <c r="I862" s="22"/>
      <c r="J862" s="21"/>
      <c r="K862" s="21"/>
    </row>
    <row r="863" spans="1:11" ht="21" customHeight="1">
      <c r="A863" s="21"/>
      <c r="B863" s="21"/>
      <c r="C863" s="20" t="str">
        <f>IF(B863="","",IF(COUNTIF('01_Anggota'!$D$5:$D$1212,B863)=0,"NAMA TIDAK DITEMUKAN",INDEX('01_Anggota'!$B$5:$B$1212,MATCH(B863,'01_Anggota'!$D$5:$D$1212,0))))</f>
        <v/>
      </c>
      <c r="D863" s="21"/>
      <c r="E863" s="23"/>
      <c r="F863" s="23"/>
      <c r="G863" s="23">
        <f>PinjamanTable[[#This Row],[Pokok (Rp) *]]+PinjamanTable[[#This Row],[Admin (Rp)]]</f>
        <v>0</v>
      </c>
      <c r="H863" s="24"/>
      <c r="I863" s="22"/>
      <c r="J863" s="21"/>
      <c r="K863" s="21"/>
    </row>
    <row r="864" spans="1:11" ht="21" customHeight="1">
      <c r="A864" s="21"/>
      <c r="B864" s="21"/>
      <c r="C864" s="20" t="str">
        <f>IF(B864="","",IF(COUNTIF('01_Anggota'!$D$5:$D$1212,B864)=0,"NAMA TIDAK DITEMUKAN",INDEX('01_Anggota'!$B$5:$B$1212,MATCH(B864,'01_Anggota'!$D$5:$D$1212,0))))</f>
        <v/>
      </c>
      <c r="D864" s="21"/>
      <c r="E864" s="23"/>
      <c r="F864" s="23"/>
      <c r="G864" s="23">
        <f>PinjamanTable[[#This Row],[Pokok (Rp) *]]+PinjamanTable[[#This Row],[Admin (Rp)]]</f>
        <v>0</v>
      </c>
      <c r="H864" s="24"/>
      <c r="I864" s="22"/>
      <c r="J864" s="21"/>
      <c r="K864" s="21"/>
    </row>
    <row r="865" spans="1:11" ht="21" customHeight="1">
      <c r="A865" s="21"/>
      <c r="B865" s="21"/>
      <c r="C865" s="20" t="str">
        <f>IF(B865="","",IF(COUNTIF('01_Anggota'!$D$5:$D$1212,B865)=0,"NAMA TIDAK DITEMUKAN",INDEX('01_Anggota'!$B$5:$B$1212,MATCH(B865,'01_Anggota'!$D$5:$D$1212,0))))</f>
        <v/>
      </c>
      <c r="D865" s="21"/>
      <c r="E865" s="23"/>
      <c r="F865" s="23"/>
      <c r="G865" s="23">
        <f>PinjamanTable[[#This Row],[Pokok (Rp) *]]+PinjamanTable[[#This Row],[Admin (Rp)]]</f>
        <v>0</v>
      </c>
      <c r="H865" s="24"/>
      <c r="I865" s="22"/>
      <c r="J865" s="21"/>
      <c r="K865" s="21"/>
    </row>
    <row r="866" spans="1:11" ht="21" customHeight="1">
      <c r="A866" s="21"/>
      <c r="B866" s="21"/>
      <c r="C866" s="20" t="str">
        <f>IF(B866="","",IF(COUNTIF('01_Anggota'!$D$5:$D$1212,B866)=0,"NAMA TIDAK DITEMUKAN",INDEX('01_Anggota'!$B$5:$B$1212,MATCH(B866,'01_Anggota'!$D$5:$D$1212,0))))</f>
        <v/>
      </c>
      <c r="D866" s="21"/>
      <c r="E866" s="23"/>
      <c r="F866" s="23"/>
      <c r="G866" s="23">
        <f>PinjamanTable[[#This Row],[Pokok (Rp) *]]+PinjamanTable[[#This Row],[Admin (Rp)]]</f>
        <v>0</v>
      </c>
      <c r="H866" s="24"/>
      <c r="I866" s="22"/>
      <c r="J866" s="21"/>
      <c r="K866" s="21"/>
    </row>
    <row r="867" spans="1:11" ht="21" customHeight="1">
      <c r="A867" s="21"/>
      <c r="B867" s="21"/>
      <c r="C867" s="20" t="str">
        <f>IF(B867="","",IF(COUNTIF('01_Anggota'!$D$5:$D$1212,B867)=0,"NAMA TIDAK DITEMUKAN",INDEX('01_Anggota'!$B$5:$B$1212,MATCH(B867,'01_Anggota'!$D$5:$D$1212,0))))</f>
        <v/>
      </c>
      <c r="D867" s="21"/>
      <c r="E867" s="23"/>
      <c r="F867" s="23"/>
      <c r="G867" s="23">
        <f>PinjamanTable[[#This Row],[Pokok (Rp) *]]+PinjamanTable[[#This Row],[Admin (Rp)]]</f>
        <v>0</v>
      </c>
      <c r="H867" s="24"/>
      <c r="I867" s="22"/>
      <c r="J867" s="21"/>
      <c r="K867" s="21"/>
    </row>
    <row r="868" spans="1:11" ht="21" customHeight="1">
      <c r="A868" s="21"/>
      <c r="B868" s="21"/>
      <c r="C868" s="20" t="str">
        <f>IF(B868="","",IF(COUNTIF('01_Anggota'!$D$5:$D$1212,B868)=0,"NAMA TIDAK DITEMUKAN",INDEX('01_Anggota'!$B$5:$B$1212,MATCH(B868,'01_Anggota'!$D$5:$D$1212,0))))</f>
        <v/>
      </c>
      <c r="D868" s="21"/>
      <c r="E868" s="23"/>
      <c r="F868" s="23"/>
      <c r="G868" s="23">
        <f>PinjamanTable[[#This Row],[Pokok (Rp) *]]+PinjamanTable[[#This Row],[Admin (Rp)]]</f>
        <v>0</v>
      </c>
      <c r="H868" s="24"/>
      <c r="I868" s="22"/>
      <c r="J868" s="21"/>
      <c r="K868" s="21"/>
    </row>
    <row r="869" spans="1:11" ht="21" customHeight="1">
      <c r="A869" s="21"/>
      <c r="B869" s="21"/>
      <c r="C869" s="20" t="str">
        <f>IF(B869="","",IF(COUNTIF('01_Anggota'!$D$5:$D$1212,B869)=0,"NAMA TIDAK DITEMUKAN",INDEX('01_Anggota'!$B$5:$B$1212,MATCH(B869,'01_Anggota'!$D$5:$D$1212,0))))</f>
        <v/>
      </c>
      <c r="D869" s="21"/>
      <c r="E869" s="23"/>
      <c r="F869" s="23"/>
      <c r="G869" s="23">
        <f>PinjamanTable[[#This Row],[Pokok (Rp) *]]+PinjamanTable[[#This Row],[Admin (Rp)]]</f>
        <v>0</v>
      </c>
      <c r="H869" s="24"/>
      <c r="I869" s="22"/>
      <c r="J869" s="21"/>
      <c r="K869" s="21"/>
    </row>
    <row r="870" spans="1:11" ht="21" customHeight="1">
      <c r="A870" s="21"/>
      <c r="B870" s="21"/>
      <c r="C870" s="20" t="str">
        <f>IF(B870="","",IF(COUNTIF('01_Anggota'!$D$5:$D$1212,B870)=0,"NAMA TIDAK DITEMUKAN",INDEX('01_Anggota'!$B$5:$B$1212,MATCH(B870,'01_Anggota'!$D$5:$D$1212,0))))</f>
        <v/>
      </c>
      <c r="D870" s="21"/>
      <c r="E870" s="23"/>
      <c r="F870" s="23"/>
      <c r="G870" s="23">
        <f>PinjamanTable[[#This Row],[Pokok (Rp) *]]+PinjamanTable[[#This Row],[Admin (Rp)]]</f>
        <v>0</v>
      </c>
      <c r="H870" s="24"/>
      <c r="I870" s="22"/>
      <c r="J870" s="21"/>
      <c r="K870" s="21"/>
    </row>
    <row r="871" spans="1:11" ht="21" customHeight="1">
      <c r="A871" s="21"/>
      <c r="B871" s="21"/>
      <c r="C871" s="20" t="str">
        <f>IF(B871="","",IF(COUNTIF('01_Anggota'!$D$5:$D$1212,B871)=0,"NAMA TIDAK DITEMUKAN",INDEX('01_Anggota'!$B$5:$B$1212,MATCH(B871,'01_Anggota'!$D$5:$D$1212,0))))</f>
        <v/>
      </c>
      <c r="D871" s="21"/>
      <c r="E871" s="23"/>
      <c r="F871" s="23"/>
      <c r="G871" s="23">
        <f>PinjamanTable[[#This Row],[Pokok (Rp) *]]+PinjamanTable[[#This Row],[Admin (Rp)]]</f>
        <v>0</v>
      </c>
      <c r="H871" s="24"/>
      <c r="I871" s="22"/>
      <c r="J871" s="21"/>
      <c r="K871" s="21"/>
    </row>
    <row r="872" spans="1:11" ht="21" customHeight="1">
      <c r="A872" s="21"/>
      <c r="B872" s="21"/>
      <c r="C872" s="20" t="str">
        <f>IF(B872="","",IF(COUNTIF('01_Anggota'!$D$5:$D$1212,B872)=0,"NAMA TIDAK DITEMUKAN",INDEX('01_Anggota'!$B$5:$B$1212,MATCH(B872,'01_Anggota'!$D$5:$D$1212,0))))</f>
        <v/>
      </c>
      <c r="D872" s="21"/>
      <c r="E872" s="23"/>
      <c r="F872" s="23"/>
      <c r="G872" s="23">
        <f>PinjamanTable[[#This Row],[Pokok (Rp) *]]+PinjamanTable[[#This Row],[Admin (Rp)]]</f>
        <v>0</v>
      </c>
      <c r="H872" s="24"/>
      <c r="I872" s="22"/>
      <c r="J872" s="21"/>
      <c r="K872" s="21"/>
    </row>
    <row r="873" spans="1:11" ht="21" customHeight="1">
      <c r="A873" s="21"/>
      <c r="B873" s="21"/>
      <c r="C873" s="20" t="str">
        <f>IF(B873="","",IF(COUNTIF('01_Anggota'!$D$5:$D$1212,B873)=0,"NAMA TIDAK DITEMUKAN",INDEX('01_Anggota'!$B$5:$B$1212,MATCH(B873,'01_Anggota'!$D$5:$D$1212,0))))</f>
        <v/>
      </c>
      <c r="D873" s="21"/>
      <c r="E873" s="23"/>
      <c r="F873" s="23"/>
      <c r="G873" s="23">
        <f>PinjamanTable[[#This Row],[Pokok (Rp) *]]+PinjamanTable[[#This Row],[Admin (Rp)]]</f>
        <v>0</v>
      </c>
      <c r="H873" s="24"/>
      <c r="I873" s="22"/>
      <c r="J873" s="21"/>
      <c r="K873" s="21"/>
    </row>
    <row r="874" spans="1:11" ht="21" customHeight="1">
      <c r="A874" s="21"/>
      <c r="B874" s="21"/>
      <c r="C874" s="20" t="str">
        <f>IF(B874="","",IF(COUNTIF('01_Anggota'!$D$5:$D$1212,B874)=0,"NAMA TIDAK DITEMUKAN",INDEX('01_Anggota'!$B$5:$B$1212,MATCH(B874,'01_Anggota'!$D$5:$D$1212,0))))</f>
        <v/>
      </c>
      <c r="D874" s="21"/>
      <c r="E874" s="23"/>
      <c r="F874" s="23"/>
      <c r="G874" s="23">
        <f>PinjamanTable[[#This Row],[Pokok (Rp) *]]+PinjamanTable[[#This Row],[Admin (Rp)]]</f>
        <v>0</v>
      </c>
      <c r="H874" s="24"/>
      <c r="I874" s="22"/>
      <c r="J874" s="21"/>
      <c r="K874" s="21"/>
    </row>
    <row r="875" spans="1:11" ht="21" customHeight="1">
      <c r="A875" s="21"/>
      <c r="B875" s="21"/>
      <c r="C875" s="20" t="str">
        <f>IF(B875="","",IF(COUNTIF('01_Anggota'!$D$5:$D$1212,B875)=0,"NAMA TIDAK DITEMUKAN",INDEX('01_Anggota'!$B$5:$B$1212,MATCH(B875,'01_Anggota'!$D$5:$D$1212,0))))</f>
        <v/>
      </c>
      <c r="D875" s="21"/>
      <c r="E875" s="23"/>
      <c r="F875" s="23"/>
      <c r="G875" s="23">
        <f>PinjamanTable[[#This Row],[Pokok (Rp) *]]+PinjamanTable[[#This Row],[Admin (Rp)]]</f>
        <v>0</v>
      </c>
      <c r="H875" s="24"/>
      <c r="I875" s="22"/>
      <c r="J875" s="21"/>
      <c r="K875" s="21"/>
    </row>
    <row r="876" spans="1:11" ht="21" customHeight="1">
      <c r="A876" s="21"/>
      <c r="B876" s="21"/>
      <c r="C876" s="20" t="str">
        <f>IF(B876="","",IF(COUNTIF('01_Anggota'!$D$5:$D$1212,B876)=0,"NAMA TIDAK DITEMUKAN",INDEX('01_Anggota'!$B$5:$B$1212,MATCH(B876,'01_Anggota'!$D$5:$D$1212,0))))</f>
        <v/>
      </c>
      <c r="D876" s="21"/>
      <c r="E876" s="23"/>
      <c r="F876" s="23"/>
      <c r="G876" s="23">
        <f>PinjamanTable[[#This Row],[Pokok (Rp) *]]+PinjamanTable[[#This Row],[Admin (Rp)]]</f>
        <v>0</v>
      </c>
      <c r="H876" s="24"/>
      <c r="I876" s="22"/>
      <c r="J876" s="21"/>
      <c r="K876" s="21"/>
    </row>
    <row r="877" spans="1:11" ht="21" customHeight="1">
      <c r="A877" s="21"/>
      <c r="B877" s="21"/>
      <c r="C877" s="20" t="str">
        <f>IF(B877="","",IF(COUNTIF('01_Anggota'!$D$5:$D$1212,B877)=0,"NAMA TIDAK DITEMUKAN",INDEX('01_Anggota'!$B$5:$B$1212,MATCH(B877,'01_Anggota'!$D$5:$D$1212,0))))</f>
        <v/>
      </c>
      <c r="D877" s="21"/>
      <c r="E877" s="23"/>
      <c r="F877" s="23"/>
      <c r="G877" s="23">
        <f>PinjamanTable[[#This Row],[Pokok (Rp) *]]+PinjamanTable[[#This Row],[Admin (Rp)]]</f>
        <v>0</v>
      </c>
      <c r="H877" s="24"/>
      <c r="I877" s="22"/>
      <c r="J877" s="21"/>
      <c r="K877" s="21"/>
    </row>
    <row r="878" spans="1:11" ht="21" customHeight="1">
      <c r="A878" s="21"/>
      <c r="B878" s="21"/>
      <c r="C878" s="20" t="str">
        <f>IF(B878="","",IF(COUNTIF('01_Anggota'!$D$5:$D$1212,B878)=0,"NAMA TIDAK DITEMUKAN",INDEX('01_Anggota'!$B$5:$B$1212,MATCH(B878,'01_Anggota'!$D$5:$D$1212,0))))</f>
        <v/>
      </c>
      <c r="D878" s="21"/>
      <c r="E878" s="23"/>
      <c r="F878" s="23"/>
      <c r="G878" s="23">
        <f>PinjamanTable[[#This Row],[Pokok (Rp) *]]+PinjamanTable[[#This Row],[Admin (Rp)]]</f>
        <v>0</v>
      </c>
      <c r="H878" s="24"/>
      <c r="I878" s="22"/>
      <c r="J878" s="21"/>
      <c r="K878" s="21"/>
    </row>
    <row r="879" spans="1:11" ht="21" customHeight="1">
      <c r="A879" s="21"/>
      <c r="B879" s="21"/>
      <c r="C879" s="20" t="str">
        <f>IF(B879="","",IF(COUNTIF('01_Anggota'!$D$5:$D$1212,B879)=0,"NAMA TIDAK DITEMUKAN",INDEX('01_Anggota'!$B$5:$B$1212,MATCH(B879,'01_Anggota'!$D$5:$D$1212,0))))</f>
        <v/>
      </c>
      <c r="D879" s="21"/>
      <c r="E879" s="23"/>
      <c r="F879" s="23"/>
      <c r="G879" s="23">
        <f>PinjamanTable[[#This Row],[Pokok (Rp) *]]+PinjamanTable[[#This Row],[Admin (Rp)]]</f>
        <v>0</v>
      </c>
      <c r="H879" s="24"/>
      <c r="I879" s="22"/>
      <c r="J879" s="21"/>
      <c r="K879" s="21"/>
    </row>
    <row r="880" spans="1:11" ht="21" customHeight="1">
      <c r="A880" s="21"/>
      <c r="B880" s="21"/>
      <c r="C880" s="20" t="str">
        <f>IF(B880="","",IF(COUNTIF('01_Anggota'!$D$5:$D$1212,B880)=0,"NAMA TIDAK DITEMUKAN",INDEX('01_Anggota'!$B$5:$B$1212,MATCH(B880,'01_Anggota'!$D$5:$D$1212,0))))</f>
        <v/>
      </c>
      <c r="D880" s="21"/>
      <c r="E880" s="23"/>
      <c r="F880" s="23"/>
      <c r="G880" s="23">
        <f>PinjamanTable[[#This Row],[Pokok (Rp) *]]+PinjamanTable[[#This Row],[Admin (Rp)]]</f>
        <v>0</v>
      </c>
      <c r="H880" s="24"/>
      <c r="I880" s="22"/>
      <c r="J880" s="21"/>
      <c r="K880" s="21"/>
    </row>
    <row r="881" spans="1:11" ht="21" customHeight="1">
      <c r="A881" s="21"/>
      <c r="B881" s="21"/>
      <c r="C881" s="20" t="str">
        <f>IF(B881="","",IF(COUNTIF('01_Anggota'!$D$5:$D$1212,B881)=0,"NAMA TIDAK DITEMUKAN",INDEX('01_Anggota'!$B$5:$B$1212,MATCH(B881,'01_Anggota'!$D$5:$D$1212,0))))</f>
        <v/>
      </c>
      <c r="D881" s="21"/>
      <c r="E881" s="23"/>
      <c r="F881" s="23"/>
      <c r="G881" s="23">
        <f>PinjamanTable[[#This Row],[Pokok (Rp) *]]+PinjamanTable[[#This Row],[Admin (Rp)]]</f>
        <v>0</v>
      </c>
      <c r="H881" s="24"/>
      <c r="I881" s="22"/>
      <c r="J881" s="21"/>
      <c r="K881" s="21"/>
    </row>
    <row r="882" spans="1:11" ht="21" customHeight="1">
      <c r="A882" s="21"/>
      <c r="B882" s="21"/>
      <c r="C882" s="20" t="str">
        <f>IF(B882="","",IF(COUNTIF('01_Anggota'!$D$5:$D$1212,B882)=0,"NAMA TIDAK DITEMUKAN",INDEX('01_Anggota'!$B$5:$B$1212,MATCH(B882,'01_Anggota'!$D$5:$D$1212,0))))</f>
        <v/>
      </c>
      <c r="D882" s="21"/>
      <c r="E882" s="23"/>
      <c r="F882" s="23"/>
      <c r="G882" s="23">
        <f>PinjamanTable[[#This Row],[Pokok (Rp) *]]+PinjamanTable[[#This Row],[Admin (Rp)]]</f>
        <v>0</v>
      </c>
      <c r="H882" s="24"/>
      <c r="I882" s="22"/>
      <c r="J882" s="21"/>
      <c r="K882" s="21"/>
    </row>
    <row r="883" spans="1:11" ht="21" customHeight="1">
      <c r="A883" s="21"/>
      <c r="B883" s="21"/>
      <c r="C883" s="20" t="str">
        <f>IF(B883="","",IF(COUNTIF('01_Anggota'!$D$5:$D$1212,B883)=0,"NAMA TIDAK DITEMUKAN",INDEX('01_Anggota'!$B$5:$B$1212,MATCH(B883,'01_Anggota'!$D$5:$D$1212,0))))</f>
        <v/>
      </c>
      <c r="D883" s="21"/>
      <c r="E883" s="23"/>
      <c r="F883" s="23"/>
      <c r="G883" s="23">
        <f>PinjamanTable[[#This Row],[Pokok (Rp) *]]+PinjamanTable[[#This Row],[Admin (Rp)]]</f>
        <v>0</v>
      </c>
      <c r="H883" s="24"/>
      <c r="I883" s="22"/>
      <c r="J883" s="21"/>
      <c r="K883" s="21"/>
    </row>
    <row r="884" spans="1:11" ht="21" customHeight="1">
      <c r="A884" s="21"/>
      <c r="B884" s="21"/>
      <c r="C884" s="20" t="str">
        <f>IF(B884="","",IF(COUNTIF('01_Anggota'!$D$5:$D$1212,B884)=0,"NAMA TIDAK DITEMUKAN",INDEX('01_Anggota'!$B$5:$B$1212,MATCH(B884,'01_Anggota'!$D$5:$D$1212,0))))</f>
        <v/>
      </c>
      <c r="D884" s="21"/>
      <c r="E884" s="23"/>
      <c r="F884" s="23"/>
      <c r="G884" s="23">
        <f>PinjamanTable[[#This Row],[Pokok (Rp) *]]+PinjamanTable[[#This Row],[Admin (Rp)]]</f>
        <v>0</v>
      </c>
      <c r="H884" s="24"/>
      <c r="I884" s="22"/>
      <c r="J884" s="21"/>
      <c r="K884" s="21"/>
    </row>
    <row r="885" spans="1:11" ht="21" customHeight="1">
      <c r="A885" s="21"/>
      <c r="B885" s="21"/>
      <c r="C885" s="20" t="str">
        <f>IF(B885="","",IF(COUNTIF('01_Anggota'!$D$5:$D$1212,B885)=0,"NAMA TIDAK DITEMUKAN",INDEX('01_Anggota'!$B$5:$B$1212,MATCH(B885,'01_Anggota'!$D$5:$D$1212,0))))</f>
        <v/>
      </c>
      <c r="D885" s="21"/>
      <c r="E885" s="23"/>
      <c r="F885" s="23"/>
      <c r="G885" s="23">
        <f>PinjamanTable[[#This Row],[Pokok (Rp) *]]+PinjamanTable[[#This Row],[Admin (Rp)]]</f>
        <v>0</v>
      </c>
      <c r="H885" s="24"/>
      <c r="I885" s="22"/>
      <c r="J885" s="21"/>
      <c r="K885" s="21"/>
    </row>
    <row r="886" spans="1:11" ht="21" customHeight="1">
      <c r="A886" s="21"/>
      <c r="B886" s="21"/>
      <c r="C886" s="20" t="str">
        <f>IF(B886="","",IF(COUNTIF('01_Anggota'!$D$5:$D$1212,B886)=0,"NAMA TIDAK DITEMUKAN",INDEX('01_Anggota'!$B$5:$B$1212,MATCH(B886,'01_Anggota'!$D$5:$D$1212,0))))</f>
        <v/>
      </c>
      <c r="D886" s="21"/>
      <c r="E886" s="23"/>
      <c r="F886" s="23"/>
      <c r="G886" s="23">
        <f>PinjamanTable[[#This Row],[Pokok (Rp) *]]+PinjamanTable[[#This Row],[Admin (Rp)]]</f>
        <v>0</v>
      </c>
      <c r="H886" s="24"/>
      <c r="I886" s="22"/>
      <c r="J886" s="21"/>
      <c r="K886" s="21"/>
    </row>
    <row r="887" spans="1:11" ht="21" customHeight="1">
      <c r="A887" s="21"/>
      <c r="B887" s="21"/>
      <c r="C887" s="20" t="str">
        <f>IF(B887="","",IF(COUNTIF('01_Anggota'!$D$5:$D$1212,B887)=0,"NAMA TIDAK DITEMUKAN",INDEX('01_Anggota'!$B$5:$B$1212,MATCH(B887,'01_Anggota'!$D$5:$D$1212,0))))</f>
        <v/>
      </c>
      <c r="D887" s="21"/>
      <c r="E887" s="23"/>
      <c r="F887" s="23"/>
      <c r="G887" s="23">
        <f>PinjamanTable[[#This Row],[Pokok (Rp) *]]+PinjamanTable[[#This Row],[Admin (Rp)]]</f>
        <v>0</v>
      </c>
      <c r="H887" s="24"/>
      <c r="I887" s="22"/>
      <c r="J887" s="21"/>
      <c r="K887" s="21"/>
    </row>
    <row r="888" spans="1:11" ht="21" customHeight="1">
      <c r="A888" s="21"/>
      <c r="B888" s="21"/>
      <c r="C888" s="20" t="str">
        <f>IF(B888="","",IF(COUNTIF('01_Anggota'!$D$5:$D$1212,B888)=0,"NAMA TIDAK DITEMUKAN",INDEX('01_Anggota'!$B$5:$B$1212,MATCH(B888,'01_Anggota'!$D$5:$D$1212,0))))</f>
        <v/>
      </c>
      <c r="D888" s="21"/>
      <c r="E888" s="23"/>
      <c r="F888" s="23"/>
      <c r="G888" s="23">
        <f>PinjamanTable[[#This Row],[Pokok (Rp) *]]+PinjamanTable[[#This Row],[Admin (Rp)]]</f>
        <v>0</v>
      </c>
      <c r="H888" s="24"/>
      <c r="I888" s="22"/>
      <c r="J888" s="21"/>
      <c r="K888" s="21"/>
    </row>
    <row r="889" spans="1:11" ht="21" customHeight="1">
      <c r="A889" s="21"/>
      <c r="B889" s="21"/>
      <c r="C889" s="20" t="str">
        <f>IF(B889="","",IF(COUNTIF('01_Anggota'!$D$5:$D$1212,B889)=0,"NAMA TIDAK DITEMUKAN",INDEX('01_Anggota'!$B$5:$B$1212,MATCH(B889,'01_Anggota'!$D$5:$D$1212,0))))</f>
        <v/>
      </c>
      <c r="D889" s="21"/>
      <c r="E889" s="23"/>
      <c r="F889" s="23"/>
      <c r="G889" s="23">
        <f>PinjamanTable[[#This Row],[Pokok (Rp) *]]+PinjamanTable[[#This Row],[Admin (Rp)]]</f>
        <v>0</v>
      </c>
      <c r="H889" s="24"/>
      <c r="I889" s="22"/>
      <c r="J889" s="21"/>
      <c r="K889" s="21"/>
    </row>
    <row r="890" spans="1:11" ht="21" customHeight="1">
      <c r="A890" s="21"/>
      <c r="B890" s="21"/>
      <c r="C890" s="20" t="str">
        <f>IF(B890="","",IF(COUNTIF('01_Anggota'!$D$5:$D$1212,B890)=0,"NAMA TIDAK DITEMUKAN",INDEX('01_Anggota'!$B$5:$B$1212,MATCH(B890,'01_Anggota'!$D$5:$D$1212,0))))</f>
        <v/>
      </c>
      <c r="D890" s="21"/>
      <c r="E890" s="23"/>
      <c r="F890" s="23"/>
      <c r="G890" s="23">
        <f>PinjamanTable[[#This Row],[Pokok (Rp) *]]+PinjamanTable[[#This Row],[Admin (Rp)]]</f>
        <v>0</v>
      </c>
      <c r="H890" s="24"/>
      <c r="I890" s="22"/>
      <c r="J890" s="21"/>
      <c r="K890" s="21"/>
    </row>
    <row r="891" spans="1:11" ht="21" customHeight="1">
      <c r="A891" s="21"/>
      <c r="B891" s="21"/>
      <c r="C891" s="20" t="str">
        <f>IF(B891="","",IF(COUNTIF('01_Anggota'!$D$5:$D$1212,B891)=0,"NAMA TIDAK DITEMUKAN",INDEX('01_Anggota'!$B$5:$B$1212,MATCH(B891,'01_Anggota'!$D$5:$D$1212,0))))</f>
        <v/>
      </c>
      <c r="D891" s="21"/>
      <c r="E891" s="23"/>
      <c r="F891" s="23"/>
      <c r="G891" s="23">
        <f>PinjamanTable[[#This Row],[Pokok (Rp) *]]+PinjamanTable[[#This Row],[Admin (Rp)]]</f>
        <v>0</v>
      </c>
      <c r="H891" s="24"/>
      <c r="I891" s="22"/>
      <c r="J891" s="21"/>
      <c r="K891" s="21"/>
    </row>
    <row r="892" spans="1:11" ht="21" customHeight="1">
      <c r="A892" s="21"/>
      <c r="B892" s="21"/>
      <c r="C892" s="20" t="str">
        <f>IF(B892="","",IF(COUNTIF('01_Anggota'!$D$5:$D$1212,B892)=0,"NAMA TIDAK DITEMUKAN",INDEX('01_Anggota'!$B$5:$B$1212,MATCH(B892,'01_Anggota'!$D$5:$D$1212,0))))</f>
        <v/>
      </c>
      <c r="D892" s="21"/>
      <c r="E892" s="23"/>
      <c r="F892" s="23"/>
      <c r="G892" s="23">
        <f>PinjamanTable[[#This Row],[Pokok (Rp) *]]+PinjamanTable[[#This Row],[Admin (Rp)]]</f>
        <v>0</v>
      </c>
      <c r="H892" s="24"/>
      <c r="I892" s="22"/>
      <c r="J892" s="21"/>
      <c r="K892" s="21"/>
    </row>
    <row r="893" spans="1:11" ht="21" customHeight="1">
      <c r="A893" s="21"/>
      <c r="B893" s="21"/>
      <c r="C893" s="20" t="str">
        <f>IF(B893="","",IF(COUNTIF('01_Anggota'!$D$5:$D$1212,B893)=0,"NAMA TIDAK DITEMUKAN",INDEX('01_Anggota'!$B$5:$B$1212,MATCH(B893,'01_Anggota'!$D$5:$D$1212,0))))</f>
        <v/>
      </c>
      <c r="D893" s="21"/>
      <c r="E893" s="23"/>
      <c r="F893" s="23"/>
      <c r="G893" s="23">
        <f>PinjamanTable[[#This Row],[Pokok (Rp) *]]+PinjamanTable[[#This Row],[Admin (Rp)]]</f>
        <v>0</v>
      </c>
      <c r="H893" s="24"/>
      <c r="I893" s="22"/>
      <c r="J893" s="21"/>
      <c r="K893" s="21"/>
    </row>
    <row r="894" spans="1:11" ht="21" customHeight="1">
      <c r="A894" s="21"/>
      <c r="B894" s="21"/>
      <c r="C894" s="20" t="str">
        <f>IF(B894="","",IF(COUNTIF('01_Anggota'!$D$5:$D$1212,B894)=0,"NAMA TIDAK DITEMUKAN",INDEX('01_Anggota'!$B$5:$B$1212,MATCH(B894,'01_Anggota'!$D$5:$D$1212,0))))</f>
        <v/>
      </c>
      <c r="D894" s="21"/>
      <c r="E894" s="23"/>
      <c r="F894" s="23"/>
      <c r="G894" s="23">
        <f>PinjamanTable[[#This Row],[Pokok (Rp) *]]+PinjamanTable[[#This Row],[Admin (Rp)]]</f>
        <v>0</v>
      </c>
      <c r="H894" s="24"/>
      <c r="I894" s="22"/>
      <c r="J894" s="21"/>
      <c r="K894" s="21"/>
    </row>
    <row r="895" spans="1:11" ht="21" customHeight="1">
      <c r="A895" s="21"/>
      <c r="B895" s="21"/>
      <c r="C895" s="20" t="str">
        <f>IF(B895="","",IF(COUNTIF('01_Anggota'!$D$5:$D$1212,B895)=0,"NAMA TIDAK DITEMUKAN",INDEX('01_Anggota'!$B$5:$B$1212,MATCH(B895,'01_Anggota'!$D$5:$D$1212,0))))</f>
        <v/>
      </c>
      <c r="D895" s="21"/>
      <c r="E895" s="23"/>
      <c r="F895" s="23"/>
      <c r="G895" s="23">
        <f>PinjamanTable[[#This Row],[Pokok (Rp) *]]+PinjamanTable[[#This Row],[Admin (Rp)]]</f>
        <v>0</v>
      </c>
      <c r="H895" s="24"/>
      <c r="I895" s="22"/>
      <c r="J895" s="21"/>
      <c r="K895" s="21"/>
    </row>
    <row r="896" spans="1:11" ht="21" customHeight="1">
      <c r="A896" s="21"/>
      <c r="B896" s="21"/>
      <c r="C896" s="20" t="str">
        <f>IF(B896="","",IF(COUNTIF('01_Anggota'!$D$5:$D$1212,B896)=0,"NAMA TIDAK DITEMUKAN",INDEX('01_Anggota'!$B$5:$B$1212,MATCH(B896,'01_Anggota'!$D$5:$D$1212,0))))</f>
        <v/>
      </c>
      <c r="D896" s="21"/>
      <c r="E896" s="23"/>
      <c r="F896" s="23"/>
      <c r="G896" s="23">
        <f>PinjamanTable[[#This Row],[Pokok (Rp) *]]+PinjamanTable[[#This Row],[Admin (Rp)]]</f>
        <v>0</v>
      </c>
      <c r="H896" s="24"/>
      <c r="I896" s="22"/>
      <c r="J896" s="21"/>
      <c r="K896" s="21"/>
    </row>
    <row r="897" spans="1:11" ht="21" customHeight="1">
      <c r="A897" s="21"/>
      <c r="B897" s="21"/>
      <c r="C897" s="20" t="str">
        <f>IF(B897="","",IF(COUNTIF('01_Anggota'!$D$5:$D$1212,B897)=0,"NAMA TIDAK DITEMUKAN",INDEX('01_Anggota'!$B$5:$B$1212,MATCH(B897,'01_Anggota'!$D$5:$D$1212,0))))</f>
        <v/>
      </c>
      <c r="D897" s="21"/>
      <c r="E897" s="23"/>
      <c r="F897" s="23"/>
      <c r="G897" s="23">
        <f>PinjamanTable[[#This Row],[Pokok (Rp) *]]+PinjamanTable[[#This Row],[Admin (Rp)]]</f>
        <v>0</v>
      </c>
      <c r="H897" s="24"/>
      <c r="I897" s="22"/>
      <c r="J897" s="21"/>
      <c r="K897" s="21"/>
    </row>
    <row r="898" spans="1:11" ht="21" customHeight="1">
      <c r="A898" s="21"/>
      <c r="B898" s="21"/>
      <c r="C898" s="20" t="str">
        <f>IF(B898="","",IF(COUNTIF('01_Anggota'!$D$5:$D$1212,B898)=0,"NAMA TIDAK DITEMUKAN",INDEX('01_Anggota'!$B$5:$B$1212,MATCH(B898,'01_Anggota'!$D$5:$D$1212,0))))</f>
        <v/>
      </c>
      <c r="D898" s="21"/>
      <c r="E898" s="23"/>
      <c r="F898" s="23"/>
      <c r="G898" s="23">
        <f>PinjamanTable[[#This Row],[Pokok (Rp) *]]+PinjamanTable[[#This Row],[Admin (Rp)]]</f>
        <v>0</v>
      </c>
      <c r="H898" s="24"/>
      <c r="I898" s="22"/>
      <c r="J898" s="21"/>
      <c r="K898" s="21"/>
    </row>
    <row r="899" spans="1:11" ht="21" customHeight="1">
      <c r="A899" s="21"/>
      <c r="B899" s="21"/>
      <c r="C899" s="20" t="str">
        <f>IF(B899="","",IF(COUNTIF('01_Anggota'!$D$5:$D$1212,B899)=0,"NAMA TIDAK DITEMUKAN",INDEX('01_Anggota'!$B$5:$B$1212,MATCH(B899,'01_Anggota'!$D$5:$D$1212,0))))</f>
        <v/>
      </c>
      <c r="D899" s="21"/>
      <c r="E899" s="23"/>
      <c r="F899" s="23"/>
      <c r="G899" s="23">
        <f>PinjamanTable[[#This Row],[Pokok (Rp) *]]+PinjamanTable[[#This Row],[Admin (Rp)]]</f>
        <v>0</v>
      </c>
      <c r="H899" s="24"/>
      <c r="I899" s="22"/>
      <c r="J899" s="21"/>
      <c r="K899" s="21"/>
    </row>
    <row r="900" spans="1:11" ht="21" customHeight="1">
      <c r="A900" s="21"/>
      <c r="B900" s="21"/>
      <c r="C900" s="20" t="str">
        <f>IF(B900="","",IF(COUNTIF('01_Anggota'!$D$5:$D$1212,B900)=0,"NAMA TIDAK DITEMUKAN",INDEX('01_Anggota'!$B$5:$B$1212,MATCH(B900,'01_Anggota'!$D$5:$D$1212,0))))</f>
        <v/>
      </c>
      <c r="D900" s="21"/>
      <c r="E900" s="23"/>
      <c r="F900" s="23"/>
      <c r="G900" s="23">
        <f>PinjamanTable[[#This Row],[Pokok (Rp) *]]+PinjamanTable[[#This Row],[Admin (Rp)]]</f>
        <v>0</v>
      </c>
      <c r="H900" s="24"/>
      <c r="I900" s="22"/>
      <c r="J900" s="21"/>
      <c r="K900" s="21"/>
    </row>
    <row r="901" spans="1:11" ht="21" customHeight="1">
      <c r="A901" s="21"/>
      <c r="B901" s="21"/>
      <c r="C901" s="20" t="str">
        <f>IF(B901="","",IF(COUNTIF('01_Anggota'!$D$5:$D$1212,B901)=0,"NAMA TIDAK DITEMUKAN",INDEX('01_Anggota'!$B$5:$B$1212,MATCH(B901,'01_Anggota'!$D$5:$D$1212,0))))</f>
        <v/>
      </c>
      <c r="D901" s="21"/>
      <c r="E901" s="23"/>
      <c r="F901" s="23"/>
      <c r="G901" s="23">
        <f>PinjamanTable[[#This Row],[Pokok (Rp) *]]+PinjamanTable[[#This Row],[Admin (Rp)]]</f>
        <v>0</v>
      </c>
      <c r="H901" s="24"/>
      <c r="I901" s="22"/>
      <c r="J901" s="21"/>
      <c r="K901" s="21"/>
    </row>
    <row r="902" spans="1:11" ht="21" customHeight="1">
      <c r="A902" s="21"/>
      <c r="B902" s="21"/>
      <c r="C902" s="20" t="str">
        <f>IF(B902="","",IF(COUNTIF('01_Anggota'!$D$5:$D$1212,B902)=0,"NAMA TIDAK DITEMUKAN",INDEX('01_Anggota'!$B$5:$B$1212,MATCH(B902,'01_Anggota'!$D$5:$D$1212,0))))</f>
        <v/>
      </c>
      <c r="D902" s="21"/>
      <c r="E902" s="23"/>
      <c r="F902" s="23"/>
      <c r="G902" s="23">
        <f>PinjamanTable[[#This Row],[Pokok (Rp) *]]+PinjamanTable[[#This Row],[Admin (Rp)]]</f>
        <v>0</v>
      </c>
      <c r="H902" s="24"/>
      <c r="I902" s="22"/>
      <c r="J902" s="21"/>
      <c r="K902" s="21"/>
    </row>
    <row r="903" spans="1:11" ht="21" customHeight="1">
      <c r="A903" s="21"/>
      <c r="B903" s="21"/>
      <c r="C903" s="20" t="str">
        <f>IF(B903="","",IF(COUNTIF('01_Anggota'!$D$5:$D$1212,B903)=0,"NAMA TIDAK DITEMUKAN",INDEX('01_Anggota'!$B$5:$B$1212,MATCH(B903,'01_Anggota'!$D$5:$D$1212,0))))</f>
        <v/>
      </c>
      <c r="D903" s="21"/>
      <c r="E903" s="23"/>
      <c r="F903" s="23"/>
      <c r="G903" s="23">
        <f>PinjamanTable[[#This Row],[Pokok (Rp) *]]+PinjamanTable[[#This Row],[Admin (Rp)]]</f>
        <v>0</v>
      </c>
      <c r="H903" s="24"/>
      <c r="I903" s="22"/>
      <c r="J903" s="21"/>
      <c r="K903" s="21"/>
    </row>
    <row r="904" spans="1:11" ht="21" customHeight="1">
      <c r="A904" s="21"/>
      <c r="B904" s="21"/>
      <c r="C904" s="20" t="str">
        <f>IF(B904="","",IF(COUNTIF('01_Anggota'!$D$5:$D$1212,B904)=0,"NAMA TIDAK DITEMUKAN",INDEX('01_Anggota'!$B$5:$B$1212,MATCH(B904,'01_Anggota'!$D$5:$D$1212,0))))</f>
        <v/>
      </c>
      <c r="D904" s="21"/>
      <c r="E904" s="23"/>
      <c r="F904" s="23"/>
      <c r="G904" s="23">
        <f>PinjamanTable[[#This Row],[Pokok (Rp) *]]+PinjamanTable[[#This Row],[Admin (Rp)]]</f>
        <v>0</v>
      </c>
      <c r="H904" s="24"/>
      <c r="I904" s="22"/>
      <c r="J904" s="21"/>
      <c r="K904" s="21"/>
    </row>
    <row r="905" spans="1:11" ht="21" customHeight="1">
      <c r="A905" s="21"/>
      <c r="B905" s="21"/>
      <c r="C905" s="20" t="str">
        <f>IF(B905="","",IF(COUNTIF('01_Anggota'!$D$5:$D$1212,B905)=0,"NAMA TIDAK DITEMUKAN",INDEX('01_Anggota'!$B$5:$B$1212,MATCH(B905,'01_Anggota'!$D$5:$D$1212,0))))</f>
        <v/>
      </c>
      <c r="D905" s="21"/>
      <c r="E905" s="23"/>
      <c r="F905" s="23"/>
      <c r="G905" s="23">
        <f>PinjamanTable[[#This Row],[Pokok (Rp) *]]+PinjamanTable[[#This Row],[Admin (Rp)]]</f>
        <v>0</v>
      </c>
      <c r="H905" s="24"/>
      <c r="I905" s="22"/>
      <c r="J905" s="21"/>
      <c r="K905" s="21"/>
    </row>
    <row r="906" spans="1:11" ht="21" customHeight="1">
      <c r="A906" s="21"/>
      <c r="B906" s="21"/>
      <c r="C906" s="20" t="str">
        <f>IF(B906="","",IF(COUNTIF('01_Anggota'!$D$5:$D$1212,B906)=0,"NAMA TIDAK DITEMUKAN",INDEX('01_Anggota'!$B$5:$B$1212,MATCH(B906,'01_Anggota'!$D$5:$D$1212,0))))</f>
        <v/>
      </c>
      <c r="D906" s="21"/>
      <c r="E906" s="23"/>
      <c r="F906" s="23"/>
      <c r="G906" s="23">
        <f>PinjamanTable[[#This Row],[Pokok (Rp) *]]+PinjamanTable[[#This Row],[Admin (Rp)]]</f>
        <v>0</v>
      </c>
      <c r="H906" s="24"/>
      <c r="I906" s="22"/>
      <c r="J906" s="21"/>
      <c r="K906" s="21"/>
    </row>
    <row r="907" spans="1:11" ht="21" customHeight="1">
      <c r="A907" s="21"/>
      <c r="B907" s="21"/>
      <c r="C907" s="20" t="str">
        <f>IF(B907="","",IF(COUNTIF('01_Anggota'!$D$5:$D$1212,B907)=0,"NAMA TIDAK DITEMUKAN",INDEX('01_Anggota'!$B$5:$B$1212,MATCH(B907,'01_Anggota'!$D$5:$D$1212,0))))</f>
        <v/>
      </c>
      <c r="D907" s="21"/>
      <c r="E907" s="23"/>
      <c r="F907" s="23"/>
      <c r="G907" s="23">
        <f>PinjamanTable[[#This Row],[Pokok (Rp) *]]+PinjamanTable[[#This Row],[Admin (Rp)]]</f>
        <v>0</v>
      </c>
      <c r="H907" s="24"/>
      <c r="I907" s="22"/>
      <c r="J907" s="21"/>
      <c r="K907" s="21"/>
    </row>
    <row r="908" spans="1:11" ht="21" customHeight="1">
      <c r="A908" s="21"/>
      <c r="B908" s="21"/>
      <c r="C908" s="20" t="str">
        <f>IF(B908="","",IF(COUNTIF('01_Anggota'!$D$5:$D$1212,B908)=0,"NAMA TIDAK DITEMUKAN",INDEX('01_Anggota'!$B$5:$B$1212,MATCH(B908,'01_Anggota'!$D$5:$D$1212,0))))</f>
        <v/>
      </c>
      <c r="D908" s="21"/>
      <c r="E908" s="23"/>
      <c r="F908" s="23"/>
      <c r="G908" s="23">
        <f>PinjamanTable[[#This Row],[Pokok (Rp) *]]+PinjamanTable[[#This Row],[Admin (Rp)]]</f>
        <v>0</v>
      </c>
      <c r="H908" s="24"/>
      <c r="I908" s="22"/>
      <c r="J908" s="21"/>
      <c r="K908" s="21"/>
    </row>
    <row r="909" spans="1:11" ht="21" customHeight="1">
      <c r="A909" s="21"/>
      <c r="B909" s="21"/>
      <c r="C909" s="20" t="str">
        <f>IF(B909="","",IF(COUNTIF('01_Anggota'!$D$5:$D$1212,B909)=0,"NAMA TIDAK DITEMUKAN",INDEX('01_Anggota'!$B$5:$B$1212,MATCH(B909,'01_Anggota'!$D$5:$D$1212,0))))</f>
        <v/>
      </c>
      <c r="D909" s="21"/>
      <c r="E909" s="23"/>
      <c r="F909" s="23"/>
      <c r="G909" s="23">
        <f>PinjamanTable[[#This Row],[Pokok (Rp) *]]+PinjamanTable[[#This Row],[Admin (Rp)]]</f>
        <v>0</v>
      </c>
      <c r="H909" s="24"/>
      <c r="I909" s="22"/>
      <c r="J909" s="21"/>
      <c r="K909" s="21"/>
    </row>
    <row r="910" spans="1:11" ht="21" customHeight="1">
      <c r="A910" s="21"/>
      <c r="B910" s="21"/>
      <c r="C910" s="20" t="str">
        <f>IF(B910="","",IF(COUNTIF('01_Anggota'!$D$5:$D$1212,B910)=0,"NAMA TIDAK DITEMUKAN",INDEX('01_Anggota'!$B$5:$B$1212,MATCH(B910,'01_Anggota'!$D$5:$D$1212,0))))</f>
        <v/>
      </c>
      <c r="D910" s="21"/>
      <c r="E910" s="23"/>
      <c r="F910" s="23"/>
      <c r="G910" s="23">
        <f>PinjamanTable[[#This Row],[Pokok (Rp) *]]+PinjamanTable[[#This Row],[Admin (Rp)]]</f>
        <v>0</v>
      </c>
      <c r="H910" s="24"/>
      <c r="I910" s="22"/>
      <c r="J910" s="21"/>
      <c r="K910" s="21"/>
    </row>
    <row r="911" spans="1:11" ht="21" customHeight="1">
      <c r="A911" s="21"/>
      <c r="B911" s="21"/>
      <c r="C911" s="20" t="str">
        <f>IF(B911="","",IF(COUNTIF('01_Anggota'!$D$5:$D$1212,B911)=0,"NAMA TIDAK DITEMUKAN",INDEX('01_Anggota'!$B$5:$B$1212,MATCH(B911,'01_Anggota'!$D$5:$D$1212,0))))</f>
        <v/>
      </c>
      <c r="D911" s="21"/>
      <c r="E911" s="23"/>
      <c r="F911" s="23"/>
      <c r="G911" s="23">
        <f>PinjamanTable[[#This Row],[Pokok (Rp) *]]+PinjamanTable[[#This Row],[Admin (Rp)]]</f>
        <v>0</v>
      </c>
      <c r="H911" s="24"/>
      <c r="I911" s="22"/>
      <c r="J911" s="21"/>
      <c r="K911" s="21"/>
    </row>
    <row r="912" spans="1:11" ht="21" customHeight="1">
      <c r="A912" s="21"/>
      <c r="B912" s="21"/>
      <c r="C912" s="20" t="str">
        <f>IF(B912="","",IF(COUNTIF('01_Anggota'!$D$5:$D$1212,B912)=0,"NAMA TIDAK DITEMUKAN",INDEX('01_Anggota'!$B$5:$B$1212,MATCH(B912,'01_Anggota'!$D$5:$D$1212,0))))</f>
        <v/>
      </c>
      <c r="D912" s="21"/>
      <c r="E912" s="23"/>
      <c r="F912" s="23"/>
      <c r="G912" s="23">
        <f>PinjamanTable[[#This Row],[Pokok (Rp) *]]+PinjamanTable[[#This Row],[Admin (Rp)]]</f>
        <v>0</v>
      </c>
      <c r="H912" s="24"/>
      <c r="I912" s="22"/>
      <c r="J912" s="21"/>
      <c r="K912" s="21"/>
    </row>
    <row r="913" spans="1:11" ht="21" customHeight="1">
      <c r="A913" s="21"/>
      <c r="B913" s="21"/>
      <c r="C913" s="20" t="str">
        <f>IF(B913="","",IF(COUNTIF('01_Anggota'!$D$5:$D$1212,B913)=0,"NAMA TIDAK DITEMUKAN",INDEX('01_Anggota'!$B$5:$B$1212,MATCH(B913,'01_Anggota'!$D$5:$D$1212,0))))</f>
        <v/>
      </c>
      <c r="D913" s="21"/>
      <c r="E913" s="23"/>
      <c r="F913" s="23"/>
      <c r="G913" s="23">
        <f>PinjamanTable[[#This Row],[Pokok (Rp) *]]+PinjamanTable[[#This Row],[Admin (Rp)]]</f>
        <v>0</v>
      </c>
      <c r="H913" s="24"/>
      <c r="I913" s="22"/>
      <c r="J913" s="21"/>
      <c r="K913" s="21"/>
    </row>
    <row r="914" spans="1:11" ht="21" customHeight="1">
      <c r="A914" s="21"/>
      <c r="B914" s="21"/>
      <c r="C914" s="20" t="str">
        <f>IF(B914="","",IF(COUNTIF('01_Anggota'!$D$5:$D$1212,B914)=0,"NAMA TIDAK DITEMUKAN",INDEX('01_Anggota'!$B$5:$B$1212,MATCH(B914,'01_Anggota'!$D$5:$D$1212,0))))</f>
        <v/>
      </c>
      <c r="D914" s="21"/>
      <c r="E914" s="23"/>
      <c r="F914" s="23"/>
      <c r="G914" s="23">
        <f>PinjamanTable[[#This Row],[Pokok (Rp) *]]+PinjamanTable[[#This Row],[Admin (Rp)]]</f>
        <v>0</v>
      </c>
      <c r="H914" s="24"/>
      <c r="I914" s="22"/>
      <c r="J914" s="21"/>
      <c r="K914" s="21"/>
    </row>
    <row r="915" spans="1:11" ht="21" customHeight="1">
      <c r="A915" s="21"/>
      <c r="B915" s="21"/>
      <c r="C915" s="20" t="str">
        <f>IF(B915="","",IF(COUNTIF('01_Anggota'!$D$5:$D$1212,B915)=0,"NAMA TIDAK DITEMUKAN",INDEX('01_Anggota'!$B$5:$B$1212,MATCH(B915,'01_Anggota'!$D$5:$D$1212,0))))</f>
        <v/>
      </c>
      <c r="D915" s="21"/>
      <c r="E915" s="23"/>
      <c r="F915" s="23"/>
      <c r="G915" s="23">
        <f>PinjamanTable[[#This Row],[Pokok (Rp) *]]+PinjamanTable[[#This Row],[Admin (Rp)]]</f>
        <v>0</v>
      </c>
      <c r="H915" s="24"/>
      <c r="I915" s="22"/>
      <c r="J915" s="21"/>
      <c r="K915" s="21"/>
    </row>
    <row r="916" spans="1:11" ht="21" customHeight="1">
      <c r="A916" s="21"/>
      <c r="B916" s="21"/>
      <c r="C916" s="20" t="str">
        <f>IF(B916="","",IF(COUNTIF('01_Anggota'!$D$5:$D$1212,B916)=0,"NAMA TIDAK DITEMUKAN",INDEX('01_Anggota'!$B$5:$B$1212,MATCH(B916,'01_Anggota'!$D$5:$D$1212,0))))</f>
        <v/>
      </c>
      <c r="D916" s="21"/>
      <c r="E916" s="23"/>
      <c r="F916" s="23"/>
      <c r="G916" s="23">
        <f>PinjamanTable[[#This Row],[Pokok (Rp) *]]+PinjamanTable[[#This Row],[Admin (Rp)]]</f>
        <v>0</v>
      </c>
      <c r="H916" s="24"/>
      <c r="I916" s="22"/>
      <c r="J916" s="21"/>
      <c r="K916" s="21"/>
    </row>
    <row r="917" spans="1:11" ht="21" customHeight="1">
      <c r="A917" s="21"/>
      <c r="B917" s="21"/>
      <c r="C917" s="20" t="str">
        <f>IF(B917="","",IF(COUNTIF('01_Anggota'!$D$5:$D$1212,B917)=0,"NAMA TIDAK DITEMUKAN",INDEX('01_Anggota'!$B$5:$B$1212,MATCH(B917,'01_Anggota'!$D$5:$D$1212,0))))</f>
        <v/>
      </c>
      <c r="D917" s="21"/>
      <c r="E917" s="23"/>
      <c r="F917" s="23"/>
      <c r="G917" s="23">
        <f>PinjamanTable[[#This Row],[Pokok (Rp) *]]+PinjamanTable[[#This Row],[Admin (Rp)]]</f>
        <v>0</v>
      </c>
      <c r="H917" s="24"/>
      <c r="I917" s="22"/>
      <c r="J917" s="21"/>
      <c r="K917" s="21"/>
    </row>
    <row r="918" spans="1:11" ht="21" customHeight="1">
      <c r="A918" s="21"/>
      <c r="B918" s="21"/>
      <c r="C918" s="20" t="str">
        <f>IF(B918="","",IF(COUNTIF('01_Anggota'!$D$5:$D$1212,B918)=0,"NAMA TIDAK DITEMUKAN",INDEX('01_Anggota'!$B$5:$B$1212,MATCH(B918,'01_Anggota'!$D$5:$D$1212,0))))</f>
        <v/>
      </c>
      <c r="D918" s="21"/>
      <c r="E918" s="23"/>
      <c r="F918" s="23"/>
      <c r="G918" s="23">
        <f>PinjamanTable[[#This Row],[Pokok (Rp) *]]+PinjamanTable[[#This Row],[Admin (Rp)]]</f>
        <v>0</v>
      </c>
      <c r="H918" s="24"/>
      <c r="I918" s="22"/>
      <c r="J918" s="21"/>
      <c r="K918" s="21"/>
    </row>
    <row r="919" spans="1:11" ht="21" customHeight="1">
      <c r="A919" s="21"/>
      <c r="B919" s="21"/>
      <c r="C919" s="20" t="str">
        <f>IF(B919="","",IF(COUNTIF('01_Anggota'!$D$5:$D$1212,B919)=0,"NAMA TIDAK DITEMUKAN",INDEX('01_Anggota'!$B$5:$B$1212,MATCH(B919,'01_Anggota'!$D$5:$D$1212,0))))</f>
        <v/>
      </c>
      <c r="D919" s="21"/>
      <c r="E919" s="23"/>
      <c r="F919" s="23"/>
      <c r="G919" s="23">
        <f>PinjamanTable[[#This Row],[Pokok (Rp) *]]+PinjamanTable[[#This Row],[Admin (Rp)]]</f>
        <v>0</v>
      </c>
      <c r="H919" s="24"/>
      <c r="I919" s="22"/>
      <c r="J919" s="21"/>
      <c r="K919" s="21"/>
    </row>
    <row r="920" spans="1:11" ht="21" customHeight="1">
      <c r="A920" s="21"/>
      <c r="B920" s="21"/>
      <c r="C920" s="20" t="str">
        <f>IF(B920="","",IF(COUNTIF('01_Anggota'!$D$5:$D$1212,B920)=0,"NAMA TIDAK DITEMUKAN",INDEX('01_Anggota'!$B$5:$B$1212,MATCH(B920,'01_Anggota'!$D$5:$D$1212,0))))</f>
        <v/>
      </c>
      <c r="D920" s="21"/>
      <c r="E920" s="23"/>
      <c r="F920" s="23"/>
      <c r="G920" s="23">
        <f>PinjamanTable[[#This Row],[Pokok (Rp) *]]+PinjamanTable[[#This Row],[Admin (Rp)]]</f>
        <v>0</v>
      </c>
      <c r="H920" s="24"/>
      <c r="I920" s="22"/>
      <c r="J920" s="21"/>
      <c r="K920" s="21"/>
    </row>
    <row r="921" spans="1:11" ht="21" customHeight="1">
      <c r="A921" s="21"/>
      <c r="B921" s="21"/>
      <c r="C921" s="20" t="str">
        <f>IF(B921="","",IF(COUNTIF('01_Anggota'!$D$5:$D$1212,B921)=0,"NAMA TIDAK DITEMUKAN",INDEX('01_Anggota'!$B$5:$B$1212,MATCH(B921,'01_Anggota'!$D$5:$D$1212,0))))</f>
        <v/>
      </c>
      <c r="D921" s="21"/>
      <c r="E921" s="23"/>
      <c r="F921" s="23"/>
      <c r="G921" s="23">
        <f>PinjamanTable[[#This Row],[Pokok (Rp) *]]+PinjamanTable[[#This Row],[Admin (Rp)]]</f>
        <v>0</v>
      </c>
      <c r="H921" s="24"/>
      <c r="I921" s="22"/>
      <c r="J921" s="21"/>
      <c r="K921" s="21"/>
    </row>
    <row r="922" spans="1:11" ht="21" customHeight="1">
      <c r="A922" s="21"/>
      <c r="B922" s="21"/>
      <c r="C922" s="20" t="str">
        <f>IF(B922="","",IF(COUNTIF('01_Anggota'!$D$5:$D$1212,B922)=0,"NAMA TIDAK DITEMUKAN",INDEX('01_Anggota'!$B$5:$B$1212,MATCH(B922,'01_Anggota'!$D$5:$D$1212,0))))</f>
        <v/>
      </c>
      <c r="D922" s="21"/>
      <c r="E922" s="23"/>
      <c r="F922" s="23"/>
      <c r="G922" s="23">
        <f>PinjamanTable[[#This Row],[Pokok (Rp) *]]+PinjamanTable[[#This Row],[Admin (Rp)]]</f>
        <v>0</v>
      </c>
      <c r="H922" s="24"/>
      <c r="I922" s="22"/>
      <c r="J922" s="21"/>
      <c r="K922" s="21"/>
    </row>
    <row r="923" spans="1:11" ht="21" customHeight="1">
      <c r="A923" s="21"/>
      <c r="B923" s="21"/>
      <c r="C923" s="20" t="str">
        <f>IF(B923="","",IF(COUNTIF('01_Anggota'!$D$5:$D$1212,B923)=0,"NAMA TIDAK DITEMUKAN",INDEX('01_Anggota'!$B$5:$B$1212,MATCH(B923,'01_Anggota'!$D$5:$D$1212,0))))</f>
        <v/>
      </c>
      <c r="D923" s="21"/>
      <c r="E923" s="23"/>
      <c r="F923" s="23"/>
      <c r="G923" s="23">
        <f>PinjamanTable[[#This Row],[Pokok (Rp) *]]+PinjamanTable[[#This Row],[Admin (Rp)]]</f>
        <v>0</v>
      </c>
      <c r="H923" s="24"/>
      <c r="I923" s="22"/>
      <c r="J923" s="21"/>
      <c r="K923" s="21"/>
    </row>
    <row r="924" spans="1:11" ht="21" customHeight="1">
      <c r="A924" s="21"/>
      <c r="B924" s="21"/>
      <c r="C924" s="20" t="str">
        <f>IF(B924="","",IF(COUNTIF('01_Anggota'!$D$5:$D$1212,B924)=0,"NAMA TIDAK DITEMUKAN",INDEX('01_Anggota'!$B$5:$B$1212,MATCH(B924,'01_Anggota'!$D$5:$D$1212,0))))</f>
        <v/>
      </c>
      <c r="D924" s="21"/>
      <c r="E924" s="23"/>
      <c r="F924" s="23"/>
      <c r="G924" s="23">
        <f>PinjamanTable[[#This Row],[Pokok (Rp) *]]+PinjamanTable[[#This Row],[Admin (Rp)]]</f>
        <v>0</v>
      </c>
      <c r="H924" s="24"/>
      <c r="I924" s="22"/>
      <c r="J924" s="21"/>
      <c r="K924" s="21"/>
    </row>
    <row r="925" spans="1:11" ht="21" customHeight="1">
      <c r="A925" s="21"/>
      <c r="B925" s="21"/>
      <c r="C925" s="20" t="str">
        <f>IF(B925="","",IF(COUNTIF('01_Anggota'!$D$5:$D$1212,B925)=0,"NAMA TIDAK DITEMUKAN",INDEX('01_Anggota'!$B$5:$B$1212,MATCH(B925,'01_Anggota'!$D$5:$D$1212,0))))</f>
        <v/>
      </c>
      <c r="D925" s="21"/>
      <c r="E925" s="23"/>
      <c r="F925" s="23"/>
      <c r="G925" s="23">
        <f>PinjamanTable[[#This Row],[Pokok (Rp) *]]+PinjamanTable[[#This Row],[Admin (Rp)]]</f>
        <v>0</v>
      </c>
      <c r="H925" s="24"/>
      <c r="I925" s="22"/>
      <c r="J925" s="21"/>
      <c r="K925" s="21"/>
    </row>
    <row r="926" spans="1:11" ht="21" customHeight="1">
      <c r="A926" s="21"/>
      <c r="B926" s="21"/>
      <c r="C926" s="20" t="str">
        <f>IF(B926="","",IF(COUNTIF('01_Anggota'!$D$5:$D$1212,B926)=0,"NAMA TIDAK DITEMUKAN",INDEX('01_Anggota'!$B$5:$B$1212,MATCH(B926,'01_Anggota'!$D$5:$D$1212,0))))</f>
        <v/>
      </c>
      <c r="D926" s="21"/>
      <c r="E926" s="23"/>
      <c r="F926" s="23"/>
      <c r="G926" s="23">
        <f>PinjamanTable[[#This Row],[Pokok (Rp) *]]+PinjamanTable[[#This Row],[Admin (Rp)]]</f>
        <v>0</v>
      </c>
      <c r="H926" s="24"/>
      <c r="I926" s="22"/>
      <c r="J926" s="21"/>
      <c r="K926" s="21"/>
    </row>
    <row r="927" spans="1:11" ht="21" customHeight="1">
      <c r="A927" s="21"/>
      <c r="B927" s="21"/>
      <c r="C927" s="20" t="str">
        <f>IF(B927="","",IF(COUNTIF('01_Anggota'!$D$5:$D$1212,B927)=0,"NAMA TIDAK DITEMUKAN",INDEX('01_Anggota'!$B$5:$B$1212,MATCH(B927,'01_Anggota'!$D$5:$D$1212,0))))</f>
        <v/>
      </c>
      <c r="D927" s="21"/>
      <c r="E927" s="23"/>
      <c r="F927" s="23"/>
      <c r="G927" s="23">
        <f>PinjamanTable[[#This Row],[Pokok (Rp) *]]+PinjamanTable[[#This Row],[Admin (Rp)]]</f>
        <v>0</v>
      </c>
      <c r="H927" s="24"/>
      <c r="I927" s="22"/>
      <c r="J927" s="21"/>
      <c r="K927" s="21"/>
    </row>
    <row r="928" spans="1:11" ht="21" customHeight="1">
      <c r="A928" s="21"/>
      <c r="B928" s="21"/>
      <c r="C928" s="20" t="str">
        <f>IF(B928="","",IF(COUNTIF('01_Anggota'!$D$5:$D$1212,B928)=0,"NAMA TIDAK DITEMUKAN",INDEX('01_Anggota'!$B$5:$B$1212,MATCH(B928,'01_Anggota'!$D$5:$D$1212,0))))</f>
        <v/>
      </c>
      <c r="D928" s="21"/>
      <c r="E928" s="23"/>
      <c r="F928" s="23"/>
      <c r="G928" s="23">
        <f>PinjamanTable[[#This Row],[Pokok (Rp) *]]+PinjamanTable[[#This Row],[Admin (Rp)]]</f>
        <v>0</v>
      </c>
      <c r="H928" s="24"/>
      <c r="I928" s="22"/>
      <c r="J928" s="21"/>
      <c r="K928" s="21"/>
    </row>
    <row r="929" spans="1:11" ht="21" customHeight="1">
      <c r="A929" s="21"/>
      <c r="B929" s="21"/>
      <c r="C929" s="20" t="str">
        <f>IF(B929="","",IF(COUNTIF('01_Anggota'!$D$5:$D$1212,B929)=0,"NAMA TIDAK DITEMUKAN",INDEX('01_Anggota'!$B$5:$B$1212,MATCH(B929,'01_Anggota'!$D$5:$D$1212,0))))</f>
        <v/>
      </c>
      <c r="D929" s="21"/>
      <c r="E929" s="23"/>
      <c r="F929" s="23"/>
      <c r="G929" s="23">
        <f>PinjamanTable[[#This Row],[Pokok (Rp) *]]+PinjamanTable[[#This Row],[Admin (Rp)]]</f>
        <v>0</v>
      </c>
      <c r="H929" s="24"/>
      <c r="I929" s="22"/>
      <c r="J929" s="21"/>
      <c r="K929" s="21"/>
    </row>
    <row r="930" spans="1:11" ht="21" customHeight="1">
      <c r="A930" s="21"/>
      <c r="B930" s="21"/>
      <c r="C930" s="20" t="str">
        <f>IF(B930="","",IF(COUNTIF('01_Anggota'!$D$5:$D$1212,B930)=0,"NAMA TIDAK DITEMUKAN",INDEX('01_Anggota'!$B$5:$B$1212,MATCH(B930,'01_Anggota'!$D$5:$D$1212,0))))</f>
        <v/>
      </c>
      <c r="D930" s="21"/>
      <c r="E930" s="23"/>
      <c r="F930" s="23"/>
      <c r="G930" s="23">
        <f>PinjamanTable[[#This Row],[Pokok (Rp) *]]+PinjamanTable[[#This Row],[Admin (Rp)]]</f>
        <v>0</v>
      </c>
      <c r="H930" s="24"/>
      <c r="I930" s="22"/>
      <c r="J930" s="21"/>
      <c r="K930" s="21"/>
    </row>
    <row r="931" spans="1:11" ht="21" customHeight="1">
      <c r="A931" s="21"/>
      <c r="B931" s="21"/>
      <c r="C931" s="20" t="str">
        <f>IF(B931="","",IF(COUNTIF('01_Anggota'!$D$5:$D$1212,B931)=0,"NAMA TIDAK DITEMUKAN",INDEX('01_Anggota'!$B$5:$B$1212,MATCH(B931,'01_Anggota'!$D$5:$D$1212,0))))</f>
        <v/>
      </c>
      <c r="D931" s="21"/>
      <c r="E931" s="23"/>
      <c r="F931" s="23"/>
      <c r="G931" s="23">
        <f>PinjamanTable[[#This Row],[Pokok (Rp) *]]+PinjamanTable[[#This Row],[Admin (Rp)]]</f>
        <v>0</v>
      </c>
      <c r="H931" s="24"/>
      <c r="I931" s="22"/>
      <c r="J931" s="21"/>
      <c r="K931" s="21"/>
    </row>
    <row r="932" spans="1:11" ht="21" customHeight="1">
      <c r="A932" s="21"/>
      <c r="B932" s="21"/>
      <c r="C932" s="20" t="str">
        <f>IF(B932="","",IF(COUNTIF('01_Anggota'!$D$5:$D$1212,B932)=0,"NAMA TIDAK DITEMUKAN",INDEX('01_Anggota'!$B$5:$B$1212,MATCH(B932,'01_Anggota'!$D$5:$D$1212,0))))</f>
        <v/>
      </c>
      <c r="D932" s="21"/>
      <c r="E932" s="23"/>
      <c r="F932" s="23"/>
      <c r="G932" s="23">
        <f>PinjamanTable[[#This Row],[Pokok (Rp) *]]+PinjamanTable[[#This Row],[Admin (Rp)]]</f>
        <v>0</v>
      </c>
      <c r="H932" s="24"/>
      <c r="I932" s="22"/>
      <c r="J932" s="21"/>
      <c r="K932" s="21"/>
    </row>
    <row r="933" spans="1:11" ht="21" customHeight="1">
      <c r="A933" s="21"/>
      <c r="B933" s="21"/>
      <c r="C933" s="20" t="str">
        <f>IF(B933="","",IF(COUNTIF('01_Anggota'!$D$5:$D$1212,B933)=0,"NAMA TIDAK DITEMUKAN",INDEX('01_Anggota'!$B$5:$B$1212,MATCH(B933,'01_Anggota'!$D$5:$D$1212,0))))</f>
        <v/>
      </c>
      <c r="D933" s="21"/>
      <c r="E933" s="23"/>
      <c r="F933" s="23"/>
      <c r="G933" s="23">
        <f>PinjamanTable[[#This Row],[Pokok (Rp) *]]+PinjamanTable[[#This Row],[Admin (Rp)]]</f>
        <v>0</v>
      </c>
      <c r="H933" s="24"/>
      <c r="I933" s="22"/>
      <c r="J933" s="21"/>
      <c r="K933" s="21"/>
    </row>
    <row r="934" spans="1:11" ht="21" customHeight="1">
      <c r="A934" s="21"/>
      <c r="B934" s="21"/>
      <c r="C934" s="20" t="str">
        <f>IF(B934="","",IF(COUNTIF('01_Anggota'!$D$5:$D$1212,B934)=0,"NAMA TIDAK DITEMUKAN",INDEX('01_Anggota'!$B$5:$B$1212,MATCH(B934,'01_Anggota'!$D$5:$D$1212,0))))</f>
        <v/>
      </c>
      <c r="D934" s="21"/>
      <c r="E934" s="23"/>
      <c r="F934" s="23"/>
      <c r="G934" s="23">
        <f>PinjamanTable[[#This Row],[Pokok (Rp) *]]+PinjamanTable[[#This Row],[Admin (Rp)]]</f>
        <v>0</v>
      </c>
      <c r="H934" s="24"/>
      <c r="I934" s="22"/>
      <c r="J934" s="21"/>
      <c r="K934" s="21"/>
    </row>
    <row r="935" spans="1:11" ht="21" customHeight="1">
      <c r="A935" s="21"/>
      <c r="B935" s="21"/>
      <c r="C935" s="20" t="str">
        <f>IF(B935="","",IF(COUNTIF('01_Anggota'!$D$5:$D$1212,B935)=0,"NAMA TIDAK DITEMUKAN",INDEX('01_Anggota'!$B$5:$B$1212,MATCH(B935,'01_Anggota'!$D$5:$D$1212,0))))</f>
        <v/>
      </c>
      <c r="D935" s="21"/>
      <c r="E935" s="23"/>
      <c r="F935" s="23"/>
      <c r="G935" s="23">
        <f>PinjamanTable[[#This Row],[Pokok (Rp) *]]+PinjamanTable[[#This Row],[Admin (Rp)]]</f>
        <v>0</v>
      </c>
      <c r="H935" s="24"/>
      <c r="I935" s="22"/>
      <c r="J935" s="21"/>
      <c r="K935" s="21"/>
    </row>
    <row r="936" spans="1:11" ht="21" customHeight="1">
      <c r="A936" s="21"/>
      <c r="B936" s="21"/>
      <c r="C936" s="20" t="str">
        <f>IF(B936="","",IF(COUNTIF('01_Anggota'!$D$5:$D$1212,B936)=0,"NAMA TIDAK DITEMUKAN",INDEX('01_Anggota'!$B$5:$B$1212,MATCH(B936,'01_Anggota'!$D$5:$D$1212,0))))</f>
        <v/>
      </c>
      <c r="D936" s="21"/>
      <c r="E936" s="23"/>
      <c r="F936" s="23"/>
      <c r="G936" s="23">
        <f>PinjamanTable[[#This Row],[Pokok (Rp) *]]+PinjamanTable[[#This Row],[Admin (Rp)]]</f>
        <v>0</v>
      </c>
      <c r="H936" s="24"/>
      <c r="I936" s="22"/>
      <c r="J936" s="21"/>
      <c r="K936" s="21"/>
    </row>
    <row r="937" spans="1:11" ht="21" customHeight="1">
      <c r="A937" s="21"/>
      <c r="B937" s="21"/>
      <c r="C937" s="20" t="str">
        <f>IF(B937="","",IF(COUNTIF('01_Anggota'!$D$5:$D$1212,B937)=0,"NAMA TIDAK DITEMUKAN",INDEX('01_Anggota'!$B$5:$B$1212,MATCH(B937,'01_Anggota'!$D$5:$D$1212,0))))</f>
        <v/>
      </c>
      <c r="D937" s="21"/>
      <c r="E937" s="23"/>
      <c r="F937" s="23"/>
      <c r="G937" s="23">
        <f>PinjamanTable[[#This Row],[Pokok (Rp) *]]+PinjamanTable[[#This Row],[Admin (Rp)]]</f>
        <v>0</v>
      </c>
      <c r="H937" s="24"/>
      <c r="I937" s="22"/>
      <c r="J937" s="21"/>
      <c r="K937" s="21"/>
    </row>
    <row r="938" spans="1:11" ht="21" customHeight="1">
      <c r="A938" s="21"/>
      <c r="B938" s="21"/>
      <c r="C938" s="20" t="str">
        <f>IF(B938="","",IF(COUNTIF('01_Anggota'!$D$5:$D$1212,B938)=0,"NAMA TIDAK DITEMUKAN",INDEX('01_Anggota'!$B$5:$B$1212,MATCH(B938,'01_Anggota'!$D$5:$D$1212,0))))</f>
        <v/>
      </c>
      <c r="D938" s="21"/>
      <c r="E938" s="23"/>
      <c r="F938" s="23"/>
      <c r="G938" s="23">
        <f>PinjamanTable[[#This Row],[Pokok (Rp) *]]+PinjamanTable[[#This Row],[Admin (Rp)]]</f>
        <v>0</v>
      </c>
      <c r="H938" s="24"/>
      <c r="I938" s="22"/>
      <c r="J938" s="21"/>
      <c r="K938" s="21"/>
    </row>
    <row r="939" spans="1:11" ht="21" customHeight="1">
      <c r="A939" s="21"/>
      <c r="B939" s="21"/>
      <c r="C939" s="20" t="str">
        <f>IF(B939="","",IF(COUNTIF('01_Anggota'!$D$5:$D$1212,B939)=0,"NAMA TIDAK DITEMUKAN",INDEX('01_Anggota'!$B$5:$B$1212,MATCH(B939,'01_Anggota'!$D$5:$D$1212,0))))</f>
        <v/>
      </c>
      <c r="D939" s="21"/>
      <c r="E939" s="23"/>
      <c r="F939" s="23"/>
      <c r="G939" s="23">
        <f>PinjamanTable[[#This Row],[Pokok (Rp) *]]+PinjamanTable[[#This Row],[Admin (Rp)]]</f>
        <v>0</v>
      </c>
      <c r="H939" s="24"/>
      <c r="I939" s="22"/>
      <c r="J939" s="21"/>
      <c r="K939" s="21"/>
    </row>
    <row r="940" spans="1:11" ht="21" customHeight="1">
      <c r="A940" s="21"/>
      <c r="B940" s="21"/>
      <c r="C940" s="20" t="str">
        <f>IF(B940="","",IF(COUNTIF('01_Anggota'!$D$5:$D$1212,B940)=0,"NAMA TIDAK DITEMUKAN",INDEX('01_Anggota'!$B$5:$B$1212,MATCH(B940,'01_Anggota'!$D$5:$D$1212,0))))</f>
        <v/>
      </c>
      <c r="D940" s="21"/>
      <c r="E940" s="23"/>
      <c r="F940" s="23"/>
      <c r="G940" s="23">
        <f>PinjamanTable[[#This Row],[Pokok (Rp) *]]+PinjamanTable[[#This Row],[Admin (Rp)]]</f>
        <v>0</v>
      </c>
      <c r="H940" s="24"/>
      <c r="I940" s="22"/>
      <c r="J940" s="21"/>
      <c r="K940" s="21"/>
    </row>
    <row r="941" spans="1:11" ht="21" customHeight="1">
      <c r="A941" s="21"/>
      <c r="B941" s="21"/>
      <c r="C941" s="20" t="str">
        <f>IF(B941="","",IF(COUNTIF('01_Anggota'!$D$5:$D$1212,B941)=0,"NAMA TIDAK DITEMUKAN",INDEX('01_Anggota'!$B$5:$B$1212,MATCH(B941,'01_Anggota'!$D$5:$D$1212,0))))</f>
        <v/>
      </c>
      <c r="D941" s="21"/>
      <c r="E941" s="23"/>
      <c r="F941" s="23"/>
      <c r="G941" s="23">
        <f>PinjamanTable[[#This Row],[Pokok (Rp) *]]+PinjamanTable[[#This Row],[Admin (Rp)]]</f>
        <v>0</v>
      </c>
      <c r="H941" s="24"/>
      <c r="I941" s="22"/>
      <c r="J941" s="21"/>
      <c r="K941" s="21"/>
    </row>
    <row r="942" spans="1:11" ht="21" customHeight="1">
      <c r="A942" s="21"/>
      <c r="B942" s="21"/>
      <c r="C942" s="20" t="str">
        <f>IF(B942="","",IF(COUNTIF('01_Anggota'!$D$5:$D$1212,B942)=0,"NAMA TIDAK DITEMUKAN",INDEX('01_Anggota'!$B$5:$B$1212,MATCH(B942,'01_Anggota'!$D$5:$D$1212,0))))</f>
        <v/>
      </c>
      <c r="D942" s="21"/>
      <c r="E942" s="23"/>
      <c r="F942" s="23"/>
      <c r="G942" s="23">
        <f>PinjamanTable[[#This Row],[Pokok (Rp) *]]+PinjamanTable[[#This Row],[Admin (Rp)]]</f>
        <v>0</v>
      </c>
      <c r="H942" s="24"/>
      <c r="I942" s="22"/>
      <c r="J942" s="21"/>
      <c r="K942" s="21"/>
    </row>
    <row r="943" spans="1:11" ht="21" customHeight="1">
      <c r="A943" s="21"/>
      <c r="B943" s="21"/>
      <c r="C943" s="20" t="str">
        <f>IF(B943="","",IF(COUNTIF('01_Anggota'!$D$5:$D$1212,B943)=0,"NAMA TIDAK DITEMUKAN",INDEX('01_Anggota'!$B$5:$B$1212,MATCH(B943,'01_Anggota'!$D$5:$D$1212,0))))</f>
        <v/>
      </c>
      <c r="D943" s="21"/>
      <c r="E943" s="23"/>
      <c r="F943" s="23"/>
      <c r="G943" s="23">
        <f>PinjamanTable[[#This Row],[Pokok (Rp) *]]+PinjamanTable[[#This Row],[Admin (Rp)]]</f>
        <v>0</v>
      </c>
      <c r="H943" s="24"/>
      <c r="I943" s="22"/>
      <c r="J943" s="21"/>
      <c r="K943" s="21"/>
    </row>
    <row r="944" spans="1:11" ht="21" customHeight="1">
      <c r="A944" s="21"/>
      <c r="B944" s="21"/>
      <c r="C944" s="20" t="str">
        <f>IF(B944="","",IF(COUNTIF('01_Anggota'!$D$5:$D$1212,B944)=0,"NAMA TIDAK DITEMUKAN",INDEX('01_Anggota'!$B$5:$B$1212,MATCH(B944,'01_Anggota'!$D$5:$D$1212,0))))</f>
        <v/>
      </c>
      <c r="D944" s="21"/>
      <c r="E944" s="23"/>
      <c r="F944" s="23"/>
      <c r="G944" s="23">
        <f>PinjamanTable[[#This Row],[Pokok (Rp) *]]+PinjamanTable[[#This Row],[Admin (Rp)]]</f>
        <v>0</v>
      </c>
      <c r="H944" s="24"/>
      <c r="I944" s="22"/>
      <c r="J944" s="21"/>
      <c r="K944" s="21"/>
    </row>
    <row r="945" spans="1:11" ht="21" customHeight="1">
      <c r="A945" s="21"/>
      <c r="B945" s="21"/>
      <c r="C945" s="20" t="str">
        <f>IF(B945="","",IF(COUNTIF('01_Anggota'!$D$5:$D$1212,B945)=0,"NAMA TIDAK DITEMUKAN",INDEX('01_Anggota'!$B$5:$B$1212,MATCH(B945,'01_Anggota'!$D$5:$D$1212,0))))</f>
        <v/>
      </c>
      <c r="D945" s="21"/>
      <c r="E945" s="23"/>
      <c r="F945" s="23"/>
      <c r="G945" s="23">
        <f>PinjamanTable[[#This Row],[Pokok (Rp) *]]+PinjamanTable[[#This Row],[Admin (Rp)]]</f>
        <v>0</v>
      </c>
      <c r="H945" s="24"/>
      <c r="I945" s="22"/>
      <c r="J945" s="21"/>
      <c r="K945" s="21"/>
    </row>
    <row r="946" spans="1:11" ht="21" customHeight="1">
      <c r="A946" s="21"/>
      <c r="B946" s="21"/>
      <c r="C946" s="20" t="str">
        <f>IF(B946="","",IF(COUNTIF('01_Anggota'!$D$5:$D$1212,B946)=0,"NAMA TIDAK DITEMUKAN",INDEX('01_Anggota'!$B$5:$B$1212,MATCH(B946,'01_Anggota'!$D$5:$D$1212,0))))</f>
        <v/>
      </c>
      <c r="D946" s="21"/>
      <c r="E946" s="23"/>
      <c r="F946" s="23"/>
      <c r="G946" s="23">
        <f>PinjamanTable[[#This Row],[Pokok (Rp) *]]+PinjamanTable[[#This Row],[Admin (Rp)]]</f>
        <v>0</v>
      </c>
      <c r="H946" s="24"/>
      <c r="I946" s="22"/>
      <c r="J946" s="21"/>
      <c r="K946" s="21"/>
    </row>
    <row r="947" spans="1:11" ht="21" customHeight="1">
      <c r="A947" s="21"/>
      <c r="B947" s="21"/>
      <c r="C947" s="20" t="str">
        <f>IF(B947="","",IF(COUNTIF('01_Anggota'!$D$5:$D$1212,B947)=0,"NAMA TIDAK DITEMUKAN",INDEX('01_Anggota'!$B$5:$B$1212,MATCH(B947,'01_Anggota'!$D$5:$D$1212,0))))</f>
        <v/>
      </c>
      <c r="D947" s="21"/>
      <c r="E947" s="23"/>
      <c r="F947" s="23"/>
      <c r="G947" s="23">
        <f>PinjamanTable[[#This Row],[Pokok (Rp) *]]+PinjamanTable[[#This Row],[Admin (Rp)]]</f>
        <v>0</v>
      </c>
      <c r="H947" s="24"/>
      <c r="I947" s="22"/>
      <c r="J947" s="21"/>
      <c r="K947" s="21"/>
    </row>
    <row r="948" spans="1:11" ht="21" customHeight="1">
      <c r="A948" s="21"/>
      <c r="B948" s="21"/>
      <c r="C948" s="20" t="str">
        <f>IF(B948="","",IF(COUNTIF('01_Anggota'!$D$5:$D$1212,B948)=0,"NAMA TIDAK DITEMUKAN",INDEX('01_Anggota'!$B$5:$B$1212,MATCH(B948,'01_Anggota'!$D$5:$D$1212,0))))</f>
        <v/>
      </c>
      <c r="D948" s="21"/>
      <c r="E948" s="23"/>
      <c r="F948" s="23"/>
      <c r="G948" s="23">
        <f>PinjamanTable[[#This Row],[Pokok (Rp) *]]+PinjamanTable[[#This Row],[Admin (Rp)]]</f>
        <v>0</v>
      </c>
      <c r="H948" s="24"/>
      <c r="I948" s="22"/>
      <c r="J948" s="21"/>
      <c r="K948" s="21"/>
    </row>
    <row r="949" spans="1:11" ht="21" customHeight="1">
      <c r="A949" s="21"/>
      <c r="B949" s="21"/>
      <c r="C949" s="20" t="str">
        <f>IF(B949="","",IF(COUNTIF('01_Anggota'!$D$5:$D$1212,B949)=0,"NAMA TIDAK DITEMUKAN",INDEX('01_Anggota'!$B$5:$B$1212,MATCH(B949,'01_Anggota'!$D$5:$D$1212,0))))</f>
        <v/>
      </c>
      <c r="D949" s="21"/>
      <c r="E949" s="23"/>
      <c r="F949" s="23"/>
      <c r="G949" s="23">
        <f>PinjamanTable[[#This Row],[Pokok (Rp) *]]+PinjamanTable[[#This Row],[Admin (Rp)]]</f>
        <v>0</v>
      </c>
      <c r="H949" s="24"/>
      <c r="I949" s="22"/>
      <c r="J949" s="21"/>
      <c r="K949" s="21"/>
    </row>
    <row r="950" spans="1:11" ht="21" customHeight="1">
      <c r="A950" s="21"/>
      <c r="B950" s="21"/>
      <c r="C950" s="20" t="str">
        <f>IF(B950="","",IF(COUNTIF('01_Anggota'!$D$5:$D$1212,B950)=0,"NAMA TIDAK DITEMUKAN",INDEX('01_Anggota'!$B$5:$B$1212,MATCH(B950,'01_Anggota'!$D$5:$D$1212,0))))</f>
        <v/>
      </c>
      <c r="D950" s="21"/>
      <c r="E950" s="23"/>
      <c r="F950" s="23"/>
      <c r="G950" s="23">
        <f>PinjamanTable[[#This Row],[Pokok (Rp) *]]+PinjamanTable[[#This Row],[Admin (Rp)]]</f>
        <v>0</v>
      </c>
      <c r="H950" s="24"/>
      <c r="I950" s="22"/>
      <c r="J950" s="21"/>
      <c r="K950" s="21"/>
    </row>
    <row r="951" spans="1:11" ht="21" customHeight="1">
      <c r="A951" s="21"/>
      <c r="B951" s="21"/>
      <c r="C951" s="20" t="str">
        <f>IF(B951="","",IF(COUNTIF('01_Anggota'!$D$5:$D$1212,B951)=0,"NAMA TIDAK DITEMUKAN",INDEX('01_Anggota'!$B$5:$B$1212,MATCH(B951,'01_Anggota'!$D$5:$D$1212,0))))</f>
        <v/>
      </c>
      <c r="D951" s="21"/>
      <c r="E951" s="23"/>
      <c r="F951" s="23"/>
      <c r="G951" s="23">
        <f>PinjamanTable[[#This Row],[Pokok (Rp) *]]+PinjamanTable[[#This Row],[Admin (Rp)]]</f>
        <v>0</v>
      </c>
      <c r="H951" s="24"/>
      <c r="I951" s="22"/>
      <c r="J951" s="21"/>
      <c r="K951" s="21"/>
    </row>
    <row r="952" spans="1:11" ht="21" customHeight="1">
      <c r="A952" s="21"/>
      <c r="B952" s="21"/>
      <c r="C952" s="20" t="str">
        <f>IF(B952="","",IF(COUNTIF('01_Anggota'!$D$5:$D$1212,B952)=0,"NAMA TIDAK DITEMUKAN",INDEX('01_Anggota'!$B$5:$B$1212,MATCH(B952,'01_Anggota'!$D$5:$D$1212,0))))</f>
        <v/>
      </c>
      <c r="D952" s="21"/>
      <c r="E952" s="23"/>
      <c r="F952" s="23"/>
      <c r="G952" s="23">
        <f>PinjamanTable[[#This Row],[Pokok (Rp) *]]+PinjamanTable[[#This Row],[Admin (Rp)]]</f>
        <v>0</v>
      </c>
      <c r="H952" s="24"/>
      <c r="I952" s="22"/>
      <c r="J952" s="21"/>
      <c r="K952" s="21"/>
    </row>
    <row r="953" spans="1:11" ht="21" customHeight="1">
      <c r="A953" s="21"/>
      <c r="B953" s="21"/>
      <c r="C953" s="20" t="str">
        <f>IF(B953="","",IF(COUNTIF('01_Anggota'!$D$5:$D$1212,B953)=0,"NAMA TIDAK DITEMUKAN",INDEX('01_Anggota'!$B$5:$B$1212,MATCH(B953,'01_Anggota'!$D$5:$D$1212,0))))</f>
        <v/>
      </c>
      <c r="D953" s="21"/>
      <c r="E953" s="23"/>
      <c r="F953" s="23"/>
      <c r="G953" s="23">
        <f>PinjamanTable[[#This Row],[Pokok (Rp) *]]+PinjamanTable[[#This Row],[Admin (Rp)]]</f>
        <v>0</v>
      </c>
      <c r="H953" s="24"/>
      <c r="I953" s="22"/>
      <c r="J953" s="21"/>
      <c r="K953" s="21"/>
    </row>
    <row r="954" spans="1:11" ht="21" customHeight="1">
      <c r="A954" s="21"/>
      <c r="B954" s="21"/>
      <c r="C954" s="20" t="str">
        <f>IF(B954="","",IF(COUNTIF('01_Anggota'!$D$5:$D$1212,B954)=0,"NAMA TIDAK DITEMUKAN",INDEX('01_Anggota'!$B$5:$B$1212,MATCH(B954,'01_Anggota'!$D$5:$D$1212,0))))</f>
        <v/>
      </c>
      <c r="D954" s="21"/>
      <c r="E954" s="23"/>
      <c r="F954" s="23"/>
      <c r="G954" s="23">
        <f>PinjamanTable[[#This Row],[Pokok (Rp) *]]+PinjamanTable[[#This Row],[Admin (Rp)]]</f>
        <v>0</v>
      </c>
      <c r="H954" s="24"/>
      <c r="I954" s="22"/>
      <c r="J954" s="21"/>
      <c r="K954" s="21"/>
    </row>
    <row r="955" spans="1:11" ht="21" customHeight="1">
      <c r="A955" s="21"/>
      <c r="B955" s="21"/>
      <c r="C955" s="20" t="str">
        <f>IF(B955="","",IF(COUNTIF('01_Anggota'!$D$5:$D$1212,B955)=0,"NAMA TIDAK DITEMUKAN",INDEX('01_Anggota'!$B$5:$B$1212,MATCH(B955,'01_Anggota'!$D$5:$D$1212,0))))</f>
        <v/>
      </c>
      <c r="D955" s="21"/>
      <c r="E955" s="23"/>
      <c r="F955" s="23"/>
      <c r="G955" s="23">
        <f>PinjamanTable[[#This Row],[Pokok (Rp) *]]+PinjamanTable[[#This Row],[Admin (Rp)]]</f>
        <v>0</v>
      </c>
      <c r="H955" s="24"/>
      <c r="I955" s="22"/>
      <c r="J955" s="21"/>
      <c r="K955" s="21"/>
    </row>
    <row r="956" spans="1:11" ht="21" customHeight="1">
      <c r="A956" s="21"/>
      <c r="B956" s="21"/>
      <c r="C956" s="20" t="str">
        <f>IF(B956="","",IF(COUNTIF('01_Anggota'!$D$5:$D$1212,B956)=0,"NAMA TIDAK DITEMUKAN",INDEX('01_Anggota'!$B$5:$B$1212,MATCH(B956,'01_Anggota'!$D$5:$D$1212,0))))</f>
        <v/>
      </c>
      <c r="D956" s="21"/>
      <c r="E956" s="23"/>
      <c r="F956" s="23"/>
      <c r="G956" s="23">
        <f>PinjamanTable[[#This Row],[Pokok (Rp) *]]+PinjamanTable[[#This Row],[Admin (Rp)]]</f>
        <v>0</v>
      </c>
      <c r="H956" s="24"/>
      <c r="I956" s="22"/>
      <c r="J956" s="21"/>
      <c r="K956" s="21"/>
    </row>
    <row r="957" spans="1:11" ht="21" customHeight="1">
      <c r="A957" s="21"/>
      <c r="B957" s="21"/>
      <c r="C957" s="20" t="str">
        <f>IF(B957="","",IF(COUNTIF('01_Anggota'!$D$5:$D$1212,B957)=0,"NAMA TIDAK DITEMUKAN",INDEX('01_Anggota'!$B$5:$B$1212,MATCH(B957,'01_Anggota'!$D$5:$D$1212,0))))</f>
        <v/>
      </c>
      <c r="D957" s="21"/>
      <c r="E957" s="23"/>
      <c r="F957" s="23"/>
      <c r="G957" s="23">
        <f>PinjamanTable[[#This Row],[Pokok (Rp) *]]+PinjamanTable[[#This Row],[Admin (Rp)]]</f>
        <v>0</v>
      </c>
      <c r="H957" s="24"/>
      <c r="I957" s="22"/>
      <c r="J957" s="21"/>
      <c r="K957" s="21"/>
    </row>
    <row r="958" spans="1:11" ht="21" customHeight="1">
      <c r="A958" s="21"/>
      <c r="B958" s="21"/>
      <c r="C958" s="20" t="str">
        <f>IF(B958="","",IF(COUNTIF('01_Anggota'!$D$5:$D$1212,B958)=0,"NAMA TIDAK DITEMUKAN",INDEX('01_Anggota'!$B$5:$B$1212,MATCH(B958,'01_Anggota'!$D$5:$D$1212,0))))</f>
        <v/>
      </c>
      <c r="D958" s="21"/>
      <c r="E958" s="23"/>
      <c r="F958" s="23"/>
      <c r="G958" s="23">
        <f>PinjamanTable[[#This Row],[Pokok (Rp) *]]+PinjamanTable[[#This Row],[Admin (Rp)]]</f>
        <v>0</v>
      </c>
      <c r="H958" s="24"/>
      <c r="I958" s="22"/>
      <c r="J958" s="21"/>
      <c r="K958" s="21"/>
    </row>
    <row r="959" spans="1:11" ht="21" customHeight="1">
      <c r="A959" s="21"/>
      <c r="B959" s="21"/>
      <c r="C959" s="20" t="str">
        <f>IF(B959="","",IF(COUNTIF('01_Anggota'!$D$5:$D$1212,B959)=0,"NAMA TIDAK DITEMUKAN",INDEX('01_Anggota'!$B$5:$B$1212,MATCH(B959,'01_Anggota'!$D$5:$D$1212,0))))</f>
        <v/>
      </c>
      <c r="D959" s="21"/>
      <c r="E959" s="23"/>
      <c r="F959" s="23"/>
      <c r="G959" s="23">
        <f>PinjamanTable[[#This Row],[Pokok (Rp) *]]+PinjamanTable[[#This Row],[Admin (Rp)]]</f>
        <v>0</v>
      </c>
      <c r="H959" s="24"/>
      <c r="I959" s="22"/>
      <c r="J959" s="21"/>
      <c r="K959" s="21"/>
    </row>
    <row r="960" spans="1:11" ht="21" customHeight="1">
      <c r="A960" s="21"/>
      <c r="B960" s="21"/>
      <c r="C960" s="20" t="str">
        <f>IF(B960="","",IF(COUNTIF('01_Anggota'!$D$5:$D$1212,B960)=0,"NAMA TIDAK DITEMUKAN",INDEX('01_Anggota'!$B$5:$B$1212,MATCH(B960,'01_Anggota'!$D$5:$D$1212,0))))</f>
        <v/>
      </c>
      <c r="D960" s="21"/>
      <c r="E960" s="23"/>
      <c r="F960" s="23"/>
      <c r="G960" s="23">
        <f>PinjamanTable[[#This Row],[Pokok (Rp) *]]+PinjamanTable[[#This Row],[Admin (Rp)]]</f>
        <v>0</v>
      </c>
      <c r="H960" s="24"/>
      <c r="I960" s="22"/>
      <c r="J960" s="21"/>
      <c r="K960" s="21"/>
    </row>
    <row r="961" spans="1:11" ht="21" customHeight="1">
      <c r="A961" s="21"/>
      <c r="B961" s="21"/>
      <c r="C961" s="20" t="str">
        <f>IF(B961="","",IF(COUNTIF('01_Anggota'!$D$5:$D$1212,B961)=0,"NAMA TIDAK DITEMUKAN",INDEX('01_Anggota'!$B$5:$B$1212,MATCH(B961,'01_Anggota'!$D$5:$D$1212,0))))</f>
        <v/>
      </c>
      <c r="D961" s="21"/>
      <c r="E961" s="23"/>
      <c r="F961" s="23"/>
      <c r="G961" s="23">
        <f>PinjamanTable[[#This Row],[Pokok (Rp) *]]+PinjamanTable[[#This Row],[Admin (Rp)]]</f>
        <v>0</v>
      </c>
      <c r="H961" s="24"/>
      <c r="I961" s="22"/>
      <c r="J961" s="21"/>
      <c r="K961" s="21"/>
    </row>
    <row r="962" spans="1:11" ht="21" customHeight="1">
      <c r="A962" s="21"/>
      <c r="B962" s="21"/>
      <c r="C962" s="20" t="str">
        <f>IF(B962="","",IF(COUNTIF('01_Anggota'!$D$5:$D$1212,B962)=0,"NAMA TIDAK DITEMUKAN",INDEX('01_Anggota'!$B$5:$B$1212,MATCH(B962,'01_Anggota'!$D$5:$D$1212,0))))</f>
        <v/>
      </c>
      <c r="D962" s="21"/>
      <c r="E962" s="23"/>
      <c r="F962" s="23"/>
      <c r="G962" s="23">
        <f>PinjamanTable[[#This Row],[Pokok (Rp) *]]+PinjamanTable[[#This Row],[Admin (Rp)]]</f>
        <v>0</v>
      </c>
      <c r="H962" s="24"/>
      <c r="I962" s="22"/>
      <c r="J962" s="21"/>
      <c r="K962" s="21"/>
    </row>
    <row r="963" spans="1:11" ht="21" customHeight="1">
      <c r="A963" s="21"/>
      <c r="B963" s="21"/>
      <c r="C963" s="20" t="str">
        <f>IF(B963="","",IF(COUNTIF('01_Anggota'!$D$5:$D$1212,B963)=0,"NAMA TIDAK DITEMUKAN",INDEX('01_Anggota'!$B$5:$B$1212,MATCH(B963,'01_Anggota'!$D$5:$D$1212,0))))</f>
        <v/>
      </c>
      <c r="D963" s="21"/>
      <c r="E963" s="23"/>
      <c r="F963" s="23"/>
      <c r="G963" s="23">
        <f>PinjamanTable[[#This Row],[Pokok (Rp) *]]+PinjamanTable[[#This Row],[Admin (Rp)]]</f>
        <v>0</v>
      </c>
      <c r="H963" s="24"/>
      <c r="I963" s="22"/>
      <c r="J963" s="21"/>
      <c r="K963" s="21"/>
    </row>
    <row r="964" spans="1:11" ht="21" customHeight="1">
      <c r="A964" s="21"/>
      <c r="B964" s="21"/>
      <c r="C964" s="20" t="str">
        <f>IF(B964="","",IF(COUNTIF('01_Anggota'!$D$5:$D$1212,B964)=0,"NAMA TIDAK DITEMUKAN",INDEX('01_Anggota'!$B$5:$B$1212,MATCH(B964,'01_Anggota'!$D$5:$D$1212,0))))</f>
        <v/>
      </c>
      <c r="D964" s="21"/>
      <c r="E964" s="23"/>
      <c r="F964" s="23"/>
      <c r="G964" s="23">
        <f>PinjamanTable[[#This Row],[Pokok (Rp) *]]+PinjamanTable[[#This Row],[Admin (Rp)]]</f>
        <v>0</v>
      </c>
      <c r="H964" s="24"/>
      <c r="I964" s="22"/>
      <c r="J964" s="21"/>
      <c r="K964" s="21"/>
    </row>
    <row r="965" spans="1:11" ht="21" customHeight="1">
      <c r="A965" s="21"/>
      <c r="B965" s="21"/>
      <c r="C965" s="20" t="str">
        <f>IF(B965="","",IF(COUNTIF('01_Anggota'!$D$5:$D$1212,B965)=0,"NAMA TIDAK DITEMUKAN",INDEX('01_Anggota'!$B$5:$B$1212,MATCH(B965,'01_Anggota'!$D$5:$D$1212,0))))</f>
        <v/>
      </c>
      <c r="D965" s="21"/>
      <c r="E965" s="23"/>
      <c r="F965" s="23"/>
      <c r="G965" s="23">
        <f>PinjamanTable[[#This Row],[Pokok (Rp) *]]+PinjamanTable[[#This Row],[Admin (Rp)]]</f>
        <v>0</v>
      </c>
      <c r="H965" s="24"/>
      <c r="I965" s="22"/>
      <c r="J965" s="21"/>
      <c r="K965" s="21"/>
    </row>
    <row r="966" spans="1:11" ht="21" customHeight="1">
      <c r="A966" s="21"/>
      <c r="B966" s="21"/>
      <c r="C966" s="20" t="str">
        <f>IF(B966="","",IF(COUNTIF('01_Anggota'!$D$5:$D$1212,B966)=0,"NAMA TIDAK DITEMUKAN",INDEX('01_Anggota'!$B$5:$B$1212,MATCH(B966,'01_Anggota'!$D$5:$D$1212,0))))</f>
        <v/>
      </c>
      <c r="D966" s="21"/>
      <c r="E966" s="23"/>
      <c r="F966" s="23"/>
      <c r="G966" s="23">
        <f>PinjamanTable[[#This Row],[Pokok (Rp) *]]+PinjamanTable[[#This Row],[Admin (Rp)]]</f>
        <v>0</v>
      </c>
      <c r="H966" s="24"/>
      <c r="I966" s="22"/>
      <c r="J966" s="21"/>
      <c r="K966" s="21"/>
    </row>
    <row r="967" spans="1:11" ht="21" customHeight="1">
      <c r="A967" s="21"/>
      <c r="B967" s="21"/>
      <c r="C967" s="20" t="str">
        <f>IF(B967="","",IF(COUNTIF('01_Anggota'!$D$5:$D$1212,B967)=0,"NAMA TIDAK DITEMUKAN",INDEX('01_Anggota'!$B$5:$B$1212,MATCH(B967,'01_Anggota'!$D$5:$D$1212,0))))</f>
        <v/>
      </c>
      <c r="D967" s="21"/>
      <c r="E967" s="23"/>
      <c r="F967" s="23"/>
      <c r="G967" s="23">
        <f>PinjamanTable[[#This Row],[Pokok (Rp) *]]+PinjamanTable[[#This Row],[Admin (Rp)]]</f>
        <v>0</v>
      </c>
      <c r="H967" s="24"/>
      <c r="I967" s="22"/>
      <c r="J967" s="21"/>
      <c r="K967" s="21"/>
    </row>
    <row r="968" spans="1:11" ht="21" customHeight="1">
      <c r="A968" s="21"/>
      <c r="B968" s="21"/>
      <c r="C968" s="20" t="str">
        <f>IF(B968="","",IF(COUNTIF('01_Anggota'!$D$5:$D$1212,B968)=0,"NAMA TIDAK DITEMUKAN",INDEX('01_Anggota'!$B$5:$B$1212,MATCH(B968,'01_Anggota'!$D$5:$D$1212,0))))</f>
        <v/>
      </c>
      <c r="D968" s="21"/>
      <c r="E968" s="23"/>
      <c r="F968" s="23"/>
      <c r="G968" s="23">
        <f>PinjamanTable[[#This Row],[Pokok (Rp) *]]+PinjamanTable[[#This Row],[Admin (Rp)]]</f>
        <v>0</v>
      </c>
      <c r="H968" s="24"/>
      <c r="I968" s="22"/>
      <c r="J968" s="21"/>
      <c r="K968" s="21"/>
    </row>
    <row r="969" spans="1:11" ht="21" customHeight="1">
      <c r="A969" s="21"/>
      <c r="B969" s="21"/>
      <c r="C969" s="20" t="str">
        <f>IF(B969="","",IF(COUNTIF('01_Anggota'!$D$5:$D$1212,B969)=0,"NAMA TIDAK DITEMUKAN",INDEX('01_Anggota'!$B$5:$B$1212,MATCH(B969,'01_Anggota'!$D$5:$D$1212,0))))</f>
        <v/>
      </c>
      <c r="D969" s="21"/>
      <c r="E969" s="23"/>
      <c r="F969" s="23"/>
      <c r="G969" s="23">
        <f>PinjamanTable[[#This Row],[Pokok (Rp) *]]+PinjamanTable[[#This Row],[Admin (Rp)]]</f>
        <v>0</v>
      </c>
      <c r="H969" s="24"/>
      <c r="I969" s="22"/>
      <c r="J969" s="21"/>
      <c r="K969" s="21"/>
    </row>
    <row r="970" spans="1:11" ht="21" customHeight="1">
      <c r="A970" s="21"/>
      <c r="B970" s="21"/>
      <c r="C970" s="20" t="str">
        <f>IF(B970="","",IF(COUNTIF('01_Anggota'!$D$5:$D$1212,B970)=0,"NAMA TIDAK DITEMUKAN",INDEX('01_Anggota'!$B$5:$B$1212,MATCH(B970,'01_Anggota'!$D$5:$D$1212,0))))</f>
        <v/>
      </c>
      <c r="D970" s="21"/>
      <c r="E970" s="23"/>
      <c r="F970" s="23"/>
      <c r="G970" s="23">
        <f>PinjamanTable[[#This Row],[Pokok (Rp) *]]+PinjamanTable[[#This Row],[Admin (Rp)]]</f>
        <v>0</v>
      </c>
      <c r="H970" s="24"/>
      <c r="I970" s="22"/>
      <c r="J970" s="21"/>
      <c r="K970" s="21"/>
    </row>
    <row r="971" spans="1:11" ht="21" customHeight="1">
      <c r="A971" s="21"/>
      <c r="B971" s="21"/>
      <c r="C971" s="20" t="str">
        <f>IF(B971="","",IF(COUNTIF('01_Anggota'!$D$5:$D$1212,B971)=0,"NAMA TIDAK DITEMUKAN",INDEX('01_Anggota'!$B$5:$B$1212,MATCH(B971,'01_Anggota'!$D$5:$D$1212,0))))</f>
        <v/>
      </c>
      <c r="D971" s="21"/>
      <c r="E971" s="23"/>
      <c r="F971" s="23"/>
      <c r="G971" s="23">
        <f>PinjamanTable[[#This Row],[Pokok (Rp) *]]+PinjamanTable[[#This Row],[Admin (Rp)]]</f>
        <v>0</v>
      </c>
      <c r="H971" s="24"/>
      <c r="I971" s="22"/>
      <c r="J971" s="21"/>
      <c r="K971" s="21"/>
    </row>
    <row r="972" spans="1:11" ht="21" customHeight="1">
      <c r="A972" s="21"/>
      <c r="B972" s="21"/>
      <c r="C972" s="20" t="str">
        <f>IF(B972="","",IF(COUNTIF('01_Anggota'!$D$5:$D$1212,B972)=0,"NAMA TIDAK DITEMUKAN",INDEX('01_Anggota'!$B$5:$B$1212,MATCH(B972,'01_Anggota'!$D$5:$D$1212,0))))</f>
        <v/>
      </c>
      <c r="D972" s="21"/>
      <c r="E972" s="23"/>
      <c r="F972" s="23"/>
      <c r="G972" s="23">
        <f>PinjamanTable[[#This Row],[Pokok (Rp) *]]+PinjamanTable[[#This Row],[Admin (Rp)]]</f>
        <v>0</v>
      </c>
      <c r="H972" s="24"/>
      <c r="I972" s="22"/>
      <c r="J972" s="21"/>
      <c r="K972" s="21"/>
    </row>
    <row r="973" spans="1:11" ht="21" customHeight="1">
      <c r="A973" s="21"/>
      <c r="B973" s="21"/>
      <c r="C973" s="20" t="str">
        <f>IF(B973="","",IF(COUNTIF('01_Anggota'!$D$5:$D$1212,B973)=0,"NAMA TIDAK DITEMUKAN",INDEX('01_Anggota'!$B$5:$B$1212,MATCH(B973,'01_Anggota'!$D$5:$D$1212,0))))</f>
        <v/>
      </c>
      <c r="D973" s="21"/>
      <c r="E973" s="23"/>
      <c r="F973" s="23"/>
      <c r="G973" s="23">
        <f>PinjamanTable[[#This Row],[Pokok (Rp) *]]+PinjamanTable[[#This Row],[Admin (Rp)]]</f>
        <v>0</v>
      </c>
      <c r="H973" s="24"/>
      <c r="I973" s="22"/>
      <c r="J973" s="21"/>
      <c r="K973" s="21"/>
    </row>
    <row r="974" spans="1:11" ht="21" customHeight="1">
      <c r="A974" s="21"/>
      <c r="B974" s="21"/>
      <c r="C974" s="20" t="str">
        <f>IF(B974="","",IF(COUNTIF('01_Anggota'!$D$5:$D$1212,B974)=0,"NAMA TIDAK DITEMUKAN",INDEX('01_Anggota'!$B$5:$B$1212,MATCH(B974,'01_Anggota'!$D$5:$D$1212,0))))</f>
        <v/>
      </c>
      <c r="D974" s="21"/>
      <c r="E974" s="23"/>
      <c r="F974" s="23"/>
      <c r="G974" s="23">
        <f>PinjamanTable[[#This Row],[Pokok (Rp) *]]+PinjamanTable[[#This Row],[Admin (Rp)]]</f>
        <v>0</v>
      </c>
      <c r="H974" s="24"/>
      <c r="I974" s="22"/>
      <c r="J974" s="21"/>
      <c r="K974" s="21"/>
    </row>
    <row r="975" spans="1:11" ht="21" customHeight="1">
      <c r="A975" s="21"/>
      <c r="B975" s="21"/>
      <c r="C975" s="20" t="str">
        <f>IF(B975="","",IF(COUNTIF('01_Anggota'!$D$5:$D$1212,B975)=0,"NAMA TIDAK DITEMUKAN",INDEX('01_Anggota'!$B$5:$B$1212,MATCH(B975,'01_Anggota'!$D$5:$D$1212,0))))</f>
        <v/>
      </c>
      <c r="D975" s="21"/>
      <c r="E975" s="23"/>
      <c r="F975" s="23"/>
      <c r="G975" s="23">
        <f>PinjamanTable[[#This Row],[Pokok (Rp) *]]+PinjamanTable[[#This Row],[Admin (Rp)]]</f>
        <v>0</v>
      </c>
      <c r="H975" s="24"/>
      <c r="I975" s="22"/>
      <c r="J975" s="21"/>
      <c r="K975" s="21"/>
    </row>
    <row r="976" spans="1:11" ht="21" customHeight="1">
      <c r="A976" s="21"/>
      <c r="B976" s="21"/>
      <c r="C976" s="20" t="str">
        <f>IF(B976="","",IF(COUNTIF('01_Anggota'!$D$5:$D$1212,B976)=0,"NAMA TIDAK DITEMUKAN",INDEX('01_Anggota'!$B$5:$B$1212,MATCH(B976,'01_Anggota'!$D$5:$D$1212,0))))</f>
        <v/>
      </c>
      <c r="D976" s="21"/>
      <c r="E976" s="23"/>
      <c r="F976" s="23"/>
      <c r="G976" s="23">
        <f>PinjamanTable[[#This Row],[Pokok (Rp) *]]+PinjamanTable[[#This Row],[Admin (Rp)]]</f>
        <v>0</v>
      </c>
      <c r="H976" s="24"/>
      <c r="I976" s="22"/>
      <c r="J976" s="21"/>
      <c r="K976" s="21"/>
    </row>
    <row r="977" spans="1:11" ht="21" customHeight="1">
      <c r="A977" s="21"/>
      <c r="B977" s="21"/>
      <c r="C977" s="20" t="str">
        <f>IF(B977="","",IF(COUNTIF('01_Anggota'!$D$5:$D$1212,B977)=0,"NAMA TIDAK DITEMUKAN",INDEX('01_Anggota'!$B$5:$B$1212,MATCH(B977,'01_Anggota'!$D$5:$D$1212,0))))</f>
        <v/>
      </c>
      <c r="D977" s="21"/>
      <c r="E977" s="23"/>
      <c r="F977" s="23"/>
      <c r="G977" s="23">
        <f>PinjamanTable[[#This Row],[Pokok (Rp) *]]+PinjamanTable[[#This Row],[Admin (Rp)]]</f>
        <v>0</v>
      </c>
      <c r="H977" s="24"/>
      <c r="I977" s="22"/>
      <c r="J977" s="21"/>
      <c r="K977" s="21"/>
    </row>
    <row r="978" spans="1:11" ht="21" customHeight="1">
      <c r="A978" s="21"/>
      <c r="B978" s="21"/>
      <c r="C978" s="20" t="str">
        <f>IF(B978="","",IF(COUNTIF('01_Anggota'!$D$5:$D$1212,B978)=0,"NAMA TIDAK DITEMUKAN",INDEX('01_Anggota'!$B$5:$B$1212,MATCH(B978,'01_Anggota'!$D$5:$D$1212,0))))</f>
        <v/>
      </c>
      <c r="D978" s="21"/>
      <c r="E978" s="23"/>
      <c r="F978" s="23"/>
      <c r="G978" s="23">
        <f>PinjamanTable[[#This Row],[Pokok (Rp) *]]+PinjamanTable[[#This Row],[Admin (Rp)]]</f>
        <v>0</v>
      </c>
      <c r="H978" s="24"/>
      <c r="I978" s="22"/>
      <c r="J978" s="21"/>
      <c r="K978" s="21"/>
    </row>
    <row r="979" spans="1:11" ht="21" customHeight="1">
      <c r="A979" s="21"/>
      <c r="B979" s="21"/>
      <c r="C979" s="20" t="str">
        <f>IF(B979="","",IF(COUNTIF('01_Anggota'!$D$5:$D$1212,B979)=0,"NAMA TIDAK DITEMUKAN",INDEX('01_Anggota'!$B$5:$B$1212,MATCH(B979,'01_Anggota'!$D$5:$D$1212,0))))</f>
        <v/>
      </c>
      <c r="D979" s="21"/>
      <c r="E979" s="23"/>
      <c r="F979" s="23"/>
      <c r="G979" s="23">
        <f>PinjamanTable[[#This Row],[Pokok (Rp) *]]+PinjamanTable[[#This Row],[Admin (Rp)]]</f>
        <v>0</v>
      </c>
      <c r="H979" s="24"/>
      <c r="I979" s="22"/>
      <c r="J979" s="21"/>
      <c r="K979" s="21"/>
    </row>
    <row r="980" spans="1:11" ht="21" customHeight="1">
      <c r="A980" s="21"/>
      <c r="B980" s="21"/>
      <c r="C980" s="20" t="str">
        <f>IF(B980="","",IF(COUNTIF('01_Anggota'!$D$5:$D$1212,B980)=0,"NAMA TIDAK DITEMUKAN",INDEX('01_Anggota'!$B$5:$B$1212,MATCH(B980,'01_Anggota'!$D$5:$D$1212,0))))</f>
        <v/>
      </c>
      <c r="D980" s="21"/>
      <c r="E980" s="23"/>
      <c r="F980" s="23"/>
      <c r="G980" s="23">
        <f>PinjamanTable[[#This Row],[Pokok (Rp) *]]+PinjamanTable[[#This Row],[Admin (Rp)]]</f>
        <v>0</v>
      </c>
      <c r="H980" s="24"/>
      <c r="I980" s="22"/>
      <c r="J980" s="21"/>
      <c r="K980" s="21"/>
    </row>
    <row r="981" spans="1:11" ht="21" customHeight="1">
      <c r="A981" s="21"/>
      <c r="B981" s="21"/>
      <c r="C981" s="20" t="str">
        <f>IF(B981="","",IF(COUNTIF('01_Anggota'!$D$5:$D$1212,B981)=0,"NAMA TIDAK DITEMUKAN",INDEX('01_Anggota'!$B$5:$B$1212,MATCH(B981,'01_Anggota'!$D$5:$D$1212,0))))</f>
        <v/>
      </c>
      <c r="D981" s="21"/>
      <c r="E981" s="23"/>
      <c r="F981" s="23"/>
      <c r="G981" s="23">
        <f>PinjamanTable[[#This Row],[Pokok (Rp) *]]+PinjamanTable[[#This Row],[Admin (Rp)]]</f>
        <v>0</v>
      </c>
      <c r="H981" s="24"/>
      <c r="I981" s="22"/>
      <c r="J981" s="21"/>
      <c r="K981" s="21"/>
    </row>
    <row r="982" spans="1:11" ht="21" customHeight="1">
      <c r="A982" s="21"/>
      <c r="B982" s="21"/>
      <c r="C982" s="20" t="str">
        <f>IF(B982="","",IF(COUNTIF('01_Anggota'!$D$5:$D$1212,B982)=0,"NAMA TIDAK DITEMUKAN",INDEX('01_Anggota'!$B$5:$B$1212,MATCH(B982,'01_Anggota'!$D$5:$D$1212,0))))</f>
        <v/>
      </c>
      <c r="D982" s="21"/>
      <c r="E982" s="23"/>
      <c r="F982" s="23"/>
      <c r="G982" s="23">
        <f>PinjamanTable[[#This Row],[Pokok (Rp) *]]+PinjamanTable[[#This Row],[Admin (Rp)]]</f>
        <v>0</v>
      </c>
      <c r="H982" s="24"/>
      <c r="I982" s="22"/>
      <c r="J982" s="21"/>
      <c r="K982" s="21"/>
    </row>
    <row r="983" spans="1:11" ht="21" customHeight="1">
      <c r="A983" s="21"/>
      <c r="B983" s="21"/>
      <c r="C983" s="20" t="str">
        <f>IF(B983="","",IF(COUNTIF('01_Anggota'!$D$5:$D$1212,B983)=0,"NAMA TIDAK DITEMUKAN",INDEX('01_Anggota'!$B$5:$B$1212,MATCH(B983,'01_Anggota'!$D$5:$D$1212,0))))</f>
        <v/>
      </c>
      <c r="D983" s="21"/>
      <c r="E983" s="23"/>
      <c r="F983" s="23"/>
      <c r="G983" s="23">
        <f>PinjamanTable[[#This Row],[Pokok (Rp) *]]+PinjamanTable[[#This Row],[Admin (Rp)]]</f>
        <v>0</v>
      </c>
      <c r="H983" s="24"/>
      <c r="I983" s="22"/>
      <c r="J983" s="21"/>
      <c r="K983" s="21"/>
    </row>
    <row r="984" spans="1:11" ht="21" customHeight="1">
      <c r="A984" s="21"/>
      <c r="B984" s="21"/>
      <c r="C984" s="20" t="str">
        <f>IF(B984="","",IF(COUNTIF('01_Anggota'!$D$5:$D$1212,B984)=0,"NAMA TIDAK DITEMUKAN",INDEX('01_Anggota'!$B$5:$B$1212,MATCH(B984,'01_Anggota'!$D$5:$D$1212,0))))</f>
        <v/>
      </c>
      <c r="D984" s="21"/>
      <c r="E984" s="23"/>
      <c r="F984" s="23"/>
      <c r="G984" s="23">
        <f>PinjamanTable[[#This Row],[Pokok (Rp) *]]+PinjamanTable[[#This Row],[Admin (Rp)]]</f>
        <v>0</v>
      </c>
      <c r="H984" s="24"/>
      <c r="I984" s="22"/>
      <c r="J984" s="21"/>
      <c r="K984" s="21"/>
    </row>
    <row r="985" spans="1:11" ht="21" customHeight="1">
      <c r="A985" s="21"/>
      <c r="B985" s="21"/>
      <c r="C985" s="20" t="str">
        <f>IF(B985="","",IF(COUNTIF('01_Anggota'!$D$5:$D$1212,B985)=0,"NAMA TIDAK DITEMUKAN",INDEX('01_Anggota'!$B$5:$B$1212,MATCH(B985,'01_Anggota'!$D$5:$D$1212,0))))</f>
        <v/>
      </c>
      <c r="D985" s="21"/>
      <c r="E985" s="23"/>
      <c r="F985" s="23"/>
      <c r="G985" s="23">
        <f>PinjamanTable[[#This Row],[Pokok (Rp) *]]+PinjamanTable[[#This Row],[Admin (Rp)]]</f>
        <v>0</v>
      </c>
      <c r="H985" s="24"/>
      <c r="I985" s="22"/>
      <c r="J985" s="21"/>
      <c r="K985" s="21"/>
    </row>
    <row r="986" spans="1:11" ht="21" customHeight="1">
      <c r="A986" s="21"/>
      <c r="B986" s="21"/>
      <c r="C986" s="20" t="str">
        <f>IF(B986="","",IF(COUNTIF('01_Anggota'!$D$5:$D$1212,B986)=0,"NAMA TIDAK DITEMUKAN",INDEX('01_Anggota'!$B$5:$B$1212,MATCH(B986,'01_Anggota'!$D$5:$D$1212,0))))</f>
        <v/>
      </c>
      <c r="D986" s="21"/>
      <c r="E986" s="23"/>
      <c r="F986" s="23"/>
      <c r="G986" s="23">
        <f>PinjamanTable[[#This Row],[Pokok (Rp) *]]+PinjamanTable[[#This Row],[Admin (Rp)]]</f>
        <v>0</v>
      </c>
      <c r="H986" s="24"/>
      <c r="I986" s="22"/>
      <c r="J986" s="21"/>
      <c r="K986" s="21"/>
    </row>
    <row r="987" spans="1:11" ht="21" customHeight="1">
      <c r="A987" s="21"/>
      <c r="B987" s="21"/>
      <c r="C987" s="20" t="str">
        <f>IF(B987="","",IF(COUNTIF('01_Anggota'!$D$5:$D$1212,B987)=0,"NAMA TIDAK DITEMUKAN",INDEX('01_Anggota'!$B$5:$B$1212,MATCH(B987,'01_Anggota'!$D$5:$D$1212,0))))</f>
        <v/>
      </c>
      <c r="D987" s="21"/>
      <c r="E987" s="23"/>
      <c r="F987" s="23"/>
      <c r="G987" s="23">
        <f>PinjamanTable[[#This Row],[Pokok (Rp) *]]+PinjamanTable[[#This Row],[Admin (Rp)]]</f>
        <v>0</v>
      </c>
      <c r="H987" s="24"/>
      <c r="I987" s="22"/>
      <c r="J987" s="21"/>
      <c r="K987" s="21"/>
    </row>
    <row r="988" spans="1:11" ht="21" customHeight="1">
      <c r="A988" s="21"/>
      <c r="B988" s="21"/>
      <c r="C988" s="20" t="str">
        <f>IF(B988="","",IF(COUNTIF('01_Anggota'!$D$5:$D$1212,B988)=0,"NAMA TIDAK DITEMUKAN",INDEX('01_Anggota'!$B$5:$B$1212,MATCH(B988,'01_Anggota'!$D$5:$D$1212,0))))</f>
        <v/>
      </c>
      <c r="D988" s="21"/>
      <c r="E988" s="23"/>
      <c r="F988" s="23"/>
      <c r="G988" s="23">
        <f>PinjamanTable[[#This Row],[Pokok (Rp) *]]+PinjamanTable[[#This Row],[Admin (Rp)]]</f>
        <v>0</v>
      </c>
      <c r="H988" s="24"/>
      <c r="I988" s="22"/>
      <c r="J988" s="21"/>
      <c r="K988" s="21"/>
    </row>
    <row r="989" spans="1:11" ht="21" customHeight="1">
      <c r="A989" s="21"/>
      <c r="B989" s="21"/>
      <c r="C989" s="20" t="str">
        <f>IF(B989="","",IF(COUNTIF('01_Anggota'!$D$5:$D$1212,B989)=0,"NAMA TIDAK DITEMUKAN",INDEX('01_Anggota'!$B$5:$B$1212,MATCH(B989,'01_Anggota'!$D$5:$D$1212,0))))</f>
        <v/>
      </c>
      <c r="D989" s="21"/>
      <c r="E989" s="23"/>
      <c r="F989" s="23"/>
      <c r="G989" s="23">
        <f>PinjamanTable[[#This Row],[Pokok (Rp) *]]+PinjamanTable[[#This Row],[Admin (Rp)]]</f>
        <v>0</v>
      </c>
      <c r="H989" s="24"/>
      <c r="I989" s="22"/>
      <c r="J989" s="21"/>
      <c r="K989" s="21"/>
    </row>
    <row r="990" spans="1:11" ht="21" customHeight="1">
      <c r="A990" s="21"/>
      <c r="B990" s="21"/>
      <c r="C990" s="20" t="str">
        <f>IF(B990="","",IF(COUNTIF('01_Anggota'!$D$5:$D$1212,B990)=0,"NAMA TIDAK DITEMUKAN",INDEX('01_Anggota'!$B$5:$B$1212,MATCH(B990,'01_Anggota'!$D$5:$D$1212,0))))</f>
        <v/>
      </c>
      <c r="D990" s="21"/>
      <c r="E990" s="23"/>
      <c r="F990" s="23"/>
      <c r="G990" s="23">
        <f>PinjamanTable[[#This Row],[Pokok (Rp) *]]+PinjamanTable[[#This Row],[Admin (Rp)]]</f>
        <v>0</v>
      </c>
      <c r="H990" s="24"/>
      <c r="I990" s="22"/>
      <c r="J990" s="21"/>
      <c r="K990" s="21"/>
    </row>
    <row r="991" spans="1:11" ht="21" customHeight="1">
      <c r="A991" s="21"/>
      <c r="B991" s="21"/>
      <c r="C991" s="20" t="str">
        <f>IF(B991="","",IF(COUNTIF('01_Anggota'!$D$5:$D$1212,B991)=0,"NAMA TIDAK DITEMUKAN",INDEX('01_Anggota'!$B$5:$B$1212,MATCH(B991,'01_Anggota'!$D$5:$D$1212,0))))</f>
        <v/>
      </c>
      <c r="D991" s="21"/>
      <c r="E991" s="23"/>
      <c r="F991" s="23"/>
      <c r="G991" s="23">
        <f>PinjamanTable[[#This Row],[Pokok (Rp) *]]+PinjamanTable[[#This Row],[Admin (Rp)]]</f>
        <v>0</v>
      </c>
      <c r="H991" s="24"/>
      <c r="I991" s="22"/>
      <c r="J991" s="21"/>
      <c r="K991" s="21"/>
    </row>
    <row r="992" spans="1:11" ht="21" customHeight="1">
      <c r="A992" s="21"/>
      <c r="B992" s="21"/>
      <c r="C992" s="20" t="str">
        <f>IF(B992="","",IF(COUNTIF('01_Anggota'!$D$5:$D$1212,B992)=0,"NAMA TIDAK DITEMUKAN",INDEX('01_Anggota'!$B$5:$B$1212,MATCH(B992,'01_Anggota'!$D$5:$D$1212,0))))</f>
        <v/>
      </c>
      <c r="D992" s="21"/>
      <c r="E992" s="23"/>
      <c r="F992" s="23"/>
      <c r="G992" s="23">
        <f>PinjamanTable[[#This Row],[Pokok (Rp) *]]+PinjamanTable[[#This Row],[Admin (Rp)]]</f>
        <v>0</v>
      </c>
      <c r="H992" s="24"/>
      <c r="I992" s="22"/>
      <c r="J992" s="21"/>
      <c r="K992" s="21"/>
    </row>
    <row r="993" spans="1:11" ht="21" customHeight="1">
      <c r="A993" s="21"/>
      <c r="B993" s="21"/>
      <c r="C993" s="20" t="str">
        <f>IF(B993="","",IF(COUNTIF('01_Anggota'!$D$5:$D$1212,B993)=0,"NAMA TIDAK DITEMUKAN",INDEX('01_Anggota'!$B$5:$B$1212,MATCH(B993,'01_Anggota'!$D$5:$D$1212,0))))</f>
        <v/>
      </c>
      <c r="D993" s="21"/>
      <c r="E993" s="23"/>
      <c r="F993" s="23"/>
      <c r="G993" s="23">
        <f>PinjamanTable[[#This Row],[Pokok (Rp) *]]+PinjamanTable[[#This Row],[Admin (Rp)]]</f>
        <v>0</v>
      </c>
      <c r="H993" s="24"/>
      <c r="I993" s="22"/>
      <c r="J993" s="21"/>
      <c r="K993" s="21"/>
    </row>
    <row r="994" spans="1:11" ht="21" customHeight="1">
      <c r="A994" s="21"/>
      <c r="B994" s="21"/>
      <c r="C994" s="20" t="str">
        <f>IF(B994="","",IF(COUNTIF('01_Anggota'!$D$5:$D$1212,B994)=0,"NAMA TIDAK DITEMUKAN",INDEX('01_Anggota'!$B$5:$B$1212,MATCH(B994,'01_Anggota'!$D$5:$D$1212,0))))</f>
        <v/>
      </c>
      <c r="D994" s="21"/>
      <c r="E994" s="23"/>
      <c r="F994" s="23"/>
      <c r="G994" s="23">
        <f>PinjamanTable[[#This Row],[Pokok (Rp) *]]+PinjamanTable[[#This Row],[Admin (Rp)]]</f>
        <v>0</v>
      </c>
      <c r="H994" s="24"/>
      <c r="I994" s="22"/>
      <c r="J994" s="21"/>
      <c r="K994" s="21"/>
    </row>
    <row r="995" spans="1:11" ht="21" customHeight="1">
      <c r="A995" s="21"/>
      <c r="B995" s="21"/>
      <c r="C995" s="20" t="str">
        <f>IF(B995="","",IF(COUNTIF('01_Anggota'!$D$5:$D$1212,B995)=0,"NAMA TIDAK DITEMUKAN",INDEX('01_Anggota'!$B$5:$B$1212,MATCH(B995,'01_Anggota'!$D$5:$D$1212,0))))</f>
        <v/>
      </c>
      <c r="D995" s="21"/>
      <c r="E995" s="23"/>
      <c r="F995" s="23"/>
      <c r="G995" s="23">
        <f>PinjamanTable[[#This Row],[Pokok (Rp) *]]+PinjamanTable[[#This Row],[Admin (Rp)]]</f>
        <v>0</v>
      </c>
      <c r="H995" s="24"/>
      <c r="I995" s="22"/>
      <c r="J995" s="21"/>
      <c r="K995" s="21"/>
    </row>
    <row r="996" spans="1:11" ht="21" customHeight="1">
      <c r="A996" s="21"/>
      <c r="B996" s="21"/>
      <c r="C996" s="20" t="str">
        <f>IF(B996="","",IF(COUNTIF('01_Anggota'!$D$5:$D$1212,B996)=0,"NAMA TIDAK DITEMUKAN",INDEX('01_Anggota'!$B$5:$B$1212,MATCH(B996,'01_Anggota'!$D$5:$D$1212,0))))</f>
        <v/>
      </c>
      <c r="D996" s="21"/>
      <c r="E996" s="23"/>
      <c r="F996" s="23"/>
      <c r="G996" s="23">
        <f>PinjamanTable[[#This Row],[Pokok (Rp) *]]+PinjamanTable[[#This Row],[Admin (Rp)]]</f>
        <v>0</v>
      </c>
      <c r="H996" s="24"/>
      <c r="I996" s="22"/>
      <c r="J996" s="21"/>
      <c r="K996" s="21"/>
    </row>
    <row r="997" spans="1:11" ht="21" customHeight="1">
      <c r="A997" s="21"/>
      <c r="B997" s="21"/>
      <c r="C997" s="20" t="str">
        <f>IF(B997="","",IF(COUNTIF('01_Anggota'!$D$5:$D$1212,B997)=0,"NAMA TIDAK DITEMUKAN",INDEX('01_Anggota'!$B$5:$B$1212,MATCH(B997,'01_Anggota'!$D$5:$D$1212,0))))</f>
        <v/>
      </c>
      <c r="D997" s="21"/>
      <c r="E997" s="23"/>
      <c r="F997" s="23"/>
      <c r="G997" s="23">
        <f>PinjamanTable[[#This Row],[Pokok (Rp) *]]+PinjamanTable[[#This Row],[Admin (Rp)]]</f>
        <v>0</v>
      </c>
      <c r="H997" s="24"/>
      <c r="I997" s="22"/>
      <c r="J997" s="21"/>
      <c r="K997" s="21"/>
    </row>
    <row r="998" spans="1:11" ht="21" customHeight="1">
      <c r="A998" s="21"/>
      <c r="B998" s="21"/>
      <c r="C998" s="20" t="str">
        <f>IF(B998="","",IF(COUNTIF('01_Anggota'!$D$5:$D$1212,B998)=0,"NAMA TIDAK DITEMUKAN",INDEX('01_Anggota'!$B$5:$B$1212,MATCH(B998,'01_Anggota'!$D$5:$D$1212,0))))</f>
        <v/>
      </c>
      <c r="D998" s="21"/>
      <c r="E998" s="23"/>
      <c r="F998" s="23"/>
      <c r="G998" s="23">
        <f>PinjamanTable[[#This Row],[Pokok (Rp) *]]+PinjamanTable[[#This Row],[Admin (Rp)]]</f>
        <v>0</v>
      </c>
      <c r="H998" s="24"/>
      <c r="I998" s="22"/>
      <c r="J998" s="21"/>
      <c r="K998" s="21"/>
    </row>
    <row r="999" spans="1:11" ht="21" customHeight="1">
      <c r="A999" s="21"/>
      <c r="B999" s="21"/>
      <c r="C999" s="20" t="str">
        <f>IF(B999="","",IF(COUNTIF('01_Anggota'!$D$5:$D$1212,B999)=0,"NAMA TIDAK DITEMUKAN",INDEX('01_Anggota'!$B$5:$B$1212,MATCH(B999,'01_Anggota'!$D$5:$D$1212,0))))</f>
        <v/>
      </c>
      <c r="D999" s="21"/>
      <c r="E999" s="23"/>
      <c r="F999" s="23"/>
      <c r="G999" s="23">
        <f>PinjamanTable[[#This Row],[Pokok (Rp) *]]+PinjamanTable[[#This Row],[Admin (Rp)]]</f>
        <v>0</v>
      </c>
      <c r="H999" s="24"/>
      <c r="I999" s="22"/>
      <c r="J999" s="21"/>
      <c r="K999" s="21"/>
    </row>
    <row r="1000" spans="1:11" ht="21" customHeight="1">
      <c r="A1000" s="21"/>
      <c r="B1000" s="21"/>
      <c r="C1000" s="20" t="str">
        <f>IF(B1000="","",IF(COUNTIF('01_Anggota'!$D$5:$D$1212,B1000)=0,"NAMA TIDAK DITEMUKAN",INDEX('01_Anggota'!$B$5:$B$1212,MATCH(B1000,'01_Anggota'!$D$5:$D$1212,0))))</f>
        <v/>
      </c>
      <c r="D1000" s="21"/>
      <c r="E1000" s="23"/>
      <c r="F1000" s="23"/>
      <c r="G1000" s="23">
        <f>PinjamanTable[[#This Row],[Pokok (Rp) *]]+PinjamanTable[[#This Row],[Admin (Rp)]]</f>
        <v>0</v>
      </c>
      <c r="H1000" s="24"/>
      <c r="I1000" s="22"/>
      <c r="J1000" s="21"/>
      <c r="K1000" s="21"/>
    </row>
    <row r="1001" spans="1:11" ht="21" customHeight="1">
      <c r="A1001" s="21"/>
      <c r="B1001" s="21"/>
      <c r="C1001" s="20" t="str">
        <f>IF(B1001="","",IF(COUNTIF('01_Anggota'!$D$5:$D$1212,B1001)=0,"NAMA TIDAK DITEMUKAN",INDEX('01_Anggota'!$B$5:$B$1212,MATCH(B1001,'01_Anggota'!$D$5:$D$1212,0))))</f>
        <v/>
      </c>
      <c r="D1001" s="21"/>
      <c r="E1001" s="23"/>
      <c r="F1001" s="23"/>
      <c r="G1001" s="23">
        <f>PinjamanTable[[#This Row],[Pokok (Rp) *]]+PinjamanTable[[#This Row],[Admin (Rp)]]</f>
        <v>0</v>
      </c>
      <c r="H1001" s="24"/>
      <c r="I1001" s="22"/>
      <c r="J1001" s="21"/>
      <c r="K1001" s="21"/>
    </row>
    <row r="1002" spans="1:11" ht="21" customHeight="1">
      <c r="A1002" s="21"/>
      <c r="B1002" s="21"/>
      <c r="C1002" s="20" t="str">
        <f>IF(B1002="","",IF(COUNTIF('01_Anggota'!$D$5:$D$1212,B1002)=0,"NAMA TIDAK DITEMUKAN",INDEX('01_Anggota'!$B$5:$B$1212,MATCH(B1002,'01_Anggota'!$D$5:$D$1212,0))))</f>
        <v/>
      </c>
      <c r="D1002" s="21"/>
      <c r="E1002" s="23"/>
      <c r="F1002" s="23"/>
      <c r="G1002" s="23">
        <f>PinjamanTable[[#This Row],[Pokok (Rp) *]]+PinjamanTable[[#This Row],[Admin (Rp)]]</f>
        <v>0</v>
      </c>
      <c r="H1002" s="24"/>
      <c r="I1002" s="22"/>
      <c r="J1002" s="21"/>
      <c r="K1002" s="21"/>
    </row>
    <row r="1003" spans="1:11" ht="21" customHeight="1">
      <c r="A1003" s="21"/>
      <c r="B1003" s="21"/>
      <c r="C1003" s="20" t="str">
        <f>IF(B1003="","",IF(COUNTIF('01_Anggota'!$D$5:$D$1212,B1003)=0,"NAMA TIDAK DITEMUKAN",INDEX('01_Anggota'!$B$5:$B$1212,MATCH(B1003,'01_Anggota'!$D$5:$D$1212,0))))</f>
        <v/>
      </c>
      <c r="D1003" s="21"/>
      <c r="E1003" s="23"/>
      <c r="F1003" s="23"/>
      <c r="G1003" s="23">
        <f>PinjamanTable[[#This Row],[Pokok (Rp) *]]+PinjamanTable[[#This Row],[Admin (Rp)]]</f>
        <v>0</v>
      </c>
      <c r="H1003" s="24"/>
      <c r="I1003" s="22"/>
      <c r="J1003" s="21"/>
      <c r="K1003" s="21"/>
    </row>
    <row r="1004" spans="1:11" ht="21" customHeight="1">
      <c r="A1004" s="21"/>
      <c r="B1004" s="21"/>
      <c r="C1004" s="20" t="str">
        <f>IF(B1004="","",IF(COUNTIF('01_Anggota'!$D$5:$D$1212,B1004)=0,"NAMA TIDAK DITEMUKAN",INDEX('01_Anggota'!$B$5:$B$1212,MATCH(B1004,'01_Anggota'!$D$5:$D$1212,0))))</f>
        <v/>
      </c>
      <c r="D1004" s="21"/>
      <c r="E1004" s="23"/>
      <c r="F1004" s="23"/>
      <c r="G1004" s="23">
        <f>PinjamanTable[[#This Row],[Pokok (Rp) *]]+PinjamanTable[[#This Row],[Admin (Rp)]]</f>
        <v>0</v>
      </c>
      <c r="H1004" s="24"/>
      <c r="I1004" s="22"/>
      <c r="J1004" s="21"/>
      <c r="K1004" s="21"/>
    </row>
  </sheetData>
  <dataValidations count="5">
    <dataValidation type="list" sqref="B5:B1004" xr:uid="{00000000-0002-0000-0300-000000000000}">
      <formula1>INDIRECT("'01_Anggota'!$D$5:$D$1004")</formula1>
    </dataValidation>
    <dataValidation type="list" allowBlank="1" sqref="D5:D1004" xr:uid="{00000000-0002-0000-0300-000001000000}">
      <formula1>"Reguler,Barang Sekunder,Belanja / Paylater"</formula1>
    </dataValidation>
    <dataValidation type="list" allowBlank="1" sqref="J5:J1004" xr:uid="{00000000-0002-0000-0300-000002000000}">
      <formula1>"Berjalan,Lunas,Macet"</formula1>
    </dataValidation>
    <dataValidation type="list" sqref="L5:L1004" xr:uid="{00000000-0002-0000-0300-000003000000}">
      <formula1>"Berjalan,Lunas,Perlu Dicek"</formula1>
    </dataValidation>
    <dataValidation type="list" sqref="M5:M1004" xr:uid="{00000000-0002-0000-0300-000004000000}">
      <formula1>"Ya,Tidak"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4"/>
  <sheetViews>
    <sheetView showGridLines="0" tabSelected="1" workbookViewId="0">
      <pane ySplit="4" topLeftCell="A505" activePane="bottomLeft" state="frozen"/>
      <selection pane="bottomLeft" activeCell="B523" sqref="B518:B523"/>
    </sheetView>
  </sheetViews>
  <sheetFormatPr baseColWidth="10" defaultColWidth="9" defaultRowHeight="14"/>
  <cols>
    <col min="1" max="1" width="21" customWidth="1"/>
    <col min="2" max="2" width="18" customWidth="1"/>
    <col min="3" max="3" width="26" customWidth="1"/>
    <col min="4" max="4" width="18" customWidth="1"/>
    <col min="5" max="6" width="16" customWidth="1"/>
    <col min="7" max="7" width="34" customWidth="1"/>
    <col min="8" max="8" width="12" customWidth="1"/>
    <col min="9" max="9" width="14" customWidth="1"/>
    <col min="10" max="10" width="44" customWidth="1"/>
  </cols>
  <sheetData>
    <row r="1" spans="1:7" ht="24" customHeight="1">
      <c r="A1" s="17" t="s">
        <v>85</v>
      </c>
      <c r="B1" s="18"/>
      <c r="C1" s="18"/>
      <c r="D1" s="18"/>
      <c r="E1" s="18"/>
      <c r="F1" s="18"/>
      <c r="G1" s="18"/>
    </row>
    <row r="2" spans="1:7" ht="22" customHeight="1">
      <c r="A2" s="19" t="s">
        <v>86</v>
      </c>
      <c r="B2" s="18"/>
      <c r="C2" s="18"/>
      <c r="D2" s="18"/>
      <c r="E2" s="18"/>
      <c r="F2" s="18"/>
      <c r="G2" s="18"/>
    </row>
    <row r="3" spans="1:7">
      <c r="A3" s="18"/>
      <c r="B3" s="18"/>
      <c r="C3" s="18"/>
      <c r="D3" s="18"/>
      <c r="E3" s="18"/>
      <c r="F3" s="18"/>
      <c r="G3" s="18"/>
    </row>
    <row r="4" spans="1:7" ht="35" customHeight="1">
      <c r="A4" s="5" t="s">
        <v>87</v>
      </c>
      <c r="B4" s="5" t="s">
        <v>78</v>
      </c>
      <c r="C4" s="5" t="s">
        <v>88</v>
      </c>
      <c r="D4" s="5" t="s">
        <v>71</v>
      </c>
      <c r="E4" s="5" t="s">
        <v>89</v>
      </c>
      <c r="F4" s="5" t="s">
        <v>90</v>
      </c>
      <c r="G4" s="5" t="s">
        <v>67</v>
      </c>
    </row>
    <row r="5" spans="1:7" ht="21" customHeight="1">
      <c r="A5" s="20">
        <f t="shared" ref="A5:A68" si="0">IF(B5="","",ROW()-4)</f>
        <v>1</v>
      </c>
      <c r="B5" s="21">
        <v>1</v>
      </c>
      <c r="C5" s="20" t="str">
        <f>IF(B5="","",IF(COUNTIF('04_Pinjaman'!$A$5:$A$1004,B5)=0,"NO PINJAMAN TIDAK DITEMUKAN",INDEX('04_Pinjaman'!$B$5:$B$1004,MATCH(B5,'04_Pinjaman'!$A$5:$A$1004,0))))</f>
        <v>Abdul Cahyo Nugroho</v>
      </c>
      <c r="D5" s="20" t="str">
        <f>IF(B5="","",IF(COUNTIF('04_Pinjaman'!$A$5:$A$1004,B5)=0,"NPP TIDAK DITEMUKAN",INDEX('04_Pinjaman'!$C$5:$C$1004,MATCH(B5,'04_Pinjaman'!$A$5:$A$1004,0))))</f>
        <v>KKSUK-000001</v>
      </c>
      <c r="E5" s="22">
        <v>46045</v>
      </c>
      <c r="F5" s="23">
        <v>660000</v>
      </c>
      <c r="G5" s="21"/>
    </row>
    <row r="6" spans="1:7" ht="21" customHeight="1">
      <c r="A6" s="20">
        <f t="shared" si="0"/>
        <v>2</v>
      </c>
      <c r="B6" s="21">
        <v>1</v>
      </c>
      <c r="C6" s="20" t="str">
        <f>IF(B6="","",IF(COUNTIF('04_Pinjaman'!$A$5:$A$1004,B6)=0,"NO PINJAMAN TIDAK DITEMUKAN",INDEX('04_Pinjaman'!$B$5:$B$1004,MATCH(B6,'04_Pinjaman'!$A$5:$A$1004,0))))</f>
        <v>Abdul Cahyo Nugroho</v>
      </c>
      <c r="D6" s="20" t="str">
        <f>IF(B6="","",IF(COUNTIF('04_Pinjaman'!$A$5:$A$1004,B6)=0,"NPP TIDAK DITEMUKAN",INDEX('04_Pinjaman'!$C$5:$C$1004,MATCH(B6,'04_Pinjaman'!$A$5:$A$1004,0))))</f>
        <v>KKSUK-000001</v>
      </c>
      <c r="E6" s="22">
        <v>46078</v>
      </c>
      <c r="F6" s="23">
        <v>660000</v>
      </c>
      <c r="G6" s="21"/>
    </row>
    <row r="7" spans="1:7" ht="21" customHeight="1">
      <c r="A7" s="20">
        <f t="shared" si="0"/>
        <v>3</v>
      </c>
      <c r="B7" s="21">
        <v>1</v>
      </c>
      <c r="C7" s="20" t="str">
        <f>IF(B7="","",IF(COUNTIF('04_Pinjaman'!$A$5:$A$1004,B7)=0,"NO PINJAMAN TIDAK DITEMUKAN",INDEX('04_Pinjaman'!$B$5:$B$1004,MATCH(B7,'04_Pinjaman'!$A$5:$A$1004,0))))</f>
        <v>Abdul Cahyo Nugroho</v>
      </c>
      <c r="D7" s="20" t="str">
        <f>IF(B7="","",IF(COUNTIF('04_Pinjaman'!$A$5:$A$1004,B7)=0,"NPP TIDAK DITEMUKAN",INDEX('04_Pinjaman'!$C$5:$C$1004,MATCH(B7,'04_Pinjaman'!$A$5:$A$1004,0))))</f>
        <v>KKSUK-000001</v>
      </c>
      <c r="E7" s="22">
        <v>46106</v>
      </c>
      <c r="F7" s="23">
        <v>660000</v>
      </c>
      <c r="G7" s="21"/>
    </row>
    <row r="8" spans="1:7" ht="21" customHeight="1">
      <c r="A8" s="20">
        <f t="shared" si="0"/>
        <v>4</v>
      </c>
      <c r="B8" s="21">
        <v>1</v>
      </c>
      <c r="C8" s="20" t="str">
        <f>IF(B8="","",IF(COUNTIF('04_Pinjaman'!$A$5:$A$1004,B8)=0,"NO PINJAMAN TIDAK DITEMUKAN",INDEX('04_Pinjaman'!$B$5:$B$1004,MATCH(B8,'04_Pinjaman'!$A$5:$A$1004,0))))</f>
        <v>Abdul Cahyo Nugroho</v>
      </c>
      <c r="D8" s="20" t="str">
        <f>IF(B8="","",IF(COUNTIF('04_Pinjaman'!$A$5:$A$1004,B8)=0,"NPP TIDAK DITEMUKAN",INDEX('04_Pinjaman'!$C$5:$C$1004,MATCH(B8,'04_Pinjaman'!$A$5:$A$1004,0))))</f>
        <v>KKSUK-000001</v>
      </c>
      <c r="E8" s="22">
        <v>46136</v>
      </c>
      <c r="F8" s="23">
        <v>660000</v>
      </c>
      <c r="G8" s="21"/>
    </row>
    <row r="9" spans="1:7" ht="21" customHeight="1">
      <c r="A9" s="20">
        <f t="shared" si="0"/>
        <v>5</v>
      </c>
      <c r="B9" s="21">
        <v>1</v>
      </c>
      <c r="C9" s="20" t="str">
        <f>IF(B9="","",IF(COUNTIF('04_Pinjaman'!$A$5:$A$1004,B9)=0,"NO PINJAMAN TIDAK DITEMUKAN",INDEX('04_Pinjaman'!$B$5:$B$1004,MATCH(B9,'04_Pinjaman'!$A$5:$A$1004,0))))</f>
        <v>Abdul Cahyo Nugroho</v>
      </c>
      <c r="D9" s="20" t="str">
        <f>IF(B9="","",IF(COUNTIF('04_Pinjaman'!$A$5:$A$1004,B9)=0,"NPP TIDAK DITEMUKAN",INDEX('04_Pinjaman'!$C$5:$C$1004,MATCH(B9,'04_Pinjaman'!$A$5:$A$1004,0))))</f>
        <v>KKSUK-000001</v>
      </c>
      <c r="E9" s="22">
        <v>46167</v>
      </c>
      <c r="F9" s="23">
        <v>660000</v>
      </c>
      <c r="G9" s="21"/>
    </row>
    <row r="10" spans="1:7" ht="21" customHeight="1">
      <c r="A10" s="20">
        <f t="shared" si="0"/>
        <v>6</v>
      </c>
      <c r="B10" s="21">
        <v>2</v>
      </c>
      <c r="C10" s="20" t="str">
        <f>IF(B10="","",IF(COUNTIF('04_Pinjaman'!$A$5:$A$1004,B10)=0,"NO PINJAMAN TIDAK DITEMUKAN",INDEX('04_Pinjaman'!$B$5:$B$1004,MATCH(B10,'04_Pinjaman'!$A$5:$A$1004,0))))</f>
        <v>Abdul Cahyo Nugroho</v>
      </c>
      <c r="D10" s="20" t="str">
        <f>IF(B10="","",IF(COUNTIF('04_Pinjaman'!$A$5:$A$1004,B10)=0,"NPP TIDAK DITEMUKAN",INDEX('04_Pinjaman'!$C$5:$C$1004,MATCH(B10,'04_Pinjaman'!$A$5:$A$1004,0))))</f>
        <v>KKSUK-000001</v>
      </c>
      <c r="E10" s="22">
        <v>46198</v>
      </c>
      <c r="F10" s="23">
        <v>3030000</v>
      </c>
      <c r="G10" s="21"/>
    </row>
    <row r="11" spans="1:7" ht="21" customHeight="1">
      <c r="A11" s="20">
        <f t="shared" si="0"/>
        <v>7</v>
      </c>
      <c r="B11" s="21">
        <v>1</v>
      </c>
      <c r="C11" s="20" t="str">
        <f>IF(B11="","",IF(COUNTIF('04_Pinjaman'!$A$5:$A$1004,B11)=0,"NO PINJAMAN TIDAK DITEMUKAN",INDEX('04_Pinjaman'!$B$5:$B$1004,MATCH(B11,'04_Pinjaman'!$A$5:$A$1004,0))))</f>
        <v>Abdul Cahyo Nugroho</v>
      </c>
      <c r="D11" s="20" t="str">
        <f>IF(B11="","",IF(COUNTIF('04_Pinjaman'!$A$5:$A$1004,B11)=0,"NPP TIDAK DITEMUKAN",INDEX('04_Pinjaman'!$C$5:$C$1004,MATCH(B11,'04_Pinjaman'!$A$5:$A$1004,0))))</f>
        <v>KKSUK-000001</v>
      </c>
      <c r="E11" s="22">
        <v>46198</v>
      </c>
      <c r="F11" s="23">
        <v>660000</v>
      </c>
      <c r="G11" s="21"/>
    </row>
    <row r="12" spans="1:7" ht="21" customHeight="1">
      <c r="A12" s="20">
        <f t="shared" si="0"/>
        <v>8</v>
      </c>
      <c r="B12" s="21">
        <v>1</v>
      </c>
      <c r="C12" s="20" t="str">
        <f>IF(B12="","",IF(COUNTIF('04_Pinjaman'!$A$5:$A$1004,B12)=0,"NO PINJAMAN TIDAK DITEMUKAN",INDEX('04_Pinjaman'!$B$5:$B$1004,MATCH(B12,'04_Pinjaman'!$A$5:$A$1004,0))))</f>
        <v>Abdul Cahyo Nugroho</v>
      </c>
      <c r="D12" s="20" t="str">
        <f>IF(B12="","",IF(COUNTIF('04_Pinjaman'!$A$5:$A$1004,B12)=0,"NPP TIDAK DITEMUKAN",INDEX('04_Pinjaman'!$C$5:$C$1004,MATCH(B12,'04_Pinjaman'!$A$5:$A$1004,0))))</f>
        <v>KKSUK-000001</v>
      </c>
      <c r="E12" s="22">
        <v>46227</v>
      </c>
      <c r="F12" s="23">
        <v>660000</v>
      </c>
      <c r="G12" s="21"/>
    </row>
    <row r="13" spans="1:7" ht="21" customHeight="1">
      <c r="A13" s="20">
        <f t="shared" si="0"/>
        <v>9</v>
      </c>
      <c r="B13" s="21">
        <v>1</v>
      </c>
      <c r="C13" s="20" t="str">
        <f>IF(B13="","",IF(COUNTIF('04_Pinjaman'!$A$5:$A$1004,B13)=0,"NO PINJAMAN TIDAK DITEMUKAN",INDEX('04_Pinjaman'!$B$5:$B$1004,MATCH(B13,'04_Pinjaman'!$A$5:$A$1004,0))))</f>
        <v>Abdul Cahyo Nugroho</v>
      </c>
      <c r="D13" s="20" t="str">
        <f>IF(B13="","",IF(COUNTIF('04_Pinjaman'!$A$5:$A$1004,B13)=0,"NPP TIDAK DITEMUKAN",INDEX('04_Pinjaman'!$C$5:$C$1004,MATCH(B13,'04_Pinjaman'!$A$5:$A$1004,0))))</f>
        <v>KKSUK-000001</v>
      </c>
      <c r="E13" s="22">
        <v>46258</v>
      </c>
      <c r="F13" s="23">
        <v>660000</v>
      </c>
      <c r="G13" s="21"/>
    </row>
    <row r="14" spans="1:7" ht="21" customHeight="1">
      <c r="A14" s="20">
        <f t="shared" si="0"/>
        <v>10</v>
      </c>
      <c r="B14" s="21">
        <v>3</v>
      </c>
      <c r="C14" s="20" t="str">
        <f>IF(B14="","",IF(COUNTIF('04_Pinjaman'!$A$5:$A$1004,B14)=0,"NO PINJAMAN TIDAK DITEMUKAN",INDEX('04_Pinjaman'!$B$5:$B$1004,MATCH(B14,'04_Pinjaman'!$A$5:$A$1004,0))))</f>
        <v>Ade Kurnia</v>
      </c>
      <c r="D14" s="20" t="str">
        <f>IF(B14="","",IF(COUNTIF('04_Pinjaman'!$A$5:$A$1004,B14)=0,"NPP TIDAK DITEMUKAN",INDEX('04_Pinjaman'!$C$5:$C$1004,MATCH(B14,'04_Pinjaman'!$A$5:$A$1004,0))))</f>
        <v>KKSUK-000120</v>
      </c>
      <c r="E14" s="22">
        <v>46176</v>
      </c>
      <c r="F14" s="23">
        <v>880000</v>
      </c>
      <c r="G14" s="21" t="s">
        <v>800</v>
      </c>
    </row>
    <row r="15" spans="1:7" ht="21" customHeight="1">
      <c r="A15" s="20">
        <f t="shared" si="0"/>
        <v>11</v>
      </c>
      <c r="B15" s="21">
        <v>4</v>
      </c>
      <c r="C15" s="20" t="str">
        <f>IF(B15="","",IF(COUNTIF('04_Pinjaman'!$A$5:$A$1004,B15)=0,"NO PINJAMAN TIDAK DITEMUKAN",INDEX('04_Pinjaman'!$B$5:$B$1004,MATCH(B15,'04_Pinjaman'!$A$5:$A$1004,0))))</f>
        <v>Ade Kurnia</v>
      </c>
      <c r="D15" s="20" t="str">
        <f>IF(B15="","",IF(COUNTIF('04_Pinjaman'!$A$5:$A$1004,B15)=0,"NPP TIDAK DITEMUKAN",INDEX('04_Pinjaman'!$C$5:$C$1004,MATCH(B15,'04_Pinjaman'!$A$5:$A$1004,0))))</f>
        <v>KKSUK-000120</v>
      </c>
      <c r="E15" s="22">
        <v>46078</v>
      </c>
      <c r="F15" s="23">
        <v>330000</v>
      </c>
      <c r="G15" s="21"/>
    </row>
    <row r="16" spans="1:7" ht="21" customHeight="1">
      <c r="A16" s="20">
        <f t="shared" si="0"/>
        <v>12</v>
      </c>
      <c r="B16" s="21">
        <v>4</v>
      </c>
      <c r="C16" s="20" t="str">
        <f>IF(B16="","",IF(COUNTIF('04_Pinjaman'!$A$5:$A$1004,B16)=0,"NO PINJAMAN TIDAK DITEMUKAN",INDEX('04_Pinjaman'!$B$5:$B$1004,MATCH(B16,'04_Pinjaman'!$A$5:$A$1004,0))))</f>
        <v>Ade Kurnia</v>
      </c>
      <c r="D16" s="20" t="str">
        <f>IF(B16="","",IF(COUNTIF('04_Pinjaman'!$A$5:$A$1004,B16)=0,"NPP TIDAK DITEMUKAN",INDEX('04_Pinjaman'!$C$5:$C$1004,MATCH(B16,'04_Pinjaman'!$A$5:$A$1004,0))))</f>
        <v>KKSUK-000120</v>
      </c>
      <c r="E16" s="22">
        <v>46106</v>
      </c>
      <c r="F16" s="23">
        <v>330000</v>
      </c>
      <c r="G16" s="21"/>
    </row>
    <row r="17" spans="1:7" ht="21" customHeight="1">
      <c r="A17" s="20">
        <f t="shared" si="0"/>
        <v>13</v>
      </c>
      <c r="B17" s="21">
        <v>4</v>
      </c>
      <c r="C17" s="20" t="str">
        <f>IF(B17="","",IF(COUNTIF('04_Pinjaman'!$A$5:$A$1004,B17)=0,"NO PINJAMAN TIDAK DITEMUKAN",INDEX('04_Pinjaman'!$B$5:$B$1004,MATCH(B17,'04_Pinjaman'!$A$5:$A$1004,0))))</f>
        <v>Ade Kurnia</v>
      </c>
      <c r="D17" s="20" t="str">
        <f>IF(B17="","",IF(COUNTIF('04_Pinjaman'!$A$5:$A$1004,B17)=0,"NPP TIDAK DITEMUKAN",INDEX('04_Pinjaman'!$C$5:$C$1004,MATCH(B17,'04_Pinjaman'!$A$5:$A$1004,0))))</f>
        <v>KKSUK-000120</v>
      </c>
      <c r="E17" s="22">
        <v>46136</v>
      </c>
      <c r="F17" s="23">
        <v>330000</v>
      </c>
      <c r="G17" s="21"/>
    </row>
    <row r="18" spans="1:7" ht="21" customHeight="1">
      <c r="A18" s="20">
        <f t="shared" si="0"/>
        <v>14</v>
      </c>
      <c r="B18" s="21">
        <v>4</v>
      </c>
      <c r="C18" s="20" t="str">
        <f>IF(B18="","",IF(COUNTIF('04_Pinjaman'!$A$5:$A$1004,B18)=0,"NO PINJAMAN TIDAK DITEMUKAN",INDEX('04_Pinjaman'!$B$5:$B$1004,MATCH(B18,'04_Pinjaman'!$A$5:$A$1004,0))))</f>
        <v>Ade Kurnia</v>
      </c>
      <c r="D18" s="20" t="str">
        <f>IF(B18="","",IF(COUNTIF('04_Pinjaman'!$A$5:$A$1004,B18)=0,"NPP TIDAK DITEMUKAN",INDEX('04_Pinjaman'!$C$5:$C$1004,MATCH(B18,'04_Pinjaman'!$A$5:$A$1004,0))))</f>
        <v>KKSUK-000120</v>
      </c>
      <c r="E18" s="22">
        <v>46167</v>
      </c>
      <c r="F18" s="23">
        <v>330000</v>
      </c>
      <c r="G18" s="21"/>
    </row>
    <row r="19" spans="1:7" ht="21" customHeight="1">
      <c r="A19" s="20">
        <f t="shared" si="0"/>
        <v>15</v>
      </c>
      <c r="B19" s="21">
        <v>4</v>
      </c>
      <c r="C19" s="20" t="str">
        <f>IF(B19="","",IF(COUNTIF('04_Pinjaman'!$A$5:$A$1004,B19)=0,"NO PINJAMAN TIDAK DITEMUKAN",INDEX('04_Pinjaman'!$B$5:$B$1004,MATCH(B19,'04_Pinjaman'!$A$5:$A$1004,0))))</f>
        <v>Ade Kurnia</v>
      </c>
      <c r="D19" s="20" t="str">
        <f>IF(B19="","",IF(COUNTIF('04_Pinjaman'!$A$5:$A$1004,B19)=0,"NPP TIDAK DITEMUKAN",INDEX('04_Pinjaman'!$C$5:$C$1004,MATCH(B19,'04_Pinjaman'!$A$5:$A$1004,0))))</f>
        <v>KKSUK-000120</v>
      </c>
      <c r="E19" s="22">
        <v>46176</v>
      </c>
      <c r="F19" s="23">
        <v>2860000</v>
      </c>
      <c r="G19" s="21" t="s">
        <v>800</v>
      </c>
    </row>
    <row r="20" spans="1:7" ht="21" customHeight="1">
      <c r="A20" s="20">
        <f t="shared" si="0"/>
        <v>16</v>
      </c>
      <c r="B20" s="21">
        <v>5</v>
      </c>
      <c r="C20" s="20" t="str">
        <f>IF(B20="","",IF(COUNTIF('04_Pinjaman'!$A$5:$A$1004,B20)=0,"NO PINJAMAN TIDAK DITEMUKAN",INDEX('04_Pinjaman'!$B$5:$B$1004,MATCH(B20,'04_Pinjaman'!$A$5:$A$1004,0))))</f>
        <v>Ade Kurnia</v>
      </c>
      <c r="D20" s="20" t="str">
        <f>IF(B20="","",IF(COUNTIF('04_Pinjaman'!$A$5:$A$1004,B20)=0,"NPP TIDAK DITEMUKAN",INDEX('04_Pinjaman'!$C$5:$C$1004,MATCH(B20,'04_Pinjaman'!$A$5:$A$1004,0))))</f>
        <v>KKSUK-000120</v>
      </c>
      <c r="E20" s="22">
        <v>46227</v>
      </c>
      <c r="F20" s="23">
        <v>550000</v>
      </c>
      <c r="G20" s="21"/>
    </row>
    <row r="21" spans="1:7" ht="21" customHeight="1">
      <c r="A21" s="20">
        <f t="shared" si="0"/>
        <v>17</v>
      </c>
      <c r="B21" s="21">
        <v>5</v>
      </c>
      <c r="C21" s="20" t="str">
        <f>IF(B21="","",IF(COUNTIF('04_Pinjaman'!$A$5:$A$1004,B21)=0,"NO PINJAMAN TIDAK DITEMUKAN",INDEX('04_Pinjaman'!$B$5:$B$1004,MATCH(B21,'04_Pinjaman'!$A$5:$A$1004,0))))</f>
        <v>Ade Kurnia</v>
      </c>
      <c r="D21" s="20" t="str">
        <f>IF(B21="","",IF(COUNTIF('04_Pinjaman'!$A$5:$A$1004,B21)=0,"NPP TIDAK DITEMUKAN",INDEX('04_Pinjaman'!$C$5:$C$1004,MATCH(B21,'04_Pinjaman'!$A$5:$A$1004,0))))</f>
        <v>KKSUK-000120</v>
      </c>
      <c r="E21" s="22">
        <v>46258</v>
      </c>
      <c r="F21" s="23">
        <v>550000</v>
      </c>
      <c r="G21" s="21"/>
    </row>
    <row r="22" spans="1:7" ht="21" customHeight="1">
      <c r="A22" s="20">
        <f t="shared" si="0"/>
        <v>18</v>
      </c>
      <c r="B22" s="21">
        <v>6</v>
      </c>
      <c r="C22" s="20" t="str">
        <f>IF(B22="","",IF(COUNTIF('04_Pinjaman'!$A$5:$A$1004,B22)=0,"NO PINJAMAN TIDAK DITEMUKAN",INDEX('04_Pinjaman'!$B$5:$B$1004,MATCH(B22,'04_Pinjaman'!$A$5:$A$1004,0))))</f>
        <v>Agung Pambudi</v>
      </c>
      <c r="D22" s="20" t="str">
        <f>IF(B22="","",IF(COUNTIF('04_Pinjaman'!$A$5:$A$1004,B22)=0,"NPP TIDAK DITEMUKAN",INDEX('04_Pinjaman'!$C$5:$C$1004,MATCH(B22,'04_Pinjaman'!$A$5:$A$1004,0))))</f>
        <v>KKSUK-000067</v>
      </c>
      <c r="E22" s="22">
        <v>46010</v>
      </c>
      <c r="F22" s="23">
        <v>597333</v>
      </c>
      <c r="G22" s="21"/>
    </row>
    <row r="23" spans="1:7" ht="21" customHeight="1">
      <c r="A23" s="20">
        <f t="shared" si="0"/>
        <v>19</v>
      </c>
      <c r="B23" s="21">
        <v>6</v>
      </c>
      <c r="C23" s="20" t="str">
        <f>IF(B23="","",IF(COUNTIF('04_Pinjaman'!$A$5:$A$1004,B23)=0,"NO PINJAMAN TIDAK DITEMUKAN",INDEX('04_Pinjaman'!$B$5:$B$1004,MATCH(B23,'04_Pinjaman'!$A$5:$A$1004,0))))</f>
        <v>Agung Pambudi</v>
      </c>
      <c r="D23" s="20" t="str">
        <f>IF(B23="","",IF(COUNTIF('04_Pinjaman'!$A$5:$A$1004,B23)=0,"NPP TIDAK DITEMUKAN",INDEX('04_Pinjaman'!$C$5:$C$1004,MATCH(B23,'04_Pinjaman'!$A$5:$A$1004,0))))</f>
        <v>KKSUK-000067</v>
      </c>
      <c r="E23" s="22">
        <v>46045</v>
      </c>
      <c r="F23" s="23">
        <v>597333</v>
      </c>
      <c r="G23" s="21"/>
    </row>
    <row r="24" spans="1:7" ht="21" customHeight="1">
      <c r="A24" s="20">
        <f t="shared" si="0"/>
        <v>20</v>
      </c>
      <c r="B24" s="21">
        <v>6</v>
      </c>
      <c r="C24" s="20" t="str">
        <f>IF(B24="","",IF(COUNTIF('04_Pinjaman'!$A$5:$A$1004,B24)=0,"NO PINJAMAN TIDAK DITEMUKAN",INDEX('04_Pinjaman'!$B$5:$B$1004,MATCH(B24,'04_Pinjaman'!$A$5:$A$1004,0))))</f>
        <v>Agung Pambudi</v>
      </c>
      <c r="D24" s="20" t="str">
        <f>IF(B24="","",IF(COUNTIF('04_Pinjaman'!$A$5:$A$1004,B24)=0,"NPP TIDAK DITEMUKAN",INDEX('04_Pinjaman'!$C$5:$C$1004,MATCH(B24,'04_Pinjaman'!$A$5:$A$1004,0))))</f>
        <v>KKSUK-000067</v>
      </c>
      <c r="E24" s="22">
        <v>46078</v>
      </c>
      <c r="F24" s="23">
        <v>597333</v>
      </c>
      <c r="G24" s="21"/>
    </row>
    <row r="25" spans="1:7" ht="21" customHeight="1">
      <c r="A25" s="20">
        <f t="shared" si="0"/>
        <v>21</v>
      </c>
      <c r="B25" s="21">
        <v>6</v>
      </c>
      <c r="C25" s="20" t="str">
        <f>IF(B25="","",IF(COUNTIF('04_Pinjaman'!$A$5:$A$1004,B25)=0,"NO PINJAMAN TIDAK DITEMUKAN",INDEX('04_Pinjaman'!$B$5:$B$1004,MATCH(B25,'04_Pinjaman'!$A$5:$A$1004,0))))</f>
        <v>Agung Pambudi</v>
      </c>
      <c r="D25" s="20" t="str">
        <f>IF(B25="","",IF(COUNTIF('04_Pinjaman'!$A$5:$A$1004,B25)=0,"NPP TIDAK DITEMUKAN",INDEX('04_Pinjaman'!$C$5:$C$1004,MATCH(B25,'04_Pinjaman'!$A$5:$A$1004,0))))</f>
        <v>KKSUK-000067</v>
      </c>
      <c r="E25" s="22">
        <v>46106</v>
      </c>
      <c r="F25" s="23">
        <v>597333</v>
      </c>
      <c r="G25" s="21"/>
    </row>
    <row r="26" spans="1:7" ht="21" customHeight="1">
      <c r="A26" s="20">
        <f t="shared" si="0"/>
        <v>22</v>
      </c>
      <c r="B26" s="21">
        <v>6</v>
      </c>
      <c r="C26" s="20" t="str">
        <f>IF(B26="","",IF(COUNTIF('04_Pinjaman'!$A$5:$A$1004,B26)=0,"NO PINJAMAN TIDAK DITEMUKAN",INDEX('04_Pinjaman'!$B$5:$B$1004,MATCH(B26,'04_Pinjaman'!$A$5:$A$1004,0))))</f>
        <v>Agung Pambudi</v>
      </c>
      <c r="D26" s="20" t="str">
        <f>IF(B26="","",IF(COUNTIF('04_Pinjaman'!$A$5:$A$1004,B26)=0,"NPP TIDAK DITEMUKAN",INDEX('04_Pinjaman'!$C$5:$C$1004,MATCH(B26,'04_Pinjaman'!$A$5:$A$1004,0))))</f>
        <v>KKSUK-000067</v>
      </c>
      <c r="E26" s="22">
        <v>46136</v>
      </c>
      <c r="F26" s="23">
        <v>597333</v>
      </c>
      <c r="G26" s="21"/>
    </row>
    <row r="27" spans="1:7" ht="21" customHeight="1">
      <c r="A27" s="20">
        <f t="shared" si="0"/>
        <v>23</v>
      </c>
      <c r="B27" s="21">
        <v>6</v>
      </c>
      <c r="C27" s="20" t="str">
        <f>IF(B27="","",IF(COUNTIF('04_Pinjaman'!$A$5:$A$1004,B27)=0,"NO PINJAMAN TIDAK DITEMUKAN",INDEX('04_Pinjaman'!$B$5:$B$1004,MATCH(B27,'04_Pinjaman'!$A$5:$A$1004,0))))</f>
        <v>Agung Pambudi</v>
      </c>
      <c r="D27" s="20" t="str">
        <f>IF(B27="","",IF(COUNTIF('04_Pinjaman'!$A$5:$A$1004,B27)=0,"NPP TIDAK DITEMUKAN",INDEX('04_Pinjaman'!$C$5:$C$1004,MATCH(B27,'04_Pinjaman'!$A$5:$A$1004,0))))</f>
        <v>KKSUK-000067</v>
      </c>
      <c r="E27" s="22">
        <v>46167</v>
      </c>
      <c r="F27" s="23">
        <v>597333</v>
      </c>
      <c r="G27" s="21"/>
    </row>
    <row r="28" spans="1:7" ht="21" customHeight="1">
      <c r="A28" s="20">
        <f t="shared" si="0"/>
        <v>24</v>
      </c>
      <c r="B28" s="21">
        <v>6</v>
      </c>
      <c r="C28" s="20" t="str">
        <f>IF(B28="","",IF(COUNTIF('04_Pinjaman'!$A$5:$A$1004,B28)=0,"NO PINJAMAN TIDAK DITEMUKAN",INDEX('04_Pinjaman'!$B$5:$B$1004,MATCH(B28,'04_Pinjaman'!$A$5:$A$1004,0))))</f>
        <v>Agung Pambudi</v>
      </c>
      <c r="D28" s="20" t="str">
        <f>IF(B28="","",IF(COUNTIF('04_Pinjaman'!$A$5:$A$1004,B28)=0,"NPP TIDAK DITEMUKAN",INDEX('04_Pinjaman'!$C$5:$C$1004,MATCH(B28,'04_Pinjaman'!$A$5:$A$1004,0))))</f>
        <v>KKSUK-000067</v>
      </c>
      <c r="E28" s="22">
        <v>46198</v>
      </c>
      <c r="F28" s="23">
        <v>597333</v>
      </c>
      <c r="G28" s="21"/>
    </row>
    <row r="29" spans="1:7" ht="21" customHeight="1">
      <c r="A29" s="20">
        <f t="shared" si="0"/>
        <v>25</v>
      </c>
      <c r="B29" s="21">
        <v>6</v>
      </c>
      <c r="C29" s="20" t="str">
        <f>IF(B29="","",IF(COUNTIF('04_Pinjaman'!$A$5:$A$1004,B29)=0,"NO PINJAMAN TIDAK DITEMUKAN",INDEX('04_Pinjaman'!$B$5:$B$1004,MATCH(B29,'04_Pinjaman'!$A$5:$A$1004,0))))</f>
        <v>Agung Pambudi</v>
      </c>
      <c r="D29" s="20" t="str">
        <f>IF(B29="","",IF(COUNTIF('04_Pinjaman'!$A$5:$A$1004,B29)=0,"NPP TIDAK DITEMUKAN",INDEX('04_Pinjaman'!$C$5:$C$1004,MATCH(B29,'04_Pinjaman'!$A$5:$A$1004,0))))</f>
        <v>KKSUK-000067</v>
      </c>
      <c r="E29" s="22">
        <v>46227</v>
      </c>
      <c r="F29" s="23">
        <v>597333</v>
      </c>
      <c r="G29" s="21"/>
    </row>
    <row r="30" spans="1:7" ht="21" customHeight="1">
      <c r="A30" s="20">
        <f t="shared" si="0"/>
        <v>26</v>
      </c>
      <c r="B30" s="21">
        <v>6</v>
      </c>
      <c r="C30" s="20" t="str">
        <f>IF(B30="","",IF(COUNTIF('04_Pinjaman'!$A$5:$A$1004,B30)=0,"NO PINJAMAN TIDAK DITEMUKAN",INDEX('04_Pinjaman'!$B$5:$B$1004,MATCH(B30,'04_Pinjaman'!$A$5:$A$1004,0))))</f>
        <v>Agung Pambudi</v>
      </c>
      <c r="D30" s="20" t="str">
        <f>IF(B30="","",IF(COUNTIF('04_Pinjaman'!$A$5:$A$1004,B30)=0,"NPP TIDAK DITEMUKAN",INDEX('04_Pinjaman'!$C$5:$C$1004,MATCH(B30,'04_Pinjaman'!$A$5:$A$1004,0))))</f>
        <v>KKSUK-000067</v>
      </c>
      <c r="E30" s="22">
        <v>46258</v>
      </c>
      <c r="F30" s="23">
        <v>597333</v>
      </c>
      <c r="G30" s="21"/>
    </row>
    <row r="31" spans="1:7" ht="21" customHeight="1">
      <c r="A31" s="20">
        <f t="shared" si="0"/>
        <v>27</v>
      </c>
      <c r="B31" s="21">
        <v>7</v>
      </c>
      <c r="C31" s="20" t="str">
        <f>IF(B31="","",IF(COUNTIF('04_Pinjaman'!$A$5:$A$1004,B31)=0,"NO PINJAMAN TIDAK DITEMUKAN",INDEX('04_Pinjaman'!$B$5:$B$1004,MATCH(B31,'04_Pinjaman'!$A$5:$A$1004,0))))</f>
        <v>Ahmad Fauzi - 01743</v>
      </c>
      <c r="D31" s="20" t="str">
        <f>IF(B31="","",IF(COUNTIF('04_Pinjaman'!$A$5:$A$1004,B31)=0,"NPP TIDAK DITEMUKAN",INDEX('04_Pinjaman'!$C$5:$C$1004,MATCH(B31,'04_Pinjaman'!$A$5:$A$1004,0))))</f>
        <v>KKSUK-000144</v>
      </c>
      <c r="E31" s="22">
        <v>46106</v>
      </c>
      <c r="F31" s="23">
        <v>357000</v>
      </c>
      <c r="G31" s="21"/>
    </row>
    <row r="32" spans="1:7" ht="21" customHeight="1">
      <c r="A32" s="20">
        <f t="shared" si="0"/>
        <v>28</v>
      </c>
      <c r="B32" s="21">
        <v>7</v>
      </c>
      <c r="C32" s="20" t="str">
        <f>IF(B32="","",IF(COUNTIF('04_Pinjaman'!$A$5:$A$1004,B32)=0,"NO PINJAMAN TIDAK DITEMUKAN",INDEX('04_Pinjaman'!$B$5:$B$1004,MATCH(B32,'04_Pinjaman'!$A$5:$A$1004,0))))</f>
        <v>Ahmad Fauzi - 01743</v>
      </c>
      <c r="D32" s="20" t="str">
        <f>IF(B32="","",IF(COUNTIF('04_Pinjaman'!$A$5:$A$1004,B32)=0,"NPP TIDAK DITEMUKAN",INDEX('04_Pinjaman'!$C$5:$C$1004,MATCH(B32,'04_Pinjaman'!$A$5:$A$1004,0))))</f>
        <v>KKSUK-000144</v>
      </c>
      <c r="E32" s="22">
        <v>46136</v>
      </c>
      <c r="F32" s="23">
        <v>357000</v>
      </c>
      <c r="G32" s="21"/>
    </row>
    <row r="33" spans="1:7" ht="21" customHeight="1">
      <c r="A33" s="20">
        <f t="shared" si="0"/>
        <v>29</v>
      </c>
      <c r="B33" s="21">
        <v>8</v>
      </c>
      <c r="C33" s="20" t="str">
        <f>IF(B33="","",IF(COUNTIF('04_Pinjaman'!$A$5:$A$1004,B33)=0,"NO PINJAMAN TIDAK DITEMUKAN",INDEX('04_Pinjaman'!$B$5:$B$1004,MATCH(B33,'04_Pinjaman'!$A$5:$A$1004,0))))</f>
        <v>Ahmad Fauzi - 01743</v>
      </c>
      <c r="D33" s="20" t="str">
        <f>IF(B33="","",IF(COUNTIF('04_Pinjaman'!$A$5:$A$1004,B33)=0,"NPP TIDAK DITEMUKAN",INDEX('04_Pinjaman'!$C$5:$C$1004,MATCH(B33,'04_Pinjaman'!$A$5:$A$1004,0))))</f>
        <v>KKSUK-000144</v>
      </c>
      <c r="E33" s="22">
        <v>46227</v>
      </c>
      <c r="F33" s="23">
        <v>458571</v>
      </c>
      <c r="G33" s="21"/>
    </row>
    <row r="34" spans="1:7" ht="21" customHeight="1">
      <c r="A34" s="20">
        <f t="shared" si="0"/>
        <v>30</v>
      </c>
      <c r="B34" s="21">
        <v>8</v>
      </c>
      <c r="C34" s="20" t="str">
        <f>IF(B34="","",IF(COUNTIF('04_Pinjaman'!$A$5:$A$1004,B34)=0,"NO PINJAMAN TIDAK DITEMUKAN",INDEX('04_Pinjaman'!$B$5:$B$1004,MATCH(B34,'04_Pinjaman'!$A$5:$A$1004,0))))</f>
        <v>Ahmad Fauzi - 01743</v>
      </c>
      <c r="D34" s="20" t="str">
        <f>IF(B34="","",IF(COUNTIF('04_Pinjaman'!$A$5:$A$1004,B34)=0,"NPP TIDAK DITEMUKAN",INDEX('04_Pinjaman'!$C$5:$C$1004,MATCH(B34,'04_Pinjaman'!$A$5:$A$1004,0))))</f>
        <v>KKSUK-000144</v>
      </c>
      <c r="E34" s="22">
        <v>46258</v>
      </c>
      <c r="F34" s="23">
        <v>458571</v>
      </c>
      <c r="G34" s="21"/>
    </row>
    <row r="35" spans="1:7" ht="21" customHeight="1">
      <c r="A35" s="20">
        <f t="shared" si="0"/>
        <v>31</v>
      </c>
      <c r="B35" s="21">
        <v>9</v>
      </c>
      <c r="C35" s="20" t="str">
        <f>IF(B35="","",IF(COUNTIF('04_Pinjaman'!$A$5:$A$1004,B35)=0,"NO PINJAMAN TIDAK DITEMUKAN",INDEX('04_Pinjaman'!$B$5:$B$1004,MATCH(B35,'04_Pinjaman'!$A$5:$A$1004,0))))</f>
        <v>Ahmad Jamaludin</v>
      </c>
      <c r="D35" s="20" t="str">
        <f>IF(B35="","",IF(COUNTIF('04_Pinjaman'!$A$5:$A$1004,B35)=0,"NPP TIDAK DITEMUKAN",INDEX('04_Pinjaman'!$C$5:$C$1004,MATCH(B35,'04_Pinjaman'!$A$5:$A$1004,0))))</f>
        <v>KKSUK-000129</v>
      </c>
      <c r="E35" s="22">
        <v>45772</v>
      </c>
      <c r="F35" s="23">
        <v>1812500</v>
      </c>
      <c r="G35" s="21"/>
    </row>
    <row r="36" spans="1:7" ht="21" customHeight="1">
      <c r="A36" s="20">
        <f t="shared" si="0"/>
        <v>32</v>
      </c>
      <c r="B36" s="21">
        <v>9</v>
      </c>
      <c r="C36" s="20" t="str">
        <f>IF(B36="","",IF(COUNTIF('04_Pinjaman'!$A$5:$A$1004,B36)=0,"NO PINJAMAN TIDAK DITEMUKAN",INDEX('04_Pinjaman'!$B$5:$B$1004,MATCH(B36,'04_Pinjaman'!$A$5:$A$1004,0))))</f>
        <v>Ahmad Jamaludin</v>
      </c>
      <c r="D36" s="20" t="str">
        <f>IF(B36="","",IF(COUNTIF('04_Pinjaman'!$A$5:$A$1004,B36)=0,"NPP TIDAK DITEMUKAN",INDEX('04_Pinjaman'!$C$5:$C$1004,MATCH(B36,'04_Pinjaman'!$A$5:$A$1004,0))))</f>
        <v>KKSUK-000129</v>
      </c>
      <c r="E36" s="22">
        <v>45802</v>
      </c>
      <c r="F36" s="23">
        <v>1812500</v>
      </c>
      <c r="G36" s="21"/>
    </row>
    <row r="37" spans="1:7" ht="21" customHeight="1">
      <c r="A37" s="20">
        <f t="shared" si="0"/>
        <v>33</v>
      </c>
      <c r="B37" s="21">
        <v>9</v>
      </c>
      <c r="C37" s="20" t="str">
        <f>IF(B37="","",IF(COUNTIF('04_Pinjaman'!$A$5:$A$1004,B37)=0,"NO PINJAMAN TIDAK DITEMUKAN",INDEX('04_Pinjaman'!$B$5:$B$1004,MATCH(B37,'04_Pinjaman'!$A$5:$A$1004,0))))</f>
        <v>Ahmad Jamaludin</v>
      </c>
      <c r="D37" s="20" t="str">
        <f>IF(B37="","",IF(COUNTIF('04_Pinjaman'!$A$5:$A$1004,B37)=0,"NPP TIDAK DITEMUKAN",INDEX('04_Pinjaman'!$C$5:$C$1004,MATCH(B37,'04_Pinjaman'!$A$5:$A$1004,0))))</f>
        <v>KKSUK-000129</v>
      </c>
      <c r="E37" s="22">
        <v>45833</v>
      </c>
      <c r="F37" s="23">
        <v>1812500</v>
      </c>
      <c r="G37" s="21"/>
    </row>
    <row r="38" spans="1:7" ht="21" customHeight="1">
      <c r="A38" s="20">
        <f t="shared" si="0"/>
        <v>34</v>
      </c>
      <c r="B38" s="21">
        <v>9</v>
      </c>
      <c r="C38" s="20" t="str">
        <f>IF(B38="","",IF(COUNTIF('04_Pinjaman'!$A$5:$A$1004,B38)=0,"NO PINJAMAN TIDAK DITEMUKAN",INDEX('04_Pinjaman'!$B$5:$B$1004,MATCH(B38,'04_Pinjaman'!$A$5:$A$1004,0))))</f>
        <v>Ahmad Jamaludin</v>
      </c>
      <c r="D38" s="20" t="str">
        <f>IF(B38="","",IF(COUNTIF('04_Pinjaman'!$A$5:$A$1004,B38)=0,"NPP TIDAK DITEMUKAN",INDEX('04_Pinjaman'!$C$5:$C$1004,MATCH(B38,'04_Pinjaman'!$A$5:$A$1004,0))))</f>
        <v>KKSUK-000129</v>
      </c>
      <c r="E38" s="22">
        <v>45863</v>
      </c>
      <c r="F38" s="23">
        <v>1812500</v>
      </c>
      <c r="G38" s="21"/>
    </row>
    <row r="39" spans="1:7" ht="21" customHeight="1">
      <c r="A39" s="20">
        <f t="shared" si="0"/>
        <v>35</v>
      </c>
      <c r="B39" s="21">
        <v>9</v>
      </c>
      <c r="C39" s="20" t="str">
        <f>IF(B39="","",IF(COUNTIF('04_Pinjaman'!$A$5:$A$1004,B39)=0,"NO PINJAMAN TIDAK DITEMUKAN",INDEX('04_Pinjaman'!$B$5:$B$1004,MATCH(B39,'04_Pinjaman'!$A$5:$A$1004,0))))</f>
        <v>Ahmad Jamaludin</v>
      </c>
      <c r="D39" s="20" t="str">
        <f>IF(B39="","",IF(COUNTIF('04_Pinjaman'!$A$5:$A$1004,B39)=0,"NPP TIDAK DITEMUKAN",INDEX('04_Pinjaman'!$C$5:$C$1004,MATCH(B39,'04_Pinjaman'!$A$5:$A$1004,0))))</f>
        <v>KKSUK-000129</v>
      </c>
      <c r="E39" s="22">
        <v>45894</v>
      </c>
      <c r="F39" s="23">
        <v>1812500</v>
      </c>
      <c r="G39" s="21"/>
    </row>
    <row r="40" spans="1:7" ht="21" customHeight="1">
      <c r="A40" s="20">
        <f t="shared" si="0"/>
        <v>36</v>
      </c>
      <c r="B40" s="21">
        <v>9</v>
      </c>
      <c r="C40" s="20" t="str">
        <f>IF(B40="","",IF(COUNTIF('04_Pinjaman'!$A$5:$A$1004,B40)=0,"NO PINJAMAN TIDAK DITEMUKAN",INDEX('04_Pinjaman'!$B$5:$B$1004,MATCH(B40,'04_Pinjaman'!$A$5:$A$1004,0))))</f>
        <v>Ahmad Jamaludin</v>
      </c>
      <c r="D40" s="20" t="str">
        <f>IF(B40="","",IF(COUNTIF('04_Pinjaman'!$A$5:$A$1004,B40)=0,"NPP TIDAK DITEMUKAN",INDEX('04_Pinjaman'!$C$5:$C$1004,MATCH(B40,'04_Pinjaman'!$A$5:$A$1004,0))))</f>
        <v>KKSUK-000129</v>
      </c>
      <c r="E40" s="22">
        <v>45925</v>
      </c>
      <c r="F40" s="23">
        <v>1812500</v>
      </c>
      <c r="G40" s="21"/>
    </row>
    <row r="41" spans="1:7" ht="21" customHeight="1">
      <c r="A41" s="20">
        <f t="shared" si="0"/>
        <v>37</v>
      </c>
      <c r="B41" s="21">
        <v>9</v>
      </c>
      <c r="C41" s="20" t="str">
        <f>IF(B41="","",IF(COUNTIF('04_Pinjaman'!$A$5:$A$1004,B41)=0,"NO PINJAMAN TIDAK DITEMUKAN",INDEX('04_Pinjaman'!$B$5:$B$1004,MATCH(B41,'04_Pinjaman'!$A$5:$A$1004,0))))</f>
        <v>Ahmad Jamaludin</v>
      </c>
      <c r="D41" s="20" t="str">
        <f>IF(B41="","",IF(COUNTIF('04_Pinjaman'!$A$5:$A$1004,B41)=0,"NPP TIDAK DITEMUKAN",INDEX('04_Pinjaman'!$C$5:$C$1004,MATCH(B41,'04_Pinjaman'!$A$5:$A$1004,0))))</f>
        <v>KKSUK-000129</v>
      </c>
      <c r="E41" s="22">
        <v>45954</v>
      </c>
      <c r="F41" s="23">
        <v>1812500</v>
      </c>
      <c r="G41" s="21"/>
    </row>
    <row r="42" spans="1:7" ht="21" customHeight="1">
      <c r="A42" s="20">
        <f t="shared" si="0"/>
        <v>38</v>
      </c>
      <c r="B42" s="21">
        <v>9</v>
      </c>
      <c r="C42" s="20" t="str">
        <f>IF(B42="","",IF(COUNTIF('04_Pinjaman'!$A$5:$A$1004,B42)=0,"NO PINJAMAN TIDAK DITEMUKAN",INDEX('04_Pinjaman'!$B$5:$B$1004,MATCH(B42,'04_Pinjaman'!$A$5:$A$1004,0))))</f>
        <v>Ahmad Jamaludin</v>
      </c>
      <c r="D42" s="20" t="str">
        <f>IF(B42="","",IF(COUNTIF('04_Pinjaman'!$A$5:$A$1004,B42)=0,"NPP TIDAK DITEMUKAN",INDEX('04_Pinjaman'!$C$5:$C$1004,MATCH(B42,'04_Pinjaman'!$A$5:$A$1004,0))))</f>
        <v>KKSUK-000129</v>
      </c>
      <c r="E42" s="22">
        <v>45986</v>
      </c>
      <c r="F42" s="23">
        <v>1812500</v>
      </c>
      <c r="G42" s="21"/>
    </row>
    <row r="43" spans="1:7" ht="21" customHeight="1">
      <c r="A43" s="20">
        <f t="shared" si="0"/>
        <v>39</v>
      </c>
      <c r="B43" s="21">
        <v>9</v>
      </c>
      <c r="C43" s="20" t="str">
        <f>IF(B43="","",IF(COUNTIF('04_Pinjaman'!$A$5:$A$1004,B43)=0,"NO PINJAMAN TIDAK DITEMUKAN",INDEX('04_Pinjaman'!$B$5:$B$1004,MATCH(B43,'04_Pinjaman'!$A$5:$A$1004,0))))</f>
        <v>Ahmad Jamaludin</v>
      </c>
      <c r="D43" s="20" t="str">
        <f>IF(B43="","",IF(COUNTIF('04_Pinjaman'!$A$5:$A$1004,B43)=0,"NPP TIDAK DITEMUKAN",INDEX('04_Pinjaman'!$C$5:$C$1004,MATCH(B43,'04_Pinjaman'!$A$5:$A$1004,0))))</f>
        <v>KKSUK-000129</v>
      </c>
      <c r="E43" s="22">
        <v>46010</v>
      </c>
      <c r="F43" s="23">
        <v>1812500</v>
      </c>
      <c r="G43" s="21"/>
    </row>
    <row r="44" spans="1:7" ht="21" customHeight="1">
      <c r="A44" s="20">
        <f t="shared" si="0"/>
        <v>40</v>
      </c>
      <c r="B44" s="21">
        <v>9</v>
      </c>
      <c r="C44" s="20" t="str">
        <f>IF(B44="","",IF(COUNTIF('04_Pinjaman'!$A$5:$A$1004,B44)=0,"NO PINJAMAN TIDAK DITEMUKAN",INDEX('04_Pinjaman'!$B$5:$B$1004,MATCH(B44,'04_Pinjaman'!$A$5:$A$1004,0))))</f>
        <v>Ahmad Jamaludin</v>
      </c>
      <c r="D44" s="20" t="str">
        <f>IF(B44="","",IF(COUNTIF('04_Pinjaman'!$A$5:$A$1004,B44)=0,"NPP TIDAK DITEMUKAN",INDEX('04_Pinjaman'!$C$5:$C$1004,MATCH(B44,'04_Pinjaman'!$A$5:$A$1004,0))))</f>
        <v>KKSUK-000129</v>
      </c>
      <c r="E44" s="22">
        <v>46045</v>
      </c>
      <c r="F44" s="23">
        <v>1812500</v>
      </c>
      <c r="G44" s="21"/>
    </row>
    <row r="45" spans="1:7" ht="21" customHeight="1">
      <c r="A45" s="20">
        <f t="shared" si="0"/>
        <v>41</v>
      </c>
      <c r="B45" s="21">
        <v>9</v>
      </c>
      <c r="C45" s="20" t="str">
        <f>IF(B45="","",IF(COUNTIF('04_Pinjaman'!$A$5:$A$1004,B45)=0,"NO PINJAMAN TIDAK DITEMUKAN",INDEX('04_Pinjaman'!$B$5:$B$1004,MATCH(B45,'04_Pinjaman'!$A$5:$A$1004,0))))</f>
        <v>Ahmad Jamaludin</v>
      </c>
      <c r="D45" s="20" t="str">
        <f>IF(B45="","",IF(COUNTIF('04_Pinjaman'!$A$5:$A$1004,B45)=0,"NPP TIDAK DITEMUKAN",INDEX('04_Pinjaman'!$C$5:$C$1004,MATCH(B45,'04_Pinjaman'!$A$5:$A$1004,0))))</f>
        <v>KKSUK-000129</v>
      </c>
      <c r="E45" s="22">
        <v>46078</v>
      </c>
      <c r="F45" s="23">
        <v>1812500</v>
      </c>
      <c r="G45" s="21"/>
    </row>
    <row r="46" spans="1:7" ht="21" customHeight="1">
      <c r="A46" s="20">
        <f t="shared" si="0"/>
        <v>42</v>
      </c>
      <c r="B46" s="21">
        <v>9</v>
      </c>
      <c r="C46" s="20" t="str">
        <f>IF(B46="","",IF(COUNTIF('04_Pinjaman'!$A$5:$A$1004,B46)=0,"NO PINJAMAN TIDAK DITEMUKAN",INDEX('04_Pinjaman'!$B$5:$B$1004,MATCH(B46,'04_Pinjaman'!$A$5:$A$1004,0))))</f>
        <v>Ahmad Jamaludin</v>
      </c>
      <c r="D46" s="20" t="str">
        <f>IF(B46="","",IF(COUNTIF('04_Pinjaman'!$A$5:$A$1004,B46)=0,"NPP TIDAK DITEMUKAN",INDEX('04_Pinjaman'!$C$5:$C$1004,MATCH(B46,'04_Pinjaman'!$A$5:$A$1004,0))))</f>
        <v>KKSUK-000129</v>
      </c>
      <c r="E46" s="22">
        <v>46106</v>
      </c>
      <c r="F46" s="23">
        <v>1812500</v>
      </c>
      <c r="G46" s="21"/>
    </row>
    <row r="47" spans="1:7" ht="21" customHeight="1">
      <c r="A47" s="20">
        <f t="shared" si="0"/>
        <v>43</v>
      </c>
      <c r="B47" s="21">
        <v>9</v>
      </c>
      <c r="C47" s="20" t="str">
        <f>IF(B47="","",IF(COUNTIF('04_Pinjaman'!$A$5:$A$1004,B47)=0,"NO PINJAMAN TIDAK DITEMUKAN",INDEX('04_Pinjaman'!$B$5:$B$1004,MATCH(B47,'04_Pinjaman'!$A$5:$A$1004,0))))</f>
        <v>Ahmad Jamaludin</v>
      </c>
      <c r="D47" s="20" t="str">
        <f>IF(B47="","",IF(COUNTIF('04_Pinjaman'!$A$5:$A$1004,B47)=0,"NPP TIDAK DITEMUKAN",INDEX('04_Pinjaman'!$C$5:$C$1004,MATCH(B47,'04_Pinjaman'!$A$5:$A$1004,0))))</f>
        <v>KKSUK-000129</v>
      </c>
      <c r="E47" s="22">
        <v>46136</v>
      </c>
      <c r="F47" s="23">
        <v>1812500</v>
      </c>
      <c r="G47" s="21"/>
    </row>
    <row r="48" spans="1:7" ht="21" customHeight="1">
      <c r="A48" s="20">
        <f t="shared" si="0"/>
        <v>44</v>
      </c>
      <c r="B48" s="21">
        <v>9</v>
      </c>
      <c r="C48" s="20" t="str">
        <f>IF(B48="","",IF(COUNTIF('04_Pinjaman'!$A$5:$A$1004,B48)=0,"NO PINJAMAN TIDAK DITEMUKAN",INDEX('04_Pinjaman'!$B$5:$B$1004,MATCH(B48,'04_Pinjaman'!$A$5:$A$1004,0))))</f>
        <v>Ahmad Jamaludin</v>
      </c>
      <c r="D48" s="20" t="str">
        <f>IF(B48="","",IF(COUNTIF('04_Pinjaman'!$A$5:$A$1004,B48)=0,"NPP TIDAK DITEMUKAN",INDEX('04_Pinjaman'!$C$5:$C$1004,MATCH(B48,'04_Pinjaman'!$A$5:$A$1004,0))))</f>
        <v>KKSUK-000129</v>
      </c>
      <c r="E48" s="22">
        <v>46167</v>
      </c>
      <c r="F48" s="23">
        <v>1812500</v>
      </c>
      <c r="G48" s="21"/>
    </row>
    <row r="49" spans="1:7" ht="21" customHeight="1">
      <c r="A49" s="20">
        <f t="shared" si="0"/>
        <v>45</v>
      </c>
      <c r="B49" s="21">
        <v>9</v>
      </c>
      <c r="C49" s="20" t="str">
        <f>IF(B49="","",IF(COUNTIF('04_Pinjaman'!$A$5:$A$1004,B49)=0,"NO PINJAMAN TIDAK DITEMUKAN",INDEX('04_Pinjaman'!$B$5:$B$1004,MATCH(B49,'04_Pinjaman'!$A$5:$A$1004,0))))</f>
        <v>Ahmad Jamaludin</v>
      </c>
      <c r="D49" s="20" t="str">
        <f>IF(B49="","",IF(COUNTIF('04_Pinjaman'!$A$5:$A$1004,B49)=0,"NPP TIDAK DITEMUKAN",INDEX('04_Pinjaman'!$C$5:$C$1004,MATCH(B49,'04_Pinjaman'!$A$5:$A$1004,0))))</f>
        <v>KKSUK-000129</v>
      </c>
      <c r="E49" s="22">
        <v>46198</v>
      </c>
      <c r="F49" s="23">
        <v>1812500</v>
      </c>
      <c r="G49" s="21"/>
    </row>
    <row r="50" spans="1:7" ht="21" customHeight="1">
      <c r="A50" s="20">
        <f t="shared" si="0"/>
        <v>46</v>
      </c>
      <c r="B50" s="21">
        <v>9</v>
      </c>
      <c r="C50" s="20" t="str">
        <f>IF(B50="","",IF(COUNTIF('04_Pinjaman'!$A$5:$A$1004,B50)=0,"NO PINJAMAN TIDAK DITEMUKAN",INDEX('04_Pinjaman'!$B$5:$B$1004,MATCH(B50,'04_Pinjaman'!$A$5:$A$1004,0))))</f>
        <v>Ahmad Jamaludin</v>
      </c>
      <c r="D50" s="20" t="str">
        <f>IF(B50="","",IF(COUNTIF('04_Pinjaman'!$A$5:$A$1004,B50)=0,"NPP TIDAK DITEMUKAN",INDEX('04_Pinjaman'!$C$5:$C$1004,MATCH(B50,'04_Pinjaman'!$A$5:$A$1004,0))))</f>
        <v>KKSUK-000129</v>
      </c>
      <c r="E50" s="22">
        <v>46227</v>
      </c>
      <c r="F50" s="23">
        <v>1812500</v>
      </c>
      <c r="G50" s="21"/>
    </row>
    <row r="51" spans="1:7" ht="21" customHeight="1">
      <c r="A51" s="20">
        <f t="shared" si="0"/>
        <v>47</v>
      </c>
      <c r="B51" s="21">
        <v>10</v>
      </c>
      <c r="C51" s="20" t="str">
        <f>IF(B51="","",IF(COUNTIF('04_Pinjaman'!$A$5:$A$1004,B51)=0,"NO PINJAMAN TIDAK DITEMUKAN",INDEX('04_Pinjaman'!$B$5:$B$1004,MATCH(B51,'04_Pinjaman'!$A$5:$A$1004,0))))</f>
        <v>Ahmat Saifudin</v>
      </c>
      <c r="D51" s="20" t="str">
        <f>IF(B51="","",IF(COUNTIF('04_Pinjaman'!$A$5:$A$1004,B51)=0,"NPP TIDAK DITEMUKAN",INDEX('04_Pinjaman'!$C$5:$C$1004,MATCH(B51,'04_Pinjaman'!$A$5:$A$1004,0))))</f>
        <v>KKSUK-000127</v>
      </c>
      <c r="E51" s="22">
        <v>45894</v>
      </c>
      <c r="F51" s="23">
        <v>458572</v>
      </c>
      <c r="G51" s="21"/>
    </row>
    <row r="52" spans="1:7" ht="21" customHeight="1">
      <c r="A52" s="20">
        <f t="shared" si="0"/>
        <v>48</v>
      </c>
      <c r="B52" s="21">
        <v>10</v>
      </c>
      <c r="C52" s="20" t="str">
        <f>IF(B52="","",IF(COUNTIF('04_Pinjaman'!$A$5:$A$1004,B52)=0,"NO PINJAMAN TIDAK DITEMUKAN",INDEX('04_Pinjaman'!$B$5:$B$1004,MATCH(B52,'04_Pinjaman'!$A$5:$A$1004,0))))</f>
        <v>Ahmat Saifudin</v>
      </c>
      <c r="D52" s="20" t="str">
        <f>IF(B52="","",IF(COUNTIF('04_Pinjaman'!$A$5:$A$1004,B52)=0,"NPP TIDAK DITEMUKAN",INDEX('04_Pinjaman'!$C$5:$C$1004,MATCH(B52,'04_Pinjaman'!$A$5:$A$1004,0))))</f>
        <v>KKSUK-000127</v>
      </c>
      <c r="E52" s="22">
        <v>45925</v>
      </c>
      <c r="F52" s="23">
        <v>458572</v>
      </c>
      <c r="G52" s="21"/>
    </row>
    <row r="53" spans="1:7" ht="21" customHeight="1">
      <c r="A53" s="20">
        <f t="shared" si="0"/>
        <v>49</v>
      </c>
      <c r="B53" s="21">
        <v>10</v>
      </c>
      <c r="C53" s="20" t="str">
        <f>IF(B53="","",IF(COUNTIF('04_Pinjaman'!$A$5:$A$1004,B53)=0,"NO PINJAMAN TIDAK DITEMUKAN",INDEX('04_Pinjaman'!$B$5:$B$1004,MATCH(B53,'04_Pinjaman'!$A$5:$A$1004,0))))</f>
        <v>Ahmat Saifudin</v>
      </c>
      <c r="D53" s="20" t="str">
        <f>IF(B53="","",IF(COUNTIF('04_Pinjaman'!$A$5:$A$1004,B53)=0,"NPP TIDAK DITEMUKAN",INDEX('04_Pinjaman'!$C$5:$C$1004,MATCH(B53,'04_Pinjaman'!$A$5:$A$1004,0))))</f>
        <v>KKSUK-000127</v>
      </c>
      <c r="E53" s="22">
        <v>45954</v>
      </c>
      <c r="F53" s="23">
        <v>458572</v>
      </c>
      <c r="G53" s="21"/>
    </row>
    <row r="54" spans="1:7" ht="21" customHeight="1">
      <c r="A54" s="20">
        <f t="shared" si="0"/>
        <v>50</v>
      </c>
      <c r="B54" s="21">
        <v>10</v>
      </c>
      <c r="C54" s="20" t="str">
        <f>IF(B54="","",IF(COUNTIF('04_Pinjaman'!$A$5:$A$1004,B54)=0,"NO PINJAMAN TIDAK DITEMUKAN",INDEX('04_Pinjaman'!$B$5:$B$1004,MATCH(B54,'04_Pinjaman'!$A$5:$A$1004,0))))</f>
        <v>Ahmat Saifudin</v>
      </c>
      <c r="D54" s="20" t="str">
        <f>IF(B54="","",IF(COUNTIF('04_Pinjaman'!$A$5:$A$1004,B54)=0,"NPP TIDAK DITEMUKAN",INDEX('04_Pinjaman'!$C$5:$C$1004,MATCH(B54,'04_Pinjaman'!$A$5:$A$1004,0))))</f>
        <v>KKSUK-000127</v>
      </c>
      <c r="E54" s="22">
        <v>45986</v>
      </c>
      <c r="F54" s="23">
        <v>458572</v>
      </c>
      <c r="G54" s="21"/>
    </row>
    <row r="55" spans="1:7" ht="21" customHeight="1">
      <c r="A55" s="20">
        <f t="shared" si="0"/>
        <v>51</v>
      </c>
      <c r="B55" s="21">
        <v>10</v>
      </c>
      <c r="C55" s="20" t="str">
        <f>IF(B55="","",IF(COUNTIF('04_Pinjaman'!$A$5:$A$1004,B55)=0,"NO PINJAMAN TIDAK DITEMUKAN",INDEX('04_Pinjaman'!$B$5:$B$1004,MATCH(B55,'04_Pinjaman'!$A$5:$A$1004,0))))</f>
        <v>Ahmat Saifudin</v>
      </c>
      <c r="D55" s="20" t="str">
        <f>IF(B55="","",IF(COUNTIF('04_Pinjaman'!$A$5:$A$1004,B55)=0,"NPP TIDAK DITEMUKAN",INDEX('04_Pinjaman'!$C$5:$C$1004,MATCH(B55,'04_Pinjaman'!$A$5:$A$1004,0))))</f>
        <v>KKSUK-000127</v>
      </c>
      <c r="E55" s="22">
        <v>46010</v>
      </c>
      <c r="F55" s="23">
        <v>458572</v>
      </c>
      <c r="G55" s="21"/>
    </row>
    <row r="56" spans="1:7" ht="21" customHeight="1">
      <c r="A56" s="20">
        <f t="shared" si="0"/>
        <v>52</v>
      </c>
      <c r="B56" s="21">
        <v>10</v>
      </c>
      <c r="C56" s="20" t="str">
        <f>IF(B56="","",IF(COUNTIF('04_Pinjaman'!$A$5:$A$1004,B56)=0,"NO PINJAMAN TIDAK DITEMUKAN",INDEX('04_Pinjaman'!$B$5:$B$1004,MATCH(B56,'04_Pinjaman'!$A$5:$A$1004,0))))</f>
        <v>Ahmat Saifudin</v>
      </c>
      <c r="D56" s="20" t="str">
        <f>IF(B56="","",IF(COUNTIF('04_Pinjaman'!$A$5:$A$1004,B56)=0,"NPP TIDAK DITEMUKAN",INDEX('04_Pinjaman'!$C$5:$C$1004,MATCH(B56,'04_Pinjaman'!$A$5:$A$1004,0))))</f>
        <v>KKSUK-000127</v>
      </c>
      <c r="E56" s="22">
        <v>46045</v>
      </c>
      <c r="F56" s="23">
        <v>458572</v>
      </c>
      <c r="G56" s="21"/>
    </row>
    <row r="57" spans="1:7" ht="21" customHeight="1">
      <c r="A57" s="20">
        <f t="shared" si="0"/>
        <v>53</v>
      </c>
      <c r="B57" s="21">
        <v>10</v>
      </c>
      <c r="C57" s="20" t="str">
        <f>IF(B57="","",IF(COUNTIF('04_Pinjaman'!$A$5:$A$1004,B57)=0,"NO PINJAMAN TIDAK DITEMUKAN",INDEX('04_Pinjaman'!$B$5:$B$1004,MATCH(B57,'04_Pinjaman'!$A$5:$A$1004,0))))</f>
        <v>Ahmat Saifudin</v>
      </c>
      <c r="D57" s="20" t="str">
        <f>IF(B57="","",IF(COUNTIF('04_Pinjaman'!$A$5:$A$1004,B57)=0,"NPP TIDAK DITEMUKAN",INDEX('04_Pinjaman'!$C$5:$C$1004,MATCH(B57,'04_Pinjaman'!$A$5:$A$1004,0))))</f>
        <v>KKSUK-000127</v>
      </c>
      <c r="E57" s="22">
        <v>46055</v>
      </c>
      <c r="F57" s="23">
        <v>458568</v>
      </c>
      <c r="G57" s="21" t="s">
        <v>800</v>
      </c>
    </row>
    <row r="58" spans="1:7" ht="21" customHeight="1">
      <c r="A58" s="20">
        <f t="shared" si="0"/>
        <v>54</v>
      </c>
      <c r="B58" s="21">
        <v>11</v>
      </c>
      <c r="C58" s="20" t="str">
        <f>IF(B58="","",IF(COUNTIF('04_Pinjaman'!$A$5:$A$1004,B58)=0,"NO PINJAMAN TIDAK DITEMUKAN",INDEX('04_Pinjaman'!$B$5:$B$1004,MATCH(B58,'04_Pinjaman'!$A$5:$A$1004,0))))</f>
        <v>Ahmat Saifudin</v>
      </c>
      <c r="D58" s="20" t="str">
        <f>IF(B58="","",IF(COUNTIF('04_Pinjaman'!$A$5:$A$1004,B58)=0,"NPP TIDAK DITEMUKAN",INDEX('04_Pinjaman'!$C$5:$C$1004,MATCH(B58,'04_Pinjaman'!$A$5:$A$1004,0))))</f>
        <v>KKSUK-000127</v>
      </c>
      <c r="E58" s="22">
        <v>46106</v>
      </c>
      <c r="F58" s="23">
        <v>618333</v>
      </c>
      <c r="G58" s="21"/>
    </row>
    <row r="59" spans="1:7" ht="21" customHeight="1">
      <c r="A59" s="20">
        <f t="shared" si="0"/>
        <v>55</v>
      </c>
      <c r="B59" s="21">
        <v>11</v>
      </c>
      <c r="C59" s="20" t="str">
        <f>IF(B59="","",IF(COUNTIF('04_Pinjaman'!$A$5:$A$1004,B59)=0,"NO PINJAMAN TIDAK DITEMUKAN",INDEX('04_Pinjaman'!$B$5:$B$1004,MATCH(B59,'04_Pinjaman'!$A$5:$A$1004,0))))</f>
        <v>Ahmat Saifudin</v>
      </c>
      <c r="D59" s="20" t="str">
        <f>IF(B59="","",IF(COUNTIF('04_Pinjaman'!$A$5:$A$1004,B59)=0,"NPP TIDAK DITEMUKAN",INDEX('04_Pinjaman'!$C$5:$C$1004,MATCH(B59,'04_Pinjaman'!$A$5:$A$1004,0))))</f>
        <v>KKSUK-000127</v>
      </c>
      <c r="E59" s="22">
        <v>46136</v>
      </c>
      <c r="F59" s="23">
        <v>618333</v>
      </c>
      <c r="G59" s="21"/>
    </row>
    <row r="60" spans="1:7" ht="21" customHeight="1">
      <c r="A60" s="20">
        <f t="shared" si="0"/>
        <v>56</v>
      </c>
      <c r="B60" s="21">
        <v>11</v>
      </c>
      <c r="C60" s="20" t="str">
        <f>IF(B60="","",IF(COUNTIF('04_Pinjaman'!$A$5:$A$1004,B60)=0,"NO PINJAMAN TIDAK DITEMUKAN",INDEX('04_Pinjaman'!$B$5:$B$1004,MATCH(B60,'04_Pinjaman'!$A$5:$A$1004,0))))</f>
        <v>Ahmat Saifudin</v>
      </c>
      <c r="D60" s="20" t="str">
        <f>IF(B60="","",IF(COUNTIF('04_Pinjaman'!$A$5:$A$1004,B60)=0,"NPP TIDAK DITEMUKAN",INDEX('04_Pinjaman'!$C$5:$C$1004,MATCH(B60,'04_Pinjaman'!$A$5:$A$1004,0))))</f>
        <v>KKSUK-000127</v>
      </c>
      <c r="E60" s="22">
        <v>46167</v>
      </c>
      <c r="F60" s="23">
        <v>618333</v>
      </c>
      <c r="G60" s="21"/>
    </row>
    <row r="61" spans="1:7" ht="21" customHeight="1">
      <c r="A61" s="20">
        <f t="shared" si="0"/>
        <v>57</v>
      </c>
      <c r="B61" s="21">
        <v>11</v>
      </c>
      <c r="C61" s="20" t="str">
        <f>IF(B61="","",IF(COUNTIF('04_Pinjaman'!$A$5:$A$1004,B61)=0,"NO PINJAMAN TIDAK DITEMUKAN",INDEX('04_Pinjaman'!$B$5:$B$1004,MATCH(B61,'04_Pinjaman'!$A$5:$A$1004,0))))</f>
        <v>Ahmat Saifudin</v>
      </c>
      <c r="D61" s="20" t="str">
        <f>IF(B61="","",IF(COUNTIF('04_Pinjaman'!$A$5:$A$1004,B61)=0,"NPP TIDAK DITEMUKAN",INDEX('04_Pinjaman'!$C$5:$C$1004,MATCH(B61,'04_Pinjaman'!$A$5:$A$1004,0))))</f>
        <v>KKSUK-000127</v>
      </c>
      <c r="E61" s="22">
        <v>46198</v>
      </c>
      <c r="F61" s="23">
        <v>618333</v>
      </c>
      <c r="G61" s="21"/>
    </row>
    <row r="62" spans="1:7" ht="21" customHeight="1">
      <c r="A62" s="20">
        <f t="shared" si="0"/>
        <v>58</v>
      </c>
      <c r="B62" s="21">
        <v>11</v>
      </c>
      <c r="C62" s="20" t="str">
        <f>IF(B62="","",IF(COUNTIF('04_Pinjaman'!$A$5:$A$1004,B62)=0,"NO PINJAMAN TIDAK DITEMUKAN",INDEX('04_Pinjaman'!$B$5:$B$1004,MATCH(B62,'04_Pinjaman'!$A$5:$A$1004,0))))</f>
        <v>Ahmat Saifudin</v>
      </c>
      <c r="D62" s="20" t="str">
        <f>IF(B62="","",IF(COUNTIF('04_Pinjaman'!$A$5:$A$1004,B62)=0,"NPP TIDAK DITEMUKAN",INDEX('04_Pinjaman'!$C$5:$C$1004,MATCH(B62,'04_Pinjaman'!$A$5:$A$1004,0))))</f>
        <v>KKSUK-000127</v>
      </c>
      <c r="E62" s="22">
        <v>46227</v>
      </c>
      <c r="F62" s="23">
        <v>618333</v>
      </c>
      <c r="G62" s="21"/>
    </row>
    <row r="63" spans="1:7" ht="21" customHeight="1">
      <c r="A63" s="20">
        <f t="shared" si="0"/>
        <v>59</v>
      </c>
      <c r="B63" s="21">
        <v>11</v>
      </c>
      <c r="C63" s="20" t="str">
        <f>IF(B63="","",IF(COUNTIF('04_Pinjaman'!$A$5:$A$1004,B63)=0,"NO PINJAMAN TIDAK DITEMUKAN",INDEX('04_Pinjaman'!$B$5:$B$1004,MATCH(B63,'04_Pinjaman'!$A$5:$A$1004,0))))</f>
        <v>Ahmat Saifudin</v>
      </c>
      <c r="D63" s="20" t="str">
        <f>IF(B63="","",IF(COUNTIF('04_Pinjaman'!$A$5:$A$1004,B63)=0,"NPP TIDAK DITEMUKAN",INDEX('04_Pinjaman'!$C$5:$C$1004,MATCH(B63,'04_Pinjaman'!$A$5:$A$1004,0))))</f>
        <v>KKSUK-000127</v>
      </c>
      <c r="E63" s="22">
        <v>46258</v>
      </c>
      <c r="F63" s="23">
        <v>618335</v>
      </c>
      <c r="G63" s="21"/>
    </row>
    <row r="64" spans="1:7" ht="21" customHeight="1">
      <c r="A64" s="20">
        <f t="shared" si="0"/>
        <v>60</v>
      </c>
      <c r="B64" s="21">
        <v>13</v>
      </c>
      <c r="C64" s="20" t="str">
        <f>IF(B64="","",IF(COUNTIF('04_Pinjaman'!$A$5:$A$1004,B64)=0,"NO PINJAMAN TIDAK DITEMUKAN",INDEX('04_Pinjaman'!$B$5:$B$1004,MATCH(B64,'04_Pinjaman'!$A$5:$A$1004,0))))</f>
        <v>Alfian Noor</v>
      </c>
      <c r="D64" s="20" t="str">
        <f>IF(B64="","",IF(COUNTIF('04_Pinjaman'!$A$5:$A$1004,B64)=0,"NPP TIDAK DITEMUKAN",INDEX('04_Pinjaman'!$C$5:$C$1004,MATCH(B64,'04_Pinjaman'!$A$5:$A$1004,0))))</f>
        <v>KKSUK-000016</v>
      </c>
      <c r="E64" s="22">
        <v>46045</v>
      </c>
      <c r="F64" s="23">
        <v>4408333</v>
      </c>
      <c r="G64" s="21"/>
    </row>
    <row r="65" spans="1:7" ht="21" customHeight="1">
      <c r="A65" s="20">
        <f t="shared" si="0"/>
        <v>61</v>
      </c>
      <c r="B65" s="21">
        <v>13</v>
      </c>
      <c r="C65" s="20" t="str">
        <f>IF(B65="","",IF(COUNTIF('04_Pinjaman'!$A$5:$A$1004,B65)=0,"NO PINJAMAN TIDAK DITEMUKAN",INDEX('04_Pinjaman'!$B$5:$B$1004,MATCH(B65,'04_Pinjaman'!$A$5:$A$1004,0))))</f>
        <v>Alfian Noor</v>
      </c>
      <c r="D65" s="20" t="str">
        <f>IF(B65="","",IF(COUNTIF('04_Pinjaman'!$A$5:$A$1004,B65)=0,"NPP TIDAK DITEMUKAN",INDEX('04_Pinjaman'!$C$5:$C$1004,MATCH(B65,'04_Pinjaman'!$A$5:$A$1004,0))))</f>
        <v>KKSUK-000016</v>
      </c>
      <c r="E65" s="22">
        <v>46078</v>
      </c>
      <c r="F65" s="23">
        <v>4408333</v>
      </c>
      <c r="G65" s="21"/>
    </row>
    <row r="66" spans="1:7" ht="21" customHeight="1">
      <c r="A66" s="20">
        <f t="shared" si="0"/>
        <v>62</v>
      </c>
      <c r="B66" s="21">
        <v>13</v>
      </c>
      <c r="C66" s="20" t="str">
        <f>IF(B66="","",IF(COUNTIF('04_Pinjaman'!$A$5:$A$1004,B66)=0,"NO PINJAMAN TIDAK DITEMUKAN",INDEX('04_Pinjaman'!$B$5:$B$1004,MATCH(B66,'04_Pinjaman'!$A$5:$A$1004,0))))</f>
        <v>Alfian Noor</v>
      </c>
      <c r="D66" s="20" t="str">
        <f>IF(B66="","",IF(COUNTIF('04_Pinjaman'!$A$5:$A$1004,B66)=0,"NPP TIDAK DITEMUKAN",INDEX('04_Pinjaman'!$C$5:$C$1004,MATCH(B66,'04_Pinjaman'!$A$5:$A$1004,0))))</f>
        <v>KKSUK-000016</v>
      </c>
      <c r="E66" s="22">
        <v>46106</v>
      </c>
      <c r="F66" s="23">
        <v>4408333</v>
      </c>
      <c r="G66" s="21"/>
    </row>
    <row r="67" spans="1:7" ht="21" customHeight="1">
      <c r="A67" s="20">
        <f t="shared" si="0"/>
        <v>63</v>
      </c>
      <c r="B67" s="21">
        <v>13</v>
      </c>
      <c r="C67" s="20" t="str">
        <f>IF(B67="","",IF(COUNTIF('04_Pinjaman'!$A$5:$A$1004,B67)=0,"NO PINJAMAN TIDAK DITEMUKAN",INDEX('04_Pinjaman'!$B$5:$B$1004,MATCH(B67,'04_Pinjaman'!$A$5:$A$1004,0))))</f>
        <v>Alfian Noor</v>
      </c>
      <c r="D67" s="20" t="str">
        <f>IF(B67="","",IF(COUNTIF('04_Pinjaman'!$A$5:$A$1004,B67)=0,"NPP TIDAK DITEMUKAN",INDEX('04_Pinjaman'!$C$5:$C$1004,MATCH(B67,'04_Pinjaman'!$A$5:$A$1004,0))))</f>
        <v>KKSUK-000016</v>
      </c>
      <c r="E67" s="22">
        <v>46136</v>
      </c>
      <c r="F67" s="23">
        <v>4408333</v>
      </c>
      <c r="G67" s="21"/>
    </row>
    <row r="68" spans="1:7" ht="21" customHeight="1">
      <c r="A68" s="20">
        <f t="shared" si="0"/>
        <v>64</v>
      </c>
      <c r="B68" s="21">
        <v>13</v>
      </c>
      <c r="C68" s="20" t="str">
        <f>IF(B68="","",IF(COUNTIF('04_Pinjaman'!$A$5:$A$1004,B68)=0,"NO PINJAMAN TIDAK DITEMUKAN",INDEX('04_Pinjaman'!$B$5:$B$1004,MATCH(B68,'04_Pinjaman'!$A$5:$A$1004,0))))</f>
        <v>Alfian Noor</v>
      </c>
      <c r="D68" s="20" t="str">
        <f>IF(B68="","",IF(COUNTIF('04_Pinjaman'!$A$5:$A$1004,B68)=0,"NPP TIDAK DITEMUKAN",INDEX('04_Pinjaman'!$C$5:$C$1004,MATCH(B68,'04_Pinjaman'!$A$5:$A$1004,0))))</f>
        <v>KKSUK-000016</v>
      </c>
      <c r="E68" s="22">
        <v>46167</v>
      </c>
      <c r="F68" s="23">
        <v>4408333</v>
      </c>
      <c r="G68" s="21"/>
    </row>
    <row r="69" spans="1:7" ht="21" customHeight="1">
      <c r="A69" s="20">
        <f t="shared" ref="A69:A132" si="1">IF(B69="","",ROW()-4)</f>
        <v>65</v>
      </c>
      <c r="B69" s="21">
        <v>13</v>
      </c>
      <c r="C69" s="20" t="str">
        <f>IF(B69="","",IF(COUNTIF('04_Pinjaman'!$A$5:$A$1004,B69)=0,"NO PINJAMAN TIDAK DITEMUKAN",INDEX('04_Pinjaman'!$B$5:$B$1004,MATCH(B69,'04_Pinjaman'!$A$5:$A$1004,0))))</f>
        <v>Alfian Noor</v>
      </c>
      <c r="D69" s="20" t="str">
        <f>IF(B69="","",IF(COUNTIF('04_Pinjaman'!$A$5:$A$1004,B69)=0,"NPP TIDAK DITEMUKAN",INDEX('04_Pinjaman'!$C$5:$C$1004,MATCH(B69,'04_Pinjaman'!$A$5:$A$1004,0))))</f>
        <v>KKSUK-000016</v>
      </c>
      <c r="E69" s="22">
        <v>46198</v>
      </c>
      <c r="F69" s="23">
        <v>4408333</v>
      </c>
      <c r="G69" s="21"/>
    </row>
    <row r="70" spans="1:7" ht="21" customHeight="1">
      <c r="A70" s="20">
        <f t="shared" si="1"/>
        <v>66</v>
      </c>
      <c r="B70" s="21">
        <v>13</v>
      </c>
      <c r="C70" s="20" t="str">
        <f>IF(B70="","",IF(COUNTIF('04_Pinjaman'!$A$5:$A$1004,B70)=0,"NO PINJAMAN TIDAK DITEMUKAN",INDEX('04_Pinjaman'!$B$5:$B$1004,MATCH(B70,'04_Pinjaman'!$A$5:$A$1004,0))))</f>
        <v>Alfian Noor</v>
      </c>
      <c r="D70" s="20" t="str">
        <f>IF(B70="","",IF(COUNTIF('04_Pinjaman'!$A$5:$A$1004,B70)=0,"NPP TIDAK DITEMUKAN",INDEX('04_Pinjaman'!$C$5:$C$1004,MATCH(B70,'04_Pinjaman'!$A$5:$A$1004,0))))</f>
        <v>KKSUK-000016</v>
      </c>
      <c r="E70" s="22">
        <v>46227</v>
      </c>
      <c r="F70" s="23">
        <v>4408333</v>
      </c>
      <c r="G70" s="21"/>
    </row>
    <row r="71" spans="1:7" ht="21" customHeight="1">
      <c r="A71" s="20">
        <f t="shared" si="1"/>
        <v>67</v>
      </c>
      <c r="B71" s="21">
        <v>13</v>
      </c>
      <c r="C71" s="20" t="str">
        <f>IF(B71="","",IF(COUNTIF('04_Pinjaman'!$A$5:$A$1004,B71)=0,"NO PINJAMAN TIDAK DITEMUKAN",INDEX('04_Pinjaman'!$B$5:$B$1004,MATCH(B71,'04_Pinjaman'!$A$5:$A$1004,0))))</f>
        <v>Alfian Noor</v>
      </c>
      <c r="D71" s="20" t="str">
        <f>IF(B71="","",IF(COUNTIF('04_Pinjaman'!$A$5:$A$1004,B71)=0,"NPP TIDAK DITEMUKAN",INDEX('04_Pinjaman'!$C$5:$C$1004,MATCH(B71,'04_Pinjaman'!$A$5:$A$1004,0))))</f>
        <v>KKSUK-000016</v>
      </c>
      <c r="E71" s="22">
        <v>46258</v>
      </c>
      <c r="F71" s="23">
        <v>4408333</v>
      </c>
      <c r="G71" s="21"/>
    </row>
    <row r="72" spans="1:7" ht="21" customHeight="1">
      <c r="A72" s="20">
        <f t="shared" si="1"/>
        <v>68</v>
      </c>
      <c r="B72" s="21">
        <v>14</v>
      </c>
      <c r="C72" s="20" t="str">
        <f>IF(B72="","",IF(COUNTIF('04_Pinjaman'!$A$5:$A$1004,B72)=0,"NO PINJAMAN TIDAK DITEMUKAN",INDEX('04_Pinjaman'!$B$5:$B$1004,MATCH(B72,'04_Pinjaman'!$A$5:$A$1004,0))))</f>
        <v>Allan Louby Van Houten</v>
      </c>
      <c r="D72" s="20" t="str">
        <f>IF(B72="","",IF(COUNTIF('04_Pinjaman'!$A$5:$A$1004,B72)=0,"NPP TIDAK DITEMUKAN",INDEX('04_Pinjaman'!$C$5:$C$1004,MATCH(B72,'04_Pinjaman'!$A$5:$A$1004,0))))</f>
        <v>KKSUK-000125</v>
      </c>
      <c r="E72" s="22">
        <v>45863</v>
      </c>
      <c r="F72" s="23">
        <v>775000</v>
      </c>
      <c r="G72" s="21"/>
    </row>
    <row r="73" spans="1:7" ht="21" customHeight="1">
      <c r="A73" s="20">
        <f t="shared" si="1"/>
        <v>69</v>
      </c>
      <c r="B73" s="21">
        <v>14</v>
      </c>
      <c r="C73" s="20" t="str">
        <f>IF(B73="","",IF(COUNTIF('04_Pinjaman'!$A$5:$A$1004,B73)=0,"NO PINJAMAN TIDAK DITEMUKAN",INDEX('04_Pinjaman'!$B$5:$B$1004,MATCH(B73,'04_Pinjaman'!$A$5:$A$1004,0))))</f>
        <v>Allan Louby Van Houten</v>
      </c>
      <c r="D73" s="20" t="str">
        <f>IF(B73="","",IF(COUNTIF('04_Pinjaman'!$A$5:$A$1004,B73)=0,"NPP TIDAK DITEMUKAN",INDEX('04_Pinjaman'!$C$5:$C$1004,MATCH(B73,'04_Pinjaman'!$A$5:$A$1004,0))))</f>
        <v>KKSUK-000125</v>
      </c>
      <c r="E73" s="22">
        <v>45894</v>
      </c>
      <c r="F73" s="23">
        <v>775000</v>
      </c>
      <c r="G73" s="21"/>
    </row>
    <row r="74" spans="1:7" ht="21" customHeight="1">
      <c r="A74" s="20">
        <f t="shared" si="1"/>
        <v>70</v>
      </c>
      <c r="B74" s="21">
        <v>14</v>
      </c>
      <c r="C74" s="20" t="str">
        <f>IF(B74="","",IF(COUNTIF('04_Pinjaman'!$A$5:$A$1004,B74)=0,"NO PINJAMAN TIDAK DITEMUKAN",INDEX('04_Pinjaman'!$B$5:$B$1004,MATCH(B74,'04_Pinjaman'!$A$5:$A$1004,0))))</f>
        <v>Allan Louby Van Houten</v>
      </c>
      <c r="D74" s="20" t="str">
        <f>IF(B74="","",IF(COUNTIF('04_Pinjaman'!$A$5:$A$1004,B74)=0,"NPP TIDAK DITEMUKAN",INDEX('04_Pinjaman'!$C$5:$C$1004,MATCH(B74,'04_Pinjaman'!$A$5:$A$1004,0))))</f>
        <v>KKSUK-000125</v>
      </c>
      <c r="E74" s="22">
        <v>45925</v>
      </c>
      <c r="F74" s="23">
        <v>775000</v>
      </c>
      <c r="G74" s="21"/>
    </row>
    <row r="75" spans="1:7" ht="21" customHeight="1">
      <c r="A75" s="20">
        <f t="shared" si="1"/>
        <v>71</v>
      </c>
      <c r="B75" s="21">
        <v>14</v>
      </c>
      <c r="C75" s="20" t="str">
        <f>IF(B75="","",IF(COUNTIF('04_Pinjaman'!$A$5:$A$1004,B75)=0,"NO PINJAMAN TIDAK DITEMUKAN",INDEX('04_Pinjaman'!$B$5:$B$1004,MATCH(B75,'04_Pinjaman'!$A$5:$A$1004,0))))</f>
        <v>Allan Louby Van Houten</v>
      </c>
      <c r="D75" s="20" t="str">
        <f>IF(B75="","",IF(COUNTIF('04_Pinjaman'!$A$5:$A$1004,B75)=0,"NPP TIDAK DITEMUKAN",INDEX('04_Pinjaman'!$C$5:$C$1004,MATCH(B75,'04_Pinjaman'!$A$5:$A$1004,0))))</f>
        <v>KKSUK-000125</v>
      </c>
      <c r="E75" s="22">
        <v>45954</v>
      </c>
      <c r="F75" s="23">
        <v>775000</v>
      </c>
      <c r="G75" s="21"/>
    </row>
    <row r="76" spans="1:7" ht="21" customHeight="1">
      <c r="A76" s="20">
        <f t="shared" si="1"/>
        <v>72</v>
      </c>
      <c r="B76" s="21">
        <v>14</v>
      </c>
      <c r="C76" s="20" t="str">
        <f>IF(B76="","",IF(COUNTIF('04_Pinjaman'!$A$5:$A$1004,B76)=0,"NO PINJAMAN TIDAK DITEMUKAN",INDEX('04_Pinjaman'!$B$5:$B$1004,MATCH(B76,'04_Pinjaman'!$A$5:$A$1004,0))))</f>
        <v>Allan Louby Van Houten</v>
      </c>
      <c r="D76" s="20" t="str">
        <f>IF(B76="","",IF(COUNTIF('04_Pinjaman'!$A$5:$A$1004,B76)=0,"NPP TIDAK DITEMUKAN",INDEX('04_Pinjaman'!$C$5:$C$1004,MATCH(B76,'04_Pinjaman'!$A$5:$A$1004,0))))</f>
        <v>KKSUK-000125</v>
      </c>
      <c r="E76" s="22">
        <v>45986</v>
      </c>
      <c r="F76" s="23">
        <v>775000</v>
      </c>
      <c r="G76" s="21"/>
    </row>
    <row r="77" spans="1:7" ht="21" customHeight="1">
      <c r="A77" s="20">
        <f t="shared" si="1"/>
        <v>73</v>
      </c>
      <c r="B77" s="21">
        <v>14</v>
      </c>
      <c r="C77" s="20" t="str">
        <f>IF(B77="","",IF(COUNTIF('04_Pinjaman'!$A$5:$A$1004,B77)=0,"NO PINJAMAN TIDAK DITEMUKAN",INDEX('04_Pinjaman'!$B$5:$B$1004,MATCH(B77,'04_Pinjaman'!$A$5:$A$1004,0))))</f>
        <v>Allan Louby Van Houten</v>
      </c>
      <c r="D77" s="20" t="str">
        <f>IF(B77="","",IF(COUNTIF('04_Pinjaman'!$A$5:$A$1004,B77)=0,"NPP TIDAK DITEMUKAN",INDEX('04_Pinjaman'!$C$5:$C$1004,MATCH(B77,'04_Pinjaman'!$A$5:$A$1004,0))))</f>
        <v>KKSUK-000125</v>
      </c>
      <c r="E77" s="22">
        <v>46010</v>
      </c>
      <c r="F77" s="23">
        <v>775000</v>
      </c>
      <c r="G77" s="21"/>
    </row>
    <row r="78" spans="1:7" ht="21" customHeight="1">
      <c r="A78" s="20">
        <f t="shared" si="1"/>
        <v>74</v>
      </c>
      <c r="B78" s="21">
        <v>14</v>
      </c>
      <c r="C78" s="20" t="str">
        <f>IF(B78="","",IF(COUNTIF('04_Pinjaman'!$A$5:$A$1004,B78)=0,"NO PINJAMAN TIDAK DITEMUKAN",INDEX('04_Pinjaman'!$B$5:$B$1004,MATCH(B78,'04_Pinjaman'!$A$5:$A$1004,0))))</f>
        <v>Allan Louby Van Houten</v>
      </c>
      <c r="D78" s="20" t="str">
        <f>IF(B78="","",IF(COUNTIF('04_Pinjaman'!$A$5:$A$1004,B78)=0,"NPP TIDAK DITEMUKAN",INDEX('04_Pinjaman'!$C$5:$C$1004,MATCH(B78,'04_Pinjaman'!$A$5:$A$1004,0))))</f>
        <v>KKSUK-000125</v>
      </c>
      <c r="E78" s="22">
        <v>46045</v>
      </c>
      <c r="F78" s="23">
        <v>775000</v>
      </c>
      <c r="G78" s="21"/>
    </row>
    <row r="79" spans="1:7" ht="21" customHeight="1">
      <c r="A79" s="20">
        <f t="shared" si="1"/>
        <v>75</v>
      </c>
      <c r="B79" s="21">
        <v>14</v>
      </c>
      <c r="C79" s="20" t="str">
        <f>IF(B79="","",IF(COUNTIF('04_Pinjaman'!$A$5:$A$1004,B79)=0,"NO PINJAMAN TIDAK DITEMUKAN",INDEX('04_Pinjaman'!$B$5:$B$1004,MATCH(B79,'04_Pinjaman'!$A$5:$A$1004,0))))</f>
        <v>Allan Louby Van Houten</v>
      </c>
      <c r="D79" s="20" t="str">
        <f>IF(B79="","",IF(COUNTIF('04_Pinjaman'!$A$5:$A$1004,B79)=0,"NPP TIDAK DITEMUKAN",INDEX('04_Pinjaman'!$C$5:$C$1004,MATCH(B79,'04_Pinjaman'!$A$5:$A$1004,0))))</f>
        <v>KKSUK-000125</v>
      </c>
      <c r="E79" s="22">
        <v>46078</v>
      </c>
      <c r="F79" s="23">
        <v>775000</v>
      </c>
      <c r="G79" s="21"/>
    </row>
    <row r="80" spans="1:7" ht="21" customHeight="1">
      <c r="A80" s="20">
        <f t="shared" si="1"/>
        <v>76</v>
      </c>
      <c r="B80" s="21">
        <v>14</v>
      </c>
      <c r="C80" s="20" t="str">
        <f>IF(B80="","",IF(COUNTIF('04_Pinjaman'!$A$5:$A$1004,B80)=0,"NO PINJAMAN TIDAK DITEMUKAN",INDEX('04_Pinjaman'!$B$5:$B$1004,MATCH(B80,'04_Pinjaman'!$A$5:$A$1004,0))))</f>
        <v>Allan Louby Van Houten</v>
      </c>
      <c r="D80" s="20" t="str">
        <f>IF(B80="","",IF(COUNTIF('04_Pinjaman'!$A$5:$A$1004,B80)=0,"NPP TIDAK DITEMUKAN",INDEX('04_Pinjaman'!$C$5:$C$1004,MATCH(B80,'04_Pinjaman'!$A$5:$A$1004,0))))</f>
        <v>KKSUK-000125</v>
      </c>
      <c r="E80" s="22">
        <v>46106</v>
      </c>
      <c r="F80" s="23">
        <v>775000</v>
      </c>
      <c r="G80" s="21"/>
    </row>
    <row r="81" spans="1:7" ht="21" customHeight="1">
      <c r="A81" s="20">
        <f t="shared" si="1"/>
        <v>77</v>
      </c>
      <c r="B81" s="21">
        <v>14</v>
      </c>
      <c r="C81" s="20" t="str">
        <f>IF(B81="","",IF(COUNTIF('04_Pinjaman'!$A$5:$A$1004,B81)=0,"NO PINJAMAN TIDAK DITEMUKAN",INDEX('04_Pinjaman'!$B$5:$B$1004,MATCH(B81,'04_Pinjaman'!$A$5:$A$1004,0))))</f>
        <v>Allan Louby Van Houten</v>
      </c>
      <c r="D81" s="20" t="str">
        <f>IF(B81="","",IF(COUNTIF('04_Pinjaman'!$A$5:$A$1004,B81)=0,"NPP TIDAK DITEMUKAN",INDEX('04_Pinjaman'!$C$5:$C$1004,MATCH(B81,'04_Pinjaman'!$A$5:$A$1004,0))))</f>
        <v>KKSUK-000125</v>
      </c>
      <c r="E81" s="22">
        <v>46136</v>
      </c>
      <c r="F81" s="23">
        <v>775000</v>
      </c>
      <c r="G81" s="21"/>
    </row>
    <row r="82" spans="1:7" ht="21" customHeight="1">
      <c r="A82" s="20">
        <f t="shared" si="1"/>
        <v>78</v>
      </c>
      <c r="B82" s="21">
        <v>14</v>
      </c>
      <c r="C82" s="20" t="str">
        <f>IF(B82="","",IF(COUNTIF('04_Pinjaman'!$A$5:$A$1004,B82)=0,"NO PINJAMAN TIDAK DITEMUKAN",INDEX('04_Pinjaman'!$B$5:$B$1004,MATCH(B82,'04_Pinjaman'!$A$5:$A$1004,0))))</f>
        <v>Allan Louby Van Houten</v>
      </c>
      <c r="D82" s="20" t="str">
        <f>IF(B82="","",IF(COUNTIF('04_Pinjaman'!$A$5:$A$1004,B82)=0,"NPP TIDAK DITEMUKAN",INDEX('04_Pinjaman'!$C$5:$C$1004,MATCH(B82,'04_Pinjaman'!$A$5:$A$1004,0))))</f>
        <v>KKSUK-000125</v>
      </c>
      <c r="E82" s="22">
        <v>46150</v>
      </c>
      <c r="F82" s="23">
        <v>10850000</v>
      </c>
      <c r="G82" s="21"/>
    </row>
    <row r="83" spans="1:7" ht="21" customHeight="1">
      <c r="A83" s="20">
        <f t="shared" si="1"/>
        <v>79</v>
      </c>
      <c r="B83" s="21">
        <v>15</v>
      </c>
      <c r="C83" s="20" t="str">
        <f>IF(B83="","",IF(COUNTIF('04_Pinjaman'!$A$5:$A$1004,B83)=0,"NO PINJAMAN TIDAK DITEMUKAN",INDEX('04_Pinjaman'!$B$5:$B$1004,MATCH(B83,'04_Pinjaman'!$A$5:$A$1004,0))))</f>
        <v>Amir Suroto</v>
      </c>
      <c r="D83" s="20" t="str">
        <f>IF(B83="","",IF(COUNTIF('04_Pinjaman'!$A$5:$A$1004,B83)=0,"NPP TIDAK DITEMUKAN",INDEX('04_Pinjaman'!$C$5:$C$1004,MATCH(B83,'04_Pinjaman'!$A$5:$A$1004,0))))</f>
        <v>KKSUK-000121</v>
      </c>
      <c r="E83" s="22">
        <v>46010</v>
      </c>
      <c r="F83" s="23">
        <v>2200000</v>
      </c>
      <c r="G83" s="21"/>
    </row>
    <row r="84" spans="1:7" ht="21" customHeight="1">
      <c r="A84" s="20">
        <f t="shared" si="1"/>
        <v>80</v>
      </c>
      <c r="B84" s="21">
        <v>15</v>
      </c>
      <c r="C84" s="20" t="str">
        <f>IF(B84="","",IF(COUNTIF('04_Pinjaman'!$A$5:$A$1004,B84)=0,"NO PINJAMAN TIDAK DITEMUKAN",INDEX('04_Pinjaman'!$B$5:$B$1004,MATCH(B84,'04_Pinjaman'!$A$5:$A$1004,0))))</f>
        <v>Amir Suroto</v>
      </c>
      <c r="D84" s="20" t="str">
        <f>IF(B84="","",IF(COUNTIF('04_Pinjaman'!$A$5:$A$1004,B84)=0,"NPP TIDAK DITEMUKAN",INDEX('04_Pinjaman'!$C$5:$C$1004,MATCH(B84,'04_Pinjaman'!$A$5:$A$1004,0))))</f>
        <v>KKSUK-000121</v>
      </c>
      <c r="E84" s="22">
        <v>46045</v>
      </c>
      <c r="F84" s="23">
        <v>2200000</v>
      </c>
      <c r="G84" s="21"/>
    </row>
    <row r="85" spans="1:7" ht="21" customHeight="1">
      <c r="A85" s="20">
        <f t="shared" si="1"/>
        <v>81</v>
      </c>
      <c r="B85" s="21">
        <v>15</v>
      </c>
      <c r="C85" s="20" t="str">
        <f>IF(B85="","",IF(COUNTIF('04_Pinjaman'!$A$5:$A$1004,B85)=0,"NO PINJAMAN TIDAK DITEMUKAN",INDEX('04_Pinjaman'!$B$5:$B$1004,MATCH(B85,'04_Pinjaman'!$A$5:$A$1004,0))))</f>
        <v>Amir Suroto</v>
      </c>
      <c r="D85" s="20" t="str">
        <f>IF(B85="","",IF(COUNTIF('04_Pinjaman'!$A$5:$A$1004,B85)=0,"NPP TIDAK DITEMUKAN",INDEX('04_Pinjaman'!$C$5:$C$1004,MATCH(B85,'04_Pinjaman'!$A$5:$A$1004,0))))</f>
        <v>KKSUK-000121</v>
      </c>
      <c r="E85" s="22">
        <v>46078</v>
      </c>
      <c r="F85" s="23">
        <v>2200000</v>
      </c>
      <c r="G85" s="21"/>
    </row>
    <row r="86" spans="1:7" ht="21" customHeight="1">
      <c r="A86" s="20">
        <f t="shared" si="1"/>
        <v>82</v>
      </c>
      <c r="B86" s="21">
        <v>15</v>
      </c>
      <c r="C86" s="20" t="str">
        <f>IF(B86="","",IF(COUNTIF('04_Pinjaman'!$A$5:$A$1004,B86)=0,"NO PINJAMAN TIDAK DITEMUKAN",INDEX('04_Pinjaman'!$B$5:$B$1004,MATCH(B86,'04_Pinjaman'!$A$5:$A$1004,0))))</f>
        <v>Amir Suroto</v>
      </c>
      <c r="D86" s="20" t="str">
        <f>IF(B86="","",IF(COUNTIF('04_Pinjaman'!$A$5:$A$1004,B86)=0,"NPP TIDAK DITEMUKAN",INDEX('04_Pinjaman'!$C$5:$C$1004,MATCH(B86,'04_Pinjaman'!$A$5:$A$1004,0))))</f>
        <v>KKSUK-000121</v>
      </c>
      <c r="E86" s="22">
        <v>46106</v>
      </c>
      <c r="F86" s="23">
        <v>2200000</v>
      </c>
      <c r="G86" s="21"/>
    </row>
    <row r="87" spans="1:7" ht="21" customHeight="1">
      <c r="A87" s="20">
        <f t="shared" si="1"/>
        <v>83</v>
      </c>
      <c r="B87" s="21">
        <v>15</v>
      </c>
      <c r="C87" s="20" t="str">
        <f>IF(B87="","",IF(COUNTIF('04_Pinjaman'!$A$5:$A$1004,B87)=0,"NO PINJAMAN TIDAK DITEMUKAN",INDEX('04_Pinjaman'!$B$5:$B$1004,MATCH(B87,'04_Pinjaman'!$A$5:$A$1004,0))))</f>
        <v>Amir Suroto</v>
      </c>
      <c r="D87" s="20" t="str">
        <f>IF(B87="","",IF(COUNTIF('04_Pinjaman'!$A$5:$A$1004,B87)=0,"NPP TIDAK DITEMUKAN",INDEX('04_Pinjaman'!$C$5:$C$1004,MATCH(B87,'04_Pinjaman'!$A$5:$A$1004,0))))</f>
        <v>KKSUK-000121</v>
      </c>
      <c r="E87" s="22">
        <v>46136</v>
      </c>
      <c r="F87" s="23">
        <v>2200000</v>
      </c>
      <c r="G87" s="21"/>
    </row>
    <row r="88" spans="1:7" ht="21" customHeight="1">
      <c r="A88" s="20">
        <f t="shared" si="1"/>
        <v>84</v>
      </c>
      <c r="B88" s="21">
        <v>15</v>
      </c>
      <c r="C88" s="20" t="str">
        <f>IF(B88="","",IF(COUNTIF('04_Pinjaman'!$A$5:$A$1004,B88)=0,"NO PINJAMAN TIDAK DITEMUKAN",INDEX('04_Pinjaman'!$B$5:$B$1004,MATCH(B88,'04_Pinjaman'!$A$5:$A$1004,0))))</f>
        <v>Amir Suroto</v>
      </c>
      <c r="D88" s="20" t="str">
        <f>IF(B88="","",IF(COUNTIF('04_Pinjaman'!$A$5:$A$1004,B88)=0,"NPP TIDAK DITEMUKAN",INDEX('04_Pinjaman'!$C$5:$C$1004,MATCH(B88,'04_Pinjaman'!$A$5:$A$1004,0))))</f>
        <v>KKSUK-000121</v>
      </c>
      <c r="E88" s="22">
        <v>46167</v>
      </c>
      <c r="F88" s="23">
        <v>2200000</v>
      </c>
      <c r="G88" s="21"/>
    </row>
    <row r="89" spans="1:7" ht="21" customHeight="1">
      <c r="A89" s="20">
        <f t="shared" si="1"/>
        <v>85</v>
      </c>
      <c r="B89" s="21">
        <v>15</v>
      </c>
      <c r="C89" s="20" t="str">
        <f>IF(B89="","",IF(COUNTIF('04_Pinjaman'!$A$5:$A$1004,B89)=0,"NO PINJAMAN TIDAK DITEMUKAN",INDEX('04_Pinjaman'!$B$5:$B$1004,MATCH(B89,'04_Pinjaman'!$A$5:$A$1004,0))))</f>
        <v>Amir Suroto</v>
      </c>
      <c r="D89" s="20" t="str">
        <f>IF(B89="","",IF(COUNTIF('04_Pinjaman'!$A$5:$A$1004,B89)=0,"NPP TIDAK DITEMUKAN",INDEX('04_Pinjaman'!$C$5:$C$1004,MATCH(B89,'04_Pinjaman'!$A$5:$A$1004,0))))</f>
        <v>KKSUK-000121</v>
      </c>
      <c r="E89" s="22">
        <v>46198</v>
      </c>
      <c r="F89" s="23">
        <v>2200000</v>
      </c>
      <c r="G89" s="21"/>
    </row>
    <row r="90" spans="1:7" ht="21" customHeight="1">
      <c r="A90" s="20">
        <f t="shared" si="1"/>
        <v>86</v>
      </c>
      <c r="B90" s="21">
        <v>15</v>
      </c>
      <c r="C90" s="20" t="str">
        <f>IF(B90="","",IF(COUNTIF('04_Pinjaman'!$A$5:$A$1004,B90)=0,"NO PINJAMAN TIDAK DITEMUKAN",INDEX('04_Pinjaman'!$B$5:$B$1004,MATCH(B90,'04_Pinjaman'!$A$5:$A$1004,0))))</f>
        <v>Amir Suroto</v>
      </c>
      <c r="D90" s="20" t="str">
        <f>IF(B90="","",IF(COUNTIF('04_Pinjaman'!$A$5:$A$1004,B90)=0,"NPP TIDAK DITEMUKAN",INDEX('04_Pinjaman'!$C$5:$C$1004,MATCH(B90,'04_Pinjaman'!$A$5:$A$1004,0))))</f>
        <v>KKSUK-000121</v>
      </c>
      <c r="E90" s="22">
        <v>46227</v>
      </c>
      <c r="F90" s="23">
        <v>2200000</v>
      </c>
      <c r="G90" s="21"/>
    </row>
    <row r="91" spans="1:7" ht="21" customHeight="1">
      <c r="A91" s="20">
        <f t="shared" si="1"/>
        <v>87</v>
      </c>
      <c r="B91" s="21">
        <v>15</v>
      </c>
      <c r="C91" s="20" t="str">
        <f>IF(B91="","",IF(COUNTIF('04_Pinjaman'!$A$5:$A$1004,B91)=0,"NO PINJAMAN TIDAK DITEMUKAN",INDEX('04_Pinjaman'!$B$5:$B$1004,MATCH(B91,'04_Pinjaman'!$A$5:$A$1004,0))))</f>
        <v>Amir Suroto</v>
      </c>
      <c r="D91" s="20" t="str">
        <f>IF(B91="","",IF(COUNTIF('04_Pinjaman'!$A$5:$A$1004,B91)=0,"NPP TIDAK DITEMUKAN",INDEX('04_Pinjaman'!$C$5:$C$1004,MATCH(B91,'04_Pinjaman'!$A$5:$A$1004,0))))</f>
        <v>KKSUK-000121</v>
      </c>
      <c r="E91" s="22">
        <v>46258</v>
      </c>
      <c r="F91" s="23">
        <v>2200000</v>
      </c>
      <c r="G91" s="21"/>
    </row>
    <row r="92" spans="1:7" ht="21" customHeight="1">
      <c r="A92" s="20">
        <f t="shared" si="1"/>
        <v>88</v>
      </c>
      <c r="B92" s="21">
        <v>16</v>
      </c>
      <c r="C92" s="20" t="str">
        <f>IF(B92="","",IF(COUNTIF('04_Pinjaman'!$A$5:$A$1004,B92)=0,"NO PINJAMAN TIDAK DITEMUKAN",INDEX('04_Pinjaman'!$B$5:$B$1004,MATCH(B92,'04_Pinjaman'!$A$5:$A$1004,0))))</f>
        <v>Andri Kurniawan</v>
      </c>
      <c r="D92" s="20" t="str">
        <f>IF(B92="","",IF(COUNTIF('04_Pinjaman'!$A$5:$A$1004,B92)=0,"NPP TIDAK DITEMUKAN",INDEX('04_Pinjaman'!$C$5:$C$1004,MATCH(B92,'04_Pinjaman'!$A$5:$A$1004,0))))</f>
        <v>KKSUK-000138</v>
      </c>
      <c r="E92" s="22">
        <v>45863</v>
      </c>
      <c r="F92" s="23">
        <v>1858333</v>
      </c>
      <c r="G92" s="21"/>
    </row>
    <row r="93" spans="1:7" ht="21" customHeight="1">
      <c r="A93" s="20">
        <f t="shared" si="1"/>
        <v>89</v>
      </c>
      <c r="B93" s="21">
        <v>16</v>
      </c>
      <c r="C93" s="20" t="str">
        <f>IF(B93="","",IF(COUNTIF('04_Pinjaman'!$A$5:$A$1004,B93)=0,"NO PINJAMAN TIDAK DITEMUKAN",INDEX('04_Pinjaman'!$B$5:$B$1004,MATCH(B93,'04_Pinjaman'!$A$5:$A$1004,0))))</f>
        <v>Andri Kurniawan</v>
      </c>
      <c r="D93" s="20" t="str">
        <f>IF(B93="","",IF(COUNTIF('04_Pinjaman'!$A$5:$A$1004,B93)=0,"NPP TIDAK DITEMUKAN",INDEX('04_Pinjaman'!$C$5:$C$1004,MATCH(B93,'04_Pinjaman'!$A$5:$A$1004,0))))</f>
        <v>KKSUK-000138</v>
      </c>
      <c r="E93" s="22">
        <v>45894</v>
      </c>
      <c r="F93" s="23">
        <v>1858333</v>
      </c>
      <c r="G93" s="21"/>
    </row>
    <row r="94" spans="1:7" ht="21" customHeight="1">
      <c r="A94" s="20">
        <f t="shared" si="1"/>
        <v>90</v>
      </c>
      <c r="B94" s="21">
        <v>16</v>
      </c>
      <c r="C94" s="20" t="str">
        <f>IF(B94="","",IF(COUNTIF('04_Pinjaman'!$A$5:$A$1004,B94)=0,"NO PINJAMAN TIDAK DITEMUKAN",INDEX('04_Pinjaman'!$B$5:$B$1004,MATCH(B94,'04_Pinjaman'!$A$5:$A$1004,0))))</f>
        <v>Andri Kurniawan</v>
      </c>
      <c r="D94" s="20" t="str">
        <f>IF(B94="","",IF(COUNTIF('04_Pinjaman'!$A$5:$A$1004,B94)=0,"NPP TIDAK DITEMUKAN",INDEX('04_Pinjaman'!$C$5:$C$1004,MATCH(B94,'04_Pinjaman'!$A$5:$A$1004,0))))</f>
        <v>KKSUK-000138</v>
      </c>
      <c r="E94" s="22">
        <v>45925</v>
      </c>
      <c r="F94" s="23">
        <v>1858333</v>
      </c>
      <c r="G94" s="21"/>
    </row>
    <row r="95" spans="1:7" ht="21" customHeight="1">
      <c r="A95" s="20">
        <f t="shared" si="1"/>
        <v>91</v>
      </c>
      <c r="B95" s="21">
        <v>16</v>
      </c>
      <c r="C95" s="20" t="str">
        <f>IF(B95="","",IF(COUNTIF('04_Pinjaman'!$A$5:$A$1004,B95)=0,"NO PINJAMAN TIDAK DITEMUKAN",INDEX('04_Pinjaman'!$B$5:$B$1004,MATCH(B95,'04_Pinjaman'!$A$5:$A$1004,0))))</f>
        <v>Andri Kurniawan</v>
      </c>
      <c r="D95" s="20" t="str">
        <f>IF(B95="","",IF(COUNTIF('04_Pinjaman'!$A$5:$A$1004,B95)=0,"NPP TIDAK DITEMUKAN",INDEX('04_Pinjaman'!$C$5:$C$1004,MATCH(B95,'04_Pinjaman'!$A$5:$A$1004,0))))</f>
        <v>KKSUK-000138</v>
      </c>
      <c r="E95" s="22">
        <v>45954</v>
      </c>
      <c r="F95" s="23">
        <v>1858333</v>
      </c>
      <c r="G95" s="21"/>
    </row>
    <row r="96" spans="1:7" ht="21" customHeight="1">
      <c r="A96" s="20">
        <f t="shared" si="1"/>
        <v>92</v>
      </c>
      <c r="B96" s="21">
        <v>16</v>
      </c>
      <c r="C96" s="20" t="str">
        <f>IF(B96="","",IF(COUNTIF('04_Pinjaman'!$A$5:$A$1004,B96)=0,"NO PINJAMAN TIDAK DITEMUKAN",INDEX('04_Pinjaman'!$B$5:$B$1004,MATCH(B96,'04_Pinjaman'!$A$5:$A$1004,0))))</f>
        <v>Andri Kurniawan</v>
      </c>
      <c r="D96" s="20" t="str">
        <f>IF(B96="","",IF(COUNTIF('04_Pinjaman'!$A$5:$A$1004,B96)=0,"NPP TIDAK DITEMUKAN",INDEX('04_Pinjaman'!$C$5:$C$1004,MATCH(B96,'04_Pinjaman'!$A$5:$A$1004,0))))</f>
        <v>KKSUK-000138</v>
      </c>
      <c r="E96" s="22">
        <v>45986</v>
      </c>
      <c r="F96" s="23">
        <v>1858333</v>
      </c>
      <c r="G96" s="21"/>
    </row>
    <row r="97" spans="1:7" ht="21" customHeight="1">
      <c r="A97" s="20">
        <f t="shared" si="1"/>
        <v>93</v>
      </c>
      <c r="B97" s="21">
        <v>16</v>
      </c>
      <c r="C97" s="20" t="str">
        <f>IF(B97="","",IF(COUNTIF('04_Pinjaman'!$A$5:$A$1004,B97)=0,"NO PINJAMAN TIDAK DITEMUKAN",INDEX('04_Pinjaman'!$B$5:$B$1004,MATCH(B97,'04_Pinjaman'!$A$5:$A$1004,0))))</f>
        <v>Andri Kurniawan</v>
      </c>
      <c r="D97" s="20" t="str">
        <f>IF(B97="","",IF(COUNTIF('04_Pinjaman'!$A$5:$A$1004,B97)=0,"NPP TIDAK DITEMUKAN",INDEX('04_Pinjaman'!$C$5:$C$1004,MATCH(B97,'04_Pinjaman'!$A$5:$A$1004,0))))</f>
        <v>KKSUK-000138</v>
      </c>
      <c r="E97" s="22">
        <v>46010</v>
      </c>
      <c r="F97" s="23">
        <v>1858333</v>
      </c>
      <c r="G97" s="21"/>
    </row>
    <row r="98" spans="1:7" ht="21" customHeight="1">
      <c r="A98" s="20">
        <f t="shared" si="1"/>
        <v>94</v>
      </c>
      <c r="B98" s="21">
        <v>16</v>
      </c>
      <c r="C98" s="20" t="str">
        <f>IF(B98="","",IF(COUNTIF('04_Pinjaman'!$A$5:$A$1004,B98)=0,"NO PINJAMAN TIDAK DITEMUKAN",INDEX('04_Pinjaman'!$B$5:$B$1004,MATCH(B98,'04_Pinjaman'!$A$5:$A$1004,0))))</f>
        <v>Andri Kurniawan</v>
      </c>
      <c r="D98" s="20" t="str">
        <f>IF(B98="","",IF(COUNTIF('04_Pinjaman'!$A$5:$A$1004,B98)=0,"NPP TIDAK DITEMUKAN",INDEX('04_Pinjaman'!$C$5:$C$1004,MATCH(B98,'04_Pinjaman'!$A$5:$A$1004,0))))</f>
        <v>KKSUK-000138</v>
      </c>
      <c r="E98" s="22">
        <v>46045</v>
      </c>
      <c r="F98" s="23">
        <v>1858333</v>
      </c>
      <c r="G98" s="21"/>
    </row>
    <row r="99" spans="1:7" ht="21" customHeight="1">
      <c r="A99" s="20">
        <f t="shared" si="1"/>
        <v>95</v>
      </c>
      <c r="B99" s="21">
        <v>16</v>
      </c>
      <c r="C99" s="20" t="str">
        <f>IF(B99="","",IF(COUNTIF('04_Pinjaman'!$A$5:$A$1004,B99)=0,"NO PINJAMAN TIDAK DITEMUKAN",INDEX('04_Pinjaman'!$B$5:$B$1004,MATCH(B99,'04_Pinjaman'!$A$5:$A$1004,0))))</f>
        <v>Andri Kurniawan</v>
      </c>
      <c r="D99" s="20" t="str">
        <f>IF(B99="","",IF(COUNTIF('04_Pinjaman'!$A$5:$A$1004,B99)=0,"NPP TIDAK DITEMUKAN",INDEX('04_Pinjaman'!$C$5:$C$1004,MATCH(B99,'04_Pinjaman'!$A$5:$A$1004,0))))</f>
        <v>KKSUK-000138</v>
      </c>
      <c r="E99" s="22">
        <v>46078</v>
      </c>
      <c r="F99" s="23">
        <v>1858333</v>
      </c>
      <c r="G99" s="21"/>
    </row>
    <row r="100" spans="1:7" ht="21" customHeight="1">
      <c r="A100" s="20">
        <f t="shared" si="1"/>
        <v>96</v>
      </c>
      <c r="B100" s="21">
        <v>16</v>
      </c>
      <c r="C100" s="20" t="str">
        <f>IF(B100="","",IF(COUNTIF('04_Pinjaman'!$A$5:$A$1004,B100)=0,"NO PINJAMAN TIDAK DITEMUKAN",INDEX('04_Pinjaman'!$B$5:$B$1004,MATCH(B100,'04_Pinjaman'!$A$5:$A$1004,0))))</f>
        <v>Andri Kurniawan</v>
      </c>
      <c r="D100" s="20" t="str">
        <f>IF(B100="","",IF(COUNTIF('04_Pinjaman'!$A$5:$A$1004,B100)=0,"NPP TIDAK DITEMUKAN",INDEX('04_Pinjaman'!$C$5:$C$1004,MATCH(B100,'04_Pinjaman'!$A$5:$A$1004,0))))</f>
        <v>KKSUK-000138</v>
      </c>
      <c r="E100" s="22">
        <v>46106</v>
      </c>
      <c r="F100" s="23">
        <v>1858333</v>
      </c>
      <c r="G100" s="21"/>
    </row>
    <row r="101" spans="1:7" ht="21" customHeight="1">
      <c r="A101" s="20">
        <f t="shared" si="1"/>
        <v>97</v>
      </c>
      <c r="B101" s="21">
        <v>16</v>
      </c>
      <c r="C101" s="20" t="str">
        <f>IF(B101="","",IF(COUNTIF('04_Pinjaman'!$A$5:$A$1004,B101)=0,"NO PINJAMAN TIDAK DITEMUKAN",INDEX('04_Pinjaman'!$B$5:$B$1004,MATCH(B101,'04_Pinjaman'!$A$5:$A$1004,0))))</f>
        <v>Andri Kurniawan</v>
      </c>
      <c r="D101" s="20" t="str">
        <f>IF(B101="","",IF(COUNTIF('04_Pinjaman'!$A$5:$A$1004,B101)=0,"NPP TIDAK DITEMUKAN",INDEX('04_Pinjaman'!$C$5:$C$1004,MATCH(B101,'04_Pinjaman'!$A$5:$A$1004,0))))</f>
        <v>KKSUK-000138</v>
      </c>
      <c r="E101" s="22">
        <v>46136</v>
      </c>
      <c r="F101" s="23">
        <v>1858333</v>
      </c>
      <c r="G101" s="21"/>
    </row>
    <row r="102" spans="1:7" ht="21" customHeight="1">
      <c r="A102" s="20">
        <f t="shared" si="1"/>
        <v>98</v>
      </c>
      <c r="B102" s="21">
        <v>16</v>
      </c>
      <c r="C102" s="20" t="str">
        <f>IF(B102="","",IF(COUNTIF('04_Pinjaman'!$A$5:$A$1004,B102)=0,"NO PINJAMAN TIDAK DITEMUKAN",INDEX('04_Pinjaman'!$B$5:$B$1004,MATCH(B102,'04_Pinjaman'!$A$5:$A$1004,0))))</f>
        <v>Andri Kurniawan</v>
      </c>
      <c r="D102" s="20" t="str">
        <f>IF(B102="","",IF(COUNTIF('04_Pinjaman'!$A$5:$A$1004,B102)=0,"NPP TIDAK DITEMUKAN",INDEX('04_Pinjaman'!$C$5:$C$1004,MATCH(B102,'04_Pinjaman'!$A$5:$A$1004,0))))</f>
        <v>KKSUK-000138</v>
      </c>
      <c r="E102" s="22">
        <v>46167</v>
      </c>
      <c r="F102" s="23">
        <v>1858333</v>
      </c>
      <c r="G102" s="21"/>
    </row>
    <row r="103" spans="1:7" ht="21" customHeight="1">
      <c r="A103" s="20">
        <f t="shared" si="1"/>
        <v>99</v>
      </c>
      <c r="B103" s="21">
        <v>16</v>
      </c>
      <c r="C103" s="20" t="str">
        <f>IF(B103="","",IF(COUNTIF('04_Pinjaman'!$A$5:$A$1004,B103)=0,"NO PINJAMAN TIDAK DITEMUKAN",INDEX('04_Pinjaman'!$B$5:$B$1004,MATCH(B103,'04_Pinjaman'!$A$5:$A$1004,0))))</f>
        <v>Andri Kurniawan</v>
      </c>
      <c r="D103" s="20" t="str">
        <f>IF(B103="","",IF(COUNTIF('04_Pinjaman'!$A$5:$A$1004,B103)=0,"NPP TIDAK DITEMUKAN",INDEX('04_Pinjaman'!$C$5:$C$1004,MATCH(B103,'04_Pinjaman'!$A$5:$A$1004,0))))</f>
        <v>KKSUK-000138</v>
      </c>
      <c r="E103" s="22">
        <v>46198</v>
      </c>
      <c r="F103" s="23">
        <v>1858333</v>
      </c>
      <c r="G103" s="21"/>
    </row>
    <row r="104" spans="1:7" ht="21" customHeight="1">
      <c r="A104" s="20">
        <f t="shared" si="1"/>
        <v>100</v>
      </c>
      <c r="B104" s="21">
        <v>16</v>
      </c>
      <c r="C104" s="20" t="str">
        <f>IF(B104="","",IF(COUNTIF('04_Pinjaman'!$A$5:$A$1004,B104)=0,"NO PINJAMAN TIDAK DITEMUKAN",INDEX('04_Pinjaman'!$B$5:$B$1004,MATCH(B104,'04_Pinjaman'!$A$5:$A$1004,0))))</f>
        <v>Andri Kurniawan</v>
      </c>
      <c r="D104" s="20" t="str">
        <f>IF(B104="","",IF(COUNTIF('04_Pinjaman'!$A$5:$A$1004,B104)=0,"NPP TIDAK DITEMUKAN",INDEX('04_Pinjaman'!$C$5:$C$1004,MATCH(B104,'04_Pinjaman'!$A$5:$A$1004,0))))</f>
        <v>KKSUK-000138</v>
      </c>
      <c r="E104" s="22">
        <v>46227</v>
      </c>
      <c r="F104" s="23">
        <v>1858333</v>
      </c>
      <c r="G104" s="21"/>
    </row>
    <row r="105" spans="1:7" ht="21" customHeight="1">
      <c r="A105" s="20">
        <f t="shared" si="1"/>
        <v>101</v>
      </c>
      <c r="B105" s="21">
        <v>16</v>
      </c>
      <c r="C105" s="20" t="str">
        <f>IF(B105="","",IF(COUNTIF('04_Pinjaman'!$A$5:$A$1004,B105)=0,"NO PINJAMAN TIDAK DITEMUKAN",INDEX('04_Pinjaman'!$B$5:$B$1004,MATCH(B105,'04_Pinjaman'!$A$5:$A$1004,0))))</f>
        <v>Andri Kurniawan</v>
      </c>
      <c r="D105" s="20" t="str">
        <f>IF(B105="","",IF(COUNTIF('04_Pinjaman'!$A$5:$A$1004,B105)=0,"NPP TIDAK DITEMUKAN",INDEX('04_Pinjaman'!$C$5:$C$1004,MATCH(B105,'04_Pinjaman'!$A$5:$A$1004,0))))</f>
        <v>KKSUK-000138</v>
      </c>
      <c r="E105" s="22">
        <v>46258</v>
      </c>
      <c r="F105" s="23">
        <v>1858333</v>
      </c>
      <c r="G105" s="21"/>
    </row>
    <row r="106" spans="1:7" ht="21" customHeight="1">
      <c r="A106" s="20">
        <f t="shared" si="1"/>
        <v>102</v>
      </c>
      <c r="B106" s="21">
        <v>17</v>
      </c>
      <c r="C106" s="20" t="str">
        <f>IF(B106="","",IF(COUNTIF('04_Pinjaman'!$A$5:$A$1004,B106)=0,"NO PINJAMAN TIDAK DITEMUKAN",INDEX('04_Pinjaman'!$B$5:$B$1004,MATCH(B106,'04_Pinjaman'!$A$5:$A$1004,0))))</f>
        <v>Andrian Fadly</v>
      </c>
      <c r="D106" s="20" t="str">
        <f>IF(B106="","",IF(COUNTIF('04_Pinjaman'!$A$5:$A$1004,B106)=0,"NPP TIDAK DITEMUKAN",INDEX('04_Pinjaman'!$C$5:$C$1004,MATCH(B106,'04_Pinjaman'!$A$5:$A$1004,0))))</f>
        <v>KKSUK-000003</v>
      </c>
      <c r="E106" s="22">
        <v>45894</v>
      </c>
      <c r="F106" s="23">
        <v>1575000</v>
      </c>
      <c r="G106" s="21"/>
    </row>
    <row r="107" spans="1:7" ht="21" customHeight="1">
      <c r="A107" s="20">
        <f t="shared" si="1"/>
        <v>103</v>
      </c>
      <c r="B107" s="21">
        <v>17</v>
      </c>
      <c r="C107" s="20" t="str">
        <f>IF(B107="","",IF(COUNTIF('04_Pinjaman'!$A$5:$A$1004,B107)=0,"NO PINJAMAN TIDAK DITEMUKAN",INDEX('04_Pinjaman'!$B$5:$B$1004,MATCH(B107,'04_Pinjaman'!$A$5:$A$1004,0))))</f>
        <v>Andrian Fadly</v>
      </c>
      <c r="D107" s="20" t="str">
        <f>IF(B107="","",IF(COUNTIF('04_Pinjaman'!$A$5:$A$1004,B107)=0,"NPP TIDAK DITEMUKAN",INDEX('04_Pinjaman'!$C$5:$C$1004,MATCH(B107,'04_Pinjaman'!$A$5:$A$1004,0))))</f>
        <v>KKSUK-000003</v>
      </c>
      <c r="E107" s="22">
        <v>45925</v>
      </c>
      <c r="F107" s="23">
        <v>1575000</v>
      </c>
      <c r="G107" s="21"/>
    </row>
    <row r="108" spans="1:7" ht="21" customHeight="1">
      <c r="A108" s="20">
        <f t="shared" si="1"/>
        <v>104</v>
      </c>
      <c r="B108" s="21">
        <v>17</v>
      </c>
      <c r="C108" s="20" t="str">
        <f>IF(B108="","",IF(COUNTIF('04_Pinjaman'!$A$5:$A$1004,B108)=0,"NO PINJAMAN TIDAK DITEMUKAN",INDEX('04_Pinjaman'!$B$5:$B$1004,MATCH(B108,'04_Pinjaman'!$A$5:$A$1004,0))))</f>
        <v>Andrian Fadly</v>
      </c>
      <c r="D108" s="20" t="str">
        <f>IF(B108="","",IF(COUNTIF('04_Pinjaman'!$A$5:$A$1004,B108)=0,"NPP TIDAK DITEMUKAN",INDEX('04_Pinjaman'!$C$5:$C$1004,MATCH(B108,'04_Pinjaman'!$A$5:$A$1004,0))))</f>
        <v>KKSUK-000003</v>
      </c>
      <c r="E108" s="22">
        <v>45954</v>
      </c>
      <c r="F108" s="23">
        <v>1575000</v>
      </c>
      <c r="G108" s="21"/>
    </row>
    <row r="109" spans="1:7" ht="21" customHeight="1">
      <c r="A109" s="20">
        <f t="shared" si="1"/>
        <v>105</v>
      </c>
      <c r="B109" s="21">
        <v>17</v>
      </c>
      <c r="C109" s="20" t="str">
        <f>IF(B109="","",IF(COUNTIF('04_Pinjaman'!$A$5:$A$1004,B109)=0,"NO PINJAMAN TIDAK DITEMUKAN",INDEX('04_Pinjaman'!$B$5:$B$1004,MATCH(B109,'04_Pinjaman'!$A$5:$A$1004,0))))</f>
        <v>Andrian Fadly</v>
      </c>
      <c r="D109" s="20" t="str">
        <f>IF(B109="","",IF(COUNTIF('04_Pinjaman'!$A$5:$A$1004,B109)=0,"NPP TIDAK DITEMUKAN",INDEX('04_Pinjaman'!$C$5:$C$1004,MATCH(B109,'04_Pinjaman'!$A$5:$A$1004,0))))</f>
        <v>KKSUK-000003</v>
      </c>
      <c r="E109" s="22">
        <v>45986</v>
      </c>
      <c r="F109" s="23">
        <v>1575000</v>
      </c>
      <c r="G109" s="21"/>
    </row>
    <row r="110" spans="1:7" ht="21" customHeight="1">
      <c r="A110" s="20">
        <f t="shared" si="1"/>
        <v>106</v>
      </c>
      <c r="B110" s="21">
        <v>17</v>
      </c>
      <c r="C110" s="20" t="str">
        <f>IF(B110="","",IF(COUNTIF('04_Pinjaman'!$A$5:$A$1004,B110)=0,"NO PINJAMAN TIDAK DITEMUKAN",INDEX('04_Pinjaman'!$B$5:$B$1004,MATCH(B110,'04_Pinjaman'!$A$5:$A$1004,0))))</f>
        <v>Andrian Fadly</v>
      </c>
      <c r="D110" s="20" t="str">
        <f>IF(B110="","",IF(COUNTIF('04_Pinjaman'!$A$5:$A$1004,B110)=0,"NPP TIDAK DITEMUKAN",INDEX('04_Pinjaman'!$C$5:$C$1004,MATCH(B110,'04_Pinjaman'!$A$5:$A$1004,0))))</f>
        <v>KKSUK-000003</v>
      </c>
      <c r="E110" s="22">
        <v>46010</v>
      </c>
      <c r="F110" s="23">
        <v>1575000</v>
      </c>
      <c r="G110" s="21"/>
    </row>
    <row r="111" spans="1:7" ht="21" customHeight="1">
      <c r="A111" s="20">
        <f t="shared" si="1"/>
        <v>107</v>
      </c>
      <c r="B111" s="21">
        <v>17</v>
      </c>
      <c r="C111" s="20" t="str">
        <f>IF(B111="","",IF(COUNTIF('04_Pinjaman'!$A$5:$A$1004,B111)=0,"NO PINJAMAN TIDAK DITEMUKAN",INDEX('04_Pinjaman'!$B$5:$B$1004,MATCH(B111,'04_Pinjaman'!$A$5:$A$1004,0))))</f>
        <v>Andrian Fadly</v>
      </c>
      <c r="D111" s="20" t="str">
        <f>IF(B111="","",IF(COUNTIF('04_Pinjaman'!$A$5:$A$1004,B111)=0,"NPP TIDAK DITEMUKAN",INDEX('04_Pinjaman'!$C$5:$C$1004,MATCH(B111,'04_Pinjaman'!$A$5:$A$1004,0))))</f>
        <v>KKSUK-000003</v>
      </c>
      <c r="E111" s="22">
        <v>46045</v>
      </c>
      <c r="F111" s="23">
        <v>1575000</v>
      </c>
      <c r="G111" s="21"/>
    </row>
    <row r="112" spans="1:7" ht="21" customHeight="1">
      <c r="A112" s="20">
        <f t="shared" si="1"/>
        <v>108</v>
      </c>
      <c r="B112" s="21">
        <v>17</v>
      </c>
      <c r="C112" s="20" t="str">
        <f>IF(B112="","",IF(COUNTIF('04_Pinjaman'!$A$5:$A$1004,B112)=0,"NO PINJAMAN TIDAK DITEMUKAN",INDEX('04_Pinjaman'!$B$5:$B$1004,MATCH(B112,'04_Pinjaman'!$A$5:$A$1004,0))))</f>
        <v>Andrian Fadly</v>
      </c>
      <c r="D112" s="20" t="str">
        <f>IF(B112="","",IF(COUNTIF('04_Pinjaman'!$A$5:$A$1004,B112)=0,"NPP TIDAK DITEMUKAN",INDEX('04_Pinjaman'!$C$5:$C$1004,MATCH(B112,'04_Pinjaman'!$A$5:$A$1004,0))))</f>
        <v>KKSUK-000003</v>
      </c>
      <c r="E112" s="22">
        <v>46078</v>
      </c>
      <c r="F112" s="23">
        <v>1575000</v>
      </c>
      <c r="G112" s="21"/>
    </row>
    <row r="113" spans="1:7" ht="21" customHeight="1">
      <c r="A113" s="20">
        <f t="shared" si="1"/>
        <v>109</v>
      </c>
      <c r="B113" s="21">
        <v>17</v>
      </c>
      <c r="C113" s="20" t="str">
        <f>IF(B113="","",IF(COUNTIF('04_Pinjaman'!$A$5:$A$1004,B113)=0,"NO PINJAMAN TIDAK DITEMUKAN",INDEX('04_Pinjaman'!$B$5:$B$1004,MATCH(B113,'04_Pinjaman'!$A$5:$A$1004,0))))</f>
        <v>Andrian Fadly</v>
      </c>
      <c r="D113" s="20" t="str">
        <f>IF(B113="","",IF(COUNTIF('04_Pinjaman'!$A$5:$A$1004,B113)=0,"NPP TIDAK DITEMUKAN",INDEX('04_Pinjaman'!$C$5:$C$1004,MATCH(B113,'04_Pinjaman'!$A$5:$A$1004,0))))</f>
        <v>KKSUK-000003</v>
      </c>
      <c r="E113" s="22">
        <v>46106</v>
      </c>
      <c r="F113" s="23">
        <v>1575000</v>
      </c>
      <c r="G113" s="21"/>
    </row>
    <row r="114" spans="1:7" ht="21" customHeight="1">
      <c r="A114" s="20">
        <f t="shared" si="1"/>
        <v>110</v>
      </c>
      <c r="B114" s="21">
        <v>17</v>
      </c>
      <c r="C114" s="20" t="str">
        <f>IF(B114="","",IF(COUNTIF('04_Pinjaman'!$A$5:$A$1004,B114)=0,"NO PINJAMAN TIDAK DITEMUKAN",INDEX('04_Pinjaman'!$B$5:$B$1004,MATCH(B114,'04_Pinjaman'!$A$5:$A$1004,0))))</f>
        <v>Andrian Fadly</v>
      </c>
      <c r="D114" s="20" t="str">
        <f>IF(B114="","",IF(COUNTIF('04_Pinjaman'!$A$5:$A$1004,B114)=0,"NPP TIDAK DITEMUKAN",INDEX('04_Pinjaman'!$C$5:$C$1004,MATCH(B114,'04_Pinjaman'!$A$5:$A$1004,0))))</f>
        <v>KKSUK-000003</v>
      </c>
      <c r="E114" s="22">
        <v>46136</v>
      </c>
      <c r="F114" s="23">
        <v>1575000</v>
      </c>
      <c r="G114" s="21"/>
    </row>
    <row r="115" spans="1:7" ht="21" customHeight="1">
      <c r="A115" s="20">
        <f t="shared" si="1"/>
        <v>111</v>
      </c>
      <c r="B115" s="21">
        <v>17</v>
      </c>
      <c r="C115" s="20" t="str">
        <f>IF(B115="","",IF(COUNTIF('04_Pinjaman'!$A$5:$A$1004,B115)=0,"NO PINJAMAN TIDAK DITEMUKAN",INDEX('04_Pinjaman'!$B$5:$B$1004,MATCH(B115,'04_Pinjaman'!$A$5:$A$1004,0))))</f>
        <v>Andrian Fadly</v>
      </c>
      <c r="D115" s="20" t="str">
        <f>IF(B115="","",IF(COUNTIF('04_Pinjaman'!$A$5:$A$1004,B115)=0,"NPP TIDAK DITEMUKAN",INDEX('04_Pinjaman'!$C$5:$C$1004,MATCH(B115,'04_Pinjaman'!$A$5:$A$1004,0))))</f>
        <v>KKSUK-000003</v>
      </c>
      <c r="E115" s="22">
        <v>46167</v>
      </c>
      <c r="F115" s="23">
        <v>1575000</v>
      </c>
      <c r="G115" s="21"/>
    </row>
    <row r="116" spans="1:7" ht="21" customHeight="1">
      <c r="A116" s="20">
        <f t="shared" si="1"/>
        <v>112</v>
      </c>
      <c r="B116" s="21">
        <v>17</v>
      </c>
      <c r="C116" s="20" t="str">
        <f>IF(B116="","",IF(COUNTIF('04_Pinjaman'!$A$5:$A$1004,B116)=0,"NO PINJAMAN TIDAK DITEMUKAN",INDEX('04_Pinjaman'!$B$5:$B$1004,MATCH(B116,'04_Pinjaman'!$A$5:$A$1004,0))))</f>
        <v>Andrian Fadly</v>
      </c>
      <c r="D116" s="20" t="str">
        <f>IF(B116="","",IF(COUNTIF('04_Pinjaman'!$A$5:$A$1004,B116)=0,"NPP TIDAK DITEMUKAN",INDEX('04_Pinjaman'!$C$5:$C$1004,MATCH(B116,'04_Pinjaman'!$A$5:$A$1004,0))))</f>
        <v>KKSUK-000003</v>
      </c>
      <c r="E116" s="22">
        <v>46198</v>
      </c>
      <c r="F116" s="23">
        <v>1575000</v>
      </c>
      <c r="G116" s="21"/>
    </row>
    <row r="117" spans="1:7" ht="21" customHeight="1">
      <c r="A117" s="20">
        <f t="shared" si="1"/>
        <v>113</v>
      </c>
      <c r="B117" s="21">
        <v>17</v>
      </c>
      <c r="C117" s="20" t="str">
        <f>IF(B117="","",IF(COUNTIF('04_Pinjaman'!$A$5:$A$1004,B117)=0,"NO PINJAMAN TIDAK DITEMUKAN",INDEX('04_Pinjaman'!$B$5:$B$1004,MATCH(B117,'04_Pinjaman'!$A$5:$A$1004,0))))</f>
        <v>Andrian Fadly</v>
      </c>
      <c r="D117" s="20" t="str">
        <f>IF(B117="","",IF(COUNTIF('04_Pinjaman'!$A$5:$A$1004,B117)=0,"NPP TIDAK DITEMUKAN",INDEX('04_Pinjaman'!$C$5:$C$1004,MATCH(B117,'04_Pinjaman'!$A$5:$A$1004,0))))</f>
        <v>KKSUK-000003</v>
      </c>
      <c r="E117" s="22">
        <v>46227</v>
      </c>
      <c r="F117" s="23">
        <v>1575000</v>
      </c>
      <c r="G117" s="21"/>
    </row>
    <row r="118" spans="1:7" ht="21" customHeight="1">
      <c r="A118" s="20">
        <f t="shared" si="1"/>
        <v>114</v>
      </c>
      <c r="B118" s="21">
        <v>17</v>
      </c>
      <c r="C118" s="20" t="str">
        <f>IF(B118="","",IF(COUNTIF('04_Pinjaman'!$A$5:$A$1004,B118)=0,"NO PINJAMAN TIDAK DITEMUKAN",INDEX('04_Pinjaman'!$B$5:$B$1004,MATCH(B118,'04_Pinjaman'!$A$5:$A$1004,0))))</f>
        <v>Andrian Fadly</v>
      </c>
      <c r="D118" s="20" t="str">
        <f>IF(B118="","",IF(COUNTIF('04_Pinjaman'!$A$5:$A$1004,B118)=0,"NPP TIDAK DITEMUKAN",INDEX('04_Pinjaman'!$C$5:$C$1004,MATCH(B118,'04_Pinjaman'!$A$5:$A$1004,0))))</f>
        <v>KKSUK-000003</v>
      </c>
      <c r="E118" s="22">
        <v>46258</v>
      </c>
      <c r="F118" s="23">
        <v>1575000</v>
      </c>
      <c r="G118" s="21"/>
    </row>
    <row r="119" spans="1:7" ht="21" customHeight="1">
      <c r="A119" s="20">
        <f t="shared" si="1"/>
        <v>115</v>
      </c>
      <c r="B119" s="21">
        <v>18</v>
      </c>
      <c r="C119" s="20" t="str">
        <f>IF(B119="","",IF(COUNTIF('04_Pinjaman'!$A$5:$A$1004,B119)=0,"NO PINJAMAN TIDAK DITEMUKAN",INDEX('04_Pinjaman'!$B$5:$B$1004,MATCH(B119,'04_Pinjaman'!$A$5:$A$1004,0))))</f>
        <v>Anton Efendi</v>
      </c>
      <c r="D119" s="20" t="str">
        <f>IF(B119="","",IF(COUNTIF('04_Pinjaman'!$A$5:$A$1004,B119)=0,"NPP TIDAK DITEMUKAN",INDEX('04_Pinjaman'!$C$5:$C$1004,MATCH(B119,'04_Pinjaman'!$A$5:$A$1004,0))))</f>
        <v>KKSUK-000107</v>
      </c>
      <c r="E119" s="22">
        <v>45925</v>
      </c>
      <c r="F119" s="23">
        <v>723333</v>
      </c>
      <c r="G119" s="21"/>
    </row>
    <row r="120" spans="1:7" ht="21" customHeight="1">
      <c r="A120" s="20">
        <f t="shared" si="1"/>
        <v>116</v>
      </c>
      <c r="B120" s="21">
        <v>18</v>
      </c>
      <c r="C120" s="20" t="str">
        <f>IF(B120="","",IF(COUNTIF('04_Pinjaman'!$A$5:$A$1004,B120)=0,"NO PINJAMAN TIDAK DITEMUKAN",INDEX('04_Pinjaman'!$B$5:$B$1004,MATCH(B120,'04_Pinjaman'!$A$5:$A$1004,0))))</f>
        <v>Anton Efendi</v>
      </c>
      <c r="D120" s="20" t="str">
        <f>IF(B120="","",IF(COUNTIF('04_Pinjaman'!$A$5:$A$1004,B120)=0,"NPP TIDAK DITEMUKAN",INDEX('04_Pinjaman'!$C$5:$C$1004,MATCH(B120,'04_Pinjaman'!$A$5:$A$1004,0))))</f>
        <v>KKSUK-000107</v>
      </c>
      <c r="E120" s="22">
        <v>45954</v>
      </c>
      <c r="F120" s="23">
        <v>723333</v>
      </c>
      <c r="G120" s="21"/>
    </row>
    <row r="121" spans="1:7" ht="21" customHeight="1">
      <c r="A121" s="20">
        <f t="shared" si="1"/>
        <v>117</v>
      </c>
      <c r="B121" s="21">
        <v>18</v>
      </c>
      <c r="C121" s="20" t="str">
        <f>IF(B121="","",IF(COUNTIF('04_Pinjaman'!$A$5:$A$1004,B121)=0,"NO PINJAMAN TIDAK DITEMUKAN",INDEX('04_Pinjaman'!$B$5:$B$1004,MATCH(B121,'04_Pinjaman'!$A$5:$A$1004,0))))</f>
        <v>Anton Efendi</v>
      </c>
      <c r="D121" s="20" t="str">
        <f>IF(B121="","",IF(COUNTIF('04_Pinjaman'!$A$5:$A$1004,B121)=0,"NPP TIDAK DITEMUKAN",INDEX('04_Pinjaman'!$C$5:$C$1004,MATCH(B121,'04_Pinjaman'!$A$5:$A$1004,0))))</f>
        <v>KKSUK-000107</v>
      </c>
      <c r="E121" s="22">
        <v>45986</v>
      </c>
      <c r="F121" s="23">
        <v>723333</v>
      </c>
      <c r="G121" s="21"/>
    </row>
    <row r="122" spans="1:7" ht="21" customHeight="1">
      <c r="A122" s="20">
        <f t="shared" si="1"/>
        <v>118</v>
      </c>
      <c r="B122" s="21">
        <v>18</v>
      </c>
      <c r="C122" s="20" t="str">
        <f>IF(B122="","",IF(COUNTIF('04_Pinjaman'!$A$5:$A$1004,B122)=0,"NO PINJAMAN TIDAK DITEMUKAN",INDEX('04_Pinjaman'!$B$5:$B$1004,MATCH(B122,'04_Pinjaman'!$A$5:$A$1004,0))))</f>
        <v>Anton Efendi</v>
      </c>
      <c r="D122" s="20" t="str">
        <f>IF(B122="","",IF(COUNTIF('04_Pinjaman'!$A$5:$A$1004,B122)=0,"NPP TIDAK DITEMUKAN",INDEX('04_Pinjaman'!$C$5:$C$1004,MATCH(B122,'04_Pinjaman'!$A$5:$A$1004,0))))</f>
        <v>KKSUK-000107</v>
      </c>
      <c r="E122" s="22">
        <v>46010</v>
      </c>
      <c r="F122" s="23">
        <v>723333</v>
      </c>
      <c r="G122" s="21"/>
    </row>
    <row r="123" spans="1:7" ht="21" customHeight="1">
      <c r="A123" s="20">
        <f t="shared" si="1"/>
        <v>119</v>
      </c>
      <c r="B123" s="21">
        <v>18</v>
      </c>
      <c r="C123" s="20" t="str">
        <f>IF(B123="","",IF(COUNTIF('04_Pinjaman'!$A$5:$A$1004,B123)=0,"NO PINJAMAN TIDAK DITEMUKAN",INDEX('04_Pinjaman'!$B$5:$B$1004,MATCH(B123,'04_Pinjaman'!$A$5:$A$1004,0))))</f>
        <v>Anton Efendi</v>
      </c>
      <c r="D123" s="20" t="str">
        <f>IF(B123="","",IF(COUNTIF('04_Pinjaman'!$A$5:$A$1004,B123)=0,"NPP TIDAK DITEMUKAN",INDEX('04_Pinjaman'!$C$5:$C$1004,MATCH(B123,'04_Pinjaman'!$A$5:$A$1004,0))))</f>
        <v>KKSUK-000107</v>
      </c>
      <c r="E123" s="22">
        <v>46045</v>
      </c>
      <c r="F123" s="23">
        <v>723333</v>
      </c>
      <c r="G123" s="21"/>
    </row>
    <row r="124" spans="1:7" ht="21" customHeight="1">
      <c r="A124" s="20">
        <f t="shared" si="1"/>
        <v>120</v>
      </c>
      <c r="B124" s="21">
        <v>18</v>
      </c>
      <c r="C124" s="20" t="str">
        <f>IF(B124="","",IF(COUNTIF('04_Pinjaman'!$A$5:$A$1004,B124)=0,"NO PINJAMAN TIDAK DITEMUKAN",INDEX('04_Pinjaman'!$B$5:$B$1004,MATCH(B124,'04_Pinjaman'!$A$5:$A$1004,0))))</f>
        <v>Anton Efendi</v>
      </c>
      <c r="D124" s="20" t="str">
        <f>IF(B124="","",IF(COUNTIF('04_Pinjaman'!$A$5:$A$1004,B124)=0,"NPP TIDAK DITEMUKAN",INDEX('04_Pinjaman'!$C$5:$C$1004,MATCH(B124,'04_Pinjaman'!$A$5:$A$1004,0))))</f>
        <v>KKSUK-000107</v>
      </c>
      <c r="E124" s="22">
        <v>46078</v>
      </c>
      <c r="F124" s="23">
        <v>723333</v>
      </c>
      <c r="G124" s="21"/>
    </row>
    <row r="125" spans="1:7" ht="21" customHeight="1">
      <c r="A125" s="20">
        <f t="shared" si="1"/>
        <v>121</v>
      </c>
      <c r="B125" s="21">
        <v>18</v>
      </c>
      <c r="C125" s="20" t="str">
        <f>IF(B125="","",IF(COUNTIF('04_Pinjaman'!$A$5:$A$1004,B125)=0,"NO PINJAMAN TIDAK DITEMUKAN",INDEX('04_Pinjaman'!$B$5:$B$1004,MATCH(B125,'04_Pinjaman'!$A$5:$A$1004,0))))</f>
        <v>Anton Efendi</v>
      </c>
      <c r="D125" s="20" t="str">
        <f>IF(B125="","",IF(COUNTIF('04_Pinjaman'!$A$5:$A$1004,B125)=0,"NPP TIDAK DITEMUKAN",INDEX('04_Pinjaman'!$C$5:$C$1004,MATCH(B125,'04_Pinjaman'!$A$5:$A$1004,0))))</f>
        <v>KKSUK-000107</v>
      </c>
      <c r="E125" s="22">
        <v>46106</v>
      </c>
      <c r="F125" s="23">
        <v>723333</v>
      </c>
      <c r="G125" s="21"/>
    </row>
    <row r="126" spans="1:7" ht="21" customHeight="1">
      <c r="A126" s="20">
        <f t="shared" si="1"/>
        <v>122</v>
      </c>
      <c r="B126" s="21">
        <v>18</v>
      </c>
      <c r="C126" s="20" t="str">
        <f>IF(B126="","",IF(COUNTIF('04_Pinjaman'!$A$5:$A$1004,B126)=0,"NO PINJAMAN TIDAK DITEMUKAN",INDEX('04_Pinjaman'!$B$5:$B$1004,MATCH(B126,'04_Pinjaman'!$A$5:$A$1004,0))))</f>
        <v>Anton Efendi</v>
      </c>
      <c r="D126" s="20" t="str">
        <f>IF(B126="","",IF(COUNTIF('04_Pinjaman'!$A$5:$A$1004,B126)=0,"NPP TIDAK DITEMUKAN",INDEX('04_Pinjaman'!$C$5:$C$1004,MATCH(B126,'04_Pinjaman'!$A$5:$A$1004,0))))</f>
        <v>KKSUK-000107</v>
      </c>
      <c r="E126" s="22">
        <v>46136</v>
      </c>
      <c r="F126" s="23">
        <v>723333</v>
      </c>
      <c r="G126" s="21"/>
    </row>
    <row r="127" spans="1:7" ht="21" customHeight="1">
      <c r="A127" s="20">
        <f t="shared" si="1"/>
        <v>123</v>
      </c>
      <c r="B127" s="21">
        <v>18</v>
      </c>
      <c r="C127" s="20" t="str">
        <f>IF(B127="","",IF(COUNTIF('04_Pinjaman'!$A$5:$A$1004,B127)=0,"NO PINJAMAN TIDAK DITEMUKAN",INDEX('04_Pinjaman'!$B$5:$B$1004,MATCH(B127,'04_Pinjaman'!$A$5:$A$1004,0))))</f>
        <v>Anton Efendi</v>
      </c>
      <c r="D127" s="20" t="str">
        <f>IF(B127="","",IF(COUNTIF('04_Pinjaman'!$A$5:$A$1004,B127)=0,"NPP TIDAK DITEMUKAN",INDEX('04_Pinjaman'!$C$5:$C$1004,MATCH(B127,'04_Pinjaman'!$A$5:$A$1004,0))))</f>
        <v>KKSUK-000107</v>
      </c>
      <c r="E127" s="22">
        <v>46167</v>
      </c>
      <c r="F127" s="23">
        <v>723333</v>
      </c>
      <c r="G127" s="21"/>
    </row>
    <row r="128" spans="1:7" ht="21" customHeight="1">
      <c r="A128" s="20">
        <f t="shared" si="1"/>
        <v>124</v>
      </c>
      <c r="B128" s="21">
        <v>18</v>
      </c>
      <c r="C128" s="20" t="str">
        <f>IF(B128="","",IF(COUNTIF('04_Pinjaman'!$A$5:$A$1004,B128)=0,"NO PINJAMAN TIDAK DITEMUKAN",INDEX('04_Pinjaman'!$B$5:$B$1004,MATCH(B128,'04_Pinjaman'!$A$5:$A$1004,0))))</f>
        <v>Anton Efendi</v>
      </c>
      <c r="D128" s="20" t="str">
        <f>IF(B128="","",IF(COUNTIF('04_Pinjaman'!$A$5:$A$1004,B128)=0,"NPP TIDAK DITEMUKAN",INDEX('04_Pinjaman'!$C$5:$C$1004,MATCH(B128,'04_Pinjaman'!$A$5:$A$1004,0))))</f>
        <v>KKSUK-000107</v>
      </c>
      <c r="E128" s="22">
        <v>46199</v>
      </c>
      <c r="F128" s="23">
        <v>10850003</v>
      </c>
      <c r="G128" s="21" t="s">
        <v>800</v>
      </c>
    </row>
    <row r="129" spans="1:7" ht="21" customHeight="1">
      <c r="A129" s="20">
        <f t="shared" si="1"/>
        <v>125</v>
      </c>
      <c r="B129" s="21">
        <v>19</v>
      </c>
      <c r="C129" s="20" t="str">
        <f>IF(B129="","",IF(COUNTIF('04_Pinjaman'!$A$5:$A$1004,B129)=0,"NO PINJAMAN TIDAK DITEMUKAN",INDEX('04_Pinjaman'!$B$5:$B$1004,MATCH(B129,'04_Pinjaman'!$A$5:$A$1004,0))))</f>
        <v>Anton Efendi</v>
      </c>
      <c r="D129" s="20" t="str">
        <f>IF(B129="","",IF(COUNTIF('04_Pinjaman'!$A$5:$A$1004,B129)=0,"NPP TIDAK DITEMUKAN",INDEX('04_Pinjaman'!$C$5:$C$1004,MATCH(B129,'04_Pinjaman'!$A$5:$A$1004,0))))</f>
        <v>KKSUK-000107</v>
      </c>
      <c r="E129" s="22">
        <v>46258</v>
      </c>
      <c r="F129" s="23">
        <v>1033333</v>
      </c>
      <c r="G129" s="21"/>
    </row>
    <row r="130" spans="1:7" ht="21" customHeight="1">
      <c r="A130" s="20">
        <f t="shared" si="1"/>
        <v>126</v>
      </c>
      <c r="B130" s="21">
        <v>20</v>
      </c>
      <c r="C130" s="20" t="str">
        <f>IF(B130="","",IF(COUNTIF('04_Pinjaman'!$A$5:$A$1004,B130)=0,"NO PINJAMAN TIDAK DITEMUKAN",INDEX('04_Pinjaman'!$B$5:$B$1004,MATCH(B130,'04_Pinjaman'!$A$5:$A$1004,0))))</f>
        <v>Ari Wibowo - 00533</v>
      </c>
      <c r="D130" s="20" t="str">
        <f>IF(B130="","",IF(COUNTIF('04_Pinjaman'!$A$5:$A$1004,B130)=0,"NPP TIDAK DITEMUKAN",INDEX('04_Pinjaman'!$C$5:$C$1004,MATCH(B130,'04_Pinjaman'!$A$5:$A$1004,0))))</f>
        <v>KKSUK-000068</v>
      </c>
      <c r="E130" s="22">
        <v>45894</v>
      </c>
      <c r="F130" s="23">
        <v>3275000</v>
      </c>
      <c r="G130" s="21"/>
    </row>
    <row r="131" spans="1:7" ht="21" customHeight="1">
      <c r="A131" s="20">
        <f t="shared" si="1"/>
        <v>127</v>
      </c>
      <c r="B131" s="21">
        <v>20</v>
      </c>
      <c r="C131" s="20" t="str">
        <f>IF(B131="","",IF(COUNTIF('04_Pinjaman'!$A$5:$A$1004,B131)=0,"NO PINJAMAN TIDAK DITEMUKAN",INDEX('04_Pinjaman'!$B$5:$B$1004,MATCH(B131,'04_Pinjaman'!$A$5:$A$1004,0))))</f>
        <v>Ari Wibowo - 00533</v>
      </c>
      <c r="D131" s="20" t="str">
        <f>IF(B131="","",IF(COUNTIF('04_Pinjaman'!$A$5:$A$1004,B131)=0,"NPP TIDAK DITEMUKAN",INDEX('04_Pinjaman'!$C$5:$C$1004,MATCH(B131,'04_Pinjaman'!$A$5:$A$1004,0))))</f>
        <v>KKSUK-000068</v>
      </c>
      <c r="E131" s="22">
        <v>45925</v>
      </c>
      <c r="F131" s="23">
        <v>3275000</v>
      </c>
      <c r="G131" s="21"/>
    </row>
    <row r="132" spans="1:7" ht="21" customHeight="1">
      <c r="A132" s="20">
        <f t="shared" si="1"/>
        <v>128</v>
      </c>
      <c r="B132" s="21">
        <v>20</v>
      </c>
      <c r="C132" s="20" t="str">
        <f>IF(B132="","",IF(COUNTIF('04_Pinjaman'!$A$5:$A$1004,B132)=0,"NO PINJAMAN TIDAK DITEMUKAN",INDEX('04_Pinjaman'!$B$5:$B$1004,MATCH(B132,'04_Pinjaman'!$A$5:$A$1004,0))))</f>
        <v>Ari Wibowo - 00533</v>
      </c>
      <c r="D132" s="20" t="str">
        <f>IF(B132="","",IF(COUNTIF('04_Pinjaman'!$A$5:$A$1004,B132)=0,"NPP TIDAK DITEMUKAN",INDEX('04_Pinjaman'!$C$5:$C$1004,MATCH(B132,'04_Pinjaman'!$A$5:$A$1004,0))))</f>
        <v>KKSUK-000068</v>
      </c>
      <c r="E132" s="22">
        <v>45954</v>
      </c>
      <c r="F132" s="23">
        <v>3275000</v>
      </c>
      <c r="G132" s="21"/>
    </row>
    <row r="133" spans="1:7" ht="21" customHeight="1">
      <c r="A133" s="20">
        <f t="shared" ref="A133:A196" si="2">IF(B133="","",ROW()-4)</f>
        <v>129</v>
      </c>
      <c r="B133" s="21">
        <v>20</v>
      </c>
      <c r="C133" s="20" t="str">
        <f>IF(B133="","",IF(COUNTIF('04_Pinjaman'!$A$5:$A$1004,B133)=0,"NO PINJAMAN TIDAK DITEMUKAN",INDEX('04_Pinjaman'!$B$5:$B$1004,MATCH(B133,'04_Pinjaman'!$A$5:$A$1004,0))))</f>
        <v>Ari Wibowo - 00533</v>
      </c>
      <c r="D133" s="20" t="str">
        <f>IF(B133="","",IF(COUNTIF('04_Pinjaman'!$A$5:$A$1004,B133)=0,"NPP TIDAK DITEMUKAN",INDEX('04_Pinjaman'!$C$5:$C$1004,MATCH(B133,'04_Pinjaman'!$A$5:$A$1004,0))))</f>
        <v>KKSUK-000068</v>
      </c>
      <c r="E133" s="22">
        <v>45986</v>
      </c>
      <c r="F133" s="23">
        <v>3275000</v>
      </c>
      <c r="G133" s="21"/>
    </row>
    <row r="134" spans="1:7" ht="21" customHeight="1">
      <c r="A134" s="20">
        <f t="shared" si="2"/>
        <v>130</v>
      </c>
      <c r="B134" s="21">
        <v>20</v>
      </c>
      <c r="C134" s="20" t="str">
        <f>IF(B134="","",IF(COUNTIF('04_Pinjaman'!$A$5:$A$1004,B134)=0,"NO PINJAMAN TIDAK DITEMUKAN",INDEX('04_Pinjaman'!$B$5:$B$1004,MATCH(B134,'04_Pinjaman'!$A$5:$A$1004,0))))</f>
        <v>Ari Wibowo - 00533</v>
      </c>
      <c r="D134" s="20" t="str">
        <f>IF(B134="","",IF(COUNTIF('04_Pinjaman'!$A$5:$A$1004,B134)=0,"NPP TIDAK DITEMUKAN",INDEX('04_Pinjaman'!$C$5:$C$1004,MATCH(B134,'04_Pinjaman'!$A$5:$A$1004,0))))</f>
        <v>KKSUK-000068</v>
      </c>
      <c r="E134" s="22">
        <v>46010</v>
      </c>
      <c r="F134" s="23">
        <v>3275000</v>
      </c>
      <c r="G134" s="21"/>
    </row>
    <row r="135" spans="1:7" ht="21" customHeight="1">
      <c r="A135" s="20">
        <f t="shared" si="2"/>
        <v>131</v>
      </c>
      <c r="B135" s="21">
        <v>20</v>
      </c>
      <c r="C135" s="20" t="str">
        <f>IF(B135="","",IF(COUNTIF('04_Pinjaman'!$A$5:$A$1004,B135)=0,"NO PINJAMAN TIDAK DITEMUKAN",INDEX('04_Pinjaman'!$B$5:$B$1004,MATCH(B135,'04_Pinjaman'!$A$5:$A$1004,0))))</f>
        <v>Ari Wibowo - 00533</v>
      </c>
      <c r="D135" s="20" t="str">
        <f>IF(B135="","",IF(COUNTIF('04_Pinjaman'!$A$5:$A$1004,B135)=0,"NPP TIDAK DITEMUKAN",INDEX('04_Pinjaman'!$C$5:$C$1004,MATCH(B135,'04_Pinjaman'!$A$5:$A$1004,0))))</f>
        <v>KKSUK-000068</v>
      </c>
      <c r="E135" s="22">
        <v>46045</v>
      </c>
      <c r="F135" s="23">
        <v>3275000</v>
      </c>
      <c r="G135" s="21"/>
    </row>
    <row r="136" spans="1:7" ht="21" customHeight="1">
      <c r="A136" s="20">
        <f t="shared" si="2"/>
        <v>132</v>
      </c>
      <c r="B136" s="21">
        <v>20</v>
      </c>
      <c r="C136" s="20" t="str">
        <f>IF(B136="","",IF(COUNTIF('04_Pinjaman'!$A$5:$A$1004,B136)=0,"NO PINJAMAN TIDAK DITEMUKAN",INDEX('04_Pinjaman'!$B$5:$B$1004,MATCH(B136,'04_Pinjaman'!$A$5:$A$1004,0))))</f>
        <v>Ari Wibowo - 00533</v>
      </c>
      <c r="D136" s="20" t="str">
        <f>IF(B136="","",IF(COUNTIF('04_Pinjaman'!$A$5:$A$1004,B136)=0,"NPP TIDAK DITEMUKAN",INDEX('04_Pinjaman'!$C$5:$C$1004,MATCH(B136,'04_Pinjaman'!$A$5:$A$1004,0))))</f>
        <v>KKSUK-000068</v>
      </c>
      <c r="E136" s="22">
        <v>46078</v>
      </c>
      <c r="F136" s="23">
        <v>3275000</v>
      </c>
      <c r="G136" s="21"/>
    </row>
    <row r="137" spans="1:7" ht="21" customHeight="1">
      <c r="A137" s="20">
        <f t="shared" si="2"/>
        <v>133</v>
      </c>
      <c r="B137" s="21">
        <v>20</v>
      </c>
      <c r="C137" s="20" t="str">
        <f>IF(B137="","",IF(COUNTIF('04_Pinjaman'!$A$5:$A$1004,B137)=0,"NO PINJAMAN TIDAK DITEMUKAN",INDEX('04_Pinjaman'!$B$5:$B$1004,MATCH(B137,'04_Pinjaman'!$A$5:$A$1004,0))))</f>
        <v>Ari Wibowo - 00533</v>
      </c>
      <c r="D137" s="20" t="str">
        <f>IF(B137="","",IF(COUNTIF('04_Pinjaman'!$A$5:$A$1004,B137)=0,"NPP TIDAK DITEMUKAN",INDEX('04_Pinjaman'!$C$5:$C$1004,MATCH(B137,'04_Pinjaman'!$A$5:$A$1004,0))))</f>
        <v>KKSUK-000068</v>
      </c>
      <c r="E137" s="22">
        <v>46106</v>
      </c>
      <c r="F137" s="23">
        <v>3275000</v>
      </c>
      <c r="G137" s="21"/>
    </row>
    <row r="138" spans="1:7" ht="21" customHeight="1">
      <c r="A138" s="20">
        <f t="shared" si="2"/>
        <v>134</v>
      </c>
      <c r="B138" s="21">
        <v>20</v>
      </c>
      <c r="C138" s="20" t="str">
        <f>IF(B138="","",IF(COUNTIF('04_Pinjaman'!$A$5:$A$1004,B138)=0,"NO PINJAMAN TIDAK DITEMUKAN",INDEX('04_Pinjaman'!$B$5:$B$1004,MATCH(B138,'04_Pinjaman'!$A$5:$A$1004,0))))</f>
        <v>Ari Wibowo - 00533</v>
      </c>
      <c r="D138" s="20" t="str">
        <f>IF(B138="","",IF(COUNTIF('04_Pinjaman'!$A$5:$A$1004,B138)=0,"NPP TIDAK DITEMUKAN",INDEX('04_Pinjaman'!$C$5:$C$1004,MATCH(B138,'04_Pinjaman'!$A$5:$A$1004,0))))</f>
        <v>KKSUK-000068</v>
      </c>
      <c r="E138" s="22">
        <v>46136</v>
      </c>
      <c r="F138" s="23">
        <v>3275000</v>
      </c>
      <c r="G138" s="21"/>
    </row>
    <row r="139" spans="1:7" ht="21" customHeight="1">
      <c r="A139" s="20">
        <f t="shared" si="2"/>
        <v>135</v>
      </c>
      <c r="B139" s="21">
        <v>20</v>
      </c>
      <c r="C139" s="20" t="str">
        <f>IF(B139="","",IF(COUNTIF('04_Pinjaman'!$A$5:$A$1004,B139)=0,"NO PINJAMAN TIDAK DITEMUKAN",INDEX('04_Pinjaman'!$B$5:$B$1004,MATCH(B139,'04_Pinjaman'!$A$5:$A$1004,0))))</f>
        <v>Ari Wibowo - 00533</v>
      </c>
      <c r="D139" s="20" t="str">
        <f>IF(B139="","",IF(COUNTIF('04_Pinjaman'!$A$5:$A$1004,B139)=0,"NPP TIDAK DITEMUKAN",INDEX('04_Pinjaman'!$C$5:$C$1004,MATCH(B139,'04_Pinjaman'!$A$5:$A$1004,0))))</f>
        <v>KKSUK-000068</v>
      </c>
      <c r="E139" s="22">
        <v>46167</v>
      </c>
      <c r="F139" s="23">
        <v>3275000</v>
      </c>
      <c r="G139" s="21"/>
    </row>
    <row r="140" spans="1:7" ht="21" customHeight="1">
      <c r="A140" s="20">
        <f t="shared" si="2"/>
        <v>136</v>
      </c>
      <c r="B140" s="21">
        <v>20</v>
      </c>
      <c r="C140" s="20" t="str">
        <f>IF(B140="","",IF(COUNTIF('04_Pinjaman'!$A$5:$A$1004,B140)=0,"NO PINJAMAN TIDAK DITEMUKAN",INDEX('04_Pinjaman'!$B$5:$B$1004,MATCH(B140,'04_Pinjaman'!$A$5:$A$1004,0))))</f>
        <v>Ari Wibowo - 00533</v>
      </c>
      <c r="D140" s="20" t="str">
        <f>IF(B140="","",IF(COUNTIF('04_Pinjaman'!$A$5:$A$1004,B140)=0,"NPP TIDAK DITEMUKAN",INDEX('04_Pinjaman'!$C$5:$C$1004,MATCH(B140,'04_Pinjaman'!$A$5:$A$1004,0))))</f>
        <v>KKSUK-000068</v>
      </c>
      <c r="E140" s="22">
        <v>46198</v>
      </c>
      <c r="F140" s="23">
        <v>3275000</v>
      </c>
      <c r="G140" s="21"/>
    </row>
    <row r="141" spans="1:7" ht="21" customHeight="1">
      <c r="A141" s="20">
        <f t="shared" si="2"/>
        <v>137</v>
      </c>
      <c r="B141" s="21">
        <v>20</v>
      </c>
      <c r="C141" s="20" t="str">
        <f>IF(B141="","",IF(COUNTIF('04_Pinjaman'!$A$5:$A$1004,B141)=0,"NO PINJAMAN TIDAK DITEMUKAN",INDEX('04_Pinjaman'!$B$5:$B$1004,MATCH(B141,'04_Pinjaman'!$A$5:$A$1004,0))))</f>
        <v>Ari Wibowo - 00533</v>
      </c>
      <c r="D141" s="20" t="str">
        <f>IF(B141="","",IF(COUNTIF('04_Pinjaman'!$A$5:$A$1004,B141)=0,"NPP TIDAK DITEMUKAN",INDEX('04_Pinjaman'!$C$5:$C$1004,MATCH(B141,'04_Pinjaman'!$A$5:$A$1004,0))))</f>
        <v>KKSUK-000068</v>
      </c>
      <c r="E141" s="22">
        <v>46209</v>
      </c>
      <c r="F141" s="23">
        <v>42575000</v>
      </c>
      <c r="G141" s="21"/>
    </row>
    <row r="142" spans="1:7" ht="21" customHeight="1">
      <c r="A142" s="20">
        <f t="shared" si="2"/>
        <v>138</v>
      </c>
      <c r="B142" s="21">
        <v>21</v>
      </c>
      <c r="C142" s="20" t="str">
        <f>IF(B142="","",IF(COUNTIF('04_Pinjaman'!$A$5:$A$1004,B142)=0,"NO PINJAMAN TIDAK DITEMUKAN",INDEX('04_Pinjaman'!$B$5:$B$1004,MATCH(B142,'04_Pinjaman'!$A$5:$A$1004,0))))</f>
        <v>Ari Wibowo - 00533</v>
      </c>
      <c r="D142" s="20" t="str">
        <f>IF(B142="","",IF(COUNTIF('04_Pinjaman'!$A$5:$A$1004,B142)=0,"NPP TIDAK DITEMUKAN",INDEX('04_Pinjaman'!$C$5:$C$1004,MATCH(B142,'04_Pinjaman'!$A$5:$A$1004,0))))</f>
        <v>KKSUK-000068</v>
      </c>
      <c r="E142" s="22">
        <v>46258</v>
      </c>
      <c r="F142" s="23">
        <v>3275000</v>
      </c>
      <c r="G142" s="21" t="s">
        <v>801</v>
      </c>
    </row>
    <row r="143" spans="1:7" ht="21" customHeight="1">
      <c r="A143" s="20">
        <f t="shared" si="2"/>
        <v>139</v>
      </c>
      <c r="B143" s="21">
        <v>22</v>
      </c>
      <c r="C143" s="20" t="str">
        <f>IF(B143="","",IF(COUNTIF('04_Pinjaman'!$A$5:$A$1004,B143)=0,"NO PINJAMAN TIDAK DITEMUKAN",INDEX('04_Pinjaman'!$B$5:$B$1004,MATCH(B143,'04_Pinjaman'!$A$5:$A$1004,0))))</f>
        <v>Ari Wibowo - 00579</v>
      </c>
      <c r="D143" s="20" t="str">
        <f>IF(B143="","",IF(COUNTIF('04_Pinjaman'!$A$5:$A$1004,B143)=0,"NPP TIDAK DITEMUKAN",INDEX('04_Pinjaman'!$C$5:$C$1004,MATCH(B143,'04_Pinjaman'!$A$5:$A$1004,0))))</f>
        <v>KKSUK-000122</v>
      </c>
      <c r="E143" s="22">
        <v>45863</v>
      </c>
      <c r="F143" s="23">
        <v>767000</v>
      </c>
      <c r="G143" s="21"/>
    </row>
    <row r="144" spans="1:7" ht="21" customHeight="1">
      <c r="A144" s="20">
        <f t="shared" si="2"/>
        <v>140</v>
      </c>
      <c r="B144" s="21">
        <v>22</v>
      </c>
      <c r="C144" s="20" t="str">
        <f>IF(B144="","",IF(COUNTIF('04_Pinjaman'!$A$5:$A$1004,B144)=0,"NO PINJAMAN TIDAK DITEMUKAN",INDEX('04_Pinjaman'!$B$5:$B$1004,MATCH(B144,'04_Pinjaman'!$A$5:$A$1004,0))))</f>
        <v>Ari Wibowo - 00579</v>
      </c>
      <c r="D144" s="20" t="str">
        <f>IF(B144="","",IF(COUNTIF('04_Pinjaman'!$A$5:$A$1004,B144)=0,"NPP TIDAK DITEMUKAN",INDEX('04_Pinjaman'!$C$5:$C$1004,MATCH(B144,'04_Pinjaman'!$A$5:$A$1004,0))))</f>
        <v>KKSUK-000122</v>
      </c>
      <c r="E144" s="22">
        <v>45894</v>
      </c>
      <c r="F144" s="23">
        <v>767000</v>
      </c>
      <c r="G144" s="21"/>
    </row>
    <row r="145" spans="1:7" ht="21" customHeight="1">
      <c r="A145" s="20">
        <f t="shared" si="2"/>
        <v>141</v>
      </c>
      <c r="B145" s="21">
        <v>22</v>
      </c>
      <c r="C145" s="20" t="str">
        <f>IF(B145="","",IF(COUNTIF('04_Pinjaman'!$A$5:$A$1004,B145)=0,"NO PINJAMAN TIDAK DITEMUKAN",INDEX('04_Pinjaman'!$B$5:$B$1004,MATCH(B145,'04_Pinjaman'!$A$5:$A$1004,0))))</f>
        <v>Ari Wibowo - 00579</v>
      </c>
      <c r="D145" s="20" t="str">
        <f>IF(B145="","",IF(COUNTIF('04_Pinjaman'!$A$5:$A$1004,B145)=0,"NPP TIDAK DITEMUKAN",INDEX('04_Pinjaman'!$C$5:$C$1004,MATCH(B145,'04_Pinjaman'!$A$5:$A$1004,0))))</f>
        <v>KKSUK-000122</v>
      </c>
      <c r="E145" s="22">
        <v>45925</v>
      </c>
      <c r="F145" s="23">
        <v>767000</v>
      </c>
      <c r="G145" s="21"/>
    </row>
    <row r="146" spans="1:7" ht="21" customHeight="1">
      <c r="A146" s="20">
        <f t="shared" si="2"/>
        <v>142</v>
      </c>
      <c r="B146" s="21">
        <v>22</v>
      </c>
      <c r="C146" s="20" t="str">
        <f>IF(B146="","",IF(COUNTIF('04_Pinjaman'!$A$5:$A$1004,B146)=0,"NO PINJAMAN TIDAK DITEMUKAN",INDEX('04_Pinjaman'!$B$5:$B$1004,MATCH(B146,'04_Pinjaman'!$A$5:$A$1004,0))))</f>
        <v>Ari Wibowo - 00579</v>
      </c>
      <c r="D146" s="20" t="str">
        <f>IF(B146="","",IF(COUNTIF('04_Pinjaman'!$A$5:$A$1004,B146)=0,"NPP TIDAK DITEMUKAN",INDEX('04_Pinjaman'!$C$5:$C$1004,MATCH(B146,'04_Pinjaman'!$A$5:$A$1004,0))))</f>
        <v>KKSUK-000122</v>
      </c>
      <c r="E146" s="22">
        <v>45954</v>
      </c>
      <c r="F146" s="23">
        <v>767000</v>
      </c>
      <c r="G146" s="21"/>
    </row>
    <row r="147" spans="1:7" ht="21" customHeight="1">
      <c r="A147" s="20">
        <f t="shared" si="2"/>
        <v>143</v>
      </c>
      <c r="B147" s="21">
        <v>22</v>
      </c>
      <c r="C147" s="20" t="str">
        <f>IF(B147="","",IF(COUNTIF('04_Pinjaman'!$A$5:$A$1004,B147)=0,"NO PINJAMAN TIDAK DITEMUKAN",INDEX('04_Pinjaman'!$B$5:$B$1004,MATCH(B147,'04_Pinjaman'!$A$5:$A$1004,0))))</f>
        <v>Ari Wibowo - 00579</v>
      </c>
      <c r="D147" s="20" t="str">
        <f>IF(B147="","",IF(COUNTIF('04_Pinjaman'!$A$5:$A$1004,B147)=0,"NPP TIDAK DITEMUKAN",INDEX('04_Pinjaman'!$C$5:$C$1004,MATCH(B147,'04_Pinjaman'!$A$5:$A$1004,0))))</f>
        <v>KKSUK-000122</v>
      </c>
      <c r="E147" s="22">
        <v>45986</v>
      </c>
      <c r="F147" s="23">
        <v>767000</v>
      </c>
      <c r="G147" s="21"/>
    </row>
    <row r="148" spans="1:7" ht="21" customHeight="1">
      <c r="A148" s="20">
        <f t="shared" si="2"/>
        <v>144</v>
      </c>
      <c r="B148" s="21">
        <v>22</v>
      </c>
      <c r="C148" s="20" t="str">
        <f>IF(B148="","",IF(COUNTIF('04_Pinjaman'!$A$5:$A$1004,B148)=0,"NO PINJAMAN TIDAK DITEMUKAN",INDEX('04_Pinjaman'!$B$5:$B$1004,MATCH(B148,'04_Pinjaman'!$A$5:$A$1004,0))))</f>
        <v>Ari Wibowo - 00579</v>
      </c>
      <c r="D148" s="20" t="str">
        <f>IF(B148="","",IF(COUNTIF('04_Pinjaman'!$A$5:$A$1004,B148)=0,"NPP TIDAK DITEMUKAN",INDEX('04_Pinjaman'!$C$5:$C$1004,MATCH(B148,'04_Pinjaman'!$A$5:$A$1004,0))))</f>
        <v>KKSUK-000122</v>
      </c>
      <c r="E148" s="22">
        <v>46010</v>
      </c>
      <c r="F148" s="23">
        <v>767000</v>
      </c>
      <c r="G148" s="21"/>
    </row>
    <row r="149" spans="1:7" ht="21" customHeight="1">
      <c r="A149" s="20">
        <f t="shared" si="2"/>
        <v>145</v>
      </c>
      <c r="B149" s="21">
        <v>22</v>
      </c>
      <c r="C149" s="20" t="str">
        <f>IF(B149="","",IF(COUNTIF('04_Pinjaman'!$A$5:$A$1004,B149)=0,"NO PINJAMAN TIDAK DITEMUKAN",INDEX('04_Pinjaman'!$B$5:$B$1004,MATCH(B149,'04_Pinjaman'!$A$5:$A$1004,0))))</f>
        <v>Ari Wibowo - 00579</v>
      </c>
      <c r="D149" s="20" t="str">
        <f>IF(B149="","",IF(COUNTIF('04_Pinjaman'!$A$5:$A$1004,B149)=0,"NPP TIDAK DITEMUKAN",INDEX('04_Pinjaman'!$C$5:$C$1004,MATCH(B149,'04_Pinjaman'!$A$5:$A$1004,0))))</f>
        <v>KKSUK-000122</v>
      </c>
      <c r="E149" s="22">
        <v>46010</v>
      </c>
      <c r="F149" s="23">
        <v>-767000</v>
      </c>
      <c r="G149" s="21" t="s">
        <v>814</v>
      </c>
    </row>
    <row r="150" spans="1:7" ht="21" customHeight="1">
      <c r="A150" s="20">
        <f t="shared" si="2"/>
        <v>146</v>
      </c>
      <c r="B150" s="21">
        <v>22</v>
      </c>
      <c r="C150" s="20" t="str">
        <f>IF(B150="","",IF(COUNTIF('04_Pinjaman'!$A$5:$A$1004,B150)=0,"NO PINJAMAN TIDAK DITEMUKAN",INDEX('04_Pinjaman'!$B$5:$B$1004,MATCH(B150,'04_Pinjaman'!$A$5:$A$1004,0))))</f>
        <v>Ari Wibowo - 00579</v>
      </c>
      <c r="D150" s="20" t="str">
        <f>IF(B150="","",IF(COUNTIF('04_Pinjaman'!$A$5:$A$1004,B150)=0,"NPP TIDAK DITEMUKAN",INDEX('04_Pinjaman'!$C$5:$C$1004,MATCH(B150,'04_Pinjaman'!$A$5:$A$1004,0))))</f>
        <v>KKSUK-000122</v>
      </c>
      <c r="E150" s="22">
        <v>46045</v>
      </c>
      <c r="F150" s="23">
        <v>767000</v>
      </c>
      <c r="G150" s="21"/>
    </row>
    <row r="151" spans="1:7" ht="21" customHeight="1">
      <c r="A151" s="20">
        <f t="shared" si="2"/>
        <v>147</v>
      </c>
      <c r="B151" s="21">
        <v>22</v>
      </c>
      <c r="C151" s="20" t="str">
        <f>IF(B151="","",IF(COUNTIF('04_Pinjaman'!$A$5:$A$1004,B151)=0,"NO PINJAMAN TIDAK DITEMUKAN",INDEX('04_Pinjaman'!$B$5:$B$1004,MATCH(B151,'04_Pinjaman'!$A$5:$A$1004,0))))</f>
        <v>Ari Wibowo - 00579</v>
      </c>
      <c r="D151" s="20" t="str">
        <f>IF(B151="","",IF(COUNTIF('04_Pinjaman'!$A$5:$A$1004,B151)=0,"NPP TIDAK DITEMUKAN",INDEX('04_Pinjaman'!$C$5:$C$1004,MATCH(B151,'04_Pinjaman'!$A$5:$A$1004,0))))</f>
        <v>KKSUK-000122</v>
      </c>
      <c r="E151" s="22">
        <v>46078</v>
      </c>
      <c r="F151" s="23">
        <v>767000</v>
      </c>
      <c r="G151" s="21"/>
    </row>
    <row r="152" spans="1:7" ht="21" customHeight="1">
      <c r="A152" s="20">
        <f t="shared" si="2"/>
        <v>148</v>
      </c>
      <c r="B152" s="21">
        <v>22</v>
      </c>
      <c r="C152" s="20" t="str">
        <f>IF(B152="","",IF(COUNTIF('04_Pinjaman'!$A$5:$A$1004,B152)=0,"NO PINJAMAN TIDAK DITEMUKAN",INDEX('04_Pinjaman'!$B$5:$B$1004,MATCH(B152,'04_Pinjaman'!$A$5:$A$1004,0))))</f>
        <v>Ari Wibowo - 00579</v>
      </c>
      <c r="D152" s="20" t="str">
        <f>IF(B152="","",IF(COUNTIF('04_Pinjaman'!$A$5:$A$1004,B152)=0,"NPP TIDAK DITEMUKAN",INDEX('04_Pinjaman'!$C$5:$C$1004,MATCH(B152,'04_Pinjaman'!$A$5:$A$1004,0))))</f>
        <v>KKSUK-000122</v>
      </c>
      <c r="E152" s="22">
        <v>46106</v>
      </c>
      <c r="F152" s="23">
        <v>767000</v>
      </c>
      <c r="G152" s="21"/>
    </row>
    <row r="153" spans="1:7" ht="21" customHeight="1">
      <c r="A153" s="20">
        <f t="shared" si="2"/>
        <v>149</v>
      </c>
      <c r="B153" s="21">
        <v>22</v>
      </c>
      <c r="C153" s="20" t="str">
        <f>IF(B153="","",IF(COUNTIF('04_Pinjaman'!$A$5:$A$1004,B153)=0,"NO PINJAMAN TIDAK DITEMUKAN",INDEX('04_Pinjaman'!$B$5:$B$1004,MATCH(B153,'04_Pinjaman'!$A$5:$A$1004,0))))</f>
        <v>Ari Wibowo - 00579</v>
      </c>
      <c r="D153" s="20" t="str">
        <f>IF(B153="","",IF(COUNTIF('04_Pinjaman'!$A$5:$A$1004,B153)=0,"NPP TIDAK DITEMUKAN",INDEX('04_Pinjaman'!$C$5:$C$1004,MATCH(B153,'04_Pinjaman'!$A$5:$A$1004,0))))</f>
        <v>KKSUK-000122</v>
      </c>
      <c r="E153" s="22">
        <v>46136</v>
      </c>
      <c r="F153" s="23">
        <v>767000</v>
      </c>
      <c r="G153" s="21"/>
    </row>
    <row r="154" spans="1:7" ht="21" customHeight="1">
      <c r="A154" s="20">
        <f t="shared" si="2"/>
        <v>150</v>
      </c>
      <c r="B154" s="21">
        <v>22</v>
      </c>
      <c r="C154" s="20" t="str">
        <f>IF(B154="","",IF(COUNTIF('04_Pinjaman'!$A$5:$A$1004,B154)=0,"NO PINJAMAN TIDAK DITEMUKAN",INDEX('04_Pinjaman'!$B$5:$B$1004,MATCH(B154,'04_Pinjaman'!$A$5:$A$1004,0))))</f>
        <v>Ari Wibowo - 00579</v>
      </c>
      <c r="D154" s="20" t="str">
        <f>IF(B154="","",IF(COUNTIF('04_Pinjaman'!$A$5:$A$1004,B154)=0,"NPP TIDAK DITEMUKAN",INDEX('04_Pinjaman'!$C$5:$C$1004,MATCH(B154,'04_Pinjaman'!$A$5:$A$1004,0))))</f>
        <v>KKSUK-000122</v>
      </c>
      <c r="E154" s="22">
        <v>46167</v>
      </c>
      <c r="F154" s="23">
        <v>767000</v>
      </c>
      <c r="G154" s="21"/>
    </row>
    <row r="155" spans="1:7" ht="21" customHeight="1">
      <c r="A155" s="20">
        <f t="shared" si="2"/>
        <v>151</v>
      </c>
      <c r="B155" s="21">
        <v>22</v>
      </c>
      <c r="C155" s="20" t="str">
        <f>IF(B155="","",IF(COUNTIF('04_Pinjaman'!$A$5:$A$1004,B155)=0,"NO PINJAMAN TIDAK DITEMUKAN",INDEX('04_Pinjaman'!$B$5:$B$1004,MATCH(B155,'04_Pinjaman'!$A$5:$A$1004,0))))</f>
        <v>Ari Wibowo - 00579</v>
      </c>
      <c r="D155" s="20" t="str">
        <f>IF(B155="","",IF(COUNTIF('04_Pinjaman'!$A$5:$A$1004,B155)=0,"NPP TIDAK DITEMUKAN",INDEX('04_Pinjaman'!$C$5:$C$1004,MATCH(B155,'04_Pinjaman'!$A$5:$A$1004,0))))</f>
        <v>KKSUK-000122</v>
      </c>
      <c r="E155" s="22">
        <v>46198</v>
      </c>
      <c r="F155" s="23">
        <v>767000</v>
      </c>
      <c r="G155" s="21"/>
    </row>
    <row r="156" spans="1:7" ht="21" customHeight="1">
      <c r="A156" s="20">
        <f t="shared" si="2"/>
        <v>152</v>
      </c>
      <c r="B156" s="21">
        <v>22</v>
      </c>
      <c r="C156" s="20" t="str">
        <f>IF(B156="","",IF(COUNTIF('04_Pinjaman'!$A$5:$A$1004,B156)=0,"NO PINJAMAN TIDAK DITEMUKAN",INDEX('04_Pinjaman'!$B$5:$B$1004,MATCH(B156,'04_Pinjaman'!$A$5:$A$1004,0))))</f>
        <v>Ari Wibowo - 00579</v>
      </c>
      <c r="D156" s="20" t="str">
        <f>IF(B156="","",IF(COUNTIF('04_Pinjaman'!$A$5:$A$1004,B156)=0,"NPP TIDAK DITEMUKAN",INDEX('04_Pinjaman'!$C$5:$C$1004,MATCH(B156,'04_Pinjaman'!$A$5:$A$1004,0))))</f>
        <v>KKSUK-000122</v>
      </c>
      <c r="E156" s="22">
        <v>46227</v>
      </c>
      <c r="F156" s="23">
        <v>767000</v>
      </c>
      <c r="G156" s="21"/>
    </row>
    <row r="157" spans="1:7" ht="21" customHeight="1">
      <c r="A157" s="20">
        <f t="shared" si="2"/>
        <v>153</v>
      </c>
      <c r="B157" s="21">
        <v>22</v>
      </c>
      <c r="C157" s="20" t="str">
        <f>IF(B157="","",IF(COUNTIF('04_Pinjaman'!$A$5:$A$1004,B157)=0,"NO PINJAMAN TIDAK DITEMUKAN",INDEX('04_Pinjaman'!$B$5:$B$1004,MATCH(B157,'04_Pinjaman'!$A$5:$A$1004,0))))</f>
        <v>Ari Wibowo - 00579</v>
      </c>
      <c r="D157" s="20" t="str">
        <f>IF(B157="","",IF(COUNTIF('04_Pinjaman'!$A$5:$A$1004,B157)=0,"NPP TIDAK DITEMUKAN",INDEX('04_Pinjaman'!$C$5:$C$1004,MATCH(B157,'04_Pinjaman'!$A$5:$A$1004,0))))</f>
        <v>KKSUK-000122</v>
      </c>
      <c r="E157" s="22">
        <v>46258</v>
      </c>
      <c r="F157" s="23">
        <v>767000</v>
      </c>
      <c r="G157" s="21"/>
    </row>
    <row r="158" spans="1:7" ht="21" customHeight="1">
      <c r="A158" s="20">
        <f t="shared" si="2"/>
        <v>154</v>
      </c>
      <c r="B158" s="21">
        <v>23</v>
      </c>
      <c r="C158" s="20" t="str">
        <f>IF(B158="","",IF(COUNTIF('04_Pinjaman'!$A$5:$A$1004,B158)=0,"NO PINJAMAN TIDAK DITEMUKAN",INDEX('04_Pinjaman'!$B$5:$B$1004,MATCH(B158,'04_Pinjaman'!$A$5:$A$1004,0))))</f>
        <v>Arief Indrawan</v>
      </c>
      <c r="D158" s="20" t="str">
        <f>IF(B158="","",IF(COUNTIF('04_Pinjaman'!$A$5:$A$1004,B158)=0,"NPP TIDAK DITEMUKAN",INDEX('04_Pinjaman'!$C$5:$C$1004,MATCH(B158,'04_Pinjaman'!$A$5:$A$1004,0))))</f>
        <v>KKSUK-000059</v>
      </c>
      <c r="E158" s="22">
        <v>45954</v>
      </c>
      <c r="F158" s="23">
        <v>1603333</v>
      </c>
      <c r="G158" s="21"/>
    </row>
    <row r="159" spans="1:7" ht="21" customHeight="1">
      <c r="A159" s="20">
        <f t="shared" si="2"/>
        <v>155</v>
      </c>
      <c r="B159" s="21">
        <v>23</v>
      </c>
      <c r="C159" s="20" t="str">
        <f>IF(B159="","",IF(COUNTIF('04_Pinjaman'!$A$5:$A$1004,B159)=0,"NO PINJAMAN TIDAK DITEMUKAN",INDEX('04_Pinjaman'!$B$5:$B$1004,MATCH(B159,'04_Pinjaman'!$A$5:$A$1004,0))))</f>
        <v>Arief Indrawan</v>
      </c>
      <c r="D159" s="20" t="str">
        <f>IF(B159="","",IF(COUNTIF('04_Pinjaman'!$A$5:$A$1004,B159)=0,"NPP TIDAK DITEMUKAN",INDEX('04_Pinjaman'!$C$5:$C$1004,MATCH(B159,'04_Pinjaman'!$A$5:$A$1004,0))))</f>
        <v>KKSUK-000059</v>
      </c>
      <c r="E159" s="22">
        <v>45955</v>
      </c>
      <c r="F159" s="23">
        <v>-1603333</v>
      </c>
      <c r="G159" s="21" t="s">
        <v>815</v>
      </c>
    </row>
    <row r="160" spans="1:7" ht="21" customHeight="1">
      <c r="A160" s="20">
        <f t="shared" si="2"/>
        <v>156</v>
      </c>
      <c r="B160" s="21">
        <v>23</v>
      </c>
      <c r="C160" s="20" t="str">
        <f>IF(B160="","",IF(COUNTIF('04_Pinjaman'!$A$5:$A$1004,B160)=0,"NO PINJAMAN TIDAK DITEMUKAN",INDEX('04_Pinjaman'!$B$5:$B$1004,MATCH(B160,'04_Pinjaman'!$A$5:$A$1004,0))))</f>
        <v>Arief Indrawan</v>
      </c>
      <c r="D160" s="20" t="str">
        <f>IF(B160="","",IF(COUNTIF('04_Pinjaman'!$A$5:$A$1004,B160)=0,"NPP TIDAK DITEMUKAN",INDEX('04_Pinjaman'!$C$5:$C$1004,MATCH(B160,'04_Pinjaman'!$A$5:$A$1004,0))))</f>
        <v>KKSUK-000059</v>
      </c>
      <c r="E160" s="22">
        <v>45986</v>
      </c>
      <c r="F160" s="23">
        <v>0</v>
      </c>
      <c r="G160" s="21"/>
    </row>
    <row r="161" spans="1:7" ht="21" customHeight="1">
      <c r="A161" s="20">
        <f t="shared" si="2"/>
        <v>157</v>
      </c>
      <c r="B161" s="21">
        <v>23</v>
      </c>
      <c r="C161" s="20" t="str">
        <f>IF(B161="","",IF(COUNTIF('04_Pinjaman'!$A$5:$A$1004,B161)=0,"NO PINJAMAN TIDAK DITEMUKAN",INDEX('04_Pinjaman'!$B$5:$B$1004,MATCH(B161,'04_Pinjaman'!$A$5:$A$1004,0))))</f>
        <v>Arief Indrawan</v>
      </c>
      <c r="D161" s="20" t="str">
        <f>IF(B161="","",IF(COUNTIF('04_Pinjaman'!$A$5:$A$1004,B161)=0,"NPP TIDAK DITEMUKAN",INDEX('04_Pinjaman'!$C$5:$C$1004,MATCH(B161,'04_Pinjaman'!$A$5:$A$1004,0))))</f>
        <v>KKSUK-000059</v>
      </c>
      <c r="E161" s="22">
        <v>46010</v>
      </c>
      <c r="F161" s="23">
        <v>1603333</v>
      </c>
      <c r="G161" s="21"/>
    </row>
    <row r="162" spans="1:7" ht="21" customHeight="1">
      <c r="A162" s="20">
        <f t="shared" si="2"/>
        <v>158</v>
      </c>
      <c r="B162" s="21">
        <v>23</v>
      </c>
      <c r="C162" s="20" t="str">
        <f>IF(B162="","",IF(COUNTIF('04_Pinjaman'!$A$5:$A$1004,B162)=0,"NO PINJAMAN TIDAK DITEMUKAN",INDEX('04_Pinjaman'!$B$5:$B$1004,MATCH(B162,'04_Pinjaman'!$A$5:$A$1004,0))))</f>
        <v>Arief Indrawan</v>
      </c>
      <c r="D162" s="20" t="str">
        <f>IF(B162="","",IF(COUNTIF('04_Pinjaman'!$A$5:$A$1004,B162)=0,"NPP TIDAK DITEMUKAN",INDEX('04_Pinjaman'!$C$5:$C$1004,MATCH(B162,'04_Pinjaman'!$A$5:$A$1004,0))))</f>
        <v>KKSUK-000059</v>
      </c>
      <c r="E162" s="22">
        <v>46045</v>
      </c>
      <c r="F162" s="23">
        <v>1603333</v>
      </c>
      <c r="G162" s="21"/>
    </row>
    <row r="163" spans="1:7" ht="21" customHeight="1">
      <c r="A163" s="20">
        <f t="shared" si="2"/>
        <v>159</v>
      </c>
      <c r="B163" s="21">
        <v>23</v>
      </c>
      <c r="C163" s="20" t="str">
        <f>IF(B163="","",IF(COUNTIF('04_Pinjaman'!$A$5:$A$1004,B163)=0,"NO PINJAMAN TIDAK DITEMUKAN",INDEX('04_Pinjaman'!$B$5:$B$1004,MATCH(B163,'04_Pinjaman'!$A$5:$A$1004,0))))</f>
        <v>Arief Indrawan</v>
      </c>
      <c r="D163" s="20" t="str">
        <f>IF(B163="","",IF(COUNTIF('04_Pinjaman'!$A$5:$A$1004,B163)=0,"NPP TIDAK DITEMUKAN",INDEX('04_Pinjaman'!$C$5:$C$1004,MATCH(B163,'04_Pinjaman'!$A$5:$A$1004,0))))</f>
        <v>KKSUK-000059</v>
      </c>
      <c r="E163" s="22">
        <v>46078</v>
      </c>
      <c r="F163" s="23">
        <v>1603333</v>
      </c>
      <c r="G163" s="21"/>
    </row>
    <row r="164" spans="1:7" ht="21" customHeight="1">
      <c r="A164" s="20">
        <f t="shared" si="2"/>
        <v>160</v>
      </c>
      <c r="B164" s="21">
        <v>23</v>
      </c>
      <c r="C164" s="20" t="str">
        <f>IF(B164="","",IF(COUNTIF('04_Pinjaman'!$A$5:$A$1004,B164)=0,"NO PINJAMAN TIDAK DITEMUKAN",INDEX('04_Pinjaman'!$B$5:$B$1004,MATCH(B164,'04_Pinjaman'!$A$5:$A$1004,0))))</f>
        <v>Arief Indrawan</v>
      </c>
      <c r="D164" s="20" t="str">
        <f>IF(B164="","",IF(COUNTIF('04_Pinjaman'!$A$5:$A$1004,B164)=0,"NPP TIDAK DITEMUKAN",INDEX('04_Pinjaman'!$C$5:$C$1004,MATCH(B164,'04_Pinjaman'!$A$5:$A$1004,0))))</f>
        <v>KKSUK-000059</v>
      </c>
      <c r="E164" s="22">
        <v>46106</v>
      </c>
      <c r="F164" s="23">
        <v>1603333</v>
      </c>
      <c r="G164" s="21"/>
    </row>
    <row r="165" spans="1:7" ht="21" customHeight="1">
      <c r="A165" s="20">
        <f t="shared" si="2"/>
        <v>161</v>
      </c>
      <c r="B165" s="21">
        <v>23</v>
      </c>
      <c r="C165" s="20" t="str">
        <f>IF(B165="","",IF(COUNTIF('04_Pinjaman'!$A$5:$A$1004,B165)=0,"NO PINJAMAN TIDAK DITEMUKAN",INDEX('04_Pinjaman'!$B$5:$B$1004,MATCH(B165,'04_Pinjaman'!$A$5:$A$1004,0))))</f>
        <v>Arief Indrawan</v>
      </c>
      <c r="D165" s="20" t="str">
        <f>IF(B165="","",IF(COUNTIF('04_Pinjaman'!$A$5:$A$1004,B165)=0,"NPP TIDAK DITEMUKAN",INDEX('04_Pinjaman'!$C$5:$C$1004,MATCH(B165,'04_Pinjaman'!$A$5:$A$1004,0))))</f>
        <v>KKSUK-000059</v>
      </c>
      <c r="E165" s="22">
        <v>46136</v>
      </c>
      <c r="F165" s="23">
        <v>1603333</v>
      </c>
      <c r="G165" s="21"/>
    </row>
    <row r="166" spans="1:7" ht="21" customHeight="1">
      <c r="A166" s="20">
        <f t="shared" si="2"/>
        <v>162</v>
      </c>
      <c r="B166" s="21">
        <v>23</v>
      </c>
      <c r="C166" s="20" t="str">
        <f>IF(B166="","",IF(COUNTIF('04_Pinjaman'!$A$5:$A$1004,B166)=0,"NO PINJAMAN TIDAK DITEMUKAN",INDEX('04_Pinjaman'!$B$5:$B$1004,MATCH(B166,'04_Pinjaman'!$A$5:$A$1004,0))))</f>
        <v>Arief Indrawan</v>
      </c>
      <c r="D166" s="20" t="str">
        <f>IF(B166="","",IF(COUNTIF('04_Pinjaman'!$A$5:$A$1004,B166)=0,"NPP TIDAK DITEMUKAN",INDEX('04_Pinjaman'!$C$5:$C$1004,MATCH(B166,'04_Pinjaman'!$A$5:$A$1004,0))))</f>
        <v>KKSUK-000059</v>
      </c>
      <c r="E166" s="22">
        <v>46167</v>
      </c>
      <c r="F166" s="23">
        <v>1603333</v>
      </c>
      <c r="G166" s="21"/>
    </row>
    <row r="167" spans="1:7" ht="21" customHeight="1">
      <c r="A167" s="20">
        <f t="shared" si="2"/>
        <v>163</v>
      </c>
      <c r="B167" s="21">
        <v>23</v>
      </c>
      <c r="C167" s="20" t="str">
        <f>IF(B167="","",IF(COUNTIF('04_Pinjaman'!$A$5:$A$1004,B167)=0,"NO PINJAMAN TIDAK DITEMUKAN",INDEX('04_Pinjaman'!$B$5:$B$1004,MATCH(B167,'04_Pinjaman'!$A$5:$A$1004,0))))</f>
        <v>Arief Indrawan</v>
      </c>
      <c r="D167" s="20" t="str">
        <f>IF(B167="","",IF(COUNTIF('04_Pinjaman'!$A$5:$A$1004,B167)=0,"NPP TIDAK DITEMUKAN",INDEX('04_Pinjaman'!$C$5:$C$1004,MATCH(B167,'04_Pinjaman'!$A$5:$A$1004,0))))</f>
        <v>KKSUK-000059</v>
      </c>
      <c r="E167" s="22">
        <v>46198</v>
      </c>
      <c r="F167" s="23">
        <v>1603333</v>
      </c>
      <c r="G167" s="21"/>
    </row>
    <row r="168" spans="1:7" ht="21" customHeight="1">
      <c r="A168" s="20">
        <f t="shared" si="2"/>
        <v>164</v>
      </c>
      <c r="B168" s="21">
        <v>23</v>
      </c>
      <c r="C168" s="20" t="str">
        <f>IF(B168="","",IF(COUNTIF('04_Pinjaman'!$A$5:$A$1004,B168)=0,"NO PINJAMAN TIDAK DITEMUKAN",INDEX('04_Pinjaman'!$B$5:$B$1004,MATCH(B168,'04_Pinjaman'!$A$5:$A$1004,0))))</f>
        <v>Arief Indrawan</v>
      </c>
      <c r="D168" s="20" t="str">
        <f>IF(B168="","",IF(COUNTIF('04_Pinjaman'!$A$5:$A$1004,B168)=0,"NPP TIDAK DITEMUKAN",INDEX('04_Pinjaman'!$C$5:$C$1004,MATCH(B168,'04_Pinjaman'!$A$5:$A$1004,0))))</f>
        <v>KKSUK-000059</v>
      </c>
      <c r="E168" s="22">
        <v>46227</v>
      </c>
      <c r="F168" s="23">
        <v>1603333</v>
      </c>
      <c r="G168" s="21"/>
    </row>
    <row r="169" spans="1:7" ht="21" customHeight="1">
      <c r="A169" s="20">
        <f t="shared" si="2"/>
        <v>165</v>
      </c>
      <c r="B169" s="21">
        <v>23</v>
      </c>
      <c r="C169" s="20" t="str">
        <f>IF(B169="","",IF(COUNTIF('04_Pinjaman'!$A$5:$A$1004,B169)=0,"NO PINJAMAN TIDAK DITEMUKAN",INDEX('04_Pinjaman'!$B$5:$B$1004,MATCH(B169,'04_Pinjaman'!$A$5:$A$1004,0))))</f>
        <v>Arief Indrawan</v>
      </c>
      <c r="D169" s="20" t="str">
        <f>IF(B169="","",IF(COUNTIF('04_Pinjaman'!$A$5:$A$1004,B169)=0,"NPP TIDAK DITEMUKAN",INDEX('04_Pinjaman'!$C$5:$C$1004,MATCH(B169,'04_Pinjaman'!$A$5:$A$1004,0))))</f>
        <v>KKSUK-000059</v>
      </c>
      <c r="E169" s="22">
        <v>46258</v>
      </c>
      <c r="F169" s="23">
        <v>1603333</v>
      </c>
      <c r="G169" s="21"/>
    </row>
    <row r="170" spans="1:7" ht="21" customHeight="1">
      <c r="A170" s="20">
        <f t="shared" si="2"/>
        <v>166</v>
      </c>
      <c r="B170" s="21">
        <v>24</v>
      </c>
      <c r="C170" s="20" t="str">
        <f>IF(B170="","",IF(COUNTIF('04_Pinjaman'!$A$5:$A$1004,B170)=0,"NO PINJAMAN TIDAK DITEMUKAN",INDEX('04_Pinjaman'!$B$5:$B$1004,MATCH(B170,'04_Pinjaman'!$A$5:$A$1004,0))))</f>
        <v>Asta</v>
      </c>
      <c r="D170" s="20" t="str">
        <f>IF(B170="","",IF(COUNTIF('04_Pinjaman'!$A$5:$A$1004,B170)=0,"NPP TIDAK DITEMUKAN",INDEX('04_Pinjaman'!$C$5:$C$1004,MATCH(B170,'04_Pinjaman'!$A$5:$A$1004,0))))</f>
        <v>KKSUK-000168</v>
      </c>
      <c r="E170" s="22">
        <v>45621</v>
      </c>
      <c r="F170" s="23">
        <v>1195000</v>
      </c>
      <c r="G170" s="21"/>
    </row>
    <row r="171" spans="1:7" ht="21" customHeight="1">
      <c r="A171" s="20">
        <f t="shared" si="2"/>
        <v>167</v>
      </c>
      <c r="B171" s="21">
        <v>24</v>
      </c>
      <c r="C171" s="20" t="str">
        <f>IF(B171="","",IF(COUNTIF('04_Pinjaman'!$A$5:$A$1004,B171)=0,"NO PINJAMAN TIDAK DITEMUKAN",INDEX('04_Pinjaman'!$B$5:$B$1004,MATCH(B171,'04_Pinjaman'!$A$5:$A$1004,0))))</f>
        <v>Asta</v>
      </c>
      <c r="D171" s="20" t="str">
        <f>IF(B171="","",IF(COUNTIF('04_Pinjaman'!$A$5:$A$1004,B171)=0,"NPP TIDAK DITEMUKAN",INDEX('04_Pinjaman'!$C$5:$C$1004,MATCH(B171,'04_Pinjaman'!$A$5:$A$1004,0))))</f>
        <v>KKSUK-000168</v>
      </c>
      <c r="E171" s="22">
        <v>45646</v>
      </c>
      <c r="F171" s="23">
        <v>1195000</v>
      </c>
      <c r="G171" s="21"/>
    </row>
    <row r="172" spans="1:7" ht="21" customHeight="1">
      <c r="A172" s="20">
        <f t="shared" si="2"/>
        <v>168</v>
      </c>
      <c r="B172" s="21">
        <v>24</v>
      </c>
      <c r="C172" s="20" t="str">
        <f>IF(B172="","",IF(COUNTIF('04_Pinjaman'!$A$5:$A$1004,B172)=0,"NO PINJAMAN TIDAK DITEMUKAN",INDEX('04_Pinjaman'!$B$5:$B$1004,MATCH(B172,'04_Pinjaman'!$A$5:$A$1004,0))))</f>
        <v>Asta</v>
      </c>
      <c r="D172" s="20" t="str">
        <f>IF(B172="","",IF(COUNTIF('04_Pinjaman'!$A$5:$A$1004,B172)=0,"NPP TIDAK DITEMUKAN",INDEX('04_Pinjaman'!$C$5:$C$1004,MATCH(B172,'04_Pinjaman'!$A$5:$A$1004,0))))</f>
        <v>KKSUK-000168</v>
      </c>
      <c r="E172" s="22">
        <v>45672</v>
      </c>
      <c r="F172" s="23">
        <v>1195000</v>
      </c>
      <c r="G172" s="21"/>
    </row>
    <row r="173" spans="1:7" ht="21" customHeight="1">
      <c r="A173" s="20">
        <f t="shared" si="2"/>
        <v>169</v>
      </c>
      <c r="B173" s="21">
        <v>24</v>
      </c>
      <c r="C173" s="20" t="str">
        <f>IF(B173="","",IF(COUNTIF('04_Pinjaman'!$A$5:$A$1004,B173)=0,"NO PINJAMAN TIDAK DITEMUKAN",INDEX('04_Pinjaman'!$B$5:$B$1004,MATCH(B173,'04_Pinjaman'!$A$5:$A$1004,0))))</f>
        <v>Asta</v>
      </c>
      <c r="D173" s="20" t="str">
        <f>IF(B173="","",IF(COUNTIF('04_Pinjaman'!$A$5:$A$1004,B173)=0,"NPP TIDAK DITEMUKAN",INDEX('04_Pinjaman'!$C$5:$C$1004,MATCH(B173,'04_Pinjaman'!$A$5:$A$1004,0))))</f>
        <v>KKSUK-000168</v>
      </c>
      <c r="E173" s="22">
        <v>45691</v>
      </c>
      <c r="F173" s="23">
        <v>1195000</v>
      </c>
      <c r="G173" s="21"/>
    </row>
    <row r="174" spans="1:7" ht="21" customHeight="1">
      <c r="A174" s="20">
        <f t="shared" si="2"/>
        <v>170</v>
      </c>
      <c r="B174" s="21">
        <v>24</v>
      </c>
      <c r="C174" s="20" t="str">
        <f>IF(B174="","",IF(COUNTIF('04_Pinjaman'!$A$5:$A$1004,B174)=0,"NO PINJAMAN TIDAK DITEMUKAN",INDEX('04_Pinjaman'!$B$5:$B$1004,MATCH(B174,'04_Pinjaman'!$A$5:$A$1004,0))))</f>
        <v>Asta</v>
      </c>
      <c r="D174" s="20" t="str">
        <f>IF(B174="","",IF(COUNTIF('04_Pinjaman'!$A$5:$A$1004,B174)=0,"NPP TIDAK DITEMUKAN",INDEX('04_Pinjaman'!$C$5:$C$1004,MATCH(B174,'04_Pinjaman'!$A$5:$A$1004,0))))</f>
        <v>KKSUK-000168</v>
      </c>
      <c r="E174" s="22">
        <v>45719</v>
      </c>
      <c r="F174" s="23">
        <v>1195000</v>
      </c>
      <c r="G174" s="21"/>
    </row>
    <row r="175" spans="1:7" ht="21" customHeight="1">
      <c r="A175" s="20">
        <f t="shared" si="2"/>
        <v>171</v>
      </c>
      <c r="B175" s="21">
        <v>24</v>
      </c>
      <c r="C175" s="20" t="str">
        <f>IF(B175="","",IF(COUNTIF('04_Pinjaman'!$A$5:$A$1004,B175)=0,"NO PINJAMAN TIDAK DITEMUKAN",INDEX('04_Pinjaman'!$B$5:$B$1004,MATCH(B175,'04_Pinjaman'!$A$5:$A$1004,0))))</f>
        <v>Asta</v>
      </c>
      <c r="D175" s="20" t="str">
        <f>IF(B175="","",IF(COUNTIF('04_Pinjaman'!$A$5:$A$1004,B175)=0,"NPP TIDAK DITEMUKAN",INDEX('04_Pinjaman'!$C$5:$C$1004,MATCH(B175,'04_Pinjaman'!$A$5:$A$1004,0))))</f>
        <v>KKSUK-000168</v>
      </c>
      <c r="E175" s="22">
        <v>45772</v>
      </c>
      <c r="F175" s="23">
        <v>1195000</v>
      </c>
      <c r="G175" s="21"/>
    </row>
    <row r="176" spans="1:7" ht="21" customHeight="1">
      <c r="A176" s="20">
        <f t="shared" si="2"/>
        <v>172</v>
      </c>
      <c r="B176" s="21">
        <v>24</v>
      </c>
      <c r="C176" s="20" t="str">
        <f>IF(B176="","",IF(COUNTIF('04_Pinjaman'!$A$5:$A$1004,B176)=0,"NO PINJAMAN TIDAK DITEMUKAN",INDEX('04_Pinjaman'!$B$5:$B$1004,MATCH(B176,'04_Pinjaman'!$A$5:$A$1004,0))))</f>
        <v>Asta</v>
      </c>
      <c r="D176" s="20" t="str">
        <f>IF(B176="","",IF(COUNTIF('04_Pinjaman'!$A$5:$A$1004,B176)=0,"NPP TIDAK DITEMUKAN",INDEX('04_Pinjaman'!$C$5:$C$1004,MATCH(B176,'04_Pinjaman'!$A$5:$A$1004,0))))</f>
        <v>KKSUK-000168</v>
      </c>
      <c r="E176" s="22">
        <v>45802</v>
      </c>
      <c r="F176" s="23">
        <v>1195000</v>
      </c>
      <c r="G176" s="21"/>
    </row>
    <row r="177" spans="1:7" ht="21" customHeight="1">
      <c r="A177" s="20">
        <f t="shared" si="2"/>
        <v>173</v>
      </c>
      <c r="B177" s="21">
        <v>24</v>
      </c>
      <c r="C177" s="20" t="str">
        <f>IF(B177="","",IF(COUNTIF('04_Pinjaman'!$A$5:$A$1004,B177)=0,"NO PINJAMAN TIDAK DITEMUKAN",INDEX('04_Pinjaman'!$B$5:$B$1004,MATCH(B177,'04_Pinjaman'!$A$5:$A$1004,0))))</f>
        <v>Asta</v>
      </c>
      <c r="D177" s="20" t="str">
        <f>IF(B177="","",IF(COUNTIF('04_Pinjaman'!$A$5:$A$1004,B177)=0,"NPP TIDAK DITEMUKAN",INDEX('04_Pinjaman'!$C$5:$C$1004,MATCH(B177,'04_Pinjaman'!$A$5:$A$1004,0))))</f>
        <v>KKSUK-000168</v>
      </c>
      <c r="E177" s="22">
        <v>45833</v>
      </c>
      <c r="F177" s="23">
        <v>1195000</v>
      </c>
      <c r="G177" s="21"/>
    </row>
    <row r="178" spans="1:7" ht="21" customHeight="1">
      <c r="A178" s="20">
        <f t="shared" si="2"/>
        <v>174</v>
      </c>
      <c r="B178" s="21">
        <v>24</v>
      </c>
      <c r="C178" s="20" t="str">
        <f>IF(B178="","",IF(COUNTIF('04_Pinjaman'!$A$5:$A$1004,B178)=0,"NO PINJAMAN TIDAK DITEMUKAN",INDEX('04_Pinjaman'!$B$5:$B$1004,MATCH(B178,'04_Pinjaman'!$A$5:$A$1004,0))))</f>
        <v>Asta</v>
      </c>
      <c r="D178" s="20" t="str">
        <f>IF(B178="","",IF(COUNTIF('04_Pinjaman'!$A$5:$A$1004,B178)=0,"NPP TIDAK DITEMUKAN",INDEX('04_Pinjaman'!$C$5:$C$1004,MATCH(B178,'04_Pinjaman'!$A$5:$A$1004,0))))</f>
        <v>KKSUK-000168</v>
      </c>
      <c r="E178" s="22">
        <v>45863</v>
      </c>
      <c r="F178" s="23">
        <v>1195000</v>
      </c>
      <c r="G178" s="21"/>
    </row>
    <row r="179" spans="1:7" ht="21" customHeight="1">
      <c r="A179" s="20">
        <f t="shared" si="2"/>
        <v>175</v>
      </c>
      <c r="B179" s="21">
        <v>24</v>
      </c>
      <c r="C179" s="20" t="str">
        <f>IF(B179="","",IF(COUNTIF('04_Pinjaman'!$A$5:$A$1004,B179)=0,"NO PINJAMAN TIDAK DITEMUKAN",INDEX('04_Pinjaman'!$B$5:$B$1004,MATCH(B179,'04_Pinjaman'!$A$5:$A$1004,0))))</f>
        <v>Asta</v>
      </c>
      <c r="D179" s="20" t="str">
        <f>IF(B179="","",IF(COUNTIF('04_Pinjaman'!$A$5:$A$1004,B179)=0,"NPP TIDAK DITEMUKAN",INDEX('04_Pinjaman'!$C$5:$C$1004,MATCH(B179,'04_Pinjaman'!$A$5:$A$1004,0))))</f>
        <v>KKSUK-000168</v>
      </c>
      <c r="E179" s="22">
        <v>45894</v>
      </c>
      <c r="F179" s="23">
        <v>1195000</v>
      </c>
      <c r="G179" s="21"/>
    </row>
    <row r="180" spans="1:7" ht="21" customHeight="1">
      <c r="A180" s="20">
        <f t="shared" si="2"/>
        <v>176</v>
      </c>
      <c r="B180" s="21">
        <v>24</v>
      </c>
      <c r="C180" s="20" t="str">
        <f>IF(B180="","",IF(COUNTIF('04_Pinjaman'!$A$5:$A$1004,B180)=0,"NO PINJAMAN TIDAK DITEMUKAN",INDEX('04_Pinjaman'!$B$5:$B$1004,MATCH(B180,'04_Pinjaman'!$A$5:$A$1004,0))))</f>
        <v>Asta</v>
      </c>
      <c r="D180" s="20" t="str">
        <f>IF(B180="","",IF(COUNTIF('04_Pinjaman'!$A$5:$A$1004,B180)=0,"NPP TIDAK DITEMUKAN",INDEX('04_Pinjaman'!$C$5:$C$1004,MATCH(B180,'04_Pinjaman'!$A$5:$A$1004,0))))</f>
        <v>KKSUK-000168</v>
      </c>
      <c r="E180" s="22">
        <v>45925</v>
      </c>
      <c r="F180" s="23">
        <v>1195000</v>
      </c>
      <c r="G180" s="21"/>
    </row>
    <row r="181" spans="1:7" ht="21" customHeight="1">
      <c r="A181" s="20">
        <f t="shared" si="2"/>
        <v>177</v>
      </c>
      <c r="B181" s="21">
        <v>24</v>
      </c>
      <c r="C181" s="20" t="str">
        <f>IF(B181="","",IF(COUNTIF('04_Pinjaman'!$A$5:$A$1004,B181)=0,"NO PINJAMAN TIDAK DITEMUKAN",INDEX('04_Pinjaman'!$B$5:$B$1004,MATCH(B181,'04_Pinjaman'!$A$5:$A$1004,0))))</f>
        <v>Asta</v>
      </c>
      <c r="D181" s="20" t="str">
        <f>IF(B181="","",IF(COUNTIF('04_Pinjaman'!$A$5:$A$1004,B181)=0,"NPP TIDAK DITEMUKAN",INDEX('04_Pinjaman'!$C$5:$C$1004,MATCH(B181,'04_Pinjaman'!$A$5:$A$1004,0))))</f>
        <v>KKSUK-000168</v>
      </c>
      <c r="E181" s="22">
        <v>45954</v>
      </c>
      <c r="F181" s="23">
        <v>1195000</v>
      </c>
      <c r="G181" s="21"/>
    </row>
    <row r="182" spans="1:7" ht="21" customHeight="1">
      <c r="A182" s="20">
        <f t="shared" si="2"/>
        <v>178</v>
      </c>
      <c r="B182" s="21">
        <v>24</v>
      </c>
      <c r="C182" s="20" t="str">
        <f>IF(B182="","",IF(COUNTIF('04_Pinjaman'!$A$5:$A$1004,B182)=0,"NO PINJAMAN TIDAK DITEMUKAN",INDEX('04_Pinjaman'!$B$5:$B$1004,MATCH(B182,'04_Pinjaman'!$A$5:$A$1004,0))))</f>
        <v>Asta</v>
      </c>
      <c r="D182" s="20" t="str">
        <f>IF(B182="","",IF(COUNTIF('04_Pinjaman'!$A$5:$A$1004,B182)=0,"NPP TIDAK DITEMUKAN",INDEX('04_Pinjaman'!$C$5:$C$1004,MATCH(B182,'04_Pinjaman'!$A$5:$A$1004,0))))</f>
        <v>KKSUK-000168</v>
      </c>
      <c r="E182" s="22">
        <v>45986</v>
      </c>
      <c r="F182" s="23">
        <v>1195000</v>
      </c>
      <c r="G182" s="21"/>
    </row>
    <row r="183" spans="1:7" ht="21" customHeight="1">
      <c r="A183" s="20">
        <f t="shared" si="2"/>
        <v>179</v>
      </c>
      <c r="B183" s="21">
        <v>24</v>
      </c>
      <c r="C183" s="20" t="str">
        <f>IF(B183="","",IF(COUNTIF('04_Pinjaman'!$A$5:$A$1004,B183)=0,"NO PINJAMAN TIDAK DITEMUKAN",INDEX('04_Pinjaman'!$B$5:$B$1004,MATCH(B183,'04_Pinjaman'!$A$5:$A$1004,0))))</f>
        <v>Asta</v>
      </c>
      <c r="D183" s="20" t="str">
        <f>IF(B183="","",IF(COUNTIF('04_Pinjaman'!$A$5:$A$1004,B183)=0,"NPP TIDAK DITEMUKAN",INDEX('04_Pinjaman'!$C$5:$C$1004,MATCH(B183,'04_Pinjaman'!$A$5:$A$1004,0))))</f>
        <v>KKSUK-000168</v>
      </c>
      <c r="E183" s="22">
        <v>46010</v>
      </c>
      <c r="F183" s="23">
        <v>1195000</v>
      </c>
      <c r="G183" s="21"/>
    </row>
    <row r="184" spans="1:7" ht="21" customHeight="1">
      <c r="A184" s="20">
        <f t="shared" si="2"/>
        <v>180</v>
      </c>
      <c r="B184" s="21">
        <v>24</v>
      </c>
      <c r="C184" s="20" t="str">
        <f>IF(B184="","",IF(COUNTIF('04_Pinjaman'!$A$5:$A$1004,B184)=0,"NO PINJAMAN TIDAK DITEMUKAN",INDEX('04_Pinjaman'!$B$5:$B$1004,MATCH(B184,'04_Pinjaman'!$A$5:$A$1004,0))))</f>
        <v>Asta</v>
      </c>
      <c r="D184" s="20" t="str">
        <f>IF(B184="","",IF(COUNTIF('04_Pinjaman'!$A$5:$A$1004,B184)=0,"NPP TIDAK DITEMUKAN",INDEX('04_Pinjaman'!$C$5:$C$1004,MATCH(B184,'04_Pinjaman'!$A$5:$A$1004,0))))</f>
        <v>KKSUK-000168</v>
      </c>
      <c r="E184" s="22">
        <v>46045</v>
      </c>
      <c r="F184" s="23">
        <v>1195000</v>
      </c>
      <c r="G184" s="21"/>
    </row>
    <row r="185" spans="1:7" ht="21" customHeight="1">
      <c r="A185" s="20">
        <f t="shared" si="2"/>
        <v>181</v>
      </c>
      <c r="B185" s="21">
        <v>24</v>
      </c>
      <c r="C185" s="20" t="str">
        <f>IF(B185="","",IF(COUNTIF('04_Pinjaman'!$A$5:$A$1004,B185)=0,"NO PINJAMAN TIDAK DITEMUKAN",INDEX('04_Pinjaman'!$B$5:$B$1004,MATCH(B185,'04_Pinjaman'!$A$5:$A$1004,0))))</f>
        <v>Asta</v>
      </c>
      <c r="D185" s="20" t="str">
        <f>IF(B185="","",IF(COUNTIF('04_Pinjaman'!$A$5:$A$1004,B185)=0,"NPP TIDAK DITEMUKAN",INDEX('04_Pinjaman'!$C$5:$C$1004,MATCH(B185,'04_Pinjaman'!$A$5:$A$1004,0))))</f>
        <v>KKSUK-000168</v>
      </c>
      <c r="E185" s="22">
        <v>46078</v>
      </c>
      <c r="F185" s="23">
        <v>1195000</v>
      </c>
      <c r="G185" s="21"/>
    </row>
    <row r="186" spans="1:7" ht="21" customHeight="1">
      <c r="A186" s="20">
        <f t="shared" si="2"/>
        <v>182</v>
      </c>
      <c r="B186" s="21">
        <v>24</v>
      </c>
      <c r="C186" s="20" t="str">
        <f>IF(B186="","",IF(COUNTIF('04_Pinjaman'!$A$5:$A$1004,B186)=0,"NO PINJAMAN TIDAK DITEMUKAN",INDEX('04_Pinjaman'!$B$5:$B$1004,MATCH(B186,'04_Pinjaman'!$A$5:$A$1004,0))))</f>
        <v>Asta</v>
      </c>
      <c r="D186" s="20" t="str">
        <f>IF(B186="","",IF(COUNTIF('04_Pinjaman'!$A$5:$A$1004,B186)=0,"NPP TIDAK DITEMUKAN",INDEX('04_Pinjaman'!$C$5:$C$1004,MATCH(B186,'04_Pinjaman'!$A$5:$A$1004,0))))</f>
        <v>KKSUK-000168</v>
      </c>
      <c r="E186" s="22">
        <v>46106</v>
      </c>
      <c r="F186" s="23">
        <v>1195000</v>
      </c>
      <c r="G186" s="21"/>
    </row>
    <row r="187" spans="1:7" ht="21" customHeight="1">
      <c r="A187" s="20">
        <f t="shared" si="2"/>
        <v>183</v>
      </c>
      <c r="B187" s="21">
        <v>24</v>
      </c>
      <c r="C187" s="20" t="str">
        <f>IF(B187="","",IF(COUNTIF('04_Pinjaman'!$A$5:$A$1004,B187)=0,"NO PINJAMAN TIDAK DITEMUKAN",INDEX('04_Pinjaman'!$B$5:$B$1004,MATCH(B187,'04_Pinjaman'!$A$5:$A$1004,0))))</f>
        <v>Asta</v>
      </c>
      <c r="D187" s="20" t="str">
        <f>IF(B187="","",IF(COUNTIF('04_Pinjaman'!$A$5:$A$1004,B187)=0,"NPP TIDAK DITEMUKAN",INDEX('04_Pinjaman'!$C$5:$C$1004,MATCH(B187,'04_Pinjaman'!$A$5:$A$1004,0))))</f>
        <v>KKSUK-000168</v>
      </c>
      <c r="E187" s="22">
        <v>46136</v>
      </c>
      <c r="F187" s="23">
        <v>1195000</v>
      </c>
      <c r="G187" s="21"/>
    </row>
    <row r="188" spans="1:7" ht="21" customHeight="1">
      <c r="A188" s="20">
        <f t="shared" si="2"/>
        <v>184</v>
      </c>
      <c r="B188" s="21">
        <v>25</v>
      </c>
      <c r="C188" s="20" t="str">
        <f>IF(B188="","",IF(COUNTIF('04_Pinjaman'!$A$5:$A$1004,B188)=0,"NO PINJAMAN TIDAK DITEMUKAN",INDEX('04_Pinjaman'!$B$5:$B$1004,MATCH(B188,'04_Pinjaman'!$A$5:$A$1004,0))))</f>
        <v>Asta</v>
      </c>
      <c r="D188" s="20" t="str">
        <f>IF(B188="","",IF(COUNTIF('04_Pinjaman'!$A$5:$A$1004,B188)=0,"NPP TIDAK DITEMUKAN",INDEX('04_Pinjaman'!$C$5:$C$1004,MATCH(B188,'04_Pinjaman'!$A$5:$A$1004,0))))</f>
        <v>KKSUK-000168</v>
      </c>
      <c r="E188" s="22">
        <v>46227</v>
      </c>
      <c r="F188" s="23">
        <v>1020000</v>
      </c>
      <c r="G188" s="21"/>
    </row>
    <row r="189" spans="1:7" ht="21" customHeight="1">
      <c r="A189" s="20">
        <f t="shared" si="2"/>
        <v>185</v>
      </c>
      <c r="B189" s="21">
        <v>25</v>
      </c>
      <c r="C189" s="20" t="str">
        <f>IF(B189="","",IF(COUNTIF('04_Pinjaman'!$A$5:$A$1004,B189)=0,"NO PINJAMAN TIDAK DITEMUKAN",INDEX('04_Pinjaman'!$B$5:$B$1004,MATCH(B189,'04_Pinjaman'!$A$5:$A$1004,0))))</f>
        <v>Asta</v>
      </c>
      <c r="D189" s="20" t="str">
        <f>IF(B189="","",IF(COUNTIF('04_Pinjaman'!$A$5:$A$1004,B189)=0,"NPP TIDAK DITEMUKAN",INDEX('04_Pinjaman'!$C$5:$C$1004,MATCH(B189,'04_Pinjaman'!$A$5:$A$1004,0))))</f>
        <v>KKSUK-000168</v>
      </c>
      <c r="E189" s="22">
        <v>46258</v>
      </c>
      <c r="F189" s="23">
        <v>1020000</v>
      </c>
      <c r="G189" s="21"/>
    </row>
    <row r="190" spans="1:7" ht="21" customHeight="1">
      <c r="A190" s="20">
        <f t="shared" si="2"/>
        <v>186</v>
      </c>
      <c r="B190" s="21">
        <v>26</v>
      </c>
      <c r="C190" s="20" t="str">
        <f>IF(B190="","",IF(COUNTIF('04_Pinjaman'!$A$5:$A$1004,B190)=0,"NO PINJAMAN TIDAK DITEMUKAN",INDEX('04_Pinjaman'!$B$5:$B$1004,MATCH(B190,'04_Pinjaman'!$A$5:$A$1004,0))))</f>
        <v>Bayu Adithya Permana</v>
      </c>
      <c r="D190" s="20" t="str">
        <f>IF(B190="","",IF(COUNTIF('04_Pinjaman'!$A$5:$A$1004,B190)=0,"NPP TIDAK DITEMUKAN",INDEX('04_Pinjaman'!$C$5:$C$1004,MATCH(B190,'04_Pinjaman'!$A$5:$A$1004,0))))</f>
        <v>KKSUK-000069</v>
      </c>
      <c r="E190" s="22">
        <v>46045</v>
      </c>
      <c r="F190" s="23">
        <v>93450000</v>
      </c>
      <c r="G190" s="21" t="s">
        <v>800</v>
      </c>
    </row>
    <row r="191" spans="1:7" ht="21" customHeight="1">
      <c r="A191" s="20">
        <f t="shared" si="2"/>
        <v>187</v>
      </c>
      <c r="B191" s="21">
        <v>27</v>
      </c>
      <c r="C191" s="20" t="str">
        <f>IF(B191="","",IF(COUNTIF('04_Pinjaman'!$A$5:$A$1004,B191)=0,"NO PINJAMAN TIDAK DITEMUKAN",INDEX('04_Pinjaman'!$B$5:$B$1004,MATCH(B191,'04_Pinjaman'!$A$5:$A$1004,0))))</f>
        <v>Bayu Adithya Permana</v>
      </c>
      <c r="D191" s="20" t="str">
        <f>IF(B191="","",IF(COUNTIF('04_Pinjaman'!$A$5:$A$1004,B191)=0,"NPP TIDAK DITEMUKAN",INDEX('04_Pinjaman'!$C$5:$C$1004,MATCH(B191,'04_Pinjaman'!$A$5:$A$1004,0))))</f>
        <v>KKSUK-000069</v>
      </c>
      <c r="E191" s="22">
        <v>46078</v>
      </c>
      <c r="F191" s="23">
        <v>5920000</v>
      </c>
      <c r="G191" s="21"/>
    </row>
    <row r="192" spans="1:7" ht="21" customHeight="1">
      <c r="A192" s="20">
        <f t="shared" si="2"/>
        <v>188</v>
      </c>
      <c r="B192" s="21">
        <v>27</v>
      </c>
      <c r="C192" s="20" t="str">
        <f>IF(B192="","",IF(COUNTIF('04_Pinjaman'!$A$5:$A$1004,B192)=0,"NO PINJAMAN TIDAK DITEMUKAN",INDEX('04_Pinjaman'!$B$5:$B$1004,MATCH(B192,'04_Pinjaman'!$A$5:$A$1004,0))))</f>
        <v>Bayu Adithya Permana</v>
      </c>
      <c r="D192" s="20" t="str">
        <f>IF(B192="","",IF(COUNTIF('04_Pinjaman'!$A$5:$A$1004,B192)=0,"NPP TIDAK DITEMUKAN",INDEX('04_Pinjaman'!$C$5:$C$1004,MATCH(B192,'04_Pinjaman'!$A$5:$A$1004,0))))</f>
        <v>KKSUK-000069</v>
      </c>
      <c r="E192" s="22">
        <v>46106</v>
      </c>
      <c r="F192" s="23">
        <v>5920000</v>
      </c>
      <c r="G192" s="21"/>
    </row>
    <row r="193" spans="1:7" ht="21" customHeight="1">
      <c r="A193" s="20">
        <f t="shared" si="2"/>
        <v>189</v>
      </c>
      <c r="B193" s="21">
        <v>27</v>
      </c>
      <c r="C193" s="20" t="str">
        <f>IF(B193="","",IF(COUNTIF('04_Pinjaman'!$A$5:$A$1004,B193)=0,"NO PINJAMAN TIDAK DITEMUKAN",INDEX('04_Pinjaman'!$B$5:$B$1004,MATCH(B193,'04_Pinjaman'!$A$5:$A$1004,0))))</f>
        <v>Bayu Adithya Permana</v>
      </c>
      <c r="D193" s="20" t="str">
        <f>IF(B193="","",IF(COUNTIF('04_Pinjaman'!$A$5:$A$1004,B193)=0,"NPP TIDAK DITEMUKAN",INDEX('04_Pinjaman'!$C$5:$C$1004,MATCH(B193,'04_Pinjaman'!$A$5:$A$1004,0))))</f>
        <v>KKSUK-000069</v>
      </c>
      <c r="E193" s="22">
        <v>46136</v>
      </c>
      <c r="F193" s="23">
        <v>5920000</v>
      </c>
      <c r="G193" s="21"/>
    </row>
    <row r="194" spans="1:7" ht="21" customHeight="1">
      <c r="A194" s="20">
        <f t="shared" si="2"/>
        <v>190</v>
      </c>
      <c r="B194" s="21">
        <v>27</v>
      </c>
      <c r="C194" s="20" t="str">
        <f>IF(B194="","",IF(COUNTIF('04_Pinjaman'!$A$5:$A$1004,B194)=0,"NO PINJAMAN TIDAK DITEMUKAN",INDEX('04_Pinjaman'!$B$5:$B$1004,MATCH(B194,'04_Pinjaman'!$A$5:$A$1004,0))))</f>
        <v>Bayu Adithya Permana</v>
      </c>
      <c r="D194" s="20" t="str">
        <f>IF(B194="","",IF(COUNTIF('04_Pinjaman'!$A$5:$A$1004,B194)=0,"NPP TIDAK DITEMUKAN",INDEX('04_Pinjaman'!$C$5:$C$1004,MATCH(B194,'04_Pinjaman'!$A$5:$A$1004,0))))</f>
        <v>KKSUK-000069</v>
      </c>
      <c r="E194" s="22">
        <v>46167</v>
      </c>
      <c r="F194" s="23">
        <v>5920000</v>
      </c>
      <c r="G194" s="21"/>
    </row>
    <row r="195" spans="1:7" ht="21" customHeight="1">
      <c r="A195" s="20">
        <f t="shared" si="2"/>
        <v>191</v>
      </c>
      <c r="B195" s="21">
        <v>27</v>
      </c>
      <c r="C195" s="20" t="str">
        <f>IF(B195="","",IF(COUNTIF('04_Pinjaman'!$A$5:$A$1004,B195)=0,"NO PINJAMAN TIDAK DITEMUKAN",INDEX('04_Pinjaman'!$B$5:$B$1004,MATCH(B195,'04_Pinjaman'!$A$5:$A$1004,0))))</f>
        <v>Bayu Adithya Permana</v>
      </c>
      <c r="D195" s="20" t="str">
        <f>IF(B195="","",IF(COUNTIF('04_Pinjaman'!$A$5:$A$1004,B195)=0,"NPP TIDAK DITEMUKAN",INDEX('04_Pinjaman'!$C$5:$C$1004,MATCH(B195,'04_Pinjaman'!$A$5:$A$1004,0))))</f>
        <v>KKSUK-000069</v>
      </c>
      <c r="E195" s="22">
        <v>46198</v>
      </c>
      <c r="F195" s="23">
        <v>5920000</v>
      </c>
      <c r="G195" s="21"/>
    </row>
    <row r="196" spans="1:7" ht="21" customHeight="1">
      <c r="A196" s="20">
        <f t="shared" si="2"/>
        <v>192</v>
      </c>
      <c r="B196" s="21">
        <v>27</v>
      </c>
      <c r="C196" s="20" t="str">
        <f>IF(B196="","",IF(COUNTIF('04_Pinjaman'!$A$5:$A$1004,B196)=0,"NO PINJAMAN TIDAK DITEMUKAN",INDEX('04_Pinjaman'!$B$5:$B$1004,MATCH(B196,'04_Pinjaman'!$A$5:$A$1004,0))))</f>
        <v>Bayu Adithya Permana</v>
      </c>
      <c r="D196" s="20" t="str">
        <f>IF(B196="","",IF(COUNTIF('04_Pinjaman'!$A$5:$A$1004,B196)=0,"NPP TIDAK DITEMUKAN",INDEX('04_Pinjaman'!$C$5:$C$1004,MATCH(B196,'04_Pinjaman'!$A$5:$A$1004,0))))</f>
        <v>KKSUK-000069</v>
      </c>
      <c r="E196" s="22">
        <v>46227</v>
      </c>
      <c r="F196" s="23">
        <v>5920000</v>
      </c>
      <c r="G196" s="21"/>
    </row>
    <row r="197" spans="1:7" ht="21" customHeight="1">
      <c r="A197" s="20">
        <f t="shared" ref="A197:A260" si="3">IF(B197="","",ROW()-4)</f>
        <v>193</v>
      </c>
      <c r="B197" s="21">
        <v>27</v>
      </c>
      <c r="C197" s="20" t="str">
        <f>IF(B197="","",IF(COUNTIF('04_Pinjaman'!$A$5:$A$1004,B197)=0,"NO PINJAMAN TIDAK DITEMUKAN",INDEX('04_Pinjaman'!$B$5:$B$1004,MATCH(B197,'04_Pinjaman'!$A$5:$A$1004,0))))</f>
        <v>Bayu Adithya Permana</v>
      </c>
      <c r="D197" s="20" t="str">
        <f>IF(B197="","",IF(COUNTIF('04_Pinjaman'!$A$5:$A$1004,B197)=0,"NPP TIDAK DITEMUKAN",INDEX('04_Pinjaman'!$C$5:$C$1004,MATCH(B197,'04_Pinjaman'!$A$5:$A$1004,0))))</f>
        <v>KKSUK-000069</v>
      </c>
      <c r="E197" s="22">
        <v>46258</v>
      </c>
      <c r="F197" s="23">
        <v>5920000</v>
      </c>
      <c r="G197" s="21"/>
    </row>
    <row r="198" spans="1:7" ht="21" customHeight="1">
      <c r="A198" s="20">
        <f t="shared" si="3"/>
        <v>194</v>
      </c>
      <c r="B198" s="21">
        <v>28</v>
      </c>
      <c r="C198" s="20" t="str">
        <f>IF(B198="","",IF(COUNTIF('04_Pinjaman'!$A$5:$A$1004,B198)=0,"NO PINJAMAN TIDAK DITEMUKAN",INDEX('04_Pinjaman'!$B$5:$B$1004,MATCH(B198,'04_Pinjaman'!$A$5:$A$1004,0))))</f>
        <v>Clarissa Dini</v>
      </c>
      <c r="D198" s="20" t="str">
        <f>IF(B198="","",IF(COUNTIF('04_Pinjaman'!$A$5:$A$1004,B198)=0,"NPP TIDAK DITEMUKAN",INDEX('04_Pinjaman'!$C$5:$C$1004,MATCH(B198,'04_Pinjaman'!$A$5:$A$1004,0))))</f>
        <v>KKSUK-000147</v>
      </c>
      <c r="E198" s="22">
        <v>46106</v>
      </c>
      <c r="F198" s="23">
        <v>1866667</v>
      </c>
      <c r="G198" s="21"/>
    </row>
    <row r="199" spans="1:7" ht="21" customHeight="1">
      <c r="A199" s="20">
        <f t="shared" si="3"/>
        <v>195</v>
      </c>
      <c r="B199" s="21">
        <v>28</v>
      </c>
      <c r="C199" s="20" t="str">
        <f>IF(B199="","",IF(COUNTIF('04_Pinjaman'!$A$5:$A$1004,B199)=0,"NO PINJAMAN TIDAK DITEMUKAN",INDEX('04_Pinjaman'!$B$5:$B$1004,MATCH(B199,'04_Pinjaman'!$A$5:$A$1004,0))))</f>
        <v>Clarissa Dini</v>
      </c>
      <c r="D199" s="20" t="str">
        <f>IF(B199="","",IF(COUNTIF('04_Pinjaman'!$A$5:$A$1004,B199)=0,"NPP TIDAK DITEMUKAN",INDEX('04_Pinjaman'!$C$5:$C$1004,MATCH(B199,'04_Pinjaman'!$A$5:$A$1004,0))))</f>
        <v>KKSUK-000147</v>
      </c>
      <c r="E199" s="22">
        <v>46136</v>
      </c>
      <c r="F199" s="23">
        <v>1866667</v>
      </c>
      <c r="G199" s="21"/>
    </row>
    <row r="200" spans="1:7" ht="21" customHeight="1">
      <c r="A200" s="20">
        <f t="shared" si="3"/>
        <v>196</v>
      </c>
      <c r="B200" s="21">
        <v>28</v>
      </c>
      <c r="C200" s="20" t="str">
        <f>IF(B200="","",IF(COUNTIF('04_Pinjaman'!$A$5:$A$1004,B200)=0,"NO PINJAMAN TIDAK DITEMUKAN",INDEX('04_Pinjaman'!$B$5:$B$1004,MATCH(B200,'04_Pinjaman'!$A$5:$A$1004,0))))</f>
        <v>Clarissa Dini</v>
      </c>
      <c r="D200" s="20" t="str">
        <f>IF(B200="","",IF(COUNTIF('04_Pinjaman'!$A$5:$A$1004,B200)=0,"NPP TIDAK DITEMUKAN",INDEX('04_Pinjaman'!$C$5:$C$1004,MATCH(B200,'04_Pinjaman'!$A$5:$A$1004,0))))</f>
        <v>KKSUK-000147</v>
      </c>
      <c r="E200" s="22">
        <v>46167</v>
      </c>
      <c r="F200" s="23">
        <v>1866667</v>
      </c>
      <c r="G200" s="21"/>
    </row>
    <row r="201" spans="1:7" ht="21" customHeight="1">
      <c r="A201" s="20">
        <f t="shared" si="3"/>
        <v>197</v>
      </c>
      <c r="B201" s="21">
        <v>28</v>
      </c>
      <c r="C201" s="20" t="str">
        <f>IF(B201="","",IF(COUNTIF('04_Pinjaman'!$A$5:$A$1004,B201)=0,"NO PINJAMAN TIDAK DITEMUKAN",INDEX('04_Pinjaman'!$B$5:$B$1004,MATCH(B201,'04_Pinjaman'!$A$5:$A$1004,0))))</f>
        <v>Clarissa Dini</v>
      </c>
      <c r="D201" s="20" t="str">
        <f>IF(B201="","",IF(COUNTIF('04_Pinjaman'!$A$5:$A$1004,B201)=0,"NPP TIDAK DITEMUKAN",INDEX('04_Pinjaman'!$C$5:$C$1004,MATCH(B201,'04_Pinjaman'!$A$5:$A$1004,0))))</f>
        <v>KKSUK-000147</v>
      </c>
      <c r="E201" s="22">
        <v>46198</v>
      </c>
      <c r="F201" s="23">
        <v>1866667</v>
      </c>
      <c r="G201" s="21"/>
    </row>
    <row r="202" spans="1:7" ht="21" customHeight="1">
      <c r="A202" s="20">
        <f t="shared" si="3"/>
        <v>198</v>
      </c>
      <c r="B202" s="21">
        <v>28</v>
      </c>
      <c r="C202" s="20" t="str">
        <f>IF(B202="","",IF(COUNTIF('04_Pinjaman'!$A$5:$A$1004,B202)=0,"NO PINJAMAN TIDAK DITEMUKAN",INDEX('04_Pinjaman'!$B$5:$B$1004,MATCH(B202,'04_Pinjaman'!$A$5:$A$1004,0))))</f>
        <v>Clarissa Dini</v>
      </c>
      <c r="D202" s="20" t="str">
        <f>IF(B202="","",IF(COUNTIF('04_Pinjaman'!$A$5:$A$1004,B202)=0,"NPP TIDAK DITEMUKAN",INDEX('04_Pinjaman'!$C$5:$C$1004,MATCH(B202,'04_Pinjaman'!$A$5:$A$1004,0))))</f>
        <v>KKSUK-000147</v>
      </c>
      <c r="E202" s="22">
        <v>46227</v>
      </c>
      <c r="F202" s="23">
        <v>1866667</v>
      </c>
      <c r="G202" s="21"/>
    </row>
    <row r="203" spans="1:7" ht="21" customHeight="1">
      <c r="A203" s="20">
        <f t="shared" si="3"/>
        <v>199</v>
      </c>
      <c r="B203" s="21">
        <v>28</v>
      </c>
      <c r="C203" s="20" t="str">
        <f>IF(B203="","",IF(COUNTIF('04_Pinjaman'!$A$5:$A$1004,B203)=0,"NO PINJAMAN TIDAK DITEMUKAN",INDEX('04_Pinjaman'!$B$5:$B$1004,MATCH(B203,'04_Pinjaman'!$A$5:$A$1004,0))))</f>
        <v>Clarissa Dini</v>
      </c>
      <c r="D203" s="20" t="str">
        <f>IF(B203="","",IF(COUNTIF('04_Pinjaman'!$A$5:$A$1004,B203)=0,"NPP TIDAK DITEMUKAN",INDEX('04_Pinjaman'!$C$5:$C$1004,MATCH(B203,'04_Pinjaman'!$A$5:$A$1004,0))))</f>
        <v>KKSUK-000147</v>
      </c>
      <c r="E203" s="22">
        <v>46245</v>
      </c>
      <c r="F203" s="23">
        <v>13066665</v>
      </c>
      <c r="G203" s="21" t="s">
        <v>800</v>
      </c>
    </row>
    <row r="204" spans="1:7" ht="21" customHeight="1">
      <c r="A204" s="20">
        <f t="shared" si="3"/>
        <v>200</v>
      </c>
      <c r="B204" s="21">
        <v>31</v>
      </c>
      <c r="C204" s="20" t="str">
        <f>IF(B204="","",IF(COUNTIF('04_Pinjaman'!$A$5:$A$1004,B204)=0,"NO PINJAMAN TIDAK DITEMUKAN",INDEX('04_Pinjaman'!$B$5:$B$1004,MATCH(B204,'04_Pinjaman'!$A$5:$A$1004,0))))</f>
        <v>Darsim</v>
      </c>
      <c r="D204" s="20" t="str">
        <f>IF(B204="","",IF(COUNTIF('04_Pinjaman'!$A$5:$A$1004,B204)=0,"NPP TIDAK DITEMUKAN",INDEX('04_Pinjaman'!$C$5:$C$1004,MATCH(B204,'04_Pinjaman'!$A$5:$A$1004,0))))</f>
        <v>KKSUK-000101</v>
      </c>
      <c r="E204" s="22">
        <v>45863</v>
      </c>
      <c r="F204" s="23">
        <v>1400000</v>
      </c>
      <c r="G204" s="21"/>
    </row>
    <row r="205" spans="1:7" ht="21" customHeight="1">
      <c r="A205" s="20">
        <f t="shared" si="3"/>
        <v>201</v>
      </c>
      <c r="B205" s="21">
        <v>31</v>
      </c>
      <c r="C205" s="20" t="str">
        <f>IF(B205="","",IF(COUNTIF('04_Pinjaman'!$A$5:$A$1004,B205)=0,"NO PINJAMAN TIDAK DITEMUKAN",INDEX('04_Pinjaman'!$B$5:$B$1004,MATCH(B205,'04_Pinjaman'!$A$5:$A$1004,0))))</f>
        <v>Darsim</v>
      </c>
      <c r="D205" s="20" t="str">
        <f>IF(B205="","",IF(COUNTIF('04_Pinjaman'!$A$5:$A$1004,B205)=0,"NPP TIDAK DITEMUKAN",INDEX('04_Pinjaman'!$C$5:$C$1004,MATCH(B205,'04_Pinjaman'!$A$5:$A$1004,0))))</f>
        <v>KKSUK-000101</v>
      </c>
      <c r="E205" s="22">
        <v>45894</v>
      </c>
      <c r="F205" s="23">
        <v>1400000</v>
      </c>
      <c r="G205" s="21"/>
    </row>
    <row r="206" spans="1:7" ht="21" customHeight="1">
      <c r="A206" s="20">
        <f t="shared" si="3"/>
        <v>202</v>
      </c>
      <c r="B206" s="21">
        <v>31</v>
      </c>
      <c r="C206" s="20" t="str">
        <f>IF(B206="","",IF(COUNTIF('04_Pinjaman'!$A$5:$A$1004,B206)=0,"NO PINJAMAN TIDAK DITEMUKAN",INDEX('04_Pinjaman'!$B$5:$B$1004,MATCH(B206,'04_Pinjaman'!$A$5:$A$1004,0))))</f>
        <v>Darsim</v>
      </c>
      <c r="D206" s="20" t="str">
        <f>IF(B206="","",IF(COUNTIF('04_Pinjaman'!$A$5:$A$1004,B206)=0,"NPP TIDAK DITEMUKAN",INDEX('04_Pinjaman'!$C$5:$C$1004,MATCH(B206,'04_Pinjaman'!$A$5:$A$1004,0))))</f>
        <v>KKSUK-000101</v>
      </c>
      <c r="E206" s="22">
        <v>45925</v>
      </c>
      <c r="F206" s="23">
        <v>1400000</v>
      </c>
      <c r="G206" s="21"/>
    </row>
    <row r="207" spans="1:7" ht="21" customHeight="1">
      <c r="A207" s="20">
        <f t="shared" si="3"/>
        <v>203</v>
      </c>
      <c r="B207" s="21">
        <v>31</v>
      </c>
      <c r="C207" s="20" t="str">
        <f>IF(B207="","",IF(COUNTIF('04_Pinjaman'!$A$5:$A$1004,B207)=0,"NO PINJAMAN TIDAK DITEMUKAN",INDEX('04_Pinjaman'!$B$5:$B$1004,MATCH(B207,'04_Pinjaman'!$A$5:$A$1004,0))))</f>
        <v>Darsim</v>
      </c>
      <c r="D207" s="20" t="str">
        <f>IF(B207="","",IF(COUNTIF('04_Pinjaman'!$A$5:$A$1004,B207)=0,"NPP TIDAK DITEMUKAN",INDEX('04_Pinjaman'!$C$5:$C$1004,MATCH(B207,'04_Pinjaman'!$A$5:$A$1004,0))))</f>
        <v>KKSUK-000101</v>
      </c>
      <c r="E207" s="22">
        <v>45954</v>
      </c>
      <c r="F207" s="23">
        <v>1400000</v>
      </c>
      <c r="G207" s="21"/>
    </row>
    <row r="208" spans="1:7" ht="21" customHeight="1">
      <c r="A208" s="20">
        <f t="shared" si="3"/>
        <v>204</v>
      </c>
      <c r="B208" s="21">
        <v>31</v>
      </c>
      <c r="C208" s="20" t="str">
        <f>IF(B208="","",IF(COUNTIF('04_Pinjaman'!$A$5:$A$1004,B208)=0,"NO PINJAMAN TIDAK DITEMUKAN",INDEX('04_Pinjaman'!$B$5:$B$1004,MATCH(B208,'04_Pinjaman'!$A$5:$A$1004,0))))</f>
        <v>Darsim</v>
      </c>
      <c r="D208" s="20" t="str">
        <f>IF(B208="","",IF(COUNTIF('04_Pinjaman'!$A$5:$A$1004,B208)=0,"NPP TIDAK DITEMUKAN",INDEX('04_Pinjaman'!$C$5:$C$1004,MATCH(B208,'04_Pinjaman'!$A$5:$A$1004,0))))</f>
        <v>KKSUK-000101</v>
      </c>
      <c r="E208" s="22">
        <v>45986</v>
      </c>
      <c r="F208" s="23">
        <v>1400000</v>
      </c>
      <c r="G208" s="21"/>
    </row>
    <row r="209" spans="1:7" ht="21" customHeight="1">
      <c r="A209" s="20">
        <f t="shared" si="3"/>
        <v>205</v>
      </c>
      <c r="B209" s="21">
        <v>31</v>
      </c>
      <c r="C209" s="20" t="str">
        <f>IF(B209="","",IF(COUNTIF('04_Pinjaman'!$A$5:$A$1004,B209)=0,"NO PINJAMAN TIDAK DITEMUKAN",INDEX('04_Pinjaman'!$B$5:$B$1004,MATCH(B209,'04_Pinjaman'!$A$5:$A$1004,0))))</f>
        <v>Darsim</v>
      </c>
      <c r="D209" s="20" t="str">
        <f>IF(B209="","",IF(COUNTIF('04_Pinjaman'!$A$5:$A$1004,B209)=0,"NPP TIDAK DITEMUKAN",INDEX('04_Pinjaman'!$C$5:$C$1004,MATCH(B209,'04_Pinjaman'!$A$5:$A$1004,0))))</f>
        <v>KKSUK-000101</v>
      </c>
      <c r="E209" s="22">
        <v>46045</v>
      </c>
      <c r="F209" s="23">
        <v>1400000</v>
      </c>
      <c r="G209" s="21"/>
    </row>
    <row r="210" spans="1:7" ht="21" customHeight="1">
      <c r="A210" s="20">
        <f t="shared" si="3"/>
        <v>206</v>
      </c>
      <c r="B210" s="21">
        <v>31</v>
      </c>
      <c r="C210" s="20" t="str">
        <f>IF(B210="","",IF(COUNTIF('04_Pinjaman'!$A$5:$A$1004,B210)=0,"NO PINJAMAN TIDAK DITEMUKAN",INDEX('04_Pinjaman'!$B$5:$B$1004,MATCH(B210,'04_Pinjaman'!$A$5:$A$1004,0))))</f>
        <v>Darsim</v>
      </c>
      <c r="D210" s="20" t="str">
        <f>IF(B210="","",IF(COUNTIF('04_Pinjaman'!$A$5:$A$1004,B210)=0,"NPP TIDAK DITEMUKAN",INDEX('04_Pinjaman'!$C$5:$C$1004,MATCH(B210,'04_Pinjaman'!$A$5:$A$1004,0))))</f>
        <v>KKSUK-000101</v>
      </c>
      <c r="E210" s="22">
        <v>46078</v>
      </c>
      <c r="F210" s="23">
        <v>1400000</v>
      </c>
      <c r="G210" s="21"/>
    </row>
    <row r="211" spans="1:7" ht="21" customHeight="1">
      <c r="A211" s="20">
        <f t="shared" si="3"/>
        <v>207</v>
      </c>
      <c r="B211" s="21">
        <v>31</v>
      </c>
      <c r="C211" s="20" t="str">
        <f>IF(B211="","",IF(COUNTIF('04_Pinjaman'!$A$5:$A$1004,B211)=0,"NO PINJAMAN TIDAK DITEMUKAN",INDEX('04_Pinjaman'!$B$5:$B$1004,MATCH(B211,'04_Pinjaman'!$A$5:$A$1004,0))))</f>
        <v>Darsim</v>
      </c>
      <c r="D211" s="20" t="str">
        <f>IF(B211="","",IF(COUNTIF('04_Pinjaman'!$A$5:$A$1004,B211)=0,"NPP TIDAK DITEMUKAN",INDEX('04_Pinjaman'!$C$5:$C$1004,MATCH(B211,'04_Pinjaman'!$A$5:$A$1004,0))))</f>
        <v>KKSUK-000101</v>
      </c>
      <c r="E211" s="22">
        <v>46106</v>
      </c>
      <c r="F211" s="23">
        <v>1400000</v>
      </c>
      <c r="G211" s="21"/>
    </row>
    <row r="212" spans="1:7" ht="21" customHeight="1">
      <c r="A212" s="20">
        <f t="shared" si="3"/>
        <v>208</v>
      </c>
      <c r="B212" s="21">
        <v>31</v>
      </c>
      <c r="C212" s="20" t="str">
        <f>IF(B212="","",IF(COUNTIF('04_Pinjaman'!$A$5:$A$1004,B212)=0,"NO PINJAMAN TIDAK DITEMUKAN",INDEX('04_Pinjaman'!$B$5:$B$1004,MATCH(B212,'04_Pinjaman'!$A$5:$A$1004,0))))</f>
        <v>Darsim</v>
      </c>
      <c r="D212" s="20" t="str">
        <f>IF(B212="","",IF(COUNTIF('04_Pinjaman'!$A$5:$A$1004,B212)=0,"NPP TIDAK DITEMUKAN",INDEX('04_Pinjaman'!$C$5:$C$1004,MATCH(B212,'04_Pinjaman'!$A$5:$A$1004,0))))</f>
        <v>KKSUK-000101</v>
      </c>
      <c r="E212" s="22">
        <v>46106</v>
      </c>
      <c r="F212" s="23">
        <v>5600000</v>
      </c>
      <c r="G212" s="21" t="s">
        <v>816</v>
      </c>
    </row>
    <row r="213" spans="1:7" ht="21" customHeight="1">
      <c r="A213" s="20">
        <f t="shared" si="3"/>
        <v>209</v>
      </c>
      <c r="B213" s="21">
        <v>33</v>
      </c>
      <c r="C213" s="20" t="str">
        <f>IF(B213="","",IF(COUNTIF('04_Pinjaman'!$A$5:$A$1004,B213)=0,"NO PINJAMAN TIDAK DITEMUKAN",INDEX('04_Pinjaman'!$B$5:$B$1004,MATCH(B213,'04_Pinjaman'!$A$5:$A$1004,0))))</f>
        <v>Dedy Kurniawan</v>
      </c>
      <c r="D213" s="20" t="str">
        <f>IF(B213="","",IF(COUNTIF('04_Pinjaman'!$A$5:$A$1004,B213)=0,"NPP TIDAK DITEMUKAN",INDEX('04_Pinjaman'!$C$5:$C$1004,MATCH(B213,'04_Pinjaman'!$A$5:$A$1004,0))))</f>
        <v>KKSUK-000010</v>
      </c>
      <c r="E213" s="22">
        <v>45682</v>
      </c>
      <c r="F213" s="23">
        <v>775000</v>
      </c>
      <c r="G213" s="21"/>
    </row>
    <row r="214" spans="1:7" ht="21" customHeight="1">
      <c r="A214" s="20">
        <f t="shared" si="3"/>
        <v>210</v>
      </c>
      <c r="B214" s="21">
        <v>33</v>
      </c>
      <c r="C214" s="20" t="str">
        <f>IF(B214="","",IF(COUNTIF('04_Pinjaman'!$A$5:$A$1004,B214)=0,"NO PINJAMAN TIDAK DITEMUKAN",INDEX('04_Pinjaman'!$B$5:$B$1004,MATCH(B214,'04_Pinjaman'!$A$5:$A$1004,0))))</f>
        <v>Dedy Kurniawan</v>
      </c>
      <c r="D214" s="20" t="str">
        <f>IF(B214="","",IF(COUNTIF('04_Pinjaman'!$A$5:$A$1004,B214)=0,"NPP TIDAK DITEMUKAN",INDEX('04_Pinjaman'!$C$5:$C$1004,MATCH(B214,'04_Pinjaman'!$A$5:$A$1004,0))))</f>
        <v>KKSUK-000010</v>
      </c>
      <c r="E214" s="22">
        <v>45713</v>
      </c>
      <c r="F214" s="23">
        <v>775000</v>
      </c>
      <c r="G214" s="21"/>
    </row>
    <row r="215" spans="1:7" ht="21" customHeight="1">
      <c r="A215" s="20">
        <f t="shared" si="3"/>
        <v>211</v>
      </c>
      <c r="B215" s="21">
        <v>33</v>
      </c>
      <c r="C215" s="20" t="str">
        <f>IF(B215="","",IF(COUNTIF('04_Pinjaman'!$A$5:$A$1004,B215)=0,"NO PINJAMAN TIDAK DITEMUKAN",INDEX('04_Pinjaman'!$B$5:$B$1004,MATCH(B215,'04_Pinjaman'!$A$5:$A$1004,0))))</f>
        <v>Dedy Kurniawan</v>
      </c>
      <c r="D215" s="20" t="str">
        <f>IF(B215="","",IF(COUNTIF('04_Pinjaman'!$A$5:$A$1004,B215)=0,"NPP TIDAK DITEMUKAN",INDEX('04_Pinjaman'!$C$5:$C$1004,MATCH(B215,'04_Pinjaman'!$A$5:$A$1004,0))))</f>
        <v>KKSUK-000010</v>
      </c>
      <c r="E215" s="22">
        <v>45741</v>
      </c>
      <c r="F215" s="23">
        <v>775000</v>
      </c>
      <c r="G215" s="21"/>
    </row>
    <row r="216" spans="1:7" ht="21" customHeight="1">
      <c r="A216" s="20">
        <f t="shared" si="3"/>
        <v>212</v>
      </c>
      <c r="B216" s="21">
        <v>33</v>
      </c>
      <c r="C216" s="20" t="str">
        <f>IF(B216="","",IF(COUNTIF('04_Pinjaman'!$A$5:$A$1004,B216)=0,"NO PINJAMAN TIDAK DITEMUKAN",INDEX('04_Pinjaman'!$B$5:$B$1004,MATCH(B216,'04_Pinjaman'!$A$5:$A$1004,0))))</f>
        <v>Dedy Kurniawan</v>
      </c>
      <c r="D216" s="20" t="str">
        <f>IF(B216="","",IF(COUNTIF('04_Pinjaman'!$A$5:$A$1004,B216)=0,"NPP TIDAK DITEMUKAN",INDEX('04_Pinjaman'!$C$5:$C$1004,MATCH(B216,'04_Pinjaman'!$A$5:$A$1004,0))))</f>
        <v>KKSUK-000010</v>
      </c>
      <c r="E216" s="22">
        <v>45772</v>
      </c>
      <c r="F216" s="23">
        <v>775000</v>
      </c>
      <c r="G216" s="21"/>
    </row>
    <row r="217" spans="1:7" ht="21" customHeight="1">
      <c r="A217" s="20">
        <f t="shared" si="3"/>
        <v>213</v>
      </c>
      <c r="B217" s="21">
        <v>33</v>
      </c>
      <c r="C217" s="20" t="str">
        <f>IF(B217="","",IF(COUNTIF('04_Pinjaman'!$A$5:$A$1004,B217)=0,"NO PINJAMAN TIDAK DITEMUKAN",INDEX('04_Pinjaman'!$B$5:$B$1004,MATCH(B217,'04_Pinjaman'!$A$5:$A$1004,0))))</f>
        <v>Dedy Kurniawan</v>
      </c>
      <c r="D217" s="20" t="str">
        <f>IF(B217="","",IF(COUNTIF('04_Pinjaman'!$A$5:$A$1004,B217)=0,"NPP TIDAK DITEMUKAN",INDEX('04_Pinjaman'!$C$5:$C$1004,MATCH(B217,'04_Pinjaman'!$A$5:$A$1004,0))))</f>
        <v>KKSUK-000010</v>
      </c>
      <c r="E217" s="22">
        <v>45802</v>
      </c>
      <c r="F217" s="23">
        <v>775000</v>
      </c>
      <c r="G217" s="21"/>
    </row>
    <row r="218" spans="1:7" ht="21" customHeight="1">
      <c r="A218" s="20">
        <f t="shared" si="3"/>
        <v>214</v>
      </c>
      <c r="B218" s="21">
        <v>33</v>
      </c>
      <c r="C218" s="20" t="str">
        <f>IF(B218="","",IF(COUNTIF('04_Pinjaman'!$A$5:$A$1004,B218)=0,"NO PINJAMAN TIDAK DITEMUKAN",INDEX('04_Pinjaman'!$B$5:$B$1004,MATCH(B218,'04_Pinjaman'!$A$5:$A$1004,0))))</f>
        <v>Dedy Kurniawan</v>
      </c>
      <c r="D218" s="20" t="str">
        <f>IF(B218="","",IF(COUNTIF('04_Pinjaman'!$A$5:$A$1004,B218)=0,"NPP TIDAK DITEMUKAN",INDEX('04_Pinjaman'!$C$5:$C$1004,MATCH(B218,'04_Pinjaman'!$A$5:$A$1004,0))))</f>
        <v>KKSUK-000010</v>
      </c>
      <c r="E218" s="22">
        <v>45833</v>
      </c>
      <c r="F218" s="23">
        <v>775000</v>
      </c>
      <c r="G218" s="21"/>
    </row>
    <row r="219" spans="1:7" ht="21" customHeight="1">
      <c r="A219" s="20">
        <f t="shared" si="3"/>
        <v>215</v>
      </c>
      <c r="B219" s="21">
        <v>33</v>
      </c>
      <c r="C219" s="20" t="str">
        <f>IF(B219="","",IF(COUNTIF('04_Pinjaman'!$A$5:$A$1004,B219)=0,"NO PINJAMAN TIDAK DITEMUKAN",INDEX('04_Pinjaman'!$B$5:$B$1004,MATCH(B219,'04_Pinjaman'!$A$5:$A$1004,0))))</f>
        <v>Dedy Kurniawan</v>
      </c>
      <c r="D219" s="20" t="str">
        <f>IF(B219="","",IF(COUNTIF('04_Pinjaman'!$A$5:$A$1004,B219)=0,"NPP TIDAK DITEMUKAN",INDEX('04_Pinjaman'!$C$5:$C$1004,MATCH(B219,'04_Pinjaman'!$A$5:$A$1004,0))))</f>
        <v>KKSUK-000010</v>
      </c>
      <c r="E219" s="22">
        <v>45863</v>
      </c>
      <c r="F219" s="23">
        <v>775000</v>
      </c>
      <c r="G219" s="21"/>
    </row>
    <row r="220" spans="1:7" ht="21" customHeight="1">
      <c r="A220" s="20">
        <f t="shared" si="3"/>
        <v>216</v>
      </c>
      <c r="B220" s="21">
        <v>33</v>
      </c>
      <c r="C220" s="20" t="str">
        <f>IF(B220="","",IF(COUNTIF('04_Pinjaman'!$A$5:$A$1004,B220)=0,"NO PINJAMAN TIDAK DITEMUKAN",INDEX('04_Pinjaman'!$B$5:$B$1004,MATCH(B220,'04_Pinjaman'!$A$5:$A$1004,0))))</f>
        <v>Dedy Kurniawan</v>
      </c>
      <c r="D220" s="20" t="str">
        <f>IF(B220="","",IF(COUNTIF('04_Pinjaman'!$A$5:$A$1004,B220)=0,"NPP TIDAK DITEMUKAN",INDEX('04_Pinjaman'!$C$5:$C$1004,MATCH(B220,'04_Pinjaman'!$A$5:$A$1004,0))))</f>
        <v>KKSUK-000010</v>
      </c>
      <c r="E220" s="22">
        <v>45894</v>
      </c>
      <c r="F220" s="23">
        <v>775000</v>
      </c>
      <c r="G220" s="21"/>
    </row>
    <row r="221" spans="1:7" ht="21" customHeight="1">
      <c r="A221" s="20">
        <f t="shared" si="3"/>
        <v>217</v>
      </c>
      <c r="B221" s="21">
        <v>33</v>
      </c>
      <c r="C221" s="20" t="str">
        <f>IF(B221="","",IF(COUNTIF('04_Pinjaman'!$A$5:$A$1004,B221)=0,"NO PINJAMAN TIDAK DITEMUKAN",INDEX('04_Pinjaman'!$B$5:$B$1004,MATCH(B221,'04_Pinjaman'!$A$5:$A$1004,0))))</f>
        <v>Dedy Kurniawan</v>
      </c>
      <c r="D221" s="20" t="str">
        <f>IF(B221="","",IF(COUNTIF('04_Pinjaman'!$A$5:$A$1004,B221)=0,"NPP TIDAK DITEMUKAN",INDEX('04_Pinjaman'!$C$5:$C$1004,MATCH(B221,'04_Pinjaman'!$A$5:$A$1004,0))))</f>
        <v>KKSUK-000010</v>
      </c>
      <c r="E221" s="22">
        <v>45925</v>
      </c>
      <c r="F221" s="23">
        <v>775000</v>
      </c>
      <c r="G221" s="21"/>
    </row>
    <row r="222" spans="1:7" ht="21" customHeight="1">
      <c r="A222" s="20">
        <f t="shared" si="3"/>
        <v>218</v>
      </c>
      <c r="B222" s="21">
        <v>33</v>
      </c>
      <c r="C222" s="20" t="str">
        <f>IF(B222="","",IF(COUNTIF('04_Pinjaman'!$A$5:$A$1004,B222)=0,"NO PINJAMAN TIDAK DITEMUKAN",INDEX('04_Pinjaman'!$B$5:$B$1004,MATCH(B222,'04_Pinjaman'!$A$5:$A$1004,0))))</f>
        <v>Dedy Kurniawan</v>
      </c>
      <c r="D222" s="20" t="str">
        <f>IF(B222="","",IF(COUNTIF('04_Pinjaman'!$A$5:$A$1004,B222)=0,"NPP TIDAK DITEMUKAN",INDEX('04_Pinjaman'!$C$5:$C$1004,MATCH(B222,'04_Pinjaman'!$A$5:$A$1004,0))))</f>
        <v>KKSUK-000010</v>
      </c>
      <c r="E222" s="22">
        <v>45954</v>
      </c>
      <c r="F222" s="23">
        <v>775000</v>
      </c>
      <c r="G222" s="21"/>
    </row>
    <row r="223" spans="1:7" ht="21" customHeight="1">
      <c r="A223" s="20">
        <f t="shared" si="3"/>
        <v>219</v>
      </c>
      <c r="B223" s="21">
        <v>33</v>
      </c>
      <c r="C223" s="20" t="str">
        <f>IF(B223="","",IF(COUNTIF('04_Pinjaman'!$A$5:$A$1004,B223)=0,"NO PINJAMAN TIDAK DITEMUKAN",INDEX('04_Pinjaman'!$B$5:$B$1004,MATCH(B223,'04_Pinjaman'!$A$5:$A$1004,0))))</f>
        <v>Dedy Kurniawan</v>
      </c>
      <c r="D223" s="20" t="str">
        <f>IF(B223="","",IF(COUNTIF('04_Pinjaman'!$A$5:$A$1004,B223)=0,"NPP TIDAK DITEMUKAN",INDEX('04_Pinjaman'!$C$5:$C$1004,MATCH(B223,'04_Pinjaman'!$A$5:$A$1004,0))))</f>
        <v>KKSUK-000010</v>
      </c>
      <c r="E223" s="22">
        <v>45986</v>
      </c>
      <c r="F223" s="23">
        <v>775000</v>
      </c>
      <c r="G223" s="21"/>
    </row>
    <row r="224" spans="1:7" ht="21" customHeight="1">
      <c r="A224" s="20">
        <f t="shared" si="3"/>
        <v>220</v>
      </c>
      <c r="B224" s="21">
        <v>33</v>
      </c>
      <c r="C224" s="20" t="str">
        <f>IF(B224="","",IF(COUNTIF('04_Pinjaman'!$A$5:$A$1004,B224)=0,"NO PINJAMAN TIDAK DITEMUKAN",INDEX('04_Pinjaman'!$B$5:$B$1004,MATCH(B224,'04_Pinjaman'!$A$5:$A$1004,0))))</f>
        <v>Dedy Kurniawan</v>
      </c>
      <c r="D224" s="20" t="str">
        <f>IF(B224="","",IF(COUNTIF('04_Pinjaman'!$A$5:$A$1004,B224)=0,"NPP TIDAK DITEMUKAN",INDEX('04_Pinjaman'!$C$5:$C$1004,MATCH(B224,'04_Pinjaman'!$A$5:$A$1004,0))))</f>
        <v>KKSUK-000010</v>
      </c>
      <c r="E224" s="22">
        <v>46010</v>
      </c>
      <c r="F224" s="23">
        <v>775000</v>
      </c>
      <c r="G224" s="21"/>
    </row>
    <row r="225" spans="1:7" ht="21" customHeight="1">
      <c r="A225" s="20">
        <f t="shared" si="3"/>
        <v>221</v>
      </c>
      <c r="B225" s="21">
        <v>32</v>
      </c>
      <c r="C225" s="20" t="str">
        <f>IF(B225="","",IF(COUNTIF('04_Pinjaman'!$A$5:$A$1004,B225)=0,"NO PINJAMAN TIDAK DITEMUKAN",INDEX('04_Pinjaman'!$B$5:$B$1004,MATCH(B225,'04_Pinjaman'!$A$5:$A$1004,0))))</f>
        <v>Dedy Kurniawan</v>
      </c>
      <c r="D225" s="20" t="str">
        <f>IF(B225="","",IF(COUNTIF('04_Pinjaman'!$A$5:$A$1004,B225)=0,"NPP TIDAK DITEMUKAN",INDEX('04_Pinjaman'!$C$5:$C$1004,MATCH(B225,'04_Pinjaman'!$A$5:$A$1004,0))))</f>
        <v>KKSUK-000010</v>
      </c>
      <c r="E225" s="22">
        <v>45741</v>
      </c>
      <c r="F225" s="23">
        <v>700000</v>
      </c>
      <c r="G225" s="21"/>
    </row>
    <row r="226" spans="1:7" ht="21" customHeight="1">
      <c r="A226" s="20">
        <f t="shared" si="3"/>
        <v>222</v>
      </c>
      <c r="B226" s="21">
        <v>32</v>
      </c>
      <c r="C226" s="20" t="str">
        <f>IF(B226="","",IF(COUNTIF('04_Pinjaman'!$A$5:$A$1004,B226)=0,"NO PINJAMAN TIDAK DITEMUKAN",INDEX('04_Pinjaman'!$B$5:$B$1004,MATCH(B226,'04_Pinjaman'!$A$5:$A$1004,0))))</f>
        <v>Dedy Kurniawan</v>
      </c>
      <c r="D226" s="20" t="str">
        <f>IF(B226="","",IF(COUNTIF('04_Pinjaman'!$A$5:$A$1004,B226)=0,"NPP TIDAK DITEMUKAN",INDEX('04_Pinjaman'!$C$5:$C$1004,MATCH(B226,'04_Pinjaman'!$A$5:$A$1004,0))))</f>
        <v>KKSUK-000010</v>
      </c>
      <c r="E226" s="22">
        <v>45772</v>
      </c>
      <c r="F226" s="23">
        <v>700000</v>
      </c>
      <c r="G226" s="21"/>
    </row>
    <row r="227" spans="1:7" ht="21" customHeight="1">
      <c r="A227" s="20">
        <f t="shared" si="3"/>
        <v>223</v>
      </c>
      <c r="B227" s="21">
        <v>32</v>
      </c>
      <c r="C227" s="20" t="str">
        <f>IF(B227="","",IF(COUNTIF('04_Pinjaman'!$A$5:$A$1004,B227)=0,"NO PINJAMAN TIDAK DITEMUKAN",INDEX('04_Pinjaman'!$B$5:$B$1004,MATCH(B227,'04_Pinjaman'!$A$5:$A$1004,0))))</f>
        <v>Dedy Kurniawan</v>
      </c>
      <c r="D227" s="20" t="str">
        <f>IF(B227="","",IF(COUNTIF('04_Pinjaman'!$A$5:$A$1004,B227)=0,"NPP TIDAK DITEMUKAN",INDEX('04_Pinjaman'!$C$5:$C$1004,MATCH(B227,'04_Pinjaman'!$A$5:$A$1004,0))))</f>
        <v>KKSUK-000010</v>
      </c>
      <c r="E227" s="22">
        <v>45802</v>
      </c>
      <c r="F227" s="23">
        <v>700000</v>
      </c>
      <c r="G227" s="21"/>
    </row>
    <row r="228" spans="1:7" ht="21" customHeight="1">
      <c r="A228" s="20">
        <f t="shared" si="3"/>
        <v>224</v>
      </c>
      <c r="B228" s="21">
        <v>32</v>
      </c>
      <c r="C228" s="20" t="str">
        <f>IF(B228="","",IF(COUNTIF('04_Pinjaman'!$A$5:$A$1004,B228)=0,"NO PINJAMAN TIDAK DITEMUKAN",INDEX('04_Pinjaman'!$B$5:$B$1004,MATCH(B228,'04_Pinjaman'!$A$5:$A$1004,0))))</f>
        <v>Dedy Kurniawan</v>
      </c>
      <c r="D228" s="20" t="str">
        <f>IF(B228="","",IF(COUNTIF('04_Pinjaman'!$A$5:$A$1004,B228)=0,"NPP TIDAK DITEMUKAN",INDEX('04_Pinjaman'!$C$5:$C$1004,MATCH(B228,'04_Pinjaman'!$A$5:$A$1004,0))))</f>
        <v>KKSUK-000010</v>
      </c>
      <c r="E228" s="22">
        <v>45833</v>
      </c>
      <c r="F228" s="23">
        <v>700000</v>
      </c>
      <c r="G228" s="21"/>
    </row>
    <row r="229" spans="1:7" ht="21" customHeight="1">
      <c r="A229" s="20">
        <f t="shared" si="3"/>
        <v>225</v>
      </c>
      <c r="B229" s="21">
        <v>32</v>
      </c>
      <c r="C229" s="20" t="str">
        <f>IF(B229="","",IF(COUNTIF('04_Pinjaman'!$A$5:$A$1004,B229)=0,"NO PINJAMAN TIDAK DITEMUKAN",INDEX('04_Pinjaman'!$B$5:$B$1004,MATCH(B229,'04_Pinjaman'!$A$5:$A$1004,0))))</f>
        <v>Dedy Kurniawan</v>
      </c>
      <c r="D229" s="20" t="str">
        <f>IF(B229="","",IF(COUNTIF('04_Pinjaman'!$A$5:$A$1004,B229)=0,"NPP TIDAK DITEMUKAN",INDEX('04_Pinjaman'!$C$5:$C$1004,MATCH(B229,'04_Pinjaman'!$A$5:$A$1004,0))))</f>
        <v>KKSUK-000010</v>
      </c>
      <c r="E229" s="22">
        <v>45863</v>
      </c>
      <c r="F229" s="23">
        <v>700000</v>
      </c>
      <c r="G229" s="21"/>
    </row>
    <row r="230" spans="1:7" ht="21" customHeight="1">
      <c r="A230" s="20">
        <f t="shared" si="3"/>
        <v>226</v>
      </c>
      <c r="B230" s="21">
        <v>32</v>
      </c>
      <c r="C230" s="20" t="str">
        <f>IF(B230="","",IF(COUNTIF('04_Pinjaman'!$A$5:$A$1004,B230)=0,"NO PINJAMAN TIDAK DITEMUKAN",INDEX('04_Pinjaman'!$B$5:$B$1004,MATCH(B230,'04_Pinjaman'!$A$5:$A$1004,0))))</f>
        <v>Dedy Kurniawan</v>
      </c>
      <c r="D230" s="20" t="str">
        <f>IF(B230="","",IF(COUNTIF('04_Pinjaman'!$A$5:$A$1004,B230)=0,"NPP TIDAK DITEMUKAN",INDEX('04_Pinjaman'!$C$5:$C$1004,MATCH(B230,'04_Pinjaman'!$A$5:$A$1004,0))))</f>
        <v>KKSUK-000010</v>
      </c>
      <c r="E230" s="22">
        <v>45894</v>
      </c>
      <c r="F230" s="23">
        <v>700000</v>
      </c>
      <c r="G230" s="21"/>
    </row>
    <row r="231" spans="1:7" ht="21" customHeight="1">
      <c r="A231" s="20">
        <f t="shared" si="3"/>
        <v>227</v>
      </c>
      <c r="B231" s="21">
        <v>32</v>
      </c>
      <c r="C231" s="20" t="str">
        <f>IF(B231="","",IF(COUNTIF('04_Pinjaman'!$A$5:$A$1004,B231)=0,"NO PINJAMAN TIDAK DITEMUKAN",INDEX('04_Pinjaman'!$B$5:$B$1004,MATCH(B231,'04_Pinjaman'!$A$5:$A$1004,0))))</f>
        <v>Dedy Kurniawan</v>
      </c>
      <c r="D231" s="20" t="str">
        <f>IF(B231="","",IF(COUNTIF('04_Pinjaman'!$A$5:$A$1004,B231)=0,"NPP TIDAK DITEMUKAN",INDEX('04_Pinjaman'!$C$5:$C$1004,MATCH(B231,'04_Pinjaman'!$A$5:$A$1004,0))))</f>
        <v>KKSUK-000010</v>
      </c>
      <c r="E231" s="22">
        <v>45925</v>
      </c>
      <c r="F231" s="23">
        <v>700000</v>
      </c>
      <c r="G231" s="21"/>
    </row>
    <row r="232" spans="1:7" ht="21" customHeight="1">
      <c r="A232" s="20">
        <f t="shared" si="3"/>
        <v>228</v>
      </c>
      <c r="B232" s="21">
        <v>32</v>
      </c>
      <c r="C232" s="20" t="str">
        <f>IF(B232="","",IF(COUNTIF('04_Pinjaman'!$A$5:$A$1004,B232)=0,"NO PINJAMAN TIDAK DITEMUKAN",INDEX('04_Pinjaman'!$B$5:$B$1004,MATCH(B232,'04_Pinjaman'!$A$5:$A$1004,0))))</f>
        <v>Dedy Kurniawan</v>
      </c>
      <c r="D232" s="20" t="str">
        <f>IF(B232="","",IF(COUNTIF('04_Pinjaman'!$A$5:$A$1004,B232)=0,"NPP TIDAK DITEMUKAN",INDEX('04_Pinjaman'!$C$5:$C$1004,MATCH(B232,'04_Pinjaman'!$A$5:$A$1004,0))))</f>
        <v>KKSUK-000010</v>
      </c>
      <c r="E232" s="22">
        <v>45954</v>
      </c>
      <c r="F232" s="23">
        <v>700000</v>
      </c>
      <c r="G232" s="21"/>
    </row>
    <row r="233" spans="1:7" ht="21" customHeight="1">
      <c r="A233" s="20">
        <f t="shared" si="3"/>
        <v>229</v>
      </c>
      <c r="B233" s="21">
        <v>32</v>
      </c>
      <c r="C233" s="20" t="str">
        <f>IF(B233="","",IF(COUNTIF('04_Pinjaman'!$A$5:$A$1004,B233)=0,"NO PINJAMAN TIDAK DITEMUKAN",INDEX('04_Pinjaman'!$B$5:$B$1004,MATCH(B233,'04_Pinjaman'!$A$5:$A$1004,0))))</f>
        <v>Dedy Kurniawan</v>
      </c>
      <c r="D233" s="20" t="str">
        <f>IF(B233="","",IF(COUNTIF('04_Pinjaman'!$A$5:$A$1004,B233)=0,"NPP TIDAK DITEMUKAN",INDEX('04_Pinjaman'!$C$5:$C$1004,MATCH(B233,'04_Pinjaman'!$A$5:$A$1004,0))))</f>
        <v>KKSUK-000010</v>
      </c>
      <c r="E233" s="22">
        <v>45986</v>
      </c>
      <c r="F233" s="23">
        <v>700000</v>
      </c>
      <c r="G233" s="21"/>
    </row>
    <row r="234" spans="1:7" ht="21" customHeight="1">
      <c r="A234" s="20">
        <f t="shared" si="3"/>
        <v>230</v>
      </c>
      <c r="B234" s="21">
        <v>32</v>
      </c>
      <c r="C234" s="20" t="str">
        <f>IF(B234="","",IF(COUNTIF('04_Pinjaman'!$A$5:$A$1004,B234)=0,"NO PINJAMAN TIDAK DITEMUKAN",INDEX('04_Pinjaman'!$B$5:$B$1004,MATCH(B234,'04_Pinjaman'!$A$5:$A$1004,0))))</f>
        <v>Dedy Kurniawan</v>
      </c>
      <c r="D234" s="20" t="str">
        <f>IF(B234="","",IF(COUNTIF('04_Pinjaman'!$A$5:$A$1004,B234)=0,"NPP TIDAK DITEMUKAN",INDEX('04_Pinjaman'!$C$5:$C$1004,MATCH(B234,'04_Pinjaman'!$A$5:$A$1004,0))))</f>
        <v>KKSUK-000010</v>
      </c>
      <c r="E234" s="22">
        <v>46010</v>
      </c>
      <c r="F234" s="23">
        <v>700000</v>
      </c>
      <c r="G234" s="21"/>
    </row>
    <row r="235" spans="1:7" ht="21" customHeight="1">
      <c r="A235" s="20">
        <f t="shared" si="3"/>
        <v>231</v>
      </c>
      <c r="B235" s="21">
        <v>33</v>
      </c>
      <c r="C235" s="20" t="str">
        <f>IF(B235="","",IF(COUNTIF('04_Pinjaman'!$A$5:$A$1004,B235)=0,"NO PINJAMAN TIDAK DITEMUKAN",INDEX('04_Pinjaman'!$B$5:$B$1004,MATCH(B235,'04_Pinjaman'!$A$5:$A$1004,0))))</f>
        <v>Dedy Kurniawan</v>
      </c>
      <c r="D235" s="20" t="str">
        <f>IF(B235="","",IF(COUNTIF('04_Pinjaman'!$A$5:$A$1004,B235)=0,"NPP TIDAK DITEMUKAN",INDEX('04_Pinjaman'!$C$5:$C$1004,MATCH(B235,'04_Pinjaman'!$A$5:$A$1004,0))))</f>
        <v>KKSUK-000010</v>
      </c>
      <c r="E235" s="22">
        <v>46035</v>
      </c>
      <c r="F235" s="23">
        <v>9300000</v>
      </c>
      <c r="G235" s="21" t="s">
        <v>800</v>
      </c>
    </row>
    <row r="236" spans="1:7" ht="21" customHeight="1">
      <c r="A236" s="20">
        <f t="shared" si="3"/>
        <v>232</v>
      </c>
      <c r="B236" s="21">
        <v>33</v>
      </c>
      <c r="C236" s="20" t="str">
        <f>IF(B236="","",IF(COUNTIF('04_Pinjaman'!$A$5:$A$1004,B236)=0,"NO PINJAMAN TIDAK DITEMUKAN",INDEX('04_Pinjaman'!$B$5:$B$1004,MATCH(B236,'04_Pinjaman'!$A$5:$A$1004,0))))</f>
        <v>Dedy Kurniawan</v>
      </c>
      <c r="D236" s="20" t="str">
        <f>IF(B236="","",IF(COUNTIF('04_Pinjaman'!$A$5:$A$1004,B236)=0,"NPP TIDAK DITEMUKAN",INDEX('04_Pinjaman'!$C$5:$C$1004,MATCH(B236,'04_Pinjaman'!$A$5:$A$1004,0))))</f>
        <v>KKSUK-000010</v>
      </c>
      <c r="E236" s="22">
        <v>46045</v>
      </c>
      <c r="F236" s="23">
        <v>1545000</v>
      </c>
      <c r="G236" s="21"/>
    </row>
    <row r="237" spans="1:7" ht="21" customHeight="1">
      <c r="A237" s="20">
        <f t="shared" si="3"/>
        <v>233</v>
      </c>
      <c r="B237" s="21">
        <v>33</v>
      </c>
      <c r="C237" s="20" t="str">
        <f>IF(B237="","",IF(COUNTIF('04_Pinjaman'!$A$5:$A$1004,B237)=0,"NO PINJAMAN TIDAK DITEMUKAN",INDEX('04_Pinjaman'!$B$5:$B$1004,MATCH(B237,'04_Pinjaman'!$A$5:$A$1004,0))))</f>
        <v>Dedy Kurniawan</v>
      </c>
      <c r="D237" s="20" t="str">
        <f>IF(B237="","",IF(COUNTIF('04_Pinjaman'!$A$5:$A$1004,B237)=0,"NPP TIDAK DITEMUKAN",INDEX('04_Pinjaman'!$C$5:$C$1004,MATCH(B237,'04_Pinjaman'!$A$5:$A$1004,0))))</f>
        <v>KKSUK-000010</v>
      </c>
      <c r="E237" s="22">
        <v>46048</v>
      </c>
      <c r="F237" s="23">
        <v>-1545000</v>
      </c>
      <c r="G237" s="21" t="s">
        <v>817</v>
      </c>
    </row>
    <row r="238" spans="1:7" ht="21" customHeight="1">
      <c r="A238" s="20">
        <f t="shared" si="3"/>
        <v>234</v>
      </c>
      <c r="B238" s="21">
        <v>34</v>
      </c>
      <c r="C238" s="20" t="str">
        <f>IF(B238="","",IF(COUNTIF('04_Pinjaman'!$A$5:$A$1004,B238)=0,"NO PINJAMAN TIDAK DITEMUKAN",INDEX('04_Pinjaman'!$B$5:$B$1004,MATCH(B238,'04_Pinjaman'!$A$5:$A$1004,0))))</f>
        <v>Dedy Kurniawan</v>
      </c>
      <c r="D238" s="20" t="str">
        <f>IF(B238="","",IF(COUNTIF('04_Pinjaman'!$A$5:$A$1004,B238)=0,"NPP TIDAK DITEMUKAN",INDEX('04_Pinjaman'!$C$5:$C$1004,MATCH(B238,'04_Pinjaman'!$A$5:$A$1004,0))))</f>
        <v>KKSUK-000010</v>
      </c>
      <c r="E238" s="22">
        <v>46078</v>
      </c>
      <c r="F238" s="23">
        <v>775000</v>
      </c>
      <c r="G238" s="21"/>
    </row>
    <row r="239" spans="1:7" ht="21" customHeight="1">
      <c r="A239" s="20">
        <f t="shared" si="3"/>
        <v>235</v>
      </c>
      <c r="B239" s="21">
        <v>34</v>
      </c>
      <c r="C239" s="20" t="str">
        <f>IF(B239="","",IF(COUNTIF('04_Pinjaman'!$A$5:$A$1004,B239)=0,"NO PINJAMAN TIDAK DITEMUKAN",INDEX('04_Pinjaman'!$B$5:$B$1004,MATCH(B239,'04_Pinjaman'!$A$5:$A$1004,0))))</f>
        <v>Dedy Kurniawan</v>
      </c>
      <c r="D239" s="20" t="str">
        <f>IF(B239="","",IF(COUNTIF('04_Pinjaman'!$A$5:$A$1004,B239)=0,"NPP TIDAK DITEMUKAN",INDEX('04_Pinjaman'!$C$5:$C$1004,MATCH(B239,'04_Pinjaman'!$A$5:$A$1004,0))))</f>
        <v>KKSUK-000010</v>
      </c>
      <c r="E239" s="22">
        <v>46106</v>
      </c>
      <c r="F239" s="23">
        <v>775000</v>
      </c>
      <c r="G239" s="21"/>
    </row>
    <row r="240" spans="1:7" ht="21" customHeight="1">
      <c r="A240" s="20">
        <f t="shared" si="3"/>
        <v>236</v>
      </c>
      <c r="B240" s="21">
        <v>34</v>
      </c>
      <c r="C240" s="20" t="str">
        <f>IF(B240="","",IF(COUNTIF('04_Pinjaman'!$A$5:$A$1004,B240)=0,"NO PINJAMAN TIDAK DITEMUKAN",INDEX('04_Pinjaman'!$B$5:$B$1004,MATCH(B240,'04_Pinjaman'!$A$5:$A$1004,0))))</f>
        <v>Dedy Kurniawan</v>
      </c>
      <c r="D240" s="20" t="str">
        <f>IF(B240="","",IF(COUNTIF('04_Pinjaman'!$A$5:$A$1004,B240)=0,"NPP TIDAK DITEMUKAN",INDEX('04_Pinjaman'!$C$5:$C$1004,MATCH(B240,'04_Pinjaman'!$A$5:$A$1004,0))))</f>
        <v>KKSUK-000010</v>
      </c>
      <c r="E240" s="22">
        <v>46136</v>
      </c>
      <c r="F240" s="23">
        <v>775000</v>
      </c>
      <c r="G240" s="21"/>
    </row>
    <row r="241" spans="1:7" ht="21" customHeight="1">
      <c r="A241" s="20">
        <f t="shared" si="3"/>
        <v>237</v>
      </c>
      <c r="B241" s="21">
        <v>34</v>
      </c>
      <c r="C241" s="20" t="str">
        <f>IF(B241="","",IF(COUNTIF('04_Pinjaman'!$A$5:$A$1004,B241)=0,"NO PINJAMAN TIDAK DITEMUKAN",INDEX('04_Pinjaman'!$B$5:$B$1004,MATCH(B241,'04_Pinjaman'!$A$5:$A$1004,0))))</f>
        <v>Dedy Kurniawan</v>
      </c>
      <c r="D241" s="20" t="str">
        <f>IF(B241="","",IF(COUNTIF('04_Pinjaman'!$A$5:$A$1004,B241)=0,"NPP TIDAK DITEMUKAN",INDEX('04_Pinjaman'!$C$5:$C$1004,MATCH(B241,'04_Pinjaman'!$A$5:$A$1004,0))))</f>
        <v>KKSUK-000010</v>
      </c>
      <c r="E241" s="22">
        <v>46167</v>
      </c>
      <c r="F241" s="23">
        <v>775000</v>
      </c>
      <c r="G241" s="21"/>
    </row>
    <row r="242" spans="1:7" ht="21" customHeight="1">
      <c r="A242" s="20">
        <f t="shared" si="3"/>
        <v>238</v>
      </c>
      <c r="B242" s="21">
        <v>34</v>
      </c>
      <c r="C242" s="20" t="str">
        <f>IF(B242="","",IF(COUNTIF('04_Pinjaman'!$A$5:$A$1004,B242)=0,"NO PINJAMAN TIDAK DITEMUKAN",INDEX('04_Pinjaman'!$B$5:$B$1004,MATCH(B242,'04_Pinjaman'!$A$5:$A$1004,0))))</f>
        <v>Dedy Kurniawan</v>
      </c>
      <c r="D242" s="20" t="str">
        <f>IF(B242="","",IF(COUNTIF('04_Pinjaman'!$A$5:$A$1004,B242)=0,"NPP TIDAK DITEMUKAN",INDEX('04_Pinjaman'!$C$5:$C$1004,MATCH(B242,'04_Pinjaman'!$A$5:$A$1004,0))))</f>
        <v>KKSUK-000010</v>
      </c>
      <c r="E242" s="22">
        <v>46198</v>
      </c>
      <c r="F242" s="23">
        <v>775000</v>
      </c>
      <c r="G242" s="21"/>
    </row>
    <row r="243" spans="1:7" ht="21" customHeight="1">
      <c r="A243" s="20">
        <f t="shared" si="3"/>
        <v>239</v>
      </c>
      <c r="B243" s="21">
        <v>34</v>
      </c>
      <c r="C243" s="20" t="str">
        <f>IF(B243="","",IF(COUNTIF('04_Pinjaman'!$A$5:$A$1004,B243)=0,"NO PINJAMAN TIDAK DITEMUKAN",INDEX('04_Pinjaman'!$B$5:$B$1004,MATCH(B243,'04_Pinjaman'!$A$5:$A$1004,0))))</f>
        <v>Dedy Kurniawan</v>
      </c>
      <c r="D243" s="20" t="str">
        <f>IF(B243="","",IF(COUNTIF('04_Pinjaman'!$A$5:$A$1004,B243)=0,"NPP TIDAK DITEMUKAN",INDEX('04_Pinjaman'!$C$5:$C$1004,MATCH(B243,'04_Pinjaman'!$A$5:$A$1004,0))))</f>
        <v>KKSUK-000010</v>
      </c>
      <c r="E243" s="22">
        <v>46227</v>
      </c>
      <c r="F243" s="23">
        <v>775000</v>
      </c>
      <c r="G243" s="21"/>
    </row>
    <row r="244" spans="1:7" ht="21" customHeight="1">
      <c r="A244" s="20">
        <f t="shared" si="3"/>
        <v>240</v>
      </c>
      <c r="B244" s="21">
        <v>34</v>
      </c>
      <c r="C244" s="20" t="str">
        <f>IF(B244="","",IF(COUNTIF('04_Pinjaman'!$A$5:$A$1004,B244)=0,"NO PINJAMAN TIDAK DITEMUKAN",INDEX('04_Pinjaman'!$B$5:$B$1004,MATCH(B244,'04_Pinjaman'!$A$5:$A$1004,0))))</f>
        <v>Dedy Kurniawan</v>
      </c>
      <c r="D244" s="20" t="str">
        <f>IF(B244="","",IF(COUNTIF('04_Pinjaman'!$A$5:$A$1004,B244)=0,"NPP TIDAK DITEMUKAN",INDEX('04_Pinjaman'!$C$5:$C$1004,MATCH(B244,'04_Pinjaman'!$A$5:$A$1004,0))))</f>
        <v>KKSUK-000010</v>
      </c>
      <c r="E244" s="22">
        <v>46258</v>
      </c>
      <c r="F244" s="23">
        <v>775000</v>
      </c>
      <c r="G244" s="21"/>
    </row>
    <row r="245" spans="1:7" ht="21" customHeight="1">
      <c r="A245" s="20">
        <f t="shared" si="3"/>
        <v>241</v>
      </c>
      <c r="B245" s="21">
        <v>35</v>
      </c>
      <c r="C245" s="20" t="str">
        <f>IF(B245="","",IF(COUNTIF('04_Pinjaman'!$A$5:$A$1004,B245)=0,"NO PINJAMAN TIDAK DITEMUKAN",INDEX('04_Pinjaman'!$B$5:$B$1004,MATCH(B245,'04_Pinjaman'!$A$5:$A$1004,0))))</f>
        <v>Didi Rahmat</v>
      </c>
      <c r="D245" s="20" t="str">
        <f>IF(B245="","",IF(COUNTIF('04_Pinjaman'!$A$5:$A$1004,B245)=0,"NPP TIDAK DITEMUKAN",INDEX('04_Pinjaman'!$C$5:$C$1004,MATCH(B245,'04_Pinjaman'!$A$5:$A$1004,0))))</f>
        <v>KKSUK-000110</v>
      </c>
      <c r="E245" s="22">
        <v>45838</v>
      </c>
      <c r="F245" s="23">
        <v>1858333</v>
      </c>
      <c r="G245" s="21"/>
    </row>
    <row r="246" spans="1:7" ht="21" customHeight="1">
      <c r="A246" s="20">
        <f t="shared" si="3"/>
        <v>242</v>
      </c>
      <c r="B246" s="21">
        <v>35</v>
      </c>
      <c r="C246" s="20" t="str">
        <f>IF(B246="","",IF(COUNTIF('04_Pinjaman'!$A$5:$A$1004,B246)=0,"NO PINJAMAN TIDAK DITEMUKAN",INDEX('04_Pinjaman'!$B$5:$B$1004,MATCH(B246,'04_Pinjaman'!$A$5:$A$1004,0))))</f>
        <v>Didi Rahmat</v>
      </c>
      <c r="D246" s="20" t="str">
        <f>IF(B246="","",IF(COUNTIF('04_Pinjaman'!$A$5:$A$1004,B246)=0,"NPP TIDAK DITEMUKAN",INDEX('04_Pinjaman'!$C$5:$C$1004,MATCH(B246,'04_Pinjaman'!$A$5:$A$1004,0))))</f>
        <v>KKSUK-000110</v>
      </c>
      <c r="E246" s="22">
        <v>45863</v>
      </c>
      <c r="F246" s="23">
        <v>1858333</v>
      </c>
      <c r="G246" s="21"/>
    </row>
    <row r="247" spans="1:7" ht="21" customHeight="1">
      <c r="A247" s="20">
        <f t="shared" si="3"/>
        <v>243</v>
      </c>
      <c r="B247" s="21">
        <v>35</v>
      </c>
      <c r="C247" s="20" t="str">
        <f>IF(B247="","",IF(COUNTIF('04_Pinjaman'!$A$5:$A$1004,B247)=0,"NO PINJAMAN TIDAK DITEMUKAN",INDEX('04_Pinjaman'!$B$5:$B$1004,MATCH(B247,'04_Pinjaman'!$A$5:$A$1004,0))))</f>
        <v>Didi Rahmat</v>
      </c>
      <c r="D247" s="20" t="str">
        <f>IF(B247="","",IF(COUNTIF('04_Pinjaman'!$A$5:$A$1004,B247)=0,"NPP TIDAK DITEMUKAN",INDEX('04_Pinjaman'!$C$5:$C$1004,MATCH(B247,'04_Pinjaman'!$A$5:$A$1004,0))))</f>
        <v>KKSUK-000110</v>
      </c>
      <c r="E247" s="22">
        <v>45894</v>
      </c>
      <c r="F247" s="23">
        <v>1858333</v>
      </c>
      <c r="G247" s="21"/>
    </row>
    <row r="248" spans="1:7" ht="21" customHeight="1">
      <c r="A248" s="20">
        <f t="shared" si="3"/>
        <v>244</v>
      </c>
      <c r="B248" s="21">
        <v>35</v>
      </c>
      <c r="C248" s="20" t="str">
        <f>IF(B248="","",IF(COUNTIF('04_Pinjaman'!$A$5:$A$1004,B248)=0,"NO PINJAMAN TIDAK DITEMUKAN",INDEX('04_Pinjaman'!$B$5:$B$1004,MATCH(B248,'04_Pinjaman'!$A$5:$A$1004,0))))</f>
        <v>Didi Rahmat</v>
      </c>
      <c r="D248" s="20" t="str">
        <f>IF(B248="","",IF(COUNTIF('04_Pinjaman'!$A$5:$A$1004,B248)=0,"NPP TIDAK DITEMUKAN",INDEX('04_Pinjaman'!$C$5:$C$1004,MATCH(B248,'04_Pinjaman'!$A$5:$A$1004,0))))</f>
        <v>KKSUK-000110</v>
      </c>
      <c r="E248" s="22">
        <v>45925</v>
      </c>
      <c r="F248" s="23">
        <v>1858333</v>
      </c>
      <c r="G248" s="21"/>
    </row>
    <row r="249" spans="1:7" ht="21" customHeight="1">
      <c r="A249" s="20">
        <f t="shared" si="3"/>
        <v>245</v>
      </c>
      <c r="B249" s="21">
        <v>35</v>
      </c>
      <c r="C249" s="20" t="str">
        <f>IF(B249="","",IF(COUNTIF('04_Pinjaman'!$A$5:$A$1004,B249)=0,"NO PINJAMAN TIDAK DITEMUKAN",INDEX('04_Pinjaman'!$B$5:$B$1004,MATCH(B249,'04_Pinjaman'!$A$5:$A$1004,0))))</f>
        <v>Didi Rahmat</v>
      </c>
      <c r="D249" s="20" t="str">
        <f>IF(B249="","",IF(COUNTIF('04_Pinjaman'!$A$5:$A$1004,B249)=0,"NPP TIDAK DITEMUKAN",INDEX('04_Pinjaman'!$C$5:$C$1004,MATCH(B249,'04_Pinjaman'!$A$5:$A$1004,0))))</f>
        <v>KKSUK-000110</v>
      </c>
      <c r="E249" s="22">
        <v>45954</v>
      </c>
      <c r="F249" s="23">
        <v>1858333</v>
      </c>
      <c r="G249" s="21"/>
    </row>
    <row r="250" spans="1:7" ht="21" customHeight="1">
      <c r="A250" s="20">
        <f t="shared" si="3"/>
        <v>246</v>
      </c>
      <c r="B250" s="21">
        <v>35</v>
      </c>
      <c r="C250" s="20" t="str">
        <f>IF(B250="","",IF(COUNTIF('04_Pinjaman'!$A$5:$A$1004,B250)=0,"NO PINJAMAN TIDAK DITEMUKAN",INDEX('04_Pinjaman'!$B$5:$B$1004,MATCH(B250,'04_Pinjaman'!$A$5:$A$1004,0))))</f>
        <v>Didi Rahmat</v>
      </c>
      <c r="D250" s="20" t="str">
        <f>IF(B250="","",IF(COUNTIF('04_Pinjaman'!$A$5:$A$1004,B250)=0,"NPP TIDAK DITEMUKAN",INDEX('04_Pinjaman'!$C$5:$C$1004,MATCH(B250,'04_Pinjaman'!$A$5:$A$1004,0))))</f>
        <v>KKSUK-000110</v>
      </c>
      <c r="E250" s="22">
        <v>45986</v>
      </c>
      <c r="F250" s="23">
        <v>1858333</v>
      </c>
      <c r="G250" s="21"/>
    </row>
    <row r="251" spans="1:7" ht="21" customHeight="1">
      <c r="A251" s="20">
        <f t="shared" si="3"/>
        <v>247</v>
      </c>
      <c r="B251" s="21">
        <v>35</v>
      </c>
      <c r="C251" s="20" t="str">
        <f>IF(B251="","",IF(COUNTIF('04_Pinjaman'!$A$5:$A$1004,B251)=0,"NO PINJAMAN TIDAK DITEMUKAN",INDEX('04_Pinjaman'!$B$5:$B$1004,MATCH(B251,'04_Pinjaman'!$A$5:$A$1004,0))))</f>
        <v>Didi Rahmat</v>
      </c>
      <c r="D251" s="20" t="str">
        <f>IF(B251="","",IF(COUNTIF('04_Pinjaman'!$A$5:$A$1004,B251)=0,"NPP TIDAK DITEMUKAN",INDEX('04_Pinjaman'!$C$5:$C$1004,MATCH(B251,'04_Pinjaman'!$A$5:$A$1004,0))))</f>
        <v>KKSUK-000110</v>
      </c>
      <c r="E251" s="22">
        <v>46010</v>
      </c>
      <c r="F251" s="23">
        <v>1858333</v>
      </c>
      <c r="G251" s="21"/>
    </row>
    <row r="252" spans="1:7" ht="21" customHeight="1">
      <c r="A252" s="20">
        <f t="shared" si="3"/>
        <v>248</v>
      </c>
      <c r="B252" s="21">
        <v>35</v>
      </c>
      <c r="C252" s="20" t="str">
        <f>IF(B252="","",IF(COUNTIF('04_Pinjaman'!$A$5:$A$1004,B252)=0,"NO PINJAMAN TIDAK DITEMUKAN",INDEX('04_Pinjaman'!$B$5:$B$1004,MATCH(B252,'04_Pinjaman'!$A$5:$A$1004,0))))</f>
        <v>Didi Rahmat</v>
      </c>
      <c r="D252" s="20" t="str">
        <f>IF(B252="","",IF(COUNTIF('04_Pinjaman'!$A$5:$A$1004,B252)=0,"NPP TIDAK DITEMUKAN",INDEX('04_Pinjaman'!$C$5:$C$1004,MATCH(B252,'04_Pinjaman'!$A$5:$A$1004,0))))</f>
        <v>KKSUK-000110</v>
      </c>
      <c r="E252" s="22">
        <v>46045</v>
      </c>
      <c r="F252" s="23">
        <v>1858333</v>
      </c>
      <c r="G252" s="21"/>
    </row>
    <row r="253" spans="1:7" ht="21" customHeight="1">
      <c r="A253" s="20">
        <f t="shared" si="3"/>
        <v>249</v>
      </c>
      <c r="B253" s="21">
        <v>35</v>
      </c>
      <c r="C253" s="20" t="str">
        <f>IF(B253="","",IF(COUNTIF('04_Pinjaman'!$A$5:$A$1004,B253)=0,"NO PINJAMAN TIDAK DITEMUKAN",INDEX('04_Pinjaman'!$B$5:$B$1004,MATCH(B253,'04_Pinjaman'!$A$5:$A$1004,0))))</f>
        <v>Didi Rahmat</v>
      </c>
      <c r="D253" s="20" t="str">
        <f>IF(B253="","",IF(COUNTIF('04_Pinjaman'!$A$5:$A$1004,B253)=0,"NPP TIDAK DITEMUKAN",INDEX('04_Pinjaman'!$C$5:$C$1004,MATCH(B253,'04_Pinjaman'!$A$5:$A$1004,0))))</f>
        <v>KKSUK-000110</v>
      </c>
      <c r="E253" s="22">
        <v>46078</v>
      </c>
      <c r="F253" s="23">
        <v>1858333</v>
      </c>
      <c r="G253" s="21"/>
    </row>
    <row r="254" spans="1:7" ht="21" customHeight="1">
      <c r="A254" s="20">
        <f t="shared" si="3"/>
        <v>250</v>
      </c>
      <c r="B254" s="21">
        <v>35</v>
      </c>
      <c r="C254" s="20" t="str">
        <f>IF(B254="","",IF(COUNTIF('04_Pinjaman'!$A$5:$A$1004,B254)=0,"NO PINJAMAN TIDAK DITEMUKAN",INDEX('04_Pinjaman'!$B$5:$B$1004,MATCH(B254,'04_Pinjaman'!$A$5:$A$1004,0))))</f>
        <v>Didi Rahmat</v>
      </c>
      <c r="D254" s="20" t="str">
        <f>IF(B254="","",IF(COUNTIF('04_Pinjaman'!$A$5:$A$1004,B254)=0,"NPP TIDAK DITEMUKAN",INDEX('04_Pinjaman'!$C$5:$C$1004,MATCH(B254,'04_Pinjaman'!$A$5:$A$1004,0))))</f>
        <v>KKSUK-000110</v>
      </c>
      <c r="E254" s="22">
        <v>46091</v>
      </c>
      <c r="F254" s="23">
        <v>27875003</v>
      </c>
      <c r="G254" s="21" t="s">
        <v>800</v>
      </c>
    </row>
    <row r="255" spans="1:7" ht="21" customHeight="1">
      <c r="A255" s="20">
        <f t="shared" si="3"/>
        <v>251</v>
      </c>
      <c r="B255" s="21">
        <v>36</v>
      </c>
      <c r="C255" s="20" t="str">
        <f>IF(B255="","",IF(COUNTIF('04_Pinjaman'!$A$5:$A$1004,B255)=0,"NO PINJAMAN TIDAK DITEMUKAN",INDEX('04_Pinjaman'!$B$5:$B$1004,MATCH(B255,'04_Pinjaman'!$A$5:$A$1004,0))))</f>
        <v>Didi Rahmat</v>
      </c>
      <c r="D255" s="20" t="str">
        <f>IF(B255="","",IF(COUNTIF('04_Pinjaman'!$A$5:$A$1004,B255)=0,"NPP TIDAK DITEMUKAN",INDEX('04_Pinjaman'!$C$5:$C$1004,MATCH(B255,'04_Pinjaman'!$A$5:$A$1004,0))))</f>
        <v>KKSUK-000110</v>
      </c>
      <c r="E255" s="22">
        <v>46258</v>
      </c>
      <c r="F255" s="23">
        <v>746667</v>
      </c>
      <c r="G255" s="21"/>
    </row>
    <row r="256" spans="1:7" ht="21" customHeight="1">
      <c r="A256" s="20">
        <f t="shared" si="3"/>
        <v>252</v>
      </c>
      <c r="B256" s="21">
        <v>38</v>
      </c>
      <c r="C256" s="20" t="str">
        <f>IF(B256="","",IF(COUNTIF('04_Pinjaman'!$A$5:$A$1004,B256)=0,"NO PINJAMAN TIDAK DITEMUKAN",INDEX('04_Pinjaman'!$B$5:$B$1004,MATCH(B256,'04_Pinjaman'!$A$5:$A$1004,0))))</f>
        <v>Eddy Sukaryan</v>
      </c>
      <c r="D256" s="20" t="str">
        <f>IF(B256="","",IF(COUNTIF('04_Pinjaman'!$A$5:$A$1004,B256)=0,"NPP TIDAK DITEMUKAN",INDEX('04_Pinjaman'!$C$5:$C$1004,MATCH(B256,'04_Pinjaman'!$A$5:$A$1004,0))))</f>
        <v>KKSUK-000070</v>
      </c>
      <c r="E256" s="22">
        <v>45833</v>
      </c>
      <c r="F256" s="23">
        <v>3275000</v>
      </c>
      <c r="G256" s="21"/>
    </row>
    <row r="257" spans="1:7" ht="21" customHeight="1">
      <c r="A257" s="20">
        <f t="shared" si="3"/>
        <v>253</v>
      </c>
      <c r="B257" s="21">
        <v>38</v>
      </c>
      <c r="C257" s="20" t="str">
        <f>IF(B257="","",IF(COUNTIF('04_Pinjaman'!$A$5:$A$1004,B257)=0,"NO PINJAMAN TIDAK DITEMUKAN",INDEX('04_Pinjaman'!$B$5:$B$1004,MATCH(B257,'04_Pinjaman'!$A$5:$A$1004,0))))</f>
        <v>Eddy Sukaryan</v>
      </c>
      <c r="D257" s="20" t="str">
        <f>IF(B257="","",IF(COUNTIF('04_Pinjaman'!$A$5:$A$1004,B257)=0,"NPP TIDAK DITEMUKAN",INDEX('04_Pinjaman'!$C$5:$C$1004,MATCH(B257,'04_Pinjaman'!$A$5:$A$1004,0))))</f>
        <v>KKSUK-000070</v>
      </c>
      <c r="E257" s="22">
        <v>45863</v>
      </c>
      <c r="F257" s="23">
        <v>3275000</v>
      </c>
      <c r="G257" s="21"/>
    </row>
    <row r="258" spans="1:7" ht="21" customHeight="1">
      <c r="A258" s="20">
        <f t="shared" si="3"/>
        <v>254</v>
      </c>
      <c r="B258" s="21">
        <v>38</v>
      </c>
      <c r="C258" s="20" t="str">
        <f>IF(B258="","",IF(COUNTIF('04_Pinjaman'!$A$5:$A$1004,B258)=0,"NO PINJAMAN TIDAK DITEMUKAN",INDEX('04_Pinjaman'!$B$5:$B$1004,MATCH(B258,'04_Pinjaman'!$A$5:$A$1004,0))))</f>
        <v>Eddy Sukaryan</v>
      </c>
      <c r="D258" s="20" t="str">
        <f>IF(B258="","",IF(COUNTIF('04_Pinjaman'!$A$5:$A$1004,B258)=0,"NPP TIDAK DITEMUKAN",INDEX('04_Pinjaman'!$C$5:$C$1004,MATCH(B258,'04_Pinjaman'!$A$5:$A$1004,0))))</f>
        <v>KKSUK-000070</v>
      </c>
      <c r="E258" s="22">
        <v>45894</v>
      </c>
      <c r="F258" s="23">
        <v>3275000</v>
      </c>
      <c r="G258" s="21"/>
    </row>
    <row r="259" spans="1:7" ht="21" customHeight="1">
      <c r="A259" s="20">
        <f t="shared" si="3"/>
        <v>255</v>
      </c>
      <c r="B259" s="21">
        <v>38</v>
      </c>
      <c r="C259" s="20" t="str">
        <f>IF(B259="","",IF(COUNTIF('04_Pinjaman'!$A$5:$A$1004,B259)=0,"NO PINJAMAN TIDAK DITEMUKAN",INDEX('04_Pinjaman'!$B$5:$B$1004,MATCH(B259,'04_Pinjaman'!$A$5:$A$1004,0))))</f>
        <v>Eddy Sukaryan</v>
      </c>
      <c r="D259" s="20" t="str">
        <f>IF(B259="","",IF(COUNTIF('04_Pinjaman'!$A$5:$A$1004,B259)=0,"NPP TIDAK DITEMUKAN",INDEX('04_Pinjaman'!$C$5:$C$1004,MATCH(B259,'04_Pinjaman'!$A$5:$A$1004,0))))</f>
        <v>KKSUK-000070</v>
      </c>
      <c r="E259" s="22">
        <v>45925</v>
      </c>
      <c r="F259" s="23">
        <v>3275000</v>
      </c>
      <c r="G259" s="21"/>
    </row>
    <row r="260" spans="1:7" ht="21" customHeight="1">
      <c r="A260" s="20">
        <f t="shared" si="3"/>
        <v>256</v>
      </c>
      <c r="B260" s="21">
        <v>38</v>
      </c>
      <c r="C260" s="20" t="str">
        <f>IF(B260="","",IF(COUNTIF('04_Pinjaman'!$A$5:$A$1004,B260)=0,"NO PINJAMAN TIDAK DITEMUKAN",INDEX('04_Pinjaman'!$B$5:$B$1004,MATCH(B260,'04_Pinjaman'!$A$5:$A$1004,0))))</f>
        <v>Eddy Sukaryan</v>
      </c>
      <c r="D260" s="20" t="str">
        <f>IF(B260="","",IF(COUNTIF('04_Pinjaman'!$A$5:$A$1004,B260)=0,"NPP TIDAK DITEMUKAN",INDEX('04_Pinjaman'!$C$5:$C$1004,MATCH(B260,'04_Pinjaman'!$A$5:$A$1004,0))))</f>
        <v>KKSUK-000070</v>
      </c>
      <c r="E260" s="22">
        <v>45954</v>
      </c>
      <c r="F260" s="23">
        <v>3275000</v>
      </c>
      <c r="G260" s="21"/>
    </row>
    <row r="261" spans="1:7" ht="21" customHeight="1">
      <c r="A261" s="20">
        <f t="shared" ref="A261:A324" si="4">IF(B261="","",ROW()-4)</f>
        <v>257</v>
      </c>
      <c r="B261" s="21">
        <v>38</v>
      </c>
      <c r="C261" s="20" t="str">
        <f>IF(B261="","",IF(COUNTIF('04_Pinjaman'!$A$5:$A$1004,B261)=0,"NO PINJAMAN TIDAK DITEMUKAN",INDEX('04_Pinjaman'!$B$5:$B$1004,MATCH(B261,'04_Pinjaman'!$A$5:$A$1004,0))))</f>
        <v>Eddy Sukaryan</v>
      </c>
      <c r="D261" s="20" t="str">
        <f>IF(B261="","",IF(COUNTIF('04_Pinjaman'!$A$5:$A$1004,B261)=0,"NPP TIDAK DITEMUKAN",INDEX('04_Pinjaman'!$C$5:$C$1004,MATCH(B261,'04_Pinjaman'!$A$5:$A$1004,0))))</f>
        <v>KKSUK-000070</v>
      </c>
      <c r="E261" s="22">
        <v>45986</v>
      </c>
      <c r="F261" s="23">
        <v>3275000</v>
      </c>
      <c r="G261" s="21"/>
    </row>
    <row r="262" spans="1:7" ht="21" customHeight="1">
      <c r="A262" s="20">
        <f t="shared" si="4"/>
        <v>258</v>
      </c>
      <c r="B262" s="21">
        <v>38</v>
      </c>
      <c r="C262" s="20" t="str">
        <f>IF(B262="","",IF(COUNTIF('04_Pinjaman'!$A$5:$A$1004,B262)=0,"NO PINJAMAN TIDAK DITEMUKAN",INDEX('04_Pinjaman'!$B$5:$B$1004,MATCH(B262,'04_Pinjaman'!$A$5:$A$1004,0))))</f>
        <v>Eddy Sukaryan</v>
      </c>
      <c r="D262" s="20" t="str">
        <f>IF(B262="","",IF(COUNTIF('04_Pinjaman'!$A$5:$A$1004,B262)=0,"NPP TIDAK DITEMUKAN",INDEX('04_Pinjaman'!$C$5:$C$1004,MATCH(B262,'04_Pinjaman'!$A$5:$A$1004,0))))</f>
        <v>KKSUK-000070</v>
      </c>
      <c r="E262" s="22">
        <v>46010</v>
      </c>
      <c r="F262" s="23">
        <v>3275000</v>
      </c>
      <c r="G262" s="21"/>
    </row>
    <row r="263" spans="1:7" ht="21" customHeight="1">
      <c r="A263" s="20">
        <f t="shared" si="4"/>
        <v>259</v>
      </c>
      <c r="B263" s="21">
        <v>39</v>
      </c>
      <c r="C263" s="20" t="str">
        <f>IF(B263="","",IF(COUNTIF('04_Pinjaman'!$A$5:$A$1004,B263)=0,"NO PINJAMAN TIDAK DITEMUKAN",INDEX('04_Pinjaman'!$B$5:$B$1004,MATCH(B263,'04_Pinjaman'!$A$5:$A$1004,0))))</f>
        <v>Eddy Sukaryan</v>
      </c>
      <c r="D263" s="20" t="str">
        <f>IF(B263="","",IF(COUNTIF('04_Pinjaman'!$A$5:$A$1004,B263)=0,"NPP TIDAK DITEMUKAN",INDEX('04_Pinjaman'!$C$5:$C$1004,MATCH(B263,'04_Pinjaman'!$A$5:$A$1004,0))))</f>
        <v>KKSUK-000070</v>
      </c>
      <c r="E263" s="22">
        <v>45954</v>
      </c>
      <c r="F263" s="23">
        <v>3149608</v>
      </c>
      <c r="G263" s="21"/>
    </row>
    <row r="264" spans="1:7" ht="21" customHeight="1">
      <c r="A264" s="20">
        <f t="shared" si="4"/>
        <v>260</v>
      </c>
      <c r="B264" s="21">
        <v>39</v>
      </c>
      <c r="C264" s="20" t="str">
        <f>IF(B264="","",IF(COUNTIF('04_Pinjaman'!$A$5:$A$1004,B264)=0,"NO PINJAMAN TIDAK DITEMUKAN",INDEX('04_Pinjaman'!$B$5:$B$1004,MATCH(B264,'04_Pinjaman'!$A$5:$A$1004,0))))</f>
        <v>Eddy Sukaryan</v>
      </c>
      <c r="D264" s="20" t="str">
        <f>IF(B264="","",IF(COUNTIF('04_Pinjaman'!$A$5:$A$1004,B264)=0,"NPP TIDAK DITEMUKAN",INDEX('04_Pinjaman'!$C$5:$C$1004,MATCH(B264,'04_Pinjaman'!$A$5:$A$1004,0))))</f>
        <v>KKSUK-000070</v>
      </c>
      <c r="E264" s="22">
        <v>45986</v>
      </c>
      <c r="F264" s="23">
        <v>3149608</v>
      </c>
      <c r="G264" s="21"/>
    </row>
    <row r="265" spans="1:7" ht="21" customHeight="1">
      <c r="A265" s="20">
        <f t="shared" si="4"/>
        <v>261</v>
      </c>
      <c r="B265" s="21">
        <v>39</v>
      </c>
      <c r="C265" s="20" t="str">
        <f>IF(B265="","",IF(COUNTIF('04_Pinjaman'!$A$5:$A$1004,B265)=0,"NO PINJAMAN TIDAK DITEMUKAN",INDEX('04_Pinjaman'!$B$5:$B$1004,MATCH(B265,'04_Pinjaman'!$A$5:$A$1004,0))))</f>
        <v>Eddy Sukaryan</v>
      </c>
      <c r="D265" s="20" t="str">
        <f>IF(B265="","",IF(COUNTIF('04_Pinjaman'!$A$5:$A$1004,B265)=0,"NPP TIDAK DITEMUKAN",INDEX('04_Pinjaman'!$C$5:$C$1004,MATCH(B265,'04_Pinjaman'!$A$5:$A$1004,0))))</f>
        <v>KKSUK-000070</v>
      </c>
      <c r="E265" s="22">
        <v>46010</v>
      </c>
      <c r="F265" s="23">
        <v>3149608</v>
      </c>
      <c r="G265" s="21"/>
    </row>
    <row r="266" spans="1:7" ht="21" customHeight="1">
      <c r="A266" s="20">
        <f t="shared" si="4"/>
        <v>262</v>
      </c>
      <c r="B266" s="21">
        <v>38</v>
      </c>
      <c r="C266" s="20" t="str">
        <f>IF(B266="","",IF(COUNTIF('04_Pinjaman'!$A$5:$A$1004,B266)=0,"NO PINJAMAN TIDAK DITEMUKAN",INDEX('04_Pinjaman'!$B$5:$B$1004,MATCH(B266,'04_Pinjaman'!$A$5:$A$1004,0))))</f>
        <v>Eddy Sukaryan</v>
      </c>
      <c r="D266" s="20" t="str">
        <f>IF(B266="","",IF(COUNTIF('04_Pinjaman'!$A$5:$A$1004,B266)=0,"NPP TIDAK DITEMUKAN",INDEX('04_Pinjaman'!$C$5:$C$1004,MATCH(B266,'04_Pinjaman'!$A$5:$A$1004,0))))</f>
        <v>KKSUK-000070</v>
      </c>
      <c r="E266" s="22">
        <v>46045</v>
      </c>
      <c r="F266" s="23">
        <v>3275000</v>
      </c>
      <c r="G266" s="21"/>
    </row>
    <row r="267" spans="1:7" ht="21" customHeight="1">
      <c r="A267" s="20">
        <f t="shared" si="4"/>
        <v>263</v>
      </c>
      <c r="B267" s="21">
        <v>38</v>
      </c>
      <c r="C267" s="20" t="str">
        <f>IF(B267="","",IF(COUNTIF('04_Pinjaman'!$A$5:$A$1004,B267)=0,"NO PINJAMAN TIDAK DITEMUKAN",INDEX('04_Pinjaman'!$B$5:$B$1004,MATCH(B267,'04_Pinjaman'!$A$5:$A$1004,0))))</f>
        <v>Eddy Sukaryan</v>
      </c>
      <c r="D267" s="20" t="str">
        <f>IF(B267="","",IF(COUNTIF('04_Pinjaman'!$A$5:$A$1004,B267)=0,"NPP TIDAK DITEMUKAN",INDEX('04_Pinjaman'!$C$5:$C$1004,MATCH(B267,'04_Pinjaman'!$A$5:$A$1004,0))))</f>
        <v>KKSUK-000070</v>
      </c>
      <c r="E267" s="22">
        <v>46078</v>
      </c>
      <c r="F267" s="23">
        <v>3275000</v>
      </c>
      <c r="G267" s="21"/>
    </row>
    <row r="268" spans="1:7" ht="21" customHeight="1">
      <c r="A268" s="20">
        <f t="shared" si="4"/>
        <v>264</v>
      </c>
      <c r="B268" s="21">
        <v>38</v>
      </c>
      <c r="C268" s="20" t="str">
        <f>IF(B268="","",IF(COUNTIF('04_Pinjaman'!$A$5:$A$1004,B268)=0,"NO PINJAMAN TIDAK DITEMUKAN",INDEX('04_Pinjaman'!$B$5:$B$1004,MATCH(B268,'04_Pinjaman'!$A$5:$A$1004,0))))</f>
        <v>Eddy Sukaryan</v>
      </c>
      <c r="D268" s="20" t="str">
        <f>IF(B268="","",IF(COUNTIF('04_Pinjaman'!$A$5:$A$1004,B268)=0,"NPP TIDAK DITEMUKAN",INDEX('04_Pinjaman'!$C$5:$C$1004,MATCH(B268,'04_Pinjaman'!$A$5:$A$1004,0))))</f>
        <v>KKSUK-000070</v>
      </c>
      <c r="E268" s="22">
        <v>46106</v>
      </c>
      <c r="F268" s="23">
        <v>3275000</v>
      </c>
      <c r="G268" s="21"/>
    </row>
    <row r="269" spans="1:7" ht="21" customHeight="1">
      <c r="A269" s="20">
        <f t="shared" si="4"/>
        <v>265</v>
      </c>
      <c r="B269" s="21">
        <v>38</v>
      </c>
      <c r="C269" s="20" t="str">
        <f>IF(B269="","",IF(COUNTIF('04_Pinjaman'!$A$5:$A$1004,B269)=0,"NO PINJAMAN TIDAK DITEMUKAN",INDEX('04_Pinjaman'!$B$5:$B$1004,MATCH(B269,'04_Pinjaman'!$A$5:$A$1004,0))))</f>
        <v>Eddy Sukaryan</v>
      </c>
      <c r="D269" s="20" t="str">
        <f>IF(B269="","",IF(COUNTIF('04_Pinjaman'!$A$5:$A$1004,B269)=0,"NPP TIDAK DITEMUKAN",INDEX('04_Pinjaman'!$C$5:$C$1004,MATCH(B269,'04_Pinjaman'!$A$5:$A$1004,0))))</f>
        <v>KKSUK-000070</v>
      </c>
      <c r="E269" s="22">
        <v>46136</v>
      </c>
      <c r="F269" s="23">
        <v>3275000</v>
      </c>
      <c r="G269" s="21"/>
    </row>
    <row r="270" spans="1:7" ht="21" customHeight="1">
      <c r="A270" s="20">
        <f t="shared" si="4"/>
        <v>266</v>
      </c>
      <c r="B270" s="21">
        <v>38</v>
      </c>
      <c r="C270" s="20" t="str">
        <f>IF(B270="","",IF(COUNTIF('04_Pinjaman'!$A$5:$A$1004,B270)=0,"NO PINJAMAN TIDAK DITEMUKAN",INDEX('04_Pinjaman'!$B$5:$B$1004,MATCH(B270,'04_Pinjaman'!$A$5:$A$1004,0))))</f>
        <v>Eddy Sukaryan</v>
      </c>
      <c r="D270" s="20" t="str">
        <f>IF(B270="","",IF(COUNTIF('04_Pinjaman'!$A$5:$A$1004,B270)=0,"NPP TIDAK DITEMUKAN",INDEX('04_Pinjaman'!$C$5:$C$1004,MATCH(B270,'04_Pinjaman'!$A$5:$A$1004,0))))</f>
        <v>KKSUK-000070</v>
      </c>
      <c r="E270" s="22">
        <v>46167</v>
      </c>
      <c r="F270" s="23">
        <v>3275000</v>
      </c>
      <c r="G270" s="21"/>
    </row>
    <row r="271" spans="1:7" ht="21" customHeight="1">
      <c r="A271" s="20">
        <f t="shared" si="4"/>
        <v>267</v>
      </c>
      <c r="B271" s="21">
        <v>38</v>
      </c>
      <c r="C271" s="20" t="str">
        <f>IF(B271="","",IF(COUNTIF('04_Pinjaman'!$A$5:$A$1004,B271)=0,"NO PINJAMAN TIDAK DITEMUKAN",INDEX('04_Pinjaman'!$B$5:$B$1004,MATCH(B271,'04_Pinjaman'!$A$5:$A$1004,0))))</f>
        <v>Eddy Sukaryan</v>
      </c>
      <c r="D271" s="20" t="str">
        <f>IF(B271="","",IF(COUNTIF('04_Pinjaman'!$A$5:$A$1004,B271)=0,"NPP TIDAK DITEMUKAN",INDEX('04_Pinjaman'!$C$5:$C$1004,MATCH(B271,'04_Pinjaman'!$A$5:$A$1004,0))))</f>
        <v>KKSUK-000070</v>
      </c>
      <c r="E271" s="22">
        <v>46198</v>
      </c>
      <c r="F271" s="23">
        <v>3275000</v>
      </c>
      <c r="G271" s="21"/>
    </row>
    <row r="272" spans="1:7" ht="21" customHeight="1">
      <c r="A272" s="20">
        <f t="shared" si="4"/>
        <v>268</v>
      </c>
      <c r="B272" s="21">
        <v>38</v>
      </c>
      <c r="C272" s="20" t="str">
        <f>IF(B272="","",IF(COUNTIF('04_Pinjaman'!$A$5:$A$1004,B272)=0,"NO PINJAMAN TIDAK DITEMUKAN",INDEX('04_Pinjaman'!$B$5:$B$1004,MATCH(B272,'04_Pinjaman'!$A$5:$A$1004,0))))</f>
        <v>Eddy Sukaryan</v>
      </c>
      <c r="D272" s="20" t="str">
        <f>IF(B272="","",IF(COUNTIF('04_Pinjaman'!$A$5:$A$1004,B272)=0,"NPP TIDAK DITEMUKAN",INDEX('04_Pinjaman'!$C$5:$C$1004,MATCH(B272,'04_Pinjaman'!$A$5:$A$1004,0))))</f>
        <v>KKSUK-000070</v>
      </c>
      <c r="E272" s="22">
        <v>46227</v>
      </c>
      <c r="F272" s="23">
        <v>3275000</v>
      </c>
      <c r="G272" s="21"/>
    </row>
    <row r="273" spans="1:7" ht="21" customHeight="1">
      <c r="A273" s="20">
        <f t="shared" si="4"/>
        <v>269</v>
      </c>
      <c r="B273" s="21">
        <v>38</v>
      </c>
      <c r="C273" s="20" t="str">
        <f>IF(B273="","",IF(COUNTIF('04_Pinjaman'!$A$5:$A$1004,B273)=0,"NO PINJAMAN TIDAK DITEMUKAN",INDEX('04_Pinjaman'!$B$5:$B$1004,MATCH(B273,'04_Pinjaman'!$A$5:$A$1004,0))))</f>
        <v>Eddy Sukaryan</v>
      </c>
      <c r="D273" s="20" t="str">
        <f>IF(B273="","",IF(COUNTIF('04_Pinjaman'!$A$5:$A$1004,B273)=0,"NPP TIDAK DITEMUKAN",INDEX('04_Pinjaman'!$C$5:$C$1004,MATCH(B273,'04_Pinjaman'!$A$5:$A$1004,0))))</f>
        <v>KKSUK-000070</v>
      </c>
      <c r="E273" s="22">
        <v>46258</v>
      </c>
      <c r="F273" s="23">
        <v>3275000</v>
      </c>
      <c r="G273" s="21"/>
    </row>
    <row r="274" spans="1:7" ht="21" customHeight="1">
      <c r="A274" s="20">
        <f t="shared" si="4"/>
        <v>270</v>
      </c>
      <c r="B274" s="21">
        <v>39</v>
      </c>
      <c r="C274" s="20" t="str">
        <f>IF(B274="","",IF(COUNTIF('04_Pinjaman'!$A$5:$A$1004,B274)=0,"NO PINJAMAN TIDAK DITEMUKAN",INDEX('04_Pinjaman'!$B$5:$B$1004,MATCH(B274,'04_Pinjaman'!$A$5:$A$1004,0))))</f>
        <v>Eddy Sukaryan</v>
      </c>
      <c r="D274" s="20" t="str">
        <f>IF(B274="","",IF(COUNTIF('04_Pinjaman'!$A$5:$A$1004,B274)=0,"NPP TIDAK DITEMUKAN",INDEX('04_Pinjaman'!$C$5:$C$1004,MATCH(B274,'04_Pinjaman'!$A$5:$A$1004,0))))</f>
        <v>KKSUK-000070</v>
      </c>
      <c r="E274" s="22">
        <v>46045</v>
      </c>
      <c r="F274" s="23">
        <v>3149608</v>
      </c>
      <c r="G274" s="21"/>
    </row>
    <row r="275" spans="1:7" ht="21" customHeight="1">
      <c r="A275" s="20">
        <f t="shared" si="4"/>
        <v>271</v>
      </c>
      <c r="B275" s="21">
        <v>39</v>
      </c>
      <c r="C275" s="20" t="str">
        <f>IF(B275="","",IF(COUNTIF('04_Pinjaman'!$A$5:$A$1004,B275)=0,"NO PINJAMAN TIDAK DITEMUKAN",INDEX('04_Pinjaman'!$B$5:$B$1004,MATCH(B275,'04_Pinjaman'!$A$5:$A$1004,0))))</f>
        <v>Eddy Sukaryan</v>
      </c>
      <c r="D275" s="20" t="str">
        <f>IF(B275="","",IF(COUNTIF('04_Pinjaman'!$A$5:$A$1004,B275)=0,"NPP TIDAK DITEMUKAN",INDEX('04_Pinjaman'!$C$5:$C$1004,MATCH(B275,'04_Pinjaman'!$A$5:$A$1004,0))))</f>
        <v>KKSUK-000070</v>
      </c>
      <c r="E275" s="22">
        <v>46078</v>
      </c>
      <c r="F275" s="23">
        <v>3149608</v>
      </c>
      <c r="G275" s="21"/>
    </row>
    <row r="276" spans="1:7" ht="21" customHeight="1">
      <c r="A276" s="20">
        <f t="shared" si="4"/>
        <v>272</v>
      </c>
      <c r="B276" s="21">
        <v>39</v>
      </c>
      <c r="C276" s="20" t="str">
        <f>IF(B276="","",IF(COUNTIF('04_Pinjaman'!$A$5:$A$1004,B276)=0,"NO PINJAMAN TIDAK DITEMUKAN",INDEX('04_Pinjaman'!$B$5:$B$1004,MATCH(B276,'04_Pinjaman'!$A$5:$A$1004,0))))</f>
        <v>Eddy Sukaryan</v>
      </c>
      <c r="D276" s="20" t="str">
        <f>IF(B276="","",IF(COUNTIF('04_Pinjaman'!$A$5:$A$1004,B276)=0,"NPP TIDAK DITEMUKAN",INDEX('04_Pinjaman'!$C$5:$C$1004,MATCH(B276,'04_Pinjaman'!$A$5:$A$1004,0))))</f>
        <v>KKSUK-000070</v>
      </c>
      <c r="E276" s="22">
        <v>46106</v>
      </c>
      <c r="F276" s="23">
        <v>3149608</v>
      </c>
      <c r="G276" s="21"/>
    </row>
    <row r="277" spans="1:7" ht="21" customHeight="1">
      <c r="A277" s="20">
        <f t="shared" si="4"/>
        <v>273</v>
      </c>
      <c r="B277" s="21">
        <v>39</v>
      </c>
      <c r="C277" s="20" t="str">
        <f>IF(B277="","",IF(COUNTIF('04_Pinjaman'!$A$5:$A$1004,B277)=0,"NO PINJAMAN TIDAK DITEMUKAN",INDEX('04_Pinjaman'!$B$5:$B$1004,MATCH(B277,'04_Pinjaman'!$A$5:$A$1004,0))))</f>
        <v>Eddy Sukaryan</v>
      </c>
      <c r="D277" s="20" t="str">
        <f>IF(B277="","",IF(COUNTIF('04_Pinjaman'!$A$5:$A$1004,B277)=0,"NPP TIDAK DITEMUKAN",INDEX('04_Pinjaman'!$C$5:$C$1004,MATCH(B277,'04_Pinjaman'!$A$5:$A$1004,0))))</f>
        <v>KKSUK-000070</v>
      </c>
      <c r="E277" s="22">
        <v>46136</v>
      </c>
      <c r="F277" s="23">
        <v>3149608</v>
      </c>
      <c r="G277" s="21"/>
    </row>
    <row r="278" spans="1:7" ht="21" customHeight="1">
      <c r="A278" s="20">
        <f t="shared" si="4"/>
        <v>274</v>
      </c>
      <c r="B278" s="21">
        <v>39</v>
      </c>
      <c r="C278" s="20" t="str">
        <f>IF(B278="","",IF(COUNTIF('04_Pinjaman'!$A$5:$A$1004,B278)=0,"NO PINJAMAN TIDAK DITEMUKAN",INDEX('04_Pinjaman'!$B$5:$B$1004,MATCH(B278,'04_Pinjaman'!$A$5:$A$1004,0))))</f>
        <v>Eddy Sukaryan</v>
      </c>
      <c r="D278" s="20" t="str">
        <f>IF(B278="","",IF(COUNTIF('04_Pinjaman'!$A$5:$A$1004,B278)=0,"NPP TIDAK DITEMUKAN",INDEX('04_Pinjaman'!$C$5:$C$1004,MATCH(B278,'04_Pinjaman'!$A$5:$A$1004,0))))</f>
        <v>KKSUK-000070</v>
      </c>
      <c r="E278" s="22">
        <v>46167</v>
      </c>
      <c r="F278" s="23">
        <v>3149608</v>
      </c>
      <c r="G278" s="21"/>
    </row>
    <row r="279" spans="1:7" ht="21" customHeight="1">
      <c r="A279" s="20">
        <f t="shared" si="4"/>
        <v>275</v>
      </c>
      <c r="B279" s="21">
        <v>39</v>
      </c>
      <c r="C279" s="20" t="str">
        <f>IF(B279="","",IF(COUNTIF('04_Pinjaman'!$A$5:$A$1004,B279)=0,"NO PINJAMAN TIDAK DITEMUKAN",INDEX('04_Pinjaman'!$B$5:$B$1004,MATCH(B279,'04_Pinjaman'!$A$5:$A$1004,0))))</f>
        <v>Eddy Sukaryan</v>
      </c>
      <c r="D279" s="20" t="str">
        <f>IF(B279="","",IF(COUNTIF('04_Pinjaman'!$A$5:$A$1004,B279)=0,"NPP TIDAK DITEMUKAN",INDEX('04_Pinjaman'!$C$5:$C$1004,MATCH(B279,'04_Pinjaman'!$A$5:$A$1004,0))))</f>
        <v>KKSUK-000070</v>
      </c>
      <c r="E279" s="22">
        <v>46198</v>
      </c>
      <c r="F279" s="23">
        <v>3149608</v>
      </c>
      <c r="G279" s="21"/>
    </row>
    <row r="280" spans="1:7" ht="21" customHeight="1">
      <c r="A280" s="20">
        <f t="shared" si="4"/>
        <v>276</v>
      </c>
      <c r="B280" s="21">
        <v>39</v>
      </c>
      <c r="C280" s="20" t="str">
        <f>IF(B280="","",IF(COUNTIF('04_Pinjaman'!$A$5:$A$1004,B280)=0,"NO PINJAMAN TIDAK DITEMUKAN",INDEX('04_Pinjaman'!$B$5:$B$1004,MATCH(B280,'04_Pinjaman'!$A$5:$A$1004,0))))</f>
        <v>Eddy Sukaryan</v>
      </c>
      <c r="D280" s="20" t="str">
        <f>IF(B280="","",IF(COUNTIF('04_Pinjaman'!$A$5:$A$1004,B280)=0,"NPP TIDAK DITEMUKAN",INDEX('04_Pinjaman'!$C$5:$C$1004,MATCH(B280,'04_Pinjaman'!$A$5:$A$1004,0))))</f>
        <v>KKSUK-000070</v>
      </c>
      <c r="E280" s="22">
        <v>46227</v>
      </c>
      <c r="F280" s="23">
        <v>3149608</v>
      </c>
      <c r="G280" s="21"/>
    </row>
    <row r="281" spans="1:7" ht="21" customHeight="1">
      <c r="A281" s="20">
        <f t="shared" si="4"/>
        <v>277</v>
      </c>
      <c r="B281" s="21">
        <v>39</v>
      </c>
      <c r="C281" s="20" t="str">
        <f>IF(B281="","",IF(COUNTIF('04_Pinjaman'!$A$5:$A$1004,B281)=0,"NO PINJAMAN TIDAK DITEMUKAN",INDEX('04_Pinjaman'!$B$5:$B$1004,MATCH(B281,'04_Pinjaman'!$A$5:$A$1004,0))))</f>
        <v>Eddy Sukaryan</v>
      </c>
      <c r="D281" s="20" t="str">
        <f>IF(B281="","",IF(COUNTIF('04_Pinjaman'!$A$5:$A$1004,B281)=0,"NPP TIDAK DITEMUKAN",INDEX('04_Pinjaman'!$C$5:$C$1004,MATCH(B281,'04_Pinjaman'!$A$5:$A$1004,0))))</f>
        <v>KKSUK-000070</v>
      </c>
      <c r="E281" s="22">
        <v>46258</v>
      </c>
      <c r="F281" s="23">
        <v>3149608</v>
      </c>
      <c r="G281" s="21"/>
    </row>
    <row r="282" spans="1:7" ht="21" customHeight="1">
      <c r="A282" s="20">
        <f t="shared" si="4"/>
        <v>278</v>
      </c>
      <c r="B282" s="21">
        <v>41</v>
      </c>
      <c r="C282" s="20" t="str">
        <f>IF(B282="","",IF(COUNTIF('04_Pinjaman'!$A$5:$A$1004,B282)=0,"NO PINJAMAN TIDAK DITEMUKAN",INDEX('04_Pinjaman'!$B$5:$B$1004,MATCH(B282,'04_Pinjaman'!$A$5:$A$1004,0))))</f>
        <v>Eka Yanuar Santosa</v>
      </c>
      <c r="D282" s="20" t="str">
        <f>IF(B282="","",IF(COUNTIF('04_Pinjaman'!$A$5:$A$1004,B282)=0,"NPP TIDAK DITEMUKAN",INDEX('04_Pinjaman'!$C$5:$C$1004,MATCH(B282,'04_Pinjaman'!$A$5:$A$1004,0))))</f>
        <v>KKSUK-000013</v>
      </c>
      <c r="E282" s="22">
        <v>45863</v>
      </c>
      <c r="F282" s="23">
        <v>2750000</v>
      </c>
      <c r="G282" s="21"/>
    </row>
    <row r="283" spans="1:7" ht="21" customHeight="1">
      <c r="A283" s="20">
        <f t="shared" si="4"/>
        <v>279</v>
      </c>
      <c r="B283" s="21">
        <v>41</v>
      </c>
      <c r="C283" s="20" t="str">
        <f>IF(B283="","",IF(COUNTIF('04_Pinjaman'!$A$5:$A$1004,B283)=0,"NO PINJAMAN TIDAK DITEMUKAN",INDEX('04_Pinjaman'!$B$5:$B$1004,MATCH(B283,'04_Pinjaman'!$A$5:$A$1004,0))))</f>
        <v>Eka Yanuar Santosa</v>
      </c>
      <c r="D283" s="20" t="str">
        <f>IF(B283="","",IF(COUNTIF('04_Pinjaman'!$A$5:$A$1004,B283)=0,"NPP TIDAK DITEMUKAN",INDEX('04_Pinjaman'!$C$5:$C$1004,MATCH(B283,'04_Pinjaman'!$A$5:$A$1004,0))))</f>
        <v>KKSUK-000013</v>
      </c>
      <c r="E283" s="22">
        <v>45894</v>
      </c>
      <c r="F283" s="23">
        <v>2750000</v>
      </c>
      <c r="G283" s="21"/>
    </row>
    <row r="284" spans="1:7" ht="21" customHeight="1">
      <c r="A284" s="20">
        <f t="shared" si="4"/>
        <v>280</v>
      </c>
      <c r="B284" s="21">
        <v>41</v>
      </c>
      <c r="C284" s="20" t="str">
        <f>IF(B284="","",IF(COUNTIF('04_Pinjaman'!$A$5:$A$1004,B284)=0,"NO PINJAMAN TIDAK DITEMUKAN",INDEX('04_Pinjaman'!$B$5:$B$1004,MATCH(B284,'04_Pinjaman'!$A$5:$A$1004,0))))</f>
        <v>Eka Yanuar Santosa</v>
      </c>
      <c r="D284" s="20" t="str">
        <f>IF(B284="","",IF(COUNTIF('04_Pinjaman'!$A$5:$A$1004,B284)=0,"NPP TIDAK DITEMUKAN",INDEX('04_Pinjaman'!$C$5:$C$1004,MATCH(B284,'04_Pinjaman'!$A$5:$A$1004,0))))</f>
        <v>KKSUK-000013</v>
      </c>
      <c r="E284" s="22">
        <v>45925</v>
      </c>
      <c r="F284" s="23">
        <v>2750000</v>
      </c>
      <c r="G284" s="21"/>
    </row>
    <row r="285" spans="1:7" ht="21" customHeight="1">
      <c r="A285" s="20">
        <f t="shared" si="4"/>
        <v>281</v>
      </c>
      <c r="B285" s="21">
        <v>41</v>
      </c>
      <c r="C285" s="20" t="str">
        <f>IF(B285="","",IF(COUNTIF('04_Pinjaman'!$A$5:$A$1004,B285)=0,"NO PINJAMAN TIDAK DITEMUKAN",INDEX('04_Pinjaman'!$B$5:$B$1004,MATCH(B285,'04_Pinjaman'!$A$5:$A$1004,0))))</f>
        <v>Eka Yanuar Santosa</v>
      </c>
      <c r="D285" s="20" t="str">
        <f>IF(B285="","",IF(COUNTIF('04_Pinjaman'!$A$5:$A$1004,B285)=0,"NPP TIDAK DITEMUKAN",INDEX('04_Pinjaman'!$C$5:$C$1004,MATCH(B285,'04_Pinjaman'!$A$5:$A$1004,0))))</f>
        <v>KKSUK-000013</v>
      </c>
      <c r="E285" s="22">
        <v>45954</v>
      </c>
      <c r="F285" s="23">
        <v>2750000</v>
      </c>
      <c r="G285" s="21"/>
    </row>
    <row r="286" spans="1:7" ht="21" customHeight="1">
      <c r="A286" s="20">
        <f t="shared" si="4"/>
        <v>282</v>
      </c>
      <c r="B286" s="21">
        <v>41</v>
      </c>
      <c r="C286" s="20" t="str">
        <f>IF(B286="","",IF(COUNTIF('04_Pinjaman'!$A$5:$A$1004,B286)=0,"NO PINJAMAN TIDAK DITEMUKAN",INDEX('04_Pinjaman'!$B$5:$B$1004,MATCH(B286,'04_Pinjaman'!$A$5:$A$1004,0))))</f>
        <v>Eka Yanuar Santosa</v>
      </c>
      <c r="D286" s="20" t="str">
        <f>IF(B286="","",IF(COUNTIF('04_Pinjaman'!$A$5:$A$1004,B286)=0,"NPP TIDAK DITEMUKAN",INDEX('04_Pinjaman'!$C$5:$C$1004,MATCH(B286,'04_Pinjaman'!$A$5:$A$1004,0))))</f>
        <v>KKSUK-000013</v>
      </c>
      <c r="E286" s="22">
        <v>45986</v>
      </c>
      <c r="F286" s="23">
        <v>2750000</v>
      </c>
      <c r="G286" s="21"/>
    </row>
    <row r="287" spans="1:7" ht="21" customHeight="1">
      <c r="A287" s="20">
        <f t="shared" si="4"/>
        <v>283</v>
      </c>
      <c r="B287" s="21">
        <v>41</v>
      </c>
      <c r="C287" s="20" t="str">
        <f>IF(B287="","",IF(COUNTIF('04_Pinjaman'!$A$5:$A$1004,B287)=0,"NO PINJAMAN TIDAK DITEMUKAN",INDEX('04_Pinjaman'!$B$5:$B$1004,MATCH(B287,'04_Pinjaman'!$A$5:$A$1004,0))))</f>
        <v>Eka Yanuar Santosa</v>
      </c>
      <c r="D287" s="20" t="str">
        <f>IF(B287="","",IF(COUNTIF('04_Pinjaman'!$A$5:$A$1004,B287)=0,"NPP TIDAK DITEMUKAN",INDEX('04_Pinjaman'!$C$5:$C$1004,MATCH(B287,'04_Pinjaman'!$A$5:$A$1004,0))))</f>
        <v>KKSUK-000013</v>
      </c>
      <c r="E287" s="22">
        <v>46010</v>
      </c>
      <c r="F287" s="23">
        <v>2750000</v>
      </c>
      <c r="G287" s="21"/>
    </row>
    <row r="288" spans="1:7" ht="21" customHeight="1">
      <c r="A288" s="20">
        <f t="shared" si="4"/>
        <v>284</v>
      </c>
      <c r="B288" s="21">
        <v>41</v>
      </c>
      <c r="C288" s="20" t="str">
        <f>IF(B288="","",IF(COUNTIF('04_Pinjaman'!$A$5:$A$1004,B288)=0,"NO PINJAMAN TIDAK DITEMUKAN",INDEX('04_Pinjaman'!$B$5:$B$1004,MATCH(B288,'04_Pinjaman'!$A$5:$A$1004,0))))</f>
        <v>Eka Yanuar Santosa</v>
      </c>
      <c r="D288" s="20" t="str">
        <f>IF(B288="","",IF(COUNTIF('04_Pinjaman'!$A$5:$A$1004,B288)=0,"NPP TIDAK DITEMUKAN",INDEX('04_Pinjaman'!$C$5:$C$1004,MATCH(B288,'04_Pinjaman'!$A$5:$A$1004,0))))</f>
        <v>KKSUK-000013</v>
      </c>
      <c r="E288" s="22">
        <v>46045</v>
      </c>
      <c r="F288" s="23">
        <v>2750000</v>
      </c>
      <c r="G288" s="21"/>
    </row>
    <row r="289" spans="1:7" ht="21" customHeight="1">
      <c r="A289" s="20">
        <f t="shared" si="4"/>
        <v>285</v>
      </c>
      <c r="B289" s="21">
        <v>41</v>
      </c>
      <c r="C289" s="20" t="str">
        <f>IF(B289="","",IF(COUNTIF('04_Pinjaman'!$A$5:$A$1004,B289)=0,"NO PINJAMAN TIDAK DITEMUKAN",INDEX('04_Pinjaman'!$B$5:$B$1004,MATCH(B289,'04_Pinjaman'!$A$5:$A$1004,0))))</f>
        <v>Eka Yanuar Santosa</v>
      </c>
      <c r="D289" s="20" t="str">
        <f>IF(B289="","",IF(COUNTIF('04_Pinjaman'!$A$5:$A$1004,B289)=0,"NPP TIDAK DITEMUKAN",INDEX('04_Pinjaman'!$C$5:$C$1004,MATCH(B289,'04_Pinjaman'!$A$5:$A$1004,0))))</f>
        <v>KKSUK-000013</v>
      </c>
      <c r="E289" s="22">
        <v>46078</v>
      </c>
      <c r="F289" s="23">
        <v>2750000</v>
      </c>
      <c r="G289" s="21"/>
    </row>
    <row r="290" spans="1:7" ht="21" customHeight="1">
      <c r="A290" s="20">
        <f t="shared" si="4"/>
        <v>286</v>
      </c>
      <c r="B290" s="21">
        <v>41</v>
      </c>
      <c r="C290" s="20" t="str">
        <f>IF(B290="","",IF(COUNTIF('04_Pinjaman'!$A$5:$A$1004,B290)=0,"NO PINJAMAN TIDAK DITEMUKAN",INDEX('04_Pinjaman'!$B$5:$B$1004,MATCH(B290,'04_Pinjaman'!$A$5:$A$1004,0))))</f>
        <v>Eka Yanuar Santosa</v>
      </c>
      <c r="D290" s="20" t="str">
        <f>IF(B290="","",IF(COUNTIF('04_Pinjaman'!$A$5:$A$1004,B290)=0,"NPP TIDAK DITEMUKAN",INDEX('04_Pinjaman'!$C$5:$C$1004,MATCH(B290,'04_Pinjaman'!$A$5:$A$1004,0))))</f>
        <v>KKSUK-000013</v>
      </c>
      <c r="E290" s="22">
        <v>46106</v>
      </c>
      <c r="F290" s="23">
        <v>2750000</v>
      </c>
      <c r="G290" s="21"/>
    </row>
    <row r="291" spans="1:7" ht="21" customHeight="1">
      <c r="A291" s="20">
        <f t="shared" si="4"/>
        <v>287</v>
      </c>
      <c r="B291" s="21">
        <v>41</v>
      </c>
      <c r="C291" s="20" t="str">
        <f>IF(B291="","",IF(COUNTIF('04_Pinjaman'!$A$5:$A$1004,B291)=0,"NO PINJAMAN TIDAK DITEMUKAN",INDEX('04_Pinjaman'!$B$5:$B$1004,MATCH(B291,'04_Pinjaman'!$A$5:$A$1004,0))))</f>
        <v>Eka Yanuar Santosa</v>
      </c>
      <c r="D291" s="20" t="str">
        <f>IF(B291="","",IF(COUNTIF('04_Pinjaman'!$A$5:$A$1004,B291)=0,"NPP TIDAK DITEMUKAN",INDEX('04_Pinjaman'!$C$5:$C$1004,MATCH(B291,'04_Pinjaman'!$A$5:$A$1004,0))))</f>
        <v>KKSUK-000013</v>
      </c>
      <c r="E291" s="22">
        <v>46167</v>
      </c>
      <c r="F291" s="23">
        <v>2750000</v>
      </c>
      <c r="G291" s="21"/>
    </row>
    <row r="292" spans="1:7" ht="21" customHeight="1">
      <c r="A292" s="20">
        <f t="shared" si="4"/>
        <v>288</v>
      </c>
      <c r="B292" s="21">
        <v>42</v>
      </c>
      <c r="C292" s="20" t="str">
        <f>IF(B292="","",IF(COUNTIF('04_Pinjaman'!$A$5:$A$1004,B292)=0,"NO PINJAMAN TIDAK DITEMUKAN",INDEX('04_Pinjaman'!$B$5:$B$1004,MATCH(B292,'04_Pinjaman'!$A$5:$A$1004,0))))</f>
        <v>Eka Yanuar Santosa</v>
      </c>
      <c r="D292" s="20" t="str">
        <f>IF(B292="","",IF(COUNTIF('04_Pinjaman'!$A$5:$A$1004,B292)=0,"NPP TIDAK DITEMUKAN",INDEX('04_Pinjaman'!$C$5:$C$1004,MATCH(B292,'04_Pinjaman'!$A$5:$A$1004,0))))</f>
        <v>KKSUK-000013</v>
      </c>
      <c r="E292" s="22">
        <v>46198</v>
      </c>
      <c r="F292" s="23">
        <v>2325000</v>
      </c>
      <c r="G292" s="21"/>
    </row>
    <row r="293" spans="1:7" ht="21" customHeight="1">
      <c r="A293" s="20">
        <f t="shared" si="4"/>
        <v>289</v>
      </c>
      <c r="B293" s="21">
        <v>42</v>
      </c>
      <c r="C293" s="20" t="str">
        <f>IF(B293="","",IF(COUNTIF('04_Pinjaman'!$A$5:$A$1004,B293)=0,"NO PINJAMAN TIDAK DITEMUKAN",INDEX('04_Pinjaman'!$B$5:$B$1004,MATCH(B293,'04_Pinjaman'!$A$5:$A$1004,0))))</f>
        <v>Eka Yanuar Santosa</v>
      </c>
      <c r="D293" s="20" t="str">
        <f>IF(B293="","",IF(COUNTIF('04_Pinjaman'!$A$5:$A$1004,B293)=0,"NPP TIDAK DITEMUKAN",INDEX('04_Pinjaman'!$C$5:$C$1004,MATCH(B293,'04_Pinjaman'!$A$5:$A$1004,0))))</f>
        <v>KKSUK-000013</v>
      </c>
      <c r="E293" s="22">
        <v>46227</v>
      </c>
      <c r="F293" s="23">
        <v>2325000</v>
      </c>
      <c r="G293" s="21"/>
    </row>
    <row r="294" spans="1:7" ht="21" customHeight="1">
      <c r="A294" s="20">
        <f t="shared" si="4"/>
        <v>290</v>
      </c>
      <c r="B294" s="21">
        <v>42</v>
      </c>
      <c r="C294" s="20" t="str">
        <f>IF(B294="","",IF(COUNTIF('04_Pinjaman'!$A$5:$A$1004,B294)=0,"NO PINJAMAN TIDAK DITEMUKAN",INDEX('04_Pinjaman'!$B$5:$B$1004,MATCH(B294,'04_Pinjaman'!$A$5:$A$1004,0))))</f>
        <v>Eka Yanuar Santosa</v>
      </c>
      <c r="D294" s="20" t="str">
        <f>IF(B294="","",IF(COUNTIF('04_Pinjaman'!$A$5:$A$1004,B294)=0,"NPP TIDAK DITEMUKAN",INDEX('04_Pinjaman'!$C$5:$C$1004,MATCH(B294,'04_Pinjaman'!$A$5:$A$1004,0))))</f>
        <v>KKSUK-000013</v>
      </c>
      <c r="E294" s="22">
        <v>46258</v>
      </c>
      <c r="F294" s="23">
        <v>2325000</v>
      </c>
      <c r="G294" s="21"/>
    </row>
    <row r="295" spans="1:7" ht="21" customHeight="1">
      <c r="A295" s="20">
        <f t="shared" si="4"/>
        <v>291</v>
      </c>
      <c r="B295" s="21">
        <v>43</v>
      </c>
      <c r="C295" s="20" t="str">
        <f>IF(B295="","",IF(COUNTIF('04_Pinjaman'!$A$5:$A$1004,B295)=0,"NO PINJAMAN TIDAK DITEMUKAN",INDEX('04_Pinjaman'!$B$5:$B$1004,MATCH(B295,'04_Pinjaman'!$A$5:$A$1004,0))))</f>
        <v>Eko Junaidi</v>
      </c>
      <c r="D295" s="20" t="str">
        <f>IF(B295="","",IF(COUNTIF('04_Pinjaman'!$A$5:$A$1004,B295)=0,"NPP TIDAK DITEMUKAN",INDEX('04_Pinjaman'!$C$5:$C$1004,MATCH(B295,'04_Pinjaman'!$A$5:$A$1004,0))))</f>
        <v>KKSUK-000071</v>
      </c>
      <c r="E295" s="22">
        <v>46045</v>
      </c>
      <c r="F295" s="23">
        <v>1650000</v>
      </c>
      <c r="G295" s="21"/>
    </row>
    <row r="296" spans="1:7" ht="21" customHeight="1">
      <c r="A296" s="20">
        <f t="shared" si="4"/>
        <v>292</v>
      </c>
      <c r="B296" s="21">
        <v>43</v>
      </c>
      <c r="C296" s="20" t="str">
        <f>IF(B296="","",IF(COUNTIF('04_Pinjaman'!$A$5:$A$1004,B296)=0,"NO PINJAMAN TIDAK DITEMUKAN",INDEX('04_Pinjaman'!$B$5:$B$1004,MATCH(B296,'04_Pinjaman'!$A$5:$A$1004,0))))</f>
        <v>Eko Junaidi</v>
      </c>
      <c r="D296" s="20" t="str">
        <f>IF(B296="","",IF(COUNTIF('04_Pinjaman'!$A$5:$A$1004,B296)=0,"NPP TIDAK DITEMUKAN",INDEX('04_Pinjaman'!$C$5:$C$1004,MATCH(B296,'04_Pinjaman'!$A$5:$A$1004,0))))</f>
        <v>KKSUK-000071</v>
      </c>
      <c r="E296" s="22">
        <v>46078</v>
      </c>
      <c r="F296" s="23">
        <v>1650000</v>
      </c>
      <c r="G296" s="21"/>
    </row>
    <row r="297" spans="1:7" ht="21" customHeight="1">
      <c r="A297" s="20">
        <f t="shared" si="4"/>
        <v>293</v>
      </c>
      <c r="B297" s="21">
        <v>43</v>
      </c>
      <c r="C297" s="20" t="str">
        <f>IF(B297="","",IF(COUNTIF('04_Pinjaman'!$A$5:$A$1004,B297)=0,"NO PINJAMAN TIDAK DITEMUKAN",INDEX('04_Pinjaman'!$B$5:$B$1004,MATCH(B297,'04_Pinjaman'!$A$5:$A$1004,0))))</f>
        <v>Eko Junaidi</v>
      </c>
      <c r="D297" s="20" t="str">
        <f>IF(B297="","",IF(COUNTIF('04_Pinjaman'!$A$5:$A$1004,B297)=0,"NPP TIDAK DITEMUKAN",INDEX('04_Pinjaman'!$C$5:$C$1004,MATCH(B297,'04_Pinjaman'!$A$5:$A$1004,0))))</f>
        <v>KKSUK-000071</v>
      </c>
      <c r="E297" s="22">
        <v>46106</v>
      </c>
      <c r="F297" s="23">
        <v>1650000</v>
      </c>
      <c r="G297" s="21"/>
    </row>
    <row r="298" spans="1:7" ht="21" customHeight="1">
      <c r="A298" s="20">
        <f t="shared" si="4"/>
        <v>294</v>
      </c>
      <c r="B298" s="21">
        <v>43</v>
      </c>
      <c r="C298" s="20" t="str">
        <f>IF(B298="","",IF(COUNTIF('04_Pinjaman'!$A$5:$A$1004,B298)=0,"NO PINJAMAN TIDAK DITEMUKAN",INDEX('04_Pinjaman'!$B$5:$B$1004,MATCH(B298,'04_Pinjaman'!$A$5:$A$1004,0))))</f>
        <v>Eko Junaidi</v>
      </c>
      <c r="D298" s="20" t="str">
        <f>IF(B298="","",IF(COUNTIF('04_Pinjaman'!$A$5:$A$1004,B298)=0,"NPP TIDAK DITEMUKAN",INDEX('04_Pinjaman'!$C$5:$C$1004,MATCH(B298,'04_Pinjaman'!$A$5:$A$1004,0))))</f>
        <v>KKSUK-000071</v>
      </c>
      <c r="E298" s="22">
        <v>46136</v>
      </c>
      <c r="F298" s="23">
        <v>1650000</v>
      </c>
      <c r="G298" s="21"/>
    </row>
    <row r="299" spans="1:7" ht="21" customHeight="1">
      <c r="A299" s="20">
        <f t="shared" si="4"/>
        <v>295</v>
      </c>
      <c r="B299" s="21">
        <v>43</v>
      </c>
      <c r="C299" s="20" t="str">
        <f>IF(B299="","",IF(COUNTIF('04_Pinjaman'!$A$5:$A$1004,B299)=0,"NO PINJAMAN TIDAK DITEMUKAN",INDEX('04_Pinjaman'!$B$5:$B$1004,MATCH(B299,'04_Pinjaman'!$A$5:$A$1004,0))))</f>
        <v>Eko Junaidi</v>
      </c>
      <c r="D299" s="20" t="str">
        <f>IF(B299="","",IF(COUNTIF('04_Pinjaman'!$A$5:$A$1004,B299)=0,"NPP TIDAK DITEMUKAN",INDEX('04_Pinjaman'!$C$5:$C$1004,MATCH(B299,'04_Pinjaman'!$A$5:$A$1004,0))))</f>
        <v>KKSUK-000071</v>
      </c>
      <c r="E299" s="22">
        <v>46167</v>
      </c>
      <c r="F299" s="23">
        <v>1650000</v>
      </c>
      <c r="G299" s="21"/>
    </row>
    <row r="300" spans="1:7" ht="21" customHeight="1">
      <c r="A300" s="20">
        <f t="shared" si="4"/>
        <v>296</v>
      </c>
      <c r="B300" s="21">
        <v>43</v>
      </c>
      <c r="C300" s="20" t="str">
        <f>IF(B300="","",IF(COUNTIF('04_Pinjaman'!$A$5:$A$1004,B300)=0,"NO PINJAMAN TIDAK DITEMUKAN",INDEX('04_Pinjaman'!$B$5:$B$1004,MATCH(B300,'04_Pinjaman'!$A$5:$A$1004,0))))</f>
        <v>Eko Junaidi</v>
      </c>
      <c r="D300" s="20" t="str">
        <f>IF(B300="","",IF(COUNTIF('04_Pinjaman'!$A$5:$A$1004,B300)=0,"NPP TIDAK DITEMUKAN",INDEX('04_Pinjaman'!$C$5:$C$1004,MATCH(B300,'04_Pinjaman'!$A$5:$A$1004,0))))</f>
        <v>KKSUK-000071</v>
      </c>
      <c r="E300" s="22">
        <v>46198</v>
      </c>
      <c r="F300" s="23">
        <v>1650000</v>
      </c>
      <c r="G300" s="21"/>
    </row>
    <row r="301" spans="1:7" ht="21" customHeight="1">
      <c r="A301" s="20">
        <f t="shared" si="4"/>
        <v>297</v>
      </c>
      <c r="B301" s="21">
        <v>43</v>
      </c>
      <c r="C301" s="20" t="str">
        <f>IF(B301="","",IF(COUNTIF('04_Pinjaman'!$A$5:$A$1004,B301)=0,"NO PINJAMAN TIDAK DITEMUKAN",INDEX('04_Pinjaman'!$B$5:$B$1004,MATCH(B301,'04_Pinjaman'!$A$5:$A$1004,0))))</f>
        <v>Eko Junaidi</v>
      </c>
      <c r="D301" s="20" t="str">
        <f>IF(B301="","",IF(COUNTIF('04_Pinjaman'!$A$5:$A$1004,B301)=0,"NPP TIDAK DITEMUKAN",INDEX('04_Pinjaman'!$C$5:$C$1004,MATCH(B301,'04_Pinjaman'!$A$5:$A$1004,0))))</f>
        <v>KKSUK-000071</v>
      </c>
      <c r="E301" s="22">
        <v>46227</v>
      </c>
      <c r="F301" s="23">
        <v>1650000</v>
      </c>
      <c r="G301" s="21"/>
    </row>
    <row r="302" spans="1:7" ht="21" customHeight="1">
      <c r="A302" s="20">
        <f t="shared" si="4"/>
        <v>298</v>
      </c>
      <c r="B302" s="21">
        <v>43</v>
      </c>
      <c r="C302" s="20" t="str">
        <f>IF(B302="","",IF(COUNTIF('04_Pinjaman'!$A$5:$A$1004,B302)=0,"NO PINJAMAN TIDAK DITEMUKAN",INDEX('04_Pinjaman'!$B$5:$B$1004,MATCH(B302,'04_Pinjaman'!$A$5:$A$1004,0))))</f>
        <v>Eko Junaidi</v>
      </c>
      <c r="D302" s="20" t="str">
        <f>IF(B302="","",IF(COUNTIF('04_Pinjaman'!$A$5:$A$1004,B302)=0,"NPP TIDAK DITEMUKAN",INDEX('04_Pinjaman'!$C$5:$C$1004,MATCH(B302,'04_Pinjaman'!$A$5:$A$1004,0))))</f>
        <v>KKSUK-000071</v>
      </c>
      <c r="E302" s="22">
        <v>46258</v>
      </c>
      <c r="F302" s="23">
        <v>1650000</v>
      </c>
      <c r="G302" s="21"/>
    </row>
    <row r="303" spans="1:7" ht="21" customHeight="1">
      <c r="A303" s="20">
        <f t="shared" si="4"/>
        <v>299</v>
      </c>
      <c r="B303" s="21">
        <v>44</v>
      </c>
      <c r="C303" s="20" t="str">
        <f>IF(B303="","",IF(COUNTIF('04_Pinjaman'!$A$5:$A$1004,B303)=0,"NO PINJAMAN TIDAK DITEMUKAN",INDEX('04_Pinjaman'!$B$5:$B$1004,MATCH(B303,'04_Pinjaman'!$A$5:$A$1004,0))))</f>
        <v>Erfan Faulana</v>
      </c>
      <c r="D303" s="20" t="str">
        <f>IF(B303="","",IF(COUNTIF('04_Pinjaman'!$A$5:$A$1004,B303)=0,"NPP TIDAK DITEMUKAN",INDEX('04_Pinjaman'!$C$5:$C$1004,MATCH(B303,'04_Pinjaman'!$A$5:$A$1004,0))))</f>
        <v>KKSUK-000152</v>
      </c>
      <c r="E303" s="22">
        <v>46010</v>
      </c>
      <c r="F303" s="23">
        <v>210000</v>
      </c>
      <c r="G303" s="21"/>
    </row>
    <row r="304" spans="1:7" ht="21" customHeight="1">
      <c r="A304" s="20">
        <f t="shared" si="4"/>
        <v>300</v>
      </c>
      <c r="B304" s="21">
        <v>44</v>
      </c>
      <c r="C304" s="20" t="str">
        <f>IF(B304="","",IF(COUNTIF('04_Pinjaman'!$A$5:$A$1004,B304)=0,"NO PINJAMAN TIDAK DITEMUKAN",INDEX('04_Pinjaman'!$B$5:$B$1004,MATCH(B304,'04_Pinjaman'!$A$5:$A$1004,0))))</f>
        <v>Erfan Faulana</v>
      </c>
      <c r="D304" s="20" t="str">
        <f>IF(B304="","",IF(COUNTIF('04_Pinjaman'!$A$5:$A$1004,B304)=0,"NPP TIDAK DITEMUKAN",INDEX('04_Pinjaman'!$C$5:$C$1004,MATCH(B304,'04_Pinjaman'!$A$5:$A$1004,0))))</f>
        <v>KKSUK-000152</v>
      </c>
      <c r="E304" s="22">
        <v>46030</v>
      </c>
      <c r="F304" s="23">
        <v>1890000</v>
      </c>
      <c r="G304" s="21"/>
    </row>
    <row r="305" spans="1:7" ht="21" customHeight="1">
      <c r="A305" s="20">
        <f t="shared" si="4"/>
        <v>301</v>
      </c>
      <c r="B305" s="21">
        <v>44</v>
      </c>
      <c r="C305" s="20" t="str">
        <f>IF(B305="","",IF(COUNTIF('04_Pinjaman'!$A$5:$A$1004,B305)=0,"NO PINJAMAN TIDAK DITEMUKAN",INDEX('04_Pinjaman'!$B$5:$B$1004,MATCH(B305,'04_Pinjaman'!$A$5:$A$1004,0))))</f>
        <v>Erfan Faulana</v>
      </c>
      <c r="D305" s="20" t="str">
        <f>IF(B305="","",IF(COUNTIF('04_Pinjaman'!$A$5:$A$1004,B305)=0,"NPP TIDAK DITEMUKAN",INDEX('04_Pinjaman'!$C$5:$C$1004,MATCH(B305,'04_Pinjaman'!$A$5:$A$1004,0))))</f>
        <v>KKSUK-000152</v>
      </c>
      <c r="E305" s="22">
        <v>46045</v>
      </c>
      <c r="F305" s="23">
        <v>210000</v>
      </c>
      <c r="G305" s="21"/>
    </row>
    <row r="306" spans="1:7" ht="21" customHeight="1">
      <c r="A306" s="20">
        <f t="shared" si="4"/>
        <v>302</v>
      </c>
      <c r="B306" s="21">
        <v>44</v>
      </c>
      <c r="C306" s="20" t="str">
        <f>IF(B306="","",IF(COUNTIF('04_Pinjaman'!$A$5:$A$1004,B306)=0,"NO PINJAMAN TIDAK DITEMUKAN",INDEX('04_Pinjaman'!$B$5:$B$1004,MATCH(B306,'04_Pinjaman'!$A$5:$A$1004,0))))</f>
        <v>Erfan Faulana</v>
      </c>
      <c r="D306" s="20" t="str">
        <f>IF(B306="","",IF(COUNTIF('04_Pinjaman'!$A$5:$A$1004,B306)=0,"NPP TIDAK DITEMUKAN",INDEX('04_Pinjaman'!$C$5:$C$1004,MATCH(B306,'04_Pinjaman'!$A$5:$A$1004,0))))</f>
        <v>KKSUK-000152</v>
      </c>
      <c r="E306" s="22">
        <v>46048</v>
      </c>
      <c r="F306" s="23">
        <v>-210000</v>
      </c>
      <c r="G306" s="21" t="s">
        <v>817</v>
      </c>
    </row>
    <row r="307" spans="1:7" ht="21" customHeight="1">
      <c r="A307" s="20">
        <f t="shared" si="4"/>
        <v>303</v>
      </c>
      <c r="B307" s="21">
        <v>45</v>
      </c>
      <c r="C307" s="20" t="str">
        <f>IF(B307="","",IF(COUNTIF('04_Pinjaman'!$A$5:$A$1004,B307)=0,"NO PINJAMAN TIDAK DITEMUKAN",INDEX('04_Pinjaman'!$B$5:$B$1004,MATCH(B307,'04_Pinjaman'!$A$5:$A$1004,0))))</f>
        <v>Erfan Faulana</v>
      </c>
      <c r="D307" s="20" t="str">
        <f>IF(B307="","",IF(COUNTIF('04_Pinjaman'!$A$5:$A$1004,B307)=0,"NPP TIDAK DITEMUKAN",INDEX('04_Pinjaman'!$C$5:$C$1004,MATCH(B307,'04_Pinjaman'!$A$5:$A$1004,0))))</f>
        <v>KKSUK-000152</v>
      </c>
      <c r="E307" s="22">
        <v>46078</v>
      </c>
      <c r="F307" s="23">
        <v>706667</v>
      </c>
      <c r="G307" s="21"/>
    </row>
    <row r="308" spans="1:7" ht="21" customHeight="1">
      <c r="A308" s="20">
        <f t="shared" si="4"/>
        <v>304</v>
      </c>
      <c r="B308" s="21">
        <v>45</v>
      </c>
      <c r="C308" s="20" t="str">
        <f>IF(B308="","",IF(COUNTIF('04_Pinjaman'!$A$5:$A$1004,B308)=0,"NO PINJAMAN TIDAK DITEMUKAN",INDEX('04_Pinjaman'!$B$5:$B$1004,MATCH(B308,'04_Pinjaman'!$A$5:$A$1004,0))))</f>
        <v>Erfan Faulana</v>
      </c>
      <c r="D308" s="20" t="str">
        <f>IF(B308="","",IF(COUNTIF('04_Pinjaman'!$A$5:$A$1004,B308)=0,"NPP TIDAK DITEMUKAN",INDEX('04_Pinjaman'!$C$5:$C$1004,MATCH(B308,'04_Pinjaman'!$A$5:$A$1004,0))))</f>
        <v>KKSUK-000152</v>
      </c>
      <c r="E308" s="22">
        <v>46106</v>
      </c>
      <c r="F308" s="23">
        <v>706667</v>
      </c>
      <c r="G308" s="21"/>
    </row>
    <row r="309" spans="1:7" ht="21" customHeight="1">
      <c r="A309" s="20">
        <f t="shared" si="4"/>
        <v>305</v>
      </c>
      <c r="B309" s="21">
        <v>45</v>
      </c>
      <c r="C309" s="20" t="str">
        <f>IF(B309="","",IF(COUNTIF('04_Pinjaman'!$A$5:$A$1004,B309)=0,"NO PINJAMAN TIDAK DITEMUKAN",INDEX('04_Pinjaman'!$B$5:$B$1004,MATCH(B309,'04_Pinjaman'!$A$5:$A$1004,0))))</f>
        <v>Erfan Faulana</v>
      </c>
      <c r="D309" s="20" t="str">
        <f>IF(B309="","",IF(COUNTIF('04_Pinjaman'!$A$5:$A$1004,B309)=0,"NPP TIDAK DITEMUKAN",INDEX('04_Pinjaman'!$C$5:$C$1004,MATCH(B309,'04_Pinjaman'!$A$5:$A$1004,0))))</f>
        <v>KKSUK-000152</v>
      </c>
      <c r="E309" s="22">
        <v>46136</v>
      </c>
      <c r="F309" s="23">
        <v>706667</v>
      </c>
      <c r="G309" s="21"/>
    </row>
    <row r="310" spans="1:7" ht="21" customHeight="1">
      <c r="A310" s="20">
        <f t="shared" si="4"/>
        <v>306</v>
      </c>
      <c r="B310" s="21">
        <v>45</v>
      </c>
      <c r="C310" s="20" t="str">
        <f>IF(B310="","",IF(COUNTIF('04_Pinjaman'!$A$5:$A$1004,B310)=0,"NO PINJAMAN TIDAK DITEMUKAN",INDEX('04_Pinjaman'!$B$5:$B$1004,MATCH(B310,'04_Pinjaman'!$A$5:$A$1004,0))))</f>
        <v>Erfan Faulana</v>
      </c>
      <c r="D310" s="20" t="str">
        <f>IF(B310="","",IF(COUNTIF('04_Pinjaman'!$A$5:$A$1004,B310)=0,"NPP TIDAK DITEMUKAN",INDEX('04_Pinjaman'!$C$5:$C$1004,MATCH(B310,'04_Pinjaman'!$A$5:$A$1004,0))))</f>
        <v>KKSUK-000152</v>
      </c>
      <c r="E310" s="22">
        <v>46161</v>
      </c>
      <c r="F310" s="23">
        <v>1413332</v>
      </c>
      <c r="G310" s="21" t="s">
        <v>800</v>
      </c>
    </row>
    <row r="311" spans="1:7" ht="21" customHeight="1">
      <c r="A311" s="20">
        <f t="shared" si="4"/>
        <v>307</v>
      </c>
      <c r="B311" s="21">
        <v>45</v>
      </c>
      <c r="C311" s="20" t="str">
        <f>IF(B311="","",IF(COUNTIF('04_Pinjaman'!$A$5:$A$1004,B311)=0,"NO PINJAMAN TIDAK DITEMUKAN",INDEX('04_Pinjaman'!$B$5:$B$1004,MATCH(B311,'04_Pinjaman'!$A$5:$A$1004,0))))</f>
        <v>Erfan Faulana</v>
      </c>
      <c r="D311" s="20" t="str">
        <f>IF(B311="","",IF(COUNTIF('04_Pinjaman'!$A$5:$A$1004,B311)=0,"NPP TIDAK DITEMUKAN",INDEX('04_Pinjaman'!$C$5:$C$1004,MATCH(B311,'04_Pinjaman'!$A$5:$A$1004,0))))</f>
        <v>KKSUK-000152</v>
      </c>
      <c r="E311" s="22">
        <v>46167</v>
      </c>
      <c r="F311" s="23">
        <v>706667</v>
      </c>
      <c r="G311" s="21"/>
    </row>
    <row r="312" spans="1:7" ht="21" customHeight="1">
      <c r="A312" s="20">
        <f t="shared" si="4"/>
        <v>308</v>
      </c>
      <c r="B312" s="21">
        <v>46</v>
      </c>
      <c r="C312" s="20" t="str">
        <f>IF(B312="","",IF(COUNTIF('04_Pinjaman'!$A$5:$A$1004,B312)=0,"NO PINJAMAN TIDAK DITEMUKAN",INDEX('04_Pinjaman'!$B$5:$B$1004,MATCH(B312,'04_Pinjaman'!$A$5:$A$1004,0))))</f>
        <v>Erfan Faulana</v>
      </c>
      <c r="D312" s="20" t="str">
        <f>IF(B312="","",IF(COUNTIF('04_Pinjaman'!$A$5:$A$1004,B312)=0,"NPP TIDAK DITEMUKAN",INDEX('04_Pinjaman'!$C$5:$C$1004,MATCH(B312,'04_Pinjaman'!$A$5:$A$1004,0))))</f>
        <v>KKSUK-000152</v>
      </c>
      <c r="E312" s="22">
        <v>46227</v>
      </c>
      <c r="F312" s="23">
        <v>660000</v>
      </c>
      <c r="G312" s="21"/>
    </row>
    <row r="313" spans="1:7" ht="21" customHeight="1">
      <c r="A313" s="20">
        <f t="shared" si="4"/>
        <v>309</v>
      </c>
      <c r="B313" s="21">
        <v>46</v>
      </c>
      <c r="C313" s="20" t="str">
        <f>IF(B313="","",IF(COUNTIF('04_Pinjaman'!$A$5:$A$1004,B313)=0,"NO PINJAMAN TIDAK DITEMUKAN",INDEX('04_Pinjaman'!$B$5:$B$1004,MATCH(B313,'04_Pinjaman'!$A$5:$A$1004,0))))</f>
        <v>Erfan Faulana</v>
      </c>
      <c r="D313" s="20" t="str">
        <f>IF(B313="","",IF(COUNTIF('04_Pinjaman'!$A$5:$A$1004,B313)=0,"NPP TIDAK DITEMUKAN",INDEX('04_Pinjaman'!$C$5:$C$1004,MATCH(B313,'04_Pinjaman'!$A$5:$A$1004,0))))</f>
        <v>KKSUK-000152</v>
      </c>
      <c r="E313" s="22">
        <v>46258</v>
      </c>
      <c r="F313" s="23">
        <v>660000</v>
      </c>
      <c r="G313" s="21"/>
    </row>
    <row r="314" spans="1:7" ht="21" customHeight="1">
      <c r="A314" s="20">
        <f t="shared" si="4"/>
        <v>310</v>
      </c>
      <c r="B314" s="21">
        <v>47</v>
      </c>
      <c r="C314" s="20" t="str">
        <f>IF(B314="","",IF(COUNTIF('04_Pinjaman'!$A$5:$A$1004,B314)=0,"NO PINJAMAN TIDAK DITEMUKAN",INDEX('04_Pinjaman'!$B$5:$B$1004,MATCH(B314,'04_Pinjaman'!$A$5:$A$1004,0))))</f>
        <v>Fajar Bintara</v>
      </c>
      <c r="D314" s="20" t="str">
        <f>IF(B314="","",IF(COUNTIF('04_Pinjaman'!$A$5:$A$1004,B314)=0,"NPP TIDAK DITEMUKAN",INDEX('04_Pinjaman'!$C$5:$C$1004,MATCH(B314,'04_Pinjaman'!$A$5:$A$1004,0))))</f>
        <v>KKSUK-000175</v>
      </c>
      <c r="E314" s="22">
        <v>46035</v>
      </c>
      <c r="F314" s="23">
        <v>440000</v>
      </c>
      <c r="G314" s="21"/>
    </row>
    <row r="315" spans="1:7" ht="21" customHeight="1">
      <c r="A315" s="20">
        <f t="shared" si="4"/>
        <v>311</v>
      </c>
      <c r="B315" s="21">
        <v>47</v>
      </c>
      <c r="C315" s="20" t="str">
        <f>IF(B315="","",IF(COUNTIF('04_Pinjaman'!$A$5:$A$1004,B315)=0,"NO PINJAMAN TIDAK DITEMUKAN",INDEX('04_Pinjaman'!$B$5:$B$1004,MATCH(B315,'04_Pinjaman'!$A$5:$A$1004,0))))</f>
        <v>Fajar Bintara</v>
      </c>
      <c r="D315" s="20" t="str">
        <f>IF(B315="","",IF(COUNTIF('04_Pinjaman'!$A$5:$A$1004,B315)=0,"NPP TIDAK DITEMUKAN",INDEX('04_Pinjaman'!$C$5:$C$1004,MATCH(B315,'04_Pinjaman'!$A$5:$A$1004,0))))</f>
        <v>KKSUK-000175</v>
      </c>
      <c r="E315" s="22">
        <v>46064</v>
      </c>
      <c r="F315" s="23">
        <v>440000</v>
      </c>
      <c r="G315" s="21"/>
    </row>
    <row r="316" spans="1:7" ht="21" customHeight="1">
      <c r="A316" s="20">
        <f t="shared" si="4"/>
        <v>312</v>
      </c>
      <c r="B316" s="21">
        <v>47</v>
      </c>
      <c r="C316" s="20" t="str">
        <f>IF(B316="","",IF(COUNTIF('04_Pinjaman'!$A$5:$A$1004,B316)=0,"NO PINJAMAN TIDAK DITEMUKAN",INDEX('04_Pinjaman'!$B$5:$B$1004,MATCH(B316,'04_Pinjaman'!$A$5:$A$1004,0))))</f>
        <v>Fajar Bintara</v>
      </c>
      <c r="D316" s="20" t="str">
        <f>IF(B316="","",IF(COUNTIF('04_Pinjaman'!$A$5:$A$1004,B316)=0,"NPP TIDAK DITEMUKAN",INDEX('04_Pinjaman'!$C$5:$C$1004,MATCH(B316,'04_Pinjaman'!$A$5:$A$1004,0))))</f>
        <v>KKSUK-000175</v>
      </c>
      <c r="E316" s="22">
        <v>46093</v>
      </c>
      <c r="F316" s="23">
        <v>2640000</v>
      </c>
      <c r="G316" s="21" t="s">
        <v>816</v>
      </c>
    </row>
    <row r="317" spans="1:7" ht="21" customHeight="1">
      <c r="A317" s="20">
        <f t="shared" si="4"/>
        <v>313</v>
      </c>
      <c r="B317" s="21">
        <v>4</v>
      </c>
      <c r="C317" s="20" t="str">
        <f>IF(B317="","",IF(COUNTIF('04_Pinjaman'!$A$5:$A$1004,B317)=0,"NO PINJAMAN TIDAK DITEMUKAN",INDEX('04_Pinjaman'!$B$5:$B$1004,MATCH(B317,'04_Pinjaman'!$A$5:$A$1004,0))))</f>
        <v>Ade Kurnia</v>
      </c>
      <c r="D317" s="20" t="str">
        <f>IF(B317="","",IF(COUNTIF('04_Pinjaman'!$A$5:$A$1004,B317)=0,"NPP TIDAK DITEMUKAN",INDEX('04_Pinjaman'!$C$5:$C$1004,MATCH(B317,'04_Pinjaman'!$A$5:$A$1004,0))))</f>
        <v>KKSUK-000120</v>
      </c>
      <c r="E317" s="22">
        <v>46045</v>
      </c>
      <c r="F317" s="23">
        <v>220000</v>
      </c>
      <c r="G317" s="21"/>
    </row>
    <row r="318" spans="1:7" ht="21" customHeight="1">
      <c r="A318" s="20">
        <f t="shared" si="4"/>
        <v>314</v>
      </c>
      <c r="B318" s="21">
        <v>4</v>
      </c>
      <c r="C318" s="20" t="str">
        <f>IF(B318="","",IF(COUNTIF('04_Pinjaman'!$A$5:$A$1004,B318)=0,"NO PINJAMAN TIDAK DITEMUKAN",INDEX('04_Pinjaman'!$B$5:$B$1004,MATCH(B318,'04_Pinjaman'!$A$5:$A$1004,0))))</f>
        <v>Ade Kurnia</v>
      </c>
      <c r="D318" s="20" t="str">
        <f>IF(B318="","",IF(COUNTIF('04_Pinjaman'!$A$5:$A$1004,B318)=0,"NPP TIDAK DITEMUKAN",INDEX('04_Pinjaman'!$C$5:$C$1004,MATCH(B318,'04_Pinjaman'!$A$5:$A$1004,0))))</f>
        <v>KKSUK-000120</v>
      </c>
      <c r="E318" s="22">
        <v>46048</v>
      </c>
      <c r="F318" s="23">
        <v>-220000</v>
      </c>
      <c r="G318" s="21" t="s">
        <v>817</v>
      </c>
    </row>
    <row r="319" spans="1:7" ht="21" customHeight="1">
      <c r="A319" s="20">
        <f t="shared" si="4"/>
        <v>315</v>
      </c>
      <c r="B319" s="21">
        <v>4</v>
      </c>
      <c r="C319" s="20" t="str">
        <f>IF(B319="","",IF(COUNTIF('04_Pinjaman'!$A$5:$A$1004,B319)=0,"NO PINJAMAN TIDAK DITEMUKAN",INDEX('04_Pinjaman'!$B$5:$B$1004,MATCH(B319,'04_Pinjaman'!$A$5:$A$1004,0))))</f>
        <v>Ade Kurnia</v>
      </c>
      <c r="D319" s="20" t="str">
        <f>IF(B319="","",IF(COUNTIF('04_Pinjaman'!$A$5:$A$1004,B319)=0,"NPP TIDAK DITEMUKAN",INDEX('04_Pinjaman'!$C$5:$C$1004,MATCH(B319,'04_Pinjaman'!$A$5:$A$1004,0))))</f>
        <v>KKSUK-000120</v>
      </c>
      <c r="E319" s="22">
        <v>46274</v>
      </c>
      <c r="F319" s="23">
        <v>-880000</v>
      </c>
      <c r="G319" s="21" t="s">
        <v>817</v>
      </c>
    </row>
    <row r="320" spans="1:7" ht="21" customHeight="1">
      <c r="A320" s="20">
        <f t="shared" si="4"/>
        <v>316</v>
      </c>
      <c r="B320" s="21">
        <v>48</v>
      </c>
      <c r="C320" s="20" t="str">
        <f>IF(B320="","",IF(COUNTIF('04_Pinjaman'!$A$5:$A$1004,B320)=0,"NO PINJAMAN TIDAK DITEMUKAN",INDEX('04_Pinjaman'!$B$5:$B$1004,MATCH(B320,'04_Pinjaman'!$A$5:$A$1004,0))))</f>
        <v>Fellix Stephen Willa</v>
      </c>
      <c r="D320" s="20" t="str">
        <f>IF(B320="","",IF(COUNTIF('04_Pinjaman'!$A$5:$A$1004,B320)=0,"NPP TIDAK DITEMUKAN",INDEX('04_Pinjaman'!$C$5:$C$1004,MATCH(B320,'04_Pinjaman'!$A$5:$A$1004,0))))</f>
        <v>KKSUK-000061</v>
      </c>
      <c r="E320" s="22">
        <v>46045</v>
      </c>
      <c r="F320" s="23">
        <v>3125000</v>
      </c>
      <c r="G320" s="21"/>
    </row>
    <row r="321" spans="1:7" ht="21" customHeight="1">
      <c r="A321" s="20">
        <f t="shared" si="4"/>
        <v>317</v>
      </c>
      <c r="B321" s="21">
        <v>48</v>
      </c>
      <c r="C321" s="20" t="str">
        <f>IF(B321="","",IF(COUNTIF('04_Pinjaman'!$A$5:$A$1004,B321)=0,"NO PINJAMAN TIDAK DITEMUKAN",INDEX('04_Pinjaman'!$B$5:$B$1004,MATCH(B321,'04_Pinjaman'!$A$5:$A$1004,0))))</f>
        <v>Fellix Stephen Willa</v>
      </c>
      <c r="D321" s="20" t="str">
        <f>IF(B321="","",IF(COUNTIF('04_Pinjaman'!$A$5:$A$1004,B321)=0,"NPP TIDAK DITEMUKAN",INDEX('04_Pinjaman'!$C$5:$C$1004,MATCH(B321,'04_Pinjaman'!$A$5:$A$1004,0))))</f>
        <v>KKSUK-000061</v>
      </c>
      <c r="E321" s="22">
        <v>46078</v>
      </c>
      <c r="F321" s="23">
        <v>3125000</v>
      </c>
      <c r="G321" s="21"/>
    </row>
    <row r="322" spans="1:7" ht="21" customHeight="1">
      <c r="A322" s="20">
        <f t="shared" si="4"/>
        <v>318</v>
      </c>
      <c r="B322" s="21">
        <v>48</v>
      </c>
      <c r="C322" s="20" t="str">
        <f>IF(B322="","",IF(COUNTIF('04_Pinjaman'!$A$5:$A$1004,B322)=0,"NO PINJAMAN TIDAK DITEMUKAN",INDEX('04_Pinjaman'!$B$5:$B$1004,MATCH(B322,'04_Pinjaman'!$A$5:$A$1004,0))))</f>
        <v>Fellix Stephen Willa</v>
      </c>
      <c r="D322" s="20" t="str">
        <f>IF(B322="","",IF(COUNTIF('04_Pinjaman'!$A$5:$A$1004,B322)=0,"NPP TIDAK DITEMUKAN",INDEX('04_Pinjaman'!$C$5:$C$1004,MATCH(B322,'04_Pinjaman'!$A$5:$A$1004,0))))</f>
        <v>KKSUK-000061</v>
      </c>
      <c r="E322" s="22">
        <v>46106</v>
      </c>
      <c r="F322" s="23">
        <v>3125000</v>
      </c>
      <c r="G322" s="21"/>
    </row>
    <row r="323" spans="1:7" ht="21" customHeight="1">
      <c r="A323" s="20">
        <f t="shared" si="4"/>
        <v>319</v>
      </c>
      <c r="B323" s="21">
        <v>48</v>
      </c>
      <c r="C323" s="20" t="str">
        <f>IF(B323="","",IF(COUNTIF('04_Pinjaman'!$A$5:$A$1004,B323)=0,"NO PINJAMAN TIDAK DITEMUKAN",INDEX('04_Pinjaman'!$B$5:$B$1004,MATCH(B323,'04_Pinjaman'!$A$5:$A$1004,0))))</f>
        <v>Fellix Stephen Willa</v>
      </c>
      <c r="D323" s="20" t="str">
        <f>IF(B323="","",IF(COUNTIF('04_Pinjaman'!$A$5:$A$1004,B323)=0,"NPP TIDAK DITEMUKAN",INDEX('04_Pinjaman'!$C$5:$C$1004,MATCH(B323,'04_Pinjaman'!$A$5:$A$1004,0))))</f>
        <v>KKSUK-000061</v>
      </c>
      <c r="E323" s="22">
        <v>46136</v>
      </c>
      <c r="F323" s="23">
        <v>3125000</v>
      </c>
      <c r="G323" s="21"/>
    </row>
    <row r="324" spans="1:7" ht="21" customHeight="1">
      <c r="A324" s="20">
        <f t="shared" si="4"/>
        <v>320</v>
      </c>
      <c r="B324" s="21">
        <v>48</v>
      </c>
      <c r="C324" s="20" t="str">
        <f>IF(B324="","",IF(COUNTIF('04_Pinjaman'!$A$5:$A$1004,B324)=0,"NO PINJAMAN TIDAK DITEMUKAN",INDEX('04_Pinjaman'!$B$5:$B$1004,MATCH(B324,'04_Pinjaman'!$A$5:$A$1004,0))))</f>
        <v>Fellix Stephen Willa</v>
      </c>
      <c r="D324" s="20" t="str">
        <f>IF(B324="","",IF(COUNTIF('04_Pinjaman'!$A$5:$A$1004,B324)=0,"NPP TIDAK DITEMUKAN",INDEX('04_Pinjaman'!$C$5:$C$1004,MATCH(B324,'04_Pinjaman'!$A$5:$A$1004,0))))</f>
        <v>KKSUK-000061</v>
      </c>
      <c r="E324" s="22">
        <v>46167</v>
      </c>
      <c r="F324" s="23">
        <v>3125000</v>
      </c>
      <c r="G324" s="21"/>
    </row>
    <row r="325" spans="1:7" ht="21" customHeight="1">
      <c r="A325" s="20">
        <f t="shared" ref="A325:A388" si="5">IF(B325="","",ROW()-4)</f>
        <v>321</v>
      </c>
      <c r="B325" s="21">
        <v>48</v>
      </c>
      <c r="C325" s="20" t="str">
        <f>IF(B325="","",IF(COUNTIF('04_Pinjaman'!$A$5:$A$1004,B325)=0,"NO PINJAMAN TIDAK DITEMUKAN",INDEX('04_Pinjaman'!$B$5:$B$1004,MATCH(B325,'04_Pinjaman'!$A$5:$A$1004,0))))</f>
        <v>Fellix Stephen Willa</v>
      </c>
      <c r="D325" s="20" t="str">
        <f>IF(B325="","",IF(COUNTIF('04_Pinjaman'!$A$5:$A$1004,B325)=0,"NPP TIDAK DITEMUKAN",INDEX('04_Pinjaman'!$C$5:$C$1004,MATCH(B325,'04_Pinjaman'!$A$5:$A$1004,0))))</f>
        <v>KKSUK-000061</v>
      </c>
      <c r="E325" s="22">
        <v>46198</v>
      </c>
      <c r="F325" s="23">
        <v>3125000</v>
      </c>
      <c r="G325" s="21"/>
    </row>
    <row r="326" spans="1:7" ht="21" customHeight="1">
      <c r="A326" s="20">
        <f t="shared" si="5"/>
        <v>322</v>
      </c>
      <c r="B326" s="21">
        <v>48</v>
      </c>
      <c r="C326" s="20" t="str">
        <f>IF(B326="","",IF(COUNTIF('04_Pinjaman'!$A$5:$A$1004,B326)=0,"NO PINJAMAN TIDAK DITEMUKAN",INDEX('04_Pinjaman'!$B$5:$B$1004,MATCH(B326,'04_Pinjaman'!$A$5:$A$1004,0))))</f>
        <v>Fellix Stephen Willa</v>
      </c>
      <c r="D326" s="20" t="str">
        <f>IF(B326="","",IF(COUNTIF('04_Pinjaman'!$A$5:$A$1004,B326)=0,"NPP TIDAK DITEMUKAN",INDEX('04_Pinjaman'!$C$5:$C$1004,MATCH(B326,'04_Pinjaman'!$A$5:$A$1004,0))))</f>
        <v>KKSUK-000061</v>
      </c>
      <c r="E326" s="22">
        <v>46227</v>
      </c>
      <c r="F326" s="23">
        <v>3125000</v>
      </c>
      <c r="G326" s="21"/>
    </row>
    <row r="327" spans="1:7" ht="21" customHeight="1">
      <c r="A327" s="20">
        <f t="shared" si="5"/>
        <v>323</v>
      </c>
      <c r="B327" s="21">
        <v>48</v>
      </c>
      <c r="C327" s="20" t="str">
        <f>IF(B327="","",IF(COUNTIF('04_Pinjaman'!$A$5:$A$1004,B327)=0,"NO PINJAMAN TIDAK DITEMUKAN",INDEX('04_Pinjaman'!$B$5:$B$1004,MATCH(B327,'04_Pinjaman'!$A$5:$A$1004,0))))</f>
        <v>Fellix Stephen Willa</v>
      </c>
      <c r="D327" s="20" t="str">
        <f>IF(B327="","",IF(COUNTIF('04_Pinjaman'!$A$5:$A$1004,B327)=0,"NPP TIDAK DITEMUKAN",INDEX('04_Pinjaman'!$C$5:$C$1004,MATCH(B327,'04_Pinjaman'!$A$5:$A$1004,0))))</f>
        <v>KKSUK-000061</v>
      </c>
      <c r="E327" s="22">
        <v>46258</v>
      </c>
      <c r="F327" s="23">
        <v>3125000</v>
      </c>
      <c r="G327" s="21"/>
    </row>
    <row r="328" spans="1:7" ht="21" customHeight="1">
      <c r="A328" s="20">
        <f t="shared" si="5"/>
        <v>324</v>
      </c>
      <c r="B328" s="21">
        <v>48</v>
      </c>
      <c r="C328" s="20" t="str">
        <f>IF(B328="","",IF(COUNTIF('04_Pinjaman'!$A$5:$A$1004,B328)=0,"NO PINJAMAN TIDAK DITEMUKAN",INDEX('04_Pinjaman'!$B$5:$B$1004,MATCH(B328,'04_Pinjaman'!$A$5:$A$1004,0))))</f>
        <v>Fellix Stephen Willa</v>
      </c>
      <c r="D328" s="20" t="str">
        <f>IF(B328="","",IF(COUNTIF('04_Pinjaman'!$A$5:$A$1004,B328)=0,"NPP TIDAK DITEMUKAN",INDEX('04_Pinjaman'!$C$5:$C$1004,MATCH(B328,'04_Pinjaman'!$A$5:$A$1004,0))))</f>
        <v>KKSUK-000061</v>
      </c>
      <c r="E328" s="22">
        <v>46261</v>
      </c>
      <c r="F328" s="23">
        <v>37500000</v>
      </c>
      <c r="G328" s="21" t="s">
        <v>800</v>
      </c>
    </row>
    <row r="329" spans="1:7" ht="21" customHeight="1">
      <c r="A329" s="20">
        <f t="shared" si="5"/>
        <v>325</v>
      </c>
      <c r="B329" s="21">
        <v>50</v>
      </c>
      <c r="C329" s="20" t="str">
        <f>IF(B329="","",IF(COUNTIF('04_Pinjaman'!$A$5:$A$1004,B329)=0,"NO PINJAMAN TIDAK DITEMUKAN",INDEX('04_Pinjaman'!$B$5:$B$1004,MATCH(B329,'04_Pinjaman'!$A$5:$A$1004,0))))</f>
        <v>Ferry Firmanto</v>
      </c>
      <c r="D329" s="20" t="str">
        <f>IF(B329="","",IF(COUNTIF('04_Pinjaman'!$A$5:$A$1004,B329)=0,"NPP TIDAK DITEMUKAN",INDEX('04_Pinjaman'!$C$5:$C$1004,MATCH(B329,'04_Pinjaman'!$A$5:$A$1004,0))))</f>
        <v>KKSUK-000055</v>
      </c>
      <c r="E329" s="22">
        <v>46045</v>
      </c>
      <c r="F329" s="23">
        <v>38231670</v>
      </c>
      <c r="G329" s="21" t="s">
        <v>800</v>
      </c>
    </row>
    <row r="330" spans="1:7" ht="21" customHeight="1">
      <c r="A330" s="20">
        <f t="shared" ref="A330:A336" si="6">IF(B330="","",ROW()-4)</f>
        <v>326</v>
      </c>
      <c r="B330" s="21">
        <v>51</v>
      </c>
      <c r="C330" s="20" t="str">
        <f>IF(B330="","",IF(COUNTIF('04_Pinjaman'!$A$5:$A$1004,B330)=0,"NO PINJAMAN TIDAK DITEMUKAN",INDEX('04_Pinjaman'!$B$5:$B$1004,MATCH(B330,'04_Pinjaman'!$A$5:$A$1004,0))))</f>
        <v>Ferry Firmanto</v>
      </c>
      <c r="D330" s="20" t="str">
        <f>IF(B330="","",IF(COUNTIF('04_Pinjaman'!$A$5:$A$1004,B330)=0,"NPP TIDAK DITEMUKAN",INDEX('04_Pinjaman'!$C$5:$C$1004,MATCH(B330,'04_Pinjaman'!$A$5:$A$1004,0))))</f>
        <v>KKSUK-000055</v>
      </c>
      <c r="E330" s="22">
        <v>46106</v>
      </c>
      <c r="F330" s="23">
        <v>2708333</v>
      </c>
      <c r="G330" s="21"/>
    </row>
    <row r="331" spans="1:7" ht="21" customHeight="1">
      <c r="A331" s="20">
        <f t="shared" si="6"/>
        <v>327</v>
      </c>
      <c r="B331" s="21">
        <v>51</v>
      </c>
      <c r="C331" s="20" t="str">
        <f>IF(B331="","",IF(COUNTIF('04_Pinjaman'!$A$5:$A$1004,B331)=0,"NO PINJAMAN TIDAK DITEMUKAN",INDEX('04_Pinjaman'!$B$5:$B$1004,MATCH(B331,'04_Pinjaman'!$A$5:$A$1004,0))))</f>
        <v>Ferry Firmanto</v>
      </c>
      <c r="D331" s="20" t="str">
        <f>IF(B331="","",IF(COUNTIF('04_Pinjaman'!$A$5:$A$1004,B331)=0,"NPP TIDAK DITEMUKAN",INDEX('04_Pinjaman'!$C$5:$C$1004,MATCH(B331,'04_Pinjaman'!$A$5:$A$1004,0))))</f>
        <v>KKSUK-000055</v>
      </c>
      <c r="E331" s="22">
        <v>46136</v>
      </c>
      <c r="F331" s="23">
        <v>2708333</v>
      </c>
      <c r="G331" s="21"/>
    </row>
    <row r="332" spans="1:7" ht="21" customHeight="1">
      <c r="A332" s="20">
        <f t="shared" si="6"/>
        <v>328</v>
      </c>
      <c r="B332" s="21">
        <v>51</v>
      </c>
      <c r="C332" s="20" t="str">
        <f>IF(B332="","",IF(COUNTIF('04_Pinjaman'!$A$5:$A$1004,B332)=0,"NO PINJAMAN TIDAK DITEMUKAN",INDEX('04_Pinjaman'!$B$5:$B$1004,MATCH(B332,'04_Pinjaman'!$A$5:$A$1004,0))))</f>
        <v>Ferry Firmanto</v>
      </c>
      <c r="D332" s="20" t="str">
        <f>IF(B332="","",IF(COUNTIF('04_Pinjaman'!$A$5:$A$1004,B332)=0,"NPP TIDAK DITEMUKAN",INDEX('04_Pinjaman'!$C$5:$C$1004,MATCH(B332,'04_Pinjaman'!$A$5:$A$1004,0))))</f>
        <v>KKSUK-000055</v>
      </c>
      <c r="E332" s="22">
        <v>46167</v>
      </c>
      <c r="F332" s="23">
        <v>2708333</v>
      </c>
      <c r="G332" s="21"/>
    </row>
    <row r="333" spans="1:7" ht="21" customHeight="1">
      <c r="A333" s="20">
        <f t="shared" si="6"/>
        <v>329</v>
      </c>
      <c r="B333" s="21">
        <v>51</v>
      </c>
      <c r="C333" s="20" t="str">
        <f>IF(B333="","",IF(COUNTIF('04_Pinjaman'!$A$5:$A$1004,B333)=0,"NO PINJAMAN TIDAK DITEMUKAN",INDEX('04_Pinjaman'!$B$5:$B$1004,MATCH(B333,'04_Pinjaman'!$A$5:$A$1004,0))))</f>
        <v>Ferry Firmanto</v>
      </c>
      <c r="D333" s="20" t="str">
        <f>IF(B333="","",IF(COUNTIF('04_Pinjaman'!$A$5:$A$1004,B333)=0,"NPP TIDAK DITEMUKAN",INDEX('04_Pinjaman'!$C$5:$C$1004,MATCH(B333,'04_Pinjaman'!$A$5:$A$1004,0))))</f>
        <v>KKSUK-000055</v>
      </c>
      <c r="E333" s="22">
        <v>46198</v>
      </c>
      <c r="F333" s="23">
        <v>2708333</v>
      </c>
      <c r="G333" s="21"/>
    </row>
    <row r="334" spans="1:7" ht="21" customHeight="1">
      <c r="A334" s="20">
        <f t="shared" si="6"/>
        <v>330</v>
      </c>
      <c r="B334" s="21">
        <v>51</v>
      </c>
      <c r="C334" s="20" t="str">
        <f>IF(B334="","",IF(COUNTIF('04_Pinjaman'!$A$5:$A$1004,B334)=0,"NO PINJAMAN TIDAK DITEMUKAN",INDEX('04_Pinjaman'!$B$5:$B$1004,MATCH(B334,'04_Pinjaman'!$A$5:$A$1004,0))))</f>
        <v>Ferry Firmanto</v>
      </c>
      <c r="D334" s="20" t="str">
        <f>IF(B334="","",IF(COUNTIF('04_Pinjaman'!$A$5:$A$1004,B334)=0,"NPP TIDAK DITEMUKAN",INDEX('04_Pinjaman'!$C$5:$C$1004,MATCH(B334,'04_Pinjaman'!$A$5:$A$1004,0))))</f>
        <v>KKSUK-000055</v>
      </c>
      <c r="E334" s="22">
        <v>46227</v>
      </c>
      <c r="F334" s="23">
        <v>2708333</v>
      </c>
      <c r="G334" s="21"/>
    </row>
    <row r="335" spans="1:7" ht="21" customHeight="1">
      <c r="A335" s="20">
        <f t="shared" si="6"/>
        <v>331</v>
      </c>
      <c r="B335" s="21">
        <v>51</v>
      </c>
      <c r="C335" s="20" t="str">
        <f>IF(B335="","",IF(COUNTIF('04_Pinjaman'!$A$5:$A$1004,B335)=0,"NO PINJAMAN TIDAK DITEMUKAN",INDEX('04_Pinjaman'!$B$5:$B$1004,MATCH(B335,'04_Pinjaman'!$A$5:$A$1004,0))))</f>
        <v>Ferry Firmanto</v>
      </c>
      <c r="D335" s="20" t="str">
        <f>IF(B335="","",IF(COUNTIF('04_Pinjaman'!$A$5:$A$1004,B335)=0,"NPP TIDAK DITEMUKAN",INDEX('04_Pinjaman'!$C$5:$C$1004,MATCH(B335,'04_Pinjaman'!$A$5:$A$1004,0))))</f>
        <v>KKSUK-000055</v>
      </c>
      <c r="E335" s="22">
        <v>46258</v>
      </c>
      <c r="F335" s="23">
        <v>2708333</v>
      </c>
      <c r="G335" s="21"/>
    </row>
    <row r="336" spans="1:7" ht="21" customHeight="1">
      <c r="A336" s="20">
        <f t="shared" si="6"/>
        <v>332</v>
      </c>
      <c r="B336" s="21">
        <v>53</v>
      </c>
      <c r="C336" s="20" t="str">
        <f>IF(B336="","",IF(COUNTIF('04_Pinjaman'!$A$5:$A$1004,B336)=0,"NO PINJAMAN TIDAK DITEMUKAN",INDEX('04_Pinjaman'!$B$5:$B$1004,MATCH(B336,'04_Pinjaman'!$A$5:$A$1004,0))))</f>
        <v>Fitriya Hariyani</v>
      </c>
      <c r="D336" s="20" t="str">
        <f>IF(B336="","",IF(COUNTIF('04_Pinjaman'!$A$5:$A$1004,B336)=0,"NPP TIDAK DITEMUKAN",INDEX('04_Pinjaman'!$C$5:$C$1004,MATCH(B336,'04_Pinjaman'!$A$5:$A$1004,0))))</f>
        <v>KKSUK-000174</v>
      </c>
      <c r="E336" s="22">
        <v>45973</v>
      </c>
      <c r="F336" s="23">
        <v>1866666</v>
      </c>
      <c r="G336" s="21"/>
    </row>
    <row r="337" spans="1:7" ht="21" customHeight="1">
      <c r="A337" s="20">
        <f t="shared" si="5"/>
        <v>333</v>
      </c>
      <c r="B337" s="21">
        <v>53</v>
      </c>
      <c r="C337" s="20" t="str">
        <f>IF(B337="","",IF(COUNTIF('04_Pinjaman'!$A$5:$A$1004,B337)=0,"NO PINJAMAN TIDAK DITEMUKAN",INDEX('04_Pinjaman'!$B$5:$B$1004,MATCH(B337,'04_Pinjaman'!$A$5:$A$1004,0))))</f>
        <v>Fitriya Hariyani</v>
      </c>
      <c r="D337" s="20" t="str">
        <f>IF(B337="","",IF(COUNTIF('04_Pinjaman'!$A$5:$A$1004,B337)=0,"NPP TIDAK DITEMUKAN",INDEX('04_Pinjaman'!$C$5:$C$1004,MATCH(B337,'04_Pinjaman'!$A$5:$A$1004,0))))</f>
        <v>KKSUK-000174</v>
      </c>
      <c r="E337" s="22">
        <v>46003</v>
      </c>
      <c r="F337" s="23">
        <v>1867000</v>
      </c>
      <c r="G337" s="21"/>
    </row>
    <row r="338" spans="1:7" ht="21" customHeight="1">
      <c r="A338" s="20">
        <f t="shared" si="5"/>
        <v>334</v>
      </c>
      <c r="B338" s="21">
        <v>53</v>
      </c>
      <c r="C338" s="20" t="str">
        <f>IF(B338="","",IF(COUNTIF('04_Pinjaman'!$A$5:$A$1004,B338)=0,"NO PINJAMAN TIDAK DITEMUKAN",INDEX('04_Pinjaman'!$B$5:$B$1004,MATCH(B338,'04_Pinjaman'!$A$5:$A$1004,0))))</f>
        <v>Fitriya Hariyani</v>
      </c>
      <c r="D338" s="20" t="str">
        <f>IF(B338="","",IF(COUNTIF('04_Pinjaman'!$A$5:$A$1004,B338)=0,"NPP TIDAK DITEMUKAN",INDEX('04_Pinjaman'!$C$5:$C$1004,MATCH(B338,'04_Pinjaman'!$A$5:$A$1004,0))))</f>
        <v>KKSUK-000174</v>
      </c>
      <c r="E338" s="22">
        <v>46035</v>
      </c>
      <c r="F338" s="23">
        <v>1866666</v>
      </c>
      <c r="G338" s="21"/>
    </row>
    <row r="339" spans="1:7" ht="21" customHeight="1">
      <c r="A339" s="20">
        <f t="shared" si="5"/>
        <v>335</v>
      </c>
      <c r="B339" s="21">
        <v>53</v>
      </c>
      <c r="C339" s="20" t="str">
        <f>IF(B339="","",IF(COUNTIF('04_Pinjaman'!$A$5:$A$1004,B339)=0,"NO PINJAMAN TIDAK DITEMUKAN",INDEX('04_Pinjaman'!$B$5:$B$1004,MATCH(B339,'04_Pinjaman'!$A$5:$A$1004,0))))</f>
        <v>Fitriya Hariyani</v>
      </c>
      <c r="D339" s="20" t="str">
        <f>IF(B339="","",IF(COUNTIF('04_Pinjaman'!$A$5:$A$1004,B339)=0,"NPP TIDAK DITEMUKAN",INDEX('04_Pinjaman'!$C$5:$C$1004,MATCH(B339,'04_Pinjaman'!$A$5:$A$1004,0))))</f>
        <v>KKSUK-000174</v>
      </c>
      <c r="E339" s="22">
        <v>46064</v>
      </c>
      <c r="F339" s="23">
        <v>1867000</v>
      </c>
      <c r="G339" s="21"/>
    </row>
    <row r="340" spans="1:7" ht="21" customHeight="1">
      <c r="A340" s="20">
        <f t="shared" si="5"/>
        <v>336</v>
      </c>
      <c r="B340" s="21">
        <v>53</v>
      </c>
      <c r="C340" s="20" t="str">
        <f>IF(B340="","",IF(COUNTIF('04_Pinjaman'!$A$5:$A$1004,B340)=0,"NO PINJAMAN TIDAK DITEMUKAN",INDEX('04_Pinjaman'!$B$5:$B$1004,MATCH(B340,'04_Pinjaman'!$A$5:$A$1004,0))))</f>
        <v>Fitriya Hariyani</v>
      </c>
      <c r="D340" s="20" t="str">
        <f>IF(B340="","",IF(COUNTIF('04_Pinjaman'!$A$5:$A$1004,B340)=0,"NPP TIDAK DITEMUKAN",INDEX('04_Pinjaman'!$C$5:$C$1004,MATCH(B340,'04_Pinjaman'!$A$5:$A$1004,0))))</f>
        <v>KKSUK-000174</v>
      </c>
      <c r="E340" s="22">
        <v>46093</v>
      </c>
      <c r="F340" s="23">
        <v>1867000</v>
      </c>
      <c r="G340" s="21"/>
    </row>
    <row r="341" spans="1:7" ht="21" customHeight="1">
      <c r="A341" s="20">
        <f t="shared" si="5"/>
        <v>337</v>
      </c>
      <c r="B341" s="21">
        <v>53</v>
      </c>
      <c r="C341" s="20" t="str">
        <f>IF(B341="","",IF(COUNTIF('04_Pinjaman'!$A$5:$A$1004,B341)=0,"NO PINJAMAN TIDAK DITEMUKAN",INDEX('04_Pinjaman'!$B$5:$B$1004,MATCH(B341,'04_Pinjaman'!$A$5:$A$1004,0))))</f>
        <v>Fitriya Hariyani</v>
      </c>
      <c r="D341" s="20" t="str">
        <f>IF(B341="","",IF(COUNTIF('04_Pinjaman'!$A$5:$A$1004,B341)=0,"NPP TIDAK DITEMUKAN",INDEX('04_Pinjaman'!$C$5:$C$1004,MATCH(B341,'04_Pinjaman'!$A$5:$A$1004,0))))</f>
        <v>KKSUK-000174</v>
      </c>
      <c r="E341" s="22">
        <v>46126</v>
      </c>
      <c r="F341" s="23">
        <v>1867000</v>
      </c>
      <c r="G341" s="21"/>
    </row>
    <row r="342" spans="1:7" ht="21" customHeight="1">
      <c r="A342" s="20">
        <f t="shared" si="5"/>
        <v>338</v>
      </c>
      <c r="B342" s="21">
        <v>53</v>
      </c>
      <c r="C342" s="20" t="str">
        <f>IF(B342="","",IF(COUNTIF('04_Pinjaman'!$A$5:$A$1004,B342)=0,"NO PINJAMAN TIDAK DITEMUKAN",INDEX('04_Pinjaman'!$B$5:$B$1004,MATCH(B342,'04_Pinjaman'!$A$5:$A$1004,0))))</f>
        <v>Fitriya Hariyani</v>
      </c>
      <c r="D342" s="20" t="str">
        <f>IF(B342="","",IF(COUNTIF('04_Pinjaman'!$A$5:$A$1004,B342)=0,"NPP TIDAK DITEMUKAN",INDEX('04_Pinjaman'!$C$5:$C$1004,MATCH(B342,'04_Pinjaman'!$A$5:$A$1004,0))))</f>
        <v>KKSUK-000174</v>
      </c>
      <c r="E342" s="22">
        <v>46155</v>
      </c>
      <c r="F342" s="23">
        <v>1867000</v>
      </c>
      <c r="G342" s="21"/>
    </row>
    <row r="343" spans="1:7" ht="21" customHeight="1">
      <c r="A343" s="20">
        <f t="shared" si="5"/>
        <v>339</v>
      </c>
      <c r="B343" s="21">
        <v>53</v>
      </c>
      <c r="C343" s="20" t="str">
        <f>IF(B343="","",IF(COUNTIF('04_Pinjaman'!$A$5:$A$1004,B343)=0,"NO PINJAMAN TIDAK DITEMUKAN",INDEX('04_Pinjaman'!$B$5:$B$1004,MATCH(B343,'04_Pinjaman'!$A$5:$A$1004,0))))</f>
        <v>Fitriya Hariyani</v>
      </c>
      <c r="D343" s="20" t="str">
        <f>IF(B343="","",IF(COUNTIF('04_Pinjaman'!$A$5:$A$1004,B343)=0,"NPP TIDAK DITEMUKAN",INDEX('04_Pinjaman'!$C$5:$C$1004,MATCH(B343,'04_Pinjaman'!$A$5:$A$1004,0))))</f>
        <v>KKSUK-000174</v>
      </c>
      <c r="E343" s="22">
        <v>46201</v>
      </c>
      <c r="F343" s="23">
        <v>1867000</v>
      </c>
      <c r="G343" s="21"/>
    </row>
    <row r="344" spans="1:7" ht="21" customHeight="1">
      <c r="A344" s="20">
        <f t="shared" si="5"/>
        <v>340</v>
      </c>
      <c r="B344" s="21">
        <v>53</v>
      </c>
      <c r="C344" s="20" t="str">
        <f>IF(B344="","",IF(COUNTIF('04_Pinjaman'!$A$5:$A$1004,B344)=0,"NO PINJAMAN TIDAK DITEMUKAN",INDEX('04_Pinjaman'!$B$5:$B$1004,MATCH(B344,'04_Pinjaman'!$A$5:$A$1004,0))))</f>
        <v>Fitriya Hariyani</v>
      </c>
      <c r="D344" s="20" t="str">
        <f>IF(B344="","",IF(COUNTIF('04_Pinjaman'!$A$5:$A$1004,B344)=0,"NPP TIDAK DITEMUKAN",INDEX('04_Pinjaman'!$C$5:$C$1004,MATCH(B344,'04_Pinjaman'!$A$5:$A$1004,0))))</f>
        <v>KKSUK-000174</v>
      </c>
      <c r="E344" s="22">
        <v>46218</v>
      </c>
      <c r="F344" s="23">
        <v>1867000</v>
      </c>
      <c r="G344" s="21"/>
    </row>
    <row r="345" spans="1:7" ht="21" customHeight="1">
      <c r="A345" s="20">
        <f t="shared" si="5"/>
        <v>341</v>
      </c>
      <c r="B345" s="21">
        <v>53</v>
      </c>
      <c r="C345" s="20" t="str">
        <f>IF(B345="","",IF(COUNTIF('04_Pinjaman'!$A$5:$A$1004,B345)=0,"NO PINJAMAN TIDAK DITEMUKAN",INDEX('04_Pinjaman'!$B$5:$B$1004,MATCH(B345,'04_Pinjaman'!$A$5:$A$1004,0))))</f>
        <v>Fitriya Hariyani</v>
      </c>
      <c r="D345" s="20" t="str">
        <f>IF(B345="","",IF(COUNTIF('04_Pinjaman'!$A$5:$A$1004,B345)=0,"NPP TIDAK DITEMUKAN",INDEX('04_Pinjaman'!$C$5:$C$1004,MATCH(B345,'04_Pinjaman'!$A$5:$A$1004,0))))</f>
        <v>KKSUK-000174</v>
      </c>
      <c r="E345" s="22">
        <v>46246</v>
      </c>
      <c r="F345" s="23">
        <v>1867000</v>
      </c>
      <c r="G345" s="21"/>
    </row>
    <row r="346" spans="1:7" ht="21" customHeight="1">
      <c r="A346" s="20">
        <f t="shared" si="5"/>
        <v>342</v>
      </c>
      <c r="B346" s="21">
        <v>53</v>
      </c>
      <c r="C346" s="20" t="str">
        <f>IF(B346="","",IF(COUNTIF('04_Pinjaman'!$A$5:$A$1004,B346)=0,"NO PINJAMAN TIDAK DITEMUKAN",INDEX('04_Pinjaman'!$B$5:$B$1004,MATCH(B346,'04_Pinjaman'!$A$5:$A$1004,0))))</f>
        <v>Fitriya Hariyani</v>
      </c>
      <c r="D346" s="20" t="str">
        <f>IF(B346="","",IF(COUNTIF('04_Pinjaman'!$A$5:$A$1004,B346)=0,"NPP TIDAK DITEMUKAN",INDEX('04_Pinjaman'!$C$5:$C$1004,MATCH(B346,'04_Pinjaman'!$A$5:$A$1004,0))))</f>
        <v>KKSUK-000174</v>
      </c>
      <c r="E346" s="22">
        <v>46258</v>
      </c>
      <c r="F346" s="23">
        <v>3730668</v>
      </c>
      <c r="G346" s="21" t="s">
        <v>800</v>
      </c>
    </row>
    <row r="347" spans="1:7" ht="21" customHeight="1">
      <c r="A347" s="20">
        <f t="shared" si="5"/>
        <v>343</v>
      </c>
      <c r="B347" s="21">
        <v>55</v>
      </c>
      <c r="C347" s="20" t="str">
        <f>IF(B347="","",IF(COUNTIF('04_Pinjaman'!$A$5:$A$1004,B347)=0,"NO PINJAMAN TIDAK DITEMUKAN",INDEX('04_Pinjaman'!$B$5:$B$1004,MATCH(B347,'04_Pinjaman'!$A$5:$A$1004,0))))</f>
        <v>Gede Suparta</v>
      </c>
      <c r="D347" s="20" t="str">
        <f>IF(B347="","",IF(COUNTIF('04_Pinjaman'!$A$5:$A$1004,B347)=0,"NPP TIDAK DITEMUKAN",INDEX('04_Pinjaman'!$C$5:$C$1004,MATCH(B347,'04_Pinjaman'!$A$5:$A$1004,0))))</f>
        <v>KKSUK-000104</v>
      </c>
      <c r="E347" s="22">
        <v>45802</v>
      </c>
      <c r="F347" s="23">
        <v>600000</v>
      </c>
      <c r="G347" s="21"/>
    </row>
    <row r="348" spans="1:7" ht="21" customHeight="1">
      <c r="A348" s="20">
        <f t="shared" si="5"/>
        <v>344</v>
      </c>
      <c r="B348" s="21">
        <v>55</v>
      </c>
      <c r="C348" s="20" t="str">
        <f>IF(B348="","",IF(COUNTIF('04_Pinjaman'!$A$5:$A$1004,B348)=0,"NO PINJAMAN TIDAK DITEMUKAN",INDEX('04_Pinjaman'!$B$5:$B$1004,MATCH(B348,'04_Pinjaman'!$A$5:$A$1004,0))))</f>
        <v>Gede Suparta</v>
      </c>
      <c r="D348" s="20" t="str">
        <f>IF(B348="","",IF(COUNTIF('04_Pinjaman'!$A$5:$A$1004,B348)=0,"NPP TIDAK DITEMUKAN",INDEX('04_Pinjaman'!$C$5:$C$1004,MATCH(B348,'04_Pinjaman'!$A$5:$A$1004,0))))</f>
        <v>KKSUK-000104</v>
      </c>
      <c r="E348" s="22">
        <v>45833</v>
      </c>
      <c r="F348" s="23">
        <v>600000</v>
      </c>
      <c r="G348" s="21"/>
    </row>
    <row r="349" spans="1:7" ht="21" customHeight="1">
      <c r="A349" s="20">
        <f t="shared" si="5"/>
        <v>345</v>
      </c>
      <c r="B349" s="21">
        <v>55</v>
      </c>
      <c r="C349" s="20" t="str">
        <f>IF(B349="","",IF(COUNTIF('04_Pinjaman'!$A$5:$A$1004,B349)=0,"NO PINJAMAN TIDAK DITEMUKAN",INDEX('04_Pinjaman'!$B$5:$B$1004,MATCH(B349,'04_Pinjaman'!$A$5:$A$1004,0))))</f>
        <v>Gede Suparta</v>
      </c>
      <c r="D349" s="20" t="str">
        <f>IF(B349="","",IF(COUNTIF('04_Pinjaman'!$A$5:$A$1004,B349)=0,"NPP TIDAK DITEMUKAN",INDEX('04_Pinjaman'!$C$5:$C$1004,MATCH(B349,'04_Pinjaman'!$A$5:$A$1004,0))))</f>
        <v>KKSUK-000104</v>
      </c>
      <c r="E349" s="22">
        <v>45863</v>
      </c>
      <c r="F349" s="23">
        <v>600000</v>
      </c>
      <c r="G349" s="21"/>
    </row>
    <row r="350" spans="1:7" ht="21" customHeight="1">
      <c r="A350" s="20">
        <f t="shared" si="5"/>
        <v>346</v>
      </c>
      <c r="B350" s="21">
        <v>55</v>
      </c>
      <c r="C350" s="20" t="str">
        <f>IF(B350="","",IF(COUNTIF('04_Pinjaman'!$A$5:$A$1004,B350)=0,"NO PINJAMAN TIDAK DITEMUKAN",INDEX('04_Pinjaman'!$B$5:$B$1004,MATCH(B350,'04_Pinjaman'!$A$5:$A$1004,0))))</f>
        <v>Gede Suparta</v>
      </c>
      <c r="D350" s="20" t="str">
        <f>IF(B350="","",IF(COUNTIF('04_Pinjaman'!$A$5:$A$1004,B350)=0,"NPP TIDAK DITEMUKAN",INDEX('04_Pinjaman'!$C$5:$C$1004,MATCH(B350,'04_Pinjaman'!$A$5:$A$1004,0))))</f>
        <v>KKSUK-000104</v>
      </c>
      <c r="E350" s="22">
        <v>45894</v>
      </c>
      <c r="F350" s="23">
        <v>600000</v>
      </c>
      <c r="G350" s="21"/>
    </row>
    <row r="351" spans="1:7" ht="21" customHeight="1">
      <c r="A351" s="20">
        <f t="shared" si="5"/>
        <v>347</v>
      </c>
      <c r="B351" s="21">
        <v>55</v>
      </c>
      <c r="C351" s="20" t="str">
        <f>IF(B351="","",IF(COUNTIF('04_Pinjaman'!$A$5:$A$1004,B351)=0,"NO PINJAMAN TIDAK DITEMUKAN",INDEX('04_Pinjaman'!$B$5:$B$1004,MATCH(B351,'04_Pinjaman'!$A$5:$A$1004,0))))</f>
        <v>Gede Suparta</v>
      </c>
      <c r="D351" s="20" t="str">
        <f>IF(B351="","",IF(COUNTIF('04_Pinjaman'!$A$5:$A$1004,B351)=0,"NPP TIDAK DITEMUKAN",INDEX('04_Pinjaman'!$C$5:$C$1004,MATCH(B351,'04_Pinjaman'!$A$5:$A$1004,0))))</f>
        <v>KKSUK-000104</v>
      </c>
      <c r="E351" s="22">
        <v>45925</v>
      </c>
      <c r="F351" s="23">
        <v>600000</v>
      </c>
      <c r="G351" s="21"/>
    </row>
    <row r="352" spans="1:7" ht="21" customHeight="1">
      <c r="A352" s="20">
        <f t="shared" si="5"/>
        <v>348</v>
      </c>
      <c r="B352" s="21">
        <v>55</v>
      </c>
      <c r="C352" s="20" t="str">
        <f>IF(B352="","",IF(COUNTIF('04_Pinjaman'!$A$5:$A$1004,B352)=0,"NO PINJAMAN TIDAK DITEMUKAN",INDEX('04_Pinjaman'!$B$5:$B$1004,MATCH(B352,'04_Pinjaman'!$A$5:$A$1004,0))))</f>
        <v>Gede Suparta</v>
      </c>
      <c r="D352" s="20" t="str">
        <f>IF(B352="","",IF(COUNTIF('04_Pinjaman'!$A$5:$A$1004,B352)=0,"NPP TIDAK DITEMUKAN",INDEX('04_Pinjaman'!$C$5:$C$1004,MATCH(B352,'04_Pinjaman'!$A$5:$A$1004,0))))</f>
        <v>KKSUK-000104</v>
      </c>
      <c r="E352" s="22">
        <v>45954</v>
      </c>
      <c r="F352" s="23">
        <v>600000</v>
      </c>
      <c r="G352" s="21"/>
    </row>
    <row r="353" spans="1:7" ht="21" customHeight="1">
      <c r="A353" s="20">
        <f t="shared" si="5"/>
        <v>349</v>
      </c>
      <c r="B353" s="21">
        <v>55</v>
      </c>
      <c r="C353" s="20" t="str">
        <f>IF(B353="","",IF(COUNTIF('04_Pinjaman'!$A$5:$A$1004,B353)=0,"NO PINJAMAN TIDAK DITEMUKAN",INDEX('04_Pinjaman'!$B$5:$B$1004,MATCH(B353,'04_Pinjaman'!$A$5:$A$1004,0))))</f>
        <v>Gede Suparta</v>
      </c>
      <c r="D353" s="20" t="str">
        <f>IF(B353="","",IF(COUNTIF('04_Pinjaman'!$A$5:$A$1004,B353)=0,"NPP TIDAK DITEMUKAN",INDEX('04_Pinjaman'!$C$5:$C$1004,MATCH(B353,'04_Pinjaman'!$A$5:$A$1004,0))))</f>
        <v>KKSUK-000104</v>
      </c>
      <c r="E353" s="22">
        <v>45986</v>
      </c>
      <c r="F353" s="23">
        <v>600000</v>
      </c>
      <c r="G353" s="21"/>
    </row>
    <row r="354" spans="1:7" ht="21" customHeight="1">
      <c r="A354" s="20">
        <f t="shared" si="5"/>
        <v>350</v>
      </c>
      <c r="B354" s="21">
        <v>55</v>
      </c>
      <c r="C354" s="20" t="str">
        <f>IF(B354="","",IF(COUNTIF('04_Pinjaman'!$A$5:$A$1004,B354)=0,"NO PINJAMAN TIDAK DITEMUKAN",INDEX('04_Pinjaman'!$B$5:$B$1004,MATCH(B354,'04_Pinjaman'!$A$5:$A$1004,0))))</f>
        <v>Gede Suparta</v>
      </c>
      <c r="D354" s="20" t="str">
        <f>IF(B354="","",IF(COUNTIF('04_Pinjaman'!$A$5:$A$1004,B354)=0,"NPP TIDAK DITEMUKAN",INDEX('04_Pinjaman'!$C$5:$C$1004,MATCH(B354,'04_Pinjaman'!$A$5:$A$1004,0))))</f>
        <v>KKSUK-000104</v>
      </c>
      <c r="E354" s="22">
        <v>46010</v>
      </c>
      <c r="F354" s="23">
        <v>600000</v>
      </c>
      <c r="G354" s="21"/>
    </row>
    <row r="355" spans="1:7" ht="21" customHeight="1">
      <c r="A355" s="20">
        <f t="shared" si="5"/>
        <v>351</v>
      </c>
      <c r="B355" s="21">
        <v>55</v>
      </c>
      <c r="C355" s="20" t="str">
        <f>IF(B355="","",IF(COUNTIF('04_Pinjaman'!$A$5:$A$1004,B355)=0,"NO PINJAMAN TIDAK DITEMUKAN",INDEX('04_Pinjaman'!$B$5:$B$1004,MATCH(B355,'04_Pinjaman'!$A$5:$A$1004,0))))</f>
        <v>Gede Suparta</v>
      </c>
      <c r="D355" s="20" t="str">
        <f>IF(B355="","",IF(COUNTIF('04_Pinjaman'!$A$5:$A$1004,B355)=0,"NPP TIDAK DITEMUKAN",INDEX('04_Pinjaman'!$C$5:$C$1004,MATCH(B355,'04_Pinjaman'!$A$5:$A$1004,0))))</f>
        <v>KKSUK-000104</v>
      </c>
      <c r="E355" s="22">
        <v>46045</v>
      </c>
      <c r="F355" s="23">
        <v>600000</v>
      </c>
      <c r="G355" s="21"/>
    </row>
    <row r="356" spans="1:7" ht="21" customHeight="1">
      <c r="A356" s="20">
        <f t="shared" si="5"/>
        <v>352</v>
      </c>
      <c r="B356" s="21">
        <v>55</v>
      </c>
      <c r="C356" s="20" t="str">
        <f>IF(B356="","",IF(COUNTIF('04_Pinjaman'!$A$5:$A$1004,B356)=0,"NO PINJAMAN TIDAK DITEMUKAN",INDEX('04_Pinjaman'!$B$5:$B$1004,MATCH(B356,'04_Pinjaman'!$A$5:$A$1004,0))))</f>
        <v>Gede Suparta</v>
      </c>
      <c r="D356" s="20" t="str">
        <f>IF(B356="","",IF(COUNTIF('04_Pinjaman'!$A$5:$A$1004,B356)=0,"NPP TIDAK DITEMUKAN",INDEX('04_Pinjaman'!$C$5:$C$1004,MATCH(B356,'04_Pinjaman'!$A$5:$A$1004,0))))</f>
        <v>KKSUK-000104</v>
      </c>
      <c r="E356" s="22">
        <v>46078</v>
      </c>
      <c r="F356" s="23">
        <v>600000</v>
      </c>
      <c r="G356" s="21"/>
    </row>
    <row r="357" spans="1:7" ht="21" customHeight="1">
      <c r="A357" s="20">
        <f t="shared" si="5"/>
        <v>353</v>
      </c>
      <c r="B357" s="21">
        <v>55</v>
      </c>
      <c r="C357" s="20" t="str">
        <f>IF(B357="","",IF(COUNTIF('04_Pinjaman'!$A$5:$A$1004,B357)=0,"NO PINJAMAN TIDAK DITEMUKAN",INDEX('04_Pinjaman'!$B$5:$B$1004,MATCH(B357,'04_Pinjaman'!$A$5:$A$1004,0))))</f>
        <v>Gede Suparta</v>
      </c>
      <c r="D357" s="20" t="str">
        <f>IF(B357="","",IF(COUNTIF('04_Pinjaman'!$A$5:$A$1004,B357)=0,"NPP TIDAK DITEMUKAN",INDEX('04_Pinjaman'!$C$5:$C$1004,MATCH(B357,'04_Pinjaman'!$A$5:$A$1004,0))))</f>
        <v>KKSUK-000104</v>
      </c>
      <c r="E357" s="22">
        <v>46106</v>
      </c>
      <c r="F357" s="23">
        <v>600000</v>
      </c>
      <c r="G357" s="21"/>
    </row>
    <row r="358" spans="1:7" ht="21" customHeight="1">
      <c r="A358" s="20">
        <f t="shared" si="5"/>
        <v>354</v>
      </c>
      <c r="B358" s="21">
        <v>55</v>
      </c>
      <c r="C358" s="20" t="str">
        <f>IF(B358="","",IF(COUNTIF('04_Pinjaman'!$A$5:$A$1004,B358)=0,"NO PINJAMAN TIDAK DITEMUKAN",INDEX('04_Pinjaman'!$B$5:$B$1004,MATCH(B358,'04_Pinjaman'!$A$5:$A$1004,0))))</f>
        <v>Gede Suparta</v>
      </c>
      <c r="D358" s="20" t="str">
        <f>IF(B358="","",IF(COUNTIF('04_Pinjaman'!$A$5:$A$1004,B358)=0,"NPP TIDAK DITEMUKAN",INDEX('04_Pinjaman'!$C$5:$C$1004,MATCH(B358,'04_Pinjaman'!$A$5:$A$1004,0))))</f>
        <v>KKSUK-000104</v>
      </c>
      <c r="E358" s="22">
        <v>46136</v>
      </c>
      <c r="F358" s="23">
        <v>600000</v>
      </c>
      <c r="G358" s="21"/>
    </row>
    <row r="359" spans="1:7" ht="21" customHeight="1">
      <c r="A359" s="20">
        <f t="shared" si="5"/>
        <v>355</v>
      </c>
      <c r="B359" s="21">
        <v>55</v>
      </c>
      <c r="C359" s="20" t="str">
        <f>IF(B359="","",IF(COUNTIF('04_Pinjaman'!$A$5:$A$1004,B359)=0,"NO PINJAMAN TIDAK DITEMUKAN",INDEX('04_Pinjaman'!$B$5:$B$1004,MATCH(B359,'04_Pinjaman'!$A$5:$A$1004,0))))</f>
        <v>Gede Suparta</v>
      </c>
      <c r="D359" s="20" t="str">
        <f>IF(B359="","",IF(COUNTIF('04_Pinjaman'!$A$5:$A$1004,B359)=0,"NPP TIDAK DITEMUKAN",INDEX('04_Pinjaman'!$C$5:$C$1004,MATCH(B359,'04_Pinjaman'!$A$5:$A$1004,0))))</f>
        <v>KKSUK-000104</v>
      </c>
      <c r="E359" s="22">
        <v>46167</v>
      </c>
      <c r="F359" s="23">
        <v>600000</v>
      </c>
      <c r="G359" s="21"/>
    </row>
    <row r="360" spans="1:7" ht="21" customHeight="1">
      <c r="A360" s="20">
        <f t="shared" si="5"/>
        <v>356</v>
      </c>
      <c r="B360" s="21">
        <v>55</v>
      </c>
      <c r="C360" s="20" t="str">
        <f>IF(B360="","",IF(COUNTIF('04_Pinjaman'!$A$5:$A$1004,B360)=0,"NO PINJAMAN TIDAK DITEMUKAN",INDEX('04_Pinjaman'!$B$5:$B$1004,MATCH(B360,'04_Pinjaman'!$A$5:$A$1004,0))))</f>
        <v>Gede Suparta</v>
      </c>
      <c r="D360" s="20" t="str">
        <f>IF(B360="","",IF(COUNTIF('04_Pinjaman'!$A$5:$A$1004,B360)=0,"NPP TIDAK DITEMUKAN",INDEX('04_Pinjaman'!$C$5:$C$1004,MATCH(B360,'04_Pinjaman'!$A$5:$A$1004,0))))</f>
        <v>KKSUK-000104</v>
      </c>
      <c r="E360" s="22">
        <v>46198</v>
      </c>
      <c r="F360" s="23">
        <v>600000</v>
      </c>
      <c r="G360" s="21"/>
    </row>
    <row r="361" spans="1:7" ht="21" customHeight="1">
      <c r="A361" s="20">
        <f t="shared" si="5"/>
        <v>357</v>
      </c>
      <c r="B361" s="21">
        <v>55</v>
      </c>
      <c r="C361" s="20" t="str">
        <f>IF(B361="","",IF(COUNTIF('04_Pinjaman'!$A$5:$A$1004,B361)=0,"NO PINJAMAN TIDAK DITEMUKAN",INDEX('04_Pinjaman'!$B$5:$B$1004,MATCH(B361,'04_Pinjaman'!$A$5:$A$1004,0))))</f>
        <v>Gede Suparta</v>
      </c>
      <c r="D361" s="20" t="str">
        <f>IF(B361="","",IF(COUNTIF('04_Pinjaman'!$A$5:$A$1004,B361)=0,"NPP TIDAK DITEMUKAN",INDEX('04_Pinjaman'!$C$5:$C$1004,MATCH(B361,'04_Pinjaman'!$A$5:$A$1004,0))))</f>
        <v>KKSUK-000104</v>
      </c>
      <c r="E361" s="22">
        <v>46227</v>
      </c>
      <c r="F361" s="23">
        <v>600000</v>
      </c>
      <c r="G361" s="21"/>
    </row>
    <row r="362" spans="1:7" ht="21" customHeight="1">
      <c r="A362" s="20">
        <f t="shared" si="5"/>
        <v>358</v>
      </c>
      <c r="B362" s="21">
        <v>55</v>
      </c>
      <c r="C362" s="20" t="str">
        <f>IF(B362="","",IF(COUNTIF('04_Pinjaman'!$A$5:$A$1004,B362)=0,"NO PINJAMAN TIDAK DITEMUKAN",INDEX('04_Pinjaman'!$B$5:$B$1004,MATCH(B362,'04_Pinjaman'!$A$5:$A$1004,0))))</f>
        <v>Gede Suparta</v>
      </c>
      <c r="D362" s="20" t="str">
        <f>IF(B362="","",IF(COUNTIF('04_Pinjaman'!$A$5:$A$1004,B362)=0,"NPP TIDAK DITEMUKAN",INDEX('04_Pinjaman'!$C$5:$C$1004,MATCH(B362,'04_Pinjaman'!$A$5:$A$1004,0))))</f>
        <v>KKSUK-000104</v>
      </c>
      <c r="E362" s="22">
        <v>46258</v>
      </c>
      <c r="F362" s="23">
        <v>600000</v>
      </c>
      <c r="G362" s="21"/>
    </row>
    <row r="363" spans="1:7" ht="21" customHeight="1">
      <c r="A363" s="20">
        <f t="shared" si="5"/>
        <v>359</v>
      </c>
      <c r="B363" s="21">
        <v>56</v>
      </c>
      <c r="C363" s="20" t="str">
        <f>IF(B363="","",IF(COUNTIF('04_Pinjaman'!$A$5:$A$1004,B363)=0,"NO PINJAMAN TIDAK DITEMUKAN",INDEX('04_Pinjaman'!$B$5:$B$1004,MATCH(B363,'04_Pinjaman'!$A$5:$A$1004,0))))</f>
        <v>Gunawan</v>
      </c>
      <c r="D363" s="20" t="str">
        <f>IF(B363="","",IF(COUNTIF('04_Pinjaman'!$A$5:$A$1004,B363)=0,"NPP TIDAK DITEMUKAN",INDEX('04_Pinjaman'!$C$5:$C$1004,MATCH(B363,'04_Pinjaman'!$A$5:$A$1004,0))))</f>
        <v>KKSUK-000015</v>
      </c>
      <c r="E363" s="22">
        <v>46045</v>
      </c>
      <c r="F363" s="23">
        <v>1515000</v>
      </c>
      <c r="G363" s="21"/>
    </row>
    <row r="364" spans="1:7" ht="21" customHeight="1">
      <c r="A364" s="20">
        <f t="shared" si="5"/>
        <v>360</v>
      </c>
      <c r="B364" s="21">
        <v>57</v>
      </c>
      <c r="C364" s="20" t="str">
        <f>IF(B364="","",IF(COUNTIF('04_Pinjaman'!$A$5:$A$1004,B364)=0,"NO PINJAMAN TIDAK DITEMUKAN",INDEX('04_Pinjaman'!$B$5:$B$1004,MATCH(B364,'04_Pinjaman'!$A$5:$A$1004,0))))</f>
        <v>Gunawan</v>
      </c>
      <c r="D364" s="20" t="str">
        <f>IF(B364="","",IF(COUNTIF('04_Pinjaman'!$A$5:$A$1004,B364)=0,"NPP TIDAK DITEMUKAN",INDEX('04_Pinjaman'!$C$5:$C$1004,MATCH(B364,'04_Pinjaman'!$A$5:$A$1004,0))))</f>
        <v>KKSUK-000015</v>
      </c>
      <c r="E364" s="22">
        <v>46167</v>
      </c>
      <c r="F364" s="23">
        <v>232500</v>
      </c>
      <c r="G364" s="21"/>
    </row>
    <row r="365" spans="1:7" ht="21" customHeight="1">
      <c r="A365" s="20">
        <f t="shared" si="5"/>
        <v>361</v>
      </c>
      <c r="B365" s="21">
        <v>57</v>
      </c>
      <c r="C365" s="20" t="str">
        <f>IF(B365="","",IF(COUNTIF('04_Pinjaman'!$A$5:$A$1004,B365)=0,"NO PINJAMAN TIDAK DITEMUKAN",INDEX('04_Pinjaman'!$B$5:$B$1004,MATCH(B365,'04_Pinjaman'!$A$5:$A$1004,0))))</f>
        <v>Gunawan</v>
      </c>
      <c r="D365" s="20" t="str">
        <f>IF(B365="","",IF(COUNTIF('04_Pinjaman'!$A$5:$A$1004,B365)=0,"NPP TIDAK DITEMUKAN",INDEX('04_Pinjaman'!$C$5:$C$1004,MATCH(B365,'04_Pinjaman'!$A$5:$A$1004,0))))</f>
        <v>KKSUK-000015</v>
      </c>
      <c r="E365" s="22">
        <v>46198</v>
      </c>
      <c r="F365" s="23">
        <v>232500</v>
      </c>
      <c r="G365" s="21"/>
    </row>
    <row r="366" spans="1:7" ht="21" customHeight="1">
      <c r="A366" s="20">
        <f t="shared" si="5"/>
        <v>362</v>
      </c>
      <c r="B366" s="21">
        <v>57</v>
      </c>
      <c r="C366" s="20" t="str">
        <f>IF(B366="","",IF(COUNTIF('04_Pinjaman'!$A$5:$A$1004,B366)=0,"NO PINJAMAN TIDAK DITEMUKAN",INDEX('04_Pinjaman'!$B$5:$B$1004,MATCH(B366,'04_Pinjaman'!$A$5:$A$1004,0))))</f>
        <v>Gunawan</v>
      </c>
      <c r="D366" s="20" t="str">
        <f>IF(B366="","",IF(COUNTIF('04_Pinjaman'!$A$5:$A$1004,B366)=0,"NPP TIDAK DITEMUKAN",INDEX('04_Pinjaman'!$C$5:$C$1004,MATCH(B366,'04_Pinjaman'!$A$5:$A$1004,0))))</f>
        <v>KKSUK-000015</v>
      </c>
      <c r="E366" s="22">
        <v>46227</v>
      </c>
      <c r="F366" s="23">
        <v>232500</v>
      </c>
      <c r="G366" s="21"/>
    </row>
    <row r="367" spans="1:7" ht="21" customHeight="1">
      <c r="A367" s="20">
        <f t="shared" si="5"/>
        <v>363</v>
      </c>
      <c r="B367" s="21">
        <v>57</v>
      </c>
      <c r="C367" s="20" t="str">
        <f>IF(B367="","",IF(COUNTIF('04_Pinjaman'!$A$5:$A$1004,B367)=0,"NO PINJAMAN TIDAK DITEMUKAN",INDEX('04_Pinjaman'!$B$5:$B$1004,MATCH(B367,'04_Pinjaman'!$A$5:$A$1004,0))))</f>
        <v>Gunawan</v>
      </c>
      <c r="D367" s="20" t="str">
        <f>IF(B367="","",IF(COUNTIF('04_Pinjaman'!$A$5:$A$1004,B367)=0,"NPP TIDAK DITEMUKAN",INDEX('04_Pinjaman'!$C$5:$C$1004,MATCH(B367,'04_Pinjaman'!$A$5:$A$1004,0))))</f>
        <v>KKSUK-000015</v>
      </c>
      <c r="E367" s="22">
        <v>46258</v>
      </c>
      <c r="F367" s="23">
        <v>232500</v>
      </c>
      <c r="G367" s="21"/>
    </row>
    <row r="368" spans="1:7" ht="21" customHeight="1">
      <c r="A368" s="20">
        <f t="shared" si="5"/>
        <v>364</v>
      </c>
      <c r="B368" s="21">
        <v>58</v>
      </c>
      <c r="C368" s="20" t="str">
        <f>IF(B368="","",IF(COUNTIF('04_Pinjaman'!$A$5:$A$1004,B368)=0,"NO PINJAMAN TIDAK DITEMUKAN",INDEX('04_Pinjaman'!$B$5:$B$1004,MATCH(B368,'04_Pinjaman'!$A$5:$A$1004,0))))</f>
        <v>Hendra</v>
      </c>
      <c r="D368" s="20" t="str">
        <f>IF(B368="","",IF(COUNTIF('04_Pinjaman'!$A$5:$A$1004,B368)=0,"NPP TIDAK DITEMUKAN",INDEX('04_Pinjaman'!$C$5:$C$1004,MATCH(B368,'04_Pinjaman'!$A$5:$A$1004,0))))</f>
        <v>KKSUK-000017</v>
      </c>
      <c r="E368" s="22">
        <v>46045</v>
      </c>
      <c r="F368" s="23">
        <v>4125000</v>
      </c>
      <c r="G368" s="21"/>
    </row>
    <row r="369" spans="1:7" ht="21" customHeight="1">
      <c r="A369" s="20">
        <f t="shared" si="5"/>
        <v>365</v>
      </c>
      <c r="B369" s="21">
        <v>58</v>
      </c>
      <c r="C369" s="20" t="str">
        <f>IF(B369="","",IF(COUNTIF('04_Pinjaman'!$A$5:$A$1004,B369)=0,"NO PINJAMAN TIDAK DITEMUKAN",INDEX('04_Pinjaman'!$B$5:$B$1004,MATCH(B369,'04_Pinjaman'!$A$5:$A$1004,0))))</f>
        <v>Hendra</v>
      </c>
      <c r="D369" s="20" t="str">
        <f>IF(B369="","",IF(COUNTIF('04_Pinjaman'!$A$5:$A$1004,B369)=0,"NPP TIDAK DITEMUKAN",INDEX('04_Pinjaman'!$C$5:$C$1004,MATCH(B369,'04_Pinjaman'!$A$5:$A$1004,0))))</f>
        <v>KKSUK-000017</v>
      </c>
      <c r="E369" s="22">
        <v>46078</v>
      </c>
      <c r="F369" s="23">
        <v>4125000</v>
      </c>
      <c r="G369" s="21"/>
    </row>
    <row r="370" spans="1:7" ht="21" customHeight="1">
      <c r="A370" s="20">
        <f t="shared" si="5"/>
        <v>366</v>
      </c>
      <c r="B370" s="21">
        <v>58</v>
      </c>
      <c r="C370" s="20" t="str">
        <f>IF(B370="","",IF(COUNTIF('04_Pinjaman'!$A$5:$A$1004,B370)=0,"NO PINJAMAN TIDAK DITEMUKAN",INDEX('04_Pinjaman'!$B$5:$B$1004,MATCH(B370,'04_Pinjaman'!$A$5:$A$1004,0))))</f>
        <v>Hendra</v>
      </c>
      <c r="D370" s="20" t="str">
        <f>IF(B370="","",IF(COUNTIF('04_Pinjaman'!$A$5:$A$1004,B370)=0,"NPP TIDAK DITEMUKAN",INDEX('04_Pinjaman'!$C$5:$C$1004,MATCH(B370,'04_Pinjaman'!$A$5:$A$1004,0))))</f>
        <v>KKSUK-000017</v>
      </c>
      <c r="E370" s="22">
        <v>46106</v>
      </c>
      <c r="F370" s="23">
        <v>4125000</v>
      </c>
      <c r="G370" s="21"/>
    </row>
    <row r="371" spans="1:7" ht="21" customHeight="1">
      <c r="A371" s="20">
        <f t="shared" si="5"/>
        <v>367</v>
      </c>
      <c r="B371" s="21">
        <v>58</v>
      </c>
      <c r="C371" s="20" t="str">
        <f>IF(B371="","",IF(COUNTIF('04_Pinjaman'!$A$5:$A$1004,B371)=0,"NO PINJAMAN TIDAK DITEMUKAN",INDEX('04_Pinjaman'!$B$5:$B$1004,MATCH(B371,'04_Pinjaman'!$A$5:$A$1004,0))))</f>
        <v>Hendra</v>
      </c>
      <c r="D371" s="20" t="str">
        <f>IF(B371="","",IF(COUNTIF('04_Pinjaman'!$A$5:$A$1004,B371)=0,"NPP TIDAK DITEMUKAN",INDEX('04_Pinjaman'!$C$5:$C$1004,MATCH(B371,'04_Pinjaman'!$A$5:$A$1004,0))))</f>
        <v>KKSUK-000017</v>
      </c>
      <c r="E371" s="22">
        <v>46136</v>
      </c>
      <c r="F371" s="23">
        <v>4125000</v>
      </c>
      <c r="G371" s="21"/>
    </row>
    <row r="372" spans="1:7" ht="21" customHeight="1">
      <c r="A372" s="20">
        <f t="shared" si="5"/>
        <v>368</v>
      </c>
      <c r="B372" s="21">
        <v>58</v>
      </c>
      <c r="C372" s="20" t="str">
        <f>IF(B372="","",IF(COUNTIF('04_Pinjaman'!$A$5:$A$1004,B372)=0,"NO PINJAMAN TIDAK DITEMUKAN",INDEX('04_Pinjaman'!$B$5:$B$1004,MATCH(B372,'04_Pinjaman'!$A$5:$A$1004,0))))</f>
        <v>Hendra</v>
      </c>
      <c r="D372" s="20" t="str">
        <f>IF(B372="","",IF(COUNTIF('04_Pinjaman'!$A$5:$A$1004,B372)=0,"NPP TIDAK DITEMUKAN",INDEX('04_Pinjaman'!$C$5:$C$1004,MATCH(B372,'04_Pinjaman'!$A$5:$A$1004,0))))</f>
        <v>KKSUK-000017</v>
      </c>
      <c r="E372" s="22">
        <v>46167</v>
      </c>
      <c r="F372" s="23">
        <v>4125000</v>
      </c>
      <c r="G372" s="21"/>
    </row>
    <row r="373" spans="1:7" ht="21" customHeight="1">
      <c r="A373" s="20">
        <f t="shared" si="5"/>
        <v>369</v>
      </c>
      <c r="B373" s="21">
        <v>58</v>
      </c>
      <c r="C373" s="20" t="str">
        <f>IF(B373="","",IF(COUNTIF('04_Pinjaman'!$A$5:$A$1004,B373)=0,"NO PINJAMAN TIDAK DITEMUKAN",INDEX('04_Pinjaman'!$B$5:$B$1004,MATCH(B373,'04_Pinjaman'!$A$5:$A$1004,0))))</f>
        <v>Hendra</v>
      </c>
      <c r="D373" s="20" t="str">
        <f>IF(B373="","",IF(COUNTIF('04_Pinjaman'!$A$5:$A$1004,B373)=0,"NPP TIDAK DITEMUKAN",INDEX('04_Pinjaman'!$C$5:$C$1004,MATCH(B373,'04_Pinjaman'!$A$5:$A$1004,0))))</f>
        <v>KKSUK-000017</v>
      </c>
      <c r="E373" s="22">
        <v>46198</v>
      </c>
      <c r="F373" s="23">
        <v>4125000</v>
      </c>
      <c r="G373" s="21"/>
    </row>
    <row r="374" spans="1:7" ht="21" customHeight="1">
      <c r="A374" s="20">
        <f t="shared" si="5"/>
        <v>370</v>
      </c>
      <c r="B374" s="21">
        <v>58</v>
      </c>
      <c r="C374" s="20" t="str">
        <f>IF(B374="","",IF(COUNTIF('04_Pinjaman'!$A$5:$A$1004,B374)=0,"NO PINJAMAN TIDAK DITEMUKAN",INDEX('04_Pinjaman'!$B$5:$B$1004,MATCH(B374,'04_Pinjaman'!$A$5:$A$1004,0))))</f>
        <v>Hendra</v>
      </c>
      <c r="D374" s="20" t="str">
        <f>IF(B374="","",IF(COUNTIF('04_Pinjaman'!$A$5:$A$1004,B374)=0,"NPP TIDAK DITEMUKAN",INDEX('04_Pinjaman'!$C$5:$C$1004,MATCH(B374,'04_Pinjaman'!$A$5:$A$1004,0))))</f>
        <v>KKSUK-000017</v>
      </c>
      <c r="E374" s="22">
        <v>46227</v>
      </c>
      <c r="F374" s="23">
        <v>4125000</v>
      </c>
      <c r="G374" s="21"/>
    </row>
    <row r="375" spans="1:7" ht="21" customHeight="1">
      <c r="A375" s="20">
        <f t="shared" si="5"/>
        <v>371</v>
      </c>
      <c r="B375" s="21">
        <v>58</v>
      </c>
      <c r="C375" s="20" t="str">
        <f>IF(B375="","",IF(COUNTIF('04_Pinjaman'!$A$5:$A$1004,B375)=0,"NO PINJAMAN TIDAK DITEMUKAN",INDEX('04_Pinjaman'!$B$5:$B$1004,MATCH(B375,'04_Pinjaman'!$A$5:$A$1004,0))))</f>
        <v>Hendra</v>
      </c>
      <c r="D375" s="20" t="str">
        <f>IF(B375="","",IF(COUNTIF('04_Pinjaman'!$A$5:$A$1004,B375)=0,"NPP TIDAK DITEMUKAN",INDEX('04_Pinjaman'!$C$5:$C$1004,MATCH(B375,'04_Pinjaman'!$A$5:$A$1004,0))))</f>
        <v>KKSUK-000017</v>
      </c>
      <c r="E375" s="22">
        <v>46258</v>
      </c>
      <c r="F375" s="23">
        <v>4125000</v>
      </c>
      <c r="G375" s="21"/>
    </row>
    <row r="376" spans="1:7" ht="21" customHeight="1">
      <c r="A376" s="20">
        <f t="shared" si="5"/>
        <v>372</v>
      </c>
      <c r="B376" s="21">
        <v>59</v>
      </c>
      <c r="C376" s="20" t="str">
        <f>IF(B376="","",IF(COUNTIF('04_Pinjaman'!$A$5:$A$1004,B376)=0,"NO PINJAMAN TIDAK DITEMUKAN",INDEX('04_Pinjaman'!$B$5:$B$1004,MATCH(B376,'04_Pinjaman'!$A$5:$A$1004,0))))</f>
        <v>Heni Triandini</v>
      </c>
      <c r="D376" s="20" t="str">
        <f>IF(B376="","",IF(COUNTIF('04_Pinjaman'!$A$5:$A$1004,B376)=0,"NPP TIDAK DITEMUKAN",INDEX('04_Pinjaman'!$C$5:$C$1004,MATCH(B376,'04_Pinjaman'!$A$5:$A$1004,0))))</f>
        <v>KKSUK-000018</v>
      </c>
      <c r="E376" s="22">
        <v>45894</v>
      </c>
      <c r="F376" s="23">
        <v>2708333</v>
      </c>
      <c r="G376" s="21"/>
    </row>
    <row r="377" spans="1:7" ht="21" customHeight="1">
      <c r="A377" s="20">
        <f t="shared" si="5"/>
        <v>373</v>
      </c>
      <c r="B377" s="21">
        <v>59</v>
      </c>
      <c r="C377" s="20" t="str">
        <f>IF(B377="","",IF(COUNTIF('04_Pinjaman'!$A$5:$A$1004,B377)=0,"NO PINJAMAN TIDAK DITEMUKAN",INDEX('04_Pinjaman'!$B$5:$B$1004,MATCH(B377,'04_Pinjaman'!$A$5:$A$1004,0))))</f>
        <v>Heni Triandini</v>
      </c>
      <c r="D377" s="20" t="str">
        <f>IF(B377="","",IF(COUNTIF('04_Pinjaman'!$A$5:$A$1004,B377)=0,"NPP TIDAK DITEMUKAN",INDEX('04_Pinjaman'!$C$5:$C$1004,MATCH(B377,'04_Pinjaman'!$A$5:$A$1004,0))))</f>
        <v>KKSUK-000018</v>
      </c>
      <c r="E377" s="22">
        <v>45925</v>
      </c>
      <c r="F377" s="23">
        <v>2708333</v>
      </c>
      <c r="G377" s="21"/>
    </row>
    <row r="378" spans="1:7" ht="21" customHeight="1">
      <c r="A378" s="20">
        <f t="shared" si="5"/>
        <v>374</v>
      </c>
      <c r="B378" s="21">
        <v>59</v>
      </c>
      <c r="C378" s="20" t="str">
        <f>IF(B378="","",IF(COUNTIF('04_Pinjaman'!$A$5:$A$1004,B378)=0,"NO PINJAMAN TIDAK DITEMUKAN",INDEX('04_Pinjaman'!$B$5:$B$1004,MATCH(B378,'04_Pinjaman'!$A$5:$A$1004,0))))</f>
        <v>Heni Triandini</v>
      </c>
      <c r="D378" s="20" t="str">
        <f>IF(B378="","",IF(COUNTIF('04_Pinjaman'!$A$5:$A$1004,B378)=0,"NPP TIDAK DITEMUKAN",INDEX('04_Pinjaman'!$C$5:$C$1004,MATCH(B378,'04_Pinjaman'!$A$5:$A$1004,0))))</f>
        <v>KKSUK-000018</v>
      </c>
      <c r="E378" s="22">
        <v>45954</v>
      </c>
      <c r="F378" s="23">
        <v>2708333</v>
      </c>
      <c r="G378" s="21"/>
    </row>
    <row r="379" spans="1:7" ht="21" customHeight="1">
      <c r="A379" s="20">
        <f t="shared" si="5"/>
        <v>375</v>
      </c>
      <c r="B379" s="21">
        <v>59</v>
      </c>
      <c r="C379" s="20" t="str">
        <f>IF(B379="","",IF(COUNTIF('04_Pinjaman'!$A$5:$A$1004,B379)=0,"NO PINJAMAN TIDAK DITEMUKAN",INDEX('04_Pinjaman'!$B$5:$B$1004,MATCH(B379,'04_Pinjaman'!$A$5:$A$1004,0))))</f>
        <v>Heni Triandini</v>
      </c>
      <c r="D379" s="20" t="str">
        <f>IF(B379="","",IF(COUNTIF('04_Pinjaman'!$A$5:$A$1004,B379)=0,"NPP TIDAK DITEMUKAN",INDEX('04_Pinjaman'!$C$5:$C$1004,MATCH(B379,'04_Pinjaman'!$A$5:$A$1004,0))))</f>
        <v>KKSUK-000018</v>
      </c>
      <c r="E379" s="22">
        <v>45986</v>
      </c>
      <c r="F379" s="23">
        <v>2708333</v>
      </c>
      <c r="G379" s="21"/>
    </row>
    <row r="380" spans="1:7" ht="21" customHeight="1">
      <c r="A380" s="20">
        <f t="shared" si="5"/>
        <v>376</v>
      </c>
      <c r="B380" s="21">
        <v>59</v>
      </c>
      <c r="C380" s="20" t="str">
        <f>IF(B380="","",IF(COUNTIF('04_Pinjaman'!$A$5:$A$1004,B380)=0,"NO PINJAMAN TIDAK DITEMUKAN",INDEX('04_Pinjaman'!$B$5:$B$1004,MATCH(B380,'04_Pinjaman'!$A$5:$A$1004,0))))</f>
        <v>Heni Triandini</v>
      </c>
      <c r="D380" s="20" t="str">
        <f>IF(B380="","",IF(COUNTIF('04_Pinjaman'!$A$5:$A$1004,B380)=0,"NPP TIDAK DITEMUKAN",INDEX('04_Pinjaman'!$C$5:$C$1004,MATCH(B380,'04_Pinjaman'!$A$5:$A$1004,0))))</f>
        <v>KKSUK-000018</v>
      </c>
      <c r="E380" s="22">
        <v>46010</v>
      </c>
      <c r="F380" s="23">
        <v>2708333</v>
      </c>
      <c r="G380" s="21"/>
    </row>
    <row r="381" spans="1:7" ht="21" customHeight="1">
      <c r="A381" s="20">
        <f t="shared" si="5"/>
        <v>377</v>
      </c>
      <c r="B381" s="21">
        <v>59</v>
      </c>
      <c r="C381" s="20" t="str">
        <f>IF(B381="","",IF(COUNTIF('04_Pinjaman'!$A$5:$A$1004,B381)=0,"NO PINJAMAN TIDAK DITEMUKAN",INDEX('04_Pinjaman'!$B$5:$B$1004,MATCH(B381,'04_Pinjaman'!$A$5:$A$1004,0))))</f>
        <v>Heni Triandini</v>
      </c>
      <c r="D381" s="20" t="str">
        <f>IF(B381="","",IF(COUNTIF('04_Pinjaman'!$A$5:$A$1004,B381)=0,"NPP TIDAK DITEMUKAN",INDEX('04_Pinjaman'!$C$5:$C$1004,MATCH(B381,'04_Pinjaman'!$A$5:$A$1004,0))))</f>
        <v>KKSUK-000018</v>
      </c>
      <c r="E381" s="22">
        <v>46045</v>
      </c>
      <c r="F381" s="23">
        <v>2708333</v>
      </c>
      <c r="G381" s="21"/>
    </row>
    <row r="382" spans="1:7" ht="21" customHeight="1">
      <c r="A382" s="20">
        <f t="shared" si="5"/>
        <v>378</v>
      </c>
      <c r="B382" s="21">
        <v>59</v>
      </c>
      <c r="C382" s="20" t="str">
        <f>IF(B382="","",IF(COUNTIF('04_Pinjaman'!$A$5:$A$1004,B382)=0,"NO PINJAMAN TIDAK DITEMUKAN",INDEX('04_Pinjaman'!$B$5:$B$1004,MATCH(B382,'04_Pinjaman'!$A$5:$A$1004,0))))</f>
        <v>Heni Triandini</v>
      </c>
      <c r="D382" s="20" t="str">
        <f>IF(B382="","",IF(COUNTIF('04_Pinjaman'!$A$5:$A$1004,B382)=0,"NPP TIDAK DITEMUKAN",INDEX('04_Pinjaman'!$C$5:$C$1004,MATCH(B382,'04_Pinjaman'!$A$5:$A$1004,0))))</f>
        <v>KKSUK-000018</v>
      </c>
      <c r="E382" s="22">
        <v>46078</v>
      </c>
      <c r="F382" s="23">
        <v>2708333</v>
      </c>
      <c r="G382" s="21"/>
    </row>
    <row r="383" spans="1:7" ht="21" customHeight="1">
      <c r="A383" s="20">
        <f t="shared" si="5"/>
        <v>379</v>
      </c>
      <c r="B383" s="21">
        <v>59</v>
      </c>
      <c r="C383" s="20" t="str">
        <f>IF(B383="","",IF(COUNTIF('04_Pinjaman'!$A$5:$A$1004,B383)=0,"NO PINJAMAN TIDAK DITEMUKAN",INDEX('04_Pinjaman'!$B$5:$B$1004,MATCH(B383,'04_Pinjaman'!$A$5:$A$1004,0))))</f>
        <v>Heni Triandini</v>
      </c>
      <c r="D383" s="20" t="str">
        <f>IF(B383="","",IF(COUNTIF('04_Pinjaman'!$A$5:$A$1004,B383)=0,"NPP TIDAK DITEMUKAN",INDEX('04_Pinjaman'!$C$5:$C$1004,MATCH(B383,'04_Pinjaman'!$A$5:$A$1004,0))))</f>
        <v>KKSUK-000018</v>
      </c>
      <c r="E383" s="22">
        <v>46106</v>
      </c>
      <c r="F383" s="23">
        <v>2708333</v>
      </c>
      <c r="G383" s="21"/>
    </row>
    <row r="384" spans="1:7" ht="21" customHeight="1">
      <c r="A384" s="20">
        <f t="shared" si="5"/>
        <v>380</v>
      </c>
      <c r="B384" s="21">
        <v>59</v>
      </c>
      <c r="C384" s="20" t="str">
        <f>IF(B384="","",IF(COUNTIF('04_Pinjaman'!$A$5:$A$1004,B384)=0,"NO PINJAMAN TIDAK DITEMUKAN",INDEX('04_Pinjaman'!$B$5:$B$1004,MATCH(B384,'04_Pinjaman'!$A$5:$A$1004,0))))</f>
        <v>Heni Triandini</v>
      </c>
      <c r="D384" s="20" t="str">
        <f>IF(B384="","",IF(COUNTIF('04_Pinjaman'!$A$5:$A$1004,B384)=0,"NPP TIDAK DITEMUKAN",INDEX('04_Pinjaman'!$C$5:$C$1004,MATCH(B384,'04_Pinjaman'!$A$5:$A$1004,0))))</f>
        <v>KKSUK-000018</v>
      </c>
      <c r="E384" s="22">
        <v>46136</v>
      </c>
      <c r="F384" s="23">
        <v>2708333</v>
      </c>
      <c r="G384" s="21"/>
    </row>
    <row r="385" spans="1:7" ht="21" customHeight="1">
      <c r="A385" s="20">
        <f t="shared" si="5"/>
        <v>381</v>
      </c>
      <c r="B385" s="21">
        <v>59</v>
      </c>
      <c r="C385" s="20" t="str">
        <f>IF(B385="","",IF(COUNTIF('04_Pinjaman'!$A$5:$A$1004,B385)=0,"NO PINJAMAN TIDAK DITEMUKAN",INDEX('04_Pinjaman'!$B$5:$B$1004,MATCH(B385,'04_Pinjaman'!$A$5:$A$1004,0))))</f>
        <v>Heni Triandini</v>
      </c>
      <c r="D385" s="20" t="str">
        <f>IF(B385="","",IF(COUNTIF('04_Pinjaman'!$A$5:$A$1004,B385)=0,"NPP TIDAK DITEMUKAN",INDEX('04_Pinjaman'!$C$5:$C$1004,MATCH(B385,'04_Pinjaman'!$A$5:$A$1004,0))))</f>
        <v>KKSUK-000018</v>
      </c>
      <c r="E385" s="22">
        <v>46167</v>
      </c>
      <c r="F385" s="23">
        <v>2708333</v>
      </c>
      <c r="G385" s="21"/>
    </row>
    <row r="386" spans="1:7" ht="21" customHeight="1">
      <c r="A386" s="20">
        <f t="shared" si="5"/>
        <v>382</v>
      </c>
      <c r="B386" s="21">
        <v>59</v>
      </c>
      <c r="C386" s="20" t="str">
        <f>IF(B386="","",IF(COUNTIF('04_Pinjaman'!$A$5:$A$1004,B386)=0,"NO PINJAMAN TIDAK DITEMUKAN",INDEX('04_Pinjaman'!$B$5:$B$1004,MATCH(B386,'04_Pinjaman'!$A$5:$A$1004,0))))</f>
        <v>Heni Triandini</v>
      </c>
      <c r="D386" s="20" t="str">
        <f>IF(B386="","",IF(COUNTIF('04_Pinjaman'!$A$5:$A$1004,B386)=0,"NPP TIDAK DITEMUKAN",INDEX('04_Pinjaman'!$C$5:$C$1004,MATCH(B386,'04_Pinjaman'!$A$5:$A$1004,0))))</f>
        <v>KKSUK-000018</v>
      </c>
      <c r="E386" s="22">
        <v>46198</v>
      </c>
      <c r="F386" s="23">
        <v>2708333</v>
      </c>
      <c r="G386" s="21"/>
    </row>
    <row r="387" spans="1:7" ht="21" customHeight="1">
      <c r="A387" s="20">
        <f t="shared" si="5"/>
        <v>383</v>
      </c>
      <c r="B387" s="21">
        <v>59</v>
      </c>
      <c r="C387" s="20" t="str">
        <f>IF(B387="","",IF(COUNTIF('04_Pinjaman'!$A$5:$A$1004,B387)=0,"NO PINJAMAN TIDAK DITEMUKAN",INDEX('04_Pinjaman'!$B$5:$B$1004,MATCH(B387,'04_Pinjaman'!$A$5:$A$1004,0))))</f>
        <v>Heni Triandini</v>
      </c>
      <c r="D387" s="20" t="str">
        <f>IF(B387="","",IF(COUNTIF('04_Pinjaman'!$A$5:$A$1004,B387)=0,"NPP TIDAK DITEMUKAN",INDEX('04_Pinjaman'!$C$5:$C$1004,MATCH(B387,'04_Pinjaman'!$A$5:$A$1004,0))))</f>
        <v>KKSUK-000018</v>
      </c>
      <c r="E387" s="22">
        <v>46227</v>
      </c>
      <c r="F387" s="23">
        <v>2708333</v>
      </c>
      <c r="G387" s="21"/>
    </row>
    <row r="388" spans="1:7" ht="21" customHeight="1">
      <c r="A388" s="20">
        <f t="shared" si="5"/>
        <v>384</v>
      </c>
      <c r="B388" s="21">
        <v>59</v>
      </c>
      <c r="C388" s="20" t="str">
        <f>IF(B388="","",IF(COUNTIF('04_Pinjaman'!$A$5:$A$1004,B388)=0,"NO PINJAMAN TIDAK DITEMUKAN",INDEX('04_Pinjaman'!$B$5:$B$1004,MATCH(B388,'04_Pinjaman'!$A$5:$A$1004,0))))</f>
        <v>Heni Triandini</v>
      </c>
      <c r="D388" s="20" t="str">
        <f>IF(B388="","",IF(COUNTIF('04_Pinjaman'!$A$5:$A$1004,B388)=0,"NPP TIDAK DITEMUKAN",INDEX('04_Pinjaman'!$C$5:$C$1004,MATCH(B388,'04_Pinjaman'!$A$5:$A$1004,0))))</f>
        <v>KKSUK-000018</v>
      </c>
      <c r="E388" s="22">
        <v>46258</v>
      </c>
      <c r="F388" s="23">
        <v>2708333</v>
      </c>
      <c r="G388" s="21"/>
    </row>
    <row r="389" spans="1:7" ht="21" customHeight="1">
      <c r="A389" s="20">
        <f t="shared" ref="A389:A452" si="7">IF(B389="","",ROW()-4)</f>
        <v>385</v>
      </c>
      <c r="B389" s="21">
        <v>60</v>
      </c>
      <c r="C389" s="20" t="str">
        <f>IF(B389="","",IF(COUNTIF('04_Pinjaman'!$A$5:$A$1004,B389)=0,"NO PINJAMAN TIDAK DITEMUKAN",INDEX('04_Pinjaman'!$B$5:$B$1004,MATCH(B389,'04_Pinjaman'!$A$5:$A$1004,0))))</f>
        <v>Herda</v>
      </c>
      <c r="D389" s="20" t="str">
        <f>IF(B389="","",IF(COUNTIF('04_Pinjaman'!$A$5:$A$1004,B389)=0,"NPP TIDAK DITEMUKAN",INDEX('04_Pinjaman'!$C$5:$C$1004,MATCH(B389,'04_Pinjaman'!$A$5:$A$1004,0))))</f>
        <v>KKSUK-000139</v>
      </c>
      <c r="E389" s="22">
        <v>45894</v>
      </c>
      <c r="F389" s="23">
        <v>583334</v>
      </c>
      <c r="G389" s="21"/>
    </row>
    <row r="390" spans="1:7" ht="21" customHeight="1">
      <c r="A390" s="20">
        <f t="shared" si="7"/>
        <v>386</v>
      </c>
      <c r="B390" s="21">
        <v>60</v>
      </c>
      <c r="C390" s="20" t="str">
        <f>IF(B390="","",IF(COUNTIF('04_Pinjaman'!$A$5:$A$1004,B390)=0,"NO PINJAMAN TIDAK DITEMUKAN",INDEX('04_Pinjaman'!$B$5:$B$1004,MATCH(B390,'04_Pinjaman'!$A$5:$A$1004,0))))</f>
        <v>Herda</v>
      </c>
      <c r="D390" s="20" t="str">
        <f>IF(B390="","",IF(COUNTIF('04_Pinjaman'!$A$5:$A$1004,B390)=0,"NPP TIDAK DITEMUKAN",INDEX('04_Pinjaman'!$C$5:$C$1004,MATCH(B390,'04_Pinjaman'!$A$5:$A$1004,0))))</f>
        <v>KKSUK-000139</v>
      </c>
      <c r="E390" s="22">
        <v>45925</v>
      </c>
      <c r="F390" s="23">
        <v>583334</v>
      </c>
      <c r="G390" s="21"/>
    </row>
    <row r="391" spans="1:7" ht="21" customHeight="1">
      <c r="A391" s="20">
        <f t="shared" si="7"/>
        <v>387</v>
      </c>
      <c r="B391" s="21">
        <v>60</v>
      </c>
      <c r="C391" s="20" t="str">
        <f>IF(B391="","",IF(COUNTIF('04_Pinjaman'!$A$5:$A$1004,B391)=0,"NO PINJAMAN TIDAK DITEMUKAN",INDEX('04_Pinjaman'!$B$5:$B$1004,MATCH(B391,'04_Pinjaman'!$A$5:$A$1004,0))))</f>
        <v>Herda</v>
      </c>
      <c r="D391" s="20" t="str">
        <f>IF(B391="","",IF(COUNTIF('04_Pinjaman'!$A$5:$A$1004,B391)=0,"NPP TIDAK DITEMUKAN",INDEX('04_Pinjaman'!$C$5:$C$1004,MATCH(B391,'04_Pinjaman'!$A$5:$A$1004,0))))</f>
        <v>KKSUK-000139</v>
      </c>
      <c r="E391" s="22">
        <v>45954</v>
      </c>
      <c r="F391" s="23">
        <v>983334</v>
      </c>
      <c r="G391" s="21"/>
    </row>
    <row r="392" spans="1:7" ht="21" customHeight="1">
      <c r="A392" s="20">
        <f t="shared" si="7"/>
        <v>388</v>
      </c>
      <c r="B392" s="21">
        <v>60</v>
      </c>
      <c r="C392" s="20" t="str">
        <f>IF(B392="","",IF(COUNTIF('04_Pinjaman'!$A$5:$A$1004,B392)=0,"NO PINJAMAN TIDAK DITEMUKAN",INDEX('04_Pinjaman'!$B$5:$B$1004,MATCH(B392,'04_Pinjaman'!$A$5:$A$1004,0))))</f>
        <v>Herda</v>
      </c>
      <c r="D392" s="20" t="str">
        <f>IF(B392="","",IF(COUNTIF('04_Pinjaman'!$A$5:$A$1004,B392)=0,"NPP TIDAK DITEMUKAN",INDEX('04_Pinjaman'!$C$5:$C$1004,MATCH(B392,'04_Pinjaman'!$A$5:$A$1004,0))))</f>
        <v>KKSUK-000139</v>
      </c>
      <c r="E392" s="22">
        <v>45986</v>
      </c>
      <c r="F392" s="23">
        <v>983334</v>
      </c>
      <c r="G392" s="21"/>
    </row>
    <row r="393" spans="1:7" ht="21" customHeight="1">
      <c r="A393" s="20">
        <f t="shared" si="7"/>
        <v>389</v>
      </c>
      <c r="B393" s="21">
        <v>60</v>
      </c>
      <c r="C393" s="20" t="str">
        <f>IF(B393="","",IF(COUNTIF('04_Pinjaman'!$A$5:$A$1004,B393)=0,"NO PINJAMAN TIDAK DITEMUKAN",INDEX('04_Pinjaman'!$B$5:$B$1004,MATCH(B393,'04_Pinjaman'!$A$5:$A$1004,0))))</f>
        <v>Herda</v>
      </c>
      <c r="D393" s="20" t="str">
        <f>IF(B393="","",IF(COUNTIF('04_Pinjaman'!$A$5:$A$1004,B393)=0,"NPP TIDAK DITEMUKAN",INDEX('04_Pinjaman'!$C$5:$C$1004,MATCH(B393,'04_Pinjaman'!$A$5:$A$1004,0))))</f>
        <v>KKSUK-000139</v>
      </c>
      <c r="E393" s="22">
        <v>46010</v>
      </c>
      <c r="F393" s="23">
        <v>983334</v>
      </c>
      <c r="G393" s="21"/>
    </row>
    <row r="394" spans="1:7" ht="21" customHeight="1">
      <c r="A394" s="20">
        <f t="shared" si="7"/>
        <v>390</v>
      </c>
      <c r="B394" s="21">
        <v>60</v>
      </c>
      <c r="C394" s="20" t="str">
        <f>IF(B394="","",IF(COUNTIF('04_Pinjaman'!$A$5:$A$1004,B394)=0,"NO PINJAMAN TIDAK DITEMUKAN",INDEX('04_Pinjaman'!$B$5:$B$1004,MATCH(B394,'04_Pinjaman'!$A$5:$A$1004,0))))</f>
        <v>Herda</v>
      </c>
      <c r="D394" s="20" t="str">
        <f>IF(B394="","",IF(COUNTIF('04_Pinjaman'!$A$5:$A$1004,B394)=0,"NPP TIDAK DITEMUKAN",INDEX('04_Pinjaman'!$C$5:$C$1004,MATCH(B394,'04_Pinjaman'!$A$5:$A$1004,0))))</f>
        <v>KKSUK-000139</v>
      </c>
      <c r="E394" s="22">
        <v>46045</v>
      </c>
      <c r="F394" s="23">
        <v>983334</v>
      </c>
      <c r="G394" s="21"/>
    </row>
    <row r="395" spans="1:7" ht="21" customHeight="1">
      <c r="A395" s="20">
        <f t="shared" si="7"/>
        <v>391</v>
      </c>
      <c r="B395" s="21">
        <v>60</v>
      </c>
      <c r="C395" s="20" t="str">
        <f>IF(B395="","",IF(COUNTIF('04_Pinjaman'!$A$5:$A$1004,B395)=0,"NO PINJAMAN TIDAK DITEMUKAN",INDEX('04_Pinjaman'!$B$5:$B$1004,MATCH(B395,'04_Pinjaman'!$A$5:$A$1004,0))))</f>
        <v>Herda</v>
      </c>
      <c r="D395" s="20" t="str">
        <f>IF(B395="","",IF(COUNTIF('04_Pinjaman'!$A$5:$A$1004,B395)=0,"NPP TIDAK DITEMUKAN",INDEX('04_Pinjaman'!$C$5:$C$1004,MATCH(B395,'04_Pinjaman'!$A$5:$A$1004,0))))</f>
        <v>KKSUK-000139</v>
      </c>
      <c r="E395" s="22">
        <v>46078</v>
      </c>
      <c r="F395" s="23">
        <v>983334</v>
      </c>
      <c r="G395" s="21"/>
    </row>
    <row r="396" spans="1:7" ht="21" customHeight="1">
      <c r="A396" s="20">
        <f t="shared" si="7"/>
        <v>392</v>
      </c>
      <c r="B396" s="21">
        <v>60</v>
      </c>
      <c r="C396" s="20" t="str">
        <f>IF(B396="","",IF(COUNTIF('04_Pinjaman'!$A$5:$A$1004,B396)=0,"NO PINJAMAN TIDAK DITEMUKAN",INDEX('04_Pinjaman'!$B$5:$B$1004,MATCH(B396,'04_Pinjaman'!$A$5:$A$1004,0))))</f>
        <v>Herda</v>
      </c>
      <c r="D396" s="20" t="str">
        <f>IF(B396="","",IF(COUNTIF('04_Pinjaman'!$A$5:$A$1004,B396)=0,"NPP TIDAK DITEMUKAN",INDEX('04_Pinjaman'!$C$5:$C$1004,MATCH(B396,'04_Pinjaman'!$A$5:$A$1004,0))))</f>
        <v>KKSUK-000139</v>
      </c>
      <c r="E396" s="22">
        <v>46106</v>
      </c>
      <c r="F396" s="23">
        <v>983334</v>
      </c>
      <c r="G396" s="21"/>
    </row>
    <row r="397" spans="1:7" ht="21" customHeight="1">
      <c r="A397" s="20">
        <f t="shared" si="7"/>
        <v>393</v>
      </c>
      <c r="B397" s="21">
        <v>60</v>
      </c>
      <c r="C397" s="20" t="str">
        <f>IF(B397="","",IF(COUNTIF('04_Pinjaman'!$A$5:$A$1004,B397)=0,"NO PINJAMAN TIDAK DITEMUKAN",INDEX('04_Pinjaman'!$B$5:$B$1004,MATCH(B397,'04_Pinjaman'!$A$5:$A$1004,0))))</f>
        <v>Herda</v>
      </c>
      <c r="D397" s="20" t="str">
        <f>IF(B397="","",IF(COUNTIF('04_Pinjaman'!$A$5:$A$1004,B397)=0,"NPP TIDAK DITEMUKAN",INDEX('04_Pinjaman'!$C$5:$C$1004,MATCH(B397,'04_Pinjaman'!$A$5:$A$1004,0))))</f>
        <v>KKSUK-000139</v>
      </c>
      <c r="E397" s="22">
        <v>46125</v>
      </c>
      <c r="F397" s="23">
        <v>10633328</v>
      </c>
      <c r="G397" s="21" t="s">
        <v>800</v>
      </c>
    </row>
    <row r="398" spans="1:7" ht="21" customHeight="1">
      <c r="A398" s="20">
        <f t="shared" si="7"/>
        <v>394</v>
      </c>
      <c r="B398" s="21">
        <v>61</v>
      </c>
      <c r="C398" s="20" t="str">
        <f>IF(B398="","",IF(COUNTIF('04_Pinjaman'!$A$5:$A$1004,B398)=0,"NO PINJAMAN TIDAK DITEMUKAN",INDEX('04_Pinjaman'!$B$5:$B$1004,MATCH(B398,'04_Pinjaman'!$A$5:$A$1004,0))))</f>
        <v>Herda</v>
      </c>
      <c r="D398" s="20" t="str">
        <f>IF(B398="","",IF(COUNTIF('04_Pinjaman'!$A$5:$A$1004,B398)=0,"NPP TIDAK DITEMUKAN",INDEX('04_Pinjaman'!$C$5:$C$1004,MATCH(B398,'04_Pinjaman'!$A$5:$A$1004,0))))</f>
        <v>KKSUK-000139</v>
      </c>
      <c r="E398" s="22">
        <v>46167</v>
      </c>
      <c r="F398" s="23">
        <v>981667</v>
      </c>
      <c r="G398" s="21"/>
    </row>
    <row r="399" spans="1:7" ht="21" customHeight="1">
      <c r="A399" s="20">
        <f t="shared" si="7"/>
        <v>395</v>
      </c>
      <c r="B399" s="21">
        <v>61</v>
      </c>
      <c r="C399" s="20" t="str">
        <f>IF(B399="","",IF(COUNTIF('04_Pinjaman'!$A$5:$A$1004,B399)=0,"NO PINJAMAN TIDAK DITEMUKAN",INDEX('04_Pinjaman'!$B$5:$B$1004,MATCH(B399,'04_Pinjaman'!$A$5:$A$1004,0))))</f>
        <v>Herda</v>
      </c>
      <c r="D399" s="20" t="str">
        <f>IF(B399="","",IF(COUNTIF('04_Pinjaman'!$A$5:$A$1004,B399)=0,"NPP TIDAK DITEMUKAN",INDEX('04_Pinjaman'!$C$5:$C$1004,MATCH(B399,'04_Pinjaman'!$A$5:$A$1004,0))))</f>
        <v>KKSUK-000139</v>
      </c>
      <c r="E399" s="22">
        <v>46198</v>
      </c>
      <c r="F399" s="23">
        <v>981667</v>
      </c>
      <c r="G399" s="21"/>
    </row>
    <row r="400" spans="1:7" ht="21" customHeight="1">
      <c r="A400" s="20">
        <f t="shared" si="7"/>
        <v>396</v>
      </c>
      <c r="B400" s="21">
        <v>61</v>
      </c>
      <c r="C400" s="20" t="str">
        <f>IF(B400="","",IF(COUNTIF('04_Pinjaman'!$A$5:$A$1004,B400)=0,"NO PINJAMAN TIDAK DITEMUKAN",INDEX('04_Pinjaman'!$B$5:$B$1004,MATCH(B400,'04_Pinjaman'!$A$5:$A$1004,0))))</f>
        <v>Herda</v>
      </c>
      <c r="D400" s="20" t="str">
        <f>IF(B400="","",IF(COUNTIF('04_Pinjaman'!$A$5:$A$1004,B400)=0,"NPP TIDAK DITEMUKAN",INDEX('04_Pinjaman'!$C$5:$C$1004,MATCH(B400,'04_Pinjaman'!$A$5:$A$1004,0))))</f>
        <v>KKSUK-000139</v>
      </c>
      <c r="E400" s="22">
        <v>46227</v>
      </c>
      <c r="F400" s="23">
        <v>981667</v>
      </c>
      <c r="G400" s="21"/>
    </row>
    <row r="401" spans="1:7" ht="21" customHeight="1">
      <c r="A401" s="20">
        <f t="shared" si="7"/>
        <v>397</v>
      </c>
      <c r="B401" s="21">
        <v>61</v>
      </c>
      <c r="C401" s="20" t="str">
        <f>IF(B401="","",IF(COUNTIF('04_Pinjaman'!$A$5:$A$1004,B401)=0,"NO PINJAMAN TIDAK DITEMUKAN",INDEX('04_Pinjaman'!$B$5:$B$1004,MATCH(B401,'04_Pinjaman'!$A$5:$A$1004,0))))</f>
        <v>Herda</v>
      </c>
      <c r="D401" s="20" t="str">
        <f>IF(B401="","",IF(COUNTIF('04_Pinjaman'!$A$5:$A$1004,B401)=0,"NPP TIDAK DITEMUKAN",INDEX('04_Pinjaman'!$C$5:$C$1004,MATCH(B401,'04_Pinjaman'!$A$5:$A$1004,0))))</f>
        <v>KKSUK-000139</v>
      </c>
      <c r="E401" s="22">
        <v>46258</v>
      </c>
      <c r="F401" s="23">
        <v>981667</v>
      </c>
      <c r="G401" s="21"/>
    </row>
    <row r="402" spans="1:7" ht="21" customHeight="1">
      <c r="A402" s="20">
        <f t="shared" si="7"/>
        <v>398</v>
      </c>
      <c r="B402" s="21">
        <v>62</v>
      </c>
      <c r="C402" s="20" t="str">
        <f>IF(B402="","",IF(COUNTIF('04_Pinjaman'!$A$5:$A$1004,B402)=0,"NO PINJAMAN TIDAK DITEMUKAN",INDEX('04_Pinjaman'!$B$5:$B$1004,MATCH(B402,'04_Pinjaman'!$A$5:$A$1004,0))))</f>
        <v>Herman</v>
      </c>
      <c r="D402" s="20" t="str">
        <f>IF(B402="","",IF(COUNTIF('04_Pinjaman'!$A$5:$A$1004,B402)=0,"NPP TIDAK DITEMUKAN",INDEX('04_Pinjaman'!$C$5:$C$1004,MATCH(B402,'04_Pinjaman'!$A$5:$A$1004,0))))</f>
        <v>KKSUK-000073</v>
      </c>
      <c r="E402" s="22">
        <v>45590</v>
      </c>
      <c r="F402" s="23">
        <v>1341667</v>
      </c>
      <c r="G402" s="21"/>
    </row>
    <row r="403" spans="1:7" ht="21" customHeight="1">
      <c r="A403" s="20">
        <f t="shared" si="7"/>
        <v>399</v>
      </c>
      <c r="B403" s="21">
        <v>62</v>
      </c>
      <c r="C403" s="20" t="str">
        <f>IF(B403="","",IF(COUNTIF('04_Pinjaman'!$A$5:$A$1004,B403)=0,"NO PINJAMAN TIDAK DITEMUKAN",INDEX('04_Pinjaman'!$B$5:$B$1004,MATCH(B403,'04_Pinjaman'!$A$5:$A$1004,0))))</f>
        <v>Herman</v>
      </c>
      <c r="D403" s="20" t="str">
        <f>IF(B403="","",IF(COUNTIF('04_Pinjaman'!$A$5:$A$1004,B403)=0,"NPP TIDAK DITEMUKAN",INDEX('04_Pinjaman'!$C$5:$C$1004,MATCH(B403,'04_Pinjaman'!$A$5:$A$1004,0))))</f>
        <v>KKSUK-000073</v>
      </c>
      <c r="E403" s="22">
        <v>45621</v>
      </c>
      <c r="F403" s="23">
        <v>1341667</v>
      </c>
      <c r="G403" s="21"/>
    </row>
    <row r="404" spans="1:7" ht="21" customHeight="1">
      <c r="A404" s="20">
        <f t="shared" si="7"/>
        <v>400</v>
      </c>
      <c r="B404" s="21">
        <v>62</v>
      </c>
      <c r="C404" s="20" t="str">
        <f>IF(B404="","",IF(COUNTIF('04_Pinjaman'!$A$5:$A$1004,B404)=0,"NO PINJAMAN TIDAK DITEMUKAN",INDEX('04_Pinjaman'!$B$5:$B$1004,MATCH(B404,'04_Pinjaman'!$A$5:$A$1004,0))))</f>
        <v>Herman</v>
      </c>
      <c r="D404" s="20" t="str">
        <f>IF(B404="","",IF(COUNTIF('04_Pinjaman'!$A$5:$A$1004,B404)=0,"NPP TIDAK DITEMUKAN",INDEX('04_Pinjaman'!$C$5:$C$1004,MATCH(B404,'04_Pinjaman'!$A$5:$A$1004,0))))</f>
        <v>KKSUK-000073</v>
      </c>
      <c r="E404" s="22">
        <v>45651</v>
      </c>
      <c r="F404" s="23">
        <v>1825000</v>
      </c>
      <c r="G404" s="21"/>
    </row>
    <row r="405" spans="1:7" ht="21" customHeight="1">
      <c r="A405" s="20">
        <f t="shared" si="7"/>
        <v>401</v>
      </c>
      <c r="B405" s="21">
        <v>62</v>
      </c>
      <c r="C405" s="20" t="str">
        <f>IF(B405="","",IF(COUNTIF('04_Pinjaman'!$A$5:$A$1004,B405)=0,"NO PINJAMAN TIDAK DITEMUKAN",INDEX('04_Pinjaman'!$B$5:$B$1004,MATCH(B405,'04_Pinjaman'!$A$5:$A$1004,0))))</f>
        <v>Herman</v>
      </c>
      <c r="D405" s="20" t="str">
        <f>IF(B405="","",IF(COUNTIF('04_Pinjaman'!$A$5:$A$1004,B405)=0,"NPP TIDAK DITEMUKAN",INDEX('04_Pinjaman'!$C$5:$C$1004,MATCH(B405,'04_Pinjaman'!$A$5:$A$1004,0))))</f>
        <v>KKSUK-000073</v>
      </c>
      <c r="E405" s="22">
        <v>45682</v>
      </c>
      <c r="F405" s="23">
        <v>1825000</v>
      </c>
      <c r="G405" s="21"/>
    </row>
    <row r="406" spans="1:7" ht="21" customHeight="1">
      <c r="A406" s="20">
        <f t="shared" si="7"/>
        <v>402</v>
      </c>
      <c r="B406" s="21">
        <v>62</v>
      </c>
      <c r="C406" s="20" t="str">
        <f>IF(B406="","",IF(COUNTIF('04_Pinjaman'!$A$5:$A$1004,B406)=0,"NO PINJAMAN TIDAK DITEMUKAN",INDEX('04_Pinjaman'!$B$5:$B$1004,MATCH(B406,'04_Pinjaman'!$A$5:$A$1004,0))))</f>
        <v>Herman</v>
      </c>
      <c r="D406" s="20" t="str">
        <f>IF(B406="","",IF(COUNTIF('04_Pinjaman'!$A$5:$A$1004,B406)=0,"NPP TIDAK DITEMUKAN",INDEX('04_Pinjaman'!$C$5:$C$1004,MATCH(B406,'04_Pinjaman'!$A$5:$A$1004,0))))</f>
        <v>KKSUK-000073</v>
      </c>
      <c r="E406" s="22">
        <v>45713</v>
      </c>
      <c r="F406" s="23">
        <v>1825000</v>
      </c>
      <c r="G406" s="21"/>
    </row>
    <row r="407" spans="1:7" ht="21" customHeight="1">
      <c r="A407" s="20">
        <f t="shared" si="7"/>
        <v>403</v>
      </c>
      <c r="B407" s="21">
        <v>62</v>
      </c>
      <c r="C407" s="20" t="str">
        <f>IF(B407="","",IF(COUNTIF('04_Pinjaman'!$A$5:$A$1004,B407)=0,"NO PINJAMAN TIDAK DITEMUKAN",INDEX('04_Pinjaman'!$B$5:$B$1004,MATCH(B407,'04_Pinjaman'!$A$5:$A$1004,0))))</f>
        <v>Herman</v>
      </c>
      <c r="D407" s="20" t="str">
        <f>IF(B407="","",IF(COUNTIF('04_Pinjaman'!$A$5:$A$1004,B407)=0,"NPP TIDAK DITEMUKAN",INDEX('04_Pinjaman'!$C$5:$C$1004,MATCH(B407,'04_Pinjaman'!$A$5:$A$1004,0))))</f>
        <v>KKSUK-000073</v>
      </c>
      <c r="E407" s="22">
        <v>45741</v>
      </c>
      <c r="F407" s="23">
        <v>1825000</v>
      </c>
      <c r="G407" s="21"/>
    </row>
    <row r="408" spans="1:7" ht="21" customHeight="1">
      <c r="A408" s="20">
        <f t="shared" si="7"/>
        <v>404</v>
      </c>
      <c r="B408" s="21">
        <v>62</v>
      </c>
      <c r="C408" s="20" t="str">
        <f>IF(B408="","",IF(COUNTIF('04_Pinjaman'!$A$5:$A$1004,B408)=0,"NO PINJAMAN TIDAK DITEMUKAN",INDEX('04_Pinjaman'!$B$5:$B$1004,MATCH(B408,'04_Pinjaman'!$A$5:$A$1004,0))))</f>
        <v>Herman</v>
      </c>
      <c r="D408" s="20" t="str">
        <f>IF(B408="","",IF(COUNTIF('04_Pinjaman'!$A$5:$A$1004,B408)=0,"NPP TIDAK DITEMUKAN",INDEX('04_Pinjaman'!$C$5:$C$1004,MATCH(B408,'04_Pinjaman'!$A$5:$A$1004,0))))</f>
        <v>KKSUK-000073</v>
      </c>
      <c r="E408" s="22">
        <v>45772</v>
      </c>
      <c r="F408" s="23">
        <v>1825000</v>
      </c>
      <c r="G408" s="21"/>
    </row>
    <row r="409" spans="1:7" ht="21" customHeight="1">
      <c r="A409" s="20">
        <f t="shared" si="7"/>
        <v>405</v>
      </c>
      <c r="B409" s="21">
        <v>62</v>
      </c>
      <c r="C409" s="20" t="str">
        <f>IF(B409="","",IF(COUNTIF('04_Pinjaman'!$A$5:$A$1004,B409)=0,"NO PINJAMAN TIDAK DITEMUKAN",INDEX('04_Pinjaman'!$B$5:$B$1004,MATCH(B409,'04_Pinjaman'!$A$5:$A$1004,0))))</f>
        <v>Herman</v>
      </c>
      <c r="D409" s="20" t="str">
        <f>IF(B409="","",IF(COUNTIF('04_Pinjaman'!$A$5:$A$1004,B409)=0,"NPP TIDAK DITEMUKAN",INDEX('04_Pinjaman'!$C$5:$C$1004,MATCH(B409,'04_Pinjaman'!$A$5:$A$1004,0))))</f>
        <v>KKSUK-000073</v>
      </c>
      <c r="E409" s="22">
        <v>45802</v>
      </c>
      <c r="F409" s="23">
        <v>1825000</v>
      </c>
      <c r="G409" s="21"/>
    </row>
    <row r="410" spans="1:7" ht="21" customHeight="1">
      <c r="A410" s="20">
        <f t="shared" si="7"/>
        <v>406</v>
      </c>
      <c r="B410" s="21">
        <v>62</v>
      </c>
      <c r="C410" s="20" t="str">
        <f>IF(B410="","",IF(COUNTIF('04_Pinjaman'!$A$5:$A$1004,B410)=0,"NO PINJAMAN TIDAK DITEMUKAN",INDEX('04_Pinjaman'!$B$5:$B$1004,MATCH(B410,'04_Pinjaman'!$A$5:$A$1004,0))))</f>
        <v>Herman</v>
      </c>
      <c r="D410" s="20" t="str">
        <f>IF(B410="","",IF(COUNTIF('04_Pinjaman'!$A$5:$A$1004,B410)=0,"NPP TIDAK DITEMUKAN",INDEX('04_Pinjaman'!$C$5:$C$1004,MATCH(B410,'04_Pinjaman'!$A$5:$A$1004,0))))</f>
        <v>KKSUK-000073</v>
      </c>
      <c r="E410" s="22">
        <v>45833</v>
      </c>
      <c r="F410" s="23">
        <v>1825000</v>
      </c>
      <c r="G410" s="21"/>
    </row>
    <row r="411" spans="1:7" ht="21" customHeight="1">
      <c r="A411" s="20">
        <f t="shared" si="7"/>
        <v>407</v>
      </c>
      <c r="B411" s="21">
        <v>62</v>
      </c>
      <c r="C411" s="20" t="str">
        <f>IF(B411="","",IF(COUNTIF('04_Pinjaman'!$A$5:$A$1004,B411)=0,"NO PINJAMAN TIDAK DITEMUKAN",INDEX('04_Pinjaman'!$B$5:$B$1004,MATCH(B411,'04_Pinjaman'!$A$5:$A$1004,0))))</f>
        <v>Herman</v>
      </c>
      <c r="D411" s="20" t="str">
        <f>IF(B411="","",IF(COUNTIF('04_Pinjaman'!$A$5:$A$1004,B411)=0,"NPP TIDAK DITEMUKAN",INDEX('04_Pinjaman'!$C$5:$C$1004,MATCH(B411,'04_Pinjaman'!$A$5:$A$1004,0))))</f>
        <v>KKSUK-000073</v>
      </c>
      <c r="E411" s="22">
        <v>45863</v>
      </c>
      <c r="F411" s="23">
        <v>1825000</v>
      </c>
      <c r="G411" s="21"/>
    </row>
    <row r="412" spans="1:7" ht="21" customHeight="1">
      <c r="A412" s="20">
        <f t="shared" si="7"/>
        <v>408</v>
      </c>
      <c r="B412" s="21">
        <v>62</v>
      </c>
      <c r="C412" s="20" t="str">
        <f>IF(B412="","",IF(COUNTIF('04_Pinjaman'!$A$5:$A$1004,B412)=0,"NO PINJAMAN TIDAK DITEMUKAN",INDEX('04_Pinjaman'!$B$5:$B$1004,MATCH(B412,'04_Pinjaman'!$A$5:$A$1004,0))))</f>
        <v>Herman</v>
      </c>
      <c r="D412" s="20" t="str">
        <f>IF(B412="","",IF(COUNTIF('04_Pinjaman'!$A$5:$A$1004,B412)=0,"NPP TIDAK DITEMUKAN",INDEX('04_Pinjaman'!$C$5:$C$1004,MATCH(B412,'04_Pinjaman'!$A$5:$A$1004,0))))</f>
        <v>KKSUK-000073</v>
      </c>
      <c r="E412" s="22">
        <v>45894</v>
      </c>
      <c r="F412" s="23">
        <v>1825000</v>
      </c>
      <c r="G412" s="21"/>
    </row>
    <row r="413" spans="1:7" ht="21" customHeight="1">
      <c r="A413" s="20">
        <f t="shared" si="7"/>
        <v>409</v>
      </c>
      <c r="B413" s="21">
        <v>62</v>
      </c>
      <c r="C413" s="20" t="str">
        <f>IF(B413="","",IF(COUNTIF('04_Pinjaman'!$A$5:$A$1004,B413)=0,"NO PINJAMAN TIDAK DITEMUKAN",INDEX('04_Pinjaman'!$B$5:$B$1004,MATCH(B413,'04_Pinjaman'!$A$5:$A$1004,0))))</f>
        <v>Herman</v>
      </c>
      <c r="D413" s="20" t="str">
        <f>IF(B413="","",IF(COUNTIF('04_Pinjaman'!$A$5:$A$1004,B413)=0,"NPP TIDAK DITEMUKAN",INDEX('04_Pinjaman'!$C$5:$C$1004,MATCH(B413,'04_Pinjaman'!$A$5:$A$1004,0))))</f>
        <v>KKSUK-000073</v>
      </c>
      <c r="E413" s="22">
        <v>45925</v>
      </c>
      <c r="F413" s="23">
        <v>1825000</v>
      </c>
      <c r="G413" s="21"/>
    </row>
    <row r="414" spans="1:7" ht="21" customHeight="1">
      <c r="A414" s="20">
        <f t="shared" si="7"/>
        <v>410</v>
      </c>
      <c r="B414" s="21">
        <v>62</v>
      </c>
      <c r="C414" s="20" t="str">
        <f>IF(B414="","",IF(COUNTIF('04_Pinjaman'!$A$5:$A$1004,B414)=0,"NO PINJAMAN TIDAK DITEMUKAN",INDEX('04_Pinjaman'!$B$5:$B$1004,MATCH(B414,'04_Pinjaman'!$A$5:$A$1004,0))))</f>
        <v>Herman</v>
      </c>
      <c r="D414" s="20" t="str">
        <f>IF(B414="","",IF(COUNTIF('04_Pinjaman'!$A$5:$A$1004,B414)=0,"NPP TIDAK DITEMUKAN",INDEX('04_Pinjaman'!$C$5:$C$1004,MATCH(B414,'04_Pinjaman'!$A$5:$A$1004,0))))</f>
        <v>KKSUK-000073</v>
      </c>
      <c r="E414" s="22">
        <v>45954</v>
      </c>
      <c r="F414" s="23">
        <v>1825000</v>
      </c>
      <c r="G414" s="21"/>
    </row>
    <row r="415" spans="1:7" ht="21" customHeight="1">
      <c r="A415" s="20">
        <f t="shared" si="7"/>
        <v>411</v>
      </c>
      <c r="B415" s="21">
        <v>62</v>
      </c>
      <c r="C415" s="20" t="str">
        <f>IF(B415="","",IF(COUNTIF('04_Pinjaman'!$A$5:$A$1004,B415)=0,"NO PINJAMAN TIDAK DITEMUKAN",INDEX('04_Pinjaman'!$B$5:$B$1004,MATCH(B415,'04_Pinjaman'!$A$5:$A$1004,0))))</f>
        <v>Herman</v>
      </c>
      <c r="D415" s="20" t="str">
        <f>IF(B415="","",IF(COUNTIF('04_Pinjaman'!$A$5:$A$1004,B415)=0,"NPP TIDAK DITEMUKAN",INDEX('04_Pinjaman'!$C$5:$C$1004,MATCH(B415,'04_Pinjaman'!$A$5:$A$1004,0))))</f>
        <v>KKSUK-000073</v>
      </c>
      <c r="E415" s="22">
        <v>45986</v>
      </c>
      <c r="F415" s="23">
        <v>1825000</v>
      </c>
      <c r="G415" s="21"/>
    </row>
    <row r="416" spans="1:7" ht="21" customHeight="1">
      <c r="A416" s="20">
        <f t="shared" si="7"/>
        <v>412</v>
      </c>
      <c r="B416" s="21">
        <v>62</v>
      </c>
      <c r="C416" s="20" t="str">
        <f>IF(B416="","",IF(COUNTIF('04_Pinjaman'!$A$5:$A$1004,B416)=0,"NO PINJAMAN TIDAK DITEMUKAN",INDEX('04_Pinjaman'!$B$5:$B$1004,MATCH(B416,'04_Pinjaman'!$A$5:$A$1004,0))))</f>
        <v>Herman</v>
      </c>
      <c r="D416" s="20" t="str">
        <f>IF(B416="","",IF(COUNTIF('04_Pinjaman'!$A$5:$A$1004,B416)=0,"NPP TIDAK DITEMUKAN",INDEX('04_Pinjaman'!$C$5:$C$1004,MATCH(B416,'04_Pinjaman'!$A$5:$A$1004,0))))</f>
        <v>KKSUK-000073</v>
      </c>
      <c r="E416" s="22">
        <v>46010</v>
      </c>
      <c r="F416" s="23">
        <v>1825000</v>
      </c>
      <c r="G416" s="21"/>
    </row>
    <row r="417" spans="1:7" ht="21" customHeight="1">
      <c r="A417" s="20">
        <f t="shared" si="7"/>
        <v>413</v>
      </c>
      <c r="B417" s="21">
        <v>62</v>
      </c>
      <c r="C417" s="20" t="str">
        <f>IF(B417="","",IF(COUNTIF('04_Pinjaman'!$A$5:$A$1004,B417)=0,"NO PINJAMAN TIDAK DITEMUKAN",INDEX('04_Pinjaman'!$B$5:$B$1004,MATCH(B417,'04_Pinjaman'!$A$5:$A$1004,0))))</f>
        <v>Herman</v>
      </c>
      <c r="D417" s="20" t="str">
        <f>IF(B417="","",IF(COUNTIF('04_Pinjaman'!$A$5:$A$1004,B417)=0,"NPP TIDAK DITEMUKAN",INDEX('04_Pinjaman'!$C$5:$C$1004,MATCH(B417,'04_Pinjaman'!$A$5:$A$1004,0))))</f>
        <v>KKSUK-000073</v>
      </c>
      <c r="E417" s="22">
        <v>46045</v>
      </c>
      <c r="F417" s="23">
        <v>1825000</v>
      </c>
      <c r="G417" s="21"/>
    </row>
    <row r="418" spans="1:7" ht="21" customHeight="1">
      <c r="A418" s="20">
        <f t="shared" si="7"/>
        <v>414</v>
      </c>
      <c r="B418" s="21">
        <v>62</v>
      </c>
      <c r="C418" s="20" t="str">
        <f>IF(B418="","",IF(COUNTIF('04_Pinjaman'!$A$5:$A$1004,B418)=0,"NO PINJAMAN TIDAK DITEMUKAN",INDEX('04_Pinjaman'!$B$5:$B$1004,MATCH(B418,'04_Pinjaman'!$A$5:$A$1004,0))))</f>
        <v>Herman</v>
      </c>
      <c r="D418" s="20" t="str">
        <f>IF(B418="","",IF(COUNTIF('04_Pinjaman'!$A$5:$A$1004,B418)=0,"NPP TIDAK DITEMUKAN",INDEX('04_Pinjaman'!$C$5:$C$1004,MATCH(B418,'04_Pinjaman'!$A$5:$A$1004,0))))</f>
        <v>KKSUK-000073</v>
      </c>
      <c r="E418" s="22">
        <v>46078</v>
      </c>
      <c r="F418" s="23">
        <v>1825000</v>
      </c>
      <c r="G418" s="21"/>
    </row>
    <row r="419" spans="1:7" ht="21" customHeight="1">
      <c r="A419" s="20">
        <f t="shared" si="7"/>
        <v>415</v>
      </c>
      <c r="B419" s="21">
        <v>62</v>
      </c>
      <c r="C419" s="20" t="str">
        <f>IF(B419="","",IF(COUNTIF('04_Pinjaman'!$A$5:$A$1004,B419)=0,"NO PINJAMAN TIDAK DITEMUKAN",INDEX('04_Pinjaman'!$B$5:$B$1004,MATCH(B419,'04_Pinjaman'!$A$5:$A$1004,0))))</f>
        <v>Herman</v>
      </c>
      <c r="D419" s="20" t="str">
        <f>IF(B419="","",IF(COUNTIF('04_Pinjaman'!$A$5:$A$1004,B419)=0,"NPP TIDAK DITEMUKAN",INDEX('04_Pinjaman'!$C$5:$C$1004,MATCH(B419,'04_Pinjaman'!$A$5:$A$1004,0))))</f>
        <v>KKSUK-000073</v>
      </c>
      <c r="E419" s="22">
        <v>46106</v>
      </c>
      <c r="F419" s="23">
        <v>1825000</v>
      </c>
      <c r="G419" s="21"/>
    </row>
    <row r="420" spans="1:7" ht="21" customHeight="1">
      <c r="A420" s="20">
        <f t="shared" si="7"/>
        <v>416</v>
      </c>
      <c r="B420" s="21">
        <v>62</v>
      </c>
      <c r="C420" s="20" t="str">
        <f>IF(B420="","",IF(COUNTIF('04_Pinjaman'!$A$5:$A$1004,B420)=0,"NO PINJAMAN TIDAK DITEMUKAN",INDEX('04_Pinjaman'!$B$5:$B$1004,MATCH(B420,'04_Pinjaman'!$A$5:$A$1004,0))))</f>
        <v>Herman</v>
      </c>
      <c r="D420" s="20" t="str">
        <f>IF(B420="","",IF(COUNTIF('04_Pinjaman'!$A$5:$A$1004,B420)=0,"NPP TIDAK DITEMUKAN",INDEX('04_Pinjaman'!$C$5:$C$1004,MATCH(B420,'04_Pinjaman'!$A$5:$A$1004,0))))</f>
        <v>KKSUK-000073</v>
      </c>
      <c r="E420" s="22">
        <v>46112</v>
      </c>
      <c r="F420" s="23">
        <v>4616666</v>
      </c>
      <c r="G420" s="21"/>
    </row>
    <row r="421" spans="1:7" ht="21" customHeight="1">
      <c r="A421" s="20">
        <f t="shared" si="7"/>
        <v>417</v>
      </c>
      <c r="B421" s="21">
        <v>63</v>
      </c>
      <c r="C421" s="20" t="str">
        <f>IF(B421="","",IF(COUNTIF('04_Pinjaman'!$A$5:$A$1004,B421)=0,"NO PINJAMAN TIDAK DITEMUKAN",INDEX('04_Pinjaman'!$B$5:$B$1004,MATCH(B421,'04_Pinjaman'!$A$5:$A$1004,0))))</f>
        <v>Herman</v>
      </c>
      <c r="D421" s="20" t="str">
        <f>IF(B421="","",IF(COUNTIF('04_Pinjaman'!$A$5:$A$1004,B421)=0,"NPP TIDAK DITEMUKAN",INDEX('04_Pinjaman'!$C$5:$C$1004,MATCH(B421,'04_Pinjaman'!$A$5:$A$1004,0))))</f>
        <v>KKSUK-000073</v>
      </c>
      <c r="E421" s="22">
        <v>46136</v>
      </c>
      <c r="F421" s="23">
        <v>1825000</v>
      </c>
      <c r="G421" s="21" t="s">
        <v>819</v>
      </c>
    </row>
    <row r="422" spans="1:7" ht="21" customHeight="1">
      <c r="A422" s="20">
        <f t="shared" si="7"/>
        <v>418</v>
      </c>
      <c r="B422" s="21">
        <v>63</v>
      </c>
      <c r="C422" s="20" t="str">
        <f>IF(B422="","",IF(COUNTIF('04_Pinjaman'!$A$5:$A$1004,B422)=0,"NO PINJAMAN TIDAK DITEMUKAN",INDEX('04_Pinjaman'!$B$5:$B$1004,MATCH(B422,'04_Pinjaman'!$A$5:$A$1004,0))))</f>
        <v>Herman</v>
      </c>
      <c r="D422" s="20" t="str">
        <f>IF(B422="","",IF(COUNTIF('04_Pinjaman'!$A$5:$A$1004,B422)=0,"NPP TIDAK DITEMUKAN",INDEX('04_Pinjaman'!$C$5:$C$1004,MATCH(B422,'04_Pinjaman'!$A$5:$A$1004,0))))</f>
        <v>KKSUK-000073</v>
      </c>
      <c r="E422" s="22">
        <v>46167</v>
      </c>
      <c r="F422" s="23">
        <v>1858333</v>
      </c>
      <c r="G422" s="21"/>
    </row>
    <row r="423" spans="1:7" ht="21" customHeight="1">
      <c r="A423" s="20">
        <f t="shared" si="7"/>
        <v>419</v>
      </c>
      <c r="B423" s="21">
        <v>63</v>
      </c>
      <c r="C423" s="20" t="str">
        <f>IF(B423="","",IF(COUNTIF('04_Pinjaman'!$A$5:$A$1004,B423)=0,"NO PINJAMAN TIDAK DITEMUKAN",INDEX('04_Pinjaman'!$B$5:$B$1004,MATCH(B423,'04_Pinjaman'!$A$5:$A$1004,0))))</f>
        <v>Herman</v>
      </c>
      <c r="D423" s="20" t="str">
        <f>IF(B423="","",IF(COUNTIF('04_Pinjaman'!$A$5:$A$1004,B423)=0,"NPP TIDAK DITEMUKAN",INDEX('04_Pinjaman'!$C$5:$C$1004,MATCH(B423,'04_Pinjaman'!$A$5:$A$1004,0))))</f>
        <v>KKSUK-000073</v>
      </c>
      <c r="E423" s="22">
        <v>46198</v>
      </c>
      <c r="F423" s="23">
        <v>1858333</v>
      </c>
      <c r="G423" s="21"/>
    </row>
    <row r="424" spans="1:7" ht="21" customHeight="1">
      <c r="A424" s="20">
        <f t="shared" si="7"/>
        <v>420</v>
      </c>
      <c r="B424" s="21">
        <v>63</v>
      </c>
      <c r="C424" s="20" t="str">
        <f>IF(B424="","",IF(COUNTIF('04_Pinjaman'!$A$5:$A$1004,B424)=0,"NO PINJAMAN TIDAK DITEMUKAN",INDEX('04_Pinjaman'!$B$5:$B$1004,MATCH(B424,'04_Pinjaman'!$A$5:$A$1004,0))))</f>
        <v>Herman</v>
      </c>
      <c r="D424" s="20" t="str">
        <f>IF(B424="","",IF(COUNTIF('04_Pinjaman'!$A$5:$A$1004,B424)=0,"NPP TIDAK DITEMUKAN",INDEX('04_Pinjaman'!$C$5:$C$1004,MATCH(B424,'04_Pinjaman'!$A$5:$A$1004,0))))</f>
        <v>KKSUK-000073</v>
      </c>
      <c r="E424" s="22">
        <v>46227</v>
      </c>
      <c r="F424" s="23">
        <v>1858333</v>
      </c>
      <c r="G424" s="21"/>
    </row>
    <row r="425" spans="1:7" ht="21" customHeight="1">
      <c r="A425" s="20">
        <f t="shared" si="7"/>
        <v>421</v>
      </c>
      <c r="B425" s="21">
        <v>63</v>
      </c>
      <c r="C425" s="20" t="str">
        <f>IF(B425="","",IF(COUNTIF('04_Pinjaman'!$A$5:$A$1004,B425)=0,"NO PINJAMAN TIDAK DITEMUKAN",INDEX('04_Pinjaman'!$B$5:$B$1004,MATCH(B425,'04_Pinjaman'!$A$5:$A$1004,0))))</f>
        <v>Herman</v>
      </c>
      <c r="D425" s="20" t="str">
        <f>IF(B425="","",IF(COUNTIF('04_Pinjaman'!$A$5:$A$1004,B425)=0,"NPP TIDAK DITEMUKAN",INDEX('04_Pinjaman'!$C$5:$C$1004,MATCH(B425,'04_Pinjaman'!$A$5:$A$1004,0))))</f>
        <v>KKSUK-000073</v>
      </c>
      <c r="E425" s="22">
        <v>46258</v>
      </c>
      <c r="F425" s="23">
        <v>1858333</v>
      </c>
      <c r="G425" s="21"/>
    </row>
    <row r="426" spans="1:7" ht="21" customHeight="1">
      <c r="A426" s="20">
        <f t="shared" si="7"/>
        <v>422</v>
      </c>
      <c r="B426" s="21">
        <v>64</v>
      </c>
      <c r="C426" s="20" t="str">
        <f>IF(B426="","",IF(COUNTIF('04_Pinjaman'!$A$5:$A$1004,B426)=0,"NO PINJAMAN TIDAK DITEMUKAN",INDEX('04_Pinjaman'!$B$5:$B$1004,MATCH(B426,'04_Pinjaman'!$A$5:$A$1004,0))))</f>
        <v>Hermansyah</v>
      </c>
      <c r="D426" s="20" t="str">
        <f>IF(B426="","",IF(COUNTIF('04_Pinjaman'!$A$5:$A$1004,B426)=0,"NPP TIDAK DITEMUKAN",INDEX('04_Pinjaman'!$C$5:$C$1004,MATCH(B426,'04_Pinjaman'!$A$5:$A$1004,0))))</f>
        <v>KKSUK-000163</v>
      </c>
      <c r="E426" s="22">
        <v>45986</v>
      </c>
      <c r="F426" s="23">
        <v>686667</v>
      </c>
      <c r="G426" s="21"/>
    </row>
    <row r="427" spans="1:7" ht="21" customHeight="1">
      <c r="A427" s="20">
        <f t="shared" si="7"/>
        <v>423</v>
      </c>
      <c r="B427" s="21">
        <v>64</v>
      </c>
      <c r="C427" s="20" t="str">
        <f>IF(B427="","",IF(COUNTIF('04_Pinjaman'!$A$5:$A$1004,B427)=0,"NO PINJAMAN TIDAK DITEMUKAN",INDEX('04_Pinjaman'!$B$5:$B$1004,MATCH(B427,'04_Pinjaman'!$A$5:$A$1004,0))))</f>
        <v>Hermansyah</v>
      </c>
      <c r="D427" s="20" t="str">
        <f>IF(B427="","",IF(COUNTIF('04_Pinjaman'!$A$5:$A$1004,B427)=0,"NPP TIDAK DITEMUKAN",INDEX('04_Pinjaman'!$C$5:$C$1004,MATCH(B427,'04_Pinjaman'!$A$5:$A$1004,0))))</f>
        <v>KKSUK-000163</v>
      </c>
      <c r="E427" s="22">
        <v>46010</v>
      </c>
      <c r="F427" s="23">
        <v>686667</v>
      </c>
      <c r="G427" s="21"/>
    </row>
    <row r="428" spans="1:7" ht="21" customHeight="1">
      <c r="A428" s="20">
        <f t="shared" si="7"/>
        <v>424</v>
      </c>
      <c r="B428" s="21">
        <v>64</v>
      </c>
      <c r="C428" s="20" t="str">
        <f>IF(B428="","",IF(COUNTIF('04_Pinjaman'!$A$5:$A$1004,B428)=0,"NO PINJAMAN TIDAK DITEMUKAN",INDEX('04_Pinjaman'!$B$5:$B$1004,MATCH(B428,'04_Pinjaman'!$A$5:$A$1004,0))))</f>
        <v>Hermansyah</v>
      </c>
      <c r="D428" s="20" t="str">
        <f>IF(B428="","",IF(COUNTIF('04_Pinjaman'!$A$5:$A$1004,B428)=0,"NPP TIDAK DITEMUKAN",INDEX('04_Pinjaman'!$C$5:$C$1004,MATCH(B428,'04_Pinjaman'!$A$5:$A$1004,0))))</f>
        <v>KKSUK-000163</v>
      </c>
      <c r="E428" s="22">
        <v>46030</v>
      </c>
      <c r="F428" s="23">
        <v>686666</v>
      </c>
      <c r="G428" s="21" t="s">
        <v>800</v>
      </c>
    </row>
    <row r="429" spans="1:7" ht="21" customHeight="1">
      <c r="A429" s="20">
        <f t="shared" si="7"/>
        <v>425</v>
      </c>
      <c r="B429" s="21">
        <v>64</v>
      </c>
      <c r="C429" s="20" t="str">
        <f>IF(B429="","",IF(COUNTIF('04_Pinjaman'!$A$5:$A$1004,B429)=0,"NO PINJAMAN TIDAK DITEMUKAN",INDEX('04_Pinjaman'!$B$5:$B$1004,MATCH(B429,'04_Pinjaman'!$A$5:$A$1004,0))))</f>
        <v>Hermansyah</v>
      </c>
      <c r="D429" s="20" t="str">
        <f>IF(B429="","",IF(COUNTIF('04_Pinjaman'!$A$5:$A$1004,B429)=0,"NPP TIDAK DITEMUKAN",INDEX('04_Pinjaman'!$C$5:$C$1004,MATCH(B429,'04_Pinjaman'!$A$5:$A$1004,0))))</f>
        <v>KKSUK-000163</v>
      </c>
      <c r="E429" s="22">
        <v>46045</v>
      </c>
      <c r="F429" s="23">
        <v>686667</v>
      </c>
      <c r="G429" s="21"/>
    </row>
    <row r="430" spans="1:7" ht="21" customHeight="1">
      <c r="A430" s="20">
        <f t="shared" si="7"/>
        <v>426</v>
      </c>
      <c r="B430" s="21">
        <v>64</v>
      </c>
      <c r="C430" s="20" t="str">
        <f>IF(B430="","",IF(COUNTIF('04_Pinjaman'!$A$5:$A$1004,B430)=0,"NO PINJAMAN TIDAK DITEMUKAN",INDEX('04_Pinjaman'!$B$5:$B$1004,MATCH(B430,'04_Pinjaman'!$A$5:$A$1004,0))))</f>
        <v>Hermansyah</v>
      </c>
      <c r="D430" s="20" t="str">
        <f>IF(B430="","",IF(COUNTIF('04_Pinjaman'!$A$5:$A$1004,B430)=0,"NPP TIDAK DITEMUKAN",INDEX('04_Pinjaman'!$C$5:$C$1004,MATCH(B430,'04_Pinjaman'!$A$5:$A$1004,0))))</f>
        <v>KKSUK-000163</v>
      </c>
      <c r="E430" s="22">
        <v>46048</v>
      </c>
      <c r="F430" s="23">
        <v>-686667</v>
      </c>
      <c r="G430" s="21" t="s">
        <v>817</v>
      </c>
    </row>
    <row r="431" spans="1:7" ht="21" customHeight="1">
      <c r="A431" s="20">
        <f t="shared" si="7"/>
        <v>427</v>
      </c>
      <c r="B431" s="21">
        <v>65</v>
      </c>
      <c r="C431" s="20" t="str">
        <f>IF(B431="","",IF(COUNTIF('04_Pinjaman'!$A$5:$A$1004,B431)=0,"NO PINJAMAN TIDAK DITEMUKAN",INDEX('04_Pinjaman'!$B$5:$B$1004,MATCH(B431,'04_Pinjaman'!$A$5:$A$1004,0))))</f>
        <v>Hermansyah</v>
      </c>
      <c r="D431" s="20" t="str">
        <f>IF(B431="","",IF(COUNTIF('04_Pinjaman'!$A$5:$A$1004,B431)=0,"NPP TIDAK DITEMUKAN",INDEX('04_Pinjaman'!$C$5:$C$1004,MATCH(B431,'04_Pinjaman'!$A$5:$A$1004,0))))</f>
        <v>KKSUK-000163</v>
      </c>
      <c r="E431" s="22">
        <v>46078</v>
      </c>
      <c r="F431" s="23">
        <v>735000</v>
      </c>
      <c r="G431" s="21"/>
    </row>
    <row r="432" spans="1:7" ht="21" customHeight="1">
      <c r="A432" s="20">
        <f t="shared" si="7"/>
        <v>428</v>
      </c>
      <c r="B432" s="21">
        <v>65</v>
      </c>
      <c r="C432" s="20" t="str">
        <f>IF(B432="","",IF(COUNTIF('04_Pinjaman'!$A$5:$A$1004,B432)=0,"NO PINJAMAN TIDAK DITEMUKAN",INDEX('04_Pinjaman'!$B$5:$B$1004,MATCH(B432,'04_Pinjaman'!$A$5:$A$1004,0))))</f>
        <v>Hermansyah</v>
      </c>
      <c r="D432" s="20" t="str">
        <f>IF(B432="","",IF(COUNTIF('04_Pinjaman'!$A$5:$A$1004,B432)=0,"NPP TIDAK DITEMUKAN",INDEX('04_Pinjaman'!$C$5:$C$1004,MATCH(B432,'04_Pinjaman'!$A$5:$A$1004,0))))</f>
        <v>KKSUK-000163</v>
      </c>
      <c r="E432" s="22">
        <v>46106</v>
      </c>
      <c r="F432" s="23">
        <v>735000</v>
      </c>
      <c r="G432" s="21"/>
    </row>
    <row r="433" spans="1:7" ht="21" customHeight="1">
      <c r="A433" s="20">
        <f t="shared" si="7"/>
        <v>429</v>
      </c>
      <c r="B433" s="21">
        <v>65</v>
      </c>
      <c r="C433" s="20" t="str">
        <f>IF(B433="","",IF(COUNTIF('04_Pinjaman'!$A$5:$A$1004,B433)=0,"NO PINJAMAN TIDAK DITEMUKAN",INDEX('04_Pinjaman'!$B$5:$B$1004,MATCH(B433,'04_Pinjaman'!$A$5:$A$1004,0))))</f>
        <v>Hermansyah</v>
      </c>
      <c r="D433" s="20" t="str">
        <f>IF(B433="","",IF(COUNTIF('04_Pinjaman'!$A$5:$A$1004,B433)=0,"NPP TIDAK DITEMUKAN",INDEX('04_Pinjaman'!$C$5:$C$1004,MATCH(B433,'04_Pinjaman'!$A$5:$A$1004,0))))</f>
        <v>KKSUK-000163</v>
      </c>
      <c r="E433" s="22">
        <v>46136</v>
      </c>
      <c r="F433" s="23">
        <v>735000</v>
      </c>
      <c r="G433" s="21"/>
    </row>
    <row r="434" spans="1:7" ht="21" customHeight="1">
      <c r="A434" s="20">
        <f t="shared" si="7"/>
        <v>430</v>
      </c>
      <c r="B434" s="21">
        <v>65</v>
      </c>
      <c r="C434" s="20" t="str">
        <f>IF(B434="","",IF(COUNTIF('04_Pinjaman'!$A$5:$A$1004,B434)=0,"NO PINJAMAN TIDAK DITEMUKAN",INDEX('04_Pinjaman'!$B$5:$B$1004,MATCH(B434,'04_Pinjaman'!$A$5:$A$1004,0))))</f>
        <v>Hermansyah</v>
      </c>
      <c r="D434" s="20" t="str">
        <f>IF(B434="","",IF(COUNTIF('04_Pinjaman'!$A$5:$A$1004,B434)=0,"NPP TIDAK DITEMUKAN",INDEX('04_Pinjaman'!$C$5:$C$1004,MATCH(B434,'04_Pinjaman'!$A$5:$A$1004,0))))</f>
        <v>KKSUK-000163</v>
      </c>
      <c r="E434" s="22">
        <v>46161</v>
      </c>
      <c r="F434" s="23">
        <v>735000</v>
      </c>
      <c r="G434" s="21" t="s">
        <v>800</v>
      </c>
    </row>
    <row r="435" spans="1:7" ht="21" customHeight="1">
      <c r="A435" s="20">
        <f t="shared" si="7"/>
        <v>431</v>
      </c>
      <c r="B435" s="21">
        <v>65</v>
      </c>
      <c r="C435" s="20" t="str">
        <f>IF(B435="","",IF(COUNTIF('04_Pinjaman'!$A$5:$A$1004,B435)=0,"NO PINJAMAN TIDAK DITEMUKAN",INDEX('04_Pinjaman'!$B$5:$B$1004,MATCH(B435,'04_Pinjaman'!$A$5:$A$1004,0))))</f>
        <v>Hermansyah</v>
      </c>
      <c r="D435" s="20" t="str">
        <f>IF(B435="","",IF(COUNTIF('04_Pinjaman'!$A$5:$A$1004,B435)=0,"NPP TIDAK DITEMUKAN",INDEX('04_Pinjaman'!$C$5:$C$1004,MATCH(B435,'04_Pinjaman'!$A$5:$A$1004,0))))</f>
        <v>KKSUK-000163</v>
      </c>
      <c r="E435" s="22">
        <v>46167</v>
      </c>
      <c r="F435" s="23">
        <v>735000</v>
      </c>
      <c r="G435" s="21"/>
    </row>
    <row r="436" spans="1:7" ht="21" customHeight="1">
      <c r="A436" s="20">
        <f t="shared" si="7"/>
        <v>432</v>
      </c>
      <c r="B436" s="21">
        <v>66</v>
      </c>
      <c r="C436" s="20" t="str">
        <f>IF(B436="","",IF(COUNTIF('04_Pinjaman'!$A$5:$A$1004,B436)=0,"NO PINJAMAN TIDAK DITEMUKAN",INDEX('04_Pinjaman'!$B$5:$B$1004,MATCH(B436,'04_Pinjaman'!$A$5:$A$1004,0))))</f>
        <v>Hermansyah</v>
      </c>
      <c r="D436" s="20" t="str">
        <f>IF(B436="","",IF(COUNTIF('04_Pinjaman'!$A$5:$A$1004,B436)=0,"NPP TIDAK DITEMUKAN",INDEX('04_Pinjaman'!$C$5:$C$1004,MATCH(B436,'04_Pinjaman'!$A$5:$A$1004,0))))</f>
        <v>KKSUK-000163</v>
      </c>
      <c r="E436" s="22">
        <v>46227</v>
      </c>
      <c r="F436" s="23">
        <v>550000</v>
      </c>
      <c r="G436" s="21"/>
    </row>
    <row r="437" spans="1:7" ht="21" customHeight="1">
      <c r="A437" s="20">
        <f t="shared" si="7"/>
        <v>433</v>
      </c>
      <c r="B437" s="21">
        <v>66</v>
      </c>
      <c r="C437" s="20" t="str">
        <f>IF(B437="","",IF(COUNTIF('04_Pinjaman'!$A$5:$A$1004,B437)=0,"NO PINJAMAN TIDAK DITEMUKAN",INDEX('04_Pinjaman'!$B$5:$B$1004,MATCH(B437,'04_Pinjaman'!$A$5:$A$1004,0))))</f>
        <v>Hermansyah</v>
      </c>
      <c r="D437" s="20" t="str">
        <f>IF(B437="","",IF(COUNTIF('04_Pinjaman'!$A$5:$A$1004,B437)=0,"NPP TIDAK DITEMUKAN",INDEX('04_Pinjaman'!$C$5:$C$1004,MATCH(B437,'04_Pinjaman'!$A$5:$A$1004,0))))</f>
        <v>KKSUK-000163</v>
      </c>
      <c r="E437" s="22">
        <v>46258</v>
      </c>
      <c r="F437" s="23">
        <v>550000</v>
      </c>
      <c r="G437" s="21"/>
    </row>
    <row r="438" spans="1:7" ht="21" customHeight="1">
      <c r="A438" s="20">
        <f t="shared" si="7"/>
        <v>434</v>
      </c>
      <c r="B438" s="21">
        <v>68</v>
      </c>
      <c r="C438" s="20" t="str">
        <f>IF(B438="","",IF(COUNTIF('04_Pinjaman'!$A$5:$A$1004,B438)=0,"NO PINJAMAN TIDAK DITEMUKAN",INDEX('04_Pinjaman'!$B$5:$B$1004,MATCH(B438,'04_Pinjaman'!$A$5:$A$1004,0))))</f>
        <v>Heru Sri Margono</v>
      </c>
      <c r="D438" s="20" t="str">
        <f>IF(B438="","",IF(COUNTIF('04_Pinjaman'!$A$5:$A$1004,B438)=0,"NPP TIDAK DITEMUKAN",INDEX('04_Pinjaman'!$C$5:$C$1004,MATCH(B438,'04_Pinjaman'!$A$5:$A$1004,0))))</f>
        <v>KKSUK-000020</v>
      </c>
      <c r="E438" s="22">
        <v>46010</v>
      </c>
      <c r="F438" s="23">
        <v>2368333</v>
      </c>
      <c r="G438" s="21"/>
    </row>
    <row r="439" spans="1:7" ht="21" customHeight="1">
      <c r="A439" s="20">
        <f t="shared" si="7"/>
        <v>435</v>
      </c>
      <c r="B439" s="21">
        <v>68</v>
      </c>
      <c r="C439" s="20" t="str">
        <f>IF(B439="","",IF(COUNTIF('04_Pinjaman'!$A$5:$A$1004,B439)=0,"NO PINJAMAN TIDAK DITEMUKAN",INDEX('04_Pinjaman'!$B$5:$B$1004,MATCH(B439,'04_Pinjaman'!$A$5:$A$1004,0))))</f>
        <v>Heru Sri Margono</v>
      </c>
      <c r="D439" s="20" t="str">
        <f>IF(B439="","",IF(COUNTIF('04_Pinjaman'!$A$5:$A$1004,B439)=0,"NPP TIDAK DITEMUKAN",INDEX('04_Pinjaman'!$C$5:$C$1004,MATCH(B439,'04_Pinjaman'!$A$5:$A$1004,0))))</f>
        <v>KKSUK-000020</v>
      </c>
      <c r="E439" s="22">
        <v>46045</v>
      </c>
      <c r="F439" s="23">
        <v>2368333</v>
      </c>
      <c r="G439" s="21"/>
    </row>
    <row r="440" spans="1:7" ht="21" customHeight="1">
      <c r="A440" s="20">
        <f t="shared" si="7"/>
        <v>436</v>
      </c>
      <c r="B440" s="21">
        <v>68</v>
      </c>
      <c r="C440" s="20" t="str">
        <f>IF(B440="","",IF(COUNTIF('04_Pinjaman'!$A$5:$A$1004,B440)=0,"NO PINJAMAN TIDAK DITEMUKAN",INDEX('04_Pinjaman'!$B$5:$B$1004,MATCH(B440,'04_Pinjaman'!$A$5:$A$1004,0))))</f>
        <v>Heru Sri Margono</v>
      </c>
      <c r="D440" s="20" t="str">
        <f>IF(B440="","",IF(COUNTIF('04_Pinjaman'!$A$5:$A$1004,B440)=0,"NPP TIDAK DITEMUKAN",INDEX('04_Pinjaman'!$C$5:$C$1004,MATCH(B440,'04_Pinjaman'!$A$5:$A$1004,0))))</f>
        <v>KKSUK-000020</v>
      </c>
      <c r="E440" s="22">
        <v>46078</v>
      </c>
      <c r="F440" s="23">
        <v>2368333</v>
      </c>
      <c r="G440" s="21"/>
    </row>
    <row r="441" spans="1:7" ht="21" customHeight="1">
      <c r="A441" s="20">
        <f t="shared" si="7"/>
        <v>437</v>
      </c>
      <c r="B441" s="21">
        <v>68</v>
      </c>
      <c r="C441" s="20" t="str">
        <f>IF(B441="","",IF(COUNTIF('04_Pinjaman'!$A$5:$A$1004,B441)=0,"NO PINJAMAN TIDAK DITEMUKAN",INDEX('04_Pinjaman'!$B$5:$B$1004,MATCH(B441,'04_Pinjaman'!$A$5:$A$1004,0))))</f>
        <v>Heru Sri Margono</v>
      </c>
      <c r="D441" s="20" t="str">
        <f>IF(B441="","",IF(COUNTIF('04_Pinjaman'!$A$5:$A$1004,B441)=0,"NPP TIDAK DITEMUKAN",INDEX('04_Pinjaman'!$C$5:$C$1004,MATCH(B441,'04_Pinjaman'!$A$5:$A$1004,0))))</f>
        <v>KKSUK-000020</v>
      </c>
      <c r="E441" s="22">
        <v>46106</v>
      </c>
      <c r="F441" s="23">
        <v>2368333</v>
      </c>
      <c r="G441" s="21"/>
    </row>
    <row r="442" spans="1:7" ht="21" customHeight="1">
      <c r="A442" s="20">
        <f t="shared" si="7"/>
        <v>438</v>
      </c>
      <c r="B442" s="21">
        <v>68</v>
      </c>
      <c r="C442" s="20" t="str">
        <f>IF(B442="","",IF(COUNTIF('04_Pinjaman'!$A$5:$A$1004,B442)=0,"NO PINJAMAN TIDAK DITEMUKAN",INDEX('04_Pinjaman'!$B$5:$B$1004,MATCH(B442,'04_Pinjaman'!$A$5:$A$1004,0))))</f>
        <v>Heru Sri Margono</v>
      </c>
      <c r="D442" s="20" t="str">
        <f>IF(B442="","",IF(COUNTIF('04_Pinjaman'!$A$5:$A$1004,B442)=0,"NPP TIDAK DITEMUKAN",INDEX('04_Pinjaman'!$C$5:$C$1004,MATCH(B442,'04_Pinjaman'!$A$5:$A$1004,0))))</f>
        <v>KKSUK-000020</v>
      </c>
      <c r="E442" s="22">
        <v>46136</v>
      </c>
      <c r="F442" s="23">
        <v>2368333</v>
      </c>
      <c r="G442" s="21"/>
    </row>
    <row r="443" spans="1:7" ht="21" customHeight="1">
      <c r="A443" s="20">
        <f t="shared" si="7"/>
        <v>439</v>
      </c>
      <c r="B443" s="21">
        <v>68</v>
      </c>
      <c r="C443" s="20" t="str">
        <f>IF(B443="","",IF(COUNTIF('04_Pinjaman'!$A$5:$A$1004,B443)=0,"NO PINJAMAN TIDAK DITEMUKAN",INDEX('04_Pinjaman'!$B$5:$B$1004,MATCH(B443,'04_Pinjaman'!$A$5:$A$1004,0))))</f>
        <v>Heru Sri Margono</v>
      </c>
      <c r="D443" s="20" t="str">
        <f>IF(B443="","",IF(COUNTIF('04_Pinjaman'!$A$5:$A$1004,B443)=0,"NPP TIDAK DITEMUKAN",INDEX('04_Pinjaman'!$C$5:$C$1004,MATCH(B443,'04_Pinjaman'!$A$5:$A$1004,0))))</f>
        <v>KKSUK-000020</v>
      </c>
      <c r="E443" s="22">
        <v>46167</v>
      </c>
      <c r="F443" s="23">
        <v>2368333</v>
      </c>
      <c r="G443" s="21"/>
    </row>
    <row r="444" spans="1:7" ht="21" customHeight="1">
      <c r="A444" s="20">
        <f t="shared" si="7"/>
        <v>440</v>
      </c>
      <c r="B444" s="21">
        <v>68</v>
      </c>
      <c r="C444" s="20" t="str">
        <f>IF(B444="","",IF(COUNTIF('04_Pinjaman'!$A$5:$A$1004,B444)=0,"NO PINJAMAN TIDAK DITEMUKAN",INDEX('04_Pinjaman'!$B$5:$B$1004,MATCH(B444,'04_Pinjaman'!$A$5:$A$1004,0))))</f>
        <v>Heru Sri Margono</v>
      </c>
      <c r="D444" s="20" t="str">
        <f>IF(B444="","",IF(COUNTIF('04_Pinjaman'!$A$5:$A$1004,B444)=0,"NPP TIDAK DITEMUKAN",INDEX('04_Pinjaman'!$C$5:$C$1004,MATCH(B444,'04_Pinjaman'!$A$5:$A$1004,0))))</f>
        <v>KKSUK-000020</v>
      </c>
      <c r="E444" s="22">
        <v>46198</v>
      </c>
      <c r="F444" s="23">
        <v>2368333</v>
      </c>
      <c r="G444" s="21"/>
    </row>
    <row r="445" spans="1:7" ht="21" customHeight="1">
      <c r="A445" s="20">
        <f t="shared" si="7"/>
        <v>441</v>
      </c>
      <c r="B445" s="21">
        <v>68</v>
      </c>
      <c r="C445" s="20" t="str">
        <f>IF(B445="","",IF(COUNTIF('04_Pinjaman'!$A$5:$A$1004,B445)=0,"NO PINJAMAN TIDAK DITEMUKAN",INDEX('04_Pinjaman'!$B$5:$B$1004,MATCH(B445,'04_Pinjaman'!$A$5:$A$1004,0))))</f>
        <v>Heru Sri Margono</v>
      </c>
      <c r="D445" s="20" t="str">
        <f>IF(B445="","",IF(COUNTIF('04_Pinjaman'!$A$5:$A$1004,B445)=0,"NPP TIDAK DITEMUKAN",INDEX('04_Pinjaman'!$C$5:$C$1004,MATCH(B445,'04_Pinjaman'!$A$5:$A$1004,0))))</f>
        <v>KKSUK-000020</v>
      </c>
      <c r="E445" s="22">
        <v>46227</v>
      </c>
      <c r="F445" s="23">
        <v>2368333</v>
      </c>
      <c r="G445" s="21"/>
    </row>
    <row r="446" spans="1:7" ht="21" customHeight="1">
      <c r="A446" s="20">
        <f t="shared" si="7"/>
        <v>442</v>
      </c>
      <c r="B446" s="21">
        <v>68</v>
      </c>
      <c r="C446" s="20" t="str">
        <f>IF(B446="","",IF(COUNTIF('04_Pinjaman'!$A$5:$A$1004,B446)=0,"NO PINJAMAN TIDAK DITEMUKAN",INDEX('04_Pinjaman'!$B$5:$B$1004,MATCH(B446,'04_Pinjaman'!$A$5:$A$1004,0))))</f>
        <v>Heru Sri Margono</v>
      </c>
      <c r="D446" s="20" t="str">
        <f>IF(B446="","",IF(COUNTIF('04_Pinjaman'!$A$5:$A$1004,B446)=0,"NPP TIDAK DITEMUKAN",INDEX('04_Pinjaman'!$C$5:$C$1004,MATCH(B446,'04_Pinjaman'!$A$5:$A$1004,0))))</f>
        <v>KKSUK-000020</v>
      </c>
      <c r="E446" s="22">
        <v>46258</v>
      </c>
      <c r="F446" s="23">
        <v>2368333</v>
      </c>
      <c r="G446" s="21"/>
    </row>
    <row r="447" spans="1:7" ht="21" customHeight="1">
      <c r="A447" s="20">
        <f t="shared" si="7"/>
        <v>443</v>
      </c>
      <c r="B447" s="21">
        <v>69</v>
      </c>
      <c r="C447" s="20" t="str">
        <f>IF(B447="","",IF(COUNTIF('04_Pinjaman'!$A$5:$A$1004,B447)=0,"NO PINJAMAN TIDAK DITEMUKAN",INDEX('04_Pinjaman'!$B$5:$B$1004,MATCH(B447,'04_Pinjaman'!$A$5:$A$1004,0))))</f>
        <v>Heru Sri Margono</v>
      </c>
      <c r="D447" s="20" t="str">
        <f>IF(B447="","",IF(COUNTIF('04_Pinjaman'!$A$5:$A$1004,B447)=0,"NPP TIDAK DITEMUKAN",INDEX('04_Pinjaman'!$C$5:$C$1004,MATCH(B447,'04_Pinjaman'!$A$5:$A$1004,0))))</f>
        <v>KKSUK-000020</v>
      </c>
      <c r="E447" s="22">
        <v>46167</v>
      </c>
      <c r="F447" s="23">
        <v>805000</v>
      </c>
      <c r="G447" s="21"/>
    </row>
    <row r="448" spans="1:7" ht="21" customHeight="1">
      <c r="A448" s="20">
        <f t="shared" si="7"/>
        <v>444</v>
      </c>
      <c r="B448" s="21">
        <v>69</v>
      </c>
      <c r="C448" s="20" t="str">
        <f>IF(B448="","",IF(COUNTIF('04_Pinjaman'!$A$5:$A$1004,B448)=0,"NO PINJAMAN TIDAK DITEMUKAN",INDEX('04_Pinjaman'!$B$5:$B$1004,MATCH(B448,'04_Pinjaman'!$A$5:$A$1004,0))))</f>
        <v>Heru Sri Margono</v>
      </c>
      <c r="D448" s="20" t="str">
        <f>IF(B448="","",IF(COUNTIF('04_Pinjaman'!$A$5:$A$1004,B448)=0,"NPP TIDAK DITEMUKAN",INDEX('04_Pinjaman'!$C$5:$C$1004,MATCH(B448,'04_Pinjaman'!$A$5:$A$1004,0))))</f>
        <v>KKSUK-000020</v>
      </c>
      <c r="E448" s="22">
        <v>46198</v>
      </c>
      <c r="F448" s="23">
        <v>805000</v>
      </c>
      <c r="G448" s="21"/>
    </row>
    <row r="449" spans="1:7" ht="21" customHeight="1">
      <c r="A449" s="20">
        <f t="shared" si="7"/>
        <v>445</v>
      </c>
      <c r="B449" s="21">
        <v>69</v>
      </c>
      <c r="C449" s="20" t="str">
        <f>IF(B449="","",IF(COUNTIF('04_Pinjaman'!$A$5:$A$1004,B449)=0,"NO PINJAMAN TIDAK DITEMUKAN",INDEX('04_Pinjaman'!$B$5:$B$1004,MATCH(B449,'04_Pinjaman'!$A$5:$A$1004,0))))</f>
        <v>Heru Sri Margono</v>
      </c>
      <c r="D449" s="20" t="str">
        <f>IF(B449="","",IF(COUNTIF('04_Pinjaman'!$A$5:$A$1004,B449)=0,"NPP TIDAK DITEMUKAN",INDEX('04_Pinjaman'!$C$5:$C$1004,MATCH(B449,'04_Pinjaman'!$A$5:$A$1004,0))))</f>
        <v>KKSUK-000020</v>
      </c>
      <c r="E449" s="22">
        <v>46227</v>
      </c>
      <c r="F449" s="23">
        <v>805000</v>
      </c>
      <c r="G449" s="21"/>
    </row>
    <row r="450" spans="1:7" ht="21" customHeight="1">
      <c r="A450" s="20">
        <f t="shared" si="7"/>
        <v>446</v>
      </c>
      <c r="B450" s="21">
        <v>69</v>
      </c>
      <c r="C450" s="20" t="str">
        <f>IF(B450="","",IF(COUNTIF('04_Pinjaman'!$A$5:$A$1004,B450)=0,"NO PINJAMAN TIDAK DITEMUKAN",INDEX('04_Pinjaman'!$B$5:$B$1004,MATCH(B450,'04_Pinjaman'!$A$5:$A$1004,0))))</f>
        <v>Heru Sri Margono</v>
      </c>
      <c r="D450" s="20" t="str">
        <f>IF(B450="","",IF(COUNTIF('04_Pinjaman'!$A$5:$A$1004,B450)=0,"NPP TIDAK DITEMUKAN",INDEX('04_Pinjaman'!$C$5:$C$1004,MATCH(B450,'04_Pinjaman'!$A$5:$A$1004,0))))</f>
        <v>KKSUK-000020</v>
      </c>
      <c r="E450" s="22">
        <v>46258</v>
      </c>
      <c r="F450" s="23">
        <v>805000</v>
      </c>
      <c r="G450" s="21"/>
    </row>
    <row r="451" spans="1:7" ht="21" customHeight="1">
      <c r="A451" s="20">
        <f t="shared" si="7"/>
        <v>447</v>
      </c>
      <c r="B451" s="21">
        <v>70</v>
      </c>
      <c r="C451" s="20" t="str">
        <f>IF(B451="","",IF(COUNTIF('04_Pinjaman'!$A$5:$A$1004,B451)=0,"NO PINJAMAN TIDAK DITEMUKAN",INDEX('04_Pinjaman'!$B$5:$B$1004,MATCH(B451,'04_Pinjaman'!$A$5:$A$1004,0))))</f>
        <v>Hesby Aga Ardila Nugroho</v>
      </c>
      <c r="D451" s="20" t="str">
        <f>IF(B451="","",IF(COUNTIF('04_Pinjaman'!$A$5:$A$1004,B451)=0,"NPP TIDAK DITEMUKAN",INDEX('04_Pinjaman'!$C$5:$C$1004,MATCH(B451,'04_Pinjaman'!$A$5:$A$1004,0))))</f>
        <v>KKSUK-000103</v>
      </c>
      <c r="E451" s="22">
        <v>45894</v>
      </c>
      <c r="F451" s="23">
        <v>1430000</v>
      </c>
      <c r="G451" s="21"/>
    </row>
    <row r="452" spans="1:7" ht="21" customHeight="1">
      <c r="A452" s="20">
        <f t="shared" si="7"/>
        <v>448</v>
      </c>
      <c r="B452" s="21">
        <v>70</v>
      </c>
      <c r="C452" s="20" t="str">
        <f>IF(B452="","",IF(COUNTIF('04_Pinjaman'!$A$5:$A$1004,B452)=0,"NO PINJAMAN TIDAK DITEMUKAN",INDEX('04_Pinjaman'!$B$5:$B$1004,MATCH(B452,'04_Pinjaman'!$A$5:$A$1004,0))))</f>
        <v>Hesby Aga Ardila Nugroho</v>
      </c>
      <c r="D452" s="20" t="str">
        <f>IF(B452="","",IF(COUNTIF('04_Pinjaman'!$A$5:$A$1004,B452)=0,"NPP TIDAK DITEMUKAN",INDEX('04_Pinjaman'!$C$5:$C$1004,MATCH(B452,'04_Pinjaman'!$A$5:$A$1004,0))))</f>
        <v>KKSUK-000103</v>
      </c>
      <c r="E452" s="22">
        <v>45925</v>
      </c>
      <c r="F452" s="23">
        <v>1430000</v>
      </c>
      <c r="G452" s="21"/>
    </row>
    <row r="453" spans="1:7" ht="21" customHeight="1">
      <c r="A453" s="20">
        <f t="shared" ref="A453:A516" si="8">IF(B453="","",ROW()-4)</f>
        <v>449</v>
      </c>
      <c r="B453" s="21">
        <v>70</v>
      </c>
      <c r="C453" s="20" t="str">
        <f>IF(B453="","",IF(COUNTIF('04_Pinjaman'!$A$5:$A$1004,B453)=0,"NO PINJAMAN TIDAK DITEMUKAN",INDEX('04_Pinjaman'!$B$5:$B$1004,MATCH(B453,'04_Pinjaman'!$A$5:$A$1004,0))))</f>
        <v>Hesby Aga Ardila Nugroho</v>
      </c>
      <c r="D453" s="20" t="str">
        <f>IF(B453="","",IF(COUNTIF('04_Pinjaman'!$A$5:$A$1004,B453)=0,"NPP TIDAK DITEMUKAN",INDEX('04_Pinjaman'!$C$5:$C$1004,MATCH(B453,'04_Pinjaman'!$A$5:$A$1004,0))))</f>
        <v>KKSUK-000103</v>
      </c>
      <c r="E453" s="22">
        <v>45954</v>
      </c>
      <c r="F453" s="23">
        <v>1430000</v>
      </c>
      <c r="G453" s="21"/>
    </row>
    <row r="454" spans="1:7" ht="21" customHeight="1">
      <c r="A454" s="20">
        <f t="shared" si="8"/>
        <v>450</v>
      </c>
      <c r="B454" s="21">
        <v>70</v>
      </c>
      <c r="C454" s="20" t="str">
        <f>IF(B454="","",IF(COUNTIF('04_Pinjaman'!$A$5:$A$1004,B454)=0,"NO PINJAMAN TIDAK DITEMUKAN",INDEX('04_Pinjaman'!$B$5:$B$1004,MATCH(B454,'04_Pinjaman'!$A$5:$A$1004,0))))</f>
        <v>Hesby Aga Ardila Nugroho</v>
      </c>
      <c r="D454" s="20" t="str">
        <f>IF(B454="","",IF(COUNTIF('04_Pinjaman'!$A$5:$A$1004,B454)=0,"NPP TIDAK DITEMUKAN",INDEX('04_Pinjaman'!$C$5:$C$1004,MATCH(B454,'04_Pinjaman'!$A$5:$A$1004,0))))</f>
        <v>KKSUK-000103</v>
      </c>
      <c r="E454" s="22">
        <v>45986</v>
      </c>
      <c r="F454" s="23">
        <v>1430000</v>
      </c>
      <c r="G454" s="21"/>
    </row>
    <row r="455" spans="1:7" ht="21" customHeight="1">
      <c r="A455" s="20">
        <f t="shared" si="8"/>
        <v>451</v>
      </c>
      <c r="B455" s="21">
        <v>70</v>
      </c>
      <c r="C455" s="20" t="str">
        <f>IF(B455="","",IF(COUNTIF('04_Pinjaman'!$A$5:$A$1004,B455)=0,"NO PINJAMAN TIDAK DITEMUKAN",INDEX('04_Pinjaman'!$B$5:$B$1004,MATCH(B455,'04_Pinjaman'!$A$5:$A$1004,0))))</f>
        <v>Hesby Aga Ardila Nugroho</v>
      </c>
      <c r="D455" s="20" t="str">
        <f>IF(B455="","",IF(COUNTIF('04_Pinjaman'!$A$5:$A$1004,B455)=0,"NPP TIDAK DITEMUKAN",INDEX('04_Pinjaman'!$C$5:$C$1004,MATCH(B455,'04_Pinjaman'!$A$5:$A$1004,0))))</f>
        <v>KKSUK-000103</v>
      </c>
      <c r="E455" s="22">
        <v>46010</v>
      </c>
      <c r="F455" s="23">
        <v>1430000</v>
      </c>
      <c r="G455" s="21"/>
    </row>
    <row r="456" spans="1:7" ht="21" customHeight="1">
      <c r="A456" s="20">
        <f t="shared" si="8"/>
        <v>452</v>
      </c>
      <c r="B456" s="21">
        <v>70</v>
      </c>
      <c r="C456" s="20" t="str">
        <f>IF(B456="","",IF(COUNTIF('04_Pinjaman'!$A$5:$A$1004,B456)=0,"NO PINJAMAN TIDAK DITEMUKAN",INDEX('04_Pinjaman'!$B$5:$B$1004,MATCH(B456,'04_Pinjaman'!$A$5:$A$1004,0))))</f>
        <v>Hesby Aga Ardila Nugroho</v>
      </c>
      <c r="D456" s="20" t="str">
        <f>IF(B456="","",IF(COUNTIF('04_Pinjaman'!$A$5:$A$1004,B456)=0,"NPP TIDAK DITEMUKAN",INDEX('04_Pinjaman'!$C$5:$C$1004,MATCH(B456,'04_Pinjaman'!$A$5:$A$1004,0))))</f>
        <v>KKSUK-000103</v>
      </c>
      <c r="E456" s="22">
        <v>46045</v>
      </c>
      <c r="F456" s="23">
        <v>1430000</v>
      </c>
      <c r="G456" s="21"/>
    </row>
    <row r="457" spans="1:7" ht="21" customHeight="1">
      <c r="A457" s="20">
        <f t="shared" si="8"/>
        <v>453</v>
      </c>
      <c r="B457" s="21">
        <v>70</v>
      </c>
      <c r="C457" s="20" t="str">
        <f>IF(B457="","",IF(COUNTIF('04_Pinjaman'!$A$5:$A$1004,B457)=0,"NO PINJAMAN TIDAK DITEMUKAN",INDEX('04_Pinjaman'!$B$5:$B$1004,MATCH(B457,'04_Pinjaman'!$A$5:$A$1004,0))))</f>
        <v>Hesby Aga Ardila Nugroho</v>
      </c>
      <c r="D457" s="20" t="str">
        <f>IF(B457="","",IF(COUNTIF('04_Pinjaman'!$A$5:$A$1004,B457)=0,"NPP TIDAK DITEMUKAN",INDEX('04_Pinjaman'!$C$5:$C$1004,MATCH(B457,'04_Pinjaman'!$A$5:$A$1004,0))))</f>
        <v>KKSUK-000103</v>
      </c>
      <c r="E457" s="22">
        <v>46078</v>
      </c>
      <c r="F457" s="23">
        <v>1430000</v>
      </c>
      <c r="G457" s="21"/>
    </row>
    <row r="458" spans="1:7" ht="21" customHeight="1">
      <c r="A458" s="20">
        <f t="shared" si="8"/>
        <v>454</v>
      </c>
      <c r="B458" s="21">
        <v>70</v>
      </c>
      <c r="C458" s="20" t="str">
        <f>IF(B458="","",IF(COUNTIF('04_Pinjaman'!$A$5:$A$1004,B458)=0,"NO PINJAMAN TIDAK DITEMUKAN",INDEX('04_Pinjaman'!$B$5:$B$1004,MATCH(B458,'04_Pinjaman'!$A$5:$A$1004,0))))</f>
        <v>Hesby Aga Ardila Nugroho</v>
      </c>
      <c r="D458" s="20" t="str">
        <f>IF(B458="","",IF(COUNTIF('04_Pinjaman'!$A$5:$A$1004,B458)=0,"NPP TIDAK DITEMUKAN",INDEX('04_Pinjaman'!$C$5:$C$1004,MATCH(B458,'04_Pinjaman'!$A$5:$A$1004,0))))</f>
        <v>KKSUK-000103</v>
      </c>
      <c r="E458" s="22">
        <v>46106</v>
      </c>
      <c r="F458" s="23">
        <v>1430000</v>
      </c>
      <c r="G458" s="21"/>
    </row>
    <row r="459" spans="1:7" ht="21" customHeight="1">
      <c r="A459" s="20">
        <f t="shared" si="8"/>
        <v>455</v>
      </c>
      <c r="B459" s="21">
        <v>70</v>
      </c>
      <c r="C459" s="20" t="str">
        <f>IF(B459="","",IF(COUNTIF('04_Pinjaman'!$A$5:$A$1004,B459)=0,"NO PINJAMAN TIDAK DITEMUKAN",INDEX('04_Pinjaman'!$B$5:$B$1004,MATCH(B459,'04_Pinjaman'!$A$5:$A$1004,0))))</f>
        <v>Hesby Aga Ardila Nugroho</v>
      </c>
      <c r="D459" s="20" t="str">
        <f>IF(B459="","",IF(COUNTIF('04_Pinjaman'!$A$5:$A$1004,B459)=0,"NPP TIDAK DITEMUKAN",INDEX('04_Pinjaman'!$C$5:$C$1004,MATCH(B459,'04_Pinjaman'!$A$5:$A$1004,0))))</f>
        <v>KKSUK-000103</v>
      </c>
      <c r="E459" s="22">
        <v>46136</v>
      </c>
      <c r="F459" s="23">
        <v>1430000</v>
      </c>
      <c r="G459" s="21"/>
    </row>
    <row r="460" spans="1:7" ht="21" customHeight="1">
      <c r="A460" s="20">
        <f t="shared" si="8"/>
        <v>456</v>
      </c>
      <c r="B460" s="21">
        <v>70</v>
      </c>
      <c r="C460" s="20" t="str">
        <f>IF(B460="","",IF(COUNTIF('04_Pinjaman'!$A$5:$A$1004,B460)=0,"NO PINJAMAN TIDAK DITEMUKAN",INDEX('04_Pinjaman'!$B$5:$B$1004,MATCH(B460,'04_Pinjaman'!$A$5:$A$1004,0))))</f>
        <v>Hesby Aga Ardila Nugroho</v>
      </c>
      <c r="D460" s="20" t="str">
        <f>IF(B460="","",IF(COUNTIF('04_Pinjaman'!$A$5:$A$1004,B460)=0,"NPP TIDAK DITEMUKAN",INDEX('04_Pinjaman'!$C$5:$C$1004,MATCH(B460,'04_Pinjaman'!$A$5:$A$1004,0))))</f>
        <v>KKSUK-000103</v>
      </c>
      <c r="E460" s="22">
        <v>46167</v>
      </c>
      <c r="F460" s="23">
        <v>1430000</v>
      </c>
      <c r="G460" s="21"/>
    </row>
    <row r="461" spans="1:7" ht="21" customHeight="1">
      <c r="A461" s="20">
        <f t="shared" si="8"/>
        <v>457</v>
      </c>
      <c r="B461" s="21">
        <v>71</v>
      </c>
      <c r="C461" s="20" t="str">
        <f>IF(B461="","",IF(COUNTIF('04_Pinjaman'!$A$5:$A$1004,B461)=0,"NO PINJAMAN TIDAK DITEMUKAN",INDEX('04_Pinjaman'!$B$5:$B$1004,MATCH(B461,'04_Pinjaman'!$A$5:$A$1004,0))))</f>
        <v>I Gede Mustika</v>
      </c>
      <c r="D461" s="20" t="str">
        <f>IF(B461="","",IF(COUNTIF('04_Pinjaman'!$A$5:$A$1004,B461)=0,"NPP TIDAK DITEMUKAN",INDEX('04_Pinjaman'!$C$5:$C$1004,MATCH(B461,'04_Pinjaman'!$A$5:$A$1004,0))))</f>
        <v>KKSUK-000074</v>
      </c>
      <c r="E461" s="22">
        <v>46010</v>
      </c>
      <c r="F461" s="23">
        <v>3331667</v>
      </c>
      <c r="G461" s="21"/>
    </row>
    <row r="462" spans="1:7" ht="21" customHeight="1">
      <c r="A462" s="20">
        <f t="shared" si="8"/>
        <v>458</v>
      </c>
      <c r="B462" s="21">
        <v>71</v>
      </c>
      <c r="C462" s="20" t="str">
        <f>IF(B462="","",IF(COUNTIF('04_Pinjaman'!$A$5:$A$1004,B462)=0,"NO PINJAMAN TIDAK DITEMUKAN",INDEX('04_Pinjaman'!$B$5:$B$1004,MATCH(B462,'04_Pinjaman'!$A$5:$A$1004,0))))</f>
        <v>I Gede Mustika</v>
      </c>
      <c r="D462" s="20" t="str">
        <f>IF(B462="","",IF(COUNTIF('04_Pinjaman'!$A$5:$A$1004,B462)=0,"NPP TIDAK DITEMUKAN",INDEX('04_Pinjaman'!$C$5:$C$1004,MATCH(B462,'04_Pinjaman'!$A$5:$A$1004,0))))</f>
        <v>KKSUK-000074</v>
      </c>
      <c r="E462" s="22">
        <v>46045</v>
      </c>
      <c r="F462" s="23">
        <v>3331667</v>
      </c>
      <c r="G462" s="21"/>
    </row>
    <row r="463" spans="1:7" ht="21" customHeight="1">
      <c r="A463" s="20">
        <f t="shared" si="8"/>
        <v>459</v>
      </c>
      <c r="B463" s="21">
        <v>71</v>
      </c>
      <c r="C463" s="20" t="str">
        <f>IF(B463="","",IF(COUNTIF('04_Pinjaman'!$A$5:$A$1004,B463)=0,"NO PINJAMAN TIDAK DITEMUKAN",INDEX('04_Pinjaman'!$B$5:$B$1004,MATCH(B463,'04_Pinjaman'!$A$5:$A$1004,0))))</f>
        <v>I Gede Mustika</v>
      </c>
      <c r="D463" s="20" t="str">
        <f>IF(B463="","",IF(COUNTIF('04_Pinjaman'!$A$5:$A$1004,B463)=0,"NPP TIDAK DITEMUKAN",INDEX('04_Pinjaman'!$C$5:$C$1004,MATCH(B463,'04_Pinjaman'!$A$5:$A$1004,0))))</f>
        <v>KKSUK-000074</v>
      </c>
      <c r="E463" s="22">
        <v>46078</v>
      </c>
      <c r="F463" s="23">
        <v>3331667</v>
      </c>
      <c r="G463" s="21"/>
    </row>
    <row r="464" spans="1:7" ht="21" customHeight="1">
      <c r="A464" s="20">
        <f t="shared" si="8"/>
        <v>460</v>
      </c>
      <c r="B464" s="21">
        <v>71</v>
      </c>
      <c r="C464" s="20" t="str">
        <f>IF(B464="","",IF(COUNTIF('04_Pinjaman'!$A$5:$A$1004,B464)=0,"NO PINJAMAN TIDAK DITEMUKAN",INDEX('04_Pinjaman'!$B$5:$B$1004,MATCH(B464,'04_Pinjaman'!$A$5:$A$1004,0))))</f>
        <v>I Gede Mustika</v>
      </c>
      <c r="D464" s="20" t="str">
        <f>IF(B464="","",IF(COUNTIF('04_Pinjaman'!$A$5:$A$1004,B464)=0,"NPP TIDAK DITEMUKAN",INDEX('04_Pinjaman'!$C$5:$C$1004,MATCH(B464,'04_Pinjaman'!$A$5:$A$1004,0))))</f>
        <v>KKSUK-000074</v>
      </c>
      <c r="E464" s="22">
        <v>46106</v>
      </c>
      <c r="F464" s="23">
        <v>3331667</v>
      </c>
      <c r="G464" s="21"/>
    </row>
    <row r="465" spans="1:7" ht="21" customHeight="1">
      <c r="A465" s="20">
        <f t="shared" si="8"/>
        <v>461</v>
      </c>
      <c r="B465" s="21">
        <v>71</v>
      </c>
      <c r="C465" s="20" t="str">
        <f>IF(B465="","",IF(COUNTIF('04_Pinjaman'!$A$5:$A$1004,B465)=0,"NO PINJAMAN TIDAK DITEMUKAN",INDEX('04_Pinjaman'!$B$5:$B$1004,MATCH(B465,'04_Pinjaman'!$A$5:$A$1004,0))))</f>
        <v>I Gede Mustika</v>
      </c>
      <c r="D465" s="20" t="str">
        <f>IF(B465="","",IF(COUNTIF('04_Pinjaman'!$A$5:$A$1004,B465)=0,"NPP TIDAK DITEMUKAN",INDEX('04_Pinjaman'!$C$5:$C$1004,MATCH(B465,'04_Pinjaman'!$A$5:$A$1004,0))))</f>
        <v>KKSUK-000074</v>
      </c>
      <c r="E465" s="22">
        <v>46136</v>
      </c>
      <c r="F465" s="23">
        <v>3331667</v>
      </c>
      <c r="G465" s="21"/>
    </row>
    <row r="466" spans="1:7" ht="21" customHeight="1">
      <c r="A466" s="20">
        <f t="shared" si="8"/>
        <v>462</v>
      </c>
      <c r="B466" s="21">
        <v>71</v>
      </c>
      <c r="C466" s="20" t="str">
        <f>IF(B466="","",IF(COUNTIF('04_Pinjaman'!$A$5:$A$1004,B466)=0,"NO PINJAMAN TIDAK DITEMUKAN",INDEX('04_Pinjaman'!$B$5:$B$1004,MATCH(B466,'04_Pinjaman'!$A$5:$A$1004,0))))</f>
        <v>I Gede Mustika</v>
      </c>
      <c r="D466" s="20" t="str">
        <f>IF(B466="","",IF(COUNTIF('04_Pinjaman'!$A$5:$A$1004,B466)=0,"NPP TIDAK DITEMUKAN",INDEX('04_Pinjaman'!$C$5:$C$1004,MATCH(B466,'04_Pinjaman'!$A$5:$A$1004,0))))</f>
        <v>KKSUK-000074</v>
      </c>
      <c r="E466" s="22">
        <v>46167</v>
      </c>
      <c r="F466" s="23">
        <v>0</v>
      </c>
      <c r="G466" s="21" t="s">
        <v>820</v>
      </c>
    </row>
    <row r="467" spans="1:7" ht="21" customHeight="1">
      <c r="A467" s="20">
        <f t="shared" si="8"/>
        <v>463</v>
      </c>
      <c r="B467" s="21">
        <v>71</v>
      </c>
      <c r="C467" s="20" t="str">
        <f>IF(B467="","",IF(COUNTIF('04_Pinjaman'!$A$5:$A$1004,B467)=0,"NO PINJAMAN TIDAK DITEMUKAN",INDEX('04_Pinjaman'!$B$5:$B$1004,MATCH(B467,'04_Pinjaman'!$A$5:$A$1004,0))))</f>
        <v>I Gede Mustika</v>
      </c>
      <c r="D467" s="20" t="str">
        <f>IF(B467="","",IF(COUNTIF('04_Pinjaman'!$A$5:$A$1004,B467)=0,"NPP TIDAK DITEMUKAN",INDEX('04_Pinjaman'!$C$5:$C$1004,MATCH(B467,'04_Pinjaman'!$A$5:$A$1004,0))))</f>
        <v>KKSUK-000074</v>
      </c>
      <c r="E467" s="22">
        <v>46198</v>
      </c>
      <c r="F467" s="23">
        <v>3331667</v>
      </c>
      <c r="G467" s="21"/>
    </row>
    <row r="468" spans="1:7" ht="21" customHeight="1">
      <c r="A468" s="20">
        <f t="shared" si="8"/>
        <v>464</v>
      </c>
      <c r="B468" s="21">
        <v>71</v>
      </c>
      <c r="C468" s="20" t="str">
        <f>IF(B468="","",IF(COUNTIF('04_Pinjaman'!$A$5:$A$1004,B468)=0,"NO PINJAMAN TIDAK DITEMUKAN",INDEX('04_Pinjaman'!$B$5:$B$1004,MATCH(B468,'04_Pinjaman'!$A$5:$A$1004,0))))</f>
        <v>I Gede Mustika</v>
      </c>
      <c r="D468" s="20" t="str">
        <f>IF(B468="","",IF(COUNTIF('04_Pinjaman'!$A$5:$A$1004,B468)=0,"NPP TIDAK DITEMUKAN",INDEX('04_Pinjaman'!$C$5:$C$1004,MATCH(B468,'04_Pinjaman'!$A$5:$A$1004,0))))</f>
        <v>KKSUK-000074</v>
      </c>
      <c r="E468" s="22">
        <v>46227</v>
      </c>
      <c r="F468" s="23">
        <v>3331667</v>
      </c>
      <c r="G468" s="21"/>
    </row>
    <row r="469" spans="1:7" ht="21" customHeight="1">
      <c r="A469" s="20">
        <f t="shared" si="8"/>
        <v>465</v>
      </c>
      <c r="B469" s="21">
        <v>71</v>
      </c>
      <c r="C469" s="20" t="str">
        <f>IF(B469="","",IF(COUNTIF('04_Pinjaman'!$A$5:$A$1004,B469)=0,"NO PINJAMAN TIDAK DITEMUKAN",INDEX('04_Pinjaman'!$B$5:$B$1004,MATCH(B469,'04_Pinjaman'!$A$5:$A$1004,0))))</f>
        <v>I Gede Mustika</v>
      </c>
      <c r="D469" s="20" t="str">
        <f>IF(B469="","",IF(COUNTIF('04_Pinjaman'!$A$5:$A$1004,B469)=0,"NPP TIDAK DITEMUKAN",INDEX('04_Pinjaman'!$C$5:$C$1004,MATCH(B469,'04_Pinjaman'!$A$5:$A$1004,0))))</f>
        <v>KKSUK-000074</v>
      </c>
      <c r="E469" s="22">
        <v>46258</v>
      </c>
      <c r="F469" s="23">
        <v>3331667</v>
      </c>
      <c r="G469" s="21"/>
    </row>
    <row r="470" spans="1:7" ht="21" customHeight="1">
      <c r="A470" s="20">
        <f t="shared" si="8"/>
        <v>466</v>
      </c>
      <c r="B470" s="21">
        <v>72</v>
      </c>
      <c r="C470" s="20" t="str">
        <f>IF(B470="","",IF(COUNTIF('04_Pinjaman'!$A$5:$A$1004,B470)=0,"NO PINJAMAN TIDAK DITEMUKAN",INDEX('04_Pinjaman'!$B$5:$B$1004,MATCH(B470,'04_Pinjaman'!$A$5:$A$1004,0))))</f>
        <v>I Gede Mustika</v>
      </c>
      <c r="D470" s="20" t="str">
        <f>IF(B470="","",IF(COUNTIF('04_Pinjaman'!$A$5:$A$1004,B470)=0,"NPP TIDAK DITEMUKAN",INDEX('04_Pinjaman'!$C$5:$C$1004,MATCH(B470,'04_Pinjaman'!$A$5:$A$1004,0))))</f>
        <v>KKSUK-000074</v>
      </c>
      <c r="E470" s="22">
        <v>46258</v>
      </c>
      <c r="F470" s="23">
        <v>1150000</v>
      </c>
      <c r="G470" s="21"/>
    </row>
    <row r="471" spans="1:7" ht="21" customHeight="1">
      <c r="A471" s="20">
        <f t="shared" si="8"/>
        <v>467</v>
      </c>
      <c r="B471" s="21">
        <v>73</v>
      </c>
      <c r="C471" s="20" t="str">
        <f>IF(B471="","",IF(COUNTIF('04_Pinjaman'!$A$5:$A$1004,B471)=0,"NO PINJAMAN TIDAK DITEMUKAN",INDEX('04_Pinjaman'!$B$5:$B$1004,MATCH(B471,'04_Pinjaman'!$A$5:$A$1004,0))))</f>
        <v>I Made Mustada</v>
      </c>
      <c r="D471" s="20" t="str">
        <f>IF(B471="","",IF(COUNTIF('04_Pinjaman'!$A$5:$A$1004,B471)=0,"NPP TIDAK DITEMUKAN",INDEX('04_Pinjaman'!$C$5:$C$1004,MATCH(B471,'04_Pinjaman'!$A$5:$A$1004,0))))</f>
        <v>KKSUK-000075</v>
      </c>
      <c r="E471" s="22">
        <v>45498</v>
      </c>
      <c r="F471" s="23">
        <v>3275000</v>
      </c>
      <c r="G471" s="21"/>
    </row>
    <row r="472" spans="1:7" ht="21" customHeight="1">
      <c r="A472" s="20">
        <f t="shared" si="8"/>
        <v>468</v>
      </c>
      <c r="B472" s="21">
        <v>73</v>
      </c>
      <c r="C472" s="20" t="str">
        <f>IF(B472="","",IF(COUNTIF('04_Pinjaman'!$A$5:$A$1004,B472)=0,"NO PINJAMAN TIDAK DITEMUKAN",INDEX('04_Pinjaman'!$B$5:$B$1004,MATCH(B472,'04_Pinjaman'!$A$5:$A$1004,0))))</f>
        <v>I Made Mustada</v>
      </c>
      <c r="D472" s="20" t="str">
        <f>IF(B472="","",IF(COUNTIF('04_Pinjaman'!$A$5:$A$1004,B472)=0,"NPP TIDAK DITEMUKAN",INDEX('04_Pinjaman'!$C$5:$C$1004,MATCH(B472,'04_Pinjaman'!$A$5:$A$1004,0))))</f>
        <v>KKSUK-000075</v>
      </c>
      <c r="E472" s="22">
        <v>45529</v>
      </c>
      <c r="F472" s="23">
        <v>3275000</v>
      </c>
      <c r="G472" s="21"/>
    </row>
    <row r="473" spans="1:7" ht="21" customHeight="1">
      <c r="A473" s="20">
        <f t="shared" si="8"/>
        <v>469</v>
      </c>
      <c r="B473" s="21">
        <v>73</v>
      </c>
      <c r="C473" s="20" t="str">
        <f>IF(B473="","",IF(COUNTIF('04_Pinjaman'!$A$5:$A$1004,B473)=0,"NO PINJAMAN TIDAK DITEMUKAN",INDEX('04_Pinjaman'!$B$5:$B$1004,MATCH(B473,'04_Pinjaman'!$A$5:$A$1004,0))))</f>
        <v>I Made Mustada</v>
      </c>
      <c r="D473" s="20" t="str">
        <f>IF(B473="","",IF(COUNTIF('04_Pinjaman'!$A$5:$A$1004,B473)=0,"NPP TIDAK DITEMUKAN",INDEX('04_Pinjaman'!$C$5:$C$1004,MATCH(B473,'04_Pinjaman'!$A$5:$A$1004,0))))</f>
        <v>KKSUK-000075</v>
      </c>
      <c r="E473" s="22">
        <v>45560</v>
      </c>
      <c r="F473" s="23">
        <v>3275000</v>
      </c>
      <c r="G473" s="21"/>
    </row>
    <row r="474" spans="1:7" ht="21" customHeight="1">
      <c r="A474" s="20">
        <f t="shared" si="8"/>
        <v>470</v>
      </c>
      <c r="B474" s="21">
        <v>73</v>
      </c>
      <c r="C474" s="20" t="str">
        <f>IF(B474="","",IF(COUNTIF('04_Pinjaman'!$A$5:$A$1004,B474)=0,"NO PINJAMAN TIDAK DITEMUKAN",INDEX('04_Pinjaman'!$B$5:$B$1004,MATCH(B474,'04_Pinjaman'!$A$5:$A$1004,0))))</f>
        <v>I Made Mustada</v>
      </c>
      <c r="D474" s="20" t="str">
        <f>IF(B474="","",IF(COUNTIF('04_Pinjaman'!$A$5:$A$1004,B474)=0,"NPP TIDAK DITEMUKAN",INDEX('04_Pinjaman'!$C$5:$C$1004,MATCH(B474,'04_Pinjaman'!$A$5:$A$1004,0))))</f>
        <v>KKSUK-000075</v>
      </c>
      <c r="E474" s="22">
        <v>45590</v>
      </c>
      <c r="F474" s="23">
        <v>3275000</v>
      </c>
      <c r="G474" s="21"/>
    </row>
    <row r="475" spans="1:7" ht="21" customHeight="1">
      <c r="A475" s="20">
        <f t="shared" si="8"/>
        <v>471</v>
      </c>
      <c r="B475" s="21">
        <v>73</v>
      </c>
      <c r="C475" s="20" t="str">
        <f>IF(B475="","",IF(COUNTIF('04_Pinjaman'!$A$5:$A$1004,B475)=0,"NO PINJAMAN TIDAK DITEMUKAN",INDEX('04_Pinjaman'!$B$5:$B$1004,MATCH(B475,'04_Pinjaman'!$A$5:$A$1004,0))))</f>
        <v>I Made Mustada</v>
      </c>
      <c r="D475" s="20" t="str">
        <f>IF(B475="","",IF(COUNTIF('04_Pinjaman'!$A$5:$A$1004,B475)=0,"NPP TIDAK DITEMUKAN",INDEX('04_Pinjaman'!$C$5:$C$1004,MATCH(B475,'04_Pinjaman'!$A$5:$A$1004,0))))</f>
        <v>KKSUK-000075</v>
      </c>
      <c r="E475" s="22">
        <v>45621</v>
      </c>
      <c r="F475" s="23">
        <v>3275000</v>
      </c>
      <c r="G475" s="21"/>
    </row>
    <row r="476" spans="1:7" ht="21" customHeight="1">
      <c r="A476" s="20">
        <f t="shared" si="8"/>
        <v>472</v>
      </c>
      <c r="B476" s="21">
        <v>73</v>
      </c>
      <c r="C476" s="20" t="str">
        <f>IF(B476="","",IF(COUNTIF('04_Pinjaman'!$A$5:$A$1004,B476)=0,"NO PINJAMAN TIDAK DITEMUKAN",INDEX('04_Pinjaman'!$B$5:$B$1004,MATCH(B476,'04_Pinjaman'!$A$5:$A$1004,0))))</f>
        <v>I Made Mustada</v>
      </c>
      <c r="D476" s="20" t="str">
        <f>IF(B476="","",IF(COUNTIF('04_Pinjaman'!$A$5:$A$1004,B476)=0,"NPP TIDAK DITEMUKAN",INDEX('04_Pinjaman'!$C$5:$C$1004,MATCH(B476,'04_Pinjaman'!$A$5:$A$1004,0))))</f>
        <v>KKSUK-000075</v>
      </c>
      <c r="E476" s="22">
        <v>45651</v>
      </c>
      <c r="F476" s="23">
        <v>3275000</v>
      </c>
      <c r="G476" s="21"/>
    </row>
    <row r="477" spans="1:7" ht="21" customHeight="1">
      <c r="A477" s="20">
        <f t="shared" si="8"/>
        <v>473</v>
      </c>
      <c r="B477" s="21">
        <v>73</v>
      </c>
      <c r="C477" s="20" t="str">
        <f>IF(B477="","",IF(COUNTIF('04_Pinjaman'!$A$5:$A$1004,B477)=0,"NO PINJAMAN TIDAK DITEMUKAN",INDEX('04_Pinjaman'!$B$5:$B$1004,MATCH(B477,'04_Pinjaman'!$A$5:$A$1004,0))))</f>
        <v>I Made Mustada</v>
      </c>
      <c r="D477" s="20" t="str">
        <f>IF(B477="","",IF(COUNTIF('04_Pinjaman'!$A$5:$A$1004,B477)=0,"NPP TIDAK DITEMUKAN",INDEX('04_Pinjaman'!$C$5:$C$1004,MATCH(B477,'04_Pinjaman'!$A$5:$A$1004,0))))</f>
        <v>KKSUK-000075</v>
      </c>
      <c r="E477" s="22">
        <v>45682</v>
      </c>
      <c r="F477" s="23">
        <v>3275000</v>
      </c>
      <c r="G477" s="21"/>
    </row>
    <row r="478" spans="1:7" ht="21" customHeight="1">
      <c r="A478" s="20">
        <f t="shared" si="8"/>
        <v>474</v>
      </c>
      <c r="B478" s="21">
        <v>73</v>
      </c>
      <c r="C478" s="20" t="str">
        <f>IF(B478="","",IF(COUNTIF('04_Pinjaman'!$A$5:$A$1004,B478)=0,"NO PINJAMAN TIDAK DITEMUKAN",INDEX('04_Pinjaman'!$B$5:$B$1004,MATCH(B478,'04_Pinjaman'!$A$5:$A$1004,0))))</f>
        <v>I Made Mustada</v>
      </c>
      <c r="D478" s="20" t="str">
        <f>IF(B478="","",IF(COUNTIF('04_Pinjaman'!$A$5:$A$1004,B478)=0,"NPP TIDAK DITEMUKAN",INDEX('04_Pinjaman'!$C$5:$C$1004,MATCH(B478,'04_Pinjaman'!$A$5:$A$1004,0))))</f>
        <v>KKSUK-000075</v>
      </c>
      <c r="E478" s="22">
        <v>45713</v>
      </c>
      <c r="F478" s="23">
        <v>3275000</v>
      </c>
      <c r="G478" s="21"/>
    </row>
    <row r="479" spans="1:7" ht="21" customHeight="1">
      <c r="A479" s="20">
        <f t="shared" si="8"/>
        <v>475</v>
      </c>
      <c r="B479" s="21">
        <v>73</v>
      </c>
      <c r="C479" s="20" t="str">
        <f>IF(B479="","",IF(COUNTIF('04_Pinjaman'!$A$5:$A$1004,B479)=0,"NO PINJAMAN TIDAK DITEMUKAN",INDEX('04_Pinjaman'!$B$5:$B$1004,MATCH(B479,'04_Pinjaman'!$A$5:$A$1004,0))))</f>
        <v>I Made Mustada</v>
      </c>
      <c r="D479" s="20" t="str">
        <f>IF(B479="","",IF(COUNTIF('04_Pinjaman'!$A$5:$A$1004,B479)=0,"NPP TIDAK DITEMUKAN",INDEX('04_Pinjaman'!$C$5:$C$1004,MATCH(B479,'04_Pinjaman'!$A$5:$A$1004,0))))</f>
        <v>KKSUK-000075</v>
      </c>
      <c r="E479" s="22">
        <v>45741</v>
      </c>
      <c r="F479" s="23">
        <v>3275000</v>
      </c>
      <c r="G479" s="21"/>
    </row>
    <row r="480" spans="1:7" ht="21" customHeight="1">
      <c r="A480" s="20">
        <f t="shared" si="8"/>
        <v>476</v>
      </c>
      <c r="B480" s="21">
        <v>73</v>
      </c>
      <c r="C480" s="20" t="str">
        <f>IF(B480="","",IF(COUNTIF('04_Pinjaman'!$A$5:$A$1004,B480)=0,"NO PINJAMAN TIDAK DITEMUKAN",INDEX('04_Pinjaman'!$B$5:$B$1004,MATCH(B480,'04_Pinjaman'!$A$5:$A$1004,0))))</f>
        <v>I Made Mustada</v>
      </c>
      <c r="D480" s="20" t="str">
        <f>IF(B480="","",IF(COUNTIF('04_Pinjaman'!$A$5:$A$1004,B480)=0,"NPP TIDAK DITEMUKAN",INDEX('04_Pinjaman'!$C$5:$C$1004,MATCH(B480,'04_Pinjaman'!$A$5:$A$1004,0))))</f>
        <v>KKSUK-000075</v>
      </c>
      <c r="E480" s="22">
        <v>45772</v>
      </c>
      <c r="F480" s="23">
        <v>3275000</v>
      </c>
      <c r="G480" s="21"/>
    </row>
    <row r="481" spans="1:7" ht="21" customHeight="1">
      <c r="A481" s="20">
        <f t="shared" si="8"/>
        <v>477</v>
      </c>
      <c r="B481" s="21">
        <v>73</v>
      </c>
      <c r="C481" s="20" t="str">
        <f>IF(B481="","",IF(COUNTIF('04_Pinjaman'!$A$5:$A$1004,B481)=0,"NO PINJAMAN TIDAK DITEMUKAN",INDEX('04_Pinjaman'!$B$5:$B$1004,MATCH(B481,'04_Pinjaman'!$A$5:$A$1004,0))))</f>
        <v>I Made Mustada</v>
      </c>
      <c r="D481" s="20" t="str">
        <f>IF(B481="","",IF(COUNTIF('04_Pinjaman'!$A$5:$A$1004,B481)=0,"NPP TIDAK DITEMUKAN",INDEX('04_Pinjaman'!$C$5:$C$1004,MATCH(B481,'04_Pinjaman'!$A$5:$A$1004,0))))</f>
        <v>KKSUK-000075</v>
      </c>
      <c r="E481" s="22">
        <v>45802</v>
      </c>
      <c r="F481" s="23">
        <v>3275000</v>
      </c>
      <c r="G481" s="21"/>
    </row>
    <row r="482" spans="1:7" ht="21" customHeight="1">
      <c r="A482" s="20">
        <f t="shared" si="8"/>
        <v>478</v>
      </c>
      <c r="B482" s="21">
        <v>73</v>
      </c>
      <c r="C482" s="20" t="str">
        <f>IF(B482="","",IF(COUNTIF('04_Pinjaman'!$A$5:$A$1004,B482)=0,"NO PINJAMAN TIDAK DITEMUKAN",INDEX('04_Pinjaman'!$B$5:$B$1004,MATCH(B482,'04_Pinjaman'!$A$5:$A$1004,0))))</f>
        <v>I Made Mustada</v>
      </c>
      <c r="D482" s="20" t="str">
        <f>IF(B482="","",IF(COUNTIF('04_Pinjaman'!$A$5:$A$1004,B482)=0,"NPP TIDAK DITEMUKAN",INDEX('04_Pinjaman'!$C$5:$C$1004,MATCH(B482,'04_Pinjaman'!$A$5:$A$1004,0))))</f>
        <v>KKSUK-000075</v>
      </c>
      <c r="E482" s="22">
        <v>45833</v>
      </c>
      <c r="F482" s="23">
        <v>3275000</v>
      </c>
      <c r="G482" s="21"/>
    </row>
    <row r="483" spans="1:7" ht="21" customHeight="1">
      <c r="A483" s="20">
        <f t="shared" si="8"/>
        <v>479</v>
      </c>
      <c r="B483" s="21">
        <v>73</v>
      </c>
      <c r="C483" s="20" t="str">
        <f>IF(B483="","",IF(COUNTIF('04_Pinjaman'!$A$5:$A$1004,B483)=0,"NO PINJAMAN TIDAK DITEMUKAN",INDEX('04_Pinjaman'!$B$5:$B$1004,MATCH(B483,'04_Pinjaman'!$A$5:$A$1004,0))))</f>
        <v>I Made Mustada</v>
      </c>
      <c r="D483" s="20" t="str">
        <f>IF(B483="","",IF(COUNTIF('04_Pinjaman'!$A$5:$A$1004,B483)=0,"NPP TIDAK DITEMUKAN",INDEX('04_Pinjaman'!$C$5:$C$1004,MATCH(B483,'04_Pinjaman'!$A$5:$A$1004,0))))</f>
        <v>KKSUK-000075</v>
      </c>
      <c r="E483" s="22">
        <v>45863</v>
      </c>
      <c r="F483" s="23">
        <v>3275000</v>
      </c>
      <c r="G483" s="21"/>
    </row>
    <row r="484" spans="1:7" ht="21" customHeight="1">
      <c r="A484" s="20">
        <f t="shared" si="8"/>
        <v>480</v>
      </c>
      <c r="B484" s="21">
        <v>73</v>
      </c>
      <c r="C484" s="20" t="str">
        <f>IF(B484="","",IF(COUNTIF('04_Pinjaman'!$A$5:$A$1004,B484)=0,"NO PINJAMAN TIDAK DITEMUKAN",INDEX('04_Pinjaman'!$B$5:$B$1004,MATCH(B484,'04_Pinjaman'!$A$5:$A$1004,0))))</f>
        <v>I Made Mustada</v>
      </c>
      <c r="D484" s="20" t="str">
        <f>IF(B484="","",IF(COUNTIF('04_Pinjaman'!$A$5:$A$1004,B484)=0,"NPP TIDAK DITEMUKAN",INDEX('04_Pinjaman'!$C$5:$C$1004,MATCH(B484,'04_Pinjaman'!$A$5:$A$1004,0))))</f>
        <v>KKSUK-000075</v>
      </c>
      <c r="E484" s="22">
        <v>45894</v>
      </c>
      <c r="F484" s="23">
        <v>3275000</v>
      </c>
      <c r="G484" s="21"/>
    </row>
    <row r="485" spans="1:7" ht="21" customHeight="1">
      <c r="A485" s="20">
        <f t="shared" si="8"/>
        <v>481</v>
      </c>
      <c r="B485" s="21">
        <v>73</v>
      </c>
      <c r="C485" s="20" t="str">
        <f>IF(B485="","",IF(COUNTIF('04_Pinjaman'!$A$5:$A$1004,B485)=0,"NO PINJAMAN TIDAK DITEMUKAN",INDEX('04_Pinjaman'!$B$5:$B$1004,MATCH(B485,'04_Pinjaman'!$A$5:$A$1004,0))))</f>
        <v>I Made Mustada</v>
      </c>
      <c r="D485" s="20" t="str">
        <f>IF(B485="","",IF(COUNTIF('04_Pinjaman'!$A$5:$A$1004,B485)=0,"NPP TIDAK DITEMUKAN",INDEX('04_Pinjaman'!$C$5:$C$1004,MATCH(B485,'04_Pinjaman'!$A$5:$A$1004,0))))</f>
        <v>KKSUK-000075</v>
      </c>
      <c r="E485" s="22">
        <v>45925</v>
      </c>
      <c r="F485" s="23">
        <v>3275000</v>
      </c>
      <c r="G485" s="21"/>
    </row>
    <row r="486" spans="1:7" ht="21" customHeight="1">
      <c r="A486" s="20">
        <f t="shared" si="8"/>
        <v>482</v>
      </c>
      <c r="B486" s="21">
        <v>73</v>
      </c>
      <c r="C486" s="20" t="str">
        <f>IF(B486="","",IF(COUNTIF('04_Pinjaman'!$A$5:$A$1004,B486)=0,"NO PINJAMAN TIDAK DITEMUKAN",INDEX('04_Pinjaman'!$B$5:$B$1004,MATCH(B486,'04_Pinjaman'!$A$5:$A$1004,0))))</f>
        <v>I Made Mustada</v>
      </c>
      <c r="D486" s="20" t="str">
        <f>IF(B486="","",IF(COUNTIF('04_Pinjaman'!$A$5:$A$1004,B486)=0,"NPP TIDAK DITEMUKAN",INDEX('04_Pinjaman'!$C$5:$C$1004,MATCH(B486,'04_Pinjaman'!$A$5:$A$1004,0))))</f>
        <v>KKSUK-000075</v>
      </c>
      <c r="E486" s="22">
        <v>45954</v>
      </c>
      <c r="F486" s="23">
        <v>3275000</v>
      </c>
      <c r="G486" s="21"/>
    </row>
    <row r="487" spans="1:7" ht="21" customHeight="1">
      <c r="A487" s="20">
        <f t="shared" si="8"/>
        <v>483</v>
      </c>
      <c r="B487" s="21">
        <v>73</v>
      </c>
      <c r="C487" s="20" t="str">
        <f>IF(B487="","",IF(COUNTIF('04_Pinjaman'!$A$5:$A$1004,B487)=0,"NO PINJAMAN TIDAK DITEMUKAN",INDEX('04_Pinjaman'!$B$5:$B$1004,MATCH(B487,'04_Pinjaman'!$A$5:$A$1004,0))))</f>
        <v>I Made Mustada</v>
      </c>
      <c r="D487" s="20" t="str">
        <f>IF(B487="","",IF(COUNTIF('04_Pinjaman'!$A$5:$A$1004,B487)=0,"NPP TIDAK DITEMUKAN",INDEX('04_Pinjaman'!$C$5:$C$1004,MATCH(B487,'04_Pinjaman'!$A$5:$A$1004,0))))</f>
        <v>KKSUK-000075</v>
      </c>
      <c r="E487" s="22">
        <v>45986</v>
      </c>
      <c r="F487" s="23">
        <v>3275000</v>
      </c>
      <c r="G487" s="21"/>
    </row>
    <row r="488" spans="1:7" ht="21" customHeight="1">
      <c r="A488" s="20">
        <f t="shared" si="8"/>
        <v>484</v>
      </c>
      <c r="B488" s="21">
        <v>73</v>
      </c>
      <c r="C488" s="20" t="str">
        <f>IF(B488="","",IF(COUNTIF('04_Pinjaman'!$A$5:$A$1004,B488)=0,"NO PINJAMAN TIDAK DITEMUKAN",INDEX('04_Pinjaman'!$B$5:$B$1004,MATCH(B488,'04_Pinjaman'!$A$5:$A$1004,0))))</f>
        <v>I Made Mustada</v>
      </c>
      <c r="D488" s="20" t="str">
        <f>IF(B488="","",IF(COUNTIF('04_Pinjaman'!$A$5:$A$1004,B488)=0,"NPP TIDAK DITEMUKAN",INDEX('04_Pinjaman'!$C$5:$C$1004,MATCH(B488,'04_Pinjaman'!$A$5:$A$1004,0))))</f>
        <v>KKSUK-000075</v>
      </c>
      <c r="E488" s="22">
        <v>46010</v>
      </c>
      <c r="F488" s="23">
        <v>3275000</v>
      </c>
      <c r="G488" s="21"/>
    </row>
    <row r="489" spans="1:7" ht="21" customHeight="1">
      <c r="A489" s="20">
        <f t="shared" si="8"/>
        <v>485</v>
      </c>
      <c r="B489" s="21">
        <v>73</v>
      </c>
      <c r="C489" s="20" t="str">
        <f>IF(B489="","",IF(COUNTIF('04_Pinjaman'!$A$5:$A$1004,B489)=0,"NO PINJAMAN TIDAK DITEMUKAN",INDEX('04_Pinjaman'!$B$5:$B$1004,MATCH(B489,'04_Pinjaman'!$A$5:$A$1004,0))))</f>
        <v>I Made Mustada</v>
      </c>
      <c r="D489" s="20" t="str">
        <f>IF(B489="","",IF(COUNTIF('04_Pinjaman'!$A$5:$A$1004,B489)=0,"NPP TIDAK DITEMUKAN",INDEX('04_Pinjaman'!$C$5:$C$1004,MATCH(B489,'04_Pinjaman'!$A$5:$A$1004,0))))</f>
        <v>KKSUK-000075</v>
      </c>
      <c r="E489" s="22">
        <v>46045</v>
      </c>
      <c r="F489" s="23">
        <v>3275000</v>
      </c>
      <c r="G489" s="21"/>
    </row>
    <row r="490" spans="1:7" ht="21" customHeight="1">
      <c r="A490" s="20">
        <f t="shared" si="8"/>
        <v>486</v>
      </c>
      <c r="B490" s="21">
        <v>73</v>
      </c>
      <c r="C490" s="20" t="str">
        <f>IF(B490="","",IF(COUNTIF('04_Pinjaman'!$A$5:$A$1004,B490)=0,"NO PINJAMAN TIDAK DITEMUKAN",INDEX('04_Pinjaman'!$B$5:$B$1004,MATCH(B490,'04_Pinjaman'!$A$5:$A$1004,0))))</f>
        <v>I Made Mustada</v>
      </c>
      <c r="D490" s="20" t="str">
        <f>IF(B490="","",IF(COUNTIF('04_Pinjaman'!$A$5:$A$1004,B490)=0,"NPP TIDAK DITEMUKAN",INDEX('04_Pinjaman'!$C$5:$C$1004,MATCH(B490,'04_Pinjaman'!$A$5:$A$1004,0))))</f>
        <v>KKSUK-000075</v>
      </c>
      <c r="E490" s="22">
        <v>46078</v>
      </c>
      <c r="F490" s="23">
        <v>3275000</v>
      </c>
      <c r="G490" s="21"/>
    </row>
    <row r="491" spans="1:7" ht="21" customHeight="1">
      <c r="A491" s="20">
        <f t="shared" si="8"/>
        <v>487</v>
      </c>
      <c r="B491" s="21">
        <v>73</v>
      </c>
      <c r="C491" s="20" t="str">
        <f>IF(B491="","",IF(COUNTIF('04_Pinjaman'!$A$5:$A$1004,B491)=0,"NO PINJAMAN TIDAK DITEMUKAN",INDEX('04_Pinjaman'!$B$5:$B$1004,MATCH(B491,'04_Pinjaman'!$A$5:$A$1004,0))))</f>
        <v>I Made Mustada</v>
      </c>
      <c r="D491" s="20" t="str">
        <f>IF(B491="","",IF(COUNTIF('04_Pinjaman'!$A$5:$A$1004,B491)=0,"NPP TIDAK DITEMUKAN",INDEX('04_Pinjaman'!$C$5:$C$1004,MATCH(B491,'04_Pinjaman'!$A$5:$A$1004,0))))</f>
        <v>KKSUK-000075</v>
      </c>
      <c r="E491" s="22">
        <v>46106</v>
      </c>
      <c r="F491" s="23">
        <v>3275000</v>
      </c>
      <c r="G491" s="21"/>
    </row>
    <row r="492" spans="1:7" ht="21" customHeight="1">
      <c r="A492" s="20">
        <f t="shared" si="8"/>
        <v>488</v>
      </c>
      <c r="B492" s="21">
        <v>73</v>
      </c>
      <c r="C492" s="20" t="str">
        <f>IF(B492="","",IF(COUNTIF('04_Pinjaman'!$A$5:$A$1004,B492)=0,"NO PINJAMAN TIDAK DITEMUKAN",INDEX('04_Pinjaman'!$B$5:$B$1004,MATCH(B492,'04_Pinjaman'!$A$5:$A$1004,0))))</f>
        <v>I Made Mustada</v>
      </c>
      <c r="D492" s="20" t="str">
        <f>IF(B492="","",IF(COUNTIF('04_Pinjaman'!$A$5:$A$1004,B492)=0,"NPP TIDAK DITEMUKAN",INDEX('04_Pinjaman'!$C$5:$C$1004,MATCH(B492,'04_Pinjaman'!$A$5:$A$1004,0))))</f>
        <v>KKSUK-000075</v>
      </c>
      <c r="E492" s="22">
        <v>46136</v>
      </c>
      <c r="F492" s="23">
        <v>3275000</v>
      </c>
      <c r="G492" s="21"/>
    </row>
    <row r="493" spans="1:7" ht="21" customHeight="1">
      <c r="A493" s="20">
        <f t="shared" si="8"/>
        <v>489</v>
      </c>
      <c r="B493" s="21">
        <v>74</v>
      </c>
      <c r="C493" s="20" t="str">
        <f>IF(B493="","",IF(COUNTIF('04_Pinjaman'!$A$5:$A$1004,B493)=0,"NO PINJAMAN TIDAK DITEMUKAN",INDEX('04_Pinjaman'!$B$5:$B$1004,MATCH(B493,'04_Pinjaman'!$A$5:$A$1004,0))))</f>
        <v>Idris Rusmianto</v>
      </c>
      <c r="D493" s="20" t="str">
        <f>IF(B493="","",IF(COUNTIF('04_Pinjaman'!$A$5:$A$1004,B493)=0,"NPP TIDAK DITEMUKAN",INDEX('04_Pinjaman'!$C$5:$C$1004,MATCH(B493,'04_Pinjaman'!$A$5:$A$1004,0))))</f>
        <v>KKSUK-000076</v>
      </c>
      <c r="E493" s="22">
        <v>45529</v>
      </c>
      <c r="F493" s="23">
        <v>1518333</v>
      </c>
      <c r="G493" s="21"/>
    </row>
    <row r="494" spans="1:7" ht="21" customHeight="1">
      <c r="A494" s="20">
        <f t="shared" si="8"/>
        <v>490</v>
      </c>
      <c r="B494" s="21">
        <v>74</v>
      </c>
      <c r="C494" s="20" t="str">
        <f>IF(B494="","",IF(COUNTIF('04_Pinjaman'!$A$5:$A$1004,B494)=0,"NO PINJAMAN TIDAK DITEMUKAN",INDEX('04_Pinjaman'!$B$5:$B$1004,MATCH(B494,'04_Pinjaman'!$A$5:$A$1004,0))))</f>
        <v>Idris Rusmianto</v>
      </c>
      <c r="D494" s="20" t="str">
        <f>IF(B494="","",IF(COUNTIF('04_Pinjaman'!$A$5:$A$1004,B494)=0,"NPP TIDAK DITEMUKAN",INDEX('04_Pinjaman'!$C$5:$C$1004,MATCH(B494,'04_Pinjaman'!$A$5:$A$1004,0))))</f>
        <v>KKSUK-000076</v>
      </c>
      <c r="E494" s="22">
        <v>45560</v>
      </c>
      <c r="F494" s="23">
        <v>1518333</v>
      </c>
      <c r="G494" s="21"/>
    </row>
    <row r="495" spans="1:7" ht="21" customHeight="1">
      <c r="A495" s="20">
        <f t="shared" si="8"/>
        <v>491</v>
      </c>
      <c r="B495" s="21">
        <v>74</v>
      </c>
      <c r="C495" s="20" t="str">
        <f>IF(B495="","",IF(COUNTIF('04_Pinjaman'!$A$5:$A$1004,B495)=0,"NO PINJAMAN TIDAK DITEMUKAN",INDEX('04_Pinjaman'!$B$5:$B$1004,MATCH(B495,'04_Pinjaman'!$A$5:$A$1004,0))))</f>
        <v>Idris Rusmianto</v>
      </c>
      <c r="D495" s="20" t="str">
        <f>IF(B495="","",IF(COUNTIF('04_Pinjaman'!$A$5:$A$1004,B495)=0,"NPP TIDAK DITEMUKAN",INDEX('04_Pinjaman'!$C$5:$C$1004,MATCH(B495,'04_Pinjaman'!$A$5:$A$1004,0))))</f>
        <v>KKSUK-000076</v>
      </c>
      <c r="E495" s="22">
        <v>45590</v>
      </c>
      <c r="F495" s="23">
        <v>1518333</v>
      </c>
      <c r="G495" s="21"/>
    </row>
    <row r="496" spans="1:7" ht="21" customHeight="1">
      <c r="A496" s="20">
        <f t="shared" si="8"/>
        <v>492</v>
      </c>
      <c r="B496" s="21">
        <v>74</v>
      </c>
      <c r="C496" s="20" t="str">
        <f>IF(B496="","",IF(COUNTIF('04_Pinjaman'!$A$5:$A$1004,B496)=0,"NO PINJAMAN TIDAK DITEMUKAN",INDEX('04_Pinjaman'!$B$5:$B$1004,MATCH(B496,'04_Pinjaman'!$A$5:$A$1004,0))))</f>
        <v>Idris Rusmianto</v>
      </c>
      <c r="D496" s="20" t="str">
        <f>IF(B496="","",IF(COUNTIF('04_Pinjaman'!$A$5:$A$1004,B496)=0,"NPP TIDAK DITEMUKAN",INDEX('04_Pinjaman'!$C$5:$C$1004,MATCH(B496,'04_Pinjaman'!$A$5:$A$1004,0))))</f>
        <v>KKSUK-000076</v>
      </c>
      <c r="E496" s="22">
        <v>45621</v>
      </c>
      <c r="F496" s="23">
        <v>1518333</v>
      </c>
      <c r="G496" s="21"/>
    </row>
    <row r="497" spans="1:7" ht="21" customHeight="1">
      <c r="A497" s="20">
        <f t="shared" si="8"/>
        <v>493</v>
      </c>
      <c r="B497" s="21">
        <v>74</v>
      </c>
      <c r="C497" s="20" t="str">
        <f>IF(B497="","",IF(COUNTIF('04_Pinjaman'!$A$5:$A$1004,B497)=0,"NO PINJAMAN TIDAK DITEMUKAN",INDEX('04_Pinjaman'!$B$5:$B$1004,MATCH(B497,'04_Pinjaman'!$A$5:$A$1004,0))))</f>
        <v>Idris Rusmianto</v>
      </c>
      <c r="D497" s="20" t="str">
        <f>IF(B497="","",IF(COUNTIF('04_Pinjaman'!$A$5:$A$1004,B497)=0,"NPP TIDAK DITEMUKAN",INDEX('04_Pinjaman'!$C$5:$C$1004,MATCH(B497,'04_Pinjaman'!$A$5:$A$1004,0))))</f>
        <v>KKSUK-000076</v>
      </c>
      <c r="E497" s="22">
        <v>45651</v>
      </c>
      <c r="F497" s="23">
        <v>1518333</v>
      </c>
      <c r="G497" s="21"/>
    </row>
    <row r="498" spans="1:7" ht="21" customHeight="1">
      <c r="A498" s="20">
        <f t="shared" si="8"/>
        <v>494</v>
      </c>
      <c r="B498" s="21">
        <v>74</v>
      </c>
      <c r="C498" s="20" t="str">
        <f>IF(B498="","",IF(COUNTIF('04_Pinjaman'!$A$5:$A$1004,B498)=0,"NO PINJAMAN TIDAK DITEMUKAN",INDEX('04_Pinjaman'!$B$5:$B$1004,MATCH(B498,'04_Pinjaman'!$A$5:$A$1004,0))))</f>
        <v>Idris Rusmianto</v>
      </c>
      <c r="D498" s="20" t="str">
        <f>IF(B498="","",IF(COUNTIF('04_Pinjaman'!$A$5:$A$1004,B498)=0,"NPP TIDAK DITEMUKAN",INDEX('04_Pinjaman'!$C$5:$C$1004,MATCH(B498,'04_Pinjaman'!$A$5:$A$1004,0))))</f>
        <v>KKSUK-000076</v>
      </c>
      <c r="E498" s="22">
        <v>45682</v>
      </c>
      <c r="F498" s="23">
        <v>1518333</v>
      </c>
      <c r="G498" s="21"/>
    </row>
    <row r="499" spans="1:7" ht="21" customHeight="1">
      <c r="A499" s="20">
        <f t="shared" si="8"/>
        <v>495</v>
      </c>
      <c r="B499" s="21">
        <v>74</v>
      </c>
      <c r="C499" s="20" t="str">
        <f>IF(B499="","",IF(COUNTIF('04_Pinjaman'!$A$5:$A$1004,B499)=0,"NO PINJAMAN TIDAK DITEMUKAN",INDEX('04_Pinjaman'!$B$5:$B$1004,MATCH(B499,'04_Pinjaman'!$A$5:$A$1004,0))))</f>
        <v>Idris Rusmianto</v>
      </c>
      <c r="D499" s="20" t="str">
        <f>IF(B499="","",IF(COUNTIF('04_Pinjaman'!$A$5:$A$1004,B499)=0,"NPP TIDAK DITEMUKAN",INDEX('04_Pinjaman'!$C$5:$C$1004,MATCH(B499,'04_Pinjaman'!$A$5:$A$1004,0))))</f>
        <v>KKSUK-000076</v>
      </c>
      <c r="E499" s="22">
        <v>45713</v>
      </c>
      <c r="F499" s="23">
        <v>1518333</v>
      </c>
      <c r="G499" s="21"/>
    </row>
    <row r="500" spans="1:7" ht="21" customHeight="1">
      <c r="A500" s="20">
        <f t="shared" si="8"/>
        <v>496</v>
      </c>
      <c r="B500" s="21">
        <v>74</v>
      </c>
      <c r="C500" s="20" t="str">
        <f>IF(B500="","",IF(COUNTIF('04_Pinjaman'!$A$5:$A$1004,B500)=0,"NO PINJAMAN TIDAK DITEMUKAN",INDEX('04_Pinjaman'!$B$5:$B$1004,MATCH(B500,'04_Pinjaman'!$A$5:$A$1004,0))))</f>
        <v>Idris Rusmianto</v>
      </c>
      <c r="D500" s="20" t="str">
        <f>IF(B500="","",IF(COUNTIF('04_Pinjaman'!$A$5:$A$1004,B500)=0,"NPP TIDAK DITEMUKAN",INDEX('04_Pinjaman'!$C$5:$C$1004,MATCH(B500,'04_Pinjaman'!$A$5:$A$1004,0))))</f>
        <v>KKSUK-000076</v>
      </c>
      <c r="E500" s="22">
        <v>45741</v>
      </c>
      <c r="F500" s="23">
        <v>1518333</v>
      </c>
      <c r="G500" s="21"/>
    </row>
    <row r="501" spans="1:7" ht="21" customHeight="1">
      <c r="A501" s="20">
        <f t="shared" si="8"/>
        <v>497</v>
      </c>
      <c r="B501" s="21">
        <v>74</v>
      </c>
      <c r="C501" s="20" t="str">
        <f>IF(B501="","",IF(COUNTIF('04_Pinjaman'!$A$5:$A$1004,B501)=0,"NO PINJAMAN TIDAK DITEMUKAN",INDEX('04_Pinjaman'!$B$5:$B$1004,MATCH(B501,'04_Pinjaman'!$A$5:$A$1004,0))))</f>
        <v>Idris Rusmianto</v>
      </c>
      <c r="D501" s="20" t="str">
        <f>IF(B501="","",IF(COUNTIF('04_Pinjaman'!$A$5:$A$1004,B501)=0,"NPP TIDAK DITEMUKAN",INDEX('04_Pinjaman'!$C$5:$C$1004,MATCH(B501,'04_Pinjaman'!$A$5:$A$1004,0))))</f>
        <v>KKSUK-000076</v>
      </c>
      <c r="E501" s="22">
        <v>45772</v>
      </c>
      <c r="F501" s="23">
        <v>1518333</v>
      </c>
      <c r="G501" s="21"/>
    </row>
    <row r="502" spans="1:7" ht="21" customHeight="1">
      <c r="A502" s="20">
        <f t="shared" si="8"/>
        <v>498</v>
      </c>
      <c r="B502" s="21">
        <v>74</v>
      </c>
      <c r="C502" s="20" t="str">
        <f>IF(B502="","",IF(COUNTIF('04_Pinjaman'!$A$5:$A$1004,B502)=0,"NO PINJAMAN TIDAK DITEMUKAN",INDEX('04_Pinjaman'!$B$5:$B$1004,MATCH(B502,'04_Pinjaman'!$A$5:$A$1004,0))))</f>
        <v>Idris Rusmianto</v>
      </c>
      <c r="D502" s="20" t="str">
        <f>IF(B502="","",IF(COUNTIF('04_Pinjaman'!$A$5:$A$1004,B502)=0,"NPP TIDAK DITEMUKAN",INDEX('04_Pinjaman'!$C$5:$C$1004,MATCH(B502,'04_Pinjaman'!$A$5:$A$1004,0))))</f>
        <v>KKSUK-000076</v>
      </c>
      <c r="E502" s="22">
        <v>45802</v>
      </c>
      <c r="F502" s="23">
        <v>1518333</v>
      </c>
      <c r="G502" s="21"/>
    </row>
    <row r="503" spans="1:7" ht="21" customHeight="1">
      <c r="A503" s="20">
        <f t="shared" si="8"/>
        <v>499</v>
      </c>
      <c r="B503" s="21">
        <v>74</v>
      </c>
      <c r="C503" s="20" t="str">
        <f>IF(B503="","",IF(COUNTIF('04_Pinjaman'!$A$5:$A$1004,B503)=0,"NO PINJAMAN TIDAK DITEMUKAN",INDEX('04_Pinjaman'!$B$5:$B$1004,MATCH(B503,'04_Pinjaman'!$A$5:$A$1004,0))))</f>
        <v>Idris Rusmianto</v>
      </c>
      <c r="D503" s="20" t="str">
        <f>IF(B503="","",IF(COUNTIF('04_Pinjaman'!$A$5:$A$1004,B503)=0,"NPP TIDAK DITEMUKAN",INDEX('04_Pinjaman'!$C$5:$C$1004,MATCH(B503,'04_Pinjaman'!$A$5:$A$1004,0))))</f>
        <v>KKSUK-000076</v>
      </c>
      <c r="E503" s="22">
        <v>45833</v>
      </c>
      <c r="F503" s="23">
        <v>1518333</v>
      </c>
      <c r="G503" s="21"/>
    </row>
    <row r="504" spans="1:7" ht="21" customHeight="1">
      <c r="A504" s="20">
        <f t="shared" si="8"/>
        <v>500</v>
      </c>
      <c r="B504" s="21">
        <v>74</v>
      </c>
      <c r="C504" s="20" t="str">
        <f>IF(B504="","",IF(COUNTIF('04_Pinjaman'!$A$5:$A$1004,B504)=0,"NO PINJAMAN TIDAK DITEMUKAN",INDEX('04_Pinjaman'!$B$5:$B$1004,MATCH(B504,'04_Pinjaman'!$A$5:$A$1004,0))))</f>
        <v>Idris Rusmianto</v>
      </c>
      <c r="D504" s="20" t="str">
        <f>IF(B504="","",IF(COUNTIF('04_Pinjaman'!$A$5:$A$1004,B504)=0,"NPP TIDAK DITEMUKAN",INDEX('04_Pinjaman'!$C$5:$C$1004,MATCH(B504,'04_Pinjaman'!$A$5:$A$1004,0))))</f>
        <v>KKSUK-000076</v>
      </c>
      <c r="E504" s="22">
        <v>45863</v>
      </c>
      <c r="F504" s="23">
        <v>1518333</v>
      </c>
      <c r="G504" s="21"/>
    </row>
    <row r="505" spans="1:7" ht="21" customHeight="1">
      <c r="A505" s="20">
        <f t="shared" si="8"/>
        <v>501</v>
      </c>
      <c r="B505" s="21">
        <v>74</v>
      </c>
      <c r="C505" s="20" t="str">
        <f>IF(B505="","",IF(COUNTIF('04_Pinjaman'!$A$5:$A$1004,B505)=0,"NO PINJAMAN TIDAK DITEMUKAN",INDEX('04_Pinjaman'!$B$5:$B$1004,MATCH(B505,'04_Pinjaman'!$A$5:$A$1004,0))))</f>
        <v>Idris Rusmianto</v>
      </c>
      <c r="D505" s="20" t="str">
        <f>IF(B505="","",IF(COUNTIF('04_Pinjaman'!$A$5:$A$1004,B505)=0,"NPP TIDAK DITEMUKAN",INDEX('04_Pinjaman'!$C$5:$C$1004,MATCH(B505,'04_Pinjaman'!$A$5:$A$1004,0))))</f>
        <v>KKSUK-000076</v>
      </c>
      <c r="E505" s="22">
        <v>45894</v>
      </c>
      <c r="F505" s="23">
        <v>1518333</v>
      </c>
      <c r="G505" s="21"/>
    </row>
    <row r="506" spans="1:7" ht="21" customHeight="1">
      <c r="A506" s="20">
        <f t="shared" si="8"/>
        <v>502</v>
      </c>
      <c r="B506" s="21">
        <v>74</v>
      </c>
      <c r="C506" s="20" t="str">
        <f>IF(B506="","",IF(COUNTIF('04_Pinjaman'!$A$5:$A$1004,B506)=0,"NO PINJAMAN TIDAK DITEMUKAN",INDEX('04_Pinjaman'!$B$5:$B$1004,MATCH(B506,'04_Pinjaman'!$A$5:$A$1004,0))))</f>
        <v>Idris Rusmianto</v>
      </c>
      <c r="D506" s="20" t="str">
        <f>IF(B506="","",IF(COUNTIF('04_Pinjaman'!$A$5:$A$1004,B506)=0,"NPP TIDAK DITEMUKAN",INDEX('04_Pinjaman'!$C$5:$C$1004,MATCH(B506,'04_Pinjaman'!$A$5:$A$1004,0))))</f>
        <v>KKSUK-000076</v>
      </c>
      <c r="E506" s="22">
        <v>45925</v>
      </c>
      <c r="F506" s="23">
        <v>0</v>
      </c>
      <c r="G506" s="21" t="s">
        <v>820</v>
      </c>
    </row>
    <row r="507" spans="1:7" ht="21" customHeight="1">
      <c r="A507" s="20">
        <f t="shared" si="8"/>
        <v>503</v>
      </c>
      <c r="B507" s="21">
        <v>74</v>
      </c>
      <c r="C507" s="20" t="str">
        <f>IF(B507="","",IF(COUNTIF('04_Pinjaman'!$A$5:$A$1004,B507)=0,"NO PINJAMAN TIDAK DITEMUKAN",INDEX('04_Pinjaman'!$B$5:$B$1004,MATCH(B507,'04_Pinjaman'!$A$5:$A$1004,0))))</f>
        <v>Idris Rusmianto</v>
      </c>
      <c r="D507" s="20" t="str">
        <f>IF(B507="","",IF(COUNTIF('04_Pinjaman'!$A$5:$A$1004,B507)=0,"NPP TIDAK DITEMUKAN",INDEX('04_Pinjaman'!$C$5:$C$1004,MATCH(B507,'04_Pinjaman'!$A$5:$A$1004,0))))</f>
        <v>KKSUK-000076</v>
      </c>
      <c r="E507" s="22">
        <v>45954</v>
      </c>
      <c r="F507" s="23">
        <v>1518333</v>
      </c>
      <c r="G507" s="21"/>
    </row>
    <row r="508" spans="1:7" ht="21" customHeight="1">
      <c r="A508" s="20">
        <f t="shared" si="8"/>
        <v>504</v>
      </c>
      <c r="B508" s="21">
        <v>74</v>
      </c>
      <c r="C508" s="20" t="str">
        <f>IF(B508="","",IF(COUNTIF('04_Pinjaman'!$A$5:$A$1004,B508)=0,"NO PINJAMAN TIDAK DITEMUKAN",INDEX('04_Pinjaman'!$B$5:$B$1004,MATCH(B508,'04_Pinjaman'!$A$5:$A$1004,0))))</f>
        <v>Idris Rusmianto</v>
      </c>
      <c r="D508" s="20" t="str">
        <f>IF(B508="","",IF(COUNTIF('04_Pinjaman'!$A$5:$A$1004,B508)=0,"NPP TIDAK DITEMUKAN",INDEX('04_Pinjaman'!$C$5:$C$1004,MATCH(B508,'04_Pinjaman'!$A$5:$A$1004,0))))</f>
        <v>KKSUK-000076</v>
      </c>
      <c r="E508" s="22">
        <v>45986</v>
      </c>
      <c r="F508" s="23">
        <v>1518333</v>
      </c>
      <c r="G508" s="21"/>
    </row>
    <row r="509" spans="1:7" ht="21" customHeight="1">
      <c r="A509" s="20">
        <f t="shared" si="8"/>
        <v>505</v>
      </c>
      <c r="B509" s="21">
        <v>74</v>
      </c>
      <c r="C509" s="20" t="str">
        <f>IF(B509="","",IF(COUNTIF('04_Pinjaman'!$A$5:$A$1004,B509)=0,"NO PINJAMAN TIDAK DITEMUKAN",INDEX('04_Pinjaman'!$B$5:$B$1004,MATCH(B509,'04_Pinjaman'!$A$5:$A$1004,0))))</f>
        <v>Idris Rusmianto</v>
      </c>
      <c r="D509" s="20" t="str">
        <f>IF(B509="","",IF(COUNTIF('04_Pinjaman'!$A$5:$A$1004,B509)=0,"NPP TIDAK DITEMUKAN",INDEX('04_Pinjaman'!$C$5:$C$1004,MATCH(B509,'04_Pinjaman'!$A$5:$A$1004,0))))</f>
        <v>KKSUK-000076</v>
      </c>
      <c r="E509" s="22">
        <v>46010</v>
      </c>
      <c r="F509" s="23">
        <v>1518333</v>
      </c>
      <c r="G509" s="21"/>
    </row>
    <row r="510" spans="1:7" ht="21" customHeight="1">
      <c r="A510" s="20">
        <f t="shared" si="8"/>
        <v>506</v>
      </c>
      <c r="B510" s="21">
        <v>74</v>
      </c>
      <c r="C510" s="20" t="str">
        <f>IF(B510="","",IF(COUNTIF('04_Pinjaman'!$A$5:$A$1004,B510)=0,"NO PINJAMAN TIDAK DITEMUKAN",INDEX('04_Pinjaman'!$B$5:$B$1004,MATCH(B510,'04_Pinjaman'!$A$5:$A$1004,0))))</f>
        <v>Idris Rusmianto</v>
      </c>
      <c r="D510" s="20" t="str">
        <f>IF(B510="","",IF(COUNTIF('04_Pinjaman'!$A$5:$A$1004,B510)=0,"NPP TIDAK DITEMUKAN",INDEX('04_Pinjaman'!$C$5:$C$1004,MATCH(B510,'04_Pinjaman'!$A$5:$A$1004,0))))</f>
        <v>KKSUK-000076</v>
      </c>
      <c r="E510" s="22">
        <v>46045</v>
      </c>
      <c r="F510" s="23">
        <v>0</v>
      </c>
      <c r="G510" s="21" t="s">
        <v>820</v>
      </c>
    </row>
    <row r="511" spans="1:7" ht="21" customHeight="1">
      <c r="A511" s="20">
        <f t="shared" si="8"/>
        <v>507</v>
      </c>
      <c r="B511" s="21">
        <v>74</v>
      </c>
      <c r="C511" s="20" t="str">
        <f>IF(B511="","",IF(COUNTIF('04_Pinjaman'!$A$5:$A$1004,B511)=0,"NO PINJAMAN TIDAK DITEMUKAN",INDEX('04_Pinjaman'!$B$5:$B$1004,MATCH(B511,'04_Pinjaman'!$A$5:$A$1004,0))))</f>
        <v>Idris Rusmianto</v>
      </c>
      <c r="D511" s="20" t="str">
        <f>IF(B511="","",IF(COUNTIF('04_Pinjaman'!$A$5:$A$1004,B511)=0,"NPP TIDAK DITEMUKAN",INDEX('04_Pinjaman'!$C$5:$C$1004,MATCH(B511,'04_Pinjaman'!$A$5:$A$1004,0))))</f>
        <v>KKSUK-000076</v>
      </c>
      <c r="E511" s="22">
        <v>46071</v>
      </c>
      <c r="F511" s="23">
        <v>12146672</v>
      </c>
      <c r="G511" s="21" t="s">
        <v>800</v>
      </c>
    </row>
    <row r="512" spans="1:7" ht="21" customHeight="1">
      <c r="A512" s="20">
        <f t="shared" si="8"/>
        <v>508</v>
      </c>
      <c r="B512" s="21">
        <v>75</v>
      </c>
      <c r="C512" s="20" t="str">
        <f>IF(B512="","",IF(COUNTIF('04_Pinjaman'!$A$5:$A$1004,B512)=0,"NO PINJAMAN TIDAK DITEMUKAN",INDEX('04_Pinjaman'!$B$5:$B$1004,MATCH(B512,'04_Pinjaman'!$A$5:$A$1004,0))))</f>
        <v>Idris Rusmianto</v>
      </c>
      <c r="D512" s="20" t="str">
        <f>IF(B512="","",IF(COUNTIF('04_Pinjaman'!$A$5:$A$1004,B512)=0,"NPP TIDAK DITEMUKAN",INDEX('04_Pinjaman'!$C$5:$C$1004,MATCH(B512,'04_Pinjaman'!$A$5:$A$1004,0))))</f>
        <v>KKSUK-000076</v>
      </c>
      <c r="E512" s="22">
        <v>46106</v>
      </c>
      <c r="F512" s="23">
        <v>1341667</v>
      </c>
      <c r="G512" s="21"/>
    </row>
    <row r="513" spans="1:7" ht="21" customHeight="1">
      <c r="A513" s="20">
        <f t="shared" si="8"/>
        <v>509</v>
      </c>
      <c r="B513" s="21">
        <v>75</v>
      </c>
      <c r="C513" s="20" t="str">
        <f>IF(B513="","",IF(COUNTIF('04_Pinjaman'!$A$5:$A$1004,B513)=0,"NO PINJAMAN TIDAK DITEMUKAN",INDEX('04_Pinjaman'!$B$5:$B$1004,MATCH(B513,'04_Pinjaman'!$A$5:$A$1004,0))))</f>
        <v>Idris Rusmianto</v>
      </c>
      <c r="D513" s="20" t="str">
        <f>IF(B513="","",IF(COUNTIF('04_Pinjaman'!$A$5:$A$1004,B513)=0,"NPP TIDAK DITEMUKAN",INDEX('04_Pinjaman'!$C$5:$C$1004,MATCH(B513,'04_Pinjaman'!$A$5:$A$1004,0))))</f>
        <v>KKSUK-000076</v>
      </c>
      <c r="E513" s="22">
        <v>46136</v>
      </c>
      <c r="F513" s="23">
        <v>1341667</v>
      </c>
      <c r="G513" s="21"/>
    </row>
    <row r="514" spans="1:7" ht="21" customHeight="1">
      <c r="A514" s="20">
        <f t="shared" si="8"/>
        <v>510</v>
      </c>
      <c r="B514" s="21">
        <v>75</v>
      </c>
      <c r="C514" s="20" t="str">
        <f>IF(B514="","",IF(COUNTIF('04_Pinjaman'!$A$5:$A$1004,B514)=0,"NO PINJAMAN TIDAK DITEMUKAN",INDEX('04_Pinjaman'!$B$5:$B$1004,MATCH(B514,'04_Pinjaman'!$A$5:$A$1004,0))))</f>
        <v>Idris Rusmianto</v>
      </c>
      <c r="D514" s="20" t="str">
        <f>IF(B514="","",IF(COUNTIF('04_Pinjaman'!$A$5:$A$1004,B514)=0,"NPP TIDAK DITEMUKAN",INDEX('04_Pinjaman'!$C$5:$C$1004,MATCH(B514,'04_Pinjaman'!$A$5:$A$1004,0))))</f>
        <v>KKSUK-000076</v>
      </c>
      <c r="E514" s="22">
        <v>46167</v>
      </c>
      <c r="F514" s="23">
        <v>1341667</v>
      </c>
      <c r="G514" s="21"/>
    </row>
    <row r="515" spans="1:7" ht="21" customHeight="1">
      <c r="A515" s="20">
        <f t="shared" si="8"/>
        <v>511</v>
      </c>
      <c r="B515" s="21">
        <v>75</v>
      </c>
      <c r="C515" s="20" t="str">
        <f>IF(B515="","",IF(COUNTIF('04_Pinjaman'!$A$5:$A$1004,B515)=0,"NO PINJAMAN TIDAK DITEMUKAN",INDEX('04_Pinjaman'!$B$5:$B$1004,MATCH(B515,'04_Pinjaman'!$A$5:$A$1004,0))))</f>
        <v>Idris Rusmianto</v>
      </c>
      <c r="D515" s="20" t="str">
        <f>IF(B515="","",IF(COUNTIF('04_Pinjaman'!$A$5:$A$1004,B515)=0,"NPP TIDAK DITEMUKAN",INDEX('04_Pinjaman'!$C$5:$C$1004,MATCH(B515,'04_Pinjaman'!$A$5:$A$1004,0))))</f>
        <v>KKSUK-000076</v>
      </c>
      <c r="E515" s="22">
        <v>46198</v>
      </c>
      <c r="F515" s="23">
        <v>0</v>
      </c>
      <c r="G515" s="21" t="s">
        <v>820</v>
      </c>
    </row>
    <row r="516" spans="1:7" ht="21" customHeight="1">
      <c r="A516" s="20">
        <f t="shared" si="8"/>
        <v>512</v>
      </c>
      <c r="B516" s="21">
        <v>75</v>
      </c>
      <c r="C516" s="20" t="str">
        <f>IF(B516="","",IF(COUNTIF('04_Pinjaman'!$A$5:$A$1004,B516)=0,"NO PINJAMAN TIDAK DITEMUKAN",INDEX('04_Pinjaman'!$B$5:$B$1004,MATCH(B516,'04_Pinjaman'!$A$5:$A$1004,0))))</f>
        <v>Idris Rusmianto</v>
      </c>
      <c r="D516" s="20" t="str">
        <f>IF(B516="","",IF(COUNTIF('04_Pinjaman'!$A$5:$A$1004,B516)=0,"NPP TIDAK DITEMUKAN",INDEX('04_Pinjaman'!$C$5:$C$1004,MATCH(B516,'04_Pinjaman'!$A$5:$A$1004,0))))</f>
        <v>KKSUK-000076</v>
      </c>
      <c r="E516" s="22">
        <v>46218</v>
      </c>
      <c r="F516" s="23">
        <v>16099999</v>
      </c>
      <c r="G516" s="21" t="s">
        <v>800</v>
      </c>
    </row>
    <row r="517" spans="1:7" ht="21" customHeight="1">
      <c r="A517" s="20">
        <f t="shared" ref="A517:A580" si="9">IF(B517="","",ROW()-4)</f>
        <v>513</v>
      </c>
      <c r="B517" s="21">
        <v>76</v>
      </c>
      <c r="C517" s="20" t="str">
        <f>IF(B517="","",IF(COUNTIF('04_Pinjaman'!$A$5:$A$1004,B517)=0,"NO PINJAMAN TIDAK DITEMUKAN",INDEX('04_Pinjaman'!$B$5:$B$1004,MATCH(B517,'04_Pinjaman'!$A$5:$A$1004,0))))</f>
        <v>Idris Rusmianto</v>
      </c>
      <c r="D517" s="20" t="str">
        <f>IF(B517="","",IF(COUNTIF('04_Pinjaman'!$A$5:$A$1004,B517)=0,"NPP TIDAK DITEMUKAN",INDEX('04_Pinjaman'!$C$5:$C$1004,MATCH(B517,'04_Pinjaman'!$A$5:$A$1004,0))))</f>
        <v>KKSUK-000076</v>
      </c>
      <c r="E517" s="22">
        <v>46258</v>
      </c>
      <c r="F517" s="23">
        <v>1348333</v>
      </c>
      <c r="G517" s="21"/>
    </row>
    <row r="518" spans="1:7" ht="21" customHeight="1">
      <c r="A518" s="20">
        <f t="shared" si="9"/>
        <v>514</v>
      </c>
      <c r="B518" s="21">
        <v>77</v>
      </c>
      <c r="C518" s="20" t="str">
        <f>IF(B518="","",IF(COUNTIF('04_Pinjaman'!$A$5:$A$1004,B518)=0,"NO PINJAMAN TIDAK DITEMUKAN",INDEX('04_Pinjaman'!$B$5:$B$1004,MATCH(B518,'04_Pinjaman'!$A$5:$A$1004,0))))</f>
        <v>Indra Suwanda</v>
      </c>
      <c r="D518" s="20" t="str">
        <f>IF(B518="","",IF(COUNTIF('04_Pinjaman'!$A$5:$A$1004,B518)=0,"NPP TIDAK DITEMUKAN",INDEX('04_Pinjaman'!$C$5:$C$1004,MATCH(B518,'04_Pinjaman'!$A$5:$A$1004,0))))</f>
        <v>KKSUK-000021</v>
      </c>
      <c r="E518" s="22">
        <v>46045</v>
      </c>
      <c r="F518" s="23">
        <v>530000</v>
      </c>
      <c r="G518" s="21"/>
    </row>
    <row r="519" spans="1:7" ht="21" customHeight="1">
      <c r="A519" s="20">
        <f t="shared" si="9"/>
        <v>515</v>
      </c>
      <c r="B519" s="21">
        <v>77</v>
      </c>
      <c r="C519" s="20" t="str">
        <f>IF(B519="","",IF(COUNTIF('04_Pinjaman'!$A$5:$A$1004,B519)=0,"NO PINJAMAN TIDAK DITEMUKAN",INDEX('04_Pinjaman'!$B$5:$B$1004,MATCH(B519,'04_Pinjaman'!$A$5:$A$1004,0))))</f>
        <v>Indra Suwanda</v>
      </c>
      <c r="D519" s="20" t="str">
        <f>IF(B519="","",IF(COUNTIF('04_Pinjaman'!$A$5:$A$1004,B519)=0,"NPP TIDAK DITEMUKAN",INDEX('04_Pinjaman'!$C$5:$C$1004,MATCH(B519,'04_Pinjaman'!$A$5:$A$1004,0))))</f>
        <v>KKSUK-000021</v>
      </c>
      <c r="E519" s="22">
        <v>46078</v>
      </c>
      <c r="F519" s="23">
        <v>530000</v>
      </c>
      <c r="G519" s="21"/>
    </row>
    <row r="520" spans="1:7" ht="21" customHeight="1">
      <c r="A520" s="20">
        <f t="shared" si="9"/>
        <v>516</v>
      </c>
      <c r="B520" s="21">
        <v>77</v>
      </c>
      <c r="C520" s="20" t="str">
        <f>IF(B520="","",IF(COUNTIF('04_Pinjaman'!$A$5:$A$1004,B520)=0,"NO PINJAMAN TIDAK DITEMUKAN",INDEX('04_Pinjaman'!$B$5:$B$1004,MATCH(B520,'04_Pinjaman'!$A$5:$A$1004,0))))</f>
        <v>Indra Suwanda</v>
      </c>
      <c r="D520" s="20" t="str">
        <f>IF(B520="","",IF(COUNTIF('04_Pinjaman'!$A$5:$A$1004,B520)=0,"NPP TIDAK DITEMUKAN",INDEX('04_Pinjaman'!$C$5:$C$1004,MATCH(B520,'04_Pinjaman'!$A$5:$A$1004,0))))</f>
        <v>KKSUK-000021</v>
      </c>
      <c r="E520" s="22">
        <v>46106</v>
      </c>
      <c r="F520" s="23">
        <v>530000</v>
      </c>
      <c r="G520" s="21"/>
    </row>
    <row r="521" spans="1:7" ht="21" customHeight="1">
      <c r="A521" s="20">
        <f t="shared" si="9"/>
        <v>517</v>
      </c>
      <c r="B521" s="21">
        <v>77</v>
      </c>
      <c r="C521" s="20" t="str">
        <f>IF(B521="","",IF(COUNTIF('04_Pinjaman'!$A$5:$A$1004,B521)=0,"NO PINJAMAN TIDAK DITEMUKAN",INDEX('04_Pinjaman'!$B$5:$B$1004,MATCH(B521,'04_Pinjaman'!$A$5:$A$1004,0))))</f>
        <v>Indra Suwanda</v>
      </c>
      <c r="D521" s="20" t="str">
        <f>IF(B521="","",IF(COUNTIF('04_Pinjaman'!$A$5:$A$1004,B521)=0,"NPP TIDAK DITEMUKAN",INDEX('04_Pinjaman'!$C$5:$C$1004,MATCH(B521,'04_Pinjaman'!$A$5:$A$1004,0))))</f>
        <v>KKSUK-000021</v>
      </c>
      <c r="E521" s="22">
        <v>46136</v>
      </c>
      <c r="F521" s="23">
        <v>530000</v>
      </c>
      <c r="G521" s="21"/>
    </row>
    <row r="522" spans="1:7" ht="21" customHeight="1">
      <c r="A522" s="20">
        <f t="shared" si="9"/>
        <v>518</v>
      </c>
      <c r="B522" s="21">
        <v>77</v>
      </c>
      <c r="C522" s="20" t="str">
        <f>IF(B522="","",IF(COUNTIF('04_Pinjaman'!$A$5:$A$1004,B522)=0,"NO PINJAMAN TIDAK DITEMUKAN",INDEX('04_Pinjaman'!$B$5:$B$1004,MATCH(B522,'04_Pinjaman'!$A$5:$A$1004,0))))</f>
        <v>Indra Suwanda</v>
      </c>
      <c r="D522" s="20" t="str">
        <f>IF(B522="","",IF(COUNTIF('04_Pinjaman'!$A$5:$A$1004,B522)=0,"NPP TIDAK DITEMUKAN",INDEX('04_Pinjaman'!$C$5:$C$1004,MATCH(B522,'04_Pinjaman'!$A$5:$A$1004,0))))</f>
        <v>KKSUK-000021</v>
      </c>
      <c r="E522" s="22">
        <v>46167</v>
      </c>
      <c r="F522" s="23">
        <v>530000</v>
      </c>
      <c r="G522" s="21"/>
    </row>
    <row r="523" spans="1:7" ht="21" customHeight="1">
      <c r="A523" s="20">
        <f t="shared" si="9"/>
        <v>519</v>
      </c>
      <c r="B523" s="21">
        <v>77</v>
      </c>
      <c r="C523" s="20" t="str">
        <f>IF(B523="","",IF(COUNTIF('04_Pinjaman'!$A$5:$A$1004,B523)=0,"NO PINJAMAN TIDAK DITEMUKAN",INDEX('04_Pinjaman'!$B$5:$B$1004,MATCH(B523,'04_Pinjaman'!$A$5:$A$1004,0))))</f>
        <v>Indra Suwanda</v>
      </c>
      <c r="D523" s="20" t="str">
        <f>IF(B523="","",IF(COUNTIF('04_Pinjaman'!$A$5:$A$1004,B523)=0,"NPP TIDAK DITEMUKAN",INDEX('04_Pinjaman'!$C$5:$C$1004,MATCH(B523,'04_Pinjaman'!$A$5:$A$1004,0))))</f>
        <v>KKSUK-000021</v>
      </c>
      <c r="E523" s="22">
        <v>46198</v>
      </c>
      <c r="F523" s="23">
        <v>530000</v>
      </c>
      <c r="G523" s="21"/>
    </row>
    <row r="524" spans="1:7" ht="21" customHeight="1">
      <c r="A524" s="20" t="str">
        <f t="shared" si="9"/>
        <v/>
      </c>
      <c r="B524" s="21"/>
      <c r="C524" s="20" t="str">
        <f>IF(B524="","",IF(COUNTIF('04_Pinjaman'!$A$5:$A$1004,B524)=0,"NO PINJAMAN TIDAK DITEMUKAN",INDEX('04_Pinjaman'!$B$5:$B$1004,MATCH(B524,'04_Pinjaman'!$A$5:$A$1004,0))))</f>
        <v/>
      </c>
      <c r="D524" s="20" t="str">
        <f>IF(B524="","",IF(COUNTIF('04_Pinjaman'!$A$5:$A$1004,B524)=0,"NPP TIDAK DITEMUKAN",INDEX('04_Pinjaman'!$C$5:$C$1004,MATCH(B524,'04_Pinjaman'!$A$5:$A$1004,0))))</f>
        <v/>
      </c>
      <c r="E524" s="22"/>
      <c r="F524" s="23"/>
      <c r="G524" s="21"/>
    </row>
    <row r="525" spans="1:7" ht="21" customHeight="1">
      <c r="A525" s="20" t="str">
        <f t="shared" si="9"/>
        <v/>
      </c>
      <c r="B525" s="21"/>
      <c r="C525" s="20" t="str">
        <f>IF(B525="","",IF(COUNTIF('04_Pinjaman'!$A$5:$A$1004,B525)=0,"NO PINJAMAN TIDAK DITEMUKAN",INDEX('04_Pinjaman'!$B$5:$B$1004,MATCH(B525,'04_Pinjaman'!$A$5:$A$1004,0))))</f>
        <v/>
      </c>
      <c r="D525" s="20" t="str">
        <f>IF(B525="","",IF(COUNTIF('04_Pinjaman'!$A$5:$A$1004,B525)=0,"NPP TIDAK DITEMUKAN",INDEX('04_Pinjaman'!$C$5:$C$1004,MATCH(B525,'04_Pinjaman'!$A$5:$A$1004,0))))</f>
        <v/>
      </c>
      <c r="E525" s="22"/>
      <c r="F525" s="23"/>
      <c r="G525" s="21"/>
    </row>
    <row r="526" spans="1:7" ht="21" customHeight="1">
      <c r="A526" s="20" t="str">
        <f t="shared" si="9"/>
        <v/>
      </c>
      <c r="B526" s="21"/>
      <c r="C526" s="20" t="str">
        <f>IF(B526="","",IF(COUNTIF('04_Pinjaman'!$A$5:$A$1004,B526)=0,"NO PINJAMAN TIDAK DITEMUKAN",INDEX('04_Pinjaman'!$B$5:$B$1004,MATCH(B526,'04_Pinjaman'!$A$5:$A$1004,0))))</f>
        <v/>
      </c>
      <c r="D526" s="20" t="str">
        <f>IF(B526="","",IF(COUNTIF('04_Pinjaman'!$A$5:$A$1004,B526)=0,"NPP TIDAK DITEMUKAN",INDEX('04_Pinjaman'!$C$5:$C$1004,MATCH(B526,'04_Pinjaman'!$A$5:$A$1004,0))))</f>
        <v/>
      </c>
      <c r="E526" s="22"/>
      <c r="F526" s="23"/>
      <c r="G526" s="21"/>
    </row>
    <row r="527" spans="1:7" ht="21" customHeight="1">
      <c r="A527" s="20" t="str">
        <f t="shared" si="9"/>
        <v/>
      </c>
      <c r="B527" s="21"/>
      <c r="C527" s="20" t="str">
        <f>IF(B527="","",IF(COUNTIF('04_Pinjaman'!$A$5:$A$1004,B527)=0,"NO PINJAMAN TIDAK DITEMUKAN",INDEX('04_Pinjaman'!$B$5:$B$1004,MATCH(B527,'04_Pinjaman'!$A$5:$A$1004,0))))</f>
        <v/>
      </c>
      <c r="D527" s="20" t="str">
        <f>IF(B527="","",IF(COUNTIF('04_Pinjaman'!$A$5:$A$1004,B527)=0,"NPP TIDAK DITEMUKAN",INDEX('04_Pinjaman'!$C$5:$C$1004,MATCH(B527,'04_Pinjaman'!$A$5:$A$1004,0))))</f>
        <v/>
      </c>
      <c r="E527" s="22"/>
      <c r="F527" s="23"/>
      <c r="G527" s="21"/>
    </row>
    <row r="528" spans="1:7" ht="21" customHeight="1">
      <c r="A528" s="20" t="str">
        <f t="shared" si="9"/>
        <v/>
      </c>
      <c r="B528" s="21"/>
      <c r="C528" s="20" t="str">
        <f>IF(B528="","",IF(COUNTIF('04_Pinjaman'!$A$5:$A$1004,B528)=0,"NO PINJAMAN TIDAK DITEMUKAN",INDEX('04_Pinjaman'!$B$5:$B$1004,MATCH(B528,'04_Pinjaman'!$A$5:$A$1004,0))))</f>
        <v/>
      </c>
      <c r="D528" s="20" t="str">
        <f>IF(B528="","",IF(COUNTIF('04_Pinjaman'!$A$5:$A$1004,B528)=0,"NPP TIDAK DITEMUKAN",INDEX('04_Pinjaman'!$C$5:$C$1004,MATCH(B528,'04_Pinjaman'!$A$5:$A$1004,0))))</f>
        <v/>
      </c>
      <c r="E528" s="22"/>
      <c r="F528" s="23"/>
      <c r="G528" s="21"/>
    </row>
    <row r="529" spans="1:7" ht="21" customHeight="1">
      <c r="A529" s="20" t="str">
        <f t="shared" si="9"/>
        <v/>
      </c>
      <c r="B529" s="21"/>
      <c r="C529" s="20" t="str">
        <f>IF(B529="","",IF(COUNTIF('04_Pinjaman'!$A$5:$A$1004,B529)=0,"NO PINJAMAN TIDAK DITEMUKAN",INDEX('04_Pinjaman'!$B$5:$B$1004,MATCH(B529,'04_Pinjaman'!$A$5:$A$1004,0))))</f>
        <v/>
      </c>
      <c r="D529" s="20" t="str">
        <f>IF(B529="","",IF(COUNTIF('04_Pinjaman'!$A$5:$A$1004,B529)=0,"NPP TIDAK DITEMUKAN",INDEX('04_Pinjaman'!$C$5:$C$1004,MATCH(B529,'04_Pinjaman'!$A$5:$A$1004,0))))</f>
        <v/>
      </c>
      <c r="E529" s="22"/>
      <c r="F529" s="23"/>
      <c r="G529" s="21"/>
    </row>
    <row r="530" spans="1:7" ht="21" customHeight="1">
      <c r="A530" s="20" t="str">
        <f t="shared" si="9"/>
        <v/>
      </c>
      <c r="B530" s="21"/>
      <c r="C530" s="20" t="str">
        <f>IF(B530="","",IF(COUNTIF('04_Pinjaman'!$A$5:$A$1004,B530)=0,"NO PINJAMAN TIDAK DITEMUKAN",INDEX('04_Pinjaman'!$B$5:$B$1004,MATCH(B530,'04_Pinjaman'!$A$5:$A$1004,0))))</f>
        <v/>
      </c>
      <c r="D530" s="20" t="str">
        <f>IF(B530="","",IF(COUNTIF('04_Pinjaman'!$A$5:$A$1004,B530)=0,"NPP TIDAK DITEMUKAN",INDEX('04_Pinjaman'!$C$5:$C$1004,MATCH(B530,'04_Pinjaman'!$A$5:$A$1004,0))))</f>
        <v/>
      </c>
      <c r="E530" s="22"/>
      <c r="F530" s="23"/>
      <c r="G530" s="21"/>
    </row>
    <row r="531" spans="1:7" ht="21" customHeight="1">
      <c r="A531" s="20" t="str">
        <f t="shared" si="9"/>
        <v/>
      </c>
      <c r="B531" s="21"/>
      <c r="C531" s="20" t="str">
        <f>IF(B531="","",IF(COUNTIF('04_Pinjaman'!$A$5:$A$1004,B531)=0,"NO PINJAMAN TIDAK DITEMUKAN",INDEX('04_Pinjaman'!$B$5:$B$1004,MATCH(B531,'04_Pinjaman'!$A$5:$A$1004,0))))</f>
        <v/>
      </c>
      <c r="D531" s="20" t="str">
        <f>IF(B531="","",IF(COUNTIF('04_Pinjaman'!$A$5:$A$1004,B531)=0,"NPP TIDAK DITEMUKAN",INDEX('04_Pinjaman'!$C$5:$C$1004,MATCH(B531,'04_Pinjaman'!$A$5:$A$1004,0))))</f>
        <v/>
      </c>
      <c r="E531" s="22"/>
      <c r="F531" s="23"/>
      <c r="G531" s="21"/>
    </row>
    <row r="532" spans="1:7" ht="21" customHeight="1">
      <c r="A532" s="20" t="str">
        <f t="shared" si="9"/>
        <v/>
      </c>
      <c r="B532" s="21"/>
      <c r="C532" s="20" t="str">
        <f>IF(B532="","",IF(COUNTIF('04_Pinjaman'!$A$5:$A$1004,B532)=0,"NO PINJAMAN TIDAK DITEMUKAN",INDEX('04_Pinjaman'!$B$5:$B$1004,MATCH(B532,'04_Pinjaman'!$A$5:$A$1004,0))))</f>
        <v/>
      </c>
      <c r="D532" s="20" t="str">
        <f>IF(B532="","",IF(COUNTIF('04_Pinjaman'!$A$5:$A$1004,B532)=0,"NPP TIDAK DITEMUKAN",INDEX('04_Pinjaman'!$C$5:$C$1004,MATCH(B532,'04_Pinjaman'!$A$5:$A$1004,0))))</f>
        <v/>
      </c>
      <c r="E532" s="22"/>
      <c r="F532" s="23"/>
      <c r="G532" s="21"/>
    </row>
    <row r="533" spans="1:7" ht="21" customHeight="1">
      <c r="A533" s="20" t="str">
        <f t="shared" si="9"/>
        <v/>
      </c>
      <c r="B533" s="21"/>
      <c r="C533" s="20" t="str">
        <f>IF(B533="","",IF(COUNTIF('04_Pinjaman'!$A$5:$A$1004,B533)=0,"NO PINJAMAN TIDAK DITEMUKAN",INDEX('04_Pinjaman'!$B$5:$B$1004,MATCH(B533,'04_Pinjaman'!$A$5:$A$1004,0))))</f>
        <v/>
      </c>
      <c r="D533" s="20" t="str">
        <f>IF(B533="","",IF(COUNTIF('04_Pinjaman'!$A$5:$A$1004,B533)=0,"NPP TIDAK DITEMUKAN",INDEX('04_Pinjaman'!$C$5:$C$1004,MATCH(B533,'04_Pinjaman'!$A$5:$A$1004,0))))</f>
        <v/>
      </c>
      <c r="E533" s="22"/>
      <c r="F533" s="23"/>
      <c r="G533" s="21"/>
    </row>
    <row r="534" spans="1:7" ht="21" customHeight="1">
      <c r="A534" s="20" t="str">
        <f t="shared" si="9"/>
        <v/>
      </c>
      <c r="B534" s="21"/>
      <c r="C534" s="20" t="str">
        <f>IF(B534="","",IF(COUNTIF('04_Pinjaman'!$A$5:$A$1004,B534)=0,"NO PINJAMAN TIDAK DITEMUKAN",INDEX('04_Pinjaman'!$B$5:$B$1004,MATCH(B534,'04_Pinjaman'!$A$5:$A$1004,0))))</f>
        <v/>
      </c>
      <c r="D534" s="20" t="str">
        <f>IF(B534="","",IF(COUNTIF('04_Pinjaman'!$A$5:$A$1004,B534)=0,"NPP TIDAK DITEMUKAN",INDEX('04_Pinjaman'!$C$5:$C$1004,MATCH(B534,'04_Pinjaman'!$A$5:$A$1004,0))))</f>
        <v/>
      </c>
      <c r="E534" s="22"/>
      <c r="F534" s="23"/>
      <c r="G534" s="21"/>
    </row>
    <row r="535" spans="1:7" ht="21" customHeight="1">
      <c r="A535" s="20" t="str">
        <f t="shared" si="9"/>
        <v/>
      </c>
      <c r="B535" s="21"/>
      <c r="C535" s="20" t="str">
        <f>IF(B535="","",IF(COUNTIF('04_Pinjaman'!$A$5:$A$1004,B535)=0,"NO PINJAMAN TIDAK DITEMUKAN",INDEX('04_Pinjaman'!$B$5:$B$1004,MATCH(B535,'04_Pinjaman'!$A$5:$A$1004,0))))</f>
        <v/>
      </c>
      <c r="D535" s="20" t="str">
        <f>IF(B535="","",IF(COUNTIF('04_Pinjaman'!$A$5:$A$1004,B535)=0,"NPP TIDAK DITEMUKAN",INDEX('04_Pinjaman'!$C$5:$C$1004,MATCH(B535,'04_Pinjaman'!$A$5:$A$1004,0))))</f>
        <v/>
      </c>
      <c r="E535" s="22"/>
      <c r="F535" s="23"/>
      <c r="G535" s="21"/>
    </row>
    <row r="536" spans="1:7" ht="21" customHeight="1">
      <c r="A536" s="20" t="str">
        <f t="shared" si="9"/>
        <v/>
      </c>
      <c r="B536" s="21"/>
      <c r="C536" s="20" t="str">
        <f>IF(B536="","",IF(COUNTIF('04_Pinjaman'!$A$5:$A$1004,B536)=0,"NO PINJAMAN TIDAK DITEMUKAN",INDEX('04_Pinjaman'!$B$5:$B$1004,MATCH(B536,'04_Pinjaman'!$A$5:$A$1004,0))))</f>
        <v/>
      </c>
      <c r="D536" s="20" t="str">
        <f>IF(B536="","",IF(COUNTIF('04_Pinjaman'!$A$5:$A$1004,B536)=0,"NPP TIDAK DITEMUKAN",INDEX('04_Pinjaman'!$C$5:$C$1004,MATCH(B536,'04_Pinjaman'!$A$5:$A$1004,0))))</f>
        <v/>
      </c>
      <c r="E536" s="22"/>
      <c r="F536" s="23"/>
      <c r="G536" s="21"/>
    </row>
    <row r="537" spans="1:7" ht="21" customHeight="1">
      <c r="A537" s="20" t="str">
        <f t="shared" si="9"/>
        <v/>
      </c>
      <c r="B537" s="21"/>
      <c r="C537" s="20" t="str">
        <f>IF(B537="","",IF(COUNTIF('04_Pinjaman'!$A$5:$A$1004,B537)=0,"NO PINJAMAN TIDAK DITEMUKAN",INDEX('04_Pinjaman'!$B$5:$B$1004,MATCH(B537,'04_Pinjaman'!$A$5:$A$1004,0))))</f>
        <v/>
      </c>
      <c r="D537" s="20" t="str">
        <f>IF(B537="","",IF(COUNTIF('04_Pinjaman'!$A$5:$A$1004,B537)=0,"NPP TIDAK DITEMUKAN",INDEX('04_Pinjaman'!$C$5:$C$1004,MATCH(B537,'04_Pinjaman'!$A$5:$A$1004,0))))</f>
        <v/>
      </c>
      <c r="E537" s="22"/>
      <c r="F537" s="23"/>
      <c r="G537" s="21"/>
    </row>
    <row r="538" spans="1:7" ht="21" customHeight="1">
      <c r="A538" s="20" t="str">
        <f t="shared" si="9"/>
        <v/>
      </c>
      <c r="B538" s="21"/>
      <c r="C538" s="20" t="str">
        <f>IF(B538="","",IF(COUNTIF('04_Pinjaman'!$A$5:$A$1004,B538)=0,"NO PINJAMAN TIDAK DITEMUKAN",INDEX('04_Pinjaman'!$B$5:$B$1004,MATCH(B538,'04_Pinjaman'!$A$5:$A$1004,0))))</f>
        <v/>
      </c>
      <c r="D538" s="20" t="str">
        <f>IF(B538="","",IF(COUNTIF('04_Pinjaman'!$A$5:$A$1004,B538)=0,"NPP TIDAK DITEMUKAN",INDEX('04_Pinjaman'!$C$5:$C$1004,MATCH(B538,'04_Pinjaman'!$A$5:$A$1004,0))))</f>
        <v/>
      </c>
      <c r="E538" s="22"/>
      <c r="F538" s="23"/>
      <c r="G538" s="21"/>
    </row>
    <row r="539" spans="1:7" ht="21" customHeight="1">
      <c r="A539" s="20" t="str">
        <f t="shared" si="9"/>
        <v/>
      </c>
      <c r="B539" s="21"/>
      <c r="C539" s="20" t="str">
        <f>IF(B539="","",IF(COUNTIF('04_Pinjaman'!$A$5:$A$1004,B539)=0,"NO PINJAMAN TIDAK DITEMUKAN",INDEX('04_Pinjaman'!$B$5:$B$1004,MATCH(B539,'04_Pinjaman'!$A$5:$A$1004,0))))</f>
        <v/>
      </c>
      <c r="D539" s="20" t="str">
        <f>IF(B539="","",IF(COUNTIF('04_Pinjaman'!$A$5:$A$1004,B539)=0,"NPP TIDAK DITEMUKAN",INDEX('04_Pinjaman'!$C$5:$C$1004,MATCH(B539,'04_Pinjaman'!$A$5:$A$1004,0))))</f>
        <v/>
      </c>
      <c r="E539" s="22"/>
      <c r="F539" s="23"/>
      <c r="G539" s="21"/>
    </row>
    <row r="540" spans="1:7" ht="21" customHeight="1">
      <c r="A540" s="20" t="str">
        <f t="shared" si="9"/>
        <v/>
      </c>
      <c r="B540" s="21"/>
      <c r="C540" s="20" t="str">
        <f>IF(B540="","",IF(COUNTIF('04_Pinjaman'!$A$5:$A$1004,B540)=0,"NO PINJAMAN TIDAK DITEMUKAN",INDEX('04_Pinjaman'!$B$5:$B$1004,MATCH(B540,'04_Pinjaman'!$A$5:$A$1004,0))))</f>
        <v/>
      </c>
      <c r="D540" s="20" t="str">
        <f>IF(B540="","",IF(COUNTIF('04_Pinjaman'!$A$5:$A$1004,B540)=0,"NPP TIDAK DITEMUKAN",INDEX('04_Pinjaman'!$C$5:$C$1004,MATCH(B540,'04_Pinjaman'!$A$5:$A$1004,0))))</f>
        <v/>
      </c>
      <c r="E540" s="22"/>
      <c r="F540" s="23"/>
      <c r="G540" s="21"/>
    </row>
    <row r="541" spans="1:7" ht="21" customHeight="1">
      <c r="A541" s="20" t="str">
        <f t="shared" si="9"/>
        <v/>
      </c>
      <c r="B541" s="21"/>
      <c r="C541" s="20" t="str">
        <f>IF(B541="","",IF(COUNTIF('04_Pinjaman'!$A$5:$A$1004,B541)=0,"NO PINJAMAN TIDAK DITEMUKAN",INDEX('04_Pinjaman'!$B$5:$B$1004,MATCH(B541,'04_Pinjaman'!$A$5:$A$1004,0))))</f>
        <v/>
      </c>
      <c r="D541" s="20" t="str">
        <f>IF(B541="","",IF(COUNTIF('04_Pinjaman'!$A$5:$A$1004,B541)=0,"NPP TIDAK DITEMUKAN",INDEX('04_Pinjaman'!$C$5:$C$1004,MATCH(B541,'04_Pinjaman'!$A$5:$A$1004,0))))</f>
        <v/>
      </c>
      <c r="E541" s="22"/>
      <c r="F541" s="23"/>
      <c r="G541" s="21"/>
    </row>
    <row r="542" spans="1:7" ht="21" customHeight="1">
      <c r="A542" s="20" t="str">
        <f t="shared" si="9"/>
        <v/>
      </c>
      <c r="B542" s="21"/>
      <c r="C542" s="20" t="str">
        <f>IF(B542="","",IF(COUNTIF('04_Pinjaman'!$A$5:$A$1004,B542)=0,"NO PINJAMAN TIDAK DITEMUKAN",INDEX('04_Pinjaman'!$B$5:$B$1004,MATCH(B542,'04_Pinjaman'!$A$5:$A$1004,0))))</f>
        <v/>
      </c>
      <c r="D542" s="20" t="str">
        <f>IF(B542="","",IF(COUNTIF('04_Pinjaman'!$A$5:$A$1004,B542)=0,"NPP TIDAK DITEMUKAN",INDEX('04_Pinjaman'!$C$5:$C$1004,MATCH(B542,'04_Pinjaman'!$A$5:$A$1004,0))))</f>
        <v/>
      </c>
      <c r="E542" s="22"/>
      <c r="F542" s="23"/>
      <c r="G542" s="21"/>
    </row>
    <row r="543" spans="1:7" ht="21" customHeight="1">
      <c r="A543" s="20" t="str">
        <f t="shared" si="9"/>
        <v/>
      </c>
      <c r="B543" s="21"/>
      <c r="C543" s="20" t="str">
        <f>IF(B543="","",IF(COUNTIF('04_Pinjaman'!$A$5:$A$1004,B543)=0,"NO PINJAMAN TIDAK DITEMUKAN",INDEX('04_Pinjaman'!$B$5:$B$1004,MATCH(B543,'04_Pinjaman'!$A$5:$A$1004,0))))</f>
        <v/>
      </c>
      <c r="D543" s="20" t="str">
        <f>IF(B543="","",IF(COUNTIF('04_Pinjaman'!$A$5:$A$1004,B543)=0,"NPP TIDAK DITEMUKAN",INDEX('04_Pinjaman'!$C$5:$C$1004,MATCH(B543,'04_Pinjaman'!$A$5:$A$1004,0))))</f>
        <v/>
      </c>
      <c r="E543" s="22"/>
      <c r="F543" s="23"/>
      <c r="G543" s="21"/>
    </row>
    <row r="544" spans="1:7" ht="21" customHeight="1">
      <c r="A544" s="20" t="str">
        <f t="shared" si="9"/>
        <v/>
      </c>
      <c r="B544" s="21"/>
      <c r="C544" s="20" t="str">
        <f>IF(B544="","",IF(COUNTIF('04_Pinjaman'!$A$5:$A$1004,B544)=0,"NO PINJAMAN TIDAK DITEMUKAN",INDEX('04_Pinjaman'!$B$5:$B$1004,MATCH(B544,'04_Pinjaman'!$A$5:$A$1004,0))))</f>
        <v/>
      </c>
      <c r="D544" s="20" t="str">
        <f>IF(B544="","",IF(COUNTIF('04_Pinjaman'!$A$5:$A$1004,B544)=0,"NPP TIDAK DITEMUKAN",INDEX('04_Pinjaman'!$C$5:$C$1004,MATCH(B544,'04_Pinjaman'!$A$5:$A$1004,0))))</f>
        <v/>
      </c>
      <c r="E544" s="22"/>
      <c r="F544" s="23"/>
      <c r="G544" s="21"/>
    </row>
    <row r="545" spans="1:7" ht="21" customHeight="1">
      <c r="A545" s="20" t="str">
        <f t="shared" si="9"/>
        <v/>
      </c>
      <c r="B545" s="21"/>
      <c r="C545" s="20" t="str">
        <f>IF(B545="","",IF(COUNTIF('04_Pinjaman'!$A$5:$A$1004,B545)=0,"NO PINJAMAN TIDAK DITEMUKAN",INDEX('04_Pinjaman'!$B$5:$B$1004,MATCH(B545,'04_Pinjaman'!$A$5:$A$1004,0))))</f>
        <v/>
      </c>
      <c r="D545" s="20" t="str">
        <f>IF(B545="","",IF(COUNTIF('04_Pinjaman'!$A$5:$A$1004,B545)=0,"NPP TIDAK DITEMUKAN",INDEX('04_Pinjaman'!$C$5:$C$1004,MATCH(B545,'04_Pinjaman'!$A$5:$A$1004,0))))</f>
        <v/>
      </c>
      <c r="E545" s="22"/>
      <c r="F545" s="23"/>
      <c r="G545" s="21"/>
    </row>
    <row r="546" spans="1:7" ht="21" customHeight="1">
      <c r="A546" s="20" t="str">
        <f t="shared" si="9"/>
        <v/>
      </c>
      <c r="B546" s="21"/>
      <c r="C546" s="20" t="str">
        <f>IF(B546="","",IF(COUNTIF('04_Pinjaman'!$A$5:$A$1004,B546)=0,"NO PINJAMAN TIDAK DITEMUKAN",INDEX('04_Pinjaman'!$B$5:$B$1004,MATCH(B546,'04_Pinjaman'!$A$5:$A$1004,0))))</f>
        <v/>
      </c>
      <c r="D546" s="20" t="str">
        <f>IF(B546="","",IF(COUNTIF('04_Pinjaman'!$A$5:$A$1004,B546)=0,"NPP TIDAK DITEMUKAN",INDEX('04_Pinjaman'!$C$5:$C$1004,MATCH(B546,'04_Pinjaman'!$A$5:$A$1004,0))))</f>
        <v/>
      </c>
      <c r="E546" s="22"/>
      <c r="F546" s="23"/>
      <c r="G546" s="21"/>
    </row>
    <row r="547" spans="1:7" ht="21" customHeight="1">
      <c r="A547" s="20" t="str">
        <f t="shared" si="9"/>
        <v/>
      </c>
      <c r="B547" s="21"/>
      <c r="C547" s="20" t="str">
        <f>IF(B547="","",IF(COUNTIF('04_Pinjaman'!$A$5:$A$1004,B547)=0,"NO PINJAMAN TIDAK DITEMUKAN",INDEX('04_Pinjaman'!$B$5:$B$1004,MATCH(B547,'04_Pinjaman'!$A$5:$A$1004,0))))</f>
        <v/>
      </c>
      <c r="D547" s="20" t="str">
        <f>IF(B547="","",IF(COUNTIF('04_Pinjaman'!$A$5:$A$1004,B547)=0,"NPP TIDAK DITEMUKAN",INDEX('04_Pinjaman'!$C$5:$C$1004,MATCH(B547,'04_Pinjaman'!$A$5:$A$1004,0))))</f>
        <v/>
      </c>
      <c r="E547" s="22"/>
      <c r="F547" s="23"/>
      <c r="G547" s="21"/>
    </row>
    <row r="548" spans="1:7" ht="21" customHeight="1">
      <c r="A548" s="20" t="str">
        <f t="shared" si="9"/>
        <v/>
      </c>
      <c r="B548" s="21"/>
      <c r="C548" s="20" t="str">
        <f>IF(B548="","",IF(COUNTIF('04_Pinjaman'!$A$5:$A$1004,B548)=0,"NO PINJAMAN TIDAK DITEMUKAN",INDEX('04_Pinjaman'!$B$5:$B$1004,MATCH(B548,'04_Pinjaman'!$A$5:$A$1004,0))))</f>
        <v/>
      </c>
      <c r="D548" s="20" t="str">
        <f>IF(B548="","",IF(COUNTIF('04_Pinjaman'!$A$5:$A$1004,B548)=0,"NPP TIDAK DITEMUKAN",INDEX('04_Pinjaman'!$C$5:$C$1004,MATCH(B548,'04_Pinjaman'!$A$5:$A$1004,0))))</f>
        <v/>
      </c>
      <c r="E548" s="22"/>
      <c r="F548" s="23"/>
      <c r="G548" s="21"/>
    </row>
    <row r="549" spans="1:7" ht="21" customHeight="1">
      <c r="A549" s="20" t="str">
        <f t="shared" si="9"/>
        <v/>
      </c>
      <c r="B549" s="21"/>
      <c r="C549" s="20" t="str">
        <f>IF(B549="","",IF(COUNTIF('04_Pinjaman'!$A$5:$A$1004,B549)=0,"NO PINJAMAN TIDAK DITEMUKAN",INDEX('04_Pinjaman'!$B$5:$B$1004,MATCH(B549,'04_Pinjaman'!$A$5:$A$1004,0))))</f>
        <v/>
      </c>
      <c r="D549" s="20" t="str">
        <f>IF(B549="","",IF(COUNTIF('04_Pinjaman'!$A$5:$A$1004,B549)=0,"NPP TIDAK DITEMUKAN",INDEX('04_Pinjaman'!$C$5:$C$1004,MATCH(B549,'04_Pinjaman'!$A$5:$A$1004,0))))</f>
        <v/>
      </c>
      <c r="E549" s="22"/>
      <c r="F549" s="23"/>
      <c r="G549" s="21"/>
    </row>
    <row r="550" spans="1:7" ht="21" customHeight="1">
      <c r="A550" s="20" t="str">
        <f t="shared" si="9"/>
        <v/>
      </c>
      <c r="B550" s="21"/>
      <c r="C550" s="20" t="str">
        <f>IF(B550="","",IF(COUNTIF('04_Pinjaman'!$A$5:$A$1004,B550)=0,"NO PINJAMAN TIDAK DITEMUKAN",INDEX('04_Pinjaman'!$B$5:$B$1004,MATCH(B550,'04_Pinjaman'!$A$5:$A$1004,0))))</f>
        <v/>
      </c>
      <c r="D550" s="20" t="str">
        <f>IF(B550="","",IF(COUNTIF('04_Pinjaman'!$A$5:$A$1004,B550)=0,"NPP TIDAK DITEMUKAN",INDEX('04_Pinjaman'!$C$5:$C$1004,MATCH(B550,'04_Pinjaman'!$A$5:$A$1004,0))))</f>
        <v/>
      </c>
      <c r="E550" s="22"/>
      <c r="F550" s="23"/>
      <c r="G550" s="21"/>
    </row>
    <row r="551" spans="1:7" ht="21" customHeight="1">
      <c r="A551" s="20" t="str">
        <f t="shared" si="9"/>
        <v/>
      </c>
      <c r="B551" s="21"/>
      <c r="C551" s="20" t="str">
        <f>IF(B551="","",IF(COUNTIF('04_Pinjaman'!$A$5:$A$1004,B551)=0,"NO PINJAMAN TIDAK DITEMUKAN",INDEX('04_Pinjaman'!$B$5:$B$1004,MATCH(B551,'04_Pinjaman'!$A$5:$A$1004,0))))</f>
        <v/>
      </c>
      <c r="D551" s="20" t="str">
        <f>IF(B551="","",IF(COUNTIF('04_Pinjaman'!$A$5:$A$1004,B551)=0,"NPP TIDAK DITEMUKAN",INDEX('04_Pinjaman'!$C$5:$C$1004,MATCH(B551,'04_Pinjaman'!$A$5:$A$1004,0))))</f>
        <v/>
      </c>
      <c r="E551" s="22"/>
      <c r="F551" s="23"/>
      <c r="G551" s="21"/>
    </row>
    <row r="552" spans="1:7" ht="21" customHeight="1">
      <c r="A552" s="20" t="str">
        <f t="shared" si="9"/>
        <v/>
      </c>
      <c r="B552" s="21"/>
      <c r="C552" s="20" t="str">
        <f>IF(B552="","",IF(COUNTIF('04_Pinjaman'!$A$5:$A$1004,B552)=0,"NO PINJAMAN TIDAK DITEMUKAN",INDEX('04_Pinjaman'!$B$5:$B$1004,MATCH(B552,'04_Pinjaman'!$A$5:$A$1004,0))))</f>
        <v/>
      </c>
      <c r="D552" s="20" t="str">
        <f>IF(B552="","",IF(COUNTIF('04_Pinjaman'!$A$5:$A$1004,B552)=0,"NPP TIDAK DITEMUKAN",INDEX('04_Pinjaman'!$C$5:$C$1004,MATCH(B552,'04_Pinjaman'!$A$5:$A$1004,0))))</f>
        <v/>
      </c>
      <c r="E552" s="22"/>
      <c r="F552" s="23"/>
      <c r="G552" s="21"/>
    </row>
    <row r="553" spans="1:7" ht="21" customHeight="1">
      <c r="A553" s="20" t="str">
        <f t="shared" si="9"/>
        <v/>
      </c>
      <c r="B553" s="21"/>
      <c r="C553" s="20" t="str">
        <f>IF(B553="","",IF(COUNTIF('04_Pinjaman'!$A$5:$A$1004,B553)=0,"NO PINJAMAN TIDAK DITEMUKAN",INDEX('04_Pinjaman'!$B$5:$B$1004,MATCH(B553,'04_Pinjaman'!$A$5:$A$1004,0))))</f>
        <v/>
      </c>
      <c r="D553" s="20" t="str">
        <f>IF(B553="","",IF(COUNTIF('04_Pinjaman'!$A$5:$A$1004,B553)=0,"NPP TIDAK DITEMUKAN",INDEX('04_Pinjaman'!$C$5:$C$1004,MATCH(B553,'04_Pinjaman'!$A$5:$A$1004,0))))</f>
        <v/>
      </c>
      <c r="E553" s="22"/>
      <c r="F553" s="23"/>
      <c r="G553" s="21"/>
    </row>
    <row r="554" spans="1:7" ht="21" customHeight="1">
      <c r="A554" s="20" t="str">
        <f t="shared" si="9"/>
        <v/>
      </c>
      <c r="B554" s="21"/>
      <c r="C554" s="20" t="str">
        <f>IF(B554="","",IF(COUNTIF('04_Pinjaman'!$A$5:$A$1004,B554)=0,"NO PINJAMAN TIDAK DITEMUKAN",INDEX('04_Pinjaman'!$B$5:$B$1004,MATCH(B554,'04_Pinjaman'!$A$5:$A$1004,0))))</f>
        <v/>
      </c>
      <c r="D554" s="20" t="str">
        <f>IF(B554="","",IF(COUNTIF('04_Pinjaman'!$A$5:$A$1004,B554)=0,"NPP TIDAK DITEMUKAN",INDEX('04_Pinjaman'!$C$5:$C$1004,MATCH(B554,'04_Pinjaman'!$A$5:$A$1004,0))))</f>
        <v/>
      </c>
      <c r="E554" s="22"/>
      <c r="F554" s="23"/>
      <c r="G554" s="21"/>
    </row>
    <row r="555" spans="1:7" ht="21" customHeight="1">
      <c r="A555" s="20" t="str">
        <f t="shared" si="9"/>
        <v/>
      </c>
      <c r="B555" s="21"/>
      <c r="C555" s="20" t="str">
        <f>IF(B555="","",IF(COUNTIF('04_Pinjaman'!$A$5:$A$1004,B555)=0,"NO PINJAMAN TIDAK DITEMUKAN",INDEX('04_Pinjaman'!$B$5:$B$1004,MATCH(B555,'04_Pinjaman'!$A$5:$A$1004,0))))</f>
        <v/>
      </c>
      <c r="D555" s="20" t="str">
        <f>IF(B555="","",IF(COUNTIF('04_Pinjaman'!$A$5:$A$1004,B555)=0,"NPP TIDAK DITEMUKAN",INDEX('04_Pinjaman'!$C$5:$C$1004,MATCH(B555,'04_Pinjaman'!$A$5:$A$1004,0))))</f>
        <v/>
      </c>
      <c r="E555" s="22"/>
      <c r="F555" s="23"/>
      <c r="G555" s="21"/>
    </row>
    <row r="556" spans="1:7" ht="21" customHeight="1">
      <c r="A556" s="20" t="str">
        <f t="shared" si="9"/>
        <v/>
      </c>
      <c r="B556" s="21"/>
      <c r="C556" s="20" t="str">
        <f>IF(B556="","",IF(COUNTIF('04_Pinjaman'!$A$5:$A$1004,B556)=0,"NO PINJAMAN TIDAK DITEMUKAN",INDEX('04_Pinjaman'!$B$5:$B$1004,MATCH(B556,'04_Pinjaman'!$A$5:$A$1004,0))))</f>
        <v/>
      </c>
      <c r="D556" s="20" t="str">
        <f>IF(B556="","",IF(COUNTIF('04_Pinjaman'!$A$5:$A$1004,B556)=0,"NPP TIDAK DITEMUKAN",INDEX('04_Pinjaman'!$C$5:$C$1004,MATCH(B556,'04_Pinjaman'!$A$5:$A$1004,0))))</f>
        <v/>
      </c>
      <c r="E556" s="22"/>
      <c r="F556" s="23"/>
      <c r="G556" s="21"/>
    </row>
    <row r="557" spans="1:7" ht="21" customHeight="1">
      <c r="A557" s="20" t="str">
        <f t="shared" si="9"/>
        <v/>
      </c>
      <c r="B557" s="21"/>
      <c r="C557" s="20" t="str">
        <f>IF(B557="","",IF(COUNTIF('04_Pinjaman'!$A$5:$A$1004,B557)=0,"NO PINJAMAN TIDAK DITEMUKAN",INDEX('04_Pinjaman'!$B$5:$B$1004,MATCH(B557,'04_Pinjaman'!$A$5:$A$1004,0))))</f>
        <v/>
      </c>
      <c r="D557" s="20" t="str">
        <f>IF(B557="","",IF(COUNTIF('04_Pinjaman'!$A$5:$A$1004,B557)=0,"NPP TIDAK DITEMUKAN",INDEX('04_Pinjaman'!$C$5:$C$1004,MATCH(B557,'04_Pinjaman'!$A$5:$A$1004,0))))</f>
        <v/>
      </c>
      <c r="E557" s="22"/>
      <c r="F557" s="23"/>
      <c r="G557" s="21"/>
    </row>
    <row r="558" spans="1:7" ht="21" customHeight="1">
      <c r="A558" s="20" t="str">
        <f t="shared" si="9"/>
        <v/>
      </c>
      <c r="B558" s="21"/>
      <c r="C558" s="20" t="str">
        <f>IF(B558="","",IF(COUNTIF('04_Pinjaman'!$A$5:$A$1004,B558)=0,"NO PINJAMAN TIDAK DITEMUKAN",INDEX('04_Pinjaman'!$B$5:$B$1004,MATCH(B558,'04_Pinjaman'!$A$5:$A$1004,0))))</f>
        <v/>
      </c>
      <c r="D558" s="20" t="str">
        <f>IF(B558="","",IF(COUNTIF('04_Pinjaman'!$A$5:$A$1004,B558)=0,"NPP TIDAK DITEMUKAN",INDEX('04_Pinjaman'!$C$5:$C$1004,MATCH(B558,'04_Pinjaman'!$A$5:$A$1004,0))))</f>
        <v/>
      </c>
      <c r="E558" s="22"/>
      <c r="F558" s="23"/>
      <c r="G558" s="21"/>
    </row>
    <row r="559" spans="1:7" ht="21" customHeight="1">
      <c r="A559" s="20" t="str">
        <f t="shared" si="9"/>
        <v/>
      </c>
      <c r="B559" s="21"/>
      <c r="C559" s="20" t="str">
        <f>IF(B559="","",IF(COUNTIF('04_Pinjaman'!$A$5:$A$1004,B559)=0,"NO PINJAMAN TIDAK DITEMUKAN",INDEX('04_Pinjaman'!$B$5:$B$1004,MATCH(B559,'04_Pinjaman'!$A$5:$A$1004,0))))</f>
        <v/>
      </c>
      <c r="D559" s="20" t="str">
        <f>IF(B559="","",IF(COUNTIF('04_Pinjaman'!$A$5:$A$1004,B559)=0,"NPP TIDAK DITEMUKAN",INDEX('04_Pinjaman'!$C$5:$C$1004,MATCH(B559,'04_Pinjaman'!$A$5:$A$1004,0))))</f>
        <v/>
      </c>
      <c r="E559" s="22"/>
      <c r="F559" s="23"/>
      <c r="G559" s="21"/>
    </row>
    <row r="560" spans="1:7" ht="21" customHeight="1">
      <c r="A560" s="20" t="str">
        <f t="shared" si="9"/>
        <v/>
      </c>
      <c r="B560" s="21"/>
      <c r="C560" s="20" t="str">
        <f>IF(B560="","",IF(COUNTIF('04_Pinjaman'!$A$5:$A$1004,B560)=0,"NO PINJAMAN TIDAK DITEMUKAN",INDEX('04_Pinjaman'!$B$5:$B$1004,MATCH(B560,'04_Pinjaman'!$A$5:$A$1004,0))))</f>
        <v/>
      </c>
      <c r="D560" s="20" t="str">
        <f>IF(B560="","",IF(COUNTIF('04_Pinjaman'!$A$5:$A$1004,B560)=0,"NPP TIDAK DITEMUKAN",INDEX('04_Pinjaman'!$C$5:$C$1004,MATCH(B560,'04_Pinjaman'!$A$5:$A$1004,0))))</f>
        <v/>
      </c>
      <c r="E560" s="22"/>
      <c r="F560" s="23"/>
      <c r="G560" s="21"/>
    </row>
    <row r="561" spans="1:7" ht="21" customHeight="1">
      <c r="A561" s="20" t="str">
        <f t="shared" si="9"/>
        <v/>
      </c>
      <c r="B561" s="21"/>
      <c r="C561" s="20" t="str">
        <f>IF(B561="","",IF(COUNTIF('04_Pinjaman'!$A$5:$A$1004,B561)=0,"NO PINJAMAN TIDAK DITEMUKAN",INDEX('04_Pinjaman'!$B$5:$B$1004,MATCH(B561,'04_Pinjaman'!$A$5:$A$1004,0))))</f>
        <v/>
      </c>
      <c r="D561" s="20" t="str">
        <f>IF(B561="","",IF(COUNTIF('04_Pinjaman'!$A$5:$A$1004,B561)=0,"NPP TIDAK DITEMUKAN",INDEX('04_Pinjaman'!$C$5:$C$1004,MATCH(B561,'04_Pinjaman'!$A$5:$A$1004,0))))</f>
        <v/>
      </c>
      <c r="E561" s="22"/>
      <c r="F561" s="23"/>
      <c r="G561" s="21"/>
    </row>
    <row r="562" spans="1:7" ht="21" customHeight="1">
      <c r="A562" s="20" t="str">
        <f t="shared" si="9"/>
        <v/>
      </c>
      <c r="B562" s="21"/>
      <c r="C562" s="20" t="str">
        <f>IF(B562="","",IF(COUNTIF('04_Pinjaman'!$A$5:$A$1004,B562)=0,"NO PINJAMAN TIDAK DITEMUKAN",INDEX('04_Pinjaman'!$B$5:$B$1004,MATCH(B562,'04_Pinjaman'!$A$5:$A$1004,0))))</f>
        <v/>
      </c>
      <c r="D562" s="20" t="str">
        <f>IF(B562="","",IF(COUNTIF('04_Pinjaman'!$A$5:$A$1004,B562)=0,"NPP TIDAK DITEMUKAN",INDEX('04_Pinjaman'!$C$5:$C$1004,MATCH(B562,'04_Pinjaman'!$A$5:$A$1004,0))))</f>
        <v/>
      </c>
      <c r="E562" s="22"/>
      <c r="F562" s="23"/>
      <c r="G562" s="21"/>
    </row>
    <row r="563" spans="1:7" ht="21" customHeight="1">
      <c r="A563" s="20" t="str">
        <f t="shared" si="9"/>
        <v/>
      </c>
      <c r="B563" s="21"/>
      <c r="C563" s="20" t="str">
        <f>IF(B563="","",IF(COUNTIF('04_Pinjaman'!$A$5:$A$1004,B563)=0,"NO PINJAMAN TIDAK DITEMUKAN",INDEX('04_Pinjaman'!$B$5:$B$1004,MATCH(B563,'04_Pinjaman'!$A$5:$A$1004,0))))</f>
        <v/>
      </c>
      <c r="D563" s="20" t="str">
        <f>IF(B563="","",IF(COUNTIF('04_Pinjaman'!$A$5:$A$1004,B563)=0,"NPP TIDAK DITEMUKAN",INDEX('04_Pinjaman'!$C$5:$C$1004,MATCH(B563,'04_Pinjaman'!$A$5:$A$1004,0))))</f>
        <v/>
      </c>
      <c r="E563" s="22"/>
      <c r="F563" s="23"/>
      <c r="G563" s="21"/>
    </row>
    <row r="564" spans="1:7" ht="21" customHeight="1">
      <c r="A564" s="20" t="str">
        <f t="shared" si="9"/>
        <v/>
      </c>
      <c r="B564" s="21"/>
      <c r="C564" s="20" t="str">
        <f>IF(B564="","",IF(COUNTIF('04_Pinjaman'!$A$5:$A$1004,B564)=0,"NO PINJAMAN TIDAK DITEMUKAN",INDEX('04_Pinjaman'!$B$5:$B$1004,MATCH(B564,'04_Pinjaman'!$A$5:$A$1004,0))))</f>
        <v/>
      </c>
      <c r="D564" s="20" t="str">
        <f>IF(B564="","",IF(COUNTIF('04_Pinjaman'!$A$5:$A$1004,B564)=0,"NPP TIDAK DITEMUKAN",INDEX('04_Pinjaman'!$C$5:$C$1004,MATCH(B564,'04_Pinjaman'!$A$5:$A$1004,0))))</f>
        <v/>
      </c>
      <c r="E564" s="22"/>
      <c r="F564" s="23"/>
      <c r="G564" s="21"/>
    </row>
    <row r="565" spans="1:7" ht="21" customHeight="1">
      <c r="A565" s="20" t="str">
        <f t="shared" si="9"/>
        <v/>
      </c>
      <c r="B565" s="21"/>
      <c r="C565" s="20" t="str">
        <f>IF(B565="","",IF(COUNTIF('04_Pinjaman'!$A$5:$A$1004,B565)=0,"NO PINJAMAN TIDAK DITEMUKAN",INDEX('04_Pinjaman'!$B$5:$B$1004,MATCH(B565,'04_Pinjaman'!$A$5:$A$1004,0))))</f>
        <v/>
      </c>
      <c r="D565" s="20" t="str">
        <f>IF(B565="","",IF(COUNTIF('04_Pinjaman'!$A$5:$A$1004,B565)=0,"NPP TIDAK DITEMUKAN",INDEX('04_Pinjaman'!$C$5:$C$1004,MATCH(B565,'04_Pinjaman'!$A$5:$A$1004,0))))</f>
        <v/>
      </c>
      <c r="E565" s="22"/>
      <c r="F565" s="23"/>
      <c r="G565" s="21"/>
    </row>
    <row r="566" spans="1:7" ht="21" customHeight="1">
      <c r="A566" s="20" t="str">
        <f t="shared" si="9"/>
        <v/>
      </c>
      <c r="B566" s="21"/>
      <c r="C566" s="20" t="str">
        <f>IF(B566="","",IF(COUNTIF('04_Pinjaman'!$A$5:$A$1004,B566)=0,"NO PINJAMAN TIDAK DITEMUKAN",INDEX('04_Pinjaman'!$B$5:$B$1004,MATCH(B566,'04_Pinjaman'!$A$5:$A$1004,0))))</f>
        <v/>
      </c>
      <c r="D566" s="20" t="str">
        <f>IF(B566="","",IF(COUNTIF('04_Pinjaman'!$A$5:$A$1004,B566)=0,"NPP TIDAK DITEMUKAN",INDEX('04_Pinjaman'!$C$5:$C$1004,MATCH(B566,'04_Pinjaman'!$A$5:$A$1004,0))))</f>
        <v/>
      </c>
      <c r="E566" s="22"/>
      <c r="F566" s="23"/>
      <c r="G566" s="21"/>
    </row>
    <row r="567" spans="1:7" ht="21" customHeight="1">
      <c r="A567" s="20" t="str">
        <f t="shared" si="9"/>
        <v/>
      </c>
      <c r="B567" s="21"/>
      <c r="C567" s="20" t="str">
        <f>IF(B567="","",IF(COUNTIF('04_Pinjaman'!$A$5:$A$1004,B567)=0,"NO PINJAMAN TIDAK DITEMUKAN",INDEX('04_Pinjaman'!$B$5:$B$1004,MATCH(B567,'04_Pinjaman'!$A$5:$A$1004,0))))</f>
        <v/>
      </c>
      <c r="D567" s="20" t="str">
        <f>IF(B567="","",IF(COUNTIF('04_Pinjaman'!$A$5:$A$1004,B567)=0,"NPP TIDAK DITEMUKAN",INDEX('04_Pinjaman'!$C$5:$C$1004,MATCH(B567,'04_Pinjaman'!$A$5:$A$1004,0))))</f>
        <v/>
      </c>
      <c r="E567" s="22"/>
      <c r="F567" s="23"/>
      <c r="G567" s="21"/>
    </row>
    <row r="568" spans="1:7" ht="21" customHeight="1">
      <c r="A568" s="20" t="str">
        <f t="shared" si="9"/>
        <v/>
      </c>
      <c r="B568" s="21"/>
      <c r="C568" s="20" t="str">
        <f>IF(B568="","",IF(COUNTIF('04_Pinjaman'!$A$5:$A$1004,B568)=0,"NO PINJAMAN TIDAK DITEMUKAN",INDEX('04_Pinjaman'!$B$5:$B$1004,MATCH(B568,'04_Pinjaman'!$A$5:$A$1004,0))))</f>
        <v/>
      </c>
      <c r="D568" s="20" t="str">
        <f>IF(B568="","",IF(COUNTIF('04_Pinjaman'!$A$5:$A$1004,B568)=0,"NPP TIDAK DITEMUKAN",INDEX('04_Pinjaman'!$C$5:$C$1004,MATCH(B568,'04_Pinjaman'!$A$5:$A$1004,0))))</f>
        <v/>
      </c>
      <c r="E568" s="22"/>
      <c r="F568" s="23"/>
      <c r="G568" s="21"/>
    </row>
    <row r="569" spans="1:7" ht="21" customHeight="1">
      <c r="A569" s="20" t="str">
        <f t="shared" si="9"/>
        <v/>
      </c>
      <c r="B569" s="21"/>
      <c r="C569" s="20" t="str">
        <f>IF(B569="","",IF(COUNTIF('04_Pinjaman'!$A$5:$A$1004,B569)=0,"NO PINJAMAN TIDAK DITEMUKAN",INDEX('04_Pinjaman'!$B$5:$B$1004,MATCH(B569,'04_Pinjaman'!$A$5:$A$1004,0))))</f>
        <v/>
      </c>
      <c r="D569" s="20" t="str">
        <f>IF(B569="","",IF(COUNTIF('04_Pinjaman'!$A$5:$A$1004,B569)=0,"NPP TIDAK DITEMUKAN",INDEX('04_Pinjaman'!$C$5:$C$1004,MATCH(B569,'04_Pinjaman'!$A$5:$A$1004,0))))</f>
        <v/>
      </c>
      <c r="E569" s="22"/>
      <c r="F569" s="23"/>
      <c r="G569" s="21"/>
    </row>
    <row r="570" spans="1:7" ht="21" customHeight="1">
      <c r="A570" s="20" t="str">
        <f t="shared" si="9"/>
        <v/>
      </c>
      <c r="B570" s="21"/>
      <c r="C570" s="20" t="str">
        <f>IF(B570="","",IF(COUNTIF('04_Pinjaman'!$A$5:$A$1004,B570)=0,"NO PINJAMAN TIDAK DITEMUKAN",INDEX('04_Pinjaman'!$B$5:$B$1004,MATCH(B570,'04_Pinjaman'!$A$5:$A$1004,0))))</f>
        <v/>
      </c>
      <c r="D570" s="20" t="str">
        <f>IF(B570="","",IF(COUNTIF('04_Pinjaman'!$A$5:$A$1004,B570)=0,"NPP TIDAK DITEMUKAN",INDEX('04_Pinjaman'!$C$5:$C$1004,MATCH(B570,'04_Pinjaman'!$A$5:$A$1004,0))))</f>
        <v/>
      </c>
      <c r="E570" s="22"/>
      <c r="F570" s="23"/>
      <c r="G570" s="21"/>
    </row>
    <row r="571" spans="1:7" ht="21" customHeight="1">
      <c r="A571" s="20" t="str">
        <f t="shared" si="9"/>
        <v/>
      </c>
      <c r="B571" s="21"/>
      <c r="C571" s="20" t="str">
        <f>IF(B571="","",IF(COUNTIF('04_Pinjaman'!$A$5:$A$1004,B571)=0,"NO PINJAMAN TIDAK DITEMUKAN",INDEX('04_Pinjaman'!$B$5:$B$1004,MATCH(B571,'04_Pinjaman'!$A$5:$A$1004,0))))</f>
        <v/>
      </c>
      <c r="D571" s="20" t="str">
        <f>IF(B571="","",IF(COUNTIF('04_Pinjaman'!$A$5:$A$1004,B571)=0,"NPP TIDAK DITEMUKAN",INDEX('04_Pinjaman'!$C$5:$C$1004,MATCH(B571,'04_Pinjaman'!$A$5:$A$1004,0))))</f>
        <v/>
      </c>
      <c r="E571" s="22"/>
      <c r="F571" s="23"/>
      <c r="G571" s="21"/>
    </row>
    <row r="572" spans="1:7" ht="21" customHeight="1">
      <c r="A572" s="20" t="str">
        <f t="shared" si="9"/>
        <v/>
      </c>
      <c r="B572" s="21"/>
      <c r="C572" s="20" t="str">
        <f>IF(B572="","",IF(COUNTIF('04_Pinjaman'!$A$5:$A$1004,B572)=0,"NO PINJAMAN TIDAK DITEMUKAN",INDEX('04_Pinjaman'!$B$5:$B$1004,MATCH(B572,'04_Pinjaman'!$A$5:$A$1004,0))))</f>
        <v/>
      </c>
      <c r="D572" s="20" t="str">
        <f>IF(B572="","",IF(COUNTIF('04_Pinjaman'!$A$5:$A$1004,B572)=0,"NPP TIDAK DITEMUKAN",INDEX('04_Pinjaman'!$C$5:$C$1004,MATCH(B572,'04_Pinjaman'!$A$5:$A$1004,0))))</f>
        <v/>
      </c>
      <c r="E572" s="22"/>
      <c r="F572" s="23"/>
      <c r="G572" s="21"/>
    </row>
    <row r="573" spans="1:7" ht="21" customHeight="1">
      <c r="A573" s="20" t="str">
        <f t="shared" si="9"/>
        <v/>
      </c>
      <c r="B573" s="21"/>
      <c r="C573" s="20" t="str">
        <f>IF(B573="","",IF(COUNTIF('04_Pinjaman'!$A$5:$A$1004,B573)=0,"NO PINJAMAN TIDAK DITEMUKAN",INDEX('04_Pinjaman'!$B$5:$B$1004,MATCH(B573,'04_Pinjaman'!$A$5:$A$1004,0))))</f>
        <v/>
      </c>
      <c r="D573" s="20" t="str">
        <f>IF(B573="","",IF(COUNTIF('04_Pinjaman'!$A$5:$A$1004,B573)=0,"NPP TIDAK DITEMUKAN",INDEX('04_Pinjaman'!$C$5:$C$1004,MATCH(B573,'04_Pinjaman'!$A$5:$A$1004,0))))</f>
        <v/>
      </c>
      <c r="E573" s="22"/>
      <c r="F573" s="23"/>
      <c r="G573" s="21"/>
    </row>
    <row r="574" spans="1:7" ht="21" customHeight="1">
      <c r="A574" s="20" t="str">
        <f t="shared" si="9"/>
        <v/>
      </c>
      <c r="B574" s="21"/>
      <c r="C574" s="20" t="str">
        <f>IF(B574="","",IF(COUNTIF('04_Pinjaman'!$A$5:$A$1004,B574)=0,"NO PINJAMAN TIDAK DITEMUKAN",INDEX('04_Pinjaman'!$B$5:$B$1004,MATCH(B574,'04_Pinjaman'!$A$5:$A$1004,0))))</f>
        <v/>
      </c>
      <c r="D574" s="20" t="str">
        <f>IF(B574="","",IF(COUNTIF('04_Pinjaman'!$A$5:$A$1004,B574)=0,"NPP TIDAK DITEMUKAN",INDEX('04_Pinjaman'!$C$5:$C$1004,MATCH(B574,'04_Pinjaman'!$A$5:$A$1004,0))))</f>
        <v/>
      </c>
      <c r="E574" s="22"/>
      <c r="F574" s="23"/>
      <c r="G574" s="21"/>
    </row>
    <row r="575" spans="1:7" ht="21" customHeight="1">
      <c r="A575" s="20" t="str">
        <f t="shared" si="9"/>
        <v/>
      </c>
      <c r="B575" s="21"/>
      <c r="C575" s="20" t="str">
        <f>IF(B575="","",IF(COUNTIF('04_Pinjaman'!$A$5:$A$1004,B575)=0,"NO PINJAMAN TIDAK DITEMUKAN",INDEX('04_Pinjaman'!$B$5:$B$1004,MATCH(B575,'04_Pinjaman'!$A$5:$A$1004,0))))</f>
        <v/>
      </c>
      <c r="D575" s="20" t="str">
        <f>IF(B575="","",IF(COUNTIF('04_Pinjaman'!$A$5:$A$1004,B575)=0,"NPP TIDAK DITEMUKAN",INDEX('04_Pinjaman'!$C$5:$C$1004,MATCH(B575,'04_Pinjaman'!$A$5:$A$1004,0))))</f>
        <v/>
      </c>
      <c r="E575" s="22"/>
      <c r="F575" s="23"/>
      <c r="G575" s="21"/>
    </row>
    <row r="576" spans="1:7" ht="21" customHeight="1">
      <c r="A576" s="20" t="str">
        <f t="shared" si="9"/>
        <v/>
      </c>
      <c r="B576" s="21"/>
      <c r="C576" s="20" t="str">
        <f>IF(B576="","",IF(COUNTIF('04_Pinjaman'!$A$5:$A$1004,B576)=0,"NO PINJAMAN TIDAK DITEMUKAN",INDEX('04_Pinjaman'!$B$5:$B$1004,MATCH(B576,'04_Pinjaman'!$A$5:$A$1004,0))))</f>
        <v/>
      </c>
      <c r="D576" s="20" t="str">
        <f>IF(B576="","",IF(COUNTIF('04_Pinjaman'!$A$5:$A$1004,B576)=0,"NPP TIDAK DITEMUKAN",INDEX('04_Pinjaman'!$C$5:$C$1004,MATCH(B576,'04_Pinjaman'!$A$5:$A$1004,0))))</f>
        <v/>
      </c>
      <c r="E576" s="22"/>
      <c r="F576" s="23"/>
      <c r="G576" s="21"/>
    </row>
    <row r="577" spans="1:7" ht="21" customHeight="1">
      <c r="A577" s="20" t="str">
        <f t="shared" si="9"/>
        <v/>
      </c>
      <c r="B577" s="21"/>
      <c r="C577" s="20" t="str">
        <f>IF(B577="","",IF(COUNTIF('04_Pinjaman'!$A$5:$A$1004,B577)=0,"NO PINJAMAN TIDAK DITEMUKAN",INDEX('04_Pinjaman'!$B$5:$B$1004,MATCH(B577,'04_Pinjaman'!$A$5:$A$1004,0))))</f>
        <v/>
      </c>
      <c r="D577" s="20" t="str">
        <f>IF(B577="","",IF(COUNTIF('04_Pinjaman'!$A$5:$A$1004,B577)=0,"NPP TIDAK DITEMUKAN",INDEX('04_Pinjaman'!$C$5:$C$1004,MATCH(B577,'04_Pinjaman'!$A$5:$A$1004,0))))</f>
        <v/>
      </c>
      <c r="E577" s="22"/>
      <c r="F577" s="23"/>
      <c r="G577" s="21"/>
    </row>
    <row r="578" spans="1:7" ht="21" customHeight="1">
      <c r="A578" s="20" t="str">
        <f t="shared" si="9"/>
        <v/>
      </c>
      <c r="B578" s="21"/>
      <c r="C578" s="20" t="str">
        <f>IF(B578="","",IF(COUNTIF('04_Pinjaman'!$A$5:$A$1004,B578)=0,"NO PINJAMAN TIDAK DITEMUKAN",INDEX('04_Pinjaman'!$B$5:$B$1004,MATCH(B578,'04_Pinjaman'!$A$5:$A$1004,0))))</f>
        <v/>
      </c>
      <c r="D578" s="20" t="str">
        <f>IF(B578="","",IF(COUNTIF('04_Pinjaman'!$A$5:$A$1004,B578)=0,"NPP TIDAK DITEMUKAN",INDEX('04_Pinjaman'!$C$5:$C$1004,MATCH(B578,'04_Pinjaman'!$A$5:$A$1004,0))))</f>
        <v/>
      </c>
      <c r="E578" s="22"/>
      <c r="F578" s="23"/>
      <c r="G578" s="21"/>
    </row>
    <row r="579" spans="1:7" ht="21" customHeight="1">
      <c r="A579" s="20" t="str">
        <f t="shared" si="9"/>
        <v/>
      </c>
      <c r="B579" s="21"/>
      <c r="C579" s="20" t="str">
        <f>IF(B579="","",IF(COUNTIF('04_Pinjaman'!$A$5:$A$1004,B579)=0,"NO PINJAMAN TIDAK DITEMUKAN",INDEX('04_Pinjaman'!$B$5:$B$1004,MATCH(B579,'04_Pinjaman'!$A$5:$A$1004,0))))</f>
        <v/>
      </c>
      <c r="D579" s="20" t="str">
        <f>IF(B579="","",IF(COUNTIF('04_Pinjaman'!$A$5:$A$1004,B579)=0,"NPP TIDAK DITEMUKAN",INDEX('04_Pinjaman'!$C$5:$C$1004,MATCH(B579,'04_Pinjaman'!$A$5:$A$1004,0))))</f>
        <v/>
      </c>
      <c r="E579" s="22"/>
      <c r="F579" s="23"/>
      <c r="G579" s="21"/>
    </row>
    <row r="580" spans="1:7" ht="21" customHeight="1">
      <c r="A580" s="20" t="str">
        <f t="shared" si="9"/>
        <v/>
      </c>
      <c r="B580" s="21"/>
      <c r="C580" s="20" t="str">
        <f>IF(B580="","",IF(COUNTIF('04_Pinjaman'!$A$5:$A$1004,B580)=0,"NO PINJAMAN TIDAK DITEMUKAN",INDEX('04_Pinjaman'!$B$5:$B$1004,MATCH(B580,'04_Pinjaman'!$A$5:$A$1004,0))))</f>
        <v/>
      </c>
      <c r="D580" s="20" t="str">
        <f>IF(B580="","",IF(COUNTIF('04_Pinjaman'!$A$5:$A$1004,B580)=0,"NPP TIDAK DITEMUKAN",INDEX('04_Pinjaman'!$C$5:$C$1004,MATCH(B580,'04_Pinjaman'!$A$5:$A$1004,0))))</f>
        <v/>
      </c>
      <c r="E580" s="22"/>
      <c r="F580" s="23"/>
      <c r="G580" s="21"/>
    </row>
    <row r="581" spans="1:7" ht="21" customHeight="1">
      <c r="A581" s="20" t="str">
        <f t="shared" ref="A581:A644" si="10">IF(B581="","",ROW()-4)</f>
        <v/>
      </c>
      <c r="B581" s="21"/>
      <c r="C581" s="20" t="str">
        <f>IF(B581="","",IF(COUNTIF('04_Pinjaman'!$A$5:$A$1004,B581)=0,"NO PINJAMAN TIDAK DITEMUKAN",INDEX('04_Pinjaman'!$B$5:$B$1004,MATCH(B581,'04_Pinjaman'!$A$5:$A$1004,0))))</f>
        <v/>
      </c>
      <c r="D581" s="20" t="str">
        <f>IF(B581="","",IF(COUNTIF('04_Pinjaman'!$A$5:$A$1004,B581)=0,"NPP TIDAK DITEMUKAN",INDEX('04_Pinjaman'!$C$5:$C$1004,MATCH(B581,'04_Pinjaman'!$A$5:$A$1004,0))))</f>
        <v/>
      </c>
      <c r="E581" s="22"/>
      <c r="F581" s="23"/>
      <c r="G581" s="21"/>
    </row>
    <row r="582" spans="1:7" ht="21" customHeight="1">
      <c r="A582" s="20" t="str">
        <f t="shared" si="10"/>
        <v/>
      </c>
      <c r="B582" s="21"/>
      <c r="C582" s="20" t="str">
        <f>IF(B582="","",IF(COUNTIF('04_Pinjaman'!$A$5:$A$1004,B582)=0,"NO PINJAMAN TIDAK DITEMUKAN",INDEX('04_Pinjaman'!$B$5:$B$1004,MATCH(B582,'04_Pinjaman'!$A$5:$A$1004,0))))</f>
        <v/>
      </c>
      <c r="D582" s="20" t="str">
        <f>IF(B582="","",IF(COUNTIF('04_Pinjaman'!$A$5:$A$1004,B582)=0,"NPP TIDAK DITEMUKAN",INDEX('04_Pinjaman'!$C$5:$C$1004,MATCH(B582,'04_Pinjaman'!$A$5:$A$1004,0))))</f>
        <v/>
      </c>
      <c r="E582" s="22"/>
      <c r="F582" s="23"/>
      <c r="G582" s="21"/>
    </row>
    <row r="583" spans="1:7" ht="21" customHeight="1">
      <c r="A583" s="20" t="str">
        <f t="shared" si="10"/>
        <v/>
      </c>
      <c r="B583" s="21"/>
      <c r="C583" s="20" t="str">
        <f>IF(B583="","",IF(COUNTIF('04_Pinjaman'!$A$5:$A$1004,B583)=0,"NO PINJAMAN TIDAK DITEMUKAN",INDEX('04_Pinjaman'!$B$5:$B$1004,MATCH(B583,'04_Pinjaman'!$A$5:$A$1004,0))))</f>
        <v/>
      </c>
      <c r="D583" s="20" t="str">
        <f>IF(B583="","",IF(COUNTIF('04_Pinjaman'!$A$5:$A$1004,B583)=0,"NPP TIDAK DITEMUKAN",INDEX('04_Pinjaman'!$C$5:$C$1004,MATCH(B583,'04_Pinjaman'!$A$5:$A$1004,0))))</f>
        <v/>
      </c>
      <c r="E583" s="22"/>
      <c r="F583" s="23"/>
      <c r="G583" s="21"/>
    </row>
    <row r="584" spans="1:7" ht="21" customHeight="1">
      <c r="A584" s="20" t="str">
        <f t="shared" si="10"/>
        <v/>
      </c>
      <c r="B584" s="21"/>
      <c r="C584" s="20" t="str">
        <f>IF(B584="","",IF(COUNTIF('04_Pinjaman'!$A$5:$A$1004,B584)=0,"NO PINJAMAN TIDAK DITEMUKAN",INDEX('04_Pinjaman'!$B$5:$B$1004,MATCH(B584,'04_Pinjaman'!$A$5:$A$1004,0))))</f>
        <v/>
      </c>
      <c r="D584" s="20" t="str">
        <f>IF(B584="","",IF(COUNTIF('04_Pinjaman'!$A$5:$A$1004,B584)=0,"NPP TIDAK DITEMUKAN",INDEX('04_Pinjaman'!$C$5:$C$1004,MATCH(B584,'04_Pinjaman'!$A$5:$A$1004,0))))</f>
        <v/>
      </c>
      <c r="E584" s="22"/>
      <c r="F584" s="23"/>
      <c r="G584" s="21"/>
    </row>
    <row r="585" spans="1:7" ht="21" customHeight="1">
      <c r="A585" s="20" t="str">
        <f t="shared" si="10"/>
        <v/>
      </c>
      <c r="B585" s="21"/>
      <c r="C585" s="20" t="str">
        <f>IF(B585="","",IF(COUNTIF('04_Pinjaman'!$A$5:$A$1004,B585)=0,"NO PINJAMAN TIDAK DITEMUKAN",INDEX('04_Pinjaman'!$B$5:$B$1004,MATCH(B585,'04_Pinjaman'!$A$5:$A$1004,0))))</f>
        <v/>
      </c>
      <c r="D585" s="20" t="str">
        <f>IF(B585="","",IF(COUNTIF('04_Pinjaman'!$A$5:$A$1004,B585)=0,"NPP TIDAK DITEMUKAN",INDEX('04_Pinjaman'!$C$5:$C$1004,MATCH(B585,'04_Pinjaman'!$A$5:$A$1004,0))))</f>
        <v/>
      </c>
      <c r="E585" s="22"/>
      <c r="F585" s="23"/>
      <c r="G585" s="21"/>
    </row>
    <row r="586" spans="1:7" ht="21" customHeight="1">
      <c r="A586" s="20" t="str">
        <f t="shared" si="10"/>
        <v/>
      </c>
      <c r="B586" s="21"/>
      <c r="C586" s="20" t="str">
        <f>IF(B586="","",IF(COUNTIF('04_Pinjaman'!$A$5:$A$1004,B586)=0,"NO PINJAMAN TIDAK DITEMUKAN",INDEX('04_Pinjaman'!$B$5:$B$1004,MATCH(B586,'04_Pinjaman'!$A$5:$A$1004,0))))</f>
        <v/>
      </c>
      <c r="D586" s="20" t="str">
        <f>IF(B586="","",IF(COUNTIF('04_Pinjaman'!$A$5:$A$1004,B586)=0,"NPP TIDAK DITEMUKAN",INDEX('04_Pinjaman'!$C$5:$C$1004,MATCH(B586,'04_Pinjaman'!$A$5:$A$1004,0))))</f>
        <v/>
      </c>
      <c r="E586" s="22"/>
      <c r="F586" s="23"/>
      <c r="G586" s="21"/>
    </row>
    <row r="587" spans="1:7" ht="21" customHeight="1">
      <c r="A587" s="20" t="str">
        <f t="shared" si="10"/>
        <v/>
      </c>
      <c r="B587" s="21"/>
      <c r="C587" s="20" t="str">
        <f>IF(B587="","",IF(COUNTIF('04_Pinjaman'!$A$5:$A$1004,B587)=0,"NO PINJAMAN TIDAK DITEMUKAN",INDEX('04_Pinjaman'!$B$5:$B$1004,MATCH(B587,'04_Pinjaman'!$A$5:$A$1004,0))))</f>
        <v/>
      </c>
      <c r="D587" s="20" t="str">
        <f>IF(B587="","",IF(COUNTIF('04_Pinjaman'!$A$5:$A$1004,B587)=0,"NPP TIDAK DITEMUKAN",INDEX('04_Pinjaman'!$C$5:$C$1004,MATCH(B587,'04_Pinjaman'!$A$5:$A$1004,0))))</f>
        <v/>
      </c>
      <c r="E587" s="22"/>
      <c r="F587" s="23"/>
      <c r="G587" s="21"/>
    </row>
    <row r="588" spans="1:7" ht="21" customHeight="1">
      <c r="A588" s="20" t="str">
        <f t="shared" si="10"/>
        <v/>
      </c>
      <c r="B588" s="21"/>
      <c r="C588" s="20" t="str">
        <f>IF(B588="","",IF(COUNTIF('04_Pinjaman'!$A$5:$A$1004,B588)=0,"NO PINJAMAN TIDAK DITEMUKAN",INDEX('04_Pinjaman'!$B$5:$B$1004,MATCH(B588,'04_Pinjaman'!$A$5:$A$1004,0))))</f>
        <v/>
      </c>
      <c r="D588" s="20" t="str">
        <f>IF(B588="","",IF(COUNTIF('04_Pinjaman'!$A$5:$A$1004,B588)=0,"NPP TIDAK DITEMUKAN",INDEX('04_Pinjaman'!$C$5:$C$1004,MATCH(B588,'04_Pinjaman'!$A$5:$A$1004,0))))</f>
        <v/>
      </c>
      <c r="E588" s="22"/>
      <c r="F588" s="23"/>
      <c r="G588" s="21"/>
    </row>
    <row r="589" spans="1:7" ht="21" customHeight="1">
      <c r="A589" s="20" t="str">
        <f t="shared" si="10"/>
        <v/>
      </c>
      <c r="B589" s="21"/>
      <c r="C589" s="20" t="str">
        <f>IF(B589="","",IF(COUNTIF('04_Pinjaman'!$A$5:$A$1004,B589)=0,"NO PINJAMAN TIDAK DITEMUKAN",INDEX('04_Pinjaman'!$B$5:$B$1004,MATCH(B589,'04_Pinjaman'!$A$5:$A$1004,0))))</f>
        <v/>
      </c>
      <c r="D589" s="20" t="str">
        <f>IF(B589="","",IF(COUNTIF('04_Pinjaman'!$A$5:$A$1004,B589)=0,"NPP TIDAK DITEMUKAN",INDEX('04_Pinjaman'!$C$5:$C$1004,MATCH(B589,'04_Pinjaman'!$A$5:$A$1004,0))))</f>
        <v/>
      </c>
      <c r="E589" s="22"/>
      <c r="F589" s="23"/>
      <c r="G589" s="21"/>
    </row>
    <row r="590" spans="1:7" ht="21" customHeight="1">
      <c r="A590" s="20" t="str">
        <f t="shared" si="10"/>
        <v/>
      </c>
      <c r="B590" s="21"/>
      <c r="C590" s="20" t="str">
        <f>IF(B590="","",IF(COUNTIF('04_Pinjaman'!$A$5:$A$1004,B590)=0,"NO PINJAMAN TIDAK DITEMUKAN",INDEX('04_Pinjaman'!$B$5:$B$1004,MATCH(B590,'04_Pinjaman'!$A$5:$A$1004,0))))</f>
        <v/>
      </c>
      <c r="D590" s="20" t="str">
        <f>IF(B590="","",IF(COUNTIF('04_Pinjaman'!$A$5:$A$1004,B590)=0,"NPP TIDAK DITEMUKAN",INDEX('04_Pinjaman'!$C$5:$C$1004,MATCH(B590,'04_Pinjaman'!$A$5:$A$1004,0))))</f>
        <v/>
      </c>
      <c r="E590" s="22"/>
      <c r="F590" s="23"/>
      <c r="G590" s="21"/>
    </row>
    <row r="591" spans="1:7" ht="21" customHeight="1">
      <c r="A591" s="20" t="str">
        <f t="shared" si="10"/>
        <v/>
      </c>
      <c r="B591" s="21"/>
      <c r="C591" s="20" t="str">
        <f>IF(B591="","",IF(COUNTIF('04_Pinjaman'!$A$5:$A$1004,B591)=0,"NO PINJAMAN TIDAK DITEMUKAN",INDEX('04_Pinjaman'!$B$5:$B$1004,MATCH(B591,'04_Pinjaman'!$A$5:$A$1004,0))))</f>
        <v/>
      </c>
      <c r="D591" s="20" t="str">
        <f>IF(B591="","",IF(COUNTIF('04_Pinjaman'!$A$5:$A$1004,B591)=0,"NPP TIDAK DITEMUKAN",INDEX('04_Pinjaman'!$C$5:$C$1004,MATCH(B591,'04_Pinjaman'!$A$5:$A$1004,0))))</f>
        <v/>
      </c>
      <c r="E591" s="22"/>
      <c r="F591" s="23"/>
      <c r="G591" s="21"/>
    </row>
    <row r="592" spans="1:7" ht="21" customHeight="1">
      <c r="A592" s="20" t="str">
        <f t="shared" si="10"/>
        <v/>
      </c>
      <c r="B592" s="21"/>
      <c r="C592" s="20" t="str">
        <f>IF(B592="","",IF(COUNTIF('04_Pinjaman'!$A$5:$A$1004,B592)=0,"NO PINJAMAN TIDAK DITEMUKAN",INDEX('04_Pinjaman'!$B$5:$B$1004,MATCH(B592,'04_Pinjaman'!$A$5:$A$1004,0))))</f>
        <v/>
      </c>
      <c r="D592" s="20" t="str">
        <f>IF(B592="","",IF(COUNTIF('04_Pinjaman'!$A$5:$A$1004,B592)=0,"NPP TIDAK DITEMUKAN",INDEX('04_Pinjaman'!$C$5:$C$1004,MATCH(B592,'04_Pinjaman'!$A$5:$A$1004,0))))</f>
        <v/>
      </c>
      <c r="E592" s="22"/>
      <c r="F592" s="23"/>
      <c r="G592" s="21"/>
    </row>
    <row r="593" spans="1:7" ht="21" customHeight="1">
      <c r="A593" s="20" t="str">
        <f t="shared" si="10"/>
        <v/>
      </c>
      <c r="B593" s="21"/>
      <c r="C593" s="20" t="str">
        <f>IF(B593="","",IF(COUNTIF('04_Pinjaman'!$A$5:$A$1004,B593)=0,"NO PINJAMAN TIDAK DITEMUKAN",INDEX('04_Pinjaman'!$B$5:$B$1004,MATCH(B593,'04_Pinjaman'!$A$5:$A$1004,0))))</f>
        <v/>
      </c>
      <c r="D593" s="20" t="str">
        <f>IF(B593="","",IF(COUNTIF('04_Pinjaman'!$A$5:$A$1004,B593)=0,"NPP TIDAK DITEMUKAN",INDEX('04_Pinjaman'!$C$5:$C$1004,MATCH(B593,'04_Pinjaman'!$A$5:$A$1004,0))))</f>
        <v/>
      </c>
      <c r="E593" s="22"/>
      <c r="F593" s="23"/>
      <c r="G593" s="21"/>
    </row>
    <row r="594" spans="1:7" ht="21" customHeight="1">
      <c r="A594" s="20" t="str">
        <f t="shared" si="10"/>
        <v/>
      </c>
      <c r="B594" s="21"/>
      <c r="C594" s="20" t="str">
        <f>IF(B594="","",IF(COUNTIF('04_Pinjaman'!$A$5:$A$1004,B594)=0,"NO PINJAMAN TIDAK DITEMUKAN",INDEX('04_Pinjaman'!$B$5:$B$1004,MATCH(B594,'04_Pinjaman'!$A$5:$A$1004,0))))</f>
        <v/>
      </c>
      <c r="D594" s="20" t="str">
        <f>IF(B594="","",IF(COUNTIF('04_Pinjaman'!$A$5:$A$1004,B594)=0,"NPP TIDAK DITEMUKAN",INDEX('04_Pinjaman'!$C$5:$C$1004,MATCH(B594,'04_Pinjaman'!$A$5:$A$1004,0))))</f>
        <v/>
      </c>
      <c r="E594" s="22"/>
      <c r="F594" s="23"/>
      <c r="G594" s="21"/>
    </row>
    <row r="595" spans="1:7" ht="21" customHeight="1">
      <c r="A595" s="20" t="str">
        <f t="shared" si="10"/>
        <v/>
      </c>
      <c r="B595" s="21"/>
      <c r="C595" s="20" t="str">
        <f>IF(B595="","",IF(COUNTIF('04_Pinjaman'!$A$5:$A$1004,B595)=0,"NO PINJAMAN TIDAK DITEMUKAN",INDEX('04_Pinjaman'!$B$5:$B$1004,MATCH(B595,'04_Pinjaman'!$A$5:$A$1004,0))))</f>
        <v/>
      </c>
      <c r="D595" s="20" t="str">
        <f>IF(B595="","",IF(COUNTIF('04_Pinjaman'!$A$5:$A$1004,B595)=0,"NPP TIDAK DITEMUKAN",INDEX('04_Pinjaman'!$C$5:$C$1004,MATCH(B595,'04_Pinjaman'!$A$5:$A$1004,0))))</f>
        <v/>
      </c>
      <c r="E595" s="22"/>
      <c r="F595" s="23"/>
      <c r="G595" s="21"/>
    </row>
    <row r="596" spans="1:7" ht="21" customHeight="1">
      <c r="A596" s="20" t="str">
        <f t="shared" si="10"/>
        <v/>
      </c>
      <c r="B596" s="21"/>
      <c r="C596" s="20" t="str">
        <f>IF(B596="","",IF(COUNTIF('04_Pinjaman'!$A$5:$A$1004,B596)=0,"NO PINJAMAN TIDAK DITEMUKAN",INDEX('04_Pinjaman'!$B$5:$B$1004,MATCH(B596,'04_Pinjaman'!$A$5:$A$1004,0))))</f>
        <v/>
      </c>
      <c r="D596" s="20" t="str">
        <f>IF(B596="","",IF(COUNTIF('04_Pinjaman'!$A$5:$A$1004,B596)=0,"NPP TIDAK DITEMUKAN",INDEX('04_Pinjaman'!$C$5:$C$1004,MATCH(B596,'04_Pinjaman'!$A$5:$A$1004,0))))</f>
        <v/>
      </c>
      <c r="E596" s="22"/>
      <c r="F596" s="23"/>
      <c r="G596" s="21"/>
    </row>
    <row r="597" spans="1:7" ht="21" customHeight="1">
      <c r="A597" s="20" t="str">
        <f t="shared" si="10"/>
        <v/>
      </c>
      <c r="B597" s="21"/>
      <c r="C597" s="20" t="str">
        <f>IF(B597="","",IF(COUNTIF('04_Pinjaman'!$A$5:$A$1004,B597)=0,"NO PINJAMAN TIDAK DITEMUKAN",INDEX('04_Pinjaman'!$B$5:$B$1004,MATCH(B597,'04_Pinjaman'!$A$5:$A$1004,0))))</f>
        <v/>
      </c>
      <c r="D597" s="20" t="str">
        <f>IF(B597="","",IF(COUNTIF('04_Pinjaman'!$A$5:$A$1004,B597)=0,"NPP TIDAK DITEMUKAN",INDEX('04_Pinjaman'!$C$5:$C$1004,MATCH(B597,'04_Pinjaman'!$A$5:$A$1004,0))))</f>
        <v/>
      </c>
      <c r="E597" s="22"/>
      <c r="F597" s="23"/>
      <c r="G597" s="21"/>
    </row>
    <row r="598" spans="1:7" ht="21" customHeight="1">
      <c r="A598" s="20" t="str">
        <f t="shared" si="10"/>
        <v/>
      </c>
      <c r="B598" s="21"/>
      <c r="C598" s="20" t="str">
        <f>IF(B598="","",IF(COUNTIF('04_Pinjaman'!$A$5:$A$1004,B598)=0,"NO PINJAMAN TIDAK DITEMUKAN",INDEX('04_Pinjaman'!$B$5:$B$1004,MATCH(B598,'04_Pinjaman'!$A$5:$A$1004,0))))</f>
        <v/>
      </c>
      <c r="D598" s="20" t="str">
        <f>IF(B598="","",IF(COUNTIF('04_Pinjaman'!$A$5:$A$1004,B598)=0,"NPP TIDAK DITEMUKAN",INDEX('04_Pinjaman'!$C$5:$C$1004,MATCH(B598,'04_Pinjaman'!$A$5:$A$1004,0))))</f>
        <v/>
      </c>
      <c r="E598" s="22"/>
      <c r="F598" s="23"/>
      <c r="G598" s="21"/>
    </row>
    <row r="599" spans="1:7" ht="21" customHeight="1">
      <c r="A599" s="20" t="str">
        <f t="shared" si="10"/>
        <v/>
      </c>
      <c r="B599" s="21"/>
      <c r="C599" s="20" t="str">
        <f>IF(B599="","",IF(COUNTIF('04_Pinjaman'!$A$5:$A$1004,B599)=0,"NO PINJAMAN TIDAK DITEMUKAN",INDEX('04_Pinjaman'!$B$5:$B$1004,MATCH(B599,'04_Pinjaman'!$A$5:$A$1004,0))))</f>
        <v/>
      </c>
      <c r="D599" s="20" t="str">
        <f>IF(B599="","",IF(COUNTIF('04_Pinjaman'!$A$5:$A$1004,B599)=0,"NPP TIDAK DITEMUKAN",INDEX('04_Pinjaman'!$C$5:$C$1004,MATCH(B599,'04_Pinjaman'!$A$5:$A$1004,0))))</f>
        <v/>
      </c>
      <c r="E599" s="22"/>
      <c r="F599" s="23"/>
      <c r="G599" s="21"/>
    </row>
    <row r="600" spans="1:7" ht="21" customHeight="1">
      <c r="A600" s="20" t="str">
        <f t="shared" si="10"/>
        <v/>
      </c>
      <c r="B600" s="21"/>
      <c r="C600" s="20" t="str">
        <f>IF(B600="","",IF(COUNTIF('04_Pinjaman'!$A$5:$A$1004,B600)=0,"NO PINJAMAN TIDAK DITEMUKAN",INDEX('04_Pinjaman'!$B$5:$B$1004,MATCH(B600,'04_Pinjaman'!$A$5:$A$1004,0))))</f>
        <v/>
      </c>
      <c r="D600" s="20" t="str">
        <f>IF(B600="","",IF(COUNTIF('04_Pinjaman'!$A$5:$A$1004,B600)=0,"NPP TIDAK DITEMUKAN",INDEX('04_Pinjaman'!$C$5:$C$1004,MATCH(B600,'04_Pinjaman'!$A$5:$A$1004,0))))</f>
        <v/>
      </c>
      <c r="E600" s="22"/>
      <c r="F600" s="23"/>
      <c r="G600" s="21"/>
    </row>
    <row r="601" spans="1:7" ht="21" customHeight="1">
      <c r="A601" s="20" t="str">
        <f t="shared" si="10"/>
        <v/>
      </c>
      <c r="B601" s="21"/>
      <c r="C601" s="20" t="str">
        <f>IF(B601="","",IF(COUNTIF('04_Pinjaman'!$A$5:$A$1004,B601)=0,"NO PINJAMAN TIDAK DITEMUKAN",INDEX('04_Pinjaman'!$B$5:$B$1004,MATCH(B601,'04_Pinjaman'!$A$5:$A$1004,0))))</f>
        <v/>
      </c>
      <c r="D601" s="20" t="str">
        <f>IF(B601="","",IF(COUNTIF('04_Pinjaman'!$A$5:$A$1004,B601)=0,"NPP TIDAK DITEMUKAN",INDEX('04_Pinjaman'!$C$5:$C$1004,MATCH(B601,'04_Pinjaman'!$A$5:$A$1004,0))))</f>
        <v/>
      </c>
      <c r="E601" s="22"/>
      <c r="F601" s="23"/>
      <c r="G601" s="21"/>
    </row>
    <row r="602" spans="1:7" ht="21" customHeight="1">
      <c r="A602" s="20" t="str">
        <f t="shared" si="10"/>
        <v/>
      </c>
      <c r="B602" s="21"/>
      <c r="C602" s="20" t="str">
        <f>IF(B602="","",IF(COUNTIF('04_Pinjaman'!$A$5:$A$1004,B602)=0,"NO PINJAMAN TIDAK DITEMUKAN",INDEX('04_Pinjaman'!$B$5:$B$1004,MATCH(B602,'04_Pinjaman'!$A$5:$A$1004,0))))</f>
        <v/>
      </c>
      <c r="D602" s="20" t="str">
        <f>IF(B602="","",IF(COUNTIF('04_Pinjaman'!$A$5:$A$1004,B602)=0,"NPP TIDAK DITEMUKAN",INDEX('04_Pinjaman'!$C$5:$C$1004,MATCH(B602,'04_Pinjaman'!$A$5:$A$1004,0))))</f>
        <v/>
      </c>
      <c r="E602" s="22"/>
      <c r="F602" s="23"/>
      <c r="G602" s="21"/>
    </row>
    <row r="603" spans="1:7" ht="21" customHeight="1">
      <c r="A603" s="20" t="str">
        <f t="shared" si="10"/>
        <v/>
      </c>
      <c r="B603" s="21"/>
      <c r="C603" s="20" t="str">
        <f>IF(B603="","",IF(COUNTIF('04_Pinjaman'!$A$5:$A$1004,B603)=0,"NO PINJAMAN TIDAK DITEMUKAN",INDEX('04_Pinjaman'!$B$5:$B$1004,MATCH(B603,'04_Pinjaman'!$A$5:$A$1004,0))))</f>
        <v/>
      </c>
      <c r="D603" s="20" t="str">
        <f>IF(B603="","",IF(COUNTIF('04_Pinjaman'!$A$5:$A$1004,B603)=0,"NPP TIDAK DITEMUKAN",INDEX('04_Pinjaman'!$C$5:$C$1004,MATCH(B603,'04_Pinjaman'!$A$5:$A$1004,0))))</f>
        <v/>
      </c>
      <c r="E603" s="22"/>
      <c r="F603" s="23"/>
      <c r="G603" s="21"/>
    </row>
    <row r="604" spans="1:7" ht="21" customHeight="1">
      <c r="A604" s="20" t="str">
        <f t="shared" si="10"/>
        <v/>
      </c>
      <c r="B604" s="21"/>
      <c r="C604" s="20" t="str">
        <f>IF(B604="","",IF(COUNTIF('04_Pinjaman'!$A$5:$A$1004,B604)=0,"NO PINJAMAN TIDAK DITEMUKAN",INDEX('04_Pinjaman'!$B$5:$B$1004,MATCH(B604,'04_Pinjaman'!$A$5:$A$1004,0))))</f>
        <v/>
      </c>
      <c r="D604" s="20" t="str">
        <f>IF(B604="","",IF(COUNTIF('04_Pinjaman'!$A$5:$A$1004,B604)=0,"NPP TIDAK DITEMUKAN",INDEX('04_Pinjaman'!$C$5:$C$1004,MATCH(B604,'04_Pinjaman'!$A$5:$A$1004,0))))</f>
        <v/>
      </c>
      <c r="E604" s="22"/>
      <c r="F604" s="23"/>
      <c r="G604" s="21"/>
    </row>
    <row r="605" spans="1:7" ht="21" customHeight="1">
      <c r="A605" s="20" t="str">
        <f t="shared" si="10"/>
        <v/>
      </c>
      <c r="B605" s="21"/>
      <c r="C605" s="20" t="str">
        <f>IF(B605="","",IF(COUNTIF('04_Pinjaman'!$A$5:$A$1004,B605)=0,"NO PINJAMAN TIDAK DITEMUKAN",INDEX('04_Pinjaman'!$B$5:$B$1004,MATCH(B605,'04_Pinjaman'!$A$5:$A$1004,0))))</f>
        <v/>
      </c>
      <c r="D605" s="20" t="str">
        <f>IF(B605="","",IF(COUNTIF('04_Pinjaman'!$A$5:$A$1004,B605)=0,"NPP TIDAK DITEMUKAN",INDEX('04_Pinjaman'!$C$5:$C$1004,MATCH(B605,'04_Pinjaman'!$A$5:$A$1004,0))))</f>
        <v/>
      </c>
      <c r="E605" s="22"/>
      <c r="F605" s="23"/>
      <c r="G605" s="21"/>
    </row>
    <row r="606" spans="1:7" ht="21" customHeight="1">
      <c r="A606" s="20" t="str">
        <f t="shared" si="10"/>
        <v/>
      </c>
      <c r="B606" s="21"/>
      <c r="C606" s="20" t="str">
        <f>IF(B606="","",IF(COUNTIF('04_Pinjaman'!$A$5:$A$1004,B606)=0,"NO PINJAMAN TIDAK DITEMUKAN",INDEX('04_Pinjaman'!$B$5:$B$1004,MATCH(B606,'04_Pinjaman'!$A$5:$A$1004,0))))</f>
        <v/>
      </c>
      <c r="D606" s="20" t="str">
        <f>IF(B606="","",IF(COUNTIF('04_Pinjaman'!$A$5:$A$1004,B606)=0,"NPP TIDAK DITEMUKAN",INDEX('04_Pinjaman'!$C$5:$C$1004,MATCH(B606,'04_Pinjaman'!$A$5:$A$1004,0))))</f>
        <v/>
      </c>
      <c r="E606" s="22"/>
      <c r="F606" s="23"/>
      <c r="G606" s="21"/>
    </row>
    <row r="607" spans="1:7" ht="21" customHeight="1">
      <c r="A607" s="20" t="str">
        <f t="shared" si="10"/>
        <v/>
      </c>
      <c r="B607" s="21"/>
      <c r="C607" s="20" t="str">
        <f>IF(B607="","",IF(COUNTIF('04_Pinjaman'!$A$5:$A$1004,B607)=0,"NO PINJAMAN TIDAK DITEMUKAN",INDEX('04_Pinjaman'!$B$5:$B$1004,MATCH(B607,'04_Pinjaman'!$A$5:$A$1004,0))))</f>
        <v/>
      </c>
      <c r="D607" s="20" t="str">
        <f>IF(B607="","",IF(COUNTIF('04_Pinjaman'!$A$5:$A$1004,B607)=0,"NPP TIDAK DITEMUKAN",INDEX('04_Pinjaman'!$C$5:$C$1004,MATCH(B607,'04_Pinjaman'!$A$5:$A$1004,0))))</f>
        <v/>
      </c>
      <c r="E607" s="22"/>
      <c r="F607" s="23"/>
      <c r="G607" s="21"/>
    </row>
    <row r="608" spans="1:7" ht="21" customHeight="1">
      <c r="A608" s="20" t="str">
        <f t="shared" si="10"/>
        <v/>
      </c>
      <c r="B608" s="21"/>
      <c r="C608" s="20" t="str">
        <f>IF(B608="","",IF(COUNTIF('04_Pinjaman'!$A$5:$A$1004,B608)=0,"NO PINJAMAN TIDAK DITEMUKAN",INDEX('04_Pinjaman'!$B$5:$B$1004,MATCH(B608,'04_Pinjaman'!$A$5:$A$1004,0))))</f>
        <v/>
      </c>
      <c r="D608" s="20" t="str">
        <f>IF(B608="","",IF(COUNTIF('04_Pinjaman'!$A$5:$A$1004,B608)=0,"NPP TIDAK DITEMUKAN",INDEX('04_Pinjaman'!$C$5:$C$1004,MATCH(B608,'04_Pinjaman'!$A$5:$A$1004,0))))</f>
        <v/>
      </c>
      <c r="E608" s="22"/>
      <c r="F608" s="23"/>
      <c r="G608" s="21"/>
    </row>
    <row r="609" spans="1:7" ht="21" customHeight="1">
      <c r="A609" s="20" t="str">
        <f t="shared" si="10"/>
        <v/>
      </c>
      <c r="B609" s="21"/>
      <c r="C609" s="20" t="str">
        <f>IF(B609="","",IF(COUNTIF('04_Pinjaman'!$A$5:$A$1004,B609)=0,"NO PINJAMAN TIDAK DITEMUKAN",INDEX('04_Pinjaman'!$B$5:$B$1004,MATCH(B609,'04_Pinjaman'!$A$5:$A$1004,0))))</f>
        <v/>
      </c>
      <c r="D609" s="20" t="str">
        <f>IF(B609="","",IF(COUNTIF('04_Pinjaman'!$A$5:$A$1004,B609)=0,"NPP TIDAK DITEMUKAN",INDEX('04_Pinjaman'!$C$5:$C$1004,MATCH(B609,'04_Pinjaman'!$A$5:$A$1004,0))))</f>
        <v/>
      </c>
      <c r="E609" s="22"/>
      <c r="F609" s="23"/>
      <c r="G609" s="21"/>
    </row>
    <row r="610" spans="1:7" ht="21" customHeight="1">
      <c r="A610" s="20" t="str">
        <f t="shared" si="10"/>
        <v/>
      </c>
      <c r="B610" s="21"/>
      <c r="C610" s="20" t="str">
        <f>IF(B610="","",IF(COUNTIF('04_Pinjaman'!$A$5:$A$1004,B610)=0,"NO PINJAMAN TIDAK DITEMUKAN",INDEX('04_Pinjaman'!$B$5:$B$1004,MATCH(B610,'04_Pinjaman'!$A$5:$A$1004,0))))</f>
        <v/>
      </c>
      <c r="D610" s="20" t="str">
        <f>IF(B610="","",IF(COUNTIF('04_Pinjaman'!$A$5:$A$1004,B610)=0,"NPP TIDAK DITEMUKAN",INDEX('04_Pinjaman'!$C$5:$C$1004,MATCH(B610,'04_Pinjaman'!$A$5:$A$1004,0))))</f>
        <v/>
      </c>
      <c r="E610" s="22"/>
      <c r="F610" s="23"/>
      <c r="G610" s="21"/>
    </row>
    <row r="611" spans="1:7" ht="21" customHeight="1">
      <c r="A611" s="20" t="str">
        <f t="shared" si="10"/>
        <v/>
      </c>
      <c r="B611" s="21"/>
      <c r="C611" s="20" t="str">
        <f>IF(B611="","",IF(COUNTIF('04_Pinjaman'!$A$5:$A$1004,B611)=0,"NO PINJAMAN TIDAK DITEMUKAN",INDEX('04_Pinjaman'!$B$5:$B$1004,MATCH(B611,'04_Pinjaman'!$A$5:$A$1004,0))))</f>
        <v/>
      </c>
      <c r="D611" s="20" t="str">
        <f>IF(B611="","",IF(COUNTIF('04_Pinjaman'!$A$5:$A$1004,B611)=0,"NPP TIDAK DITEMUKAN",INDEX('04_Pinjaman'!$C$5:$C$1004,MATCH(B611,'04_Pinjaman'!$A$5:$A$1004,0))))</f>
        <v/>
      </c>
      <c r="E611" s="22"/>
      <c r="F611" s="23"/>
      <c r="G611" s="21"/>
    </row>
    <row r="612" spans="1:7" ht="21" customHeight="1">
      <c r="A612" s="20" t="str">
        <f t="shared" si="10"/>
        <v/>
      </c>
      <c r="B612" s="21"/>
      <c r="C612" s="20" t="str">
        <f>IF(B612="","",IF(COUNTIF('04_Pinjaman'!$A$5:$A$1004,B612)=0,"NO PINJAMAN TIDAK DITEMUKAN",INDEX('04_Pinjaman'!$B$5:$B$1004,MATCH(B612,'04_Pinjaman'!$A$5:$A$1004,0))))</f>
        <v/>
      </c>
      <c r="D612" s="20" t="str">
        <f>IF(B612="","",IF(COUNTIF('04_Pinjaman'!$A$5:$A$1004,B612)=0,"NPP TIDAK DITEMUKAN",INDEX('04_Pinjaman'!$C$5:$C$1004,MATCH(B612,'04_Pinjaman'!$A$5:$A$1004,0))))</f>
        <v/>
      </c>
      <c r="E612" s="22"/>
      <c r="F612" s="23"/>
      <c r="G612" s="21"/>
    </row>
    <row r="613" spans="1:7" ht="21" customHeight="1">
      <c r="A613" s="20" t="str">
        <f t="shared" si="10"/>
        <v/>
      </c>
      <c r="B613" s="21"/>
      <c r="C613" s="20" t="str">
        <f>IF(B613="","",IF(COUNTIF('04_Pinjaman'!$A$5:$A$1004,B613)=0,"NO PINJAMAN TIDAK DITEMUKAN",INDEX('04_Pinjaman'!$B$5:$B$1004,MATCH(B613,'04_Pinjaman'!$A$5:$A$1004,0))))</f>
        <v/>
      </c>
      <c r="D613" s="20" t="str">
        <f>IF(B613="","",IF(COUNTIF('04_Pinjaman'!$A$5:$A$1004,B613)=0,"NPP TIDAK DITEMUKAN",INDEX('04_Pinjaman'!$C$5:$C$1004,MATCH(B613,'04_Pinjaman'!$A$5:$A$1004,0))))</f>
        <v/>
      </c>
      <c r="E613" s="22"/>
      <c r="F613" s="23"/>
      <c r="G613" s="21"/>
    </row>
    <row r="614" spans="1:7" ht="21" customHeight="1">
      <c r="A614" s="20" t="str">
        <f t="shared" si="10"/>
        <v/>
      </c>
      <c r="B614" s="21"/>
      <c r="C614" s="20" t="str">
        <f>IF(B614="","",IF(COUNTIF('04_Pinjaman'!$A$5:$A$1004,B614)=0,"NO PINJAMAN TIDAK DITEMUKAN",INDEX('04_Pinjaman'!$B$5:$B$1004,MATCH(B614,'04_Pinjaman'!$A$5:$A$1004,0))))</f>
        <v/>
      </c>
      <c r="D614" s="20" t="str">
        <f>IF(B614="","",IF(COUNTIF('04_Pinjaman'!$A$5:$A$1004,B614)=0,"NPP TIDAK DITEMUKAN",INDEX('04_Pinjaman'!$C$5:$C$1004,MATCH(B614,'04_Pinjaman'!$A$5:$A$1004,0))))</f>
        <v/>
      </c>
      <c r="E614" s="22"/>
      <c r="F614" s="23"/>
      <c r="G614" s="21"/>
    </row>
    <row r="615" spans="1:7" ht="21" customHeight="1">
      <c r="A615" s="20" t="str">
        <f t="shared" si="10"/>
        <v/>
      </c>
      <c r="B615" s="21"/>
      <c r="C615" s="20" t="str">
        <f>IF(B615="","",IF(COUNTIF('04_Pinjaman'!$A$5:$A$1004,B615)=0,"NO PINJAMAN TIDAK DITEMUKAN",INDEX('04_Pinjaman'!$B$5:$B$1004,MATCH(B615,'04_Pinjaman'!$A$5:$A$1004,0))))</f>
        <v/>
      </c>
      <c r="D615" s="20" t="str">
        <f>IF(B615="","",IF(COUNTIF('04_Pinjaman'!$A$5:$A$1004,B615)=0,"NPP TIDAK DITEMUKAN",INDEX('04_Pinjaman'!$C$5:$C$1004,MATCH(B615,'04_Pinjaman'!$A$5:$A$1004,0))))</f>
        <v/>
      </c>
      <c r="E615" s="22"/>
      <c r="F615" s="23"/>
      <c r="G615" s="21"/>
    </row>
    <row r="616" spans="1:7" ht="21" customHeight="1">
      <c r="A616" s="20" t="str">
        <f t="shared" si="10"/>
        <v/>
      </c>
      <c r="B616" s="21"/>
      <c r="C616" s="20" t="str">
        <f>IF(B616="","",IF(COUNTIF('04_Pinjaman'!$A$5:$A$1004,B616)=0,"NO PINJAMAN TIDAK DITEMUKAN",INDEX('04_Pinjaman'!$B$5:$B$1004,MATCH(B616,'04_Pinjaman'!$A$5:$A$1004,0))))</f>
        <v/>
      </c>
      <c r="D616" s="20" t="str">
        <f>IF(B616="","",IF(COUNTIF('04_Pinjaman'!$A$5:$A$1004,B616)=0,"NPP TIDAK DITEMUKAN",INDEX('04_Pinjaman'!$C$5:$C$1004,MATCH(B616,'04_Pinjaman'!$A$5:$A$1004,0))))</f>
        <v/>
      </c>
      <c r="E616" s="22"/>
      <c r="F616" s="23"/>
      <c r="G616" s="21"/>
    </row>
    <row r="617" spans="1:7" ht="21" customHeight="1">
      <c r="A617" s="20" t="str">
        <f t="shared" si="10"/>
        <v/>
      </c>
      <c r="B617" s="21"/>
      <c r="C617" s="20" t="str">
        <f>IF(B617="","",IF(COUNTIF('04_Pinjaman'!$A$5:$A$1004,B617)=0,"NO PINJAMAN TIDAK DITEMUKAN",INDEX('04_Pinjaman'!$B$5:$B$1004,MATCH(B617,'04_Pinjaman'!$A$5:$A$1004,0))))</f>
        <v/>
      </c>
      <c r="D617" s="20" t="str">
        <f>IF(B617="","",IF(COUNTIF('04_Pinjaman'!$A$5:$A$1004,B617)=0,"NPP TIDAK DITEMUKAN",INDEX('04_Pinjaman'!$C$5:$C$1004,MATCH(B617,'04_Pinjaman'!$A$5:$A$1004,0))))</f>
        <v/>
      </c>
      <c r="E617" s="22"/>
      <c r="F617" s="23"/>
      <c r="G617" s="21"/>
    </row>
    <row r="618" spans="1:7" ht="21" customHeight="1">
      <c r="A618" s="20" t="str">
        <f t="shared" si="10"/>
        <v/>
      </c>
      <c r="B618" s="21"/>
      <c r="C618" s="20" t="str">
        <f>IF(B618="","",IF(COUNTIF('04_Pinjaman'!$A$5:$A$1004,B618)=0,"NO PINJAMAN TIDAK DITEMUKAN",INDEX('04_Pinjaman'!$B$5:$B$1004,MATCH(B618,'04_Pinjaman'!$A$5:$A$1004,0))))</f>
        <v/>
      </c>
      <c r="D618" s="20" t="str">
        <f>IF(B618="","",IF(COUNTIF('04_Pinjaman'!$A$5:$A$1004,B618)=0,"NPP TIDAK DITEMUKAN",INDEX('04_Pinjaman'!$C$5:$C$1004,MATCH(B618,'04_Pinjaman'!$A$5:$A$1004,0))))</f>
        <v/>
      </c>
      <c r="E618" s="22"/>
      <c r="F618" s="23"/>
      <c r="G618" s="21"/>
    </row>
    <row r="619" spans="1:7" ht="21" customHeight="1">
      <c r="A619" s="20" t="str">
        <f t="shared" si="10"/>
        <v/>
      </c>
      <c r="B619" s="21"/>
      <c r="C619" s="20" t="str">
        <f>IF(B619="","",IF(COUNTIF('04_Pinjaman'!$A$5:$A$1004,B619)=0,"NO PINJAMAN TIDAK DITEMUKAN",INDEX('04_Pinjaman'!$B$5:$B$1004,MATCH(B619,'04_Pinjaman'!$A$5:$A$1004,0))))</f>
        <v/>
      </c>
      <c r="D619" s="20" t="str">
        <f>IF(B619="","",IF(COUNTIF('04_Pinjaman'!$A$5:$A$1004,B619)=0,"NPP TIDAK DITEMUKAN",INDEX('04_Pinjaman'!$C$5:$C$1004,MATCH(B619,'04_Pinjaman'!$A$5:$A$1004,0))))</f>
        <v/>
      </c>
      <c r="E619" s="22"/>
      <c r="F619" s="23"/>
      <c r="G619" s="21"/>
    </row>
    <row r="620" spans="1:7" ht="21" customHeight="1">
      <c r="A620" s="20" t="str">
        <f t="shared" si="10"/>
        <v/>
      </c>
      <c r="B620" s="21"/>
      <c r="C620" s="20" t="str">
        <f>IF(B620="","",IF(COUNTIF('04_Pinjaman'!$A$5:$A$1004,B620)=0,"NO PINJAMAN TIDAK DITEMUKAN",INDEX('04_Pinjaman'!$B$5:$B$1004,MATCH(B620,'04_Pinjaman'!$A$5:$A$1004,0))))</f>
        <v/>
      </c>
      <c r="D620" s="20" t="str">
        <f>IF(B620="","",IF(COUNTIF('04_Pinjaman'!$A$5:$A$1004,B620)=0,"NPP TIDAK DITEMUKAN",INDEX('04_Pinjaman'!$C$5:$C$1004,MATCH(B620,'04_Pinjaman'!$A$5:$A$1004,0))))</f>
        <v/>
      </c>
      <c r="E620" s="22"/>
      <c r="F620" s="23"/>
      <c r="G620" s="21"/>
    </row>
    <row r="621" spans="1:7" ht="21" customHeight="1">
      <c r="A621" s="20" t="str">
        <f t="shared" si="10"/>
        <v/>
      </c>
      <c r="B621" s="21"/>
      <c r="C621" s="20" t="str">
        <f>IF(B621="","",IF(COUNTIF('04_Pinjaman'!$A$5:$A$1004,B621)=0,"NO PINJAMAN TIDAK DITEMUKAN",INDEX('04_Pinjaman'!$B$5:$B$1004,MATCH(B621,'04_Pinjaman'!$A$5:$A$1004,0))))</f>
        <v/>
      </c>
      <c r="D621" s="20" t="str">
        <f>IF(B621="","",IF(COUNTIF('04_Pinjaman'!$A$5:$A$1004,B621)=0,"NPP TIDAK DITEMUKAN",INDEX('04_Pinjaman'!$C$5:$C$1004,MATCH(B621,'04_Pinjaman'!$A$5:$A$1004,0))))</f>
        <v/>
      </c>
      <c r="E621" s="22"/>
      <c r="F621" s="23"/>
      <c r="G621" s="21"/>
    </row>
    <row r="622" spans="1:7" ht="21" customHeight="1">
      <c r="A622" s="20" t="str">
        <f t="shared" si="10"/>
        <v/>
      </c>
      <c r="B622" s="21"/>
      <c r="C622" s="20" t="str">
        <f>IF(B622="","",IF(COUNTIF('04_Pinjaman'!$A$5:$A$1004,B622)=0,"NO PINJAMAN TIDAK DITEMUKAN",INDEX('04_Pinjaman'!$B$5:$B$1004,MATCH(B622,'04_Pinjaman'!$A$5:$A$1004,0))))</f>
        <v/>
      </c>
      <c r="D622" s="20" t="str">
        <f>IF(B622="","",IF(COUNTIF('04_Pinjaman'!$A$5:$A$1004,B622)=0,"NPP TIDAK DITEMUKAN",INDEX('04_Pinjaman'!$C$5:$C$1004,MATCH(B622,'04_Pinjaman'!$A$5:$A$1004,0))))</f>
        <v/>
      </c>
      <c r="E622" s="22"/>
      <c r="F622" s="23"/>
      <c r="G622" s="21"/>
    </row>
    <row r="623" spans="1:7" ht="21" customHeight="1">
      <c r="A623" s="20" t="str">
        <f t="shared" si="10"/>
        <v/>
      </c>
      <c r="B623" s="21"/>
      <c r="C623" s="20" t="str">
        <f>IF(B623="","",IF(COUNTIF('04_Pinjaman'!$A$5:$A$1004,B623)=0,"NO PINJAMAN TIDAK DITEMUKAN",INDEX('04_Pinjaman'!$B$5:$B$1004,MATCH(B623,'04_Pinjaman'!$A$5:$A$1004,0))))</f>
        <v/>
      </c>
      <c r="D623" s="20" t="str">
        <f>IF(B623="","",IF(COUNTIF('04_Pinjaman'!$A$5:$A$1004,B623)=0,"NPP TIDAK DITEMUKAN",INDEX('04_Pinjaman'!$C$5:$C$1004,MATCH(B623,'04_Pinjaman'!$A$5:$A$1004,0))))</f>
        <v/>
      </c>
      <c r="E623" s="22"/>
      <c r="F623" s="23"/>
      <c r="G623" s="21"/>
    </row>
    <row r="624" spans="1:7" ht="21" customHeight="1">
      <c r="A624" s="20" t="str">
        <f t="shared" si="10"/>
        <v/>
      </c>
      <c r="B624" s="21"/>
      <c r="C624" s="20" t="str">
        <f>IF(B624="","",IF(COUNTIF('04_Pinjaman'!$A$5:$A$1004,B624)=0,"NO PINJAMAN TIDAK DITEMUKAN",INDEX('04_Pinjaman'!$B$5:$B$1004,MATCH(B624,'04_Pinjaman'!$A$5:$A$1004,0))))</f>
        <v/>
      </c>
      <c r="D624" s="20" t="str">
        <f>IF(B624="","",IF(COUNTIF('04_Pinjaman'!$A$5:$A$1004,B624)=0,"NPP TIDAK DITEMUKAN",INDEX('04_Pinjaman'!$C$5:$C$1004,MATCH(B624,'04_Pinjaman'!$A$5:$A$1004,0))))</f>
        <v/>
      </c>
      <c r="E624" s="22"/>
      <c r="F624" s="23"/>
      <c r="G624" s="21"/>
    </row>
    <row r="625" spans="1:7" ht="21" customHeight="1">
      <c r="A625" s="20" t="str">
        <f t="shared" si="10"/>
        <v/>
      </c>
      <c r="B625" s="21"/>
      <c r="C625" s="20" t="str">
        <f>IF(B625="","",IF(COUNTIF('04_Pinjaman'!$A$5:$A$1004,B625)=0,"NO PINJAMAN TIDAK DITEMUKAN",INDEX('04_Pinjaman'!$B$5:$B$1004,MATCH(B625,'04_Pinjaman'!$A$5:$A$1004,0))))</f>
        <v/>
      </c>
      <c r="D625" s="20" t="str">
        <f>IF(B625="","",IF(COUNTIF('04_Pinjaman'!$A$5:$A$1004,B625)=0,"NPP TIDAK DITEMUKAN",INDEX('04_Pinjaman'!$C$5:$C$1004,MATCH(B625,'04_Pinjaman'!$A$5:$A$1004,0))))</f>
        <v/>
      </c>
      <c r="E625" s="22"/>
      <c r="F625" s="23"/>
      <c r="G625" s="21"/>
    </row>
    <row r="626" spans="1:7" ht="21" customHeight="1">
      <c r="A626" s="20" t="str">
        <f t="shared" si="10"/>
        <v/>
      </c>
      <c r="B626" s="21"/>
      <c r="C626" s="20" t="str">
        <f>IF(B626="","",IF(COUNTIF('04_Pinjaman'!$A$5:$A$1004,B626)=0,"NO PINJAMAN TIDAK DITEMUKAN",INDEX('04_Pinjaman'!$B$5:$B$1004,MATCH(B626,'04_Pinjaman'!$A$5:$A$1004,0))))</f>
        <v/>
      </c>
      <c r="D626" s="20" t="str">
        <f>IF(B626="","",IF(COUNTIF('04_Pinjaman'!$A$5:$A$1004,B626)=0,"NPP TIDAK DITEMUKAN",INDEX('04_Pinjaman'!$C$5:$C$1004,MATCH(B626,'04_Pinjaman'!$A$5:$A$1004,0))))</f>
        <v/>
      </c>
      <c r="E626" s="22"/>
      <c r="F626" s="23"/>
      <c r="G626" s="21"/>
    </row>
    <row r="627" spans="1:7" ht="21" customHeight="1">
      <c r="A627" s="20" t="str">
        <f t="shared" si="10"/>
        <v/>
      </c>
      <c r="B627" s="21"/>
      <c r="C627" s="20" t="str">
        <f>IF(B627="","",IF(COUNTIF('04_Pinjaman'!$A$5:$A$1004,B627)=0,"NO PINJAMAN TIDAK DITEMUKAN",INDEX('04_Pinjaman'!$B$5:$B$1004,MATCH(B627,'04_Pinjaman'!$A$5:$A$1004,0))))</f>
        <v/>
      </c>
      <c r="D627" s="20" t="str">
        <f>IF(B627="","",IF(COUNTIF('04_Pinjaman'!$A$5:$A$1004,B627)=0,"NPP TIDAK DITEMUKAN",INDEX('04_Pinjaman'!$C$5:$C$1004,MATCH(B627,'04_Pinjaman'!$A$5:$A$1004,0))))</f>
        <v/>
      </c>
      <c r="E627" s="22"/>
      <c r="F627" s="23"/>
      <c r="G627" s="21"/>
    </row>
    <row r="628" spans="1:7" ht="21" customHeight="1">
      <c r="A628" s="20" t="str">
        <f t="shared" si="10"/>
        <v/>
      </c>
      <c r="B628" s="21"/>
      <c r="C628" s="20" t="str">
        <f>IF(B628="","",IF(COUNTIF('04_Pinjaman'!$A$5:$A$1004,B628)=0,"NO PINJAMAN TIDAK DITEMUKAN",INDEX('04_Pinjaman'!$B$5:$B$1004,MATCH(B628,'04_Pinjaman'!$A$5:$A$1004,0))))</f>
        <v/>
      </c>
      <c r="D628" s="20" t="str">
        <f>IF(B628="","",IF(COUNTIF('04_Pinjaman'!$A$5:$A$1004,B628)=0,"NPP TIDAK DITEMUKAN",INDEX('04_Pinjaman'!$C$5:$C$1004,MATCH(B628,'04_Pinjaman'!$A$5:$A$1004,0))))</f>
        <v/>
      </c>
      <c r="E628" s="22"/>
      <c r="F628" s="23"/>
      <c r="G628" s="21"/>
    </row>
    <row r="629" spans="1:7" ht="21" customHeight="1">
      <c r="A629" s="20" t="str">
        <f t="shared" si="10"/>
        <v/>
      </c>
      <c r="B629" s="21"/>
      <c r="C629" s="20" t="str">
        <f>IF(B629="","",IF(COUNTIF('04_Pinjaman'!$A$5:$A$1004,B629)=0,"NO PINJAMAN TIDAK DITEMUKAN",INDEX('04_Pinjaman'!$B$5:$B$1004,MATCH(B629,'04_Pinjaman'!$A$5:$A$1004,0))))</f>
        <v/>
      </c>
      <c r="D629" s="20" t="str">
        <f>IF(B629="","",IF(COUNTIF('04_Pinjaman'!$A$5:$A$1004,B629)=0,"NPP TIDAK DITEMUKAN",INDEX('04_Pinjaman'!$C$5:$C$1004,MATCH(B629,'04_Pinjaman'!$A$5:$A$1004,0))))</f>
        <v/>
      </c>
      <c r="E629" s="22"/>
      <c r="F629" s="23"/>
      <c r="G629" s="21"/>
    </row>
    <row r="630" spans="1:7" ht="21" customHeight="1">
      <c r="A630" s="20" t="str">
        <f t="shared" si="10"/>
        <v/>
      </c>
      <c r="B630" s="21"/>
      <c r="C630" s="20" t="str">
        <f>IF(B630="","",IF(COUNTIF('04_Pinjaman'!$A$5:$A$1004,B630)=0,"NO PINJAMAN TIDAK DITEMUKAN",INDEX('04_Pinjaman'!$B$5:$B$1004,MATCH(B630,'04_Pinjaman'!$A$5:$A$1004,0))))</f>
        <v/>
      </c>
      <c r="D630" s="20" t="str">
        <f>IF(B630="","",IF(COUNTIF('04_Pinjaman'!$A$5:$A$1004,B630)=0,"NPP TIDAK DITEMUKAN",INDEX('04_Pinjaman'!$C$5:$C$1004,MATCH(B630,'04_Pinjaman'!$A$5:$A$1004,0))))</f>
        <v/>
      </c>
      <c r="E630" s="22"/>
      <c r="F630" s="23"/>
      <c r="G630" s="21"/>
    </row>
    <row r="631" spans="1:7" ht="21" customHeight="1">
      <c r="A631" s="20" t="str">
        <f t="shared" si="10"/>
        <v/>
      </c>
      <c r="B631" s="21"/>
      <c r="C631" s="20" t="str">
        <f>IF(B631="","",IF(COUNTIF('04_Pinjaman'!$A$5:$A$1004,B631)=0,"NO PINJAMAN TIDAK DITEMUKAN",INDEX('04_Pinjaman'!$B$5:$B$1004,MATCH(B631,'04_Pinjaman'!$A$5:$A$1004,0))))</f>
        <v/>
      </c>
      <c r="D631" s="20" t="str">
        <f>IF(B631="","",IF(COUNTIF('04_Pinjaman'!$A$5:$A$1004,B631)=0,"NPP TIDAK DITEMUKAN",INDEX('04_Pinjaman'!$C$5:$C$1004,MATCH(B631,'04_Pinjaman'!$A$5:$A$1004,0))))</f>
        <v/>
      </c>
      <c r="E631" s="22"/>
      <c r="F631" s="23"/>
      <c r="G631" s="21"/>
    </row>
    <row r="632" spans="1:7" ht="21" customHeight="1">
      <c r="A632" s="20" t="str">
        <f t="shared" si="10"/>
        <v/>
      </c>
      <c r="B632" s="21"/>
      <c r="C632" s="20" t="str">
        <f>IF(B632="","",IF(COUNTIF('04_Pinjaman'!$A$5:$A$1004,B632)=0,"NO PINJAMAN TIDAK DITEMUKAN",INDEX('04_Pinjaman'!$B$5:$B$1004,MATCH(B632,'04_Pinjaman'!$A$5:$A$1004,0))))</f>
        <v/>
      </c>
      <c r="D632" s="20" t="str">
        <f>IF(B632="","",IF(COUNTIF('04_Pinjaman'!$A$5:$A$1004,B632)=0,"NPP TIDAK DITEMUKAN",INDEX('04_Pinjaman'!$C$5:$C$1004,MATCH(B632,'04_Pinjaman'!$A$5:$A$1004,0))))</f>
        <v/>
      </c>
      <c r="E632" s="22"/>
      <c r="F632" s="23"/>
      <c r="G632" s="21"/>
    </row>
    <row r="633" spans="1:7" ht="21" customHeight="1">
      <c r="A633" s="20" t="str">
        <f t="shared" si="10"/>
        <v/>
      </c>
      <c r="B633" s="21"/>
      <c r="C633" s="20" t="str">
        <f>IF(B633="","",IF(COUNTIF('04_Pinjaman'!$A$5:$A$1004,B633)=0,"NO PINJAMAN TIDAK DITEMUKAN",INDEX('04_Pinjaman'!$B$5:$B$1004,MATCH(B633,'04_Pinjaman'!$A$5:$A$1004,0))))</f>
        <v/>
      </c>
      <c r="D633" s="20" t="str">
        <f>IF(B633="","",IF(COUNTIF('04_Pinjaman'!$A$5:$A$1004,B633)=0,"NPP TIDAK DITEMUKAN",INDEX('04_Pinjaman'!$C$5:$C$1004,MATCH(B633,'04_Pinjaman'!$A$5:$A$1004,0))))</f>
        <v/>
      </c>
      <c r="E633" s="22"/>
      <c r="F633" s="23"/>
      <c r="G633" s="21"/>
    </row>
    <row r="634" spans="1:7" ht="21" customHeight="1">
      <c r="A634" s="20" t="str">
        <f t="shared" si="10"/>
        <v/>
      </c>
      <c r="B634" s="21"/>
      <c r="C634" s="20" t="str">
        <f>IF(B634="","",IF(COUNTIF('04_Pinjaman'!$A$5:$A$1004,B634)=0,"NO PINJAMAN TIDAK DITEMUKAN",INDEX('04_Pinjaman'!$B$5:$B$1004,MATCH(B634,'04_Pinjaman'!$A$5:$A$1004,0))))</f>
        <v/>
      </c>
      <c r="D634" s="20" t="str">
        <f>IF(B634="","",IF(COUNTIF('04_Pinjaman'!$A$5:$A$1004,B634)=0,"NPP TIDAK DITEMUKAN",INDEX('04_Pinjaman'!$C$5:$C$1004,MATCH(B634,'04_Pinjaman'!$A$5:$A$1004,0))))</f>
        <v/>
      </c>
      <c r="E634" s="22"/>
      <c r="F634" s="23"/>
      <c r="G634" s="21"/>
    </row>
    <row r="635" spans="1:7" ht="21" customHeight="1">
      <c r="A635" s="20" t="str">
        <f t="shared" si="10"/>
        <v/>
      </c>
      <c r="B635" s="21"/>
      <c r="C635" s="20" t="str">
        <f>IF(B635="","",IF(COUNTIF('04_Pinjaman'!$A$5:$A$1004,B635)=0,"NO PINJAMAN TIDAK DITEMUKAN",INDEX('04_Pinjaman'!$B$5:$B$1004,MATCH(B635,'04_Pinjaman'!$A$5:$A$1004,0))))</f>
        <v/>
      </c>
      <c r="D635" s="20" t="str">
        <f>IF(B635="","",IF(COUNTIF('04_Pinjaman'!$A$5:$A$1004,B635)=0,"NPP TIDAK DITEMUKAN",INDEX('04_Pinjaman'!$C$5:$C$1004,MATCH(B635,'04_Pinjaman'!$A$5:$A$1004,0))))</f>
        <v/>
      </c>
      <c r="E635" s="22"/>
      <c r="F635" s="23"/>
      <c r="G635" s="21"/>
    </row>
    <row r="636" spans="1:7" ht="21" customHeight="1">
      <c r="A636" s="20" t="str">
        <f t="shared" si="10"/>
        <v/>
      </c>
      <c r="B636" s="21"/>
      <c r="C636" s="20" t="str">
        <f>IF(B636="","",IF(COUNTIF('04_Pinjaman'!$A$5:$A$1004,B636)=0,"NO PINJAMAN TIDAK DITEMUKAN",INDEX('04_Pinjaman'!$B$5:$B$1004,MATCH(B636,'04_Pinjaman'!$A$5:$A$1004,0))))</f>
        <v/>
      </c>
      <c r="D636" s="20" t="str">
        <f>IF(B636="","",IF(COUNTIF('04_Pinjaman'!$A$5:$A$1004,B636)=0,"NPP TIDAK DITEMUKAN",INDEX('04_Pinjaman'!$C$5:$C$1004,MATCH(B636,'04_Pinjaman'!$A$5:$A$1004,0))))</f>
        <v/>
      </c>
      <c r="E636" s="22"/>
      <c r="F636" s="23"/>
      <c r="G636" s="21"/>
    </row>
    <row r="637" spans="1:7" ht="21" customHeight="1">
      <c r="A637" s="20" t="str">
        <f t="shared" si="10"/>
        <v/>
      </c>
      <c r="B637" s="21"/>
      <c r="C637" s="20" t="str">
        <f>IF(B637="","",IF(COUNTIF('04_Pinjaman'!$A$5:$A$1004,B637)=0,"NO PINJAMAN TIDAK DITEMUKAN",INDEX('04_Pinjaman'!$B$5:$B$1004,MATCH(B637,'04_Pinjaman'!$A$5:$A$1004,0))))</f>
        <v/>
      </c>
      <c r="D637" s="20" t="str">
        <f>IF(B637="","",IF(COUNTIF('04_Pinjaman'!$A$5:$A$1004,B637)=0,"NPP TIDAK DITEMUKAN",INDEX('04_Pinjaman'!$C$5:$C$1004,MATCH(B637,'04_Pinjaman'!$A$5:$A$1004,0))))</f>
        <v/>
      </c>
      <c r="E637" s="22"/>
      <c r="F637" s="23"/>
      <c r="G637" s="21"/>
    </row>
    <row r="638" spans="1:7" ht="21" customHeight="1">
      <c r="A638" s="20" t="str">
        <f t="shared" si="10"/>
        <v/>
      </c>
      <c r="B638" s="21"/>
      <c r="C638" s="20" t="str">
        <f>IF(B638="","",IF(COUNTIF('04_Pinjaman'!$A$5:$A$1004,B638)=0,"NO PINJAMAN TIDAK DITEMUKAN",INDEX('04_Pinjaman'!$B$5:$B$1004,MATCH(B638,'04_Pinjaman'!$A$5:$A$1004,0))))</f>
        <v/>
      </c>
      <c r="D638" s="20" t="str">
        <f>IF(B638="","",IF(COUNTIF('04_Pinjaman'!$A$5:$A$1004,B638)=0,"NPP TIDAK DITEMUKAN",INDEX('04_Pinjaman'!$C$5:$C$1004,MATCH(B638,'04_Pinjaman'!$A$5:$A$1004,0))))</f>
        <v/>
      </c>
      <c r="E638" s="22"/>
      <c r="F638" s="23"/>
      <c r="G638" s="21"/>
    </row>
    <row r="639" spans="1:7" ht="21" customHeight="1">
      <c r="A639" s="20" t="str">
        <f t="shared" si="10"/>
        <v/>
      </c>
      <c r="B639" s="21"/>
      <c r="C639" s="20" t="str">
        <f>IF(B639="","",IF(COUNTIF('04_Pinjaman'!$A$5:$A$1004,B639)=0,"NO PINJAMAN TIDAK DITEMUKAN",INDEX('04_Pinjaman'!$B$5:$B$1004,MATCH(B639,'04_Pinjaman'!$A$5:$A$1004,0))))</f>
        <v/>
      </c>
      <c r="D639" s="20" t="str">
        <f>IF(B639="","",IF(COUNTIF('04_Pinjaman'!$A$5:$A$1004,B639)=0,"NPP TIDAK DITEMUKAN",INDEX('04_Pinjaman'!$C$5:$C$1004,MATCH(B639,'04_Pinjaman'!$A$5:$A$1004,0))))</f>
        <v/>
      </c>
      <c r="E639" s="22"/>
      <c r="F639" s="23"/>
      <c r="G639" s="21"/>
    </row>
    <row r="640" spans="1:7" ht="21" customHeight="1">
      <c r="A640" s="20" t="str">
        <f t="shared" si="10"/>
        <v/>
      </c>
      <c r="B640" s="21"/>
      <c r="C640" s="20" t="str">
        <f>IF(B640="","",IF(COUNTIF('04_Pinjaman'!$A$5:$A$1004,B640)=0,"NO PINJAMAN TIDAK DITEMUKAN",INDEX('04_Pinjaman'!$B$5:$B$1004,MATCH(B640,'04_Pinjaman'!$A$5:$A$1004,0))))</f>
        <v/>
      </c>
      <c r="D640" s="20" t="str">
        <f>IF(B640="","",IF(COUNTIF('04_Pinjaman'!$A$5:$A$1004,B640)=0,"NPP TIDAK DITEMUKAN",INDEX('04_Pinjaman'!$C$5:$C$1004,MATCH(B640,'04_Pinjaman'!$A$5:$A$1004,0))))</f>
        <v/>
      </c>
      <c r="E640" s="22"/>
      <c r="F640" s="23"/>
      <c r="G640" s="21"/>
    </row>
    <row r="641" spans="1:7" ht="21" customHeight="1">
      <c r="A641" s="20" t="str">
        <f t="shared" si="10"/>
        <v/>
      </c>
      <c r="B641" s="21"/>
      <c r="C641" s="20" t="str">
        <f>IF(B641="","",IF(COUNTIF('04_Pinjaman'!$A$5:$A$1004,B641)=0,"NO PINJAMAN TIDAK DITEMUKAN",INDEX('04_Pinjaman'!$B$5:$B$1004,MATCH(B641,'04_Pinjaman'!$A$5:$A$1004,0))))</f>
        <v/>
      </c>
      <c r="D641" s="20" t="str">
        <f>IF(B641="","",IF(COUNTIF('04_Pinjaman'!$A$5:$A$1004,B641)=0,"NPP TIDAK DITEMUKAN",INDEX('04_Pinjaman'!$C$5:$C$1004,MATCH(B641,'04_Pinjaman'!$A$5:$A$1004,0))))</f>
        <v/>
      </c>
      <c r="E641" s="22"/>
      <c r="F641" s="23"/>
      <c r="G641" s="21"/>
    </row>
    <row r="642" spans="1:7" ht="21" customHeight="1">
      <c r="A642" s="20" t="str">
        <f t="shared" si="10"/>
        <v/>
      </c>
      <c r="B642" s="21"/>
      <c r="C642" s="20" t="str">
        <f>IF(B642="","",IF(COUNTIF('04_Pinjaman'!$A$5:$A$1004,B642)=0,"NO PINJAMAN TIDAK DITEMUKAN",INDEX('04_Pinjaman'!$B$5:$B$1004,MATCH(B642,'04_Pinjaman'!$A$5:$A$1004,0))))</f>
        <v/>
      </c>
      <c r="D642" s="20" t="str">
        <f>IF(B642="","",IF(COUNTIF('04_Pinjaman'!$A$5:$A$1004,B642)=0,"NPP TIDAK DITEMUKAN",INDEX('04_Pinjaman'!$C$5:$C$1004,MATCH(B642,'04_Pinjaman'!$A$5:$A$1004,0))))</f>
        <v/>
      </c>
      <c r="E642" s="22"/>
      <c r="F642" s="23"/>
      <c r="G642" s="21"/>
    </row>
    <row r="643" spans="1:7" ht="21" customHeight="1">
      <c r="A643" s="20" t="str">
        <f t="shared" si="10"/>
        <v/>
      </c>
      <c r="B643" s="21"/>
      <c r="C643" s="20" t="str">
        <f>IF(B643="","",IF(COUNTIF('04_Pinjaman'!$A$5:$A$1004,B643)=0,"NO PINJAMAN TIDAK DITEMUKAN",INDEX('04_Pinjaman'!$B$5:$B$1004,MATCH(B643,'04_Pinjaman'!$A$5:$A$1004,0))))</f>
        <v/>
      </c>
      <c r="D643" s="20" t="str">
        <f>IF(B643="","",IF(COUNTIF('04_Pinjaman'!$A$5:$A$1004,B643)=0,"NPP TIDAK DITEMUKAN",INDEX('04_Pinjaman'!$C$5:$C$1004,MATCH(B643,'04_Pinjaman'!$A$5:$A$1004,0))))</f>
        <v/>
      </c>
      <c r="E643" s="22"/>
      <c r="F643" s="23"/>
      <c r="G643" s="21"/>
    </row>
    <row r="644" spans="1:7" ht="21" customHeight="1">
      <c r="A644" s="20" t="str">
        <f t="shared" si="10"/>
        <v/>
      </c>
      <c r="B644" s="21"/>
      <c r="C644" s="20" t="str">
        <f>IF(B644="","",IF(COUNTIF('04_Pinjaman'!$A$5:$A$1004,B644)=0,"NO PINJAMAN TIDAK DITEMUKAN",INDEX('04_Pinjaman'!$B$5:$B$1004,MATCH(B644,'04_Pinjaman'!$A$5:$A$1004,0))))</f>
        <v/>
      </c>
      <c r="D644" s="20" t="str">
        <f>IF(B644="","",IF(COUNTIF('04_Pinjaman'!$A$5:$A$1004,B644)=0,"NPP TIDAK DITEMUKAN",INDEX('04_Pinjaman'!$C$5:$C$1004,MATCH(B644,'04_Pinjaman'!$A$5:$A$1004,0))))</f>
        <v/>
      </c>
      <c r="E644" s="22"/>
      <c r="F644" s="23"/>
      <c r="G644" s="21"/>
    </row>
    <row r="645" spans="1:7" ht="21" customHeight="1">
      <c r="A645" s="20" t="str">
        <f t="shared" ref="A645:A708" si="11">IF(B645="","",ROW()-4)</f>
        <v/>
      </c>
      <c r="B645" s="21"/>
      <c r="C645" s="20" t="str">
        <f>IF(B645="","",IF(COUNTIF('04_Pinjaman'!$A$5:$A$1004,B645)=0,"NO PINJAMAN TIDAK DITEMUKAN",INDEX('04_Pinjaman'!$B$5:$B$1004,MATCH(B645,'04_Pinjaman'!$A$5:$A$1004,0))))</f>
        <v/>
      </c>
      <c r="D645" s="20" t="str">
        <f>IF(B645="","",IF(COUNTIF('04_Pinjaman'!$A$5:$A$1004,B645)=0,"NPP TIDAK DITEMUKAN",INDEX('04_Pinjaman'!$C$5:$C$1004,MATCH(B645,'04_Pinjaman'!$A$5:$A$1004,0))))</f>
        <v/>
      </c>
      <c r="E645" s="22"/>
      <c r="F645" s="23"/>
      <c r="G645" s="21"/>
    </row>
    <row r="646" spans="1:7" ht="21" customHeight="1">
      <c r="A646" s="20" t="str">
        <f t="shared" si="11"/>
        <v/>
      </c>
      <c r="B646" s="21"/>
      <c r="C646" s="20" t="str">
        <f>IF(B646="","",IF(COUNTIF('04_Pinjaman'!$A$5:$A$1004,B646)=0,"NO PINJAMAN TIDAK DITEMUKAN",INDEX('04_Pinjaman'!$B$5:$B$1004,MATCH(B646,'04_Pinjaman'!$A$5:$A$1004,0))))</f>
        <v/>
      </c>
      <c r="D646" s="20" t="str">
        <f>IF(B646="","",IF(COUNTIF('04_Pinjaman'!$A$5:$A$1004,B646)=0,"NPP TIDAK DITEMUKAN",INDEX('04_Pinjaman'!$C$5:$C$1004,MATCH(B646,'04_Pinjaman'!$A$5:$A$1004,0))))</f>
        <v/>
      </c>
      <c r="E646" s="22"/>
      <c r="F646" s="23"/>
      <c r="G646" s="21"/>
    </row>
    <row r="647" spans="1:7" ht="21" customHeight="1">
      <c r="A647" s="20" t="str">
        <f t="shared" si="11"/>
        <v/>
      </c>
      <c r="B647" s="21"/>
      <c r="C647" s="20" t="str">
        <f>IF(B647="","",IF(COUNTIF('04_Pinjaman'!$A$5:$A$1004,B647)=0,"NO PINJAMAN TIDAK DITEMUKAN",INDEX('04_Pinjaman'!$B$5:$B$1004,MATCH(B647,'04_Pinjaman'!$A$5:$A$1004,0))))</f>
        <v/>
      </c>
      <c r="D647" s="20" t="str">
        <f>IF(B647="","",IF(COUNTIF('04_Pinjaman'!$A$5:$A$1004,B647)=0,"NPP TIDAK DITEMUKAN",INDEX('04_Pinjaman'!$C$5:$C$1004,MATCH(B647,'04_Pinjaman'!$A$5:$A$1004,0))))</f>
        <v/>
      </c>
      <c r="E647" s="22"/>
      <c r="F647" s="23"/>
      <c r="G647" s="21"/>
    </row>
    <row r="648" spans="1:7" ht="21" customHeight="1">
      <c r="A648" s="20" t="str">
        <f t="shared" si="11"/>
        <v/>
      </c>
      <c r="B648" s="21"/>
      <c r="C648" s="20" t="str">
        <f>IF(B648="","",IF(COUNTIF('04_Pinjaman'!$A$5:$A$1004,B648)=0,"NO PINJAMAN TIDAK DITEMUKAN",INDEX('04_Pinjaman'!$B$5:$B$1004,MATCH(B648,'04_Pinjaman'!$A$5:$A$1004,0))))</f>
        <v/>
      </c>
      <c r="D648" s="20" t="str">
        <f>IF(B648="","",IF(COUNTIF('04_Pinjaman'!$A$5:$A$1004,B648)=0,"NPP TIDAK DITEMUKAN",INDEX('04_Pinjaman'!$C$5:$C$1004,MATCH(B648,'04_Pinjaman'!$A$5:$A$1004,0))))</f>
        <v/>
      </c>
      <c r="E648" s="22"/>
      <c r="F648" s="23"/>
      <c r="G648" s="21"/>
    </row>
    <row r="649" spans="1:7" ht="21" customHeight="1">
      <c r="A649" s="20" t="str">
        <f t="shared" si="11"/>
        <v/>
      </c>
      <c r="B649" s="21"/>
      <c r="C649" s="20" t="str">
        <f>IF(B649="","",IF(COUNTIF('04_Pinjaman'!$A$5:$A$1004,B649)=0,"NO PINJAMAN TIDAK DITEMUKAN",INDEX('04_Pinjaman'!$B$5:$B$1004,MATCH(B649,'04_Pinjaman'!$A$5:$A$1004,0))))</f>
        <v/>
      </c>
      <c r="D649" s="20" t="str">
        <f>IF(B649="","",IF(COUNTIF('04_Pinjaman'!$A$5:$A$1004,B649)=0,"NPP TIDAK DITEMUKAN",INDEX('04_Pinjaman'!$C$5:$C$1004,MATCH(B649,'04_Pinjaman'!$A$5:$A$1004,0))))</f>
        <v/>
      </c>
      <c r="E649" s="22"/>
      <c r="F649" s="23"/>
      <c r="G649" s="21"/>
    </row>
    <row r="650" spans="1:7" ht="21" customHeight="1">
      <c r="A650" s="20" t="str">
        <f t="shared" si="11"/>
        <v/>
      </c>
      <c r="B650" s="21"/>
      <c r="C650" s="20" t="str">
        <f>IF(B650="","",IF(COUNTIF('04_Pinjaman'!$A$5:$A$1004,B650)=0,"NO PINJAMAN TIDAK DITEMUKAN",INDEX('04_Pinjaman'!$B$5:$B$1004,MATCH(B650,'04_Pinjaman'!$A$5:$A$1004,0))))</f>
        <v/>
      </c>
      <c r="D650" s="20" t="str">
        <f>IF(B650="","",IF(COUNTIF('04_Pinjaman'!$A$5:$A$1004,B650)=0,"NPP TIDAK DITEMUKAN",INDEX('04_Pinjaman'!$C$5:$C$1004,MATCH(B650,'04_Pinjaman'!$A$5:$A$1004,0))))</f>
        <v/>
      </c>
      <c r="E650" s="22"/>
      <c r="F650" s="23"/>
      <c r="G650" s="21"/>
    </row>
    <row r="651" spans="1:7" ht="21" customHeight="1">
      <c r="A651" s="20" t="str">
        <f t="shared" si="11"/>
        <v/>
      </c>
      <c r="B651" s="21"/>
      <c r="C651" s="20" t="str">
        <f>IF(B651="","",IF(COUNTIF('04_Pinjaman'!$A$5:$A$1004,B651)=0,"NO PINJAMAN TIDAK DITEMUKAN",INDEX('04_Pinjaman'!$B$5:$B$1004,MATCH(B651,'04_Pinjaman'!$A$5:$A$1004,0))))</f>
        <v/>
      </c>
      <c r="D651" s="20" t="str">
        <f>IF(B651="","",IF(COUNTIF('04_Pinjaman'!$A$5:$A$1004,B651)=0,"NPP TIDAK DITEMUKAN",INDEX('04_Pinjaman'!$C$5:$C$1004,MATCH(B651,'04_Pinjaman'!$A$5:$A$1004,0))))</f>
        <v/>
      </c>
      <c r="E651" s="22"/>
      <c r="F651" s="23"/>
      <c r="G651" s="21"/>
    </row>
    <row r="652" spans="1:7" ht="21" customHeight="1">
      <c r="A652" s="20" t="str">
        <f t="shared" si="11"/>
        <v/>
      </c>
      <c r="B652" s="21"/>
      <c r="C652" s="20" t="str">
        <f>IF(B652="","",IF(COUNTIF('04_Pinjaman'!$A$5:$A$1004,B652)=0,"NO PINJAMAN TIDAK DITEMUKAN",INDEX('04_Pinjaman'!$B$5:$B$1004,MATCH(B652,'04_Pinjaman'!$A$5:$A$1004,0))))</f>
        <v/>
      </c>
      <c r="D652" s="20" t="str">
        <f>IF(B652="","",IF(COUNTIF('04_Pinjaman'!$A$5:$A$1004,B652)=0,"NPP TIDAK DITEMUKAN",INDEX('04_Pinjaman'!$C$5:$C$1004,MATCH(B652,'04_Pinjaman'!$A$5:$A$1004,0))))</f>
        <v/>
      </c>
      <c r="E652" s="22"/>
      <c r="F652" s="23"/>
      <c r="G652" s="21"/>
    </row>
    <row r="653" spans="1:7" ht="21" customHeight="1">
      <c r="A653" s="20" t="str">
        <f t="shared" si="11"/>
        <v/>
      </c>
      <c r="B653" s="21"/>
      <c r="C653" s="20" t="str">
        <f>IF(B653="","",IF(COUNTIF('04_Pinjaman'!$A$5:$A$1004,B653)=0,"NO PINJAMAN TIDAK DITEMUKAN",INDEX('04_Pinjaman'!$B$5:$B$1004,MATCH(B653,'04_Pinjaman'!$A$5:$A$1004,0))))</f>
        <v/>
      </c>
      <c r="D653" s="20" t="str">
        <f>IF(B653="","",IF(COUNTIF('04_Pinjaman'!$A$5:$A$1004,B653)=0,"NPP TIDAK DITEMUKAN",INDEX('04_Pinjaman'!$C$5:$C$1004,MATCH(B653,'04_Pinjaman'!$A$5:$A$1004,0))))</f>
        <v/>
      </c>
      <c r="E653" s="22"/>
      <c r="F653" s="23"/>
      <c r="G653" s="21"/>
    </row>
    <row r="654" spans="1:7" ht="21" customHeight="1">
      <c r="A654" s="20" t="str">
        <f t="shared" si="11"/>
        <v/>
      </c>
      <c r="B654" s="21"/>
      <c r="C654" s="20" t="str">
        <f>IF(B654="","",IF(COUNTIF('04_Pinjaman'!$A$5:$A$1004,B654)=0,"NO PINJAMAN TIDAK DITEMUKAN",INDEX('04_Pinjaman'!$B$5:$B$1004,MATCH(B654,'04_Pinjaman'!$A$5:$A$1004,0))))</f>
        <v/>
      </c>
      <c r="D654" s="20" t="str">
        <f>IF(B654="","",IF(COUNTIF('04_Pinjaman'!$A$5:$A$1004,B654)=0,"NPP TIDAK DITEMUKAN",INDEX('04_Pinjaman'!$C$5:$C$1004,MATCH(B654,'04_Pinjaman'!$A$5:$A$1004,0))))</f>
        <v/>
      </c>
      <c r="E654" s="22"/>
      <c r="F654" s="23"/>
      <c r="G654" s="21"/>
    </row>
    <row r="655" spans="1:7" ht="21" customHeight="1">
      <c r="A655" s="20" t="str">
        <f t="shared" si="11"/>
        <v/>
      </c>
      <c r="B655" s="21"/>
      <c r="C655" s="20" t="str">
        <f>IF(B655="","",IF(COUNTIF('04_Pinjaman'!$A$5:$A$1004,B655)=0,"NO PINJAMAN TIDAK DITEMUKAN",INDEX('04_Pinjaman'!$B$5:$B$1004,MATCH(B655,'04_Pinjaman'!$A$5:$A$1004,0))))</f>
        <v/>
      </c>
      <c r="D655" s="20" t="str">
        <f>IF(B655="","",IF(COUNTIF('04_Pinjaman'!$A$5:$A$1004,B655)=0,"NPP TIDAK DITEMUKAN",INDEX('04_Pinjaman'!$C$5:$C$1004,MATCH(B655,'04_Pinjaman'!$A$5:$A$1004,0))))</f>
        <v/>
      </c>
      <c r="E655" s="22"/>
      <c r="F655" s="23"/>
      <c r="G655" s="21"/>
    </row>
    <row r="656" spans="1:7" ht="21" customHeight="1">
      <c r="A656" s="20" t="str">
        <f t="shared" si="11"/>
        <v/>
      </c>
      <c r="B656" s="21"/>
      <c r="C656" s="20" t="str">
        <f>IF(B656="","",IF(COUNTIF('04_Pinjaman'!$A$5:$A$1004,B656)=0,"NO PINJAMAN TIDAK DITEMUKAN",INDEX('04_Pinjaman'!$B$5:$B$1004,MATCH(B656,'04_Pinjaman'!$A$5:$A$1004,0))))</f>
        <v/>
      </c>
      <c r="D656" s="20" t="str">
        <f>IF(B656="","",IF(COUNTIF('04_Pinjaman'!$A$5:$A$1004,B656)=0,"NPP TIDAK DITEMUKAN",INDEX('04_Pinjaman'!$C$5:$C$1004,MATCH(B656,'04_Pinjaman'!$A$5:$A$1004,0))))</f>
        <v/>
      </c>
      <c r="E656" s="22"/>
      <c r="F656" s="23"/>
      <c r="G656" s="21"/>
    </row>
    <row r="657" spans="1:7" ht="21" customHeight="1">
      <c r="A657" s="20" t="str">
        <f t="shared" si="11"/>
        <v/>
      </c>
      <c r="B657" s="21"/>
      <c r="C657" s="20" t="str">
        <f>IF(B657="","",IF(COUNTIF('04_Pinjaman'!$A$5:$A$1004,B657)=0,"NO PINJAMAN TIDAK DITEMUKAN",INDEX('04_Pinjaman'!$B$5:$B$1004,MATCH(B657,'04_Pinjaman'!$A$5:$A$1004,0))))</f>
        <v/>
      </c>
      <c r="D657" s="20" t="str">
        <f>IF(B657="","",IF(COUNTIF('04_Pinjaman'!$A$5:$A$1004,B657)=0,"NPP TIDAK DITEMUKAN",INDEX('04_Pinjaman'!$C$5:$C$1004,MATCH(B657,'04_Pinjaman'!$A$5:$A$1004,0))))</f>
        <v/>
      </c>
      <c r="E657" s="22"/>
      <c r="F657" s="23"/>
      <c r="G657" s="21"/>
    </row>
    <row r="658" spans="1:7" ht="21" customHeight="1">
      <c r="A658" s="20" t="str">
        <f t="shared" si="11"/>
        <v/>
      </c>
      <c r="B658" s="21"/>
      <c r="C658" s="20" t="str">
        <f>IF(B658="","",IF(COUNTIF('04_Pinjaman'!$A$5:$A$1004,B658)=0,"NO PINJAMAN TIDAK DITEMUKAN",INDEX('04_Pinjaman'!$B$5:$B$1004,MATCH(B658,'04_Pinjaman'!$A$5:$A$1004,0))))</f>
        <v/>
      </c>
      <c r="D658" s="20" t="str">
        <f>IF(B658="","",IF(COUNTIF('04_Pinjaman'!$A$5:$A$1004,B658)=0,"NPP TIDAK DITEMUKAN",INDEX('04_Pinjaman'!$C$5:$C$1004,MATCH(B658,'04_Pinjaman'!$A$5:$A$1004,0))))</f>
        <v/>
      </c>
      <c r="E658" s="22"/>
      <c r="F658" s="23"/>
      <c r="G658" s="21"/>
    </row>
    <row r="659" spans="1:7" ht="21" customHeight="1">
      <c r="A659" s="20" t="str">
        <f t="shared" si="11"/>
        <v/>
      </c>
      <c r="B659" s="21"/>
      <c r="C659" s="20" t="str">
        <f>IF(B659="","",IF(COUNTIF('04_Pinjaman'!$A$5:$A$1004,B659)=0,"NO PINJAMAN TIDAK DITEMUKAN",INDEX('04_Pinjaman'!$B$5:$B$1004,MATCH(B659,'04_Pinjaman'!$A$5:$A$1004,0))))</f>
        <v/>
      </c>
      <c r="D659" s="20" t="str">
        <f>IF(B659="","",IF(COUNTIF('04_Pinjaman'!$A$5:$A$1004,B659)=0,"NPP TIDAK DITEMUKAN",INDEX('04_Pinjaman'!$C$5:$C$1004,MATCH(B659,'04_Pinjaman'!$A$5:$A$1004,0))))</f>
        <v/>
      </c>
      <c r="E659" s="22"/>
      <c r="F659" s="23"/>
      <c r="G659" s="21"/>
    </row>
    <row r="660" spans="1:7" ht="21" customHeight="1">
      <c r="A660" s="20" t="str">
        <f t="shared" si="11"/>
        <v/>
      </c>
      <c r="B660" s="21"/>
      <c r="C660" s="20" t="str">
        <f>IF(B660="","",IF(COUNTIF('04_Pinjaman'!$A$5:$A$1004,B660)=0,"NO PINJAMAN TIDAK DITEMUKAN",INDEX('04_Pinjaman'!$B$5:$B$1004,MATCH(B660,'04_Pinjaman'!$A$5:$A$1004,0))))</f>
        <v/>
      </c>
      <c r="D660" s="20" t="str">
        <f>IF(B660="","",IF(COUNTIF('04_Pinjaman'!$A$5:$A$1004,B660)=0,"NPP TIDAK DITEMUKAN",INDEX('04_Pinjaman'!$C$5:$C$1004,MATCH(B660,'04_Pinjaman'!$A$5:$A$1004,0))))</f>
        <v/>
      </c>
      <c r="E660" s="22"/>
      <c r="F660" s="23"/>
      <c r="G660" s="21"/>
    </row>
    <row r="661" spans="1:7" ht="21" customHeight="1">
      <c r="A661" s="20" t="str">
        <f t="shared" si="11"/>
        <v/>
      </c>
      <c r="B661" s="21"/>
      <c r="C661" s="20" t="str">
        <f>IF(B661="","",IF(COUNTIF('04_Pinjaman'!$A$5:$A$1004,B661)=0,"NO PINJAMAN TIDAK DITEMUKAN",INDEX('04_Pinjaman'!$B$5:$B$1004,MATCH(B661,'04_Pinjaman'!$A$5:$A$1004,0))))</f>
        <v/>
      </c>
      <c r="D661" s="20" t="str">
        <f>IF(B661="","",IF(COUNTIF('04_Pinjaman'!$A$5:$A$1004,B661)=0,"NPP TIDAK DITEMUKAN",INDEX('04_Pinjaman'!$C$5:$C$1004,MATCH(B661,'04_Pinjaman'!$A$5:$A$1004,0))))</f>
        <v/>
      </c>
      <c r="E661" s="22"/>
      <c r="F661" s="23"/>
      <c r="G661" s="21"/>
    </row>
    <row r="662" spans="1:7" ht="21" customHeight="1">
      <c r="A662" s="20" t="str">
        <f t="shared" si="11"/>
        <v/>
      </c>
      <c r="B662" s="21"/>
      <c r="C662" s="20" t="str">
        <f>IF(B662="","",IF(COUNTIF('04_Pinjaman'!$A$5:$A$1004,B662)=0,"NO PINJAMAN TIDAK DITEMUKAN",INDEX('04_Pinjaman'!$B$5:$B$1004,MATCH(B662,'04_Pinjaman'!$A$5:$A$1004,0))))</f>
        <v/>
      </c>
      <c r="D662" s="20" t="str">
        <f>IF(B662="","",IF(COUNTIF('04_Pinjaman'!$A$5:$A$1004,B662)=0,"NPP TIDAK DITEMUKAN",INDEX('04_Pinjaman'!$C$5:$C$1004,MATCH(B662,'04_Pinjaman'!$A$5:$A$1004,0))))</f>
        <v/>
      </c>
      <c r="E662" s="22"/>
      <c r="F662" s="23"/>
      <c r="G662" s="21"/>
    </row>
    <row r="663" spans="1:7" ht="21" customHeight="1">
      <c r="A663" s="20" t="str">
        <f t="shared" si="11"/>
        <v/>
      </c>
      <c r="B663" s="21"/>
      <c r="C663" s="20" t="str">
        <f>IF(B663="","",IF(COUNTIF('04_Pinjaman'!$A$5:$A$1004,B663)=0,"NO PINJAMAN TIDAK DITEMUKAN",INDEX('04_Pinjaman'!$B$5:$B$1004,MATCH(B663,'04_Pinjaman'!$A$5:$A$1004,0))))</f>
        <v/>
      </c>
      <c r="D663" s="20" t="str">
        <f>IF(B663="","",IF(COUNTIF('04_Pinjaman'!$A$5:$A$1004,B663)=0,"NPP TIDAK DITEMUKAN",INDEX('04_Pinjaman'!$C$5:$C$1004,MATCH(B663,'04_Pinjaman'!$A$5:$A$1004,0))))</f>
        <v/>
      </c>
      <c r="E663" s="22"/>
      <c r="F663" s="23"/>
      <c r="G663" s="21"/>
    </row>
    <row r="664" spans="1:7" ht="21" customHeight="1">
      <c r="A664" s="20" t="str">
        <f t="shared" si="11"/>
        <v/>
      </c>
      <c r="B664" s="21"/>
      <c r="C664" s="20" t="str">
        <f>IF(B664="","",IF(COUNTIF('04_Pinjaman'!$A$5:$A$1004,B664)=0,"NO PINJAMAN TIDAK DITEMUKAN",INDEX('04_Pinjaman'!$B$5:$B$1004,MATCH(B664,'04_Pinjaman'!$A$5:$A$1004,0))))</f>
        <v/>
      </c>
      <c r="D664" s="20" t="str">
        <f>IF(B664="","",IF(COUNTIF('04_Pinjaman'!$A$5:$A$1004,B664)=0,"NPP TIDAK DITEMUKAN",INDEX('04_Pinjaman'!$C$5:$C$1004,MATCH(B664,'04_Pinjaman'!$A$5:$A$1004,0))))</f>
        <v/>
      </c>
      <c r="E664" s="22"/>
      <c r="F664" s="23"/>
      <c r="G664" s="21"/>
    </row>
    <row r="665" spans="1:7" ht="21" customHeight="1">
      <c r="A665" s="20" t="str">
        <f t="shared" si="11"/>
        <v/>
      </c>
      <c r="B665" s="21"/>
      <c r="C665" s="20" t="str">
        <f>IF(B665="","",IF(COUNTIF('04_Pinjaman'!$A$5:$A$1004,B665)=0,"NO PINJAMAN TIDAK DITEMUKAN",INDEX('04_Pinjaman'!$B$5:$B$1004,MATCH(B665,'04_Pinjaman'!$A$5:$A$1004,0))))</f>
        <v/>
      </c>
      <c r="D665" s="20" t="str">
        <f>IF(B665="","",IF(COUNTIF('04_Pinjaman'!$A$5:$A$1004,B665)=0,"NPP TIDAK DITEMUKAN",INDEX('04_Pinjaman'!$C$5:$C$1004,MATCH(B665,'04_Pinjaman'!$A$5:$A$1004,0))))</f>
        <v/>
      </c>
      <c r="E665" s="22"/>
      <c r="F665" s="23"/>
      <c r="G665" s="21"/>
    </row>
    <row r="666" spans="1:7" ht="21" customHeight="1">
      <c r="A666" s="20" t="str">
        <f t="shared" si="11"/>
        <v/>
      </c>
      <c r="B666" s="21"/>
      <c r="C666" s="20" t="str">
        <f>IF(B666="","",IF(COUNTIF('04_Pinjaman'!$A$5:$A$1004,B666)=0,"NO PINJAMAN TIDAK DITEMUKAN",INDEX('04_Pinjaman'!$B$5:$B$1004,MATCH(B666,'04_Pinjaman'!$A$5:$A$1004,0))))</f>
        <v/>
      </c>
      <c r="D666" s="20" t="str">
        <f>IF(B666="","",IF(COUNTIF('04_Pinjaman'!$A$5:$A$1004,B666)=0,"NPP TIDAK DITEMUKAN",INDEX('04_Pinjaman'!$C$5:$C$1004,MATCH(B666,'04_Pinjaman'!$A$5:$A$1004,0))))</f>
        <v/>
      </c>
      <c r="E666" s="22"/>
      <c r="F666" s="23"/>
      <c r="G666" s="21"/>
    </row>
    <row r="667" spans="1:7" ht="21" customHeight="1">
      <c r="A667" s="20" t="str">
        <f t="shared" si="11"/>
        <v/>
      </c>
      <c r="B667" s="21"/>
      <c r="C667" s="20" t="str">
        <f>IF(B667="","",IF(COUNTIF('04_Pinjaman'!$A$5:$A$1004,B667)=0,"NO PINJAMAN TIDAK DITEMUKAN",INDEX('04_Pinjaman'!$B$5:$B$1004,MATCH(B667,'04_Pinjaman'!$A$5:$A$1004,0))))</f>
        <v/>
      </c>
      <c r="D667" s="20" t="str">
        <f>IF(B667="","",IF(COUNTIF('04_Pinjaman'!$A$5:$A$1004,B667)=0,"NPP TIDAK DITEMUKAN",INDEX('04_Pinjaman'!$C$5:$C$1004,MATCH(B667,'04_Pinjaman'!$A$5:$A$1004,0))))</f>
        <v/>
      </c>
      <c r="E667" s="22"/>
      <c r="F667" s="23"/>
      <c r="G667" s="21"/>
    </row>
    <row r="668" spans="1:7" ht="21" customHeight="1">
      <c r="A668" s="20" t="str">
        <f t="shared" si="11"/>
        <v/>
      </c>
      <c r="B668" s="21"/>
      <c r="C668" s="20" t="str">
        <f>IF(B668="","",IF(COUNTIF('04_Pinjaman'!$A$5:$A$1004,B668)=0,"NO PINJAMAN TIDAK DITEMUKAN",INDEX('04_Pinjaman'!$B$5:$B$1004,MATCH(B668,'04_Pinjaman'!$A$5:$A$1004,0))))</f>
        <v/>
      </c>
      <c r="D668" s="20" t="str">
        <f>IF(B668="","",IF(COUNTIF('04_Pinjaman'!$A$5:$A$1004,B668)=0,"NPP TIDAK DITEMUKAN",INDEX('04_Pinjaman'!$C$5:$C$1004,MATCH(B668,'04_Pinjaman'!$A$5:$A$1004,0))))</f>
        <v/>
      </c>
      <c r="E668" s="22"/>
      <c r="F668" s="23"/>
      <c r="G668" s="21"/>
    </row>
    <row r="669" spans="1:7" ht="21" customHeight="1">
      <c r="A669" s="20" t="str">
        <f t="shared" si="11"/>
        <v/>
      </c>
      <c r="B669" s="21"/>
      <c r="C669" s="20" t="str">
        <f>IF(B669="","",IF(COUNTIF('04_Pinjaman'!$A$5:$A$1004,B669)=0,"NO PINJAMAN TIDAK DITEMUKAN",INDEX('04_Pinjaman'!$B$5:$B$1004,MATCH(B669,'04_Pinjaman'!$A$5:$A$1004,0))))</f>
        <v/>
      </c>
      <c r="D669" s="20" t="str">
        <f>IF(B669="","",IF(COUNTIF('04_Pinjaman'!$A$5:$A$1004,B669)=0,"NPP TIDAK DITEMUKAN",INDEX('04_Pinjaman'!$C$5:$C$1004,MATCH(B669,'04_Pinjaman'!$A$5:$A$1004,0))))</f>
        <v/>
      </c>
      <c r="E669" s="22"/>
      <c r="F669" s="23"/>
      <c r="G669" s="21"/>
    </row>
    <row r="670" spans="1:7" ht="21" customHeight="1">
      <c r="A670" s="20" t="str">
        <f t="shared" si="11"/>
        <v/>
      </c>
      <c r="B670" s="21"/>
      <c r="C670" s="20" t="str">
        <f>IF(B670="","",IF(COUNTIF('04_Pinjaman'!$A$5:$A$1004,B670)=0,"NO PINJAMAN TIDAK DITEMUKAN",INDEX('04_Pinjaman'!$B$5:$B$1004,MATCH(B670,'04_Pinjaman'!$A$5:$A$1004,0))))</f>
        <v/>
      </c>
      <c r="D670" s="20" t="str">
        <f>IF(B670="","",IF(COUNTIF('04_Pinjaman'!$A$5:$A$1004,B670)=0,"NPP TIDAK DITEMUKAN",INDEX('04_Pinjaman'!$C$5:$C$1004,MATCH(B670,'04_Pinjaman'!$A$5:$A$1004,0))))</f>
        <v/>
      </c>
      <c r="E670" s="22"/>
      <c r="F670" s="23"/>
      <c r="G670" s="21"/>
    </row>
    <row r="671" spans="1:7" ht="21" customHeight="1">
      <c r="A671" s="20" t="str">
        <f t="shared" si="11"/>
        <v/>
      </c>
      <c r="B671" s="21"/>
      <c r="C671" s="20" t="str">
        <f>IF(B671="","",IF(COUNTIF('04_Pinjaman'!$A$5:$A$1004,B671)=0,"NO PINJAMAN TIDAK DITEMUKAN",INDEX('04_Pinjaman'!$B$5:$B$1004,MATCH(B671,'04_Pinjaman'!$A$5:$A$1004,0))))</f>
        <v/>
      </c>
      <c r="D671" s="20" t="str">
        <f>IF(B671="","",IF(COUNTIF('04_Pinjaman'!$A$5:$A$1004,B671)=0,"NPP TIDAK DITEMUKAN",INDEX('04_Pinjaman'!$C$5:$C$1004,MATCH(B671,'04_Pinjaman'!$A$5:$A$1004,0))))</f>
        <v/>
      </c>
      <c r="E671" s="22"/>
      <c r="F671" s="23"/>
      <c r="G671" s="21"/>
    </row>
    <row r="672" spans="1:7" ht="21" customHeight="1">
      <c r="A672" s="20" t="str">
        <f t="shared" si="11"/>
        <v/>
      </c>
      <c r="B672" s="21"/>
      <c r="C672" s="20" t="str">
        <f>IF(B672="","",IF(COUNTIF('04_Pinjaman'!$A$5:$A$1004,B672)=0,"NO PINJAMAN TIDAK DITEMUKAN",INDEX('04_Pinjaman'!$B$5:$B$1004,MATCH(B672,'04_Pinjaman'!$A$5:$A$1004,0))))</f>
        <v/>
      </c>
      <c r="D672" s="20" t="str">
        <f>IF(B672="","",IF(COUNTIF('04_Pinjaman'!$A$5:$A$1004,B672)=0,"NPP TIDAK DITEMUKAN",INDEX('04_Pinjaman'!$C$5:$C$1004,MATCH(B672,'04_Pinjaman'!$A$5:$A$1004,0))))</f>
        <v/>
      </c>
      <c r="E672" s="22"/>
      <c r="F672" s="23"/>
      <c r="G672" s="21"/>
    </row>
    <row r="673" spans="1:7" ht="21" customHeight="1">
      <c r="A673" s="20" t="str">
        <f t="shared" si="11"/>
        <v/>
      </c>
      <c r="B673" s="21"/>
      <c r="C673" s="20" t="str">
        <f>IF(B673="","",IF(COUNTIF('04_Pinjaman'!$A$5:$A$1004,B673)=0,"NO PINJAMAN TIDAK DITEMUKAN",INDEX('04_Pinjaman'!$B$5:$B$1004,MATCH(B673,'04_Pinjaman'!$A$5:$A$1004,0))))</f>
        <v/>
      </c>
      <c r="D673" s="20" t="str">
        <f>IF(B673="","",IF(COUNTIF('04_Pinjaman'!$A$5:$A$1004,B673)=0,"NPP TIDAK DITEMUKAN",INDEX('04_Pinjaman'!$C$5:$C$1004,MATCH(B673,'04_Pinjaman'!$A$5:$A$1004,0))))</f>
        <v/>
      </c>
      <c r="E673" s="22"/>
      <c r="F673" s="23"/>
      <c r="G673" s="21"/>
    </row>
    <row r="674" spans="1:7" ht="21" customHeight="1">
      <c r="A674" s="20" t="str">
        <f t="shared" si="11"/>
        <v/>
      </c>
      <c r="B674" s="21"/>
      <c r="C674" s="20" t="str">
        <f>IF(B674="","",IF(COUNTIF('04_Pinjaman'!$A$5:$A$1004,B674)=0,"NO PINJAMAN TIDAK DITEMUKAN",INDEX('04_Pinjaman'!$B$5:$B$1004,MATCH(B674,'04_Pinjaman'!$A$5:$A$1004,0))))</f>
        <v/>
      </c>
      <c r="D674" s="20" t="str">
        <f>IF(B674="","",IF(COUNTIF('04_Pinjaman'!$A$5:$A$1004,B674)=0,"NPP TIDAK DITEMUKAN",INDEX('04_Pinjaman'!$C$5:$C$1004,MATCH(B674,'04_Pinjaman'!$A$5:$A$1004,0))))</f>
        <v/>
      </c>
      <c r="E674" s="22"/>
      <c r="F674" s="23"/>
      <c r="G674" s="21"/>
    </row>
    <row r="675" spans="1:7" ht="21" customHeight="1">
      <c r="A675" s="20" t="str">
        <f t="shared" si="11"/>
        <v/>
      </c>
      <c r="B675" s="21"/>
      <c r="C675" s="20" t="str">
        <f>IF(B675="","",IF(COUNTIF('04_Pinjaman'!$A$5:$A$1004,B675)=0,"NO PINJAMAN TIDAK DITEMUKAN",INDEX('04_Pinjaman'!$B$5:$B$1004,MATCH(B675,'04_Pinjaman'!$A$5:$A$1004,0))))</f>
        <v/>
      </c>
      <c r="D675" s="20" t="str">
        <f>IF(B675="","",IF(COUNTIF('04_Pinjaman'!$A$5:$A$1004,B675)=0,"NPP TIDAK DITEMUKAN",INDEX('04_Pinjaman'!$C$5:$C$1004,MATCH(B675,'04_Pinjaman'!$A$5:$A$1004,0))))</f>
        <v/>
      </c>
      <c r="E675" s="22"/>
      <c r="F675" s="23"/>
      <c r="G675" s="21"/>
    </row>
    <row r="676" spans="1:7" ht="21" customHeight="1">
      <c r="A676" s="20" t="str">
        <f t="shared" si="11"/>
        <v/>
      </c>
      <c r="B676" s="21"/>
      <c r="C676" s="20" t="str">
        <f>IF(B676="","",IF(COUNTIF('04_Pinjaman'!$A$5:$A$1004,B676)=0,"NO PINJAMAN TIDAK DITEMUKAN",INDEX('04_Pinjaman'!$B$5:$B$1004,MATCH(B676,'04_Pinjaman'!$A$5:$A$1004,0))))</f>
        <v/>
      </c>
      <c r="D676" s="20" t="str">
        <f>IF(B676="","",IF(COUNTIF('04_Pinjaman'!$A$5:$A$1004,B676)=0,"NPP TIDAK DITEMUKAN",INDEX('04_Pinjaman'!$C$5:$C$1004,MATCH(B676,'04_Pinjaman'!$A$5:$A$1004,0))))</f>
        <v/>
      </c>
      <c r="E676" s="22"/>
      <c r="F676" s="23"/>
      <c r="G676" s="21"/>
    </row>
    <row r="677" spans="1:7" ht="21" customHeight="1">
      <c r="A677" s="20" t="str">
        <f t="shared" si="11"/>
        <v/>
      </c>
      <c r="B677" s="21"/>
      <c r="C677" s="20" t="str">
        <f>IF(B677="","",IF(COUNTIF('04_Pinjaman'!$A$5:$A$1004,B677)=0,"NO PINJAMAN TIDAK DITEMUKAN",INDEX('04_Pinjaman'!$B$5:$B$1004,MATCH(B677,'04_Pinjaman'!$A$5:$A$1004,0))))</f>
        <v/>
      </c>
      <c r="D677" s="20" t="str">
        <f>IF(B677="","",IF(COUNTIF('04_Pinjaman'!$A$5:$A$1004,B677)=0,"NPP TIDAK DITEMUKAN",INDEX('04_Pinjaman'!$C$5:$C$1004,MATCH(B677,'04_Pinjaman'!$A$5:$A$1004,0))))</f>
        <v/>
      </c>
      <c r="E677" s="22"/>
      <c r="F677" s="23"/>
      <c r="G677" s="21"/>
    </row>
    <row r="678" spans="1:7" ht="21" customHeight="1">
      <c r="A678" s="20" t="str">
        <f t="shared" si="11"/>
        <v/>
      </c>
      <c r="B678" s="21"/>
      <c r="C678" s="20" t="str">
        <f>IF(B678="","",IF(COUNTIF('04_Pinjaman'!$A$5:$A$1004,B678)=0,"NO PINJAMAN TIDAK DITEMUKAN",INDEX('04_Pinjaman'!$B$5:$B$1004,MATCH(B678,'04_Pinjaman'!$A$5:$A$1004,0))))</f>
        <v/>
      </c>
      <c r="D678" s="20" t="str">
        <f>IF(B678="","",IF(COUNTIF('04_Pinjaman'!$A$5:$A$1004,B678)=0,"NPP TIDAK DITEMUKAN",INDEX('04_Pinjaman'!$C$5:$C$1004,MATCH(B678,'04_Pinjaman'!$A$5:$A$1004,0))))</f>
        <v/>
      </c>
      <c r="E678" s="22"/>
      <c r="F678" s="23"/>
      <c r="G678" s="21"/>
    </row>
    <row r="679" spans="1:7" ht="21" customHeight="1">
      <c r="A679" s="20" t="str">
        <f t="shared" si="11"/>
        <v/>
      </c>
      <c r="B679" s="21"/>
      <c r="C679" s="20" t="str">
        <f>IF(B679="","",IF(COUNTIF('04_Pinjaman'!$A$5:$A$1004,B679)=0,"NO PINJAMAN TIDAK DITEMUKAN",INDEX('04_Pinjaman'!$B$5:$B$1004,MATCH(B679,'04_Pinjaman'!$A$5:$A$1004,0))))</f>
        <v/>
      </c>
      <c r="D679" s="20" t="str">
        <f>IF(B679="","",IF(COUNTIF('04_Pinjaman'!$A$5:$A$1004,B679)=0,"NPP TIDAK DITEMUKAN",INDEX('04_Pinjaman'!$C$5:$C$1004,MATCH(B679,'04_Pinjaman'!$A$5:$A$1004,0))))</f>
        <v/>
      </c>
      <c r="E679" s="22"/>
      <c r="F679" s="23"/>
      <c r="G679" s="21"/>
    </row>
    <row r="680" spans="1:7" ht="21" customHeight="1">
      <c r="A680" s="20" t="str">
        <f t="shared" si="11"/>
        <v/>
      </c>
      <c r="B680" s="21"/>
      <c r="C680" s="20" t="str">
        <f>IF(B680="","",IF(COUNTIF('04_Pinjaman'!$A$5:$A$1004,B680)=0,"NO PINJAMAN TIDAK DITEMUKAN",INDEX('04_Pinjaman'!$B$5:$B$1004,MATCH(B680,'04_Pinjaman'!$A$5:$A$1004,0))))</f>
        <v/>
      </c>
      <c r="D680" s="20" t="str">
        <f>IF(B680="","",IF(COUNTIF('04_Pinjaman'!$A$5:$A$1004,B680)=0,"NPP TIDAK DITEMUKAN",INDEX('04_Pinjaman'!$C$5:$C$1004,MATCH(B680,'04_Pinjaman'!$A$5:$A$1004,0))))</f>
        <v/>
      </c>
      <c r="E680" s="22"/>
      <c r="F680" s="23"/>
      <c r="G680" s="21"/>
    </row>
    <row r="681" spans="1:7" ht="21" customHeight="1">
      <c r="A681" s="20" t="str">
        <f t="shared" si="11"/>
        <v/>
      </c>
      <c r="B681" s="21"/>
      <c r="C681" s="20" t="str">
        <f>IF(B681="","",IF(COUNTIF('04_Pinjaman'!$A$5:$A$1004,B681)=0,"NO PINJAMAN TIDAK DITEMUKAN",INDEX('04_Pinjaman'!$B$5:$B$1004,MATCH(B681,'04_Pinjaman'!$A$5:$A$1004,0))))</f>
        <v/>
      </c>
      <c r="D681" s="20" t="str">
        <f>IF(B681="","",IF(COUNTIF('04_Pinjaman'!$A$5:$A$1004,B681)=0,"NPP TIDAK DITEMUKAN",INDEX('04_Pinjaman'!$C$5:$C$1004,MATCH(B681,'04_Pinjaman'!$A$5:$A$1004,0))))</f>
        <v/>
      </c>
      <c r="E681" s="22"/>
      <c r="F681" s="23"/>
      <c r="G681" s="21"/>
    </row>
    <row r="682" spans="1:7" ht="21" customHeight="1">
      <c r="A682" s="20" t="str">
        <f t="shared" si="11"/>
        <v/>
      </c>
      <c r="B682" s="21"/>
      <c r="C682" s="20" t="str">
        <f>IF(B682="","",IF(COUNTIF('04_Pinjaman'!$A$5:$A$1004,B682)=0,"NO PINJAMAN TIDAK DITEMUKAN",INDEX('04_Pinjaman'!$B$5:$B$1004,MATCH(B682,'04_Pinjaman'!$A$5:$A$1004,0))))</f>
        <v/>
      </c>
      <c r="D682" s="20" t="str">
        <f>IF(B682="","",IF(COUNTIF('04_Pinjaman'!$A$5:$A$1004,B682)=0,"NPP TIDAK DITEMUKAN",INDEX('04_Pinjaman'!$C$5:$C$1004,MATCH(B682,'04_Pinjaman'!$A$5:$A$1004,0))))</f>
        <v/>
      </c>
      <c r="E682" s="22"/>
      <c r="F682" s="23"/>
      <c r="G682" s="21"/>
    </row>
    <row r="683" spans="1:7" ht="21" customHeight="1">
      <c r="A683" s="20" t="str">
        <f t="shared" si="11"/>
        <v/>
      </c>
      <c r="B683" s="21"/>
      <c r="C683" s="20" t="str">
        <f>IF(B683="","",IF(COUNTIF('04_Pinjaman'!$A$5:$A$1004,B683)=0,"NO PINJAMAN TIDAK DITEMUKAN",INDEX('04_Pinjaman'!$B$5:$B$1004,MATCH(B683,'04_Pinjaman'!$A$5:$A$1004,0))))</f>
        <v/>
      </c>
      <c r="D683" s="20" t="str">
        <f>IF(B683="","",IF(COUNTIF('04_Pinjaman'!$A$5:$A$1004,B683)=0,"NPP TIDAK DITEMUKAN",INDEX('04_Pinjaman'!$C$5:$C$1004,MATCH(B683,'04_Pinjaman'!$A$5:$A$1004,0))))</f>
        <v/>
      </c>
      <c r="E683" s="22"/>
      <c r="F683" s="23"/>
      <c r="G683" s="21"/>
    </row>
    <row r="684" spans="1:7" ht="21" customHeight="1">
      <c r="A684" s="20" t="str">
        <f t="shared" si="11"/>
        <v/>
      </c>
      <c r="B684" s="21"/>
      <c r="C684" s="20" t="str">
        <f>IF(B684="","",IF(COUNTIF('04_Pinjaman'!$A$5:$A$1004,B684)=0,"NO PINJAMAN TIDAK DITEMUKAN",INDEX('04_Pinjaman'!$B$5:$B$1004,MATCH(B684,'04_Pinjaman'!$A$5:$A$1004,0))))</f>
        <v/>
      </c>
      <c r="D684" s="20" t="str">
        <f>IF(B684="","",IF(COUNTIF('04_Pinjaman'!$A$5:$A$1004,B684)=0,"NPP TIDAK DITEMUKAN",INDEX('04_Pinjaman'!$C$5:$C$1004,MATCH(B684,'04_Pinjaman'!$A$5:$A$1004,0))))</f>
        <v/>
      </c>
      <c r="E684" s="22"/>
      <c r="F684" s="23"/>
      <c r="G684" s="21"/>
    </row>
    <row r="685" spans="1:7" ht="21" customHeight="1">
      <c r="A685" s="20" t="str">
        <f t="shared" si="11"/>
        <v/>
      </c>
      <c r="B685" s="21"/>
      <c r="C685" s="20" t="str">
        <f>IF(B685="","",IF(COUNTIF('04_Pinjaman'!$A$5:$A$1004,B685)=0,"NO PINJAMAN TIDAK DITEMUKAN",INDEX('04_Pinjaman'!$B$5:$B$1004,MATCH(B685,'04_Pinjaman'!$A$5:$A$1004,0))))</f>
        <v/>
      </c>
      <c r="D685" s="20" t="str">
        <f>IF(B685="","",IF(COUNTIF('04_Pinjaman'!$A$5:$A$1004,B685)=0,"NPP TIDAK DITEMUKAN",INDEX('04_Pinjaman'!$C$5:$C$1004,MATCH(B685,'04_Pinjaman'!$A$5:$A$1004,0))))</f>
        <v/>
      </c>
      <c r="E685" s="22"/>
      <c r="F685" s="23"/>
      <c r="G685" s="21"/>
    </row>
    <row r="686" spans="1:7" ht="21" customHeight="1">
      <c r="A686" s="20" t="str">
        <f t="shared" si="11"/>
        <v/>
      </c>
      <c r="B686" s="21"/>
      <c r="C686" s="20" t="str">
        <f>IF(B686="","",IF(COUNTIF('04_Pinjaman'!$A$5:$A$1004,B686)=0,"NO PINJAMAN TIDAK DITEMUKAN",INDEX('04_Pinjaman'!$B$5:$B$1004,MATCH(B686,'04_Pinjaman'!$A$5:$A$1004,0))))</f>
        <v/>
      </c>
      <c r="D686" s="20" t="str">
        <f>IF(B686="","",IF(COUNTIF('04_Pinjaman'!$A$5:$A$1004,B686)=0,"NPP TIDAK DITEMUKAN",INDEX('04_Pinjaman'!$C$5:$C$1004,MATCH(B686,'04_Pinjaman'!$A$5:$A$1004,0))))</f>
        <v/>
      </c>
      <c r="E686" s="22"/>
      <c r="F686" s="23"/>
      <c r="G686" s="21"/>
    </row>
    <row r="687" spans="1:7" ht="21" customHeight="1">
      <c r="A687" s="20" t="str">
        <f t="shared" si="11"/>
        <v/>
      </c>
      <c r="B687" s="21"/>
      <c r="C687" s="20" t="str">
        <f>IF(B687="","",IF(COUNTIF('04_Pinjaman'!$A$5:$A$1004,B687)=0,"NO PINJAMAN TIDAK DITEMUKAN",INDEX('04_Pinjaman'!$B$5:$B$1004,MATCH(B687,'04_Pinjaman'!$A$5:$A$1004,0))))</f>
        <v/>
      </c>
      <c r="D687" s="20" t="str">
        <f>IF(B687="","",IF(COUNTIF('04_Pinjaman'!$A$5:$A$1004,B687)=0,"NPP TIDAK DITEMUKAN",INDEX('04_Pinjaman'!$C$5:$C$1004,MATCH(B687,'04_Pinjaman'!$A$5:$A$1004,0))))</f>
        <v/>
      </c>
      <c r="E687" s="22"/>
      <c r="F687" s="23"/>
      <c r="G687" s="21"/>
    </row>
    <row r="688" spans="1:7" ht="21" customHeight="1">
      <c r="A688" s="20" t="str">
        <f t="shared" si="11"/>
        <v/>
      </c>
      <c r="B688" s="21"/>
      <c r="C688" s="20" t="str">
        <f>IF(B688="","",IF(COUNTIF('04_Pinjaman'!$A$5:$A$1004,B688)=0,"NO PINJAMAN TIDAK DITEMUKAN",INDEX('04_Pinjaman'!$B$5:$B$1004,MATCH(B688,'04_Pinjaman'!$A$5:$A$1004,0))))</f>
        <v/>
      </c>
      <c r="D688" s="20" t="str">
        <f>IF(B688="","",IF(COUNTIF('04_Pinjaman'!$A$5:$A$1004,B688)=0,"NPP TIDAK DITEMUKAN",INDEX('04_Pinjaman'!$C$5:$C$1004,MATCH(B688,'04_Pinjaman'!$A$5:$A$1004,0))))</f>
        <v/>
      </c>
      <c r="E688" s="22"/>
      <c r="F688" s="23"/>
      <c r="G688" s="21"/>
    </row>
    <row r="689" spans="1:7" ht="21" customHeight="1">
      <c r="A689" s="20" t="str">
        <f t="shared" si="11"/>
        <v/>
      </c>
      <c r="B689" s="21"/>
      <c r="C689" s="20" t="str">
        <f>IF(B689="","",IF(COUNTIF('04_Pinjaman'!$A$5:$A$1004,B689)=0,"NO PINJAMAN TIDAK DITEMUKAN",INDEX('04_Pinjaman'!$B$5:$B$1004,MATCH(B689,'04_Pinjaman'!$A$5:$A$1004,0))))</f>
        <v/>
      </c>
      <c r="D689" s="20" t="str">
        <f>IF(B689="","",IF(COUNTIF('04_Pinjaman'!$A$5:$A$1004,B689)=0,"NPP TIDAK DITEMUKAN",INDEX('04_Pinjaman'!$C$5:$C$1004,MATCH(B689,'04_Pinjaman'!$A$5:$A$1004,0))))</f>
        <v/>
      </c>
      <c r="E689" s="22"/>
      <c r="F689" s="23"/>
      <c r="G689" s="21"/>
    </row>
    <row r="690" spans="1:7" ht="21" customHeight="1">
      <c r="A690" s="20" t="str">
        <f t="shared" si="11"/>
        <v/>
      </c>
      <c r="B690" s="21"/>
      <c r="C690" s="20" t="str">
        <f>IF(B690="","",IF(COUNTIF('04_Pinjaman'!$A$5:$A$1004,B690)=0,"NO PINJAMAN TIDAK DITEMUKAN",INDEX('04_Pinjaman'!$B$5:$B$1004,MATCH(B690,'04_Pinjaman'!$A$5:$A$1004,0))))</f>
        <v/>
      </c>
      <c r="D690" s="20" t="str">
        <f>IF(B690="","",IF(COUNTIF('04_Pinjaman'!$A$5:$A$1004,B690)=0,"NPP TIDAK DITEMUKAN",INDEX('04_Pinjaman'!$C$5:$C$1004,MATCH(B690,'04_Pinjaman'!$A$5:$A$1004,0))))</f>
        <v/>
      </c>
      <c r="E690" s="22"/>
      <c r="F690" s="23"/>
      <c r="G690" s="21"/>
    </row>
    <row r="691" spans="1:7" ht="21" customHeight="1">
      <c r="A691" s="20" t="str">
        <f t="shared" si="11"/>
        <v/>
      </c>
      <c r="B691" s="21"/>
      <c r="C691" s="20" t="str">
        <f>IF(B691="","",IF(COUNTIF('04_Pinjaman'!$A$5:$A$1004,B691)=0,"NO PINJAMAN TIDAK DITEMUKAN",INDEX('04_Pinjaman'!$B$5:$B$1004,MATCH(B691,'04_Pinjaman'!$A$5:$A$1004,0))))</f>
        <v/>
      </c>
      <c r="D691" s="20" t="str">
        <f>IF(B691="","",IF(COUNTIF('04_Pinjaman'!$A$5:$A$1004,B691)=0,"NPP TIDAK DITEMUKAN",INDEX('04_Pinjaman'!$C$5:$C$1004,MATCH(B691,'04_Pinjaman'!$A$5:$A$1004,0))))</f>
        <v/>
      </c>
      <c r="E691" s="22"/>
      <c r="F691" s="23"/>
      <c r="G691" s="21"/>
    </row>
    <row r="692" spans="1:7" ht="21" customHeight="1">
      <c r="A692" s="20" t="str">
        <f t="shared" si="11"/>
        <v/>
      </c>
      <c r="B692" s="21"/>
      <c r="C692" s="20" t="str">
        <f>IF(B692="","",IF(COUNTIF('04_Pinjaman'!$A$5:$A$1004,B692)=0,"NO PINJAMAN TIDAK DITEMUKAN",INDEX('04_Pinjaman'!$B$5:$B$1004,MATCH(B692,'04_Pinjaman'!$A$5:$A$1004,0))))</f>
        <v/>
      </c>
      <c r="D692" s="20" t="str">
        <f>IF(B692="","",IF(COUNTIF('04_Pinjaman'!$A$5:$A$1004,B692)=0,"NPP TIDAK DITEMUKAN",INDEX('04_Pinjaman'!$C$5:$C$1004,MATCH(B692,'04_Pinjaman'!$A$5:$A$1004,0))))</f>
        <v/>
      </c>
      <c r="E692" s="22"/>
      <c r="F692" s="23"/>
      <c r="G692" s="21"/>
    </row>
    <row r="693" spans="1:7" ht="21" customHeight="1">
      <c r="A693" s="20" t="str">
        <f t="shared" si="11"/>
        <v/>
      </c>
      <c r="B693" s="21"/>
      <c r="C693" s="20" t="str">
        <f>IF(B693="","",IF(COUNTIF('04_Pinjaman'!$A$5:$A$1004,B693)=0,"NO PINJAMAN TIDAK DITEMUKAN",INDEX('04_Pinjaman'!$B$5:$B$1004,MATCH(B693,'04_Pinjaman'!$A$5:$A$1004,0))))</f>
        <v/>
      </c>
      <c r="D693" s="20" t="str">
        <f>IF(B693="","",IF(COUNTIF('04_Pinjaman'!$A$5:$A$1004,B693)=0,"NPP TIDAK DITEMUKAN",INDEX('04_Pinjaman'!$C$5:$C$1004,MATCH(B693,'04_Pinjaman'!$A$5:$A$1004,0))))</f>
        <v/>
      </c>
      <c r="E693" s="22"/>
      <c r="F693" s="23"/>
      <c r="G693" s="21"/>
    </row>
    <row r="694" spans="1:7" ht="21" customHeight="1">
      <c r="A694" s="20" t="str">
        <f t="shared" si="11"/>
        <v/>
      </c>
      <c r="B694" s="21"/>
      <c r="C694" s="20" t="str">
        <f>IF(B694="","",IF(COUNTIF('04_Pinjaman'!$A$5:$A$1004,B694)=0,"NO PINJAMAN TIDAK DITEMUKAN",INDEX('04_Pinjaman'!$B$5:$B$1004,MATCH(B694,'04_Pinjaman'!$A$5:$A$1004,0))))</f>
        <v/>
      </c>
      <c r="D694" s="20" t="str">
        <f>IF(B694="","",IF(COUNTIF('04_Pinjaman'!$A$5:$A$1004,B694)=0,"NPP TIDAK DITEMUKAN",INDEX('04_Pinjaman'!$C$5:$C$1004,MATCH(B694,'04_Pinjaman'!$A$5:$A$1004,0))))</f>
        <v/>
      </c>
      <c r="E694" s="22"/>
      <c r="F694" s="23"/>
      <c r="G694" s="21"/>
    </row>
    <row r="695" spans="1:7" ht="21" customHeight="1">
      <c r="A695" s="20" t="str">
        <f t="shared" si="11"/>
        <v/>
      </c>
      <c r="B695" s="21"/>
      <c r="C695" s="20" t="str">
        <f>IF(B695="","",IF(COUNTIF('04_Pinjaman'!$A$5:$A$1004,B695)=0,"NO PINJAMAN TIDAK DITEMUKAN",INDEX('04_Pinjaman'!$B$5:$B$1004,MATCH(B695,'04_Pinjaman'!$A$5:$A$1004,0))))</f>
        <v/>
      </c>
      <c r="D695" s="20" t="str">
        <f>IF(B695="","",IF(COUNTIF('04_Pinjaman'!$A$5:$A$1004,B695)=0,"NPP TIDAK DITEMUKAN",INDEX('04_Pinjaman'!$C$5:$C$1004,MATCH(B695,'04_Pinjaman'!$A$5:$A$1004,0))))</f>
        <v/>
      </c>
      <c r="E695" s="22"/>
      <c r="F695" s="23"/>
      <c r="G695" s="21"/>
    </row>
    <row r="696" spans="1:7" ht="21" customHeight="1">
      <c r="A696" s="20" t="str">
        <f t="shared" si="11"/>
        <v/>
      </c>
      <c r="B696" s="21"/>
      <c r="C696" s="20" t="str">
        <f>IF(B696="","",IF(COUNTIF('04_Pinjaman'!$A$5:$A$1004,B696)=0,"NO PINJAMAN TIDAK DITEMUKAN",INDEX('04_Pinjaman'!$B$5:$B$1004,MATCH(B696,'04_Pinjaman'!$A$5:$A$1004,0))))</f>
        <v/>
      </c>
      <c r="D696" s="20" t="str">
        <f>IF(B696="","",IF(COUNTIF('04_Pinjaman'!$A$5:$A$1004,B696)=0,"NPP TIDAK DITEMUKAN",INDEX('04_Pinjaman'!$C$5:$C$1004,MATCH(B696,'04_Pinjaman'!$A$5:$A$1004,0))))</f>
        <v/>
      </c>
      <c r="E696" s="22"/>
      <c r="F696" s="23"/>
      <c r="G696" s="21"/>
    </row>
    <row r="697" spans="1:7" ht="21" customHeight="1">
      <c r="A697" s="20" t="str">
        <f t="shared" si="11"/>
        <v/>
      </c>
      <c r="B697" s="21"/>
      <c r="C697" s="20" t="str">
        <f>IF(B697="","",IF(COUNTIF('04_Pinjaman'!$A$5:$A$1004,B697)=0,"NO PINJAMAN TIDAK DITEMUKAN",INDEX('04_Pinjaman'!$B$5:$B$1004,MATCH(B697,'04_Pinjaman'!$A$5:$A$1004,0))))</f>
        <v/>
      </c>
      <c r="D697" s="20" t="str">
        <f>IF(B697="","",IF(COUNTIF('04_Pinjaman'!$A$5:$A$1004,B697)=0,"NPP TIDAK DITEMUKAN",INDEX('04_Pinjaman'!$C$5:$C$1004,MATCH(B697,'04_Pinjaman'!$A$5:$A$1004,0))))</f>
        <v/>
      </c>
      <c r="E697" s="22"/>
      <c r="F697" s="23"/>
      <c r="G697" s="21"/>
    </row>
    <row r="698" spans="1:7" ht="21" customHeight="1">
      <c r="A698" s="20" t="str">
        <f t="shared" si="11"/>
        <v/>
      </c>
      <c r="B698" s="21"/>
      <c r="C698" s="20" t="str">
        <f>IF(B698="","",IF(COUNTIF('04_Pinjaman'!$A$5:$A$1004,B698)=0,"NO PINJAMAN TIDAK DITEMUKAN",INDEX('04_Pinjaman'!$B$5:$B$1004,MATCH(B698,'04_Pinjaman'!$A$5:$A$1004,0))))</f>
        <v/>
      </c>
      <c r="D698" s="20" t="str">
        <f>IF(B698="","",IF(COUNTIF('04_Pinjaman'!$A$5:$A$1004,B698)=0,"NPP TIDAK DITEMUKAN",INDEX('04_Pinjaman'!$C$5:$C$1004,MATCH(B698,'04_Pinjaman'!$A$5:$A$1004,0))))</f>
        <v/>
      </c>
      <c r="E698" s="22"/>
      <c r="F698" s="23"/>
      <c r="G698" s="21"/>
    </row>
    <row r="699" spans="1:7" ht="21" customHeight="1">
      <c r="A699" s="20" t="str">
        <f t="shared" si="11"/>
        <v/>
      </c>
      <c r="B699" s="21"/>
      <c r="C699" s="20" t="str">
        <f>IF(B699="","",IF(COUNTIF('04_Pinjaman'!$A$5:$A$1004,B699)=0,"NO PINJAMAN TIDAK DITEMUKAN",INDEX('04_Pinjaman'!$B$5:$B$1004,MATCH(B699,'04_Pinjaman'!$A$5:$A$1004,0))))</f>
        <v/>
      </c>
      <c r="D699" s="20" t="str">
        <f>IF(B699="","",IF(COUNTIF('04_Pinjaman'!$A$5:$A$1004,B699)=0,"NPP TIDAK DITEMUKAN",INDEX('04_Pinjaman'!$C$5:$C$1004,MATCH(B699,'04_Pinjaman'!$A$5:$A$1004,0))))</f>
        <v/>
      </c>
      <c r="E699" s="22"/>
      <c r="F699" s="23"/>
      <c r="G699" s="21"/>
    </row>
    <row r="700" spans="1:7" ht="21" customHeight="1">
      <c r="A700" s="20" t="str">
        <f t="shared" si="11"/>
        <v/>
      </c>
      <c r="B700" s="21"/>
      <c r="C700" s="20" t="str">
        <f>IF(B700="","",IF(COUNTIF('04_Pinjaman'!$A$5:$A$1004,B700)=0,"NO PINJAMAN TIDAK DITEMUKAN",INDEX('04_Pinjaman'!$B$5:$B$1004,MATCH(B700,'04_Pinjaman'!$A$5:$A$1004,0))))</f>
        <v/>
      </c>
      <c r="D700" s="20" t="str">
        <f>IF(B700="","",IF(COUNTIF('04_Pinjaman'!$A$5:$A$1004,B700)=0,"NPP TIDAK DITEMUKAN",INDEX('04_Pinjaman'!$C$5:$C$1004,MATCH(B700,'04_Pinjaman'!$A$5:$A$1004,0))))</f>
        <v/>
      </c>
      <c r="E700" s="22"/>
      <c r="F700" s="23"/>
      <c r="G700" s="21"/>
    </row>
    <row r="701" spans="1:7" ht="21" customHeight="1">
      <c r="A701" s="20" t="str">
        <f t="shared" si="11"/>
        <v/>
      </c>
      <c r="B701" s="21"/>
      <c r="C701" s="20" t="str">
        <f>IF(B701="","",IF(COUNTIF('04_Pinjaman'!$A$5:$A$1004,B701)=0,"NO PINJAMAN TIDAK DITEMUKAN",INDEX('04_Pinjaman'!$B$5:$B$1004,MATCH(B701,'04_Pinjaman'!$A$5:$A$1004,0))))</f>
        <v/>
      </c>
      <c r="D701" s="20" t="str">
        <f>IF(B701="","",IF(COUNTIF('04_Pinjaman'!$A$5:$A$1004,B701)=0,"NPP TIDAK DITEMUKAN",INDEX('04_Pinjaman'!$C$5:$C$1004,MATCH(B701,'04_Pinjaman'!$A$5:$A$1004,0))))</f>
        <v/>
      </c>
      <c r="E701" s="22"/>
      <c r="F701" s="23"/>
      <c r="G701" s="21"/>
    </row>
    <row r="702" spans="1:7" ht="21" customHeight="1">
      <c r="A702" s="20" t="str">
        <f t="shared" si="11"/>
        <v/>
      </c>
      <c r="B702" s="21"/>
      <c r="C702" s="20" t="str">
        <f>IF(B702="","",IF(COUNTIF('04_Pinjaman'!$A$5:$A$1004,B702)=0,"NO PINJAMAN TIDAK DITEMUKAN",INDEX('04_Pinjaman'!$B$5:$B$1004,MATCH(B702,'04_Pinjaman'!$A$5:$A$1004,0))))</f>
        <v/>
      </c>
      <c r="D702" s="20" t="str">
        <f>IF(B702="","",IF(COUNTIF('04_Pinjaman'!$A$5:$A$1004,B702)=0,"NPP TIDAK DITEMUKAN",INDEX('04_Pinjaman'!$C$5:$C$1004,MATCH(B702,'04_Pinjaman'!$A$5:$A$1004,0))))</f>
        <v/>
      </c>
      <c r="E702" s="22"/>
      <c r="F702" s="23"/>
      <c r="G702" s="21"/>
    </row>
    <row r="703" spans="1:7" ht="21" customHeight="1">
      <c r="A703" s="20" t="str">
        <f t="shared" si="11"/>
        <v/>
      </c>
      <c r="B703" s="21"/>
      <c r="C703" s="20" t="str">
        <f>IF(B703="","",IF(COUNTIF('04_Pinjaman'!$A$5:$A$1004,B703)=0,"NO PINJAMAN TIDAK DITEMUKAN",INDEX('04_Pinjaman'!$B$5:$B$1004,MATCH(B703,'04_Pinjaman'!$A$5:$A$1004,0))))</f>
        <v/>
      </c>
      <c r="D703" s="20" t="str">
        <f>IF(B703="","",IF(COUNTIF('04_Pinjaman'!$A$5:$A$1004,B703)=0,"NPP TIDAK DITEMUKAN",INDEX('04_Pinjaman'!$C$5:$C$1004,MATCH(B703,'04_Pinjaman'!$A$5:$A$1004,0))))</f>
        <v/>
      </c>
      <c r="E703" s="22"/>
      <c r="F703" s="23"/>
      <c r="G703" s="21"/>
    </row>
    <row r="704" spans="1:7" ht="21" customHeight="1">
      <c r="A704" s="20" t="str">
        <f t="shared" si="11"/>
        <v/>
      </c>
      <c r="B704" s="21"/>
      <c r="C704" s="20" t="str">
        <f>IF(B704="","",IF(COUNTIF('04_Pinjaman'!$A$5:$A$1004,B704)=0,"NO PINJAMAN TIDAK DITEMUKAN",INDEX('04_Pinjaman'!$B$5:$B$1004,MATCH(B704,'04_Pinjaman'!$A$5:$A$1004,0))))</f>
        <v/>
      </c>
      <c r="D704" s="20" t="str">
        <f>IF(B704="","",IF(COUNTIF('04_Pinjaman'!$A$5:$A$1004,B704)=0,"NPP TIDAK DITEMUKAN",INDEX('04_Pinjaman'!$C$5:$C$1004,MATCH(B704,'04_Pinjaman'!$A$5:$A$1004,0))))</f>
        <v/>
      </c>
      <c r="E704" s="22"/>
      <c r="F704" s="23"/>
      <c r="G704" s="21"/>
    </row>
    <row r="705" spans="1:7" ht="21" customHeight="1">
      <c r="A705" s="20" t="str">
        <f t="shared" si="11"/>
        <v/>
      </c>
      <c r="B705" s="21"/>
      <c r="C705" s="20" t="str">
        <f>IF(B705="","",IF(COUNTIF('04_Pinjaman'!$A$5:$A$1004,B705)=0,"NO PINJAMAN TIDAK DITEMUKAN",INDEX('04_Pinjaman'!$B$5:$B$1004,MATCH(B705,'04_Pinjaman'!$A$5:$A$1004,0))))</f>
        <v/>
      </c>
      <c r="D705" s="20" t="str">
        <f>IF(B705="","",IF(COUNTIF('04_Pinjaman'!$A$5:$A$1004,B705)=0,"NPP TIDAK DITEMUKAN",INDEX('04_Pinjaman'!$C$5:$C$1004,MATCH(B705,'04_Pinjaman'!$A$5:$A$1004,0))))</f>
        <v/>
      </c>
      <c r="E705" s="22"/>
      <c r="F705" s="23"/>
      <c r="G705" s="21"/>
    </row>
    <row r="706" spans="1:7" ht="21" customHeight="1">
      <c r="A706" s="20" t="str">
        <f t="shared" si="11"/>
        <v/>
      </c>
      <c r="B706" s="21"/>
      <c r="C706" s="20" t="str">
        <f>IF(B706="","",IF(COUNTIF('04_Pinjaman'!$A$5:$A$1004,B706)=0,"NO PINJAMAN TIDAK DITEMUKAN",INDEX('04_Pinjaman'!$B$5:$B$1004,MATCH(B706,'04_Pinjaman'!$A$5:$A$1004,0))))</f>
        <v/>
      </c>
      <c r="D706" s="20" t="str">
        <f>IF(B706="","",IF(COUNTIF('04_Pinjaman'!$A$5:$A$1004,B706)=0,"NPP TIDAK DITEMUKAN",INDEX('04_Pinjaman'!$C$5:$C$1004,MATCH(B706,'04_Pinjaman'!$A$5:$A$1004,0))))</f>
        <v/>
      </c>
      <c r="E706" s="22"/>
      <c r="F706" s="23"/>
      <c r="G706" s="21"/>
    </row>
    <row r="707" spans="1:7" ht="21" customHeight="1">
      <c r="A707" s="20" t="str">
        <f t="shared" si="11"/>
        <v/>
      </c>
      <c r="B707" s="21"/>
      <c r="C707" s="20" t="str">
        <f>IF(B707="","",IF(COUNTIF('04_Pinjaman'!$A$5:$A$1004,B707)=0,"NO PINJAMAN TIDAK DITEMUKAN",INDEX('04_Pinjaman'!$B$5:$B$1004,MATCH(B707,'04_Pinjaman'!$A$5:$A$1004,0))))</f>
        <v/>
      </c>
      <c r="D707" s="20" t="str">
        <f>IF(B707="","",IF(COUNTIF('04_Pinjaman'!$A$5:$A$1004,B707)=0,"NPP TIDAK DITEMUKAN",INDEX('04_Pinjaman'!$C$5:$C$1004,MATCH(B707,'04_Pinjaman'!$A$5:$A$1004,0))))</f>
        <v/>
      </c>
      <c r="E707" s="22"/>
      <c r="F707" s="23"/>
      <c r="G707" s="21"/>
    </row>
    <row r="708" spans="1:7" ht="21" customHeight="1">
      <c r="A708" s="20" t="str">
        <f t="shared" si="11"/>
        <v/>
      </c>
      <c r="B708" s="21"/>
      <c r="C708" s="20" t="str">
        <f>IF(B708="","",IF(COUNTIF('04_Pinjaman'!$A$5:$A$1004,B708)=0,"NO PINJAMAN TIDAK DITEMUKAN",INDEX('04_Pinjaman'!$B$5:$B$1004,MATCH(B708,'04_Pinjaman'!$A$5:$A$1004,0))))</f>
        <v/>
      </c>
      <c r="D708" s="20" t="str">
        <f>IF(B708="","",IF(COUNTIF('04_Pinjaman'!$A$5:$A$1004,B708)=0,"NPP TIDAK DITEMUKAN",INDEX('04_Pinjaman'!$C$5:$C$1004,MATCH(B708,'04_Pinjaman'!$A$5:$A$1004,0))))</f>
        <v/>
      </c>
      <c r="E708" s="22"/>
      <c r="F708" s="23"/>
      <c r="G708" s="21"/>
    </row>
    <row r="709" spans="1:7" ht="21" customHeight="1">
      <c r="A709" s="20" t="str">
        <f t="shared" ref="A709:A772" si="12">IF(B709="","",ROW()-4)</f>
        <v/>
      </c>
      <c r="B709" s="21"/>
      <c r="C709" s="20" t="str">
        <f>IF(B709="","",IF(COUNTIF('04_Pinjaman'!$A$5:$A$1004,B709)=0,"NO PINJAMAN TIDAK DITEMUKAN",INDEX('04_Pinjaman'!$B$5:$B$1004,MATCH(B709,'04_Pinjaman'!$A$5:$A$1004,0))))</f>
        <v/>
      </c>
      <c r="D709" s="20" t="str">
        <f>IF(B709="","",IF(COUNTIF('04_Pinjaman'!$A$5:$A$1004,B709)=0,"NPP TIDAK DITEMUKAN",INDEX('04_Pinjaman'!$C$5:$C$1004,MATCH(B709,'04_Pinjaman'!$A$5:$A$1004,0))))</f>
        <v/>
      </c>
      <c r="E709" s="22"/>
      <c r="F709" s="23"/>
      <c r="G709" s="21"/>
    </row>
    <row r="710" spans="1:7" ht="21" customHeight="1">
      <c r="A710" s="20" t="str">
        <f t="shared" si="12"/>
        <v/>
      </c>
      <c r="B710" s="21"/>
      <c r="C710" s="20" t="str">
        <f>IF(B710="","",IF(COUNTIF('04_Pinjaman'!$A$5:$A$1004,B710)=0,"NO PINJAMAN TIDAK DITEMUKAN",INDEX('04_Pinjaman'!$B$5:$B$1004,MATCH(B710,'04_Pinjaman'!$A$5:$A$1004,0))))</f>
        <v/>
      </c>
      <c r="D710" s="20" t="str">
        <f>IF(B710="","",IF(COUNTIF('04_Pinjaman'!$A$5:$A$1004,B710)=0,"NPP TIDAK DITEMUKAN",INDEX('04_Pinjaman'!$C$5:$C$1004,MATCH(B710,'04_Pinjaman'!$A$5:$A$1004,0))))</f>
        <v/>
      </c>
      <c r="E710" s="22"/>
      <c r="F710" s="23"/>
      <c r="G710" s="21"/>
    </row>
    <row r="711" spans="1:7" ht="21" customHeight="1">
      <c r="A711" s="20" t="str">
        <f t="shared" si="12"/>
        <v/>
      </c>
      <c r="B711" s="21"/>
      <c r="C711" s="20" t="str">
        <f>IF(B711="","",IF(COUNTIF('04_Pinjaman'!$A$5:$A$1004,B711)=0,"NO PINJAMAN TIDAK DITEMUKAN",INDEX('04_Pinjaman'!$B$5:$B$1004,MATCH(B711,'04_Pinjaman'!$A$5:$A$1004,0))))</f>
        <v/>
      </c>
      <c r="D711" s="20" t="str">
        <f>IF(B711="","",IF(COUNTIF('04_Pinjaman'!$A$5:$A$1004,B711)=0,"NPP TIDAK DITEMUKAN",INDEX('04_Pinjaman'!$C$5:$C$1004,MATCH(B711,'04_Pinjaman'!$A$5:$A$1004,0))))</f>
        <v/>
      </c>
      <c r="E711" s="22"/>
      <c r="F711" s="23"/>
      <c r="G711" s="21"/>
    </row>
    <row r="712" spans="1:7" ht="21" customHeight="1">
      <c r="A712" s="20" t="str">
        <f t="shared" si="12"/>
        <v/>
      </c>
      <c r="B712" s="21"/>
      <c r="C712" s="20" t="str">
        <f>IF(B712="","",IF(COUNTIF('04_Pinjaman'!$A$5:$A$1004,B712)=0,"NO PINJAMAN TIDAK DITEMUKAN",INDEX('04_Pinjaman'!$B$5:$B$1004,MATCH(B712,'04_Pinjaman'!$A$5:$A$1004,0))))</f>
        <v/>
      </c>
      <c r="D712" s="20" t="str">
        <f>IF(B712="","",IF(COUNTIF('04_Pinjaman'!$A$5:$A$1004,B712)=0,"NPP TIDAK DITEMUKAN",INDEX('04_Pinjaman'!$C$5:$C$1004,MATCH(B712,'04_Pinjaman'!$A$5:$A$1004,0))))</f>
        <v/>
      </c>
      <c r="E712" s="22"/>
      <c r="F712" s="23"/>
      <c r="G712" s="21"/>
    </row>
    <row r="713" spans="1:7" ht="21" customHeight="1">
      <c r="A713" s="20" t="str">
        <f t="shared" si="12"/>
        <v/>
      </c>
      <c r="B713" s="21"/>
      <c r="C713" s="20" t="str">
        <f>IF(B713="","",IF(COUNTIF('04_Pinjaman'!$A$5:$A$1004,B713)=0,"NO PINJAMAN TIDAK DITEMUKAN",INDEX('04_Pinjaman'!$B$5:$B$1004,MATCH(B713,'04_Pinjaman'!$A$5:$A$1004,0))))</f>
        <v/>
      </c>
      <c r="D713" s="20" t="str">
        <f>IF(B713="","",IF(COUNTIF('04_Pinjaman'!$A$5:$A$1004,B713)=0,"NPP TIDAK DITEMUKAN",INDEX('04_Pinjaman'!$C$5:$C$1004,MATCH(B713,'04_Pinjaman'!$A$5:$A$1004,0))))</f>
        <v/>
      </c>
      <c r="E713" s="22"/>
      <c r="F713" s="23"/>
      <c r="G713" s="21"/>
    </row>
    <row r="714" spans="1:7" ht="21" customHeight="1">
      <c r="A714" s="20" t="str">
        <f t="shared" si="12"/>
        <v/>
      </c>
      <c r="B714" s="21"/>
      <c r="C714" s="20" t="str">
        <f>IF(B714="","",IF(COUNTIF('04_Pinjaman'!$A$5:$A$1004,B714)=0,"NO PINJAMAN TIDAK DITEMUKAN",INDEX('04_Pinjaman'!$B$5:$B$1004,MATCH(B714,'04_Pinjaman'!$A$5:$A$1004,0))))</f>
        <v/>
      </c>
      <c r="D714" s="20" t="str">
        <f>IF(B714="","",IF(COUNTIF('04_Pinjaman'!$A$5:$A$1004,B714)=0,"NPP TIDAK DITEMUKAN",INDEX('04_Pinjaman'!$C$5:$C$1004,MATCH(B714,'04_Pinjaman'!$A$5:$A$1004,0))))</f>
        <v/>
      </c>
      <c r="E714" s="22"/>
      <c r="F714" s="23"/>
      <c r="G714" s="21"/>
    </row>
    <row r="715" spans="1:7" ht="21" customHeight="1">
      <c r="A715" s="20" t="str">
        <f t="shared" si="12"/>
        <v/>
      </c>
      <c r="B715" s="21"/>
      <c r="C715" s="20" t="str">
        <f>IF(B715="","",IF(COUNTIF('04_Pinjaman'!$A$5:$A$1004,B715)=0,"NO PINJAMAN TIDAK DITEMUKAN",INDEX('04_Pinjaman'!$B$5:$B$1004,MATCH(B715,'04_Pinjaman'!$A$5:$A$1004,0))))</f>
        <v/>
      </c>
      <c r="D715" s="20" t="str">
        <f>IF(B715="","",IF(COUNTIF('04_Pinjaman'!$A$5:$A$1004,B715)=0,"NPP TIDAK DITEMUKAN",INDEX('04_Pinjaman'!$C$5:$C$1004,MATCH(B715,'04_Pinjaman'!$A$5:$A$1004,0))))</f>
        <v/>
      </c>
      <c r="E715" s="22"/>
      <c r="F715" s="23"/>
      <c r="G715" s="21"/>
    </row>
    <row r="716" spans="1:7" ht="21" customHeight="1">
      <c r="A716" s="20" t="str">
        <f t="shared" si="12"/>
        <v/>
      </c>
      <c r="B716" s="21"/>
      <c r="C716" s="20" t="str">
        <f>IF(B716="","",IF(COUNTIF('04_Pinjaman'!$A$5:$A$1004,B716)=0,"NO PINJAMAN TIDAK DITEMUKAN",INDEX('04_Pinjaman'!$B$5:$B$1004,MATCH(B716,'04_Pinjaman'!$A$5:$A$1004,0))))</f>
        <v/>
      </c>
      <c r="D716" s="20" t="str">
        <f>IF(B716="","",IF(COUNTIF('04_Pinjaman'!$A$5:$A$1004,B716)=0,"NPP TIDAK DITEMUKAN",INDEX('04_Pinjaman'!$C$5:$C$1004,MATCH(B716,'04_Pinjaman'!$A$5:$A$1004,0))))</f>
        <v/>
      </c>
      <c r="E716" s="22"/>
      <c r="F716" s="23"/>
      <c r="G716" s="21"/>
    </row>
    <row r="717" spans="1:7" ht="21" customHeight="1">
      <c r="A717" s="20" t="str">
        <f t="shared" si="12"/>
        <v/>
      </c>
      <c r="B717" s="21"/>
      <c r="C717" s="20" t="str">
        <f>IF(B717="","",IF(COUNTIF('04_Pinjaman'!$A$5:$A$1004,B717)=0,"NO PINJAMAN TIDAK DITEMUKAN",INDEX('04_Pinjaman'!$B$5:$B$1004,MATCH(B717,'04_Pinjaman'!$A$5:$A$1004,0))))</f>
        <v/>
      </c>
      <c r="D717" s="20" t="str">
        <f>IF(B717="","",IF(COUNTIF('04_Pinjaman'!$A$5:$A$1004,B717)=0,"NPP TIDAK DITEMUKAN",INDEX('04_Pinjaman'!$C$5:$C$1004,MATCH(B717,'04_Pinjaman'!$A$5:$A$1004,0))))</f>
        <v/>
      </c>
      <c r="E717" s="22"/>
      <c r="F717" s="23"/>
      <c r="G717" s="21"/>
    </row>
    <row r="718" spans="1:7" ht="21" customHeight="1">
      <c r="A718" s="20" t="str">
        <f t="shared" si="12"/>
        <v/>
      </c>
      <c r="B718" s="21"/>
      <c r="C718" s="20" t="str">
        <f>IF(B718="","",IF(COUNTIF('04_Pinjaman'!$A$5:$A$1004,B718)=0,"NO PINJAMAN TIDAK DITEMUKAN",INDEX('04_Pinjaman'!$B$5:$B$1004,MATCH(B718,'04_Pinjaman'!$A$5:$A$1004,0))))</f>
        <v/>
      </c>
      <c r="D718" s="20" t="str">
        <f>IF(B718="","",IF(COUNTIF('04_Pinjaman'!$A$5:$A$1004,B718)=0,"NPP TIDAK DITEMUKAN",INDEX('04_Pinjaman'!$C$5:$C$1004,MATCH(B718,'04_Pinjaman'!$A$5:$A$1004,0))))</f>
        <v/>
      </c>
      <c r="E718" s="22"/>
      <c r="F718" s="23"/>
      <c r="G718" s="21"/>
    </row>
    <row r="719" spans="1:7" ht="21" customHeight="1">
      <c r="A719" s="20" t="str">
        <f t="shared" si="12"/>
        <v/>
      </c>
      <c r="B719" s="21"/>
      <c r="C719" s="20" t="str">
        <f>IF(B719="","",IF(COUNTIF('04_Pinjaman'!$A$5:$A$1004,B719)=0,"NO PINJAMAN TIDAK DITEMUKAN",INDEX('04_Pinjaman'!$B$5:$B$1004,MATCH(B719,'04_Pinjaman'!$A$5:$A$1004,0))))</f>
        <v/>
      </c>
      <c r="D719" s="20" t="str">
        <f>IF(B719="","",IF(COUNTIF('04_Pinjaman'!$A$5:$A$1004,B719)=0,"NPP TIDAK DITEMUKAN",INDEX('04_Pinjaman'!$C$5:$C$1004,MATCH(B719,'04_Pinjaman'!$A$5:$A$1004,0))))</f>
        <v/>
      </c>
      <c r="E719" s="22"/>
      <c r="F719" s="23"/>
      <c r="G719" s="21"/>
    </row>
    <row r="720" spans="1:7" ht="21" customHeight="1">
      <c r="A720" s="20" t="str">
        <f t="shared" si="12"/>
        <v/>
      </c>
      <c r="B720" s="21"/>
      <c r="C720" s="20" t="str">
        <f>IF(B720="","",IF(COUNTIF('04_Pinjaman'!$A$5:$A$1004,B720)=0,"NO PINJAMAN TIDAK DITEMUKAN",INDEX('04_Pinjaman'!$B$5:$B$1004,MATCH(B720,'04_Pinjaman'!$A$5:$A$1004,0))))</f>
        <v/>
      </c>
      <c r="D720" s="20" t="str">
        <f>IF(B720="","",IF(COUNTIF('04_Pinjaman'!$A$5:$A$1004,B720)=0,"NPP TIDAK DITEMUKAN",INDEX('04_Pinjaman'!$C$5:$C$1004,MATCH(B720,'04_Pinjaman'!$A$5:$A$1004,0))))</f>
        <v/>
      </c>
      <c r="E720" s="22"/>
      <c r="F720" s="23"/>
      <c r="G720" s="21"/>
    </row>
    <row r="721" spans="1:7" ht="21" customHeight="1">
      <c r="A721" s="20" t="str">
        <f t="shared" si="12"/>
        <v/>
      </c>
      <c r="B721" s="21"/>
      <c r="C721" s="20" t="str">
        <f>IF(B721="","",IF(COUNTIF('04_Pinjaman'!$A$5:$A$1004,B721)=0,"NO PINJAMAN TIDAK DITEMUKAN",INDEX('04_Pinjaman'!$B$5:$B$1004,MATCH(B721,'04_Pinjaman'!$A$5:$A$1004,0))))</f>
        <v/>
      </c>
      <c r="D721" s="20" t="str">
        <f>IF(B721="","",IF(COUNTIF('04_Pinjaman'!$A$5:$A$1004,B721)=0,"NPP TIDAK DITEMUKAN",INDEX('04_Pinjaman'!$C$5:$C$1004,MATCH(B721,'04_Pinjaman'!$A$5:$A$1004,0))))</f>
        <v/>
      </c>
      <c r="E721" s="22"/>
      <c r="F721" s="23"/>
      <c r="G721" s="21"/>
    </row>
    <row r="722" spans="1:7" ht="21" customHeight="1">
      <c r="A722" s="20" t="str">
        <f t="shared" si="12"/>
        <v/>
      </c>
      <c r="B722" s="21"/>
      <c r="C722" s="20" t="str">
        <f>IF(B722="","",IF(COUNTIF('04_Pinjaman'!$A$5:$A$1004,B722)=0,"NO PINJAMAN TIDAK DITEMUKAN",INDEX('04_Pinjaman'!$B$5:$B$1004,MATCH(B722,'04_Pinjaman'!$A$5:$A$1004,0))))</f>
        <v/>
      </c>
      <c r="D722" s="20" t="str">
        <f>IF(B722="","",IF(COUNTIF('04_Pinjaman'!$A$5:$A$1004,B722)=0,"NPP TIDAK DITEMUKAN",INDEX('04_Pinjaman'!$C$5:$C$1004,MATCH(B722,'04_Pinjaman'!$A$5:$A$1004,0))))</f>
        <v/>
      </c>
      <c r="E722" s="22"/>
      <c r="F722" s="23"/>
      <c r="G722" s="21"/>
    </row>
    <row r="723" spans="1:7" ht="21" customHeight="1">
      <c r="A723" s="20" t="str">
        <f t="shared" si="12"/>
        <v/>
      </c>
      <c r="B723" s="21"/>
      <c r="C723" s="20" t="str">
        <f>IF(B723="","",IF(COUNTIF('04_Pinjaman'!$A$5:$A$1004,B723)=0,"NO PINJAMAN TIDAK DITEMUKAN",INDEX('04_Pinjaman'!$B$5:$B$1004,MATCH(B723,'04_Pinjaman'!$A$5:$A$1004,0))))</f>
        <v/>
      </c>
      <c r="D723" s="20" t="str">
        <f>IF(B723="","",IF(COUNTIF('04_Pinjaman'!$A$5:$A$1004,B723)=0,"NPP TIDAK DITEMUKAN",INDEX('04_Pinjaman'!$C$5:$C$1004,MATCH(B723,'04_Pinjaman'!$A$5:$A$1004,0))))</f>
        <v/>
      </c>
      <c r="E723" s="22"/>
      <c r="F723" s="23"/>
      <c r="G723" s="21"/>
    </row>
    <row r="724" spans="1:7" ht="21" customHeight="1">
      <c r="A724" s="20" t="str">
        <f t="shared" si="12"/>
        <v/>
      </c>
      <c r="B724" s="21"/>
      <c r="C724" s="20" t="str">
        <f>IF(B724="","",IF(COUNTIF('04_Pinjaman'!$A$5:$A$1004,B724)=0,"NO PINJAMAN TIDAK DITEMUKAN",INDEX('04_Pinjaman'!$B$5:$B$1004,MATCH(B724,'04_Pinjaman'!$A$5:$A$1004,0))))</f>
        <v/>
      </c>
      <c r="D724" s="20" t="str">
        <f>IF(B724="","",IF(COUNTIF('04_Pinjaman'!$A$5:$A$1004,B724)=0,"NPP TIDAK DITEMUKAN",INDEX('04_Pinjaman'!$C$5:$C$1004,MATCH(B724,'04_Pinjaman'!$A$5:$A$1004,0))))</f>
        <v/>
      </c>
      <c r="E724" s="22"/>
      <c r="F724" s="23"/>
      <c r="G724" s="21"/>
    </row>
    <row r="725" spans="1:7" ht="21" customHeight="1">
      <c r="A725" s="20" t="str">
        <f t="shared" si="12"/>
        <v/>
      </c>
      <c r="B725" s="21"/>
      <c r="C725" s="20" t="str">
        <f>IF(B725="","",IF(COUNTIF('04_Pinjaman'!$A$5:$A$1004,B725)=0,"NO PINJAMAN TIDAK DITEMUKAN",INDEX('04_Pinjaman'!$B$5:$B$1004,MATCH(B725,'04_Pinjaman'!$A$5:$A$1004,0))))</f>
        <v/>
      </c>
      <c r="D725" s="20" t="str">
        <f>IF(B725="","",IF(COUNTIF('04_Pinjaman'!$A$5:$A$1004,B725)=0,"NPP TIDAK DITEMUKAN",INDEX('04_Pinjaman'!$C$5:$C$1004,MATCH(B725,'04_Pinjaman'!$A$5:$A$1004,0))))</f>
        <v/>
      </c>
      <c r="E725" s="22"/>
      <c r="F725" s="23"/>
      <c r="G725" s="21"/>
    </row>
    <row r="726" spans="1:7" ht="21" customHeight="1">
      <c r="A726" s="20" t="str">
        <f t="shared" si="12"/>
        <v/>
      </c>
      <c r="B726" s="21"/>
      <c r="C726" s="20" t="str">
        <f>IF(B726="","",IF(COUNTIF('04_Pinjaman'!$A$5:$A$1004,B726)=0,"NO PINJAMAN TIDAK DITEMUKAN",INDEX('04_Pinjaman'!$B$5:$B$1004,MATCH(B726,'04_Pinjaman'!$A$5:$A$1004,0))))</f>
        <v/>
      </c>
      <c r="D726" s="20" t="str">
        <f>IF(B726="","",IF(COUNTIF('04_Pinjaman'!$A$5:$A$1004,B726)=0,"NPP TIDAK DITEMUKAN",INDEX('04_Pinjaman'!$C$5:$C$1004,MATCH(B726,'04_Pinjaman'!$A$5:$A$1004,0))))</f>
        <v/>
      </c>
      <c r="E726" s="22"/>
      <c r="F726" s="23"/>
      <c r="G726" s="21"/>
    </row>
    <row r="727" spans="1:7" ht="21" customHeight="1">
      <c r="A727" s="20" t="str">
        <f t="shared" si="12"/>
        <v/>
      </c>
      <c r="B727" s="21"/>
      <c r="C727" s="20" t="str">
        <f>IF(B727="","",IF(COUNTIF('04_Pinjaman'!$A$5:$A$1004,B727)=0,"NO PINJAMAN TIDAK DITEMUKAN",INDEX('04_Pinjaman'!$B$5:$B$1004,MATCH(B727,'04_Pinjaman'!$A$5:$A$1004,0))))</f>
        <v/>
      </c>
      <c r="D727" s="20" t="str">
        <f>IF(B727="","",IF(COUNTIF('04_Pinjaman'!$A$5:$A$1004,B727)=0,"NPP TIDAK DITEMUKAN",INDEX('04_Pinjaman'!$C$5:$C$1004,MATCH(B727,'04_Pinjaman'!$A$5:$A$1004,0))))</f>
        <v/>
      </c>
      <c r="E727" s="22"/>
      <c r="F727" s="23"/>
      <c r="G727" s="21"/>
    </row>
    <row r="728" spans="1:7" ht="21" customHeight="1">
      <c r="A728" s="20" t="str">
        <f t="shared" si="12"/>
        <v/>
      </c>
      <c r="B728" s="21"/>
      <c r="C728" s="20" t="str">
        <f>IF(B728="","",IF(COUNTIF('04_Pinjaman'!$A$5:$A$1004,B728)=0,"NO PINJAMAN TIDAK DITEMUKAN",INDEX('04_Pinjaman'!$B$5:$B$1004,MATCH(B728,'04_Pinjaman'!$A$5:$A$1004,0))))</f>
        <v/>
      </c>
      <c r="D728" s="20" t="str">
        <f>IF(B728="","",IF(COUNTIF('04_Pinjaman'!$A$5:$A$1004,B728)=0,"NPP TIDAK DITEMUKAN",INDEX('04_Pinjaman'!$C$5:$C$1004,MATCH(B728,'04_Pinjaman'!$A$5:$A$1004,0))))</f>
        <v/>
      </c>
      <c r="E728" s="22"/>
      <c r="F728" s="23"/>
      <c r="G728" s="21"/>
    </row>
    <row r="729" spans="1:7" ht="21" customHeight="1">
      <c r="A729" s="20" t="str">
        <f t="shared" si="12"/>
        <v/>
      </c>
      <c r="B729" s="21"/>
      <c r="C729" s="20" t="str">
        <f>IF(B729="","",IF(COUNTIF('04_Pinjaman'!$A$5:$A$1004,B729)=0,"NO PINJAMAN TIDAK DITEMUKAN",INDEX('04_Pinjaman'!$B$5:$B$1004,MATCH(B729,'04_Pinjaman'!$A$5:$A$1004,0))))</f>
        <v/>
      </c>
      <c r="D729" s="20" t="str">
        <f>IF(B729="","",IF(COUNTIF('04_Pinjaman'!$A$5:$A$1004,B729)=0,"NPP TIDAK DITEMUKAN",INDEX('04_Pinjaman'!$C$5:$C$1004,MATCH(B729,'04_Pinjaman'!$A$5:$A$1004,0))))</f>
        <v/>
      </c>
      <c r="E729" s="22"/>
      <c r="F729" s="23"/>
      <c r="G729" s="21"/>
    </row>
    <row r="730" spans="1:7" ht="21" customHeight="1">
      <c r="A730" s="20" t="str">
        <f t="shared" si="12"/>
        <v/>
      </c>
      <c r="B730" s="21"/>
      <c r="C730" s="20" t="str">
        <f>IF(B730="","",IF(COUNTIF('04_Pinjaman'!$A$5:$A$1004,B730)=0,"NO PINJAMAN TIDAK DITEMUKAN",INDEX('04_Pinjaman'!$B$5:$B$1004,MATCH(B730,'04_Pinjaman'!$A$5:$A$1004,0))))</f>
        <v/>
      </c>
      <c r="D730" s="20" t="str">
        <f>IF(B730="","",IF(COUNTIF('04_Pinjaman'!$A$5:$A$1004,B730)=0,"NPP TIDAK DITEMUKAN",INDEX('04_Pinjaman'!$C$5:$C$1004,MATCH(B730,'04_Pinjaman'!$A$5:$A$1004,0))))</f>
        <v/>
      </c>
      <c r="E730" s="22"/>
      <c r="F730" s="23"/>
      <c r="G730" s="21"/>
    </row>
    <row r="731" spans="1:7" ht="21" customHeight="1">
      <c r="A731" s="20" t="str">
        <f t="shared" si="12"/>
        <v/>
      </c>
      <c r="B731" s="21"/>
      <c r="C731" s="20" t="str">
        <f>IF(B731="","",IF(COUNTIF('04_Pinjaman'!$A$5:$A$1004,B731)=0,"NO PINJAMAN TIDAK DITEMUKAN",INDEX('04_Pinjaman'!$B$5:$B$1004,MATCH(B731,'04_Pinjaman'!$A$5:$A$1004,0))))</f>
        <v/>
      </c>
      <c r="D731" s="20" t="str">
        <f>IF(B731="","",IF(COUNTIF('04_Pinjaman'!$A$5:$A$1004,B731)=0,"NPP TIDAK DITEMUKAN",INDEX('04_Pinjaman'!$C$5:$C$1004,MATCH(B731,'04_Pinjaman'!$A$5:$A$1004,0))))</f>
        <v/>
      </c>
      <c r="E731" s="22"/>
      <c r="F731" s="23"/>
      <c r="G731" s="21"/>
    </row>
    <row r="732" spans="1:7" ht="21" customHeight="1">
      <c r="A732" s="20" t="str">
        <f t="shared" si="12"/>
        <v/>
      </c>
      <c r="B732" s="21"/>
      <c r="C732" s="20" t="str">
        <f>IF(B732="","",IF(COUNTIF('04_Pinjaman'!$A$5:$A$1004,B732)=0,"NO PINJAMAN TIDAK DITEMUKAN",INDEX('04_Pinjaman'!$B$5:$B$1004,MATCH(B732,'04_Pinjaman'!$A$5:$A$1004,0))))</f>
        <v/>
      </c>
      <c r="D732" s="20" t="str">
        <f>IF(B732="","",IF(COUNTIF('04_Pinjaman'!$A$5:$A$1004,B732)=0,"NPP TIDAK DITEMUKAN",INDEX('04_Pinjaman'!$C$5:$C$1004,MATCH(B732,'04_Pinjaman'!$A$5:$A$1004,0))))</f>
        <v/>
      </c>
      <c r="E732" s="22"/>
      <c r="F732" s="23"/>
      <c r="G732" s="21"/>
    </row>
    <row r="733" spans="1:7" ht="21" customHeight="1">
      <c r="A733" s="20" t="str">
        <f t="shared" si="12"/>
        <v/>
      </c>
      <c r="B733" s="21"/>
      <c r="C733" s="20" t="str">
        <f>IF(B733="","",IF(COUNTIF('04_Pinjaman'!$A$5:$A$1004,B733)=0,"NO PINJAMAN TIDAK DITEMUKAN",INDEX('04_Pinjaman'!$B$5:$B$1004,MATCH(B733,'04_Pinjaman'!$A$5:$A$1004,0))))</f>
        <v/>
      </c>
      <c r="D733" s="20" t="str">
        <f>IF(B733="","",IF(COUNTIF('04_Pinjaman'!$A$5:$A$1004,B733)=0,"NPP TIDAK DITEMUKAN",INDEX('04_Pinjaman'!$C$5:$C$1004,MATCH(B733,'04_Pinjaman'!$A$5:$A$1004,0))))</f>
        <v/>
      </c>
      <c r="E733" s="22"/>
      <c r="F733" s="23"/>
      <c r="G733" s="21"/>
    </row>
    <row r="734" spans="1:7" ht="21" customHeight="1">
      <c r="A734" s="20" t="str">
        <f t="shared" si="12"/>
        <v/>
      </c>
      <c r="B734" s="21"/>
      <c r="C734" s="20" t="str">
        <f>IF(B734="","",IF(COUNTIF('04_Pinjaman'!$A$5:$A$1004,B734)=0,"NO PINJAMAN TIDAK DITEMUKAN",INDEX('04_Pinjaman'!$B$5:$B$1004,MATCH(B734,'04_Pinjaman'!$A$5:$A$1004,0))))</f>
        <v/>
      </c>
      <c r="D734" s="20" t="str">
        <f>IF(B734="","",IF(COUNTIF('04_Pinjaman'!$A$5:$A$1004,B734)=0,"NPP TIDAK DITEMUKAN",INDEX('04_Pinjaman'!$C$5:$C$1004,MATCH(B734,'04_Pinjaman'!$A$5:$A$1004,0))))</f>
        <v/>
      </c>
      <c r="E734" s="22"/>
      <c r="F734" s="23"/>
      <c r="G734" s="21"/>
    </row>
    <row r="735" spans="1:7" ht="21" customHeight="1">
      <c r="A735" s="20" t="str">
        <f t="shared" si="12"/>
        <v/>
      </c>
      <c r="B735" s="21"/>
      <c r="C735" s="20" t="str">
        <f>IF(B735="","",IF(COUNTIF('04_Pinjaman'!$A$5:$A$1004,B735)=0,"NO PINJAMAN TIDAK DITEMUKAN",INDEX('04_Pinjaman'!$B$5:$B$1004,MATCH(B735,'04_Pinjaman'!$A$5:$A$1004,0))))</f>
        <v/>
      </c>
      <c r="D735" s="20" t="str">
        <f>IF(B735="","",IF(COUNTIF('04_Pinjaman'!$A$5:$A$1004,B735)=0,"NPP TIDAK DITEMUKAN",INDEX('04_Pinjaman'!$C$5:$C$1004,MATCH(B735,'04_Pinjaman'!$A$5:$A$1004,0))))</f>
        <v/>
      </c>
      <c r="E735" s="22"/>
      <c r="F735" s="23"/>
      <c r="G735" s="21"/>
    </row>
    <row r="736" spans="1:7" ht="21" customHeight="1">
      <c r="A736" s="20" t="str">
        <f t="shared" si="12"/>
        <v/>
      </c>
      <c r="B736" s="21"/>
      <c r="C736" s="20" t="str">
        <f>IF(B736="","",IF(COUNTIF('04_Pinjaman'!$A$5:$A$1004,B736)=0,"NO PINJAMAN TIDAK DITEMUKAN",INDEX('04_Pinjaman'!$B$5:$B$1004,MATCH(B736,'04_Pinjaman'!$A$5:$A$1004,0))))</f>
        <v/>
      </c>
      <c r="D736" s="20" t="str">
        <f>IF(B736="","",IF(COUNTIF('04_Pinjaman'!$A$5:$A$1004,B736)=0,"NPP TIDAK DITEMUKAN",INDEX('04_Pinjaman'!$C$5:$C$1004,MATCH(B736,'04_Pinjaman'!$A$5:$A$1004,0))))</f>
        <v/>
      </c>
      <c r="E736" s="22"/>
      <c r="F736" s="23"/>
      <c r="G736" s="21"/>
    </row>
    <row r="737" spans="1:7" ht="21" customHeight="1">
      <c r="A737" s="20" t="str">
        <f t="shared" si="12"/>
        <v/>
      </c>
      <c r="B737" s="21"/>
      <c r="C737" s="20" t="str">
        <f>IF(B737="","",IF(COUNTIF('04_Pinjaman'!$A$5:$A$1004,B737)=0,"NO PINJAMAN TIDAK DITEMUKAN",INDEX('04_Pinjaman'!$B$5:$B$1004,MATCH(B737,'04_Pinjaman'!$A$5:$A$1004,0))))</f>
        <v/>
      </c>
      <c r="D737" s="20" t="str">
        <f>IF(B737="","",IF(COUNTIF('04_Pinjaman'!$A$5:$A$1004,B737)=0,"NPP TIDAK DITEMUKAN",INDEX('04_Pinjaman'!$C$5:$C$1004,MATCH(B737,'04_Pinjaman'!$A$5:$A$1004,0))))</f>
        <v/>
      </c>
      <c r="E737" s="22"/>
      <c r="F737" s="23"/>
      <c r="G737" s="21"/>
    </row>
    <row r="738" spans="1:7" ht="21" customHeight="1">
      <c r="A738" s="20" t="str">
        <f t="shared" si="12"/>
        <v/>
      </c>
      <c r="B738" s="21"/>
      <c r="C738" s="20" t="str">
        <f>IF(B738="","",IF(COUNTIF('04_Pinjaman'!$A$5:$A$1004,B738)=0,"NO PINJAMAN TIDAK DITEMUKAN",INDEX('04_Pinjaman'!$B$5:$B$1004,MATCH(B738,'04_Pinjaman'!$A$5:$A$1004,0))))</f>
        <v/>
      </c>
      <c r="D738" s="20" t="str">
        <f>IF(B738="","",IF(COUNTIF('04_Pinjaman'!$A$5:$A$1004,B738)=0,"NPP TIDAK DITEMUKAN",INDEX('04_Pinjaman'!$C$5:$C$1004,MATCH(B738,'04_Pinjaman'!$A$5:$A$1004,0))))</f>
        <v/>
      </c>
      <c r="E738" s="22"/>
      <c r="F738" s="23"/>
      <c r="G738" s="21"/>
    </row>
    <row r="739" spans="1:7" ht="21" customHeight="1">
      <c r="A739" s="20" t="str">
        <f t="shared" si="12"/>
        <v/>
      </c>
      <c r="B739" s="21"/>
      <c r="C739" s="20" t="str">
        <f>IF(B739="","",IF(COUNTIF('04_Pinjaman'!$A$5:$A$1004,B739)=0,"NO PINJAMAN TIDAK DITEMUKAN",INDEX('04_Pinjaman'!$B$5:$B$1004,MATCH(B739,'04_Pinjaman'!$A$5:$A$1004,0))))</f>
        <v/>
      </c>
      <c r="D739" s="20" t="str">
        <f>IF(B739="","",IF(COUNTIF('04_Pinjaman'!$A$5:$A$1004,B739)=0,"NPP TIDAK DITEMUKAN",INDEX('04_Pinjaman'!$C$5:$C$1004,MATCH(B739,'04_Pinjaman'!$A$5:$A$1004,0))))</f>
        <v/>
      </c>
      <c r="E739" s="22"/>
      <c r="F739" s="23"/>
      <c r="G739" s="21"/>
    </row>
    <row r="740" spans="1:7" ht="21" customHeight="1">
      <c r="A740" s="20" t="str">
        <f t="shared" si="12"/>
        <v/>
      </c>
      <c r="B740" s="21"/>
      <c r="C740" s="20" t="str">
        <f>IF(B740="","",IF(COUNTIF('04_Pinjaman'!$A$5:$A$1004,B740)=0,"NO PINJAMAN TIDAK DITEMUKAN",INDEX('04_Pinjaman'!$B$5:$B$1004,MATCH(B740,'04_Pinjaman'!$A$5:$A$1004,0))))</f>
        <v/>
      </c>
      <c r="D740" s="20" t="str">
        <f>IF(B740="","",IF(COUNTIF('04_Pinjaman'!$A$5:$A$1004,B740)=0,"NPP TIDAK DITEMUKAN",INDEX('04_Pinjaman'!$C$5:$C$1004,MATCH(B740,'04_Pinjaman'!$A$5:$A$1004,0))))</f>
        <v/>
      </c>
      <c r="E740" s="22"/>
      <c r="F740" s="23"/>
      <c r="G740" s="21"/>
    </row>
    <row r="741" spans="1:7" ht="21" customHeight="1">
      <c r="A741" s="20" t="str">
        <f t="shared" si="12"/>
        <v/>
      </c>
      <c r="B741" s="21"/>
      <c r="C741" s="20" t="str">
        <f>IF(B741="","",IF(COUNTIF('04_Pinjaman'!$A$5:$A$1004,B741)=0,"NO PINJAMAN TIDAK DITEMUKAN",INDEX('04_Pinjaman'!$B$5:$B$1004,MATCH(B741,'04_Pinjaman'!$A$5:$A$1004,0))))</f>
        <v/>
      </c>
      <c r="D741" s="20" t="str">
        <f>IF(B741="","",IF(COUNTIF('04_Pinjaman'!$A$5:$A$1004,B741)=0,"NPP TIDAK DITEMUKAN",INDEX('04_Pinjaman'!$C$5:$C$1004,MATCH(B741,'04_Pinjaman'!$A$5:$A$1004,0))))</f>
        <v/>
      </c>
      <c r="E741" s="22"/>
      <c r="F741" s="23"/>
      <c r="G741" s="21"/>
    </row>
    <row r="742" spans="1:7" ht="21" customHeight="1">
      <c r="A742" s="20" t="str">
        <f t="shared" si="12"/>
        <v/>
      </c>
      <c r="B742" s="21"/>
      <c r="C742" s="20" t="str">
        <f>IF(B742="","",IF(COUNTIF('04_Pinjaman'!$A$5:$A$1004,B742)=0,"NO PINJAMAN TIDAK DITEMUKAN",INDEX('04_Pinjaman'!$B$5:$B$1004,MATCH(B742,'04_Pinjaman'!$A$5:$A$1004,0))))</f>
        <v/>
      </c>
      <c r="D742" s="20" t="str">
        <f>IF(B742="","",IF(COUNTIF('04_Pinjaman'!$A$5:$A$1004,B742)=0,"NPP TIDAK DITEMUKAN",INDEX('04_Pinjaman'!$C$5:$C$1004,MATCH(B742,'04_Pinjaman'!$A$5:$A$1004,0))))</f>
        <v/>
      </c>
      <c r="E742" s="22"/>
      <c r="F742" s="23"/>
      <c r="G742" s="21"/>
    </row>
    <row r="743" spans="1:7" ht="21" customHeight="1">
      <c r="A743" s="20" t="str">
        <f t="shared" si="12"/>
        <v/>
      </c>
      <c r="B743" s="21"/>
      <c r="C743" s="20" t="str">
        <f>IF(B743="","",IF(COUNTIF('04_Pinjaman'!$A$5:$A$1004,B743)=0,"NO PINJAMAN TIDAK DITEMUKAN",INDEX('04_Pinjaman'!$B$5:$B$1004,MATCH(B743,'04_Pinjaman'!$A$5:$A$1004,0))))</f>
        <v/>
      </c>
      <c r="D743" s="20" t="str">
        <f>IF(B743="","",IF(COUNTIF('04_Pinjaman'!$A$5:$A$1004,B743)=0,"NPP TIDAK DITEMUKAN",INDEX('04_Pinjaman'!$C$5:$C$1004,MATCH(B743,'04_Pinjaman'!$A$5:$A$1004,0))))</f>
        <v/>
      </c>
      <c r="E743" s="22"/>
      <c r="F743" s="23"/>
      <c r="G743" s="21"/>
    </row>
    <row r="744" spans="1:7" ht="21" customHeight="1">
      <c r="A744" s="20" t="str">
        <f t="shared" si="12"/>
        <v/>
      </c>
      <c r="B744" s="21"/>
      <c r="C744" s="20" t="str">
        <f>IF(B744="","",IF(COUNTIF('04_Pinjaman'!$A$5:$A$1004,B744)=0,"NO PINJAMAN TIDAK DITEMUKAN",INDEX('04_Pinjaman'!$B$5:$B$1004,MATCH(B744,'04_Pinjaman'!$A$5:$A$1004,0))))</f>
        <v/>
      </c>
      <c r="D744" s="20" t="str">
        <f>IF(B744="","",IF(COUNTIF('04_Pinjaman'!$A$5:$A$1004,B744)=0,"NPP TIDAK DITEMUKAN",INDEX('04_Pinjaman'!$C$5:$C$1004,MATCH(B744,'04_Pinjaman'!$A$5:$A$1004,0))))</f>
        <v/>
      </c>
      <c r="E744" s="22"/>
      <c r="F744" s="23"/>
      <c r="G744" s="21"/>
    </row>
    <row r="745" spans="1:7" ht="21" customHeight="1">
      <c r="A745" s="20" t="str">
        <f t="shared" si="12"/>
        <v/>
      </c>
      <c r="B745" s="21"/>
      <c r="C745" s="20" t="str">
        <f>IF(B745="","",IF(COUNTIF('04_Pinjaman'!$A$5:$A$1004,B745)=0,"NO PINJAMAN TIDAK DITEMUKAN",INDEX('04_Pinjaman'!$B$5:$B$1004,MATCH(B745,'04_Pinjaman'!$A$5:$A$1004,0))))</f>
        <v/>
      </c>
      <c r="D745" s="20" t="str">
        <f>IF(B745="","",IF(COUNTIF('04_Pinjaman'!$A$5:$A$1004,B745)=0,"NPP TIDAK DITEMUKAN",INDEX('04_Pinjaman'!$C$5:$C$1004,MATCH(B745,'04_Pinjaman'!$A$5:$A$1004,0))))</f>
        <v/>
      </c>
      <c r="E745" s="22"/>
      <c r="F745" s="23"/>
      <c r="G745" s="21"/>
    </row>
    <row r="746" spans="1:7" ht="21" customHeight="1">
      <c r="A746" s="20" t="str">
        <f t="shared" si="12"/>
        <v/>
      </c>
      <c r="B746" s="21"/>
      <c r="C746" s="20" t="str">
        <f>IF(B746="","",IF(COUNTIF('04_Pinjaman'!$A$5:$A$1004,B746)=0,"NO PINJAMAN TIDAK DITEMUKAN",INDEX('04_Pinjaman'!$B$5:$B$1004,MATCH(B746,'04_Pinjaman'!$A$5:$A$1004,0))))</f>
        <v/>
      </c>
      <c r="D746" s="20" t="str">
        <f>IF(B746="","",IF(COUNTIF('04_Pinjaman'!$A$5:$A$1004,B746)=0,"NPP TIDAK DITEMUKAN",INDEX('04_Pinjaman'!$C$5:$C$1004,MATCH(B746,'04_Pinjaman'!$A$5:$A$1004,0))))</f>
        <v/>
      </c>
      <c r="E746" s="22"/>
      <c r="F746" s="23"/>
      <c r="G746" s="21"/>
    </row>
    <row r="747" spans="1:7" ht="21" customHeight="1">
      <c r="A747" s="20" t="str">
        <f t="shared" si="12"/>
        <v/>
      </c>
      <c r="B747" s="21"/>
      <c r="C747" s="20" t="str">
        <f>IF(B747="","",IF(COUNTIF('04_Pinjaman'!$A$5:$A$1004,B747)=0,"NO PINJAMAN TIDAK DITEMUKAN",INDEX('04_Pinjaman'!$B$5:$B$1004,MATCH(B747,'04_Pinjaman'!$A$5:$A$1004,0))))</f>
        <v/>
      </c>
      <c r="D747" s="20" t="str">
        <f>IF(B747="","",IF(COUNTIF('04_Pinjaman'!$A$5:$A$1004,B747)=0,"NPP TIDAK DITEMUKAN",INDEX('04_Pinjaman'!$C$5:$C$1004,MATCH(B747,'04_Pinjaman'!$A$5:$A$1004,0))))</f>
        <v/>
      </c>
      <c r="E747" s="22"/>
      <c r="F747" s="23"/>
      <c r="G747" s="21"/>
    </row>
    <row r="748" spans="1:7" ht="21" customHeight="1">
      <c r="A748" s="20" t="str">
        <f t="shared" si="12"/>
        <v/>
      </c>
      <c r="B748" s="21"/>
      <c r="C748" s="20" t="str">
        <f>IF(B748="","",IF(COUNTIF('04_Pinjaman'!$A$5:$A$1004,B748)=0,"NO PINJAMAN TIDAK DITEMUKAN",INDEX('04_Pinjaman'!$B$5:$B$1004,MATCH(B748,'04_Pinjaman'!$A$5:$A$1004,0))))</f>
        <v/>
      </c>
      <c r="D748" s="20" t="str">
        <f>IF(B748="","",IF(COUNTIF('04_Pinjaman'!$A$5:$A$1004,B748)=0,"NPP TIDAK DITEMUKAN",INDEX('04_Pinjaman'!$C$5:$C$1004,MATCH(B748,'04_Pinjaman'!$A$5:$A$1004,0))))</f>
        <v/>
      </c>
      <c r="E748" s="22"/>
      <c r="F748" s="23"/>
      <c r="G748" s="21"/>
    </row>
    <row r="749" spans="1:7" ht="21" customHeight="1">
      <c r="A749" s="20" t="str">
        <f t="shared" si="12"/>
        <v/>
      </c>
      <c r="B749" s="21"/>
      <c r="C749" s="20" t="str">
        <f>IF(B749="","",IF(COUNTIF('04_Pinjaman'!$A$5:$A$1004,B749)=0,"NO PINJAMAN TIDAK DITEMUKAN",INDEX('04_Pinjaman'!$B$5:$B$1004,MATCH(B749,'04_Pinjaman'!$A$5:$A$1004,0))))</f>
        <v/>
      </c>
      <c r="D749" s="20" t="str">
        <f>IF(B749="","",IF(COUNTIF('04_Pinjaman'!$A$5:$A$1004,B749)=0,"NPP TIDAK DITEMUKAN",INDEX('04_Pinjaman'!$C$5:$C$1004,MATCH(B749,'04_Pinjaman'!$A$5:$A$1004,0))))</f>
        <v/>
      </c>
      <c r="E749" s="22"/>
      <c r="F749" s="23"/>
      <c r="G749" s="21"/>
    </row>
    <row r="750" spans="1:7" ht="21" customHeight="1">
      <c r="A750" s="20" t="str">
        <f t="shared" si="12"/>
        <v/>
      </c>
      <c r="B750" s="21"/>
      <c r="C750" s="20" t="str">
        <f>IF(B750="","",IF(COUNTIF('04_Pinjaman'!$A$5:$A$1004,B750)=0,"NO PINJAMAN TIDAK DITEMUKAN",INDEX('04_Pinjaman'!$B$5:$B$1004,MATCH(B750,'04_Pinjaman'!$A$5:$A$1004,0))))</f>
        <v/>
      </c>
      <c r="D750" s="20" t="str">
        <f>IF(B750="","",IF(COUNTIF('04_Pinjaman'!$A$5:$A$1004,B750)=0,"NPP TIDAK DITEMUKAN",INDEX('04_Pinjaman'!$C$5:$C$1004,MATCH(B750,'04_Pinjaman'!$A$5:$A$1004,0))))</f>
        <v/>
      </c>
      <c r="E750" s="22"/>
      <c r="F750" s="23"/>
      <c r="G750" s="21"/>
    </row>
    <row r="751" spans="1:7" ht="21" customHeight="1">
      <c r="A751" s="20" t="str">
        <f t="shared" si="12"/>
        <v/>
      </c>
      <c r="B751" s="21"/>
      <c r="C751" s="20" t="str">
        <f>IF(B751="","",IF(COUNTIF('04_Pinjaman'!$A$5:$A$1004,B751)=0,"NO PINJAMAN TIDAK DITEMUKAN",INDEX('04_Pinjaman'!$B$5:$B$1004,MATCH(B751,'04_Pinjaman'!$A$5:$A$1004,0))))</f>
        <v/>
      </c>
      <c r="D751" s="20" t="str">
        <f>IF(B751="","",IF(COUNTIF('04_Pinjaman'!$A$5:$A$1004,B751)=0,"NPP TIDAK DITEMUKAN",INDEX('04_Pinjaman'!$C$5:$C$1004,MATCH(B751,'04_Pinjaman'!$A$5:$A$1004,0))))</f>
        <v/>
      </c>
      <c r="E751" s="22"/>
      <c r="F751" s="23"/>
      <c r="G751" s="21"/>
    </row>
    <row r="752" spans="1:7" ht="21" customHeight="1">
      <c r="A752" s="20" t="str">
        <f t="shared" si="12"/>
        <v/>
      </c>
      <c r="B752" s="21"/>
      <c r="C752" s="20" t="str">
        <f>IF(B752="","",IF(COUNTIF('04_Pinjaman'!$A$5:$A$1004,B752)=0,"NO PINJAMAN TIDAK DITEMUKAN",INDEX('04_Pinjaman'!$B$5:$B$1004,MATCH(B752,'04_Pinjaman'!$A$5:$A$1004,0))))</f>
        <v/>
      </c>
      <c r="D752" s="20" t="str">
        <f>IF(B752="","",IF(COUNTIF('04_Pinjaman'!$A$5:$A$1004,B752)=0,"NPP TIDAK DITEMUKAN",INDEX('04_Pinjaman'!$C$5:$C$1004,MATCH(B752,'04_Pinjaman'!$A$5:$A$1004,0))))</f>
        <v/>
      </c>
      <c r="E752" s="22"/>
      <c r="F752" s="23"/>
      <c r="G752" s="21"/>
    </row>
    <row r="753" spans="1:7" ht="21" customHeight="1">
      <c r="A753" s="20" t="str">
        <f t="shared" si="12"/>
        <v/>
      </c>
      <c r="B753" s="21"/>
      <c r="C753" s="20" t="str">
        <f>IF(B753="","",IF(COUNTIF('04_Pinjaman'!$A$5:$A$1004,B753)=0,"NO PINJAMAN TIDAK DITEMUKAN",INDEX('04_Pinjaman'!$B$5:$B$1004,MATCH(B753,'04_Pinjaman'!$A$5:$A$1004,0))))</f>
        <v/>
      </c>
      <c r="D753" s="20" t="str">
        <f>IF(B753="","",IF(COUNTIF('04_Pinjaman'!$A$5:$A$1004,B753)=0,"NPP TIDAK DITEMUKAN",INDEX('04_Pinjaman'!$C$5:$C$1004,MATCH(B753,'04_Pinjaman'!$A$5:$A$1004,0))))</f>
        <v/>
      </c>
      <c r="E753" s="22"/>
      <c r="F753" s="23"/>
      <c r="G753" s="21"/>
    </row>
    <row r="754" spans="1:7" ht="21" customHeight="1">
      <c r="A754" s="20" t="str">
        <f t="shared" si="12"/>
        <v/>
      </c>
      <c r="B754" s="21"/>
      <c r="C754" s="20" t="str">
        <f>IF(B754="","",IF(COUNTIF('04_Pinjaman'!$A$5:$A$1004,B754)=0,"NO PINJAMAN TIDAK DITEMUKAN",INDEX('04_Pinjaman'!$B$5:$B$1004,MATCH(B754,'04_Pinjaman'!$A$5:$A$1004,0))))</f>
        <v/>
      </c>
      <c r="D754" s="20" t="str">
        <f>IF(B754="","",IF(COUNTIF('04_Pinjaman'!$A$5:$A$1004,B754)=0,"NPP TIDAK DITEMUKAN",INDEX('04_Pinjaman'!$C$5:$C$1004,MATCH(B754,'04_Pinjaman'!$A$5:$A$1004,0))))</f>
        <v/>
      </c>
      <c r="E754" s="22"/>
      <c r="F754" s="23"/>
      <c r="G754" s="21"/>
    </row>
    <row r="755" spans="1:7" ht="21" customHeight="1">
      <c r="A755" s="20" t="str">
        <f t="shared" si="12"/>
        <v/>
      </c>
      <c r="B755" s="21"/>
      <c r="C755" s="20" t="str">
        <f>IF(B755="","",IF(COUNTIF('04_Pinjaman'!$A$5:$A$1004,B755)=0,"NO PINJAMAN TIDAK DITEMUKAN",INDEX('04_Pinjaman'!$B$5:$B$1004,MATCH(B755,'04_Pinjaman'!$A$5:$A$1004,0))))</f>
        <v/>
      </c>
      <c r="D755" s="20" t="str">
        <f>IF(B755="","",IF(COUNTIF('04_Pinjaman'!$A$5:$A$1004,B755)=0,"NPP TIDAK DITEMUKAN",INDEX('04_Pinjaman'!$C$5:$C$1004,MATCH(B755,'04_Pinjaman'!$A$5:$A$1004,0))))</f>
        <v/>
      </c>
      <c r="E755" s="22"/>
      <c r="F755" s="23"/>
      <c r="G755" s="21"/>
    </row>
    <row r="756" spans="1:7" ht="21" customHeight="1">
      <c r="A756" s="20" t="str">
        <f t="shared" si="12"/>
        <v/>
      </c>
      <c r="B756" s="21"/>
      <c r="C756" s="20" t="str">
        <f>IF(B756="","",IF(COUNTIF('04_Pinjaman'!$A$5:$A$1004,B756)=0,"NO PINJAMAN TIDAK DITEMUKAN",INDEX('04_Pinjaman'!$B$5:$B$1004,MATCH(B756,'04_Pinjaman'!$A$5:$A$1004,0))))</f>
        <v/>
      </c>
      <c r="D756" s="20" t="str">
        <f>IF(B756="","",IF(COUNTIF('04_Pinjaman'!$A$5:$A$1004,B756)=0,"NPP TIDAK DITEMUKAN",INDEX('04_Pinjaman'!$C$5:$C$1004,MATCH(B756,'04_Pinjaman'!$A$5:$A$1004,0))))</f>
        <v/>
      </c>
      <c r="E756" s="22"/>
      <c r="F756" s="23"/>
      <c r="G756" s="21"/>
    </row>
    <row r="757" spans="1:7" ht="21" customHeight="1">
      <c r="A757" s="20" t="str">
        <f t="shared" si="12"/>
        <v/>
      </c>
      <c r="B757" s="21"/>
      <c r="C757" s="20" t="str">
        <f>IF(B757="","",IF(COUNTIF('04_Pinjaman'!$A$5:$A$1004,B757)=0,"NO PINJAMAN TIDAK DITEMUKAN",INDEX('04_Pinjaman'!$B$5:$B$1004,MATCH(B757,'04_Pinjaman'!$A$5:$A$1004,0))))</f>
        <v/>
      </c>
      <c r="D757" s="20" t="str">
        <f>IF(B757="","",IF(COUNTIF('04_Pinjaman'!$A$5:$A$1004,B757)=0,"NPP TIDAK DITEMUKAN",INDEX('04_Pinjaman'!$C$5:$C$1004,MATCH(B757,'04_Pinjaman'!$A$5:$A$1004,0))))</f>
        <v/>
      </c>
      <c r="E757" s="22"/>
      <c r="F757" s="23"/>
      <c r="G757" s="21"/>
    </row>
    <row r="758" spans="1:7" ht="21" customHeight="1">
      <c r="A758" s="20" t="str">
        <f t="shared" si="12"/>
        <v/>
      </c>
      <c r="B758" s="21"/>
      <c r="C758" s="20" t="str">
        <f>IF(B758="","",IF(COUNTIF('04_Pinjaman'!$A$5:$A$1004,B758)=0,"NO PINJAMAN TIDAK DITEMUKAN",INDEX('04_Pinjaman'!$B$5:$B$1004,MATCH(B758,'04_Pinjaman'!$A$5:$A$1004,0))))</f>
        <v/>
      </c>
      <c r="D758" s="20" t="str">
        <f>IF(B758="","",IF(COUNTIF('04_Pinjaman'!$A$5:$A$1004,B758)=0,"NPP TIDAK DITEMUKAN",INDEX('04_Pinjaman'!$C$5:$C$1004,MATCH(B758,'04_Pinjaman'!$A$5:$A$1004,0))))</f>
        <v/>
      </c>
      <c r="E758" s="22"/>
      <c r="F758" s="23"/>
      <c r="G758" s="21"/>
    </row>
    <row r="759" spans="1:7" ht="21" customHeight="1">
      <c r="A759" s="20" t="str">
        <f t="shared" si="12"/>
        <v/>
      </c>
      <c r="B759" s="21"/>
      <c r="C759" s="20" t="str">
        <f>IF(B759="","",IF(COUNTIF('04_Pinjaman'!$A$5:$A$1004,B759)=0,"NO PINJAMAN TIDAK DITEMUKAN",INDEX('04_Pinjaman'!$B$5:$B$1004,MATCH(B759,'04_Pinjaman'!$A$5:$A$1004,0))))</f>
        <v/>
      </c>
      <c r="D759" s="20" t="str">
        <f>IF(B759="","",IF(COUNTIF('04_Pinjaman'!$A$5:$A$1004,B759)=0,"NPP TIDAK DITEMUKAN",INDEX('04_Pinjaman'!$C$5:$C$1004,MATCH(B759,'04_Pinjaman'!$A$5:$A$1004,0))))</f>
        <v/>
      </c>
      <c r="E759" s="22"/>
      <c r="F759" s="23"/>
      <c r="G759" s="21"/>
    </row>
    <row r="760" spans="1:7" ht="21" customHeight="1">
      <c r="A760" s="20" t="str">
        <f t="shared" si="12"/>
        <v/>
      </c>
      <c r="B760" s="21"/>
      <c r="C760" s="20" t="str">
        <f>IF(B760="","",IF(COUNTIF('04_Pinjaman'!$A$5:$A$1004,B760)=0,"NO PINJAMAN TIDAK DITEMUKAN",INDEX('04_Pinjaman'!$B$5:$B$1004,MATCH(B760,'04_Pinjaman'!$A$5:$A$1004,0))))</f>
        <v/>
      </c>
      <c r="D760" s="20" t="str">
        <f>IF(B760="","",IF(COUNTIF('04_Pinjaman'!$A$5:$A$1004,B760)=0,"NPP TIDAK DITEMUKAN",INDEX('04_Pinjaman'!$C$5:$C$1004,MATCH(B760,'04_Pinjaman'!$A$5:$A$1004,0))))</f>
        <v/>
      </c>
      <c r="E760" s="22"/>
      <c r="F760" s="23"/>
      <c r="G760" s="21"/>
    </row>
    <row r="761" spans="1:7" ht="21" customHeight="1">
      <c r="A761" s="20" t="str">
        <f t="shared" si="12"/>
        <v/>
      </c>
      <c r="B761" s="21"/>
      <c r="C761" s="20" t="str">
        <f>IF(B761="","",IF(COUNTIF('04_Pinjaman'!$A$5:$A$1004,B761)=0,"NO PINJAMAN TIDAK DITEMUKAN",INDEX('04_Pinjaman'!$B$5:$B$1004,MATCH(B761,'04_Pinjaman'!$A$5:$A$1004,0))))</f>
        <v/>
      </c>
      <c r="D761" s="20" t="str">
        <f>IF(B761="","",IF(COUNTIF('04_Pinjaman'!$A$5:$A$1004,B761)=0,"NPP TIDAK DITEMUKAN",INDEX('04_Pinjaman'!$C$5:$C$1004,MATCH(B761,'04_Pinjaman'!$A$5:$A$1004,0))))</f>
        <v/>
      </c>
      <c r="E761" s="22"/>
      <c r="F761" s="23"/>
      <c r="G761" s="21"/>
    </row>
    <row r="762" spans="1:7" ht="21" customHeight="1">
      <c r="A762" s="20" t="str">
        <f t="shared" si="12"/>
        <v/>
      </c>
      <c r="B762" s="21"/>
      <c r="C762" s="20" t="str">
        <f>IF(B762="","",IF(COUNTIF('04_Pinjaman'!$A$5:$A$1004,B762)=0,"NO PINJAMAN TIDAK DITEMUKAN",INDEX('04_Pinjaman'!$B$5:$B$1004,MATCH(B762,'04_Pinjaman'!$A$5:$A$1004,0))))</f>
        <v/>
      </c>
      <c r="D762" s="20" t="str">
        <f>IF(B762="","",IF(COUNTIF('04_Pinjaman'!$A$5:$A$1004,B762)=0,"NPP TIDAK DITEMUKAN",INDEX('04_Pinjaman'!$C$5:$C$1004,MATCH(B762,'04_Pinjaman'!$A$5:$A$1004,0))))</f>
        <v/>
      </c>
      <c r="E762" s="22"/>
      <c r="F762" s="23"/>
      <c r="G762" s="21"/>
    </row>
    <row r="763" spans="1:7" ht="21" customHeight="1">
      <c r="A763" s="20" t="str">
        <f t="shared" si="12"/>
        <v/>
      </c>
      <c r="B763" s="21"/>
      <c r="C763" s="20" t="str">
        <f>IF(B763="","",IF(COUNTIF('04_Pinjaman'!$A$5:$A$1004,B763)=0,"NO PINJAMAN TIDAK DITEMUKAN",INDEX('04_Pinjaman'!$B$5:$B$1004,MATCH(B763,'04_Pinjaman'!$A$5:$A$1004,0))))</f>
        <v/>
      </c>
      <c r="D763" s="20" t="str">
        <f>IF(B763="","",IF(COUNTIF('04_Pinjaman'!$A$5:$A$1004,B763)=0,"NPP TIDAK DITEMUKAN",INDEX('04_Pinjaman'!$C$5:$C$1004,MATCH(B763,'04_Pinjaman'!$A$5:$A$1004,0))))</f>
        <v/>
      </c>
      <c r="E763" s="22"/>
      <c r="F763" s="23"/>
      <c r="G763" s="21"/>
    </row>
    <row r="764" spans="1:7" ht="21" customHeight="1">
      <c r="A764" s="20" t="str">
        <f t="shared" si="12"/>
        <v/>
      </c>
      <c r="B764" s="21"/>
      <c r="C764" s="20" t="str">
        <f>IF(B764="","",IF(COUNTIF('04_Pinjaman'!$A$5:$A$1004,B764)=0,"NO PINJAMAN TIDAK DITEMUKAN",INDEX('04_Pinjaman'!$B$5:$B$1004,MATCH(B764,'04_Pinjaman'!$A$5:$A$1004,0))))</f>
        <v/>
      </c>
      <c r="D764" s="20" t="str">
        <f>IF(B764="","",IF(COUNTIF('04_Pinjaman'!$A$5:$A$1004,B764)=0,"NPP TIDAK DITEMUKAN",INDEX('04_Pinjaman'!$C$5:$C$1004,MATCH(B764,'04_Pinjaman'!$A$5:$A$1004,0))))</f>
        <v/>
      </c>
      <c r="E764" s="22"/>
      <c r="F764" s="23"/>
      <c r="G764" s="21"/>
    </row>
    <row r="765" spans="1:7" ht="21" customHeight="1">
      <c r="A765" s="20" t="str">
        <f t="shared" si="12"/>
        <v/>
      </c>
      <c r="B765" s="21"/>
      <c r="C765" s="20" t="str">
        <f>IF(B765="","",IF(COUNTIF('04_Pinjaman'!$A$5:$A$1004,B765)=0,"NO PINJAMAN TIDAK DITEMUKAN",INDEX('04_Pinjaman'!$B$5:$B$1004,MATCH(B765,'04_Pinjaman'!$A$5:$A$1004,0))))</f>
        <v/>
      </c>
      <c r="D765" s="20" t="str">
        <f>IF(B765="","",IF(COUNTIF('04_Pinjaman'!$A$5:$A$1004,B765)=0,"NPP TIDAK DITEMUKAN",INDEX('04_Pinjaman'!$C$5:$C$1004,MATCH(B765,'04_Pinjaman'!$A$5:$A$1004,0))))</f>
        <v/>
      </c>
      <c r="E765" s="22"/>
      <c r="F765" s="23"/>
      <c r="G765" s="21"/>
    </row>
    <row r="766" spans="1:7" ht="21" customHeight="1">
      <c r="A766" s="20" t="str">
        <f t="shared" si="12"/>
        <v/>
      </c>
      <c r="B766" s="21"/>
      <c r="C766" s="20" t="str">
        <f>IF(B766="","",IF(COUNTIF('04_Pinjaman'!$A$5:$A$1004,B766)=0,"NO PINJAMAN TIDAK DITEMUKAN",INDEX('04_Pinjaman'!$B$5:$B$1004,MATCH(B766,'04_Pinjaman'!$A$5:$A$1004,0))))</f>
        <v/>
      </c>
      <c r="D766" s="20" t="str">
        <f>IF(B766="","",IF(COUNTIF('04_Pinjaman'!$A$5:$A$1004,B766)=0,"NPP TIDAK DITEMUKAN",INDEX('04_Pinjaman'!$C$5:$C$1004,MATCH(B766,'04_Pinjaman'!$A$5:$A$1004,0))))</f>
        <v/>
      </c>
      <c r="E766" s="22"/>
      <c r="F766" s="23"/>
      <c r="G766" s="21"/>
    </row>
    <row r="767" spans="1:7" ht="21" customHeight="1">
      <c r="A767" s="20" t="str">
        <f t="shared" si="12"/>
        <v/>
      </c>
      <c r="B767" s="21"/>
      <c r="C767" s="20" t="str">
        <f>IF(B767="","",IF(COUNTIF('04_Pinjaman'!$A$5:$A$1004,B767)=0,"NO PINJAMAN TIDAK DITEMUKAN",INDEX('04_Pinjaman'!$B$5:$B$1004,MATCH(B767,'04_Pinjaman'!$A$5:$A$1004,0))))</f>
        <v/>
      </c>
      <c r="D767" s="20" t="str">
        <f>IF(B767="","",IF(COUNTIF('04_Pinjaman'!$A$5:$A$1004,B767)=0,"NPP TIDAK DITEMUKAN",INDEX('04_Pinjaman'!$C$5:$C$1004,MATCH(B767,'04_Pinjaman'!$A$5:$A$1004,0))))</f>
        <v/>
      </c>
      <c r="E767" s="22"/>
      <c r="F767" s="23"/>
      <c r="G767" s="21"/>
    </row>
    <row r="768" spans="1:7" ht="21" customHeight="1">
      <c r="A768" s="20" t="str">
        <f t="shared" si="12"/>
        <v/>
      </c>
      <c r="B768" s="21"/>
      <c r="C768" s="20" t="str">
        <f>IF(B768="","",IF(COUNTIF('04_Pinjaman'!$A$5:$A$1004,B768)=0,"NO PINJAMAN TIDAK DITEMUKAN",INDEX('04_Pinjaman'!$B$5:$B$1004,MATCH(B768,'04_Pinjaman'!$A$5:$A$1004,0))))</f>
        <v/>
      </c>
      <c r="D768" s="20" t="str">
        <f>IF(B768="","",IF(COUNTIF('04_Pinjaman'!$A$5:$A$1004,B768)=0,"NPP TIDAK DITEMUKAN",INDEX('04_Pinjaman'!$C$5:$C$1004,MATCH(B768,'04_Pinjaman'!$A$5:$A$1004,0))))</f>
        <v/>
      </c>
      <c r="E768" s="22"/>
      <c r="F768" s="23"/>
      <c r="G768" s="21"/>
    </row>
    <row r="769" spans="1:7" ht="21" customHeight="1">
      <c r="A769" s="20" t="str">
        <f t="shared" si="12"/>
        <v/>
      </c>
      <c r="B769" s="21"/>
      <c r="C769" s="20" t="str">
        <f>IF(B769="","",IF(COUNTIF('04_Pinjaman'!$A$5:$A$1004,B769)=0,"NO PINJAMAN TIDAK DITEMUKAN",INDEX('04_Pinjaman'!$B$5:$B$1004,MATCH(B769,'04_Pinjaman'!$A$5:$A$1004,0))))</f>
        <v/>
      </c>
      <c r="D769" s="20" t="str">
        <f>IF(B769="","",IF(COUNTIF('04_Pinjaman'!$A$5:$A$1004,B769)=0,"NPP TIDAK DITEMUKAN",INDEX('04_Pinjaman'!$C$5:$C$1004,MATCH(B769,'04_Pinjaman'!$A$5:$A$1004,0))))</f>
        <v/>
      </c>
      <c r="E769" s="22"/>
      <c r="F769" s="23"/>
      <c r="G769" s="21"/>
    </row>
    <row r="770" spans="1:7" ht="21" customHeight="1">
      <c r="A770" s="20" t="str">
        <f t="shared" si="12"/>
        <v/>
      </c>
      <c r="B770" s="21"/>
      <c r="C770" s="20" t="str">
        <f>IF(B770="","",IF(COUNTIF('04_Pinjaman'!$A$5:$A$1004,B770)=0,"NO PINJAMAN TIDAK DITEMUKAN",INDEX('04_Pinjaman'!$B$5:$B$1004,MATCH(B770,'04_Pinjaman'!$A$5:$A$1004,0))))</f>
        <v/>
      </c>
      <c r="D770" s="20" t="str">
        <f>IF(B770="","",IF(COUNTIF('04_Pinjaman'!$A$5:$A$1004,B770)=0,"NPP TIDAK DITEMUKAN",INDEX('04_Pinjaman'!$C$5:$C$1004,MATCH(B770,'04_Pinjaman'!$A$5:$A$1004,0))))</f>
        <v/>
      </c>
      <c r="E770" s="22"/>
      <c r="F770" s="23"/>
      <c r="G770" s="21"/>
    </row>
    <row r="771" spans="1:7" ht="21" customHeight="1">
      <c r="A771" s="20" t="str">
        <f t="shared" si="12"/>
        <v/>
      </c>
      <c r="B771" s="21"/>
      <c r="C771" s="20" t="str">
        <f>IF(B771="","",IF(COUNTIF('04_Pinjaman'!$A$5:$A$1004,B771)=0,"NO PINJAMAN TIDAK DITEMUKAN",INDEX('04_Pinjaman'!$B$5:$B$1004,MATCH(B771,'04_Pinjaman'!$A$5:$A$1004,0))))</f>
        <v/>
      </c>
      <c r="D771" s="20" t="str">
        <f>IF(B771="","",IF(COUNTIF('04_Pinjaman'!$A$5:$A$1004,B771)=0,"NPP TIDAK DITEMUKAN",INDEX('04_Pinjaman'!$C$5:$C$1004,MATCH(B771,'04_Pinjaman'!$A$5:$A$1004,0))))</f>
        <v/>
      </c>
      <c r="E771" s="22"/>
      <c r="F771" s="23"/>
      <c r="G771" s="21"/>
    </row>
    <row r="772" spans="1:7" ht="21" customHeight="1">
      <c r="A772" s="20" t="str">
        <f t="shared" si="12"/>
        <v/>
      </c>
      <c r="B772" s="21"/>
      <c r="C772" s="20" t="str">
        <f>IF(B772="","",IF(COUNTIF('04_Pinjaman'!$A$5:$A$1004,B772)=0,"NO PINJAMAN TIDAK DITEMUKAN",INDEX('04_Pinjaman'!$B$5:$B$1004,MATCH(B772,'04_Pinjaman'!$A$5:$A$1004,0))))</f>
        <v/>
      </c>
      <c r="D772" s="20" t="str">
        <f>IF(B772="","",IF(COUNTIF('04_Pinjaman'!$A$5:$A$1004,B772)=0,"NPP TIDAK DITEMUKAN",INDEX('04_Pinjaman'!$C$5:$C$1004,MATCH(B772,'04_Pinjaman'!$A$5:$A$1004,0))))</f>
        <v/>
      </c>
      <c r="E772" s="22"/>
      <c r="F772" s="23"/>
      <c r="G772" s="21"/>
    </row>
    <row r="773" spans="1:7" ht="21" customHeight="1">
      <c r="A773" s="20" t="str">
        <f t="shared" ref="A773:A836" si="13">IF(B773="","",ROW()-4)</f>
        <v/>
      </c>
      <c r="B773" s="21"/>
      <c r="C773" s="20" t="str">
        <f>IF(B773="","",IF(COUNTIF('04_Pinjaman'!$A$5:$A$1004,B773)=0,"NO PINJAMAN TIDAK DITEMUKAN",INDEX('04_Pinjaman'!$B$5:$B$1004,MATCH(B773,'04_Pinjaman'!$A$5:$A$1004,0))))</f>
        <v/>
      </c>
      <c r="D773" s="20" t="str">
        <f>IF(B773="","",IF(COUNTIF('04_Pinjaman'!$A$5:$A$1004,B773)=0,"NPP TIDAK DITEMUKAN",INDEX('04_Pinjaman'!$C$5:$C$1004,MATCH(B773,'04_Pinjaman'!$A$5:$A$1004,0))))</f>
        <v/>
      </c>
      <c r="E773" s="22"/>
      <c r="F773" s="23"/>
      <c r="G773" s="21"/>
    </row>
    <row r="774" spans="1:7" ht="21" customHeight="1">
      <c r="A774" s="20" t="str">
        <f t="shared" si="13"/>
        <v/>
      </c>
      <c r="B774" s="21"/>
      <c r="C774" s="20" t="str">
        <f>IF(B774="","",IF(COUNTIF('04_Pinjaman'!$A$5:$A$1004,B774)=0,"NO PINJAMAN TIDAK DITEMUKAN",INDEX('04_Pinjaman'!$B$5:$B$1004,MATCH(B774,'04_Pinjaman'!$A$5:$A$1004,0))))</f>
        <v/>
      </c>
      <c r="D774" s="20" t="str">
        <f>IF(B774="","",IF(COUNTIF('04_Pinjaman'!$A$5:$A$1004,B774)=0,"NPP TIDAK DITEMUKAN",INDEX('04_Pinjaman'!$C$5:$C$1004,MATCH(B774,'04_Pinjaman'!$A$5:$A$1004,0))))</f>
        <v/>
      </c>
      <c r="E774" s="22"/>
      <c r="F774" s="23"/>
      <c r="G774" s="21"/>
    </row>
    <row r="775" spans="1:7" ht="21" customHeight="1">
      <c r="A775" s="20" t="str">
        <f t="shared" si="13"/>
        <v/>
      </c>
      <c r="B775" s="21"/>
      <c r="C775" s="20" t="str">
        <f>IF(B775="","",IF(COUNTIF('04_Pinjaman'!$A$5:$A$1004,B775)=0,"NO PINJAMAN TIDAK DITEMUKAN",INDEX('04_Pinjaman'!$B$5:$B$1004,MATCH(B775,'04_Pinjaman'!$A$5:$A$1004,0))))</f>
        <v/>
      </c>
      <c r="D775" s="20" t="str">
        <f>IF(B775="","",IF(COUNTIF('04_Pinjaman'!$A$5:$A$1004,B775)=0,"NPP TIDAK DITEMUKAN",INDEX('04_Pinjaman'!$C$5:$C$1004,MATCH(B775,'04_Pinjaman'!$A$5:$A$1004,0))))</f>
        <v/>
      </c>
      <c r="E775" s="22"/>
      <c r="F775" s="23"/>
      <c r="G775" s="21"/>
    </row>
    <row r="776" spans="1:7" ht="21" customHeight="1">
      <c r="A776" s="20" t="str">
        <f t="shared" si="13"/>
        <v/>
      </c>
      <c r="B776" s="21"/>
      <c r="C776" s="20" t="str">
        <f>IF(B776="","",IF(COUNTIF('04_Pinjaman'!$A$5:$A$1004,B776)=0,"NO PINJAMAN TIDAK DITEMUKAN",INDEX('04_Pinjaman'!$B$5:$B$1004,MATCH(B776,'04_Pinjaman'!$A$5:$A$1004,0))))</f>
        <v/>
      </c>
      <c r="D776" s="20" t="str">
        <f>IF(B776="","",IF(COUNTIF('04_Pinjaman'!$A$5:$A$1004,B776)=0,"NPP TIDAK DITEMUKAN",INDEX('04_Pinjaman'!$C$5:$C$1004,MATCH(B776,'04_Pinjaman'!$A$5:$A$1004,0))))</f>
        <v/>
      </c>
      <c r="E776" s="22"/>
      <c r="F776" s="23"/>
      <c r="G776" s="21"/>
    </row>
    <row r="777" spans="1:7" ht="21" customHeight="1">
      <c r="A777" s="20" t="str">
        <f t="shared" si="13"/>
        <v/>
      </c>
      <c r="B777" s="21"/>
      <c r="C777" s="20" t="str">
        <f>IF(B777="","",IF(COUNTIF('04_Pinjaman'!$A$5:$A$1004,B777)=0,"NO PINJAMAN TIDAK DITEMUKAN",INDEX('04_Pinjaman'!$B$5:$B$1004,MATCH(B777,'04_Pinjaman'!$A$5:$A$1004,0))))</f>
        <v/>
      </c>
      <c r="D777" s="20" t="str">
        <f>IF(B777="","",IF(COUNTIF('04_Pinjaman'!$A$5:$A$1004,B777)=0,"NPP TIDAK DITEMUKAN",INDEX('04_Pinjaman'!$C$5:$C$1004,MATCH(B777,'04_Pinjaman'!$A$5:$A$1004,0))))</f>
        <v/>
      </c>
      <c r="E777" s="22"/>
      <c r="F777" s="23"/>
      <c r="G777" s="21"/>
    </row>
    <row r="778" spans="1:7" ht="21" customHeight="1">
      <c r="A778" s="20" t="str">
        <f t="shared" si="13"/>
        <v/>
      </c>
      <c r="B778" s="21"/>
      <c r="C778" s="20" t="str">
        <f>IF(B778="","",IF(COUNTIF('04_Pinjaman'!$A$5:$A$1004,B778)=0,"NO PINJAMAN TIDAK DITEMUKAN",INDEX('04_Pinjaman'!$B$5:$B$1004,MATCH(B778,'04_Pinjaman'!$A$5:$A$1004,0))))</f>
        <v/>
      </c>
      <c r="D778" s="20" t="str">
        <f>IF(B778="","",IF(COUNTIF('04_Pinjaman'!$A$5:$A$1004,B778)=0,"NPP TIDAK DITEMUKAN",INDEX('04_Pinjaman'!$C$5:$C$1004,MATCH(B778,'04_Pinjaman'!$A$5:$A$1004,0))))</f>
        <v/>
      </c>
      <c r="E778" s="22"/>
      <c r="F778" s="23"/>
      <c r="G778" s="21"/>
    </row>
    <row r="779" spans="1:7" ht="21" customHeight="1">
      <c r="A779" s="20" t="str">
        <f t="shared" si="13"/>
        <v/>
      </c>
      <c r="B779" s="21"/>
      <c r="C779" s="20" t="str">
        <f>IF(B779="","",IF(COUNTIF('04_Pinjaman'!$A$5:$A$1004,B779)=0,"NO PINJAMAN TIDAK DITEMUKAN",INDEX('04_Pinjaman'!$B$5:$B$1004,MATCH(B779,'04_Pinjaman'!$A$5:$A$1004,0))))</f>
        <v/>
      </c>
      <c r="D779" s="20" t="str">
        <f>IF(B779="","",IF(COUNTIF('04_Pinjaman'!$A$5:$A$1004,B779)=0,"NPP TIDAK DITEMUKAN",INDEX('04_Pinjaman'!$C$5:$C$1004,MATCH(B779,'04_Pinjaman'!$A$5:$A$1004,0))))</f>
        <v/>
      </c>
      <c r="E779" s="22"/>
      <c r="F779" s="23"/>
      <c r="G779" s="21"/>
    </row>
    <row r="780" spans="1:7" ht="21" customHeight="1">
      <c r="A780" s="20" t="str">
        <f t="shared" si="13"/>
        <v/>
      </c>
      <c r="B780" s="21"/>
      <c r="C780" s="20" t="str">
        <f>IF(B780="","",IF(COUNTIF('04_Pinjaman'!$A$5:$A$1004,B780)=0,"NO PINJAMAN TIDAK DITEMUKAN",INDEX('04_Pinjaman'!$B$5:$B$1004,MATCH(B780,'04_Pinjaman'!$A$5:$A$1004,0))))</f>
        <v/>
      </c>
      <c r="D780" s="20" t="str">
        <f>IF(B780="","",IF(COUNTIF('04_Pinjaman'!$A$5:$A$1004,B780)=0,"NPP TIDAK DITEMUKAN",INDEX('04_Pinjaman'!$C$5:$C$1004,MATCH(B780,'04_Pinjaman'!$A$5:$A$1004,0))))</f>
        <v/>
      </c>
      <c r="E780" s="22"/>
      <c r="F780" s="23"/>
      <c r="G780" s="21"/>
    </row>
    <row r="781" spans="1:7" ht="21" customHeight="1">
      <c r="A781" s="20" t="str">
        <f t="shared" si="13"/>
        <v/>
      </c>
      <c r="B781" s="21"/>
      <c r="C781" s="20" t="str">
        <f>IF(B781="","",IF(COUNTIF('04_Pinjaman'!$A$5:$A$1004,B781)=0,"NO PINJAMAN TIDAK DITEMUKAN",INDEX('04_Pinjaman'!$B$5:$B$1004,MATCH(B781,'04_Pinjaman'!$A$5:$A$1004,0))))</f>
        <v/>
      </c>
      <c r="D781" s="20" t="str">
        <f>IF(B781="","",IF(COUNTIF('04_Pinjaman'!$A$5:$A$1004,B781)=0,"NPP TIDAK DITEMUKAN",INDEX('04_Pinjaman'!$C$5:$C$1004,MATCH(B781,'04_Pinjaman'!$A$5:$A$1004,0))))</f>
        <v/>
      </c>
      <c r="E781" s="22"/>
      <c r="F781" s="23"/>
      <c r="G781" s="21"/>
    </row>
    <row r="782" spans="1:7" ht="21" customHeight="1">
      <c r="A782" s="20" t="str">
        <f t="shared" si="13"/>
        <v/>
      </c>
      <c r="B782" s="21"/>
      <c r="C782" s="20" t="str">
        <f>IF(B782="","",IF(COUNTIF('04_Pinjaman'!$A$5:$A$1004,B782)=0,"NO PINJAMAN TIDAK DITEMUKAN",INDEX('04_Pinjaman'!$B$5:$B$1004,MATCH(B782,'04_Pinjaman'!$A$5:$A$1004,0))))</f>
        <v/>
      </c>
      <c r="D782" s="20" t="str">
        <f>IF(B782="","",IF(COUNTIF('04_Pinjaman'!$A$5:$A$1004,B782)=0,"NPP TIDAK DITEMUKAN",INDEX('04_Pinjaman'!$C$5:$C$1004,MATCH(B782,'04_Pinjaman'!$A$5:$A$1004,0))))</f>
        <v/>
      </c>
      <c r="E782" s="22"/>
      <c r="F782" s="23"/>
      <c r="G782" s="21"/>
    </row>
    <row r="783" spans="1:7" ht="21" customHeight="1">
      <c r="A783" s="20" t="str">
        <f t="shared" si="13"/>
        <v/>
      </c>
      <c r="B783" s="21"/>
      <c r="C783" s="20" t="str">
        <f>IF(B783="","",IF(COUNTIF('04_Pinjaman'!$A$5:$A$1004,B783)=0,"NO PINJAMAN TIDAK DITEMUKAN",INDEX('04_Pinjaman'!$B$5:$B$1004,MATCH(B783,'04_Pinjaman'!$A$5:$A$1004,0))))</f>
        <v/>
      </c>
      <c r="D783" s="20" t="str">
        <f>IF(B783="","",IF(COUNTIF('04_Pinjaman'!$A$5:$A$1004,B783)=0,"NPP TIDAK DITEMUKAN",INDEX('04_Pinjaman'!$C$5:$C$1004,MATCH(B783,'04_Pinjaman'!$A$5:$A$1004,0))))</f>
        <v/>
      </c>
      <c r="E783" s="22"/>
      <c r="F783" s="23"/>
      <c r="G783" s="21"/>
    </row>
    <row r="784" spans="1:7" ht="21" customHeight="1">
      <c r="A784" s="20" t="str">
        <f t="shared" si="13"/>
        <v/>
      </c>
      <c r="B784" s="21"/>
      <c r="C784" s="20" t="str">
        <f>IF(B784="","",IF(COUNTIF('04_Pinjaman'!$A$5:$A$1004,B784)=0,"NO PINJAMAN TIDAK DITEMUKAN",INDEX('04_Pinjaman'!$B$5:$B$1004,MATCH(B784,'04_Pinjaman'!$A$5:$A$1004,0))))</f>
        <v/>
      </c>
      <c r="D784" s="20" t="str">
        <f>IF(B784="","",IF(COUNTIF('04_Pinjaman'!$A$5:$A$1004,B784)=0,"NPP TIDAK DITEMUKAN",INDEX('04_Pinjaman'!$C$5:$C$1004,MATCH(B784,'04_Pinjaman'!$A$5:$A$1004,0))))</f>
        <v/>
      </c>
      <c r="E784" s="22"/>
      <c r="F784" s="23"/>
      <c r="G784" s="21"/>
    </row>
    <row r="785" spans="1:7" ht="21" customHeight="1">
      <c r="A785" s="20" t="str">
        <f t="shared" si="13"/>
        <v/>
      </c>
      <c r="B785" s="21"/>
      <c r="C785" s="20" t="str">
        <f>IF(B785="","",IF(COUNTIF('04_Pinjaman'!$A$5:$A$1004,B785)=0,"NO PINJAMAN TIDAK DITEMUKAN",INDEX('04_Pinjaman'!$B$5:$B$1004,MATCH(B785,'04_Pinjaman'!$A$5:$A$1004,0))))</f>
        <v/>
      </c>
      <c r="D785" s="20" t="str">
        <f>IF(B785="","",IF(COUNTIF('04_Pinjaman'!$A$5:$A$1004,B785)=0,"NPP TIDAK DITEMUKAN",INDEX('04_Pinjaman'!$C$5:$C$1004,MATCH(B785,'04_Pinjaman'!$A$5:$A$1004,0))))</f>
        <v/>
      </c>
      <c r="E785" s="22"/>
      <c r="F785" s="23"/>
      <c r="G785" s="21"/>
    </row>
    <row r="786" spans="1:7" ht="21" customHeight="1">
      <c r="A786" s="20" t="str">
        <f t="shared" si="13"/>
        <v/>
      </c>
      <c r="B786" s="21"/>
      <c r="C786" s="20" t="str">
        <f>IF(B786="","",IF(COUNTIF('04_Pinjaman'!$A$5:$A$1004,B786)=0,"NO PINJAMAN TIDAK DITEMUKAN",INDEX('04_Pinjaman'!$B$5:$B$1004,MATCH(B786,'04_Pinjaman'!$A$5:$A$1004,0))))</f>
        <v/>
      </c>
      <c r="D786" s="20" t="str">
        <f>IF(B786="","",IF(COUNTIF('04_Pinjaman'!$A$5:$A$1004,B786)=0,"NPP TIDAK DITEMUKAN",INDEX('04_Pinjaman'!$C$5:$C$1004,MATCH(B786,'04_Pinjaman'!$A$5:$A$1004,0))))</f>
        <v/>
      </c>
      <c r="E786" s="22"/>
      <c r="F786" s="23"/>
      <c r="G786" s="21"/>
    </row>
    <row r="787" spans="1:7" ht="21" customHeight="1">
      <c r="A787" s="20" t="str">
        <f t="shared" si="13"/>
        <v/>
      </c>
      <c r="B787" s="21"/>
      <c r="C787" s="20" t="str">
        <f>IF(B787="","",IF(COUNTIF('04_Pinjaman'!$A$5:$A$1004,B787)=0,"NO PINJAMAN TIDAK DITEMUKAN",INDEX('04_Pinjaman'!$B$5:$B$1004,MATCH(B787,'04_Pinjaman'!$A$5:$A$1004,0))))</f>
        <v/>
      </c>
      <c r="D787" s="20" t="str">
        <f>IF(B787="","",IF(COUNTIF('04_Pinjaman'!$A$5:$A$1004,B787)=0,"NPP TIDAK DITEMUKAN",INDEX('04_Pinjaman'!$C$5:$C$1004,MATCH(B787,'04_Pinjaman'!$A$5:$A$1004,0))))</f>
        <v/>
      </c>
      <c r="E787" s="22"/>
      <c r="F787" s="23"/>
      <c r="G787" s="21"/>
    </row>
    <row r="788" spans="1:7" ht="21" customHeight="1">
      <c r="A788" s="20" t="str">
        <f t="shared" si="13"/>
        <v/>
      </c>
      <c r="B788" s="21"/>
      <c r="C788" s="20" t="str">
        <f>IF(B788="","",IF(COUNTIF('04_Pinjaman'!$A$5:$A$1004,B788)=0,"NO PINJAMAN TIDAK DITEMUKAN",INDEX('04_Pinjaman'!$B$5:$B$1004,MATCH(B788,'04_Pinjaman'!$A$5:$A$1004,0))))</f>
        <v/>
      </c>
      <c r="D788" s="20" t="str">
        <f>IF(B788="","",IF(COUNTIF('04_Pinjaman'!$A$5:$A$1004,B788)=0,"NPP TIDAK DITEMUKAN",INDEX('04_Pinjaman'!$C$5:$C$1004,MATCH(B788,'04_Pinjaman'!$A$5:$A$1004,0))))</f>
        <v/>
      </c>
      <c r="E788" s="22"/>
      <c r="F788" s="23"/>
      <c r="G788" s="21"/>
    </row>
    <row r="789" spans="1:7" ht="21" customHeight="1">
      <c r="A789" s="20" t="str">
        <f t="shared" si="13"/>
        <v/>
      </c>
      <c r="B789" s="21"/>
      <c r="C789" s="20" t="str">
        <f>IF(B789="","",IF(COUNTIF('04_Pinjaman'!$A$5:$A$1004,B789)=0,"NO PINJAMAN TIDAK DITEMUKAN",INDEX('04_Pinjaman'!$B$5:$B$1004,MATCH(B789,'04_Pinjaman'!$A$5:$A$1004,0))))</f>
        <v/>
      </c>
      <c r="D789" s="20" t="str">
        <f>IF(B789="","",IF(COUNTIF('04_Pinjaman'!$A$5:$A$1004,B789)=0,"NPP TIDAK DITEMUKAN",INDEX('04_Pinjaman'!$C$5:$C$1004,MATCH(B789,'04_Pinjaman'!$A$5:$A$1004,0))))</f>
        <v/>
      </c>
      <c r="E789" s="22"/>
      <c r="F789" s="23"/>
      <c r="G789" s="21"/>
    </row>
    <row r="790" spans="1:7" ht="21" customHeight="1">
      <c r="A790" s="20" t="str">
        <f t="shared" si="13"/>
        <v/>
      </c>
      <c r="B790" s="21"/>
      <c r="C790" s="20" t="str">
        <f>IF(B790="","",IF(COUNTIF('04_Pinjaman'!$A$5:$A$1004,B790)=0,"NO PINJAMAN TIDAK DITEMUKAN",INDEX('04_Pinjaman'!$B$5:$B$1004,MATCH(B790,'04_Pinjaman'!$A$5:$A$1004,0))))</f>
        <v/>
      </c>
      <c r="D790" s="20" t="str">
        <f>IF(B790="","",IF(COUNTIF('04_Pinjaman'!$A$5:$A$1004,B790)=0,"NPP TIDAK DITEMUKAN",INDEX('04_Pinjaman'!$C$5:$C$1004,MATCH(B790,'04_Pinjaman'!$A$5:$A$1004,0))))</f>
        <v/>
      </c>
      <c r="E790" s="22"/>
      <c r="F790" s="23"/>
      <c r="G790" s="21"/>
    </row>
    <row r="791" spans="1:7" ht="21" customHeight="1">
      <c r="A791" s="20" t="str">
        <f t="shared" si="13"/>
        <v/>
      </c>
      <c r="B791" s="21"/>
      <c r="C791" s="20" t="str">
        <f>IF(B791="","",IF(COUNTIF('04_Pinjaman'!$A$5:$A$1004,B791)=0,"NO PINJAMAN TIDAK DITEMUKAN",INDEX('04_Pinjaman'!$B$5:$B$1004,MATCH(B791,'04_Pinjaman'!$A$5:$A$1004,0))))</f>
        <v/>
      </c>
      <c r="D791" s="20" t="str">
        <f>IF(B791="","",IF(COUNTIF('04_Pinjaman'!$A$5:$A$1004,B791)=0,"NPP TIDAK DITEMUKAN",INDEX('04_Pinjaman'!$C$5:$C$1004,MATCH(B791,'04_Pinjaman'!$A$5:$A$1004,0))))</f>
        <v/>
      </c>
      <c r="E791" s="22"/>
      <c r="F791" s="23"/>
      <c r="G791" s="21"/>
    </row>
    <row r="792" spans="1:7" ht="21" customHeight="1">
      <c r="A792" s="20" t="str">
        <f t="shared" si="13"/>
        <v/>
      </c>
      <c r="B792" s="21"/>
      <c r="C792" s="20" t="str">
        <f>IF(B792="","",IF(COUNTIF('04_Pinjaman'!$A$5:$A$1004,B792)=0,"NO PINJAMAN TIDAK DITEMUKAN",INDEX('04_Pinjaman'!$B$5:$B$1004,MATCH(B792,'04_Pinjaman'!$A$5:$A$1004,0))))</f>
        <v/>
      </c>
      <c r="D792" s="20" t="str">
        <f>IF(B792="","",IF(COUNTIF('04_Pinjaman'!$A$5:$A$1004,B792)=0,"NPP TIDAK DITEMUKAN",INDEX('04_Pinjaman'!$C$5:$C$1004,MATCH(B792,'04_Pinjaman'!$A$5:$A$1004,0))))</f>
        <v/>
      </c>
      <c r="E792" s="22"/>
      <c r="F792" s="23"/>
      <c r="G792" s="21"/>
    </row>
    <row r="793" spans="1:7" ht="21" customHeight="1">
      <c r="A793" s="20" t="str">
        <f t="shared" si="13"/>
        <v/>
      </c>
      <c r="B793" s="21"/>
      <c r="C793" s="20" t="str">
        <f>IF(B793="","",IF(COUNTIF('04_Pinjaman'!$A$5:$A$1004,B793)=0,"NO PINJAMAN TIDAK DITEMUKAN",INDEX('04_Pinjaman'!$B$5:$B$1004,MATCH(B793,'04_Pinjaman'!$A$5:$A$1004,0))))</f>
        <v/>
      </c>
      <c r="D793" s="20" t="str">
        <f>IF(B793="","",IF(COUNTIF('04_Pinjaman'!$A$5:$A$1004,B793)=0,"NPP TIDAK DITEMUKAN",INDEX('04_Pinjaman'!$C$5:$C$1004,MATCH(B793,'04_Pinjaman'!$A$5:$A$1004,0))))</f>
        <v/>
      </c>
      <c r="E793" s="22"/>
      <c r="F793" s="23"/>
      <c r="G793" s="21"/>
    </row>
    <row r="794" spans="1:7" ht="21" customHeight="1">
      <c r="A794" s="20" t="str">
        <f t="shared" si="13"/>
        <v/>
      </c>
      <c r="B794" s="21"/>
      <c r="C794" s="20" t="str">
        <f>IF(B794="","",IF(COUNTIF('04_Pinjaman'!$A$5:$A$1004,B794)=0,"NO PINJAMAN TIDAK DITEMUKAN",INDEX('04_Pinjaman'!$B$5:$B$1004,MATCH(B794,'04_Pinjaman'!$A$5:$A$1004,0))))</f>
        <v/>
      </c>
      <c r="D794" s="20" t="str">
        <f>IF(B794="","",IF(COUNTIF('04_Pinjaman'!$A$5:$A$1004,B794)=0,"NPP TIDAK DITEMUKAN",INDEX('04_Pinjaman'!$C$5:$C$1004,MATCH(B794,'04_Pinjaman'!$A$5:$A$1004,0))))</f>
        <v/>
      </c>
      <c r="E794" s="22"/>
      <c r="F794" s="23"/>
      <c r="G794" s="21"/>
    </row>
    <row r="795" spans="1:7" ht="21" customHeight="1">
      <c r="A795" s="20" t="str">
        <f t="shared" si="13"/>
        <v/>
      </c>
      <c r="B795" s="21"/>
      <c r="C795" s="20" t="str">
        <f>IF(B795="","",IF(COUNTIF('04_Pinjaman'!$A$5:$A$1004,B795)=0,"NO PINJAMAN TIDAK DITEMUKAN",INDEX('04_Pinjaman'!$B$5:$B$1004,MATCH(B795,'04_Pinjaman'!$A$5:$A$1004,0))))</f>
        <v/>
      </c>
      <c r="D795" s="20" t="str">
        <f>IF(B795="","",IF(COUNTIF('04_Pinjaman'!$A$5:$A$1004,B795)=0,"NPP TIDAK DITEMUKAN",INDEX('04_Pinjaman'!$C$5:$C$1004,MATCH(B795,'04_Pinjaman'!$A$5:$A$1004,0))))</f>
        <v/>
      </c>
      <c r="E795" s="22"/>
      <c r="F795" s="23"/>
      <c r="G795" s="21"/>
    </row>
    <row r="796" spans="1:7" ht="21" customHeight="1">
      <c r="A796" s="20" t="str">
        <f t="shared" si="13"/>
        <v/>
      </c>
      <c r="B796" s="21"/>
      <c r="C796" s="20" t="str">
        <f>IF(B796="","",IF(COUNTIF('04_Pinjaman'!$A$5:$A$1004,B796)=0,"NO PINJAMAN TIDAK DITEMUKAN",INDEX('04_Pinjaman'!$B$5:$B$1004,MATCH(B796,'04_Pinjaman'!$A$5:$A$1004,0))))</f>
        <v/>
      </c>
      <c r="D796" s="20" t="str">
        <f>IF(B796="","",IF(COUNTIF('04_Pinjaman'!$A$5:$A$1004,B796)=0,"NPP TIDAK DITEMUKAN",INDEX('04_Pinjaman'!$C$5:$C$1004,MATCH(B796,'04_Pinjaman'!$A$5:$A$1004,0))))</f>
        <v/>
      </c>
      <c r="E796" s="22"/>
      <c r="F796" s="23"/>
      <c r="G796" s="21"/>
    </row>
    <row r="797" spans="1:7" ht="21" customHeight="1">
      <c r="A797" s="20" t="str">
        <f t="shared" si="13"/>
        <v/>
      </c>
      <c r="B797" s="21"/>
      <c r="C797" s="20" t="str">
        <f>IF(B797="","",IF(COUNTIF('04_Pinjaman'!$A$5:$A$1004,B797)=0,"NO PINJAMAN TIDAK DITEMUKAN",INDEX('04_Pinjaman'!$B$5:$B$1004,MATCH(B797,'04_Pinjaman'!$A$5:$A$1004,0))))</f>
        <v/>
      </c>
      <c r="D797" s="20" t="str">
        <f>IF(B797="","",IF(COUNTIF('04_Pinjaman'!$A$5:$A$1004,B797)=0,"NPP TIDAK DITEMUKAN",INDEX('04_Pinjaman'!$C$5:$C$1004,MATCH(B797,'04_Pinjaman'!$A$5:$A$1004,0))))</f>
        <v/>
      </c>
      <c r="E797" s="22"/>
      <c r="F797" s="23"/>
      <c r="G797" s="21"/>
    </row>
    <row r="798" spans="1:7" ht="21" customHeight="1">
      <c r="A798" s="20" t="str">
        <f t="shared" si="13"/>
        <v/>
      </c>
      <c r="B798" s="21"/>
      <c r="C798" s="20" t="str">
        <f>IF(B798="","",IF(COUNTIF('04_Pinjaman'!$A$5:$A$1004,B798)=0,"NO PINJAMAN TIDAK DITEMUKAN",INDEX('04_Pinjaman'!$B$5:$B$1004,MATCH(B798,'04_Pinjaman'!$A$5:$A$1004,0))))</f>
        <v/>
      </c>
      <c r="D798" s="20" t="str">
        <f>IF(B798="","",IF(COUNTIF('04_Pinjaman'!$A$5:$A$1004,B798)=0,"NPP TIDAK DITEMUKAN",INDEX('04_Pinjaman'!$C$5:$C$1004,MATCH(B798,'04_Pinjaman'!$A$5:$A$1004,0))))</f>
        <v/>
      </c>
      <c r="E798" s="22"/>
      <c r="F798" s="23"/>
      <c r="G798" s="21"/>
    </row>
    <row r="799" spans="1:7" ht="21" customHeight="1">
      <c r="A799" s="20" t="str">
        <f t="shared" si="13"/>
        <v/>
      </c>
      <c r="B799" s="21"/>
      <c r="C799" s="20" t="str">
        <f>IF(B799="","",IF(COUNTIF('04_Pinjaman'!$A$5:$A$1004,B799)=0,"NO PINJAMAN TIDAK DITEMUKAN",INDEX('04_Pinjaman'!$B$5:$B$1004,MATCH(B799,'04_Pinjaman'!$A$5:$A$1004,0))))</f>
        <v/>
      </c>
      <c r="D799" s="20" t="str">
        <f>IF(B799="","",IF(COUNTIF('04_Pinjaman'!$A$5:$A$1004,B799)=0,"NPP TIDAK DITEMUKAN",INDEX('04_Pinjaman'!$C$5:$C$1004,MATCH(B799,'04_Pinjaman'!$A$5:$A$1004,0))))</f>
        <v/>
      </c>
      <c r="E799" s="22"/>
      <c r="F799" s="23"/>
      <c r="G799" s="21"/>
    </row>
    <row r="800" spans="1:7" ht="21" customHeight="1">
      <c r="A800" s="20" t="str">
        <f t="shared" si="13"/>
        <v/>
      </c>
      <c r="B800" s="21"/>
      <c r="C800" s="20" t="str">
        <f>IF(B800="","",IF(COUNTIF('04_Pinjaman'!$A$5:$A$1004,B800)=0,"NO PINJAMAN TIDAK DITEMUKAN",INDEX('04_Pinjaman'!$B$5:$B$1004,MATCH(B800,'04_Pinjaman'!$A$5:$A$1004,0))))</f>
        <v/>
      </c>
      <c r="D800" s="20" t="str">
        <f>IF(B800="","",IF(COUNTIF('04_Pinjaman'!$A$5:$A$1004,B800)=0,"NPP TIDAK DITEMUKAN",INDEX('04_Pinjaman'!$C$5:$C$1004,MATCH(B800,'04_Pinjaman'!$A$5:$A$1004,0))))</f>
        <v/>
      </c>
      <c r="E800" s="22"/>
      <c r="F800" s="23"/>
      <c r="G800" s="21"/>
    </row>
    <row r="801" spans="1:7" ht="21" customHeight="1">
      <c r="A801" s="20" t="str">
        <f t="shared" si="13"/>
        <v/>
      </c>
      <c r="B801" s="21"/>
      <c r="C801" s="20" t="str">
        <f>IF(B801="","",IF(COUNTIF('04_Pinjaman'!$A$5:$A$1004,B801)=0,"NO PINJAMAN TIDAK DITEMUKAN",INDEX('04_Pinjaman'!$B$5:$B$1004,MATCH(B801,'04_Pinjaman'!$A$5:$A$1004,0))))</f>
        <v/>
      </c>
      <c r="D801" s="20" t="str">
        <f>IF(B801="","",IF(COUNTIF('04_Pinjaman'!$A$5:$A$1004,B801)=0,"NPP TIDAK DITEMUKAN",INDEX('04_Pinjaman'!$C$5:$C$1004,MATCH(B801,'04_Pinjaman'!$A$5:$A$1004,0))))</f>
        <v/>
      </c>
      <c r="E801" s="22"/>
      <c r="F801" s="23"/>
      <c r="G801" s="21"/>
    </row>
    <row r="802" spans="1:7" ht="21" customHeight="1">
      <c r="A802" s="20" t="str">
        <f t="shared" si="13"/>
        <v/>
      </c>
      <c r="B802" s="21"/>
      <c r="C802" s="20" t="str">
        <f>IF(B802="","",IF(COUNTIF('04_Pinjaman'!$A$5:$A$1004,B802)=0,"NO PINJAMAN TIDAK DITEMUKAN",INDEX('04_Pinjaman'!$B$5:$B$1004,MATCH(B802,'04_Pinjaman'!$A$5:$A$1004,0))))</f>
        <v/>
      </c>
      <c r="D802" s="20" t="str">
        <f>IF(B802="","",IF(COUNTIF('04_Pinjaman'!$A$5:$A$1004,B802)=0,"NPP TIDAK DITEMUKAN",INDEX('04_Pinjaman'!$C$5:$C$1004,MATCH(B802,'04_Pinjaman'!$A$5:$A$1004,0))))</f>
        <v/>
      </c>
      <c r="E802" s="22"/>
      <c r="F802" s="23"/>
      <c r="G802" s="21"/>
    </row>
    <row r="803" spans="1:7" ht="21" customHeight="1">
      <c r="A803" s="20" t="str">
        <f t="shared" si="13"/>
        <v/>
      </c>
      <c r="B803" s="21"/>
      <c r="C803" s="20" t="str">
        <f>IF(B803="","",IF(COUNTIF('04_Pinjaman'!$A$5:$A$1004,B803)=0,"NO PINJAMAN TIDAK DITEMUKAN",INDEX('04_Pinjaman'!$B$5:$B$1004,MATCH(B803,'04_Pinjaman'!$A$5:$A$1004,0))))</f>
        <v/>
      </c>
      <c r="D803" s="20" t="str">
        <f>IF(B803="","",IF(COUNTIF('04_Pinjaman'!$A$5:$A$1004,B803)=0,"NPP TIDAK DITEMUKAN",INDEX('04_Pinjaman'!$C$5:$C$1004,MATCH(B803,'04_Pinjaman'!$A$5:$A$1004,0))))</f>
        <v/>
      </c>
      <c r="E803" s="22"/>
      <c r="F803" s="23"/>
      <c r="G803" s="21"/>
    </row>
    <row r="804" spans="1:7" ht="21" customHeight="1">
      <c r="A804" s="20" t="str">
        <f t="shared" si="13"/>
        <v/>
      </c>
      <c r="B804" s="21"/>
      <c r="C804" s="20" t="str">
        <f>IF(B804="","",IF(COUNTIF('04_Pinjaman'!$A$5:$A$1004,B804)=0,"NO PINJAMAN TIDAK DITEMUKAN",INDEX('04_Pinjaman'!$B$5:$B$1004,MATCH(B804,'04_Pinjaman'!$A$5:$A$1004,0))))</f>
        <v/>
      </c>
      <c r="D804" s="20" t="str">
        <f>IF(B804="","",IF(COUNTIF('04_Pinjaman'!$A$5:$A$1004,B804)=0,"NPP TIDAK DITEMUKAN",INDEX('04_Pinjaman'!$C$5:$C$1004,MATCH(B804,'04_Pinjaman'!$A$5:$A$1004,0))))</f>
        <v/>
      </c>
      <c r="E804" s="22"/>
      <c r="F804" s="23"/>
      <c r="G804" s="21"/>
    </row>
    <row r="805" spans="1:7" ht="21" customHeight="1">
      <c r="A805" s="20" t="str">
        <f t="shared" si="13"/>
        <v/>
      </c>
      <c r="B805" s="21"/>
      <c r="C805" s="20" t="str">
        <f>IF(B805="","",IF(COUNTIF('04_Pinjaman'!$A$5:$A$1004,B805)=0,"NO PINJAMAN TIDAK DITEMUKAN",INDEX('04_Pinjaman'!$B$5:$B$1004,MATCH(B805,'04_Pinjaman'!$A$5:$A$1004,0))))</f>
        <v/>
      </c>
      <c r="D805" s="20" t="str">
        <f>IF(B805="","",IF(COUNTIF('04_Pinjaman'!$A$5:$A$1004,B805)=0,"NPP TIDAK DITEMUKAN",INDEX('04_Pinjaman'!$C$5:$C$1004,MATCH(B805,'04_Pinjaman'!$A$5:$A$1004,0))))</f>
        <v/>
      </c>
      <c r="E805" s="22"/>
      <c r="F805" s="23"/>
      <c r="G805" s="21"/>
    </row>
    <row r="806" spans="1:7" ht="21" customHeight="1">
      <c r="A806" s="20" t="str">
        <f t="shared" si="13"/>
        <v/>
      </c>
      <c r="B806" s="21"/>
      <c r="C806" s="20" t="str">
        <f>IF(B806="","",IF(COUNTIF('04_Pinjaman'!$A$5:$A$1004,B806)=0,"NO PINJAMAN TIDAK DITEMUKAN",INDEX('04_Pinjaman'!$B$5:$B$1004,MATCH(B806,'04_Pinjaman'!$A$5:$A$1004,0))))</f>
        <v/>
      </c>
      <c r="D806" s="20" t="str">
        <f>IF(B806="","",IF(COUNTIF('04_Pinjaman'!$A$5:$A$1004,B806)=0,"NPP TIDAK DITEMUKAN",INDEX('04_Pinjaman'!$C$5:$C$1004,MATCH(B806,'04_Pinjaman'!$A$5:$A$1004,0))))</f>
        <v/>
      </c>
      <c r="E806" s="22"/>
      <c r="F806" s="23"/>
      <c r="G806" s="21"/>
    </row>
    <row r="807" spans="1:7" ht="21" customHeight="1">
      <c r="A807" s="20" t="str">
        <f t="shared" si="13"/>
        <v/>
      </c>
      <c r="B807" s="21"/>
      <c r="C807" s="20" t="str">
        <f>IF(B807="","",IF(COUNTIF('04_Pinjaman'!$A$5:$A$1004,B807)=0,"NO PINJAMAN TIDAK DITEMUKAN",INDEX('04_Pinjaman'!$B$5:$B$1004,MATCH(B807,'04_Pinjaman'!$A$5:$A$1004,0))))</f>
        <v/>
      </c>
      <c r="D807" s="20" t="str">
        <f>IF(B807="","",IF(COUNTIF('04_Pinjaman'!$A$5:$A$1004,B807)=0,"NPP TIDAK DITEMUKAN",INDEX('04_Pinjaman'!$C$5:$C$1004,MATCH(B807,'04_Pinjaman'!$A$5:$A$1004,0))))</f>
        <v/>
      </c>
      <c r="E807" s="22"/>
      <c r="F807" s="23"/>
      <c r="G807" s="21"/>
    </row>
    <row r="808" spans="1:7" ht="21" customHeight="1">
      <c r="A808" s="20" t="str">
        <f t="shared" si="13"/>
        <v/>
      </c>
      <c r="B808" s="21"/>
      <c r="C808" s="20" t="str">
        <f>IF(B808="","",IF(COUNTIF('04_Pinjaman'!$A$5:$A$1004,B808)=0,"NO PINJAMAN TIDAK DITEMUKAN",INDEX('04_Pinjaman'!$B$5:$B$1004,MATCH(B808,'04_Pinjaman'!$A$5:$A$1004,0))))</f>
        <v/>
      </c>
      <c r="D808" s="20" t="str">
        <f>IF(B808="","",IF(COUNTIF('04_Pinjaman'!$A$5:$A$1004,B808)=0,"NPP TIDAK DITEMUKAN",INDEX('04_Pinjaman'!$C$5:$C$1004,MATCH(B808,'04_Pinjaman'!$A$5:$A$1004,0))))</f>
        <v/>
      </c>
      <c r="E808" s="22"/>
      <c r="F808" s="23"/>
      <c r="G808" s="21"/>
    </row>
    <row r="809" spans="1:7" ht="21" customHeight="1">
      <c r="A809" s="20" t="str">
        <f t="shared" si="13"/>
        <v/>
      </c>
      <c r="B809" s="21"/>
      <c r="C809" s="20" t="str">
        <f>IF(B809="","",IF(COUNTIF('04_Pinjaman'!$A$5:$A$1004,B809)=0,"NO PINJAMAN TIDAK DITEMUKAN",INDEX('04_Pinjaman'!$B$5:$B$1004,MATCH(B809,'04_Pinjaman'!$A$5:$A$1004,0))))</f>
        <v/>
      </c>
      <c r="D809" s="20" t="str">
        <f>IF(B809="","",IF(COUNTIF('04_Pinjaman'!$A$5:$A$1004,B809)=0,"NPP TIDAK DITEMUKAN",INDEX('04_Pinjaman'!$C$5:$C$1004,MATCH(B809,'04_Pinjaman'!$A$5:$A$1004,0))))</f>
        <v/>
      </c>
      <c r="E809" s="22"/>
      <c r="F809" s="23"/>
      <c r="G809" s="21"/>
    </row>
    <row r="810" spans="1:7" ht="21" customHeight="1">
      <c r="A810" s="20" t="str">
        <f t="shared" si="13"/>
        <v/>
      </c>
      <c r="B810" s="21"/>
      <c r="C810" s="20" t="str">
        <f>IF(B810="","",IF(COUNTIF('04_Pinjaman'!$A$5:$A$1004,B810)=0,"NO PINJAMAN TIDAK DITEMUKAN",INDEX('04_Pinjaman'!$B$5:$B$1004,MATCH(B810,'04_Pinjaman'!$A$5:$A$1004,0))))</f>
        <v/>
      </c>
      <c r="D810" s="20" t="str">
        <f>IF(B810="","",IF(COUNTIF('04_Pinjaman'!$A$5:$A$1004,B810)=0,"NPP TIDAK DITEMUKAN",INDEX('04_Pinjaman'!$C$5:$C$1004,MATCH(B810,'04_Pinjaman'!$A$5:$A$1004,0))))</f>
        <v/>
      </c>
      <c r="E810" s="22"/>
      <c r="F810" s="23"/>
      <c r="G810" s="21"/>
    </row>
    <row r="811" spans="1:7" ht="21" customHeight="1">
      <c r="A811" s="20" t="str">
        <f t="shared" si="13"/>
        <v/>
      </c>
      <c r="B811" s="21"/>
      <c r="C811" s="20" t="str">
        <f>IF(B811="","",IF(COUNTIF('04_Pinjaman'!$A$5:$A$1004,B811)=0,"NO PINJAMAN TIDAK DITEMUKAN",INDEX('04_Pinjaman'!$B$5:$B$1004,MATCH(B811,'04_Pinjaman'!$A$5:$A$1004,0))))</f>
        <v/>
      </c>
      <c r="D811" s="20" t="str">
        <f>IF(B811="","",IF(COUNTIF('04_Pinjaman'!$A$5:$A$1004,B811)=0,"NPP TIDAK DITEMUKAN",INDEX('04_Pinjaman'!$C$5:$C$1004,MATCH(B811,'04_Pinjaman'!$A$5:$A$1004,0))))</f>
        <v/>
      </c>
      <c r="E811" s="22"/>
      <c r="F811" s="23"/>
      <c r="G811" s="21"/>
    </row>
    <row r="812" spans="1:7" ht="21" customHeight="1">
      <c r="A812" s="20" t="str">
        <f t="shared" si="13"/>
        <v/>
      </c>
      <c r="B812" s="21"/>
      <c r="C812" s="20" t="str">
        <f>IF(B812="","",IF(COUNTIF('04_Pinjaman'!$A$5:$A$1004,B812)=0,"NO PINJAMAN TIDAK DITEMUKAN",INDEX('04_Pinjaman'!$B$5:$B$1004,MATCH(B812,'04_Pinjaman'!$A$5:$A$1004,0))))</f>
        <v/>
      </c>
      <c r="D812" s="20" t="str">
        <f>IF(B812="","",IF(COUNTIF('04_Pinjaman'!$A$5:$A$1004,B812)=0,"NPP TIDAK DITEMUKAN",INDEX('04_Pinjaman'!$C$5:$C$1004,MATCH(B812,'04_Pinjaman'!$A$5:$A$1004,0))))</f>
        <v/>
      </c>
      <c r="E812" s="22"/>
      <c r="F812" s="23"/>
      <c r="G812" s="21"/>
    </row>
    <row r="813" spans="1:7" ht="21" customHeight="1">
      <c r="A813" s="20" t="str">
        <f t="shared" si="13"/>
        <v/>
      </c>
      <c r="B813" s="21"/>
      <c r="C813" s="20" t="str">
        <f>IF(B813="","",IF(COUNTIF('04_Pinjaman'!$A$5:$A$1004,B813)=0,"NO PINJAMAN TIDAK DITEMUKAN",INDEX('04_Pinjaman'!$B$5:$B$1004,MATCH(B813,'04_Pinjaman'!$A$5:$A$1004,0))))</f>
        <v/>
      </c>
      <c r="D813" s="20" t="str">
        <f>IF(B813="","",IF(COUNTIF('04_Pinjaman'!$A$5:$A$1004,B813)=0,"NPP TIDAK DITEMUKAN",INDEX('04_Pinjaman'!$C$5:$C$1004,MATCH(B813,'04_Pinjaman'!$A$5:$A$1004,0))))</f>
        <v/>
      </c>
      <c r="E813" s="22"/>
      <c r="F813" s="23"/>
      <c r="G813" s="21"/>
    </row>
    <row r="814" spans="1:7" ht="21" customHeight="1">
      <c r="A814" s="20" t="str">
        <f t="shared" si="13"/>
        <v/>
      </c>
      <c r="B814" s="21"/>
      <c r="C814" s="20" t="str">
        <f>IF(B814="","",IF(COUNTIF('04_Pinjaman'!$A$5:$A$1004,B814)=0,"NO PINJAMAN TIDAK DITEMUKAN",INDEX('04_Pinjaman'!$B$5:$B$1004,MATCH(B814,'04_Pinjaman'!$A$5:$A$1004,0))))</f>
        <v/>
      </c>
      <c r="D814" s="20" t="str">
        <f>IF(B814="","",IF(COUNTIF('04_Pinjaman'!$A$5:$A$1004,B814)=0,"NPP TIDAK DITEMUKAN",INDEX('04_Pinjaman'!$C$5:$C$1004,MATCH(B814,'04_Pinjaman'!$A$5:$A$1004,0))))</f>
        <v/>
      </c>
      <c r="E814" s="22"/>
      <c r="F814" s="23"/>
      <c r="G814" s="21"/>
    </row>
    <row r="815" spans="1:7" ht="21" customHeight="1">
      <c r="A815" s="20" t="str">
        <f t="shared" si="13"/>
        <v/>
      </c>
      <c r="B815" s="21"/>
      <c r="C815" s="20" t="str">
        <f>IF(B815="","",IF(COUNTIF('04_Pinjaman'!$A$5:$A$1004,B815)=0,"NO PINJAMAN TIDAK DITEMUKAN",INDEX('04_Pinjaman'!$B$5:$B$1004,MATCH(B815,'04_Pinjaman'!$A$5:$A$1004,0))))</f>
        <v/>
      </c>
      <c r="D815" s="20" t="str">
        <f>IF(B815="","",IF(COUNTIF('04_Pinjaman'!$A$5:$A$1004,B815)=0,"NPP TIDAK DITEMUKAN",INDEX('04_Pinjaman'!$C$5:$C$1004,MATCH(B815,'04_Pinjaman'!$A$5:$A$1004,0))))</f>
        <v/>
      </c>
      <c r="E815" s="22"/>
      <c r="F815" s="23"/>
      <c r="G815" s="21"/>
    </row>
    <row r="816" spans="1:7" ht="21" customHeight="1">
      <c r="A816" s="20" t="str">
        <f t="shared" si="13"/>
        <v/>
      </c>
      <c r="B816" s="21"/>
      <c r="C816" s="20" t="str">
        <f>IF(B816="","",IF(COUNTIF('04_Pinjaman'!$A$5:$A$1004,B816)=0,"NO PINJAMAN TIDAK DITEMUKAN",INDEX('04_Pinjaman'!$B$5:$B$1004,MATCH(B816,'04_Pinjaman'!$A$5:$A$1004,0))))</f>
        <v/>
      </c>
      <c r="D816" s="20" t="str">
        <f>IF(B816="","",IF(COUNTIF('04_Pinjaman'!$A$5:$A$1004,B816)=0,"NPP TIDAK DITEMUKAN",INDEX('04_Pinjaman'!$C$5:$C$1004,MATCH(B816,'04_Pinjaman'!$A$5:$A$1004,0))))</f>
        <v/>
      </c>
      <c r="E816" s="22"/>
      <c r="F816" s="23"/>
      <c r="G816" s="21"/>
    </row>
    <row r="817" spans="1:7" ht="21" customHeight="1">
      <c r="A817" s="20" t="str">
        <f t="shared" si="13"/>
        <v/>
      </c>
      <c r="B817" s="21"/>
      <c r="C817" s="20" t="str">
        <f>IF(B817="","",IF(COUNTIF('04_Pinjaman'!$A$5:$A$1004,B817)=0,"NO PINJAMAN TIDAK DITEMUKAN",INDEX('04_Pinjaman'!$B$5:$B$1004,MATCH(B817,'04_Pinjaman'!$A$5:$A$1004,0))))</f>
        <v/>
      </c>
      <c r="D817" s="20" t="str">
        <f>IF(B817="","",IF(COUNTIF('04_Pinjaman'!$A$5:$A$1004,B817)=0,"NPP TIDAK DITEMUKAN",INDEX('04_Pinjaman'!$C$5:$C$1004,MATCH(B817,'04_Pinjaman'!$A$5:$A$1004,0))))</f>
        <v/>
      </c>
      <c r="E817" s="22"/>
      <c r="F817" s="23"/>
      <c r="G817" s="21"/>
    </row>
    <row r="818" spans="1:7" ht="21" customHeight="1">
      <c r="A818" s="20" t="str">
        <f t="shared" si="13"/>
        <v/>
      </c>
      <c r="B818" s="21"/>
      <c r="C818" s="20" t="str">
        <f>IF(B818="","",IF(COUNTIF('04_Pinjaman'!$A$5:$A$1004,B818)=0,"NO PINJAMAN TIDAK DITEMUKAN",INDEX('04_Pinjaman'!$B$5:$B$1004,MATCH(B818,'04_Pinjaman'!$A$5:$A$1004,0))))</f>
        <v/>
      </c>
      <c r="D818" s="20" t="str">
        <f>IF(B818="","",IF(COUNTIF('04_Pinjaman'!$A$5:$A$1004,B818)=0,"NPP TIDAK DITEMUKAN",INDEX('04_Pinjaman'!$C$5:$C$1004,MATCH(B818,'04_Pinjaman'!$A$5:$A$1004,0))))</f>
        <v/>
      </c>
      <c r="E818" s="22"/>
      <c r="F818" s="23"/>
      <c r="G818" s="21"/>
    </row>
    <row r="819" spans="1:7" ht="21" customHeight="1">
      <c r="A819" s="20" t="str">
        <f t="shared" si="13"/>
        <v/>
      </c>
      <c r="B819" s="21"/>
      <c r="C819" s="20" t="str">
        <f>IF(B819="","",IF(COUNTIF('04_Pinjaman'!$A$5:$A$1004,B819)=0,"NO PINJAMAN TIDAK DITEMUKAN",INDEX('04_Pinjaman'!$B$5:$B$1004,MATCH(B819,'04_Pinjaman'!$A$5:$A$1004,0))))</f>
        <v/>
      </c>
      <c r="D819" s="20" t="str">
        <f>IF(B819="","",IF(COUNTIF('04_Pinjaman'!$A$5:$A$1004,B819)=0,"NPP TIDAK DITEMUKAN",INDEX('04_Pinjaman'!$C$5:$C$1004,MATCH(B819,'04_Pinjaman'!$A$5:$A$1004,0))))</f>
        <v/>
      </c>
      <c r="E819" s="22"/>
      <c r="F819" s="23"/>
      <c r="G819" s="21"/>
    </row>
    <row r="820" spans="1:7" ht="21" customHeight="1">
      <c r="A820" s="20" t="str">
        <f t="shared" si="13"/>
        <v/>
      </c>
      <c r="B820" s="21"/>
      <c r="C820" s="20" t="str">
        <f>IF(B820="","",IF(COUNTIF('04_Pinjaman'!$A$5:$A$1004,B820)=0,"NO PINJAMAN TIDAK DITEMUKAN",INDEX('04_Pinjaman'!$B$5:$B$1004,MATCH(B820,'04_Pinjaman'!$A$5:$A$1004,0))))</f>
        <v/>
      </c>
      <c r="D820" s="20" t="str">
        <f>IF(B820="","",IF(COUNTIF('04_Pinjaman'!$A$5:$A$1004,B820)=0,"NPP TIDAK DITEMUKAN",INDEX('04_Pinjaman'!$C$5:$C$1004,MATCH(B820,'04_Pinjaman'!$A$5:$A$1004,0))))</f>
        <v/>
      </c>
      <c r="E820" s="22"/>
      <c r="F820" s="23"/>
      <c r="G820" s="21"/>
    </row>
    <row r="821" spans="1:7" ht="21" customHeight="1">
      <c r="A821" s="20" t="str">
        <f t="shared" si="13"/>
        <v/>
      </c>
      <c r="B821" s="21"/>
      <c r="C821" s="20" t="str">
        <f>IF(B821="","",IF(COUNTIF('04_Pinjaman'!$A$5:$A$1004,B821)=0,"NO PINJAMAN TIDAK DITEMUKAN",INDEX('04_Pinjaman'!$B$5:$B$1004,MATCH(B821,'04_Pinjaman'!$A$5:$A$1004,0))))</f>
        <v/>
      </c>
      <c r="D821" s="20" t="str">
        <f>IF(B821="","",IF(COUNTIF('04_Pinjaman'!$A$5:$A$1004,B821)=0,"NPP TIDAK DITEMUKAN",INDEX('04_Pinjaman'!$C$5:$C$1004,MATCH(B821,'04_Pinjaman'!$A$5:$A$1004,0))))</f>
        <v/>
      </c>
      <c r="E821" s="22"/>
      <c r="F821" s="23"/>
      <c r="G821" s="21"/>
    </row>
    <row r="822" spans="1:7" ht="21" customHeight="1">
      <c r="A822" s="20" t="str">
        <f t="shared" si="13"/>
        <v/>
      </c>
      <c r="B822" s="21"/>
      <c r="C822" s="20" t="str">
        <f>IF(B822="","",IF(COUNTIF('04_Pinjaman'!$A$5:$A$1004,B822)=0,"NO PINJAMAN TIDAK DITEMUKAN",INDEX('04_Pinjaman'!$B$5:$B$1004,MATCH(B822,'04_Pinjaman'!$A$5:$A$1004,0))))</f>
        <v/>
      </c>
      <c r="D822" s="20" t="str">
        <f>IF(B822="","",IF(COUNTIF('04_Pinjaman'!$A$5:$A$1004,B822)=0,"NPP TIDAK DITEMUKAN",INDEX('04_Pinjaman'!$C$5:$C$1004,MATCH(B822,'04_Pinjaman'!$A$5:$A$1004,0))))</f>
        <v/>
      </c>
      <c r="E822" s="22"/>
      <c r="F822" s="23"/>
      <c r="G822" s="21"/>
    </row>
    <row r="823" spans="1:7" ht="21" customHeight="1">
      <c r="A823" s="20" t="str">
        <f t="shared" si="13"/>
        <v/>
      </c>
      <c r="B823" s="21"/>
      <c r="C823" s="20" t="str">
        <f>IF(B823="","",IF(COUNTIF('04_Pinjaman'!$A$5:$A$1004,B823)=0,"NO PINJAMAN TIDAK DITEMUKAN",INDEX('04_Pinjaman'!$B$5:$B$1004,MATCH(B823,'04_Pinjaman'!$A$5:$A$1004,0))))</f>
        <v/>
      </c>
      <c r="D823" s="20" t="str">
        <f>IF(B823="","",IF(COUNTIF('04_Pinjaman'!$A$5:$A$1004,B823)=0,"NPP TIDAK DITEMUKAN",INDEX('04_Pinjaman'!$C$5:$C$1004,MATCH(B823,'04_Pinjaman'!$A$5:$A$1004,0))))</f>
        <v/>
      </c>
      <c r="E823" s="22"/>
      <c r="F823" s="23"/>
      <c r="G823" s="21"/>
    </row>
    <row r="824" spans="1:7" ht="21" customHeight="1">
      <c r="A824" s="20" t="str">
        <f t="shared" si="13"/>
        <v/>
      </c>
      <c r="B824" s="21"/>
      <c r="C824" s="20" t="str">
        <f>IF(B824="","",IF(COUNTIF('04_Pinjaman'!$A$5:$A$1004,B824)=0,"NO PINJAMAN TIDAK DITEMUKAN",INDEX('04_Pinjaman'!$B$5:$B$1004,MATCH(B824,'04_Pinjaman'!$A$5:$A$1004,0))))</f>
        <v/>
      </c>
      <c r="D824" s="20" t="str">
        <f>IF(B824="","",IF(COUNTIF('04_Pinjaman'!$A$5:$A$1004,B824)=0,"NPP TIDAK DITEMUKAN",INDEX('04_Pinjaman'!$C$5:$C$1004,MATCH(B824,'04_Pinjaman'!$A$5:$A$1004,0))))</f>
        <v/>
      </c>
      <c r="E824" s="22"/>
      <c r="F824" s="23"/>
      <c r="G824" s="21"/>
    </row>
    <row r="825" spans="1:7" ht="21" customHeight="1">
      <c r="A825" s="20" t="str">
        <f t="shared" si="13"/>
        <v/>
      </c>
      <c r="B825" s="21"/>
      <c r="C825" s="20" t="str">
        <f>IF(B825="","",IF(COUNTIF('04_Pinjaman'!$A$5:$A$1004,B825)=0,"NO PINJAMAN TIDAK DITEMUKAN",INDEX('04_Pinjaman'!$B$5:$B$1004,MATCH(B825,'04_Pinjaman'!$A$5:$A$1004,0))))</f>
        <v/>
      </c>
      <c r="D825" s="20" t="str">
        <f>IF(B825="","",IF(COUNTIF('04_Pinjaman'!$A$5:$A$1004,B825)=0,"NPP TIDAK DITEMUKAN",INDEX('04_Pinjaman'!$C$5:$C$1004,MATCH(B825,'04_Pinjaman'!$A$5:$A$1004,0))))</f>
        <v/>
      </c>
      <c r="E825" s="22"/>
      <c r="F825" s="23"/>
      <c r="G825" s="21"/>
    </row>
    <row r="826" spans="1:7" ht="21" customHeight="1">
      <c r="A826" s="20" t="str">
        <f t="shared" si="13"/>
        <v/>
      </c>
      <c r="B826" s="21"/>
      <c r="C826" s="20" t="str">
        <f>IF(B826="","",IF(COUNTIF('04_Pinjaman'!$A$5:$A$1004,B826)=0,"NO PINJAMAN TIDAK DITEMUKAN",INDEX('04_Pinjaman'!$B$5:$B$1004,MATCH(B826,'04_Pinjaman'!$A$5:$A$1004,0))))</f>
        <v/>
      </c>
      <c r="D826" s="20" t="str">
        <f>IF(B826="","",IF(COUNTIF('04_Pinjaman'!$A$5:$A$1004,B826)=0,"NPP TIDAK DITEMUKAN",INDEX('04_Pinjaman'!$C$5:$C$1004,MATCH(B826,'04_Pinjaman'!$A$5:$A$1004,0))))</f>
        <v/>
      </c>
      <c r="E826" s="22"/>
      <c r="F826" s="23"/>
      <c r="G826" s="21"/>
    </row>
    <row r="827" spans="1:7" ht="21" customHeight="1">
      <c r="A827" s="20" t="str">
        <f t="shared" si="13"/>
        <v/>
      </c>
      <c r="B827" s="21"/>
      <c r="C827" s="20" t="str">
        <f>IF(B827="","",IF(COUNTIF('04_Pinjaman'!$A$5:$A$1004,B827)=0,"NO PINJAMAN TIDAK DITEMUKAN",INDEX('04_Pinjaman'!$B$5:$B$1004,MATCH(B827,'04_Pinjaman'!$A$5:$A$1004,0))))</f>
        <v/>
      </c>
      <c r="D827" s="20" t="str">
        <f>IF(B827="","",IF(COUNTIF('04_Pinjaman'!$A$5:$A$1004,B827)=0,"NPP TIDAK DITEMUKAN",INDEX('04_Pinjaman'!$C$5:$C$1004,MATCH(B827,'04_Pinjaman'!$A$5:$A$1004,0))))</f>
        <v/>
      </c>
      <c r="E827" s="22"/>
      <c r="F827" s="23"/>
      <c r="G827" s="21"/>
    </row>
    <row r="828" spans="1:7" ht="21" customHeight="1">
      <c r="A828" s="20" t="str">
        <f t="shared" si="13"/>
        <v/>
      </c>
      <c r="B828" s="21"/>
      <c r="C828" s="20" t="str">
        <f>IF(B828="","",IF(COUNTIF('04_Pinjaman'!$A$5:$A$1004,B828)=0,"NO PINJAMAN TIDAK DITEMUKAN",INDEX('04_Pinjaman'!$B$5:$B$1004,MATCH(B828,'04_Pinjaman'!$A$5:$A$1004,0))))</f>
        <v/>
      </c>
      <c r="D828" s="20" t="str">
        <f>IF(B828="","",IF(COUNTIF('04_Pinjaman'!$A$5:$A$1004,B828)=0,"NPP TIDAK DITEMUKAN",INDEX('04_Pinjaman'!$C$5:$C$1004,MATCH(B828,'04_Pinjaman'!$A$5:$A$1004,0))))</f>
        <v/>
      </c>
      <c r="E828" s="22"/>
      <c r="F828" s="23"/>
      <c r="G828" s="21"/>
    </row>
    <row r="829" spans="1:7" ht="21" customHeight="1">
      <c r="A829" s="20" t="str">
        <f t="shared" si="13"/>
        <v/>
      </c>
      <c r="B829" s="21"/>
      <c r="C829" s="20" t="str">
        <f>IF(B829="","",IF(COUNTIF('04_Pinjaman'!$A$5:$A$1004,B829)=0,"NO PINJAMAN TIDAK DITEMUKAN",INDEX('04_Pinjaman'!$B$5:$B$1004,MATCH(B829,'04_Pinjaman'!$A$5:$A$1004,0))))</f>
        <v/>
      </c>
      <c r="D829" s="20" t="str">
        <f>IF(B829="","",IF(COUNTIF('04_Pinjaman'!$A$5:$A$1004,B829)=0,"NPP TIDAK DITEMUKAN",INDEX('04_Pinjaman'!$C$5:$C$1004,MATCH(B829,'04_Pinjaman'!$A$5:$A$1004,0))))</f>
        <v/>
      </c>
      <c r="E829" s="22"/>
      <c r="F829" s="23"/>
      <c r="G829" s="21"/>
    </row>
    <row r="830" spans="1:7" ht="21" customHeight="1">
      <c r="A830" s="20" t="str">
        <f t="shared" si="13"/>
        <v/>
      </c>
      <c r="B830" s="21"/>
      <c r="C830" s="20" t="str">
        <f>IF(B830="","",IF(COUNTIF('04_Pinjaman'!$A$5:$A$1004,B830)=0,"NO PINJAMAN TIDAK DITEMUKAN",INDEX('04_Pinjaman'!$B$5:$B$1004,MATCH(B830,'04_Pinjaman'!$A$5:$A$1004,0))))</f>
        <v/>
      </c>
      <c r="D830" s="20" t="str">
        <f>IF(B830="","",IF(COUNTIF('04_Pinjaman'!$A$5:$A$1004,B830)=0,"NPP TIDAK DITEMUKAN",INDEX('04_Pinjaman'!$C$5:$C$1004,MATCH(B830,'04_Pinjaman'!$A$5:$A$1004,0))))</f>
        <v/>
      </c>
      <c r="E830" s="22"/>
      <c r="F830" s="23"/>
      <c r="G830" s="21"/>
    </row>
    <row r="831" spans="1:7" ht="21" customHeight="1">
      <c r="A831" s="20" t="str">
        <f t="shared" si="13"/>
        <v/>
      </c>
      <c r="B831" s="21"/>
      <c r="C831" s="20" t="str">
        <f>IF(B831="","",IF(COUNTIF('04_Pinjaman'!$A$5:$A$1004,B831)=0,"NO PINJAMAN TIDAK DITEMUKAN",INDEX('04_Pinjaman'!$B$5:$B$1004,MATCH(B831,'04_Pinjaman'!$A$5:$A$1004,0))))</f>
        <v/>
      </c>
      <c r="D831" s="20" t="str">
        <f>IF(B831="","",IF(COUNTIF('04_Pinjaman'!$A$5:$A$1004,B831)=0,"NPP TIDAK DITEMUKAN",INDEX('04_Pinjaman'!$C$5:$C$1004,MATCH(B831,'04_Pinjaman'!$A$5:$A$1004,0))))</f>
        <v/>
      </c>
      <c r="E831" s="22"/>
      <c r="F831" s="23"/>
      <c r="G831" s="21"/>
    </row>
    <row r="832" spans="1:7" ht="21" customHeight="1">
      <c r="A832" s="20" t="str">
        <f t="shared" si="13"/>
        <v/>
      </c>
      <c r="B832" s="21"/>
      <c r="C832" s="20" t="str">
        <f>IF(B832="","",IF(COUNTIF('04_Pinjaman'!$A$5:$A$1004,B832)=0,"NO PINJAMAN TIDAK DITEMUKAN",INDEX('04_Pinjaman'!$B$5:$B$1004,MATCH(B832,'04_Pinjaman'!$A$5:$A$1004,0))))</f>
        <v/>
      </c>
      <c r="D832" s="20" t="str">
        <f>IF(B832="","",IF(COUNTIF('04_Pinjaman'!$A$5:$A$1004,B832)=0,"NPP TIDAK DITEMUKAN",INDEX('04_Pinjaman'!$C$5:$C$1004,MATCH(B832,'04_Pinjaman'!$A$5:$A$1004,0))))</f>
        <v/>
      </c>
      <c r="E832" s="22"/>
      <c r="F832" s="23"/>
      <c r="G832" s="21"/>
    </row>
    <row r="833" spans="1:7" ht="21" customHeight="1">
      <c r="A833" s="20" t="str">
        <f t="shared" si="13"/>
        <v/>
      </c>
      <c r="B833" s="21"/>
      <c r="C833" s="20" t="str">
        <f>IF(B833="","",IF(COUNTIF('04_Pinjaman'!$A$5:$A$1004,B833)=0,"NO PINJAMAN TIDAK DITEMUKAN",INDEX('04_Pinjaman'!$B$5:$B$1004,MATCH(B833,'04_Pinjaman'!$A$5:$A$1004,0))))</f>
        <v/>
      </c>
      <c r="D833" s="20" t="str">
        <f>IF(B833="","",IF(COUNTIF('04_Pinjaman'!$A$5:$A$1004,B833)=0,"NPP TIDAK DITEMUKAN",INDEX('04_Pinjaman'!$C$5:$C$1004,MATCH(B833,'04_Pinjaman'!$A$5:$A$1004,0))))</f>
        <v/>
      </c>
      <c r="E833" s="22"/>
      <c r="F833" s="23"/>
      <c r="G833" s="21"/>
    </row>
    <row r="834" spans="1:7" ht="21" customHeight="1">
      <c r="A834" s="20" t="str">
        <f t="shared" si="13"/>
        <v/>
      </c>
      <c r="B834" s="21"/>
      <c r="C834" s="20" t="str">
        <f>IF(B834="","",IF(COUNTIF('04_Pinjaman'!$A$5:$A$1004,B834)=0,"NO PINJAMAN TIDAK DITEMUKAN",INDEX('04_Pinjaman'!$B$5:$B$1004,MATCH(B834,'04_Pinjaman'!$A$5:$A$1004,0))))</f>
        <v/>
      </c>
      <c r="D834" s="20" t="str">
        <f>IF(B834="","",IF(COUNTIF('04_Pinjaman'!$A$5:$A$1004,B834)=0,"NPP TIDAK DITEMUKAN",INDEX('04_Pinjaman'!$C$5:$C$1004,MATCH(B834,'04_Pinjaman'!$A$5:$A$1004,0))))</f>
        <v/>
      </c>
      <c r="E834" s="22"/>
      <c r="F834" s="23"/>
      <c r="G834" s="21"/>
    </row>
    <row r="835" spans="1:7" ht="21" customHeight="1">
      <c r="A835" s="20" t="str">
        <f t="shared" si="13"/>
        <v/>
      </c>
      <c r="B835" s="21"/>
      <c r="C835" s="20" t="str">
        <f>IF(B835="","",IF(COUNTIF('04_Pinjaman'!$A$5:$A$1004,B835)=0,"NO PINJAMAN TIDAK DITEMUKAN",INDEX('04_Pinjaman'!$B$5:$B$1004,MATCH(B835,'04_Pinjaman'!$A$5:$A$1004,0))))</f>
        <v/>
      </c>
      <c r="D835" s="20" t="str">
        <f>IF(B835="","",IF(COUNTIF('04_Pinjaman'!$A$5:$A$1004,B835)=0,"NPP TIDAK DITEMUKAN",INDEX('04_Pinjaman'!$C$5:$C$1004,MATCH(B835,'04_Pinjaman'!$A$5:$A$1004,0))))</f>
        <v/>
      </c>
      <c r="E835" s="22"/>
      <c r="F835" s="23"/>
      <c r="G835" s="21"/>
    </row>
    <row r="836" spans="1:7" ht="21" customHeight="1">
      <c r="A836" s="20" t="str">
        <f t="shared" si="13"/>
        <v/>
      </c>
      <c r="B836" s="21"/>
      <c r="C836" s="20" t="str">
        <f>IF(B836="","",IF(COUNTIF('04_Pinjaman'!$A$5:$A$1004,B836)=0,"NO PINJAMAN TIDAK DITEMUKAN",INDEX('04_Pinjaman'!$B$5:$B$1004,MATCH(B836,'04_Pinjaman'!$A$5:$A$1004,0))))</f>
        <v/>
      </c>
      <c r="D836" s="20" t="str">
        <f>IF(B836="","",IF(COUNTIF('04_Pinjaman'!$A$5:$A$1004,B836)=0,"NPP TIDAK DITEMUKAN",INDEX('04_Pinjaman'!$C$5:$C$1004,MATCH(B836,'04_Pinjaman'!$A$5:$A$1004,0))))</f>
        <v/>
      </c>
      <c r="E836" s="22"/>
      <c r="F836" s="23"/>
      <c r="G836" s="21"/>
    </row>
    <row r="837" spans="1:7" ht="21" customHeight="1">
      <c r="A837" s="20" t="str">
        <f t="shared" ref="A837:A900" si="14">IF(B837="","",ROW()-4)</f>
        <v/>
      </c>
      <c r="B837" s="21"/>
      <c r="C837" s="20" t="str">
        <f>IF(B837="","",IF(COUNTIF('04_Pinjaman'!$A$5:$A$1004,B837)=0,"NO PINJAMAN TIDAK DITEMUKAN",INDEX('04_Pinjaman'!$B$5:$B$1004,MATCH(B837,'04_Pinjaman'!$A$5:$A$1004,0))))</f>
        <v/>
      </c>
      <c r="D837" s="20" t="str">
        <f>IF(B837="","",IF(COUNTIF('04_Pinjaman'!$A$5:$A$1004,B837)=0,"NPP TIDAK DITEMUKAN",INDEX('04_Pinjaman'!$C$5:$C$1004,MATCH(B837,'04_Pinjaman'!$A$5:$A$1004,0))))</f>
        <v/>
      </c>
      <c r="E837" s="22"/>
      <c r="F837" s="23"/>
      <c r="G837" s="21"/>
    </row>
    <row r="838" spans="1:7" ht="21" customHeight="1">
      <c r="A838" s="20" t="str">
        <f t="shared" si="14"/>
        <v/>
      </c>
      <c r="B838" s="21"/>
      <c r="C838" s="20" t="str">
        <f>IF(B838="","",IF(COUNTIF('04_Pinjaman'!$A$5:$A$1004,B838)=0,"NO PINJAMAN TIDAK DITEMUKAN",INDEX('04_Pinjaman'!$B$5:$B$1004,MATCH(B838,'04_Pinjaman'!$A$5:$A$1004,0))))</f>
        <v/>
      </c>
      <c r="D838" s="20" t="str">
        <f>IF(B838="","",IF(COUNTIF('04_Pinjaman'!$A$5:$A$1004,B838)=0,"NPP TIDAK DITEMUKAN",INDEX('04_Pinjaman'!$C$5:$C$1004,MATCH(B838,'04_Pinjaman'!$A$5:$A$1004,0))))</f>
        <v/>
      </c>
      <c r="E838" s="22"/>
      <c r="F838" s="23"/>
      <c r="G838" s="21"/>
    </row>
    <row r="839" spans="1:7" ht="21" customHeight="1">
      <c r="A839" s="20" t="str">
        <f t="shared" si="14"/>
        <v/>
      </c>
      <c r="B839" s="21"/>
      <c r="C839" s="20" t="str">
        <f>IF(B839="","",IF(COUNTIF('04_Pinjaman'!$A$5:$A$1004,B839)=0,"NO PINJAMAN TIDAK DITEMUKAN",INDEX('04_Pinjaman'!$B$5:$B$1004,MATCH(B839,'04_Pinjaman'!$A$5:$A$1004,0))))</f>
        <v/>
      </c>
      <c r="D839" s="20" t="str">
        <f>IF(B839="","",IF(COUNTIF('04_Pinjaman'!$A$5:$A$1004,B839)=0,"NPP TIDAK DITEMUKAN",INDEX('04_Pinjaman'!$C$5:$C$1004,MATCH(B839,'04_Pinjaman'!$A$5:$A$1004,0))))</f>
        <v/>
      </c>
      <c r="E839" s="22"/>
      <c r="F839" s="23"/>
      <c r="G839" s="21"/>
    </row>
    <row r="840" spans="1:7" ht="21" customHeight="1">
      <c r="A840" s="20" t="str">
        <f t="shared" si="14"/>
        <v/>
      </c>
      <c r="B840" s="21"/>
      <c r="C840" s="20" t="str">
        <f>IF(B840="","",IF(COUNTIF('04_Pinjaman'!$A$5:$A$1004,B840)=0,"NO PINJAMAN TIDAK DITEMUKAN",INDEX('04_Pinjaman'!$B$5:$B$1004,MATCH(B840,'04_Pinjaman'!$A$5:$A$1004,0))))</f>
        <v/>
      </c>
      <c r="D840" s="20" t="str">
        <f>IF(B840="","",IF(COUNTIF('04_Pinjaman'!$A$5:$A$1004,B840)=0,"NPP TIDAK DITEMUKAN",INDEX('04_Pinjaman'!$C$5:$C$1004,MATCH(B840,'04_Pinjaman'!$A$5:$A$1004,0))))</f>
        <v/>
      </c>
      <c r="E840" s="22"/>
      <c r="F840" s="23"/>
      <c r="G840" s="21"/>
    </row>
    <row r="841" spans="1:7" ht="21" customHeight="1">
      <c r="A841" s="20" t="str">
        <f t="shared" si="14"/>
        <v/>
      </c>
      <c r="B841" s="21"/>
      <c r="C841" s="20" t="str">
        <f>IF(B841="","",IF(COUNTIF('04_Pinjaman'!$A$5:$A$1004,B841)=0,"NO PINJAMAN TIDAK DITEMUKAN",INDEX('04_Pinjaman'!$B$5:$B$1004,MATCH(B841,'04_Pinjaman'!$A$5:$A$1004,0))))</f>
        <v/>
      </c>
      <c r="D841" s="20" t="str">
        <f>IF(B841="","",IF(COUNTIF('04_Pinjaman'!$A$5:$A$1004,B841)=0,"NPP TIDAK DITEMUKAN",INDEX('04_Pinjaman'!$C$5:$C$1004,MATCH(B841,'04_Pinjaman'!$A$5:$A$1004,0))))</f>
        <v/>
      </c>
      <c r="E841" s="22"/>
      <c r="F841" s="23"/>
      <c r="G841" s="21"/>
    </row>
    <row r="842" spans="1:7" ht="21" customHeight="1">
      <c r="A842" s="20" t="str">
        <f t="shared" si="14"/>
        <v/>
      </c>
      <c r="B842" s="21"/>
      <c r="C842" s="20" t="str">
        <f>IF(B842="","",IF(COUNTIF('04_Pinjaman'!$A$5:$A$1004,B842)=0,"NO PINJAMAN TIDAK DITEMUKAN",INDEX('04_Pinjaman'!$B$5:$B$1004,MATCH(B842,'04_Pinjaman'!$A$5:$A$1004,0))))</f>
        <v/>
      </c>
      <c r="D842" s="20" t="str">
        <f>IF(B842="","",IF(COUNTIF('04_Pinjaman'!$A$5:$A$1004,B842)=0,"NPP TIDAK DITEMUKAN",INDEX('04_Pinjaman'!$C$5:$C$1004,MATCH(B842,'04_Pinjaman'!$A$5:$A$1004,0))))</f>
        <v/>
      </c>
      <c r="E842" s="22"/>
      <c r="F842" s="23"/>
      <c r="G842" s="21"/>
    </row>
    <row r="843" spans="1:7" ht="21" customHeight="1">
      <c r="A843" s="20" t="str">
        <f t="shared" si="14"/>
        <v/>
      </c>
      <c r="B843" s="21"/>
      <c r="C843" s="20" t="str">
        <f>IF(B843="","",IF(COUNTIF('04_Pinjaman'!$A$5:$A$1004,B843)=0,"NO PINJAMAN TIDAK DITEMUKAN",INDEX('04_Pinjaman'!$B$5:$B$1004,MATCH(B843,'04_Pinjaman'!$A$5:$A$1004,0))))</f>
        <v/>
      </c>
      <c r="D843" s="20" t="str">
        <f>IF(B843="","",IF(COUNTIF('04_Pinjaman'!$A$5:$A$1004,B843)=0,"NPP TIDAK DITEMUKAN",INDEX('04_Pinjaman'!$C$5:$C$1004,MATCH(B843,'04_Pinjaman'!$A$5:$A$1004,0))))</f>
        <v/>
      </c>
      <c r="E843" s="22"/>
      <c r="F843" s="23"/>
      <c r="G843" s="21"/>
    </row>
    <row r="844" spans="1:7" ht="21" customHeight="1">
      <c r="A844" s="20" t="str">
        <f t="shared" si="14"/>
        <v/>
      </c>
      <c r="B844" s="21"/>
      <c r="C844" s="20" t="str">
        <f>IF(B844="","",IF(COUNTIF('04_Pinjaman'!$A$5:$A$1004,B844)=0,"NO PINJAMAN TIDAK DITEMUKAN",INDEX('04_Pinjaman'!$B$5:$B$1004,MATCH(B844,'04_Pinjaman'!$A$5:$A$1004,0))))</f>
        <v/>
      </c>
      <c r="D844" s="20" t="str">
        <f>IF(B844="","",IF(COUNTIF('04_Pinjaman'!$A$5:$A$1004,B844)=0,"NPP TIDAK DITEMUKAN",INDEX('04_Pinjaman'!$C$5:$C$1004,MATCH(B844,'04_Pinjaman'!$A$5:$A$1004,0))))</f>
        <v/>
      </c>
      <c r="E844" s="22"/>
      <c r="F844" s="23"/>
      <c r="G844" s="21"/>
    </row>
    <row r="845" spans="1:7" ht="21" customHeight="1">
      <c r="A845" s="20" t="str">
        <f t="shared" si="14"/>
        <v/>
      </c>
      <c r="B845" s="21"/>
      <c r="C845" s="20" t="str">
        <f>IF(B845="","",IF(COUNTIF('04_Pinjaman'!$A$5:$A$1004,B845)=0,"NO PINJAMAN TIDAK DITEMUKAN",INDEX('04_Pinjaman'!$B$5:$B$1004,MATCH(B845,'04_Pinjaman'!$A$5:$A$1004,0))))</f>
        <v/>
      </c>
      <c r="D845" s="20" t="str">
        <f>IF(B845="","",IF(COUNTIF('04_Pinjaman'!$A$5:$A$1004,B845)=0,"NPP TIDAK DITEMUKAN",INDEX('04_Pinjaman'!$C$5:$C$1004,MATCH(B845,'04_Pinjaman'!$A$5:$A$1004,0))))</f>
        <v/>
      </c>
      <c r="E845" s="22"/>
      <c r="F845" s="23"/>
      <c r="G845" s="21"/>
    </row>
    <row r="846" spans="1:7" ht="21" customHeight="1">
      <c r="A846" s="20" t="str">
        <f t="shared" si="14"/>
        <v/>
      </c>
      <c r="B846" s="21"/>
      <c r="C846" s="20" t="str">
        <f>IF(B846="","",IF(COUNTIF('04_Pinjaman'!$A$5:$A$1004,B846)=0,"NO PINJAMAN TIDAK DITEMUKAN",INDEX('04_Pinjaman'!$B$5:$B$1004,MATCH(B846,'04_Pinjaman'!$A$5:$A$1004,0))))</f>
        <v/>
      </c>
      <c r="D846" s="20" t="str">
        <f>IF(B846="","",IF(COUNTIF('04_Pinjaman'!$A$5:$A$1004,B846)=0,"NPP TIDAK DITEMUKAN",INDEX('04_Pinjaman'!$C$5:$C$1004,MATCH(B846,'04_Pinjaman'!$A$5:$A$1004,0))))</f>
        <v/>
      </c>
      <c r="E846" s="22"/>
      <c r="F846" s="23"/>
      <c r="G846" s="21"/>
    </row>
    <row r="847" spans="1:7" ht="21" customHeight="1">
      <c r="A847" s="20" t="str">
        <f t="shared" si="14"/>
        <v/>
      </c>
      <c r="B847" s="21"/>
      <c r="C847" s="20" t="str">
        <f>IF(B847="","",IF(COUNTIF('04_Pinjaman'!$A$5:$A$1004,B847)=0,"NO PINJAMAN TIDAK DITEMUKAN",INDEX('04_Pinjaman'!$B$5:$B$1004,MATCH(B847,'04_Pinjaman'!$A$5:$A$1004,0))))</f>
        <v/>
      </c>
      <c r="D847" s="20" t="str">
        <f>IF(B847="","",IF(COUNTIF('04_Pinjaman'!$A$5:$A$1004,B847)=0,"NPP TIDAK DITEMUKAN",INDEX('04_Pinjaman'!$C$5:$C$1004,MATCH(B847,'04_Pinjaman'!$A$5:$A$1004,0))))</f>
        <v/>
      </c>
      <c r="E847" s="22"/>
      <c r="F847" s="23"/>
      <c r="G847" s="21"/>
    </row>
    <row r="848" spans="1:7" ht="21" customHeight="1">
      <c r="A848" s="20" t="str">
        <f t="shared" si="14"/>
        <v/>
      </c>
      <c r="B848" s="21"/>
      <c r="C848" s="20" t="str">
        <f>IF(B848="","",IF(COUNTIF('04_Pinjaman'!$A$5:$A$1004,B848)=0,"NO PINJAMAN TIDAK DITEMUKAN",INDEX('04_Pinjaman'!$B$5:$B$1004,MATCH(B848,'04_Pinjaman'!$A$5:$A$1004,0))))</f>
        <v/>
      </c>
      <c r="D848" s="20" t="str">
        <f>IF(B848="","",IF(COUNTIF('04_Pinjaman'!$A$5:$A$1004,B848)=0,"NPP TIDAK DITEMUKAN",INDEX('04_Pinjaman'!$C$5:$C$1004,MATCH(B848,'04_Pinjaman'!$A$5:$A$1004,0))))</f>
        <v/>
      </c>
      <c r="E848" s="22"/>
      <c r="F848" s="23"/>
      <c r="G848" s="21"/>
    </row>
    <row r="849" spans="1:7" ht="21" customHeight="1">
      <c r="A849" s="20" t="str">
        <f t="shared" si="14"/>
        <v/>
      </c>
      <c r="B849" s="21"/>
      <c r="C849" s="20" t="str">
        <f>IF(B849="","",IF(COUNTIF('04_Pinjaman'!$A$5:$A$1004,B849)=0,"NO PINJAMAN TIDAK DITEMUKAN",INDEX('04_Pinjaman'!$B$5:$B$1004,MATCH(B849,'04_Pinjaman'!$A$5:$A$1004,0))))</f>
        <v/>
      </c>
      <c r="D849" s="20" t="str">
        <f>IF(B849="","",IF(COUNTIF('04_Pinjaman'!$A$5:$A$1004,B849)=0,"NPP TIDAK DITEMUKAN",INDEX('04_Pinjaman'!$C$5:$C$1004,MATCH(B849,'04_Pinjaman'!$A$5:$A$1004,0))))</f>
        <v/>
      </c>
      <c r="E849" s="22"/>
      <c r="F849" s="23"/>
      <c r="G849" s="21"/>
    </row>
    <row r="850" spans="1:7" ht="21" customHeight="1">
      <c r="A850" s="20" t="str">
        <f t="shared" si="14"/>
        <v/>
      </c>
      <c r="B850" s="21"/>
      <c r="C850" s="20" t="str">
        <f>IF(B850="","",IF(COUNTIF('04_Pinjaman'!$A$5:$A$1004,B850)=0,"NO PINJAMAN TIDAK DITEMUKAN",INDEX('04_Pinjaman'!$B$5:$B$1004,MATCH(B850,'04_Pinjaman'!$A$5:$A$1004,0))))</f>
        <v/>
      </c>
      <c r="D850" s="20" t="str">
        <f>IF(B850="","",IF(COUNTIF('04_Pinjaman'!$A$5:$A$1004,B850)=0,"NPP TIDAK DITEMUKAN",INDEX('04_Pinjaman'!$C$5:$C$1004,MATCH(B850,'04_Pinjaman'!$A$5:$A$1004,0))))</f>
        <v/>
      </c>
      <c r="E850" s="22"/>
      <c r="F850" s="23"/>
      <c r="G850" s="21"/>
    </row>
    <row r="851" spans="1:7" ht="21" customHeight="1">
      <c r="A851" s="20" t="str">
        <f t="shared" si="14"/>
        <v/>
      </c>
      <c r="B851" s="21"/>
      <c r="C851" s="20" t="str">
        <f>IF(B851="","",IF(COUNTIF('04_Pinjaman'!$A$5:$A$1004,B851)=0,"NO PINJAMAN TIDAK DITEMUKAN",INDEX('04_Pinjaman'!$B$5:$B$1004,MATCH(B851,'04_Pinjaman'!$A$5:$A$1004,0))))</f>
        <v/>
      </c>
      <c r="D851" s="20" t="str">
        <f>IF(B851="","",IF(COUNTIF('04_Pinjaman'!$A$5:$A$1004,B851)=0,"NPP TIDAK DITEMUKAN",INDEX('04_Pinjaman'!$C$5:$C$1004,MATCH(B851,'04_Pinjaman'!$A$5:$A$1004,0))))</f>
        <v/>
      </c>
      <c r="E851" s="22"/>
      <c r="F851" s="23"/>
      <c r="G851" s="21"/>
    </row>
    <row r="852" spans="1:7" ht="21" customHeight="1">
      <c r="A852" s="20" t="str">
        <f t="shared" si="14"/>
        <v/>
      </c>
      <c r="B852" s="21"/>
      <c r="C852" s="20" t="str">
        <f>IF(B852="","",IF(COUNTIF('04_Pinjaman'!$A$5:$A$1004,B852)=0,"NO PINJAMAN TIDAK DITEMUKAN",INDEX('04_Pinjaman'!$B$5:$B$1004,MATCH(B852,'04_Pinjaman'!$A$5:$A$1004,0))))</f>
        <v/>
      </c>
      <c r="D852" s="20" t="str">
        <f>IF(B852="","",IF(COUNTIF('04_Pinjaman'!$A$5:$A$1004,B852)=0,"NPP TIDAK DITEMUKAN",INDEX('04_Pinjaman'!$C$5:$C$1004,MATCH(B852,'04_Pinjaman'!$A$5:$A$1004,0))))</f>
        <v/>
      </c>
      <c r="E852" s="22"/>
      <c r="F852" s="23"/>
      <c r="G852" s="21"/>
    </row>
    <row r="853" spans="1:7" ht="21" customHeight="1">
      <c r="A853" s="20" t="str">
        <f t="shared" si="14"/>
        <v/>
      </c>
      <c r="B853" s="21"/>
      <c r="C853" s="20" t="str">
        <f>IF(B853="","",IF(COUNTIF('04_Pinjaman'!$A$5:$A$1004,B853)=0,"NO PINJAMAN TIDAK DITEMUKAN",INDEX('04_Pinjaman'!$B$5:$B$1004,MATCH(B853,'04_Pinjaman'!$A$5:$A$1004,0))))</f>
        <v/>
      </c>
      <c r="D853" s="20" t="str">
        <f>IF(B853="","",IF(COUNTIF('04_Pinjaman'!$A$5:$A$1004,B853)=0,"NPP TIDAK DITEMUKAN",INDEX('04_Pinjaman'!$C$5:$C$1004,MATCH(B853,'04_Pinjaman'!$A$5:$A$1004,0))))</f>
        <v/>
      </c>
      <c r="E853" s="22"/>
      <c r="F853" s="23"/>
      <c r="G853" s="21"/>
    </row>
    <row r="854" spans="1:7" ht="21" customHeight="1">
      <c r="A854" s="20" t="str">
        <f t="shared" si="14"/>
        <v/>
      </c>
      <c r="B854" s="21"/>
      <c r="C854" s="20" t="str">
        <f>IF(B854="","",IF(COUNTIF('04_Pinjaman'!$A$5:$A$1004,B854)=0,"NO PINJAMAN TIDAK DITEMUKAN",INDEX('04_Pinjaman'!$B$5:$B$1004,MATCH(B854,'04_Pinjaman'!$A$5:$A$1004,0))))</f>
        <v/>
      </c>
      <c r="D854" s="20" t="str">
        <f>IF(B854="","",IF(COUNTIF('04_Pinjaman'!$A$5:$A$1004,B854)=0,"NPP TIDAK DITEMUKAN",INDEX('04_Pinjaman'!$C$5:$C$1004,MATCH(B854,'04_Pinjaman'!$A$5:$A$1004,0))))</f>
        <v/>
      </c>
      <c r="E854" s="22"/>
      <c r="F854" s="23"/>
      <c r="G854" s="21"/>
    </row>
    <row r="855" spans="1:7" ht="21" customHeight="1">
      <c r="A855" s="20" t="str">
        <f t="shared" si="14"/>
        <v/>
      </c>
      <c r="B855" s="21"/>
      <c r="C855" s="20" t="str">
        <f>IF(B855="","",IF(COUNTIF('04_Pinjaman'!$A$5:$A$1004,B855)=0,"NO PINJAMAN TIDAK DITEMUKAN",INDEX('04_Pinjaman'!$B$5:$B$1004,MATCH(B855,'04_Pinjaman'!$A$5:$A$1004,0))))</f>
        <v/>
      </c>
      <c r="D855" s="20" t="str">
        <f>IF(B855="","",IF(COUNTIF('04_Pinjaman'!$A$5:$A$1004,B855)=0,"NPP TIDAK DITEMUKAN",INDEX('04_Pinjaman'!$C$5:$C$1004,MATCH(B855,'04_Pinjaman'!$A$5:$A$1004,0))))</f>
        <v/>
      </c>
      <c r="E855" s="22"/>
      <c r="F855" s="23"/>
      <c r="G855" s="21"/>
    </row>
    <row r="856" spans="1:7" ht="21" customHeight="1">
      <c r="A856" s="20" t="str">
        <f t="shared" si="14"/>
        <v/>
      </c>
      <c r="B856" s="21"/>
      <c r="C856" s="20" t="str">
        <f>IF(B856="","",IF(COUNTIF('04_Pinjaman'!$A$5:$A$1004,B856)=0,"NO PINJAMAN TIDAK DITEMUKAN",INDEX('04_Pinjaman'!$B$5:$B$1004,MATCH(B856,'04_Pinjaman'!$A$5:$A$1004,0))))</f>
        <v/>
      </c>
      <c r="D856" s="20" t="str">
        <f>IF(B856="","",IF(COUNTIF('04_Pinjaman'!$A$5:$A$1004,B856)=0,"NPP TIDAK DITEMUKAN",INDEX('04_Pinjaman'!$C$5:$C$1004,MATCH(B856,'04_Pinjaman'!$A$5:$A$1004,0))))</f>
        <v/>
      </c>
      <c r="E856" s="22"/>
      <c r="F856" s="23"/>
      <c r="G856" s="21"/>
    </row>
    <row r="857" spans="1:7" ht="21" customHeight="1">
      <c r="A857" s="20" t="str">
        <f t="shared" si="14"/>
        <v/>
      </c>
      <c r="B857" s="21"/>
      <c r="C857" s="20" t="str">
        <f>IF(B857="","",IF(COUNTIF('04_Pinjaman'!$A$5:$A$1004,B857)=0,"NO PINJAMAN TIDAK DITEMUKAN",INDEX('04_Pinjaman'!$B$5:$B$1004,MATCH(B857,'04_Pinjaman'!$A$5:$A$1004,0))))</f>
        <v/>
      </c>
      <c r="D857" s="20" t="str">
        <f>IF(B857="","",IF(COUNTIF('04_Pinjaman'!$A$5:$A$1004,B857)=0,"NPP TIDAK DITEMUKAN",INDEX('04_Pinjaman'!$C$5:$C$1004,MATCH(B857,'04_Pinjaman'!$A$5:$A$1004,0))))</f>
        <v/>
      </c>
      <c r="E857" s="22"/>
      <c r="F857" s="23"/>
      <c r="G857" s="21"/>
    </row>
    <row r="858" spans="1:7" ht="21" customHeight="1">
      <c r="A858" s="20" t="str">
        <f t="shared" si="14"/>
        <v/>
      </c>
      <c r="B858" s="21"/>
      <c r="C858" s="20" t="str">
        <f>IF(B858="","",IF(COUNTIF('04_Pinjaman'!$A$5:$A$1004,B858)=0,"NO PINJAMAN TIDAK DITEMUKAN",INDEX('04_Pinjaman'!$B$5:$B$1004,MATCH(B858,'04_Pinjaman'!$A$5:$A$1004,0))))</f>
        <v/>
      </c>
      <c r="D858" s="20" t="str">
        <f>IF(B858="","",IF(COUNTIF('04_Pinjaman'!$A$5:$A$1004,B858)=0,"NPP TIDAK DITEMUKAN",INDEX('04_Pinjaman'!$C$5:$C$1004,MATCH(B858,'04_Pinjaman'!$A$5:$A$1004,0))))</f>
        <v/>
      </c>
      <c r="E858" s="22"/>
      <c r="F858" s="23"/>
      <c r="G858" s="21"/>
    </row>
    <row r="859" spans="1:7" ht="21" customHeight="1">
      <c r="A859" s="20" t="str">
        <f t="shared" si="14"/>
        <v/>
      </c>
      <c r="B859" s="21"/>
      <c r="C859" s="20" t="str">
        <f>IF(B859="","",IF(COUNTIF('04_Pinjaman'!$A$5:$A$1004,B859)=0,"NO PINJAMAN TIDAK DITEMUKAN",INDEX('04_Pinjaman'!$B$5:$B$1004,MATCH(B859,'04_Pinjaman'!$A$5:$A$1004,0))))</f>
        <v/>
      </c>
      <c r="D859" s="20" t="str">
        <f>IF(B859="","",IF(COUNTIF('04_Pinjaman'!$A$5:$A$1004,B859)=0,"NPP TIDAK DITEMUKAN",INDEX('04_Pinjaman'!$C$5:$C$1004,MATCH(B859,'04_Pinjaman'!$A$5:$A$1004,0))))</f>
        <v/>
      </c>
      <c r="E859" s="22"/>
      <c r="F859" s="23"/>
      <c r="G859" s="21"/>
    </row>
    <row r="860" spans="1:7" ht="21" customHeight="1">
      <c r="A860" s="20" t="str">
        <f t="shared" si="14"/>
        <v/>
      </c>
      <c r="B860" s="21"/>
      <c r="C860" s="20" t="str">
        <f>IF(B860="","",IF(COUNTIF('04_Pinjaman'!$A$5:$A$1004,B860)=0,"NO PINJAMAN TIDAK DITEMUKAN",INDEX('04_Pinjaman'!$B$5:$B$1004,MATCH(B860,'04_Pinjaman'!$A$5:$A$1004,0))))</f>
        <v/>
      </c>
      <c r="D860" s="20" t="str">
        <f>IF(B860="","",IF(COUNTIF('04_Pinjaman'!$A$5:$A$1004,B860)=0,"NPP TIDAK DITEMUKAN",INDEX('04_Pinjaman'!$C$5:$C$1004,MATCH(B860,'04_Pinjaman'!$A$5:$A$1004,0))))</f>
        <v/>
      </c>
      <c r="E860" s="22"/>
      <c r="F860" s="23"/>
      <c r="G860" s="21"/>
    </row>
    <row r="861" spans="1:7" ht="21" customHeight="1">
      <c r="A861" s="20" t="str">
        <f t="shared" si="14"/>
        <v/>
      </c>
      <c r="B861" s="21"/>
      <c r="C861" s="20" t="str">
        <f>IF(B861="","",IF(COUNTIF('04_Pinjaman'!$A$5:$A$1004,B861)=0,"NO PINJAMAN TIDAK DITEMUKAN",INDEX('04_Pinjaman'!$B$5:$B$1004,MATCH(B861,'04_Pinjaman'!$A$5:$A$1004,0))))</f>
        <v/>
      </c>
      <c r="D861" s="20" t="str">
        <f>IF(B861="","",IF(COUNTIF('04_Pinjaman'!$A$5:$A$1004,B861)=0,"NPP TIDAK DITEMUKAN",INDEX('04_Pinjaman'!$C$5:$C$1004,MATCH(B861,'04_Pinjaman'!$A$5:$A$1004,0))))</f>
        <v/>
      </c>
      <c r="E861" s="22"/>
      <c r="F861" s="23"/>
      <c r="G861" s="21"/>
    </row>
    <row r="862" spans="1:7" ht="21" customHeight="1">
      <c r="A862" s="20" t="str">
        <f t="shared" si="14"/>
        <v/>
      </c>
      <c r="B862" s="21"/>
      <c r="C862" s="20" t="str">
        <f>IF(B862="","",IF(COUNTIF('04_Pinjaman'!$A$5:$A$1004,B862)=0,"NO PINJAMAN TIDAK DITEMUKAN",INDEX('04_Pinjaman'!$B$5:$B$1004,MATCH(B862,'04_Pinjaman'!$A$5:$A$1004,0))))</f>
        <v/>
      </c>
      <c r="D862" s="20" t="str">
        <f>IF(B862="","",IF(COUNTIF('04_Pinjaman'!$A$5:$A$1004,B862)=0,"NPP TIDAK DITEMUKAN",INDEX('04_Pinjaman'!$C$5:$C$1004,MATCH(B862,'04_Pinjaman'!$A$5:$A$1004,0))))</f>
        <v/>
      </c>
      <c r="E862" s="22"/>
      <c r="F862" s="23"/>
      <c r="G862" s="21"/>
    </row>
    <row r="863" spans="1:7" ht="21" customHeight="1">
      <c r="A863" s="20" t="str">
        <f t="shared" si="14"/>
        <v/>
      </c>
      <c r="B863" s="21"/>
      <c r="C863" s="20" t="str">
        <f>IF(B863="","",IF(COUNTIF('04_Pinjaman'!$A$5:$A$1004,B863)=0,"NO PINJAMAN TIDAK DITEMUKAN",INDEX('04_Pinjaman'!$B$5:$B$1004,MATCH(B863,'04_Pinjaman'!$A$5:$A$1004,0))))</f>
        <v/>
      </c>
      <c r="D863" s="20" t="str">
        <f>IF(B863="","",IF(COUNTIF('04_Pinjaman'!$A$5:$A$1004,B863)=0,"NPP TIDAK DITEMUKAN",INDEX('04_Pinjaman'!$C$5:$C$1004,MATCH(B863,'04_Pinjaman'!$A$5:$A$1004,0))))</f>
        <v/>
      </c>
      <c r="E863" s="22"/>
      <c r="F863" s="23"/>
      <c r="G863" s="21"/>
    </row>
    <row r="864" spans="1:7" ht="21" customHeight="1">
      <c r="A864" s="20" t="str">
        <f t="shared" si="14"/>
        <v/>
      </c>
      <c r="B864" s="21"/>
      <c r="C864" s="20" t="str">
        <f>IF(B864="","",IF(COUNTIF('04_Pinjaman'!$A$5:$A$1004,B864)=0,"NO PINJAMAN TIDAK DITEMUKAN",INDEX('04_Pinjaman'!$B$5:$B$1004,MATCH(B864,'04_Pinjaman'!$A$5:$A$1004,0))))</f>
        <v/>
      </c>
      <c r="D864" s="20" t="str">
        <f>IF(B864="","",IF(COUNTIF('04_Pinjaman'!$A$5:$A$1004,B864)=0,"NPP TIDAK DITEMUKAN",INDEX('04_Pinjaman'!$C$5:$C$1004,MATCH(B864,'04_Pinjaman'!$A$5:$A$1004,0))))</f>
        <v/>
      </c>
      <c r="E864" s="22"/>
      <c r="F864" s="23"/>
      <c r="G864" s="21"/>
    </row>
    <row r="865" spans="1:7" ht="21" customHeight="1">
      <c r="A865" s="20" t="str">
        <f t="shared" si="14"/>
        <v/>
      </c>
      <c r="B865" s="21"/>
      <c r="C865" s="20" t="str">
        <f>IF(B865="","",IF(COUNTIF('04_Pinjaman'!$A$5:$A$1004,B865)=0,"NO PINJAMAN TIDAK DITEMUKAN",INDEX('04_Pinjaman'!$B$5:$B$1004,MATCH(B865,'04_Pinjaman'!$A$5:$A$1004,0))))</f>
        <v/>
      </c>
      <c r="D865" s="20" t="str">
        <f>IF(B865="","",IF(COUNTIF('04_Pinjaman'!$A$5:$A$1004,B865)=0,"NPP TIDAK DITEMUKAN",INDEX('04_Pinjaman'!$C$5:$C$1004,MATCH(B865,'04_Pinjaman'!$A$5:$A$1004,0))))</f>
        <v/>
      </c>
      <c r="E865" s="22"/>
      <c r="F865" s="23"/>
      <c r="G865" s="21"/>
    </row>
    <row r="866" spans="1:7" ht="21" customHeight="1">
      <c r="A866" s="20" t="str">
        <f t="shared" si="14"/>
        <v/>
      </c>
      <c r="B866" s="21"/>
      <c r="C866" s="20" t="str">
        <f>IF(B866="","",IF(COUNTIF('04_Pinjaman'!$A$5:$A$1004,B866)=0,"NO PINJAMAN TIDAK DITEMUKAN",INDEX('04_Pinjaman'!$B$5:$B$1004,MATCH(B866,'04_Pinjaman'!$A$5:$A$1004,0))))</f>
        <v/>
      </c>
      <c r="D866" s="20" t="str">
        <f>IF(B866="","",IF(COUNTIF('04_Pinjaman'!$A$5:$A$1004,B866)=0,"NPP TIDAK DITEMUKAN",INDEX('04_Pinjaman'!$C$5:$C$1004,MATCH(B866,'04_Pinjaman'!$A$5:$A$1004,0))))</f>
        <v/>
      </c>
      <c r="E866" s="22"/>
      <c r="F866" s="23"/>
      <c r="G866" s="21"/>
    </row>
    <row r="867" spans="1:7" ht="21" customHeight="1">
      <c r="A867" s="20" t="str">
        <f t="shared" si="14"/>
        <v/>
      </c>
      <c r="B867" s="21"/>
      <c r="C867" s="20" t="str">
        <f>IF(B867="","",IF(COUNTIF('04_Pinjaman'!$A$5:$A$1004,B867)=0,"NO PINJAMAN TIDAK DITEMUKAN",INDEX('04_Pinjaman'!$B$5:$B$1004,MATCH(B867,'04_Pinjaman'!$A$5:$A$1004,0))))</f>
        <v/>
      </c>
      <c r="D867" s="20" t="str">
        <f>IF(B867="","",IF(COUNTIF('04_Pinjaman'!$A$5:$A$1004,B867)=0,"NPP TIDAK DITEMUKAN",INDEX('04_Pinjaman'!$C$5:$C$1004,MATCH(B867,'04_Pinjaman'!$A$5:$A$1004,0))))</f>
        <v/>
      </c>
      <c r="E867" s="22"/>
      <c r="F867" s="23"/>
      <c r="G867" s="21"/>
    </row>
    <row r="868" spans="1:7" ht="21" customHeight="1">
      <c r="A868" s="20" t="str">
        <f t="shared" si="14"/>
        <v/>
      </c>
      <c r="B868" s="21"/>
      <c r="C868" s="20" t="str">
        <f>IF(B868="","",IF(COUNTIF('04_Pinjaman'!$A$5:$A$1004,B868)=0,"NO PINJAMAN TIDAK DITEMUKAN",INDEX('04_Pinjaman'!$B$5:$B$1004,MATCH(B868,'04_Pinjaman'!$A$5:$A$1004,0))))</f>
        <v/>
      </c>
      <c r="D868" s="20" t="str">
        <f>IF(B868="","",IF(COUNTIF('04_Pinjaman'!$A$5:$A$1004,B868)=0,"NPP TIDAK DITEMUKAN",INDEX('04_Pinjaman'!$C$5:$C$1004,MATCH(B868,'04_Pinjaman'!$A$5:$A$1004,0))))</f>
        <v/>
      </c>
      <c r="E868" s="22"/>
      <c r="F868" s="23"/>
      <c r="G868" s="21"/>
    </row>
    <row r="869" spans="1:7" ht="21" customHeight="1">
      <c r="A869" s="20" t="str">
        <f t="shared" si="14"/>
        <v/>
      </c>
      <c r="B869" s="21"/>
      <c r="C869" s="20" t="str">
        <f>IF(B869="","",IF(COUNTIF('04_Pinjaman'!$A$5:$A$1004,B869)=0,"NO PINJAMAN TIDAK DITEMUKAN",INDEX('04_Pinjaman'!$B$5:$B$1004,MATCH(B869,'04_Pinjaman'!$A$5:$A$1004,0))))</f>
        <v/>
      </c>
      <c r="D869" s="20" t="str">
        <f>IF(B869="","",IF(COUNTIF('04_Pinjaman'!$A$5:$A$1004,B869)=0,"NPP TIDAK DITEMUKAN",INDEX('04_Pinjaman'!$C$5:$C$1004,MATCH(B869,'04_Pinjaman'!$A$5:$A$1004,0))))</f>
        <v/>
      </c>
      <c r="E869" s="22"/>
      <c r="F869" s="23"/>
      <c r="G869" s="21"/>
    </row>
    <row r="870" spans="1:7" ht="21" customHeight="1">
      <c r="A870" s="20" t="str">
        <f t="shared" si="14"/>
        <v/>
      </c>
      <c r="B870" s="21"/>
      <c r="C870" s="20" t="str">
        <f>IF(B870="","",IF(COUNTIF('04_Pinjaman'!$A$5:$A$1004,B870)=0,"NO PINJAMAN TIDAK DITEMUKAN",INDEX('04_Pinjaman'!$B$5:$B$1004,MATCH(B870,'04_Pinjaman'!$A$5:$A$1004,0))))</f>
        <v/>
      </c>
      <c r="D870" s="20" t="str">
        <f>IF(B870="","",IF(COUNTIF('04_Pinjaman'!$A$5:$A$1004,B870)=0,"NPP TIDAK DITEMUKAN",INDEX('04_Pinjaman'!$C$5:$C$1004,MATCH(B870,'04_Pinjaman'!$A$5:$A$1004,0))))</f>
        <v/>
      </c>
      <c r="E870" s="22"/>
      <c r="F870" s="23"/>
      <c r="G870" s="21"/>
    </row>
    <row r="871" spans="1:7" ht="21" customHeight="1">
      <c r="A871" s="20" t="str">
        <f t="shared" si="14"/>
        <v/>
      </c>
      <c r="B871" s="21"/>
      <c r="C871" s="20" t="str">
        <f>IF(B871="","",IF(COUNTIF('04_Pinjaman'!$A$5:$A$1004,B871)=0,"NO PINJAMAN TIDAK DITEMUKAN",INDEX('04_Pinjaman'!$B$5:$B$1004,MATCH(B871,'04_Pinjaman'!$A$5:$A$1004,0))))</f>
        <v/>
      </c>
      <c r="D871" s="20" t="str">
        <f>IF(B871="","",IF(COUNTIF('04_Pinjaman'!$A$5:$A$1004,B871)=0,"NPP TIDAK DITEMUKAN",INDEX('04_Pinjaman'!$C$5:$C$1004,MATCH(B871,'04_Pinjaman'!$A$5:$A$1004,0))))</f>
        <v/>
      </c>
      <c r="E871" s="22"/>
      <c r="F871" s="23"/>
      <c r="G871" s="21"/>
    </row>
    <row r="872" spans="1:7" ht="21" customHeight="1">
      <c r="A872" s="20" t="str">
        <f t="shared" si="14"/>
        <v/>
      </c>
      <c r="B872" s="21"/>
      <c r="C872" s="20" t="str">
        <f>IF(B872="","",IF(COUNTIF('04_Pinjaman'!$A$5:$A$1004,B872)=0,"NO PINJAMAN TIDAK DITEMUKAN",INDEX('04_Pinjaman'!$B$5:$B$1004,MATCH(B872,'04_Pinjaman'!$A$5:$A$1004,0))))</f>
        <v/>
      </c>
      <c r="D872" s="20" t="str">
        <f>IF(B872="","",IF(COUNTIF('04_Pinjaman'!$A$5:$A$1004,B872)=0,"NPP TIDAK DITEMUKAN",INDEX('04_Pinjaman'!$C$5:$C$1004,MATCH(B872,'04_Pinjaman'!$A$5:$A$1004,0))))</f>
        <v/>
      </c>
      <c r="E872" s="22"/>
      <c r="F872" s="23"/>
      <c r="G872" s="21"/>
    </row>
    <row r="873" spans="1:7" ht="21" customHeight="1">
      <c r="A873" s="20" t="str">
        <f t="shared" si="14"/>
        <v/>
      </c>
      <c r="B873" s="21"/>
      <c r="C873" s="20" t="str">
        <f>IF(B873="","",IF(COUNTIF('04_Pinjaman'!$A$5:$A$1004,B873)=0,"NO PINJAMAN TIDAK DITEMUKAN",INDEX('04_Pinjaman'!$B$5:$B$1004,MATCH(B873,'04_Pinjaman'!$A$5:$A$1004,0))))</f>
        <v/>
      </c>
      <c r="D873" s="20" t="str">
        <f>IF(B873="","",IF(COUNTIF('04_Pinjaman'!$A$5:$A$1004,B873)=0,"NPP TIDAK DITEMUKAN",INDEX('04_Pinjaman'!$C$5:$C$1004,MATCH(B873,'04_Pinjaman'!$A$5:$A$1004,0))))</f>
        <v/>
      </c>
      <c r="E873" s="22"/>
      <c r="F873" s="23"/>
      <c r="G873" s="21"/>
    </row>
    <row r="874" spans="1:7" ht="21" customHeight="1">
      <c r="A874" s="20" t="str">
        <f t="shared" si="14"/>
        <v/>
      </c>
      <c r="B874" s="21"/>
      <c r="C874" s="20" t="str">
        <f>IF(B874="","",IF(COUNTIF('04_Pinjaman'!$A$5:$A$1004,B874)=0,"NO PINJAMAN TIDAK DITEMUKAN",INDEX('04_Pinjaman'!$B$5:$B$1004,MATCH(B874,'04_Pinjaman'!$A$5:$A$1004,0))))</f>
        <v/>
      </c>
      <c r="D874" s="20" t="str">
        <f>IF(B874="","",IF(COUNTIF('04_Pinjaman'!$A$5:$A$1004,B874)=0,"NPP TIDAK DITEMUKAN",INDEX('04_Pinjaman'!$C$5:$C$1004,MATCH(B874,'04_Pinjaman'!$A$5:$A$1004,0))))</f>
        <v/>
      </c>
      <c r="E874" s="22"/>
      <c r="F874" s="23"/>
      <c r="G874" s="21"/>
    </row>
    <row r="875" spans="1:7" ht="21" customHeight="1">
      <c r="A875" s="20" t="str">
        <f t="shared" si="14"/>
        <v/>
      </c>
      <c r="B875" s="21"/>
      <c r="C875" s="20" t="str">
        <f>IF(B875="","",IF(COUNTIF('04_Pinjaman'!$A$5:$A$1004,B875)=0,"NO PINJAMAN TIDAK DITEMUKAN",INDEX('04_Pinjaman'!$B$5:$B$1004,MATCH(B875,'04_Pinjaman'!$A$5:$A$1004,0))))</f>
        <v/>
      </c>
      <c r="D875" s="20" t="str">
        <f>IF(B875="","",IF(COUNTIF('04_Pinjaman'!$A$5:$A$1004,B875)=0,"NPP TIDAK DITEMUKAN",INDEX('04_Pinjaman'!$C$5:$C$1004,MATCH(B875,'04_Pinjaman'!$A$5:$A$1004,0))))</f>
        <v/>
      </c>
      <c r="E875" s="22"/>
      <c r="F875" s="23"/>
      <c r="G875" s="21"/>
    </row>
    <row r="876" spans="1:7" ht="21" customHeight="1">
      <c r="A876" s="20" t="str">
        <f t="shared" si="14"/>
        <v/>
      </c>
      <c r="B876" s="21"/>
      <c r="C876" s="20" t="str">
        <f>IF(B876="","",IF(COUNTIF('04_Pinjaman'!$A$5:$A$1004,B876)=0,"NO PINJAMAN TIDAK DITEMUKAN",INDEX('04_Pinjaman'!$B$5:$B$1004,MATCH(B876,'04_Pinjaman'!$A$5:$A$1004,0))))</f>
        <v/>
      </c>
      <c r="D876" s="20" t="str">
        <f>IF(B876="","",IF(COUNTIF('04_Pinjaman'!$A$5:$A$1004,B876)=0,"NPP TIDAK DITEMUKAN",INDEX('04_Pinjaman'!$C$5:$C$1004,MATCH(B876,'04_Pinjaman'!$A$5:$A$1004,0))))</f>
        <v/>
      </c>
      <c r="E876" s="22"/>
      <c r="F876" s="23"/>
      <c r="G876" s="21"/>
    </row>
    <row r="877" spans="1:7" ht="21" customHeight="1">
      <c r="A877" s="20" t="str">
        <f t="shared" si="14"/>
        <v/>
      </c>
      <c r="B877" s="21"/>
      <c r="C877" s="20" t="str">
        <f>IF(B877="","",IF(COUNTIF('04_Pinjaman'!$A$5:$A$1004,B877)=0,"NO PINJAMAN TIDAK DITEMUKAN",INDEX('04_Pinjaman'!$B$5:$B$1004,MATCH(B877,'04_Pinjaman'!$A$5:$A$1004,0))))</f>
        <v/>
      </c>
      <c r="D877" s="20" t="str">
        <f>IF(B877="","",IF(COUNTIF('04_Pinjaman'!$A$5:$A$1004,B877)=0,"NPP TIDAK DITEMUKAN",INDEX('04_Pinjaman'!$C$5:$C$1004,MATCH(B877,'04_Pinjaman'!$A$5:$A$1004,0))))</f>
        <v/>
      </c>
      <c r="E877" s="22"/>
      <c r="F877" s="23"/>
      <c r="G877" s="21"/>
    </row>
    <row r="878" spans="1:7" ht="21" customHeight="1">
      <c r="A878" s="20" t="str">
        <f t="shared" si="14"/>
        <v/>
      </c>
      <c r="B878" s="21"/>
      <c r="C878" s="20" t="str">
        <f>IF(B878="","",IF(COUNTIF('04_Pinjaman'!$A$5:$A$1004,B878)=0,"NO PINJAMAN TIDAK DITEMUKAN",INDEX('04_Pinjaman'!$B$5:$B$1004,MATCH(B878,'04_Pinjaman'!$A$5:$A$1004,0))))</f>
        <v/>
      </c>
      <c r="D878" s="20" t="str">
        <f>IF(B878="","",IF(COUNTIF('04_Pinjaman'!$A$5:$A$1004,B878)=0,"NPP TIDAK DITEMUKAN",INDEX('04_Pinjaman'!$C$5:$C$1004,MATCH(B878,'04_Pinjaman'!$A$5:$A$1004,0))))</f>
        <v/>
      </c>
      <c r="E878" s="22"/>
      <c r="F878" s="23"/>
      <c r="G878" s="21"/>
    </row>
    <row r="879" spans="1:7" ht="21" customHeight="1">
      <c r="A879" s="20" t="str">
        <f t="shared" si="14"/>
        <v/>
      </c>
      <c r="B879" s="21"/>
      <c r="C879" s="20" t="str">
        <f>IF(B879="","",IF(COUNTIF('04_Pinjaman'!$A$5:$A$1004,B879)=0,"NO PINJAMAN TIDAK DITEMUKAN",INDEX('04_Pinjaman'!$B$5:$B$1004,MATCH(B879,'04_Pinjaman'!$A$5:$A$1004,0))))</f>
        <v/>
      </c>
      <c r="D879" s="20" t="str">
        <f>IF(B879="","",IF(COUNTIF('04_Pinjaman'!$A$5:$A$1004,B879)=0,"NPP TIDAK DITEMUKAN",INDEX('04_Pinjaman'!$C$5:$C$1004,MATCH(B879,'04_Pinjaman'!$A$5:$A$1004,0))))</f>
        <v/>
      </c>
      <c r="E879" s="22"/>
      <c r="F879" s="23"/>
      <c r="G879" s="21"/>
    </row>
    <row r="880" spans="1:7" ht="21" customHeight="1">
      <c r="A880" s="20" t="str">
        <f t="shared" si="14"/>
        <v/>
      </c>
      <c r="B880" s="21"/>
      <c r="C880" s="20" t="str">
        <f>IF(B880="","",IF(COUNTIF('04_Pinjaman'!$A$5:$A$1004,B880)=0,"NO PINJAMAN TIDAK DITEMUKAN",INDEX('04_Pinjaman'!$B$5:$B$1004,MATCH(B880,'04_Pinjaman'!$A$5:$A$1004,0))))</f>
        <v/>
      </c>
      <c r="D880" s="20" t="str">
        <f>IF(B880="","",IF(COUNTIF('04_Pinjaman'!$A$5:$A$1004,B880)=0,"NPP TIDAK DITEMUKAN",INDEX('04_Pinjaman'!$C$5:$C$1004,MATCH(B880,'04_Pinjaman'!$A$5:$A$1004,0))))</f>
        <v/>
      </c>
      <c r="E880" s="22"/>
      <c r="F880" s="23"/>
      <c r="G880" s="21"/>
    </row>
    <row r="881" spans="1:7" ht="21" customHeight="1">
      <c r="A881" s="20" t="str">
        <f t="shared" si="14"/>
        <v/>
      </c>
      <c r="B881" s="21"/>
      <c r="C881" s="20" t="str">
        <f>IF(B881="","",IF(COUNTIF('04_Pinjaman'!$A$5:$A$1004,B881)=0,"NO PINJAMAN TIDAK DITEMUKAN",INDEX('04_Pinjaman'!$B$5:$B$1004,MATCH(B881,'04_Pinjaman'!$A$5:$A$1004,0))))</f>
        <v/>
      </c>
      <c r="D881" s="20" t="str">
        <f>IF(B881="","",IF(COUNTIF('04_Pinjaman'!$A$5:$A$1004,B881)=0,"NPP TIDAK DITEMUKAN",INDEX('04_Pinjaman'!$C$5:$C$1004,MATCH(B881,'04_Pinjaman'!$A$5:$A$1004,0))))</f>
        <v/>
      </c>
      <c r="E881" s="22"/>
      <c r="F881" s="23"/>
      <c r="G881" s="21"/>
    </row>
    <row r="882" spans="1:7" ht="21" customHeight="1">
      <c r="A882" s="20" t="str">
        <f t="shared" si="14"/>
        <v/>
      </c>
      <c r="B882" s="21"/>
      <c r="C882" s="20" t="str">
        <f>IF(B882="","",IF(COUNTIF('04_Pinjaman'!$A$5:$A$1004,B882)=0,"NO PINJAMAN TIDAK DITEMUKAN",INDEX('04_Pinjaman'!$B$5:$B$1004,MATCH(B882,'04_Pinjaman'!$A$5:$A$1004,0))))</f>
        <v/>
      </c>
      <c r="D882" s="20" t="str">
        <f>IF(B882="","",IF(COUNTIF('04_Pinjaman'!$A$5:$A$1004,B882)=0,"NPP TIDAK DITEMUKAN",INDEX('04_Pinjaman'!$C$5:$C$1004,MATCH(B882,'04_Pinjaman'!$A$5:$A$1004,0))))</f>
        <v/>
      </c>
      <c r="E882" s="22"/>
      <c r="F882" s="23"/>
      <c r="G882" s="21"/>
    </row>
    <row r="883" spans="1:7" ht="21" customHeight="1">
      <c r="A883" s="20" t="str">
        <f t="shared" si="14"/>
        <v/>
      </c>
      <c r="B883" s="21"/>
      <c r="C883" s="20" t="str">
        <f>IF(B883="","",IF(COUNTIF('04_Pinjaman'!$A$5:$A$1004,B883)=0,"NO PINJAMAN TIDAK DITEMUKAN",INDEX('04_Pinjaman'!$B$5:$B$1004,MATCH(B883,'04_Pinjaman'!$A$5:$A$1004,0))))</f>
        <v/>
      </c>
      <c r="D883" s="20" t="str">
        <f>IF(B883="","",IF(COUNTIF('04_Pinjaman'!$A$5:$A$1004,B883)=0,"NPP TIDAK DITEMUKAN",INDEX('04_Pinjaman'!$C$5:$C$1004,MATCH(B883,'04_Pinjaman'!$A$5:$A$1004,0))))</f>
        <v/>
      </c>
      <c r="E883" s="22"/>
      <c r="F883" s="23"/>
      <c r="G883" s="21"/>
    </row>
    <row r="884" spans="1:7" ht="21" customHeight="1">
      <c r="A884" s="20" t="str">
        <f t="shared" si="14"/>
        <v/>
      </c>
      <c r="B884" s="21"/>
      <c r="C884" s="20" t="str">
        <f>IF(B884="","",IF(COUNTIF('04_Pinjaman'!$A$5:$A$1004,B884)=0,"NO PINJAMAN TIDAK DITEMUKAN",INDEX('04_Pinjaman'!$B$5:$B$1004,MATCH(B884,'04_Pinjaman'!$A$5:$A$1004,0))))</f>
        <v/>
      </c>
      <c r="D884" s="20" t="str">
        <f>IF(B884="","",IF(COUNTIF('04_Pinjaman'!$A$5:$A$1004,B884)=0,"NPP TIDAK DITEMUKAN",INDEX('04_Pinjaman'!$C$5:$C$1004,MATCH(B884,'04_Pinjaman'!$A$5:$A$1004,0))))</f>
        <v/>
      </c>
      <c r="E884" s="22"/>
      <c r="F884" s="23"/>
      <c r="G884" s="21"/>
    </row>
    <row r="885" spans="1:7" ht="21" customHeight="1">
      <c r="A885" s="20" t="str">
        <f t="shared" si="14"/>
        <v/>
      </c>
      <c r="B885" s="21"/>
      <c r="C885" s="20" t="str">
        <f>IF(B885="","",IF(COUNTIF('04_Pinjaman'!$A$5:$A$1004,B885)=0,"NO PINJAMAN TIDAK DITEMUKAN",INDEX('04_Pinjaman'!$B$5:$B$1004,MATCH(B885,'04_Pinjaman'!$A$5:$A$1004,0))))</f>
        <v/>
      </c>
      <c r="D885" s="20" t="str">
        <f>IF(B885="","",IF(COUNTIF('04_Pinjaman'!$A$5:$A$1004,B885)=0,"NPP TIDAK DITEMUKAN",INDEX('04_Pinjaman'!$C$5:$C$1004,MATCH(B885,'04_Pinjaman'!$A$5:$A$1004,0))))</f>
        <v/>
      </c>
      <c r="E885" s="22"/>
      <c r="F885" s="23"/>
      <c r="G885" s="21"/>
    </row>
    <row r="886" spans="1:7" ht="21" customHeight="1">
      <c r="A886" s="20" t="str">
        <f t="shared" si="14"/>
        <v/>
      </c>
      <c r="B886" s="21"/>
      <c r="C886" s="20" t="str">
        <f>IF(B886="","",IF(COUNTIF('04_Pinjaman'!$A$5:$A$1004,B886)=0,"NO PINJAMAN TIDAK DITEMUKAN",INDEX('04_Pinjaman'!$B$5:$B$1004,MATCH(B886,'04_Pinjaman'!$A$5:$A$1004,0))))</f>
        <v/>
      </c>
      <c r="D886" s="20" t="str">
        <f>IF(B886="","",IF(COUNTIF('04_Pinjaman'!$A$5:$A$1004,B886)=0,"NPP TIDAK DITEMUKAN",INDEX('04_Pinjaman'!$C$5:$C$1004,MATCH(B886,'04_Pinjaman'!$A$5:$A$1004,0))))</f>
        <v/>
      </c>
      <c r="E886" s="22"/>
      <c r="F886" s="23"/>
      <c r="G886" s="21"/>
    </row>
    <row r="887" spans="1:7" ht="21" customHeight="1">
      <c r="A887" s="20" t="str">
        <f t="shared" si="14"/>
        <v/>
      </c>
      <c r="B887" s="21"/>
      <c r="C887" s="20" t="str">
        <f>IF(B887="","",IF(COUNTIF('04_Pinjaman'!$A$5:$A$1004,B887)=0,"NO PINJAMAN TIDAK DITEMUKAN",INDEX('04_Pinjaman'!$B$5:$B$1004,MATCH(B887,'04_Pinjaman'!$A$5:$A$1004,0))))</f>
        <v/>
      </c>
      <c r="D887" s="20" t="str">
        <f>IF(B887="","",IF(COUNTIF('04_Pinjaman'!$A$5:$A$1004,B887)=0,"NPP TIDAK DITEMUKAN",INDEX('04_Pinjaman'!$C$5:$C$1004,MATCH(B887,'04_Pinjaman'!$A$5:$A$1004,0))))</f>
        <v/>
      </c>
      <c r="E887" s="22"/>
      <c r="F887" s="23"/>
      <c r="G887" s="21"/>
    </row>
    <row r="888" spans="1:7" ht="21" customHeight="1">
      <c r="A888" s="20" t="str">
        <f t="shared" si="14"/>
        <v/>
      </c>
      <c r="B888" s="21"/>
      <c r="C888" s="20" t="str">
        <f>IF(B888="","",IF(COUNTIF('04_Pinjaman'!$A$5:$A$1004,B888)=0,"NO PINJAMAN TIDAK DITEMUKAN",INDEX('04_Pinjaman'!$B$5:$B$1004,MATCH(B888,'04_Pinjaman'!$A$5:$A$1004,0))))</f>
        <v/>
      </c>
      <c r="D888" s="20" t="str">
        <f>IF(B888="","",IF(COUNTIF('04_Pinjaman'!$A$5:$A$1004,B888)=0,"NPP TIDAK DITEMUKAN",INDEX('04_Pinjaman'!$C$5:$C$1004,MATCH(B888,'04_Pinjaman'!$A$5:$A$1004,0))))</f>
        <v/>
      </c>
      <c r="E888" s="22"/>
      <c r="F888" s="23"/>
      <c r="G888" s="21"/>
    </row>
    <row r="889" spans="1:7" ht="21" customHeight="1">
      <c r="A889" s="20" t="str">
        <f t="shared" si="14"/>
        <v/>
      </c>
      <c r="B889" s="21"/>
      <c r="C889" s="20" t="str">
        <f>IF(B889="","",IF(COUNTIF('04_Pinjaman'!$A$5:$A$1004,B889)=0,"NO PINJAMAN TIDAK DITEMUKAN",INDEX('04_Pinjaman'!$B$5:$B$1004,MATCH(B889,'04_Pinjaman'!$A$5:$A$1004,0))))</f>
        <v/>
      </c>
      <c r="D889" s="20" t="str">
        <f>IF(B889="","",IF(COUNTIF('04_Pinjaman'!$A$5:$A$1004,B889)=0,"NPP TIDAK DITEMUKAN",INDEX('04_Pinjaman'!$C$5:$C$1004,MATCH(B889,'04_Pinjaman'!$A$5:$A$1004,0))))</f>
        <v/>
      </c>
      <c r="E889" s="22"/>
      <c r="F889" s="23"/>
      <c r="G889" s="21"/>
    </row>
    <row r="890" spans="1:7" ht="21" customHeight="1">
      <c r="A890" s="20" t="str">
        <f t="shared" si="14"/>
        <v/>
      </c>
      <c r="B890" s="21"/>
      <c r="C890" s="20" t="str">
        <f>IF(B890="","",IF(COUNTIF('04_Pinjaman'!$A$5:$A$1004,B890)=0,"NO PINJAMAN TIDAK DITEMUKAN",INDEX('04_Pinjaman'!$B$5:$B$1004,MATCH(B890,'04_Pinjaman'!$A$5:$A$1004,0))))</f>
        <v/>
      </c>
      <c r="D890" s="20" t="str">
        <f>IF(B890="","",IF(COUNTIF('04_Pinjaman'!$A$5:$A$1004,B890)=0,"NPP TIDAK DITEMUKAN",INDEX('04_Pinjaman'!$C$5:$C$1004,MATCH(B890,'04_Pinjaman'!$A$5:$A$1004,0))))</f>
        <v/>
      </c>
      <c r="E890" s="22"/>
      <c r="F890" s="23"/>
      <c r="G890" s="21"/>
    </row>
    <row r="891" spans="1:7" ht="21" customHeight="1">
      <c r="A891" s="20" t="str">
        <f t="shared" si="14"/>
        <v/>
      </c>
      <c r="B891" s="21"/>
      <c r="C891" s="20" t="str">
        <f>IF(B891="","",IF(COUNTIF('04_Pinjaman'!$A$5:$A$1004,B891)=0,"NO PINJAMAN TIDAK DITEMUKAN",INDEX('04_Pinjaman'!$B$5:$B$1004,MATCH(B891,'04_Pinjaman'!$A$5:$A$1004,0))))</f>
        <v/>
      </c>
      <c r="D891" s="20" t="str">
        <f>IF(B891="","",IF(COUNTIF('04_Pinjaman'!$A$5:$A$1004,B891)=0,"NPP TIDAK DITEMUKAN",INDEX('04_Pinjaman'!$C$5:$C$1004,MATCH(B891,'04_Pinjaman'!$A$5:$A$1004,0))))</f>
        <v/>
      </c>
      <c r="E891" s="22"/>
      <c r="F891" s="23"/>
      <c r="G891" s="21"/>
    </row>
    <row r="892" spans="1:7" ht="21" customHeight="1">
      <c r="A892" s="20" t="str">
        <f t="shared" si="14"/>
        <v/>
      </c>
      <c r="B892" s="21"/>
      <c r="C892" s="20" t="str">
        <f>IF(B892="","",IF(COUNTIF('04_Pinjaman'!$A$5:$A$1004,B892)=0,"NO PINJAMAN TIDAK DITEMUKAN",INDEX('04_Pinjaman'!$B$5:$B$1004,MATCH(B892,'04_Pinjaman'!$A$5:$A$1004,0))))</f>
        <v/>
      </c>
      <c r="D892" s="20" t="str">
        <f>IF(B892="","",IF(COUNTIF('04_Pinjaman'!$A$5:$A$1004,B892)=0,"NPP TIDAK DITEMUKAN",INDEX('04_Pinjaman'!$C$5:$C$1004,MATCH(B892,'04_Pinjaman'!$A$5:$A$1004,0))))</f>
        <v/>
      </c>
      <c r="E892" s="22"/>
      <c r="F892" s="23"/>
      <c r="G892" s="21"/>
    </row>
    <row r="893" spans="1:7" ht="21" customHeight="1">
      <c r="A893" s="20" t="str">
        <f t="shared" si="14"/>
        <v/>
      </c>
      <c r="B893" s="21"/>
      <c r="C893" s="20" t="str">
        <f>IF(B893="","",IF(COUNTIF('04_Pinjaman'!$A$5:$A$1004,B893)=0,"NO PINJAMAN TIDAK DITEMUKAN",INDEX('04_Pinjaman'!$B$5:$B$1004,MATCH(B893,'04_Pinjaman'!$A$5:$A$1004,0))))</f>
        <v/>
      </c>
      <c r="D893" s="20" t="str">
        <f>IF(B893="","",IF(COUNTIF('04_Pinjaman'!$A$5:$A$1004,B893)=0,"NPP TIDAK DITEMUKAN",INDEX('04_Pinjaman'!$C$5:$C$1004,MATCH(B893,'04_Pinjaman'!$A$5:$A$1004,0))))</f>
        <v/>
      </c>
      <c r="E893" s="22"/>
      <c r="F893" s="23"/>
      <c r="G893" s="21"/>
    </row>
    <row r="894" spans="1:7" ht="21" customHeight="1">
      <c r="A894" s="20" t="str">
        <f t="shared" si="14"/>
        <v/>
      </c>
      <c r="B894" s="21"/>
      <c r="C894" s="20" t="str">
        <f>IF(B894="","",IF(COUNTIF('04_Pinjaman'!$A$5:$A$1004,B894)=0,"NO PINJAMAN TIDAK DITEMUKAN",INDEX('04_Pinjaman'!$B$5:$B$1004,MATCH(B894,'04_Pinjaman'!$A$5:$A$1004,0))))</f>
        <v/>
      </c>
      <c r="D894" s="20" t="str">
        <f>IF(B894="","",IF(COUNTIF('04_Pinjaman'!$A$5:$A$1004,B894)=0,"NPP TIDAK DITEMUKAN",INDEX('04_Pinjaman'!$C$5:$C$1004,MATCH(B894,'04_Pinjaman'!$A$5:$A$1004,0))))</f>
        <v/>
      </c>
      <c r="E894" s="22"/>
      <c r="F894" s="23"/>
      <c r="G894" s="21"/>
    </row>
    <row r="895" spans="1:7" ht="21" customHeight="1">
      <c r="A895" s="20" t="str">
        <f t="shared" si="14"/>
        <v/>
      </c>
      <c r="B895" s="21"/>
      <c r="C895" s="20" t="str">
        <f>IF(B895="","",IF(COUNTIF('04_Pinjaman'!$A$5:$A$1004,B895)=0,"NO PINJAMAN TIDAK DITEMUKAN",INDEX('04_Pinjaman'!$B$5:$B$1004,MATCH(B895,'04_Pinjaman'!$A$5:$A$1004,0))))</f>
        <v/>
      </c>
      <c r="D895" s="20" t="str">
        <f>IF(B895="","",IF(COUNTIF('04_Pinjaman'!$A$5:$A$1004,B895)=0,"NPP TIDAK DITEMUKAN",INDEX('04_Pinjaman'!$C$5:$C$1004,MATCH(B895,'04_Pinjaman'!$A$5:$A$1004,0))))</f>
        <v/>
      </c>
      <c r="E895" s="22"/>
      <c r="F895" s="23"/>
      <c r="G895" s="21"/>
    </row>
    <row r="896" spans="1:7" ht="21" customHeight="1">
      <c r="A896" s="20" t="str">
        <f t="shared" si="14"/>
        <v/>
      </c>
      <c r="B896" s="21"/>
      <c r="C896" s="20" t="str">
        <f>IF(B896="","",IF(COUNTIF('04_Pinjaman'!$A$5:$A$1004,B896)=0,"NO PINJAMAN TIDAK DITEMUKAN",INDEX('04_Pinjaman'!$B$5:$B$1004,MATCH(B896,'04_Pinjaman'!$A$5:$A$1004,0))))</f>
        <v/>
      </c>
      <c r="D896" s="20" t="str">
        <f>IF(B896="","",IF(COUNTIF('04_Pinjaman'!$A$5:$A$1004,B896)=0,"NPP TIDAK DITEMUKAN",INDEX('04_Pinjaman'!$C$5:$C$1004,MATCH(B896,'04_Pinjaman'!$A$5:$A$1004,0))))</f>
        <v/>
      </c>
      <c r="E896" s="22"/>
      <c r="F896" s="23"/>
      <c r="G896" s="21"/>
    </row>
    <row r="897" spans="1:7" ht="21" customHeight="1">
      <c r="A897" s="20" t="str">
        <f t="shared" si="14"/>
        <v/>
      </c>
      <c r="B897" s="21"/>
      <c r="C897" s="20" t="str">
        <f>IF(B897="","",IF(COUNTIF('04_Pinjaman'!$A$5:$A$1004,B897)=0,"NO PINJAMAN TIDAK DITEMUKAN",INDEX('04_Pinjaman'!$B$5:$B$1004,MATCH(B897,'04_Pinjaman'!$A$5:$A$1004,0))))</f>
        <v/>
      </c>
      <c r="D897" s="20" t="str">
        <f>IF(B897="","",IF(COUNTIF('04_Pinjaman'!$A$5:$A$1004,B897)=0,"NPP TIDAK DITEMUKAN",INDEX('04_Pinjaman'!$C$5:$C$1004,MATCH(B897,'04_Pinjaman'!$A$5:$A$1004,0))))</f>
        <v/>
      </c>
      <c r="E897" s="22"/>
      <c r="F897" s="23"/>
      <c r="G897" s="21"/>
    </row>
    <row r="898" spans="1:7" ht="21" customHeight="1">
      <c r="A898" s="20" t="str">
        <f t="shared" si="14"/>
        <v/>
      </c>
      <c r="B898" s="21"/>
      <c r="C898" s="20" t="str">
        <f>IF(B898="","",IF(COUNTIF('04_Pinjaman'!$A$5:$A$1004,B898)=0,"NO PINJAMAN TIDAK DITEMUKAN",INDEX('04_Pinjaman'!$B$5:$B$1004,MATCH(B898,'04_Pinjaman'!$A$5:$A$1004,0))))</f>
        <v/>
      </c>
      <c r="D898" s="20" t="str">
        <f>IF(B898="","",IF(COUNTIF('04_Pinjaman'!$A$5:$A$1004,B898)=0,"NPP TIDAK DITEMUKAN",INDEX('04_Pinjaman'!$C$5:$C$1004,MATCH(B898,'04_Pinjaman'!$A$5:$A$1004,0))))</f>
        <v/>
      </c>
      <c r="E898" s="22"/>
      <c r="F898" s="23"/>
      <c r="G898" s="21"/>
    </row>
    <row r="899" spans="1:7" ht="21" customHeight="1">
      <c r="A899" s="20" t="str">
        <f t="shared" si="14"/>
        <v/>
      </c>
      <c r="B899" s="21"/>
      <c r="C899" s="20" t="str">
        <f>IF(B899="","",IF(COUNTIF('04_Pinjaman'!$A$5:$A$1004,B899)=0,"NO PINJAMAN TIDAK DITEMUKAN",INDEX('04_Pinjaman'!$B$5:$B$1004,MATCH(B899,'04_Pinjaman'!$A$5:$A$1004,0))))</f>
        <v/>
      </c>
      <c r="D899" s="20" t="str">
        <f>IF(B899="","",IF(COUNTIF('04_Pinjaman'!$A$5:$A$1004,B899)=0,"NPP TIDAK DITEMUKAN",INDEX('04_Pinjaman'!$C$5:$C$1004,MATCH(B899,'04_Pinjaman'!$A$5:$A$1004,0))))</f>
        <v/>
      </c>
      <c r="E899" s="22"/>
      <c r="F899" s="23"/>
      <c r="G899" s="21"/>
    </row>
    <row r="900" spans="1:7" ht="21" customHeight="1">
      <c r="A900" s="20" t="str">
        <f t="shared" si="14"/>
        <v/>
      </c>
      <c r="B900" s="21"/>
      <c r="C900" s="20" t="str">
        <f>IF(B900="","",IF(COUNTIF('04_Pinjaman'!$A$5:$A$1004,B900)=0,"NO PINJAMAN TIDAK DITEMUKAN",INDEX('04_Pinjaman'!$B$5:$B$1004,MATCH(B900,'04_Pinjaman'!$A$5:$A$1004,0))))</f>
        <v/>
      </c>
      <c r="D900" s="20" t="str">
        <f>IF(B900="","",IF(COUNTIF('04_Pinjaman'!$A$5:$A$1004,B900)=0,"NPP TIDAK DITEMUKAN",INDEX('04_Pinjaman'!$C$5:$C$1004,MATCH(B900,'04_Pinjaman'!$A$5:$A$1004,0))))</f>
        <v/>
      </c>
      <c r="E900" s="22"/>
      <c r="F900" s="23"/>
      <c r="G900" s="21"/>
    </row>
    <row r="901" spans="1:7" ht="21" customHeight="1">
      <c r="A901" s="20" t="str">
        <f t="shared" ref="A901:A964" si="15">IF(B901="","",ROW()-4)</f>
        <v/>
      </c>
      <c r="B901" s="21"/>
      <c r="C901" s="20" t="str">
        <f>IF(B901="","",IF(COUNTIF('04_Pinjaman'!$A$5:$A$1004,B901)=0,"NO PINJAMAN TIDAK DITEMUKAN",INDEX('04_Pinjaman'!$B$5:$B$1004,MATCH(B901,'04_Pinjaman'!$A$5:$A$1004,0))))</f>
        <v/>
      </c>
      <c r="D901" s="20" t="str">
        <f>IF(B901="","",IF(COUNTIF('04_Pinjaman'!$A$5:$A$1004,B901)=0,"NPP TIDAK DITEMUKAN",INDEX('04_Pinjaman'!$C$5:$C$1004,MATCH(B901,'04_Pinjaman'!$A$5:$A$1004,0))))</f>
        <v/>
      </c>
      <c r="E901" s="22"/>
      <c r="F901" s="23"/>
      <c r="G901" s="21"/>
    </row>
    <row r="902" spans="1:7" ht="21" customHeight="1">
      <c r="A902" s="20" t="str">
        <f t="shared" si="15"/>
        <v/>
      </c>
      <c r="B902" s="21"/>
      <c r="C902" s="20" t="str">
        <f>IF(B902="","",IF(COUNTIF('04_Pinjaman'!$A$5:$A$1004,B902)=0,"NO PINJAMAN TIDAK DITEMUKAN",INDEX('04_Pinjaman'!$B$5:$B$1004,MATCH(B902,'04_Pinjaman'!$A$5:$A$1004,0))))</f>
        <v/>
      </c>
      <c r="D902" s="20" t="str">
        <f>IF(B902="","",IF(COUNTIF('04_Pinjaman'!$A$5:$A$1004,B902)=0,"NPP TIDAK DITEMUKAN",INDEX('04_Pinjaman'!$C$5:$C$1004,MATCH(B902,'04_Pinjaman'!$A$5:$A$1004,0))))</f>
        <v/>
      </c>
      <c r="E902" s="22"/>
      <c r="F902" s="23"/>
      <c r="G902" s="21"/>
    </row>
    <row r="903" spans="1:7" ht="21" customHeight="1">
      <c r="A903" s="20" t="str">
        <f t="shared" si="15"/>
        <v/>
      </c>
      <c r="B903" s="21"/>
      <c r="C903" s="20" t="str">
        <f>IF(B903="","",IF(COUNTIF('04_Pinjaman'!$A$5:$A$1004,B903)=0,"NO PINJAMAN TIDAK DITEMUKAN",INDEX('04_Pinjaman'!$B$5:$B$1004,MATCH(B903,'04_Pinjaman'!$A$5:$A$1004,0))))</f>
        <v/>
      </c>
      <c r="D903" s="20" t="str">
        <f>IF(B903="","",IF(COUNTIF('04_Pinjaman'!$A$5:$A$1004,B903)=0,"NPP TIDAK DITEMUKAN",INDEX('04_Pinjaman'!$C$5:$C$1004,MATCH(B903,'04_Pinjaman'!$A$5:$A$1004,0))))</f>
        <v/>
      </c>
      <c r="E903" s="22"/>
      <c r="F903" s="23"/>
      <c r="G903" s="21"/>
    </row>
    <row r="904" spans="1:7" ht="21" customHeight="1">
      <c r="A904" s="20" t="str">
        <f t="shared" si="15"/>
        <v/>
      </c>
      <c r="B904" s="21"/>
      <c r="C904" s="20" t="str">
        <f>IF(B904="","",IF(COUNTIF('04_Pinjaman'!$A$5:$A$1004,B904)=0,"NO PINJAMAN TIDAK DITEMUKAN",INDEX('04_Pinjaman'!$B$5:$B$1004,MATCH(B904,'04_Pinjaman'!$A$5:$A$1004,0))))</f>
        <v/>
      </c>
      <c r="D904" s="20" t="str">
        <f>IF(B904="","",IF(COUNTIF('04_Pinjaman'!$A$5:$A$1004,B904)=0,"NPP TIDAK DITEMUKAN",INDEX('04_Pinjaman'!$C$5:$C$1004,MATCH(B904,'04_Pinjaman'!$A$5:$A$1004,0))))</f>
        <v/>
      </c>
      <c r="E904" s="22"/>
      <c r="F904" s="23"/>
      <c r="G904" s="21"/>
    </row>
    <row r="905" spans="1:7" ht="21" customHeight="1">
      <c r="A905" s="20" t="str">
        <f t="shared" si="15"/>
        <v/>
      </c>
      <c r="B905" s="21"/>
      <c r="C905" s="20" t="str">
        <f>IF(B905="","",IF(COUNTIF('04_Pinjaman'!$A$5:$A$1004,B905)=0,"NO PINJAMAN TIDAK DITEMUKAN",INDEX('04_Pinjaman'!$B$5:$B$1004,MATCH(B905,'04_Pinjaman'!$A$5:$A$1004,0))))</f>
        <v/>
      </c>
      <c r="D905" s="20" t="str">
        <f>IF(B905="","",IF(COUNTIF('04_Pinjaman'!$A$5:$A$1004,B905)=0,"NPP TIDAK DITEMUKAN",INDEX('04_Pinjaman'!$C$5:$C$1004,MATCH(B905,'04_Pinjaman'!$A$5:$A$1004,0))))</f>
        <v/>
      </c>
      <c r="E905" s="22"/>
      <c r="F905" s="23"/>
      <c r="G905" s="21"/>
    </row>
    <row r="906" spans="1:7" ht="21" customHeight="1">
      <c r="A906" s="20" t="str">
        <f t="shared" si="15"/>
        <v/>
      </c>
      <c r="B906" s="21"/>
      <c r="C906" s="20" t="str">
        <f>IF(B906="","",IF(COUNTIF('04_Pinjaman'!$A$5:$A$1004,B906)=0,"NO PINJAMAN TIDAK DITEMUKAN",INDEX('04_Pinjaman'!$B$5:$B$1004,MATCH(B906,'04_Pinjaman'!$A$5:$A$1004,0))))</f>
        <v/>
      </c>
      <c r="D906" s="20" t="str">
        <f>IF(B906="","",IF(COUNTIF('04_Pinjaman'!$A$5:$A$1004,B906)=0,"NPP TIDAK DITEMUKAN",INDEX('04_Pinjaman'!$C$5:$C$1004,MATCH(B906,'04_Pinjaman'!$A$5:$A$1004,0))))</f>
        <v/>
      </c>
      <c r="E906" s="22"/>
      <c r="F906" s="23"/>
      <c r="G906" s="21"/>
    </row>
    <row r="907" spans="1:7" ht="21" customHeight="1">
      <c r="A907" s="20" t="str">
        <f t="shared" si="15"/>
        <v/>
      </c>
      <c r="B907" s="21"/>
      <c r="C907" s="20" t="str">
        <f>IF(B907="","",IF(COUNTIF('04_Pinjaman'!$A$5:$A$1004,B907)=0,"NO PINJAMAN TIDAK DITEMUKAN",INDEX('04_Pinjaman'!$B$5:$B$1004,MATCH(B907,'04_Pinjaman'!$A$5:$A$1004,0))))</f>
        <v/>
      </c>
      <c r="D907" s="20" t="str">
        <f>IF(B907="","",IF(COUNTIF('04_Pinjaman'!$A$5:$A$1004,B907)=0,"NPP TIDAK DITEMUKAN",INDEX('04_Pinjaman'!$C$5:$C$1004,MATCH(B907,'04_Pinjaman'!$A$5:$A$1004,0))))</f>
        <v/>
      </c>
      <c r="E907" s="22"/>
      <c r="F907" s="23"/>
      <c r="G907" s="21"/>
    </row>
    <row r="908" spans="1:7" ht="21" customHeight="1">
      <c r="A908" s="20" t="str">
        <f t="shared" si="15"/>
        <v/>
      </c>
      <c r="B908" s="21"/>
      <c r="C908" s="20" t="str">
        <f>IF(B908="","",IF(COUNTIF('04_Pinjaman'!$A$5:$A$1004,B908)=0,"NO PINJAMAN TIDAK DITEMUKAN",INDEX('04_Pinjaman'!$B$5:$B$1004,MATCH(B908,'04_Pinjaman'!$A$5:$A$1004,0))))</f>
        <v/>
      </c>
      <c r="D908" s="20" t="str">
        <f>IF(B908="","",IF(COUNTIF('04_Pinjaman'!$A$5:$A$1004,B908)=0,"NPP TIDAK DITEMUKAN",INDEX('04_Pinjaman'!$C$5:$C$1004,MATCH(B908,'04_Pinjaman'!$A$5:$A$1004,0))))</f>
        <v/>
      </c>
      <c r="E908" s="22"/>
      <c r="F908" s="23"/>
      <c r="G908" s="21"/>
    </row>
    <row r="909" spans="1:7" ht="21" customHeight="1">
      <c r="A909" s="20" t="str">
        <f t="shared" si="15"/>
        <v/>
      </c>
      <c r="B909" s="21"/>
      <c r="C909" s="20" t="str">
        <f>IF(B909="","",IF(COUNTIF('04_Pinjaman'!$A$5:$A$1004,B909)=0,"NO PINJAMAN TIDAK DITEMUKAN",INDEX('04_Pinjaman'!$B$5:$B$1004,MATCH(B909,'04_Pinjaman'!$A$5:$A$1004,0))))</f>
        <v/>
      </c>
      <c r="D909" s="20" t="str">
        <f>IF(B909="","",IF(COUNTIF('04_Pinjaman'!$A$5:$A$1004,B909)=0,"NPP TIDAK DITEMUKAN",INDEX('04_Pinjaman'!$C$5:$C$1004,MATCH(B909,'04_Pinjaman'!$A$5:$A$1004,0))))</f>
        <v/>
      </c>
      <c r="E909" s="22"/>
      <c r="F909" s="23"/>
      <c r="G909" s="21"/>
    </row>
    <row r="910" spans="1:7" ht="21" customHeight="1">
      <c r="A910" s="20" t="str">
        <f t="shared" si="15"/>
        <v/>
      </c>
      <c r="B910" s="21"/>
      <c r="C910" s="20" t="str">
        <f>IF(B910="","",IF(COUNTIF('04_Pinjaman'!$A$5:$A$1004,B910)=0,"NO PINJAMAN TIDAK DITEMUKAN",INDEX('04_Pinjaman'!$B$5:$B$1004,MATCH(B910,'04_Pinjaman'!$A$5:$A$1004,0))))</f>
        <v/>
      </c>
      <c r="D910" s="20" t="str">
        <f>IF(B910="","",IF(COUNTIF('04_Pinjaman'!$A$5:$A$1004,B910)=0,"NPP TIDAK DITEMUKAN",INDEX('04_Pinjaman'!$C$5:$C$1004,MATCH(B910,'04_Pinjaman'!$A$5:$A$1004,0))))</f>
        <v/>
      </c>
      <c r="E910" s="22"/>
      <c r="F910" s="23"/>
      <c r="G910" s="21"/>
    </row>
    <row r="911" spans="1:7" ht="21" customHeight="1">
      <c r="A911" s="20" t="str">
        <f t="shared" si="15"/>
        <v/>
      </c>
      <c r="B911" s="21"/>
      <c r="C911" s="20" t="str">
        <f>IF(B911="","",IF(COUNTIF('04_Pinjaman'!$A$5:$A$1004,B911)=0,"NO PINJAMAN TIDAK DITEMUKAN",INDEX('04_Pinjaman'!$B$5:$B$1004,MATCH(B911,'04_Pinjaman'!$A$5:$A$1004,0))))</f>
        <v/>
      </c>
      <c r="D911" s="20" t="str">
        <f>IF(B911="","",IF(COUNTIF('04_Pinjaman'!$A$5:$A$1004,B911)=0,"NPP TIDAK DITEMUKAN",INDEX('04_Pinjaman'!$C$5:$C$1004,MATCH(B911,'04_Pinjaman'!$A$5:$A$1004,0))))</f>
        <v/>
      </c>
      <c r="E911" s="22"/>
      <c r="F911" s="23"/>
      <c r="G911" s="21"/>
    </row>
    <row r="912" spans="1:7" ht="21" customHeight="1">
      <c r="A912" s="20" t="str">
        <f t="shared" si="15"/>
        <v/>
      </c>
      <c r="B912" s="21"/>
      <c r="C912" s="20" t="str">
        <f>IF(B912="","",IF(COUNTIF('04_Pinjaman'!$A$5:$A$1004,B912)=0,"NO PINJAMAN TIDAK DITEMUKAN",INDEX('04_Pinjaman'!$B$5:$B$1004,MATCH(B912,'04_Pinjaman'!$A$5:$A$1004,0))))</f>
        <v/>
      </c>
      <c r="D912" s="20" t="str">
        <f>IF(B912="","",IF(COUNTIF('04_Pinjaman'!$A$5:$A$1004,B912)=0,"NPP TIDAK DITEMUKAN",INDEX('04_Pinjaman'!$C$5:$C$1004,MATCH(B912,'04_Pinjaman'!$A$5:$A$1004,0))))</f>
        <v/>
      </c>
      <c r="E912" s="22"/>
      <c r="F912" s="23"/>
      <c r="G912" s="21"/>
    </row>
    <row r="913" spans="1:7" ht="21" customHeight="1">
      <c r="A913" s="20" t="str">
        <f t="shared" si="15"/>
        <v/>
      </c>
      <c r="B913" s="21"/>
      <c r="C913" s="20" t="str">
        <f>IF(B913="","",IF(COUNTIF('04_Pinjaman'!$A$5:$A$1004,B913)=0,"NO PINJAMAN TIDAK DITEMUKAN",INDEX('04_Pinjaman'!$B$5:$B$1004,MATCH(B913,'04_Pinjaman'!$A$5:$A$1004,0))))</f>
        <v/>
      </c>
      <c r="D913" s="20" t="str">
        <f>IF(B913="","",IF(COUNTIF('04_Pinjaman'!$A$5:$A$1004,B913)=0,"NPP TIDAK DITEMUKAN",INDEX('04_Pinjaman'!$C$5:$C$1004,MATCH(B913,'04_Pinjaman'!$A$5:$A$1004,0))))</f>
        <v/>
      </c>
      <c r="E913" s="22"/>
      <c r="F913" s="23"/>
      <c r="G913" s="21"/>
    </row>
    <row r="914" spans="1:7" ht="21" customHeight="1">
      <c r="A914" s="20" t="str">
        <f t="shared" si="15"/>
        <v/>
      </c>
      <c r="B914" s="21"/>
      <c r="C914" s="20" t="str">
        <f>IF(B914="","",IF(COUNTIF('04_Pinjaman'!$A$5:$A$1004,B914)=0,"NO PINJAMAN TIDAK DITEMUKAN",INDEX('04_Pinjaman'!$B$5:$B$1004,MATCH(B914,'04_Pinjaman'!$A$5:$A$1004,0))))</f>
        <v/>
      </c>
      <c r="D914" s="20" t="str">
        <f>IF(B914="","",IF(COUNTIF('04_Pinjaman'!$A$5:$A$1004,B914)=0,"NPP TIDAK DITEMUKAN",INDEX('04_Pinjaman'!$C$5:$C$1004,MATCH(B914,'04_Pinjaman'!$A$5:$A$1004,0))))</f>
        <v/>
      </c>
      <c r="E914" s="22"/>
      <c r="F914" s="23"/>
      <c r="G914" s="21"/>
    </row>
    <row r="915" spans="1:7" ht="21" customHeight="1">
      <c r="A915" s="20" t="str">
        <f t="shared" si="15"/>
        <v/>
      </c>
      <c r="B915" s="21"/>
      <c r="C915" s="20" t="str">
        <f>IF(B915="","",IF(COUNTIF('04_Pinjaman'!$A$5:$A$1004,B915)=0,"NO PINJAMAN TIDAK DITEMUKAN",INDEX('04_Pinjaman'!$B$5:$B$1004,MATCH(B915,'04_Pinjaman'!$A$5:$A$1004,0))))</f>
        <v/>
      </c>
      <c r="D915" s="20" t="str">
        <f>IF(B915="","",IF(COUNTIF('04_Pinjaman'!$A$5:$A$1004,B915)=0,"NPP TIDAK DITEMUKAN",INDEX('04_Pinjaman'!$C$5:$C$1004,MATCH(B915,'04_Pinjaman'!$A$5:$A$1004,0))))</f>
        <v/>
      </c>
      <c r="E915" s="22"/>
      <c r="F915" s="23"/>
      <c r="G915" s="21"/>
    </row>
    <row r="916" spans="1:7" ht="21" customHeight="1">
      <c r="A916" s="20" t="str">
        <f t="shared" si="15"/>
        <v/>
      </c>
      <c r="B916" s="21"/>
      <c r="C916" s="20" t="str">
        <f>IF(B916="","",IF(COUNTIF('04_Pinjaman'!$A$5:$A$1004,B916)=0,"NO PINJAMAN TIDAK DITEMUKAN",INDEX('04_Pinjaman'!$B$5:$B$1004,MATCH(B916,'04_Pinjaman'!$A$5:$A$1004,0))))</f>
        <v/>
      </c>
      <c r="D916" s="20" t="str">
        <f>IF(B916="","",IF(COUNTIF('04_Pinjaman'!$A$5:$A$1004,B916)=0,"NPP TIDAK DITEMUKAN",INDEX('04_Pinjaman'!$C$5:$C$1004,MATCH(B916,'04_Pinjaman'!$A$5:$A$1004,0))))</f>
        <v/>
      </c>
      <c r="E916" s="22"/>
      <c r="F916" s="23"/>
      <c r="G916" s="21"/>
    </row>
    <row r="917" spans="1:7" ht="21" customHeight="1">
      <c r="A917" s="20" t="str">
        <f t="shared" si="15"/>
        <v/>
      </c>
      <c r="B917" s="21"/>
      <c r="C917" s="20" t="str">
        <f>IF(B917="","",IF(COUNTIF('04_Pinjaman'!$A$5:$A$1004,B917)=0,"NO PINJAMAN TIDAK DITEMUKAN",INDEX('04_Pinjaman'!$B$5:$B$1004,MATCH(B917,'04_Pinjaman'!$A$5:$A$1004,0))))</f>
        <v/>
      </c>
      <c r="D917" s="20" t="str">
        <f>IF(B917="","",IF(COUNTIF('04_Pinjaman'!$A$5:$A$1004,B917)=0,"NPP TIDAK DITEMUKAN",INDEX('04_Pinjaman'!$C$5:$C$1004,MATCH(B917,'04_Pinjaman'!$A$5:$A$1004,0))))</f>
        <v/>
      </c>
      <c r="E917" s="22"/>
      <c r="F917" s="23"/>
      <c r="G917" s="21"/>
    </row>
    <row r="918" spans="1:7" ht="21" customHeight="1">
      <c r="A918" s="20" t="str">
        <f t="shared" si="15"/>
        <v/>
      </c>
      <c r="B918" s="21"/>
      <c r="C918" s="20" t="str">
        <f>IF(B918="","",IF(COUNTIF('04_Pinjaman'!$A$5:$A$1004,B918)=0,"NO PINJAMAN TIDAK DITEMUKAN",INDEX('04_Pinjaman'!$B$5:$B$1004,MATCH(B918,'04_Pinjaman'!$A$5:$A$1004,0))))</f>
        <v/>
      </c>
      <c r="D918" s="20" t="str">
        <f>IF(B918="","",IF(COUNTIF('04_Pinjaman'!$A$5:$A$1004,B918)=0,"NPP TIDAK DITEMUKAN",INDEX('04_Pinjaman'!$C$5:$C$1004,MATCH(B918,'04_Pinjaman'!$A$5:$A$1004,0))))</f>
        <v/>
      </c>
      <c r="E918" s="22"/>
      <c r="F918" s="23"/>
      <c r="G918" s="21"/>
    </row>
    <row r="919" spans="1:7" ht="21" customHeight="1">
      <c r="A919" s="20" t="str">
        <f t="shared" si="15"/>
        <v/>
      </c>
      <c r="B919" s="21"/>
      <c r="C919" s="20" t="str">
        <f>IF(B919="","",IF(COUNTIF('04_Pinjaman'!$A$5:$A$1004,B919)=0,"NO PINJAMAN TIDAK DITEMUKAN",INDEX('04_Pinjaman'!$B$5:$B$1004,MATCH(B919,'04_Pinjaman'!$A$5:$A$1004,0))))</f>
        <v/>
      </c>
      <c r="D919" s="20" t="str">
        <f>IF(B919="","",IF(COUNTIF('04_Pinjaman'!$A$5:$A$1004,B919)=0,"NPP TIDAK DITEMUKAN",INDEX('04_Pinjaman'!$C$5:$C$1004,MATCH(B919,'04_Pinjaman'!$A$5:$A$1004,0))))</f>
        <v/>
      </c>
      <c r="E919" s="22"/>
      <c r="F919" s="23"/>
      <c r="G919" s="21"/>
    </row>
    <row r="920" spans="1:7" ht="21" customHeight="1">
      <c r="A920" s="20" t="str">
        <f t="shared" si="15"/>
        <v/>
      </c>
      <c r="B920" s="21"/>
      <c r="C920" s="20" t="str">
        <f>IF(B920="","",IF(COUNTIF('04_Pinjaman'!$A$5:$A$1004,B920)=0,"NO PINJAMAN TIDAK DITEMUKAN",INDEX('04_Pinjaman'!$B$5:$B$1004,MATCH(B920,'04_Pinjaman'!$A$5:$A$1004,0))))</f>
        <v/>
      </c>
      <c r="D920" s="20" t="str">
        <f>IF(B920="","",IF(COUNTIF('04_Pinjaman'!$A$5:$A$1004,B920)=0,"NPP TIDAK DITEMUKAN",INDEX('04_Pinjaman'!$C$5:$C$1004,MATCH(B920,'04_Pinjaman'!$A$5:$A$1004,0))))</f>
        <v/>
      </c>
      <c r="E920" s="22"/>
      <c r="F920" s="23"/>
      <c r="G920" s="21"/>
    </row>
    <row r="921" spans="1:7" ht="21" customHeight="1">
      <c r="A921" s="20" t="str">
        <f t="shared" si="15"/>
        <v/>
      </c>
      <c r="B921" s="21"/>
      <c r="C921" s="20" t="str">
        <f>IF(B921="","",IF(COUNTIF('04_Pinjaman'!$A$5:$A$1004,B921)=0,"NO PINJAMAN TIDAK DITEMUKAN",INDEX('04_Pinjaman'!$B$5:$B$1004,MATCH(B921,'04_Pinjaman'!$A$5:$A$1004,0))))</f>
        <v/>
      </c>
      <c r="D921" s="20" t="str">
        <f>IF(B921="","",IF(COUNTIF('04_Pinjaman'!$A$5:$A$1004,B921)=0,"NPP TIDAK DITEMUKAN",INDEX('04_Pinjaman'!$C$5:$C$1004,MATCH(B921,'04_Pinjaman'!$A$5:$A$1004,0))))</f>
        <v/>
      </c>
      <c r="E921" s="22"/>
      <c r="F921" s="23"/>
      <c r="G921" s="21"/>
    </row>
    <row r="922" spans="1:7" ht="21" customHeight="1">
      <c r="A922" s="20" t="str">
        <f t="shared" si="15"/>
        <v/>
      </c>
      <c r="B922" s="21"/>
      <c r="C922" s="20" t="str">
        <f>IF(B922="","",IF(COUNTIF('04_Pinjaman'!$A$5:$A$1004,B922)=0,"NO PINJAMAN TIDAK DITEMUKAN",INDEX('04_Pinjaman'!$B$5:$B$1004,MATCH(B922,'04_Pinjaman'!$A$5:$A$1004,0))))</f>
        <v/>
      </c>
      <c r="D922" s="20" t="str">
        <f>IF(B922="","",IF(COUNTIF('04_Pinjaman'!$A$5:$A$1004,B922)=0,"NPP TIDAK DITEMUKAN",INDEX('04_Pinjaman'!$C$5:$C$1004,MATCH(B922,'04_Pinjaman'!$A$5:$A$1004,0))))</f>
        <v/>
      </c>
      <c r="E922" s="22"/>
      <c r="F922" s="23"/>
      <c r="G922" s="21"/>
    </row>
    <row r="923" spans="1:7" ht="21" customHeight="1">
      <c r="A923" s="20" t="str">
        <f t="shared" si="15"/>
        <v/>
      </c>
      <c r="B923" s="21"/>
      <c r="C923" s="20" t="str">
        <f>IF(B923="","",IF(COUNTIF('04_Pinjaman'!$A$5:$A$1004,B923)=0,"NO PINJAMAN TIDAK DITEMUKAN",INDEX('04_Pinjaman'!$B$5:$B$1004,MATCH(B923,'04_Pinjaman'!$A$5:$A$1004,0))))</f>
        <v/>
      </c>
      <c r="D923" s="20" t="str">
        <f>IF(B923="","",IF(COUNTIF('04_Pinjaman'!$A$5:$A$1004,B923)=0,"NPP TIDAK DITEMUKAN",INDEX('04_Pinjaman'!$C$5:$C$1004,MATCH(B923,'04_Pinjaman'!$A$5:$A$1004,0))))</f>
        <v/>
      </c>
      <c r="E923" s="22"/>
      <c r="F923" s="23"/>
      <c r="G923" s="21"/>
    </row>
    <row r="924" spans="1:7" ht="21" customHeight="1">
      <c r="A924" s="20" t="str">
        <f t="shared" si="15"/>
        <v/>
      </c>
      <c r="B924" s="21"/>
      <c r="C924" s="20" t="str">
        <f>IF(B924="","",IF(COUNTIF('04_Pinjaman'!$A$5:$A$1004,B924)=0,"NO PINJAMAN TIDAK DITEMUKAN",INDEX('04_Pinjaman'!$B$5:$B$1004,MATCH(B924,'04_Pinjaman'!$A$5:$A$1004,0))))</f>
        <v/>
      </c>
      <c r="D924" s="20" t="str">
        <f>IF(B924="","",IF(COUNTIF('04_Pinjaman'!$A$5:$A$1004,B924)=0,"NPP TIDAK DITEMUKAN",INDEX('04_Pinjaman'!$C$5:$C$1004,MATCH(B924,'04_Pinjaman'!$A$5:$A$1004,0))))</f>
        <v/>
      </c>
      <c r="E924" s="22"/>
      <c r="F924" s="23"/>
      <c r="G924" s="21"/>
    </row>
    <row r="925" spans="1:7" ht="21" customHeight="1">
      <c r="A925" s="20" t="str">
        <f t="shared" si="15"/>
        <v/>
      </c>
      <c r="B925" s="21"/>
      <c r="C925" s="20" t="str">
        <f>IF(B925="","",IF(COUNTIF('04_Pinjaman'!$A$5:$A$1004,B925)=0,"NO PINJAMAN TIDAK DITEMUKAN",INDEX('04_Pinjaman'!$B$5:$B$1004,MATCH(B925,'04_Pinjaman'!$A$5:$A$1004,0))))</f>
        <v/>
      </c>
      <c r="D925" s="20" t="str">
        <f>IF(B925="","",IF(COUNTIF('04_Pinjaman'!$A$5:$A$1004,B925)=0,"NPP TIDAK DITEMUKAN",INDEX('04_Pinjaman'!$C$5:$C$1004,MATCH(B925,'04_Pinjaman'!$A$5:$A$1004,0))))</f>
        <v/>
      </c>
      <c r="E925" s="22"/>
      <c r="F925" s="23"/>
      <c r="G925" s="21"/>
    </row>
    <row r="926" spans="1:7" ht="21" customHeight="1">
      <c r="A926" s="20" t="str">
        <f t="shared" si="15"/>
        <v/>
      </c>
      <c r="B926" s="21"/>
      <c r="C926" s="20" t="str">
        <f>IF(B926="","",IF(COUNTIF('04_Pinjaman'!$A$5:$A$1004,B926)=0,"NO PINJAMAN TIDAK DITEMUKAN",INDEX('04_Pinjaman'!$B$5:$B$1004,MATCH(B926,'04_Pinjaman'!$A$5:$A$1004,0))))</f>
        <v/>
      </c>
      <c r="D926" s="20" t="str">
        <f>IF(B926="","",IF(COUNTIF('04_Pinjaman'!$A$5:$A$1004,B926)=0,"NPP TIDAK DITEMUKAN",INDEX('04_Pinjaman'!$C$5:$C$1004,MATCH(B926,'04_Pinjaman'!$A$5:$A$1004,0))))</f>
        <v/>
      </c>
      <c r="E926" s="22"/>
      <c r="F926" s="23"/>
      <c r="G926" s="21"/>
    </row>
    <row r="927" spans="1:7" ht="21" customHeight="1">
      <c r="A927" s="20" t="str">
        <f t="shared" si="15"/>
        <v/>
      </c>
      <c r="B927" s="21"/>
      <c r="C927" s="20" t="str">
        <f>IF(B927="","",IF(COUNTIF('04_Pinjaman'!$A$5:$A$1004,B927)=0,"NO PINJAMAN TIDAK DITEMUKAN",INDEX('04_Pinjaman'!$B$5:$B$1004,MATCH(B927,'04_Pinjaman'!$A$5:$A$1004,0))))</f>
        <v/>
      </c>
      <c r="D927" s="20" t="str">
        <f>IF(B927="","",IF(COUNTIF('04_Pinjaman'!$A$5:$A$1004,B927)=0,"NPP TIDAK DITEMUKAN",INDEX('04_Pinjaman'!$C$5:$C$1004,MATCH(B927,'04_Pinjaman'!$A$5:$A$1004,0))))</f>
        <v/>
      </c>
      <c r="E927" s="22"/>
      <c r="F927" s="23"/>
      <c r="G927" s="21"/>
    </row>
    <row r="928" spans="1:7" ht="21" customHeight="1">
      <c r="A928" s="20" t="str">
        <f t="shared" si="15"/>
        <v/>
      </c>
      <c r="B928" s="21"/>
      <c r="C928" s="20" t="str">
        <f>IF(B928="","",IF(COUNTIF('04_Pinjaman'!$A$5:$A$1004,B928)=0,"NO PINJAMAN TIDAK DITEMUKAN",INDEX('04_Pinjaman'!$B$5:$B$1004,MATCH(B928,'04_Pinjaman'!$A$5:$A$1004,0))))</f>
        <v/>
      </c>
      <c r="D928" s="20" t="str">
        <f>IF(B928="","",IF(COUNTIF('04_Pinjaman'!$A$5:$A$1004,B928)=0,"NPP TIDAK DITEMUKAN",INDEX('04_Pinjaman'!$C$5:$C$1004,MATCH(B928,'04_Pinjaman'!$A$5:$A$1004,0))))</f>
        <v/>
      </c>
      <c r="E928" s="22"/>
      <c r="F928" s="23"/>
      <c r="G928" s="21"/>
    </row>
    <row r="929" spans="1:7" ht="21" customHeight="1">
      <c r="A929" s="20" t="str">
        <f t="shared" si="15"/>
        <v/>
      </c>
      <c r="B929" s="21"/>
      <c r="C929" s="20" t="str">
        <f>IF(B929="","",IF(COUNTIF('04_Pinjaman'!$A$5:$A$1004,B929)=0,"NO PINJAMAN TIDAK DITEMUKAN",INDEX('04_Pinjaman'!$B$5:$B$1004,MATCH(B929,'04_Pinjaman'!$A$5:$A$1004,0))))</f>
        <v/>
      </c>
      <c r="D929" s="20" t="str">
        <f>IF(B929="","",IF(COUNTIF('04_Pinjaman'!$A$5:$A$1004,B929)=0,"NPP TIDAK DITEMUKAN",INDEX('04_Pinjaman'!$C$5:$C$1004,MATCH(B929,'04_Pinjaman'!$A$5:$A$1004,0))))</f>
        <v/>
      </c>
      <c r="E929" s="22"/>
      <c r="F929" s="23"/>
      <c r="G929" s="21"/>
    </row>
    <row r="930" spans="1:7" ht="21" customHeight="1">
      <c r="A930" s="20" t="str">
        <f t="shared" si="15"/>
        <v/>
      </c>
      <c r="B930" s="21"/>
      <c r="C930" s="20" t="str">
        <f>IF(B930="","",IF(COUNTIF('04_Pinjaman'!$A$5:$A$1004,B930)=0,"NO PINJAMAN TIDAK DITEMUKAN",INDEX('04_Pinjaman'!$B$5:$B$1004,MATCH(B930,'04_Pinjaman'!$A$5:$A$1004,0))))</f>
        <v/>
      </c>
      <c r="D930" s="20" t="str">
        <f>IF(B930="","",IF(COUNTIF('04_Pinjaman'!$A$5:$A$1004,B930)=0,"NPP TIDAK DITEMUKAN",INDEX('04_Pinjaman'!$C$5:$C$1004,MATCH(B930,'04_Pinjaman'!$A$5:$A$1004,0))))</f>
        <v/>
      </c>
      <c r="E930" s="22"/>
      <c r="F930" s="23"/>
      <c r="G930" s="21"/>
    </row>
    <row r="931" spans="1:7" ht="21" customHeight="1">
      <c r="A931" s="20" t="str">
        <f t="shared" si="15"/>
        <v/>
      </c>
      <c r="B931" s="21"/>
      <c r="C931" s="20" t="str">
        <f>IF(B931="","",IF(COUNTIF('04_Pinjaman'!$A$5:$A$1004,B931)=0,"NO PINJAMAN TIDAK DITEMUKAN",INDEX('04_Pinjaman'!$B$5:$B$1004,MATCH(B931,'04_Pinjaman'!$A$5:$A$1004,0))))</f>
        <v/>
      </c>
      <c r="D931" s="20" t="str">
        <f>IF(B931="","",IF(COUNTIF('04_Pinjaman'!$A$5:$A$1004,B931)=0,"NPP TIDAK DITEMUKAN",INDEX('04_Pinjaman'!$C$5:$C$1004,MATCH(B931,'04_Pinjaman'!$A$5:$A$1004,0))))</f>
        <v/>
      </c>
      <c r="E931" s="22"/>
      <c r="F931" s="23"/>
      <c r="G931" s="21"/>
    </row>
    <row r="932" spans="1:7" ht="21" customHeight="1">
      <c r="A932" s="20" t="str">
        <f t="shared" si="15"/>
        <v/>
      </c>
      <c r="B932" s="21"/>
      <c r="C932" s="20" t="str">
        <f>IF(B932="","",IF(COUNTIF('04_Pinjaman'!$A$5:$A$1004,B932)=0,"NO PINJAMAN TIDAK DITEMUKAN",INDEX('04_Pinjaman'!$B$5:$B$1004,MATCH(B932,'04_Pinjaman'!$A$5:$A$1004,0))))</f>
        <v/>
      </c>
      <c r="D932" s="20" t="str">
        <f>IF(B932="","",IF(COUNTIF('04_Pinjaman'!$A$5:$A$1004,B932)=0,"NPP TIDAK DITEMUKAN",INDEX('04_Pinjaman'!$C$5:$C$1004,MATCH(B932,'04_Pinjaman'!$A$5:$A$1004,0))))</f>
        <v/>
      </c>
      <c r="E932" s="22"/>
      <c r="F932" s="23"/>
      <c r="G932" s="21"/>
    </row>
    <row r="933" spans="1:7" ht="21" customHeight="1">
      <c r="A933" s="20" t="str">
        <f t="shared" si="15"/>
        <v/>
      </c>
      <c r="B933" s="21"/>
      <c r="C933" s="20" t="str">
        <f>IF(B933="","",IF(COUNTIF('04_Pinjaman'!$A$5:$A$1004,B933)=0,"NO PINJAMAN TIDAK DITEMUKAN",INDEX('04_Pinjaman'!$B$5:$B$1004,MATCH(B933,'04_Pinjaman'!$A$5:$A$1004,0))))</f>
        <v/>
      </c>
      <c r="D933" s="20" t="str">
        <f>IF(B933="","",IF(COUNTIF('04_Pinjaman'!$A$5:$A$1004,B933)=0,"NPP TIDAK DITEMUKAN",INDEX('04_Pinjaman'!$C$5:$C$1004,MATCH(B933,'04_Pinjaman'!$A$5:$A$1004,0))))</f>
        <v/>
      </c>
      <c r="E933" s="22"/>
      <c r="F933" s="23"/>
      <c r="G933" s="21"/>
    </row>
    <row r="934" spans="1:7" ht="21" customHeight="1">
      <c r="A934" s="20" t="str">
        <f t="shared" si="15"/>
        <v/>
      </c>
      <c r="B934" s="21"/>
      <c r="C934" s="20" t="str">
        <f>IF(B934="","",IF(COUNTIF('04_Pinjaman'!$A$5:$A$1004,B934)=0,"NO PINJAMAN TIDAK DITEMUKAN",INDEX('04_Pinjaman'!$B$5:$B$1004,MATCH(B934,'04_Pinjaman'!$A$5:$A$1004,0))))</f>
        <v/>
      </c>
      <c r="D934" s="20" t="str">
        <f>IF(B934="","",IF(COUNTIF('04_Pinjaman'!$A$5:$A$1004,B934)=0,"NPP TIDAK DITEMUKAN",INDEX('04_Pinjaman'!$C$5:$C$1004,MATCH(B934,'04_Pinjaman'!$A$5:$A$1004,0))))</f>
        <v/>
      </c>
      <c r="E934" s="22"/>
      <c r="F934" s="23"/>
      <c r="G934" s="21"/>
    </row>
    <row r="935" spans="1:7" ht="21" customHeight="1">
      <c r="A935" s="20" t="str">
        <f t="shared" si="15"/>
        <v/>
      </c>
      <c r="B935" s="21"/>
      <c r="C935" s="20" t="str">
        <f>IF(B935="","",IF(COUNTIF('04_Pinjaman'!$A$5:$A$1004,B935)=0,"NO PINJAMAN TIDAK DITEMUKAN",INDEX('04_Pinjaman'!$B$5:$B$1004,MATCH(B935,'04_Pinjaman'!$A$5:$A$1004,0))))</f>
        <v/>
      </c>
      <c r="D935" s="20" t="str">
        <f>IF(B935="","",IF(COUNTIF('04_Pinjaman'!$A$5:$A$1004,B935)=0,"NPP TIDAK DITEMUKAN",INDEX('04_Pinjaman'!$C$5:$C$1004,MATCH(B935,'04_Pinjaman'!$A$5:$A$1004,0))))</f>
        <v/>
      </c>
      <c r="E935" s="22"/>
      <c r="F935" s="23"/>
      <c r="G935" s="21"/>
    </row>
    <row r="936" spans="1:7" ht="21" customHeight="1">
      <c r="A936" s="20" t="str">
        <f t="shared" si="15"/>
        <v/>
      </c>
      <c r="B936" s="21"/>
      <c r="C936" s="20" t="str">
        <f>IF(B936="","",IF(COUNTIF('04_Pinjaman'!$A$5:$A$1004,B936)=0,"NO PINJAMAN TIDAK DITEMUKAN",INDEX('04_Pinjaman'!$B$5:$B$1004,MATCH(B936,'04_Pinjaman'!$A$5:$A$1004,0))))</f>
        <v/>
      </c>
      <c r="D936" s="20" t="str">
        <f>IF(B936="","",IF(COUNTIF('04_Pinjaman'!$A$5:$A$1004,B936)=0,"NPP TIDAK DITEMUKAN",INDEX('04_Pinjaman'!$C$5:$C$1004,MATCH(B936,'04_Pinjaman'!$A$5:$A$1004,0))))</f>
        <v/>
      </c>
      <c r="E936" s="22"/>
      <c r="F936" s="23"/>
      <c r="G936" s="21"/>
    </row>
    <row r="937" spans="1:7" ht="21" customHeight="1">
      <c r="A937" s="20" t="str">
        <f t="shared" si="15"/>
        <v/>
      </c>
      <c r="B937" s="21"/>
      <c r="C937" s="20" t="str">
        <f>IF(B937="","",IF(COUNTIF('04_Pinjaman'!$A$5:$A$1004,B937)=0,"NO PINJAMAN TIDAK DITEMUKAN",INDEX('04_Pinjaman'!$B$5:$B$1004,MATCH(B937,'04_Pinjaman'!$A$5:$A$1004,0))))</f>
        <v/>
      </c>
      <c r="D937" s="20" t="str">
        <f>IF(B937="","",IF(COUNTIF('04_Pinjaman'!$A$5:$A$1004,B937)=0,"NPP TIDAK DITEMUKAN",INDEX('04_Pinjaman'!$C$5:$C$1004,MATCH(B937,'04_Pinjaman'!$A$5:$A$1004,0))))</f>
        <v/>
      </c>
      <c r="E937" s="22"/>
      <c r="F937" s="23"/>
      <c r="G937" s="21"/>
    </row>
    <row r="938" spans="1:7" ht="21" customHeight="1">
      <c r="A938" s="20" t="str">
        <f t="shared" si="15"/>
        <v/>
      </c>
      <c r="B938" s="21"/>
      <c r="C938" s="20" t="str">
        <f>IF(B938="","",IF(COUNTIF('04_Pinjaman'!$A$5:$A$1004,B938)=0,"NO PINJAMAN TIDAK DITEMUKAN",INDEX('04_Pinjaman'!$B$5:$B$1004,MATCH(B938,'04_Pinjaman'!$A$5:$A$1004,0))))</f>
        <v/>
      </c>
      <c r="D938" s="20" t="str">
        <f>IF(B938="","",IF(COUNTIF('04_Pinjaman'!$A$5:$A$1004,B938)=0,"NPP TIDAK DITEMUKAN",INDEX('04_Pinjaman'!$C$5:$C$1004,MATCH(B938,'04_Pinjaman'!$A$5:$A$1004,0))))</f>
        <v/>
      </c>
      <c r="E938" s="22"/>
      <c r="F938" s="23"/>
      <c r="G938" s="21"/>
    </row>
    <row r="939" spans="1:7" ht="21" customHeight="1">
      <c r="A939" s="20" t="str">
        <f t="shared" si="15"/>
        <v/>
      </c>
      <c r="B939" s="21"/>
      <c r="C939" s="20" t="str">
        <f>IF(B939="","",IF(COUNTIF('04_Pinjaman'!$A$5:$A$1004,B939)=0,"NO PINJAMAN TIDAK DITEMUKAN",INDEX('04_Pinjaman'!$B$5:$B$1004,MATCH(B939,'04_Pinjaman'!$A$5:$A$1004,0))))</f>
        <v/>
      </c>
      <c r="D939" s="20" t="str">
        <f>IF(B939="","",IF(COUNTIF('04_Pinjaman'!$A$5:$A$1004,B939)=0,"NPP TIDAK DITEMUKAN",INDEX('04_Pinjaman'!$C$5:$C$1004,MATCH(B939,'04_Pinjaman'!$A$5:$A$1004,0))))</f>
        <v/>
      </c>
      <c r="E939" s="22"/>
      <c r="F939" s="23"/>
      <c r="G939" s="21"/>
    </row>
    <row r="940" spans="1:7" ht="21" customHeight="1">
      <c r="A940" s="20" t="str">
        <f t="shared" si="15"/>
        <v/>
      </c>
      <c r="B940" s="21"/>
      <c r="C940" s="20" t="str">
        <f>IF(B940="","",IF(COUNTIF('04_Pinjaman'!$A$5:$A$1004,B940)=0,"NO PINJAMAN TIDAK DITEMUKAN",INDEX('04_Pinjaman'!$B$5:$B$1004,MATCH(B940,'04_Pinjaman'!$A$5:$A$1004,0))))</f>
        <v/>
      </c>
      <c r="D940" s="20" t="str">
        <f>IF(B940="","",IF(COUNTIF('04_Pinjaman'!$A$5:$A$1004,B940)=0,"NPP TIDAK DITEMUKAN",INDEX('04_Pinjaman'!$C$5:$C$1004,MATCH(B940,'04_Pinjaman'!$A$5:$A$1004,0))))</f>
        <v/>
      </c>
      <c r="E940" s="22"/>
      <c r="F940" s="23"/>
      <c r="G940" s="21"/>
    </row>
    <row r="941" spans="1:7" ht="21" customHeight="1">
      <c r="A941" s="20" t="str">
        <f t="shared" si="15"/>
        <v/>
      </c>
      <c r="B941" s="21"/>
      <c r="C941" s="20" t="str">
        <f>IF(B941="","",IF(COUNTIF('04_Pinjaman'!$A$5:$A$1004,B941)=0,"NO PINJAMAN TIDAK DITEMUKAN",INDEX('04_Pinjaman'!$B$5:$B$1004,MATCH(B941,'04_Pinjaman'!$A$5:$A$1004,0))))</f>
        <v/>
      </c>
      <c r="D941" s="20" t="str">
        <f>IF(B941="","",IF(COUNTIF('04_Pinjaman'!$A$5:$A$1004,B941)=0,"NPP TIDAK DITEMUKAN",INDEX('04_Pinjaman'!$C$5:$C$1004,MATCH(B941,'04_Pinjaman'!$A$5:$A$1004,0))))</f>
        <v/>
      </c>
      <c r="E941" s="22"/>
      <c r="F941" s="23"/>
      <c r="G941" s="21"/>
    </row>
    <row r="942" spans="1:7" ht="21" customHeight="1">
      <c r="A942" s="20" t="str">
        <f t="shared" si="15"/>
        <v/>
      </c>
      <c r="B942" s="21"/>
      <c r="C942" s="20" t="str">
        <f>IF(B942="","",IF(COUNTIF('04_Pinjaman'!$A$5:$A$1004,B942)=0,"NO PINJAMAN TIDAK DITEMUKAN",INDEX('04_Pinjaman'!$B$5:$B$1004,MATCH(B942,'04_Pinjaman'!$A$5:$A$1004,0))))</f>
        <v/>
      </c>
      <c r="D942" s="20" t="str">
        <f>IF(B942="","",IF(COUNTIF('04_Pinjaman'!$A$5:$A$1004,B942)=0,"NPP TIDAK DITEMUKAN",INDEX('04_Pinjaman'!$C$5:$C$1004,MATCH(B942,'04_Pinjaman'!$A$5:$A$1004,0))))</f>
        <v/>
      </c>
      <c r="E942" s="22"/>
      <c r="F942" s="23"/>
      <c r="G942" s="21"/>
    </row>
    <row r="943" spans="1:7" ht="21" customHeight="1">
      <c r="A943" s="20" t="str">
        <f t="shared" si="15"/>
        <v/>
      </c>
      <c r="B943" s="21"/>
      <c r="C943" s="20" t="str">
        <f>IF(B943="","",IF(COUNTIF('04_Pinjaman'!$A$5:$A$1004,B943)=0,"NO PINJAMAN TIDAK DITEMUKAN",INDEX('04_Pinjaman'!$B$5:$B$1004,MATCH(B943,'04_Pinjaman'!$A$5:$A$1004,0))))</f>
        <v/>
      </c>
      <c r="D943" s="20" t="str">
        <f>IF(B943="","",IF(COUNTIF('04_Pinjaman'!$A$5:$A$1004,B943)=0,"NPP TIDAK DITEMUKAN",INDEX('04_Pinjaman'!$C$5:$C$1004,MATCH(B943,'04_Pinjaman'!$A$5:$A$1004,0))))</f>
        <v/>
      </c>
      <c r="E943" s="22"/>
      <c r="F943" s="23"/>
      <c r="G943" s="21"/>
    </row>
    <row r="944" spans="1:7" ht="21" customHeight="1">
      <c r="A944" s="20" t="str">
        <f t="shared" si="15"/>
        <v/>
      </c>
      <c r="B944" s="21"/>
      <c r="C944" s="20" t="str">
        <f>IF(B944="","",IF(COUNTIF('04_Pinjaman'!$A$5:$A$1004,B944)=0,"NO PINJAMAN TIDAK DITEMUKAN",INDEX('04_Pinjaman'!$B$5:$B$1004,MATCH(B944,'04_Pinjaman'!$A$5:$A$1004,0))))</f>
        <v/>
      </c>
      <c r="D944" s="20" t="str">
        <f>IF(B944="","",IF(COUNTIF('04_Pinjaman'!$A$5:$A$1004,B944)=0,"NPP TIDAK DITEMUKAN",INDEX('04_Pinjaman'!$C$5:$C$1004,MATCH(B944,'04_Pinjaman'!$A$5:$A$1004,0))))</f>
        <v/>
      </c>
      <c r="E944" s="22"/>
      <c r="F944" s="23"/>
      <c r="G944" s="21"/>
    </row>
    <row r="945" spans="1:7" ht="21" customHeight="1">
      <c r="A945" s="20" t="str">
        <f t="shared" si="15"/>
        <v/>
      </c>
      <c r="B945" s="21"/>
      <c r="C945" s="20" t="str">
        <f>IF(B945="","",IF(COUNTIF('04_Pinjaman'!$A$5:$A$1004,B945)=0,"NO PINJAMAN TIDAK DITEMUKAN",INDEX('04_Pinjaman'!$B$5:$B$1004,MATCH(B945,'04_Pinjaman'!$A$5:$A$1004,0))))</f>
        <v/>
      </c>
      <c r="D945" s="20" t="str">
        <f>IF(B945="","",IF(COUNTIF('04_Pinjaman'!$A$5:$A$1004,B945)=0,"NPP TIDAK DITEMUKAN",INDEX('04_Pinjaman'!$C$5:$C$1004,MATCH(B945,'04_Pinjaman'!$A$5:$A$1004,0))))</f>
        <v/>
      </c>
      <c r="E945" s="22"/>
      <c r="F945" s="23"/>
      <c r="G945" s="21"/>
    </row>
    <row r="946" spans="1:7" ht="21" customHeight="1">
      <c r="A946" s="20" t="str">
        <f t="shared" si="15"/>
        <v/>
      </c>
      <c r="B946" s="21"/>
      <c r="C946" s="20" t="str">
        <f>IF(B946="","",IF(COUNTIF('04_Pinjaman'!$A$5:$A$1004,B946)=0,"NO PINJAMAN TIDAK DITEMUKAN",INDEX('04_Pinjaman'!$B$5:$B$1004,MATCH(B946,'04_Pinjaman'!$A$5:$A$1004,0))))</f>
        <v/>
      </c>
      <c r="D946" s="20" t="str">
        <f>IF(B946="","",IF(COUNTIF('04_Pinjaman'!$A$5:$A$1004,B946)=0,"NPP TIDAK DITEMUKAN",INDEX('04_Pinjaman'!$C$5:$C$1004,MATCH(B946,'04_Pinjaman'!$A$5:$A$1004,0))))</f>
        <v/>
      </c>
      <c r="E946" s="22"/>
      <c r="F946" s="23"/>
      <c r="G946" s="21"/>
    </row>
    <row r="947" spans="1:7" ht="21" customHeight="1">
      <c r="A947" s="20" t="str">
        <f t="shared" si="15"/>
        <v/>
      </c>
      <c r="B947" s="21"/>
      <c r="C947" s="20" t="str">
        <f>IF(B947="","",IF(COUNTIF('04_Pinjaman'!$A$5:$A$1004,B947)=0,"NO PINJAMAN TIDAK DITEMUKAN",INDEX('04_Pinjaman'!$B$5:$B$1004,MATCH(B947,'04_Pinjaman'!$A$5:$A$1004,0))))</f>
        <v/>
      </c>
      <c r="D947" s="20" t="str">
        <f>IF(B947="","",IF(COUNTIF('04_Pinjaman'!$A$5:$A$1004,B947)=0,"NPP TIDAK DITEMUKAN",INDEX('04_Pinjaman'!$C$5:$C$1004,MATCH(B947,'04_Pinjaman'!$A$5:$A$1004,0))))</f>
        <v/>
      </c>
      <c r="E947" s="22"/>
      <c r="F947" s="23"/>
      <c r="G947" s="21"/>
    </row>
    <row r="948" spans="1:7" ht="21" customHeight="1">
      <c r="A948" s="20" t="str">
        <f t="shared" si="15"/>
        <v/>
      </c>
      <c r="B948" s="21"/>
      <c r="C948" s="20" t="str">
        <f>IF(B948="","",IF(COUNTIF('04_Pinjaman'!$A$5:$A$1004,B948)=0,"NO PINJAMAN TIDAK DITEMUKAN",INDEX('04_Pinjaman'!$B$5:$B$1004,MATCH(B948,'04_Pinjaman'!$A$5:$A$1004,0))))</f>
        <v/>
      </c>
      <c r="D948" s="20" t="str">
        <f>IF(B948="","",IF(COUNTIF('04_Pinjaman'!$A$5:$A$1004,B948)=0,"NPP TIDAK DITEMUKAN",INDEX('04_Pinjaman'!$C$5:$C$1004,MATCH(B948,'04_Pinjaman'!$A$5:$A$1004,0))))</f>
        <v/>
      </c>
      <c r="E948" s="22"/>
      <c r="F948" s="23"/>
      <c r="G948" s="21"/>
    </row>
    <row r="949" spans="1:7" ht="21" customHeight="1">
      <c r="A949" s="20" t="str">
        <f t="shared" si="15"/>
        <v/>
      </c>
      <c r="B949" s="21"/>
      <c r="C949" s="20" t="str">
        <f>IF(B949="","",IF(COUNTIF('04_Pinjaman'!$A$5:$A$1004,B949)=0,"NO PINJAMAN TIDAK DITEMUKAN",INDEX('04_Pinjaman'!$B$5:$B$1004,MATCH(B949,'04_Pinjaman'!$A$5:$A$1004,0))))</f>
        <v/>
      </c>
      <c r="D949" s="20" t="str">
        <f>IF(B949="","",IF(COUNTIF('04_Pinjaman'!$A$5:$A$1004,B949)=0,"NPP TIDAK DITEMUKAN",INDEX('04_Pinjaman'!$C$5:$C$1004,MATCH(B949,'04_Pinjaman'!$A$5:$A$1004,0))))</f>
        <v/>
      </c>
      <c r="E949" s="22"/>
      <c r="F949" s="23"/>
      <c r="G949" s="21"/>
    </row>
    <row r="950" spans="1:7" ht="21" customHeight="1">
      <c r="A950" s="20" t="str">
        <f t="shared" si="15"/>
        <v/>
      </c>
      <c r="B950" s="21"/>
      <c r="C950" s="20" t="str">
        <f>IF(B950="","",IF(COUNTIF('04_Pinjaman'!$A$5:$A$1004,B950)=0,"NO PINJAMAN TIDAK DITEMUKAN",INDEX('04_Pinjaman'!$B$5:$B$1004,MATCH(B950,'04_Pinjaman'!$A$5:$A$1004,0))))</f>
        <v/>
      </c>
      <c r="D950" s="20" t="str">
        <f>IF(B950="","",IF(COUNTIF('04_Pinjaman'!$A$5:$A$1004,B950)=0,"NPP TIDAK DITEMUKAN",INDEX('04_Pinjaman'!$C$5:$C$1004,MATCH(B950,'04_Pinjaman'!$A$5:$A$1004,0))))</f>
        <v/>
      </c>
      <c r="E950" s="22"/>
      <c r="F950" s="23"/>
      <c r="G950" s="21"/>
    </row>
    <row r="951" spans="1:7" ht="21" customHeight="1">
      <c r="A951" s="20" t="str">
        <f t="shared" si="15"/>
        <v/>
      </c>
      <c r="B951" s="21"/>
      <c r="C951" s="20" t="str">
        <f>IF(B951="","",IF(COUNTIF('04_Pinjaman'!$A$5:$A$1004,B951)=0,"NO PINJAMAN TIDAK DITEMUKAN",INDEX('04_Pinjaman'!$B$5:$B$1004,MATCH(B951,'04_Pinjaman'!$A$5:$A$1004,0))))</f>
        <v/>
      </c>
      <c r="D951" s="20" t="str">
        <f>IF(B951="","",IF(COUNTIF('04_Pinjaman'!$A$5:$A$1004,B951)=0,"NPP TIDAK DITEMUKAN",INDEX('04_Pinjaman'!$C$5:$C$1004,MATCH(B951,'04_Pinjaman'!$A$5:$A$1004,0))))</f>
        <v/>
      </c>
      <c r="E951" s="22"/>
      <c r="F951" s="23"/>
      <c r="G951" s="21"/>
    </row>
    <row r="952" spans="1:7" ht="21" customHeight="1">
      <c r="A952" s="20" t="str">
        <f t="shared" si="15"/>
        <v/>
      </c>
      <c r="B952" s="21"/>
      <c r="C952" s="20" t="str">
        <f>IF(B952="","",IF(COUNTIF('04_Pinjaman'!$A$5:$A$1004,B952)=0,"NO PINJAMAN TIDAK DITEMUKAN",INDEX('04_Pinjaman'!$B$5:$B$1004,MATCH(B952,'04_Pinjaman'!$A$5:$A$1004,0))))</f>
        <v/>
      </c>
      <c r="D952" s="20" t="str">
        <f>IF(B952="","",IF(COUNTIF('04_Pinjaman'!$A$5:$A$1004,B952)=0,"NPP TIDAK DITEMUKAN",INDEX('04_Pinjaman'!$C$5:$C$1004,MATCH(B952,'04_Pinjaman'!$A$5:$A$1004,0))))</f>
        <v/>
      </c>
      <c r="E952" s="22"/>
      <c r="F952" s="23"/>
      <c r="G952" s="21"/>
    </row>
    <row r="953" spans="1:7" ht="21" customHeight="1">
      <c r="A953" s="20" t="str">
        <f t="shared" si="15"/>
        <v/>
      </c>
      <c r="B953" s="21"/>
      <c r="C953" s="20" t="str">
        <f>IF(B953="","",IF(COUNTIF('04_Pinjaman'!$A$5:$A$1004,B953)=0,"NO PINJAMAN TIDAK DITEMUKAN",INDEX('04_Pinjaman'!$B$5:$B$1004,MATCH(B953,'04_Pinjaman'!$A$5:$A$1004,0))))</f>
        <v/>
      </c>
      <c r="D953" s="20" t="str">
        <f>IF(B953="","",IF(COUNTIF('04_Pinjaman'!$A$5:$A$1004,B953)=0,"NPP TIDAK DITEMUKAN",INDEX('04_Pinjaman'!$C$5:$C$1004,MATCH(B953,'04_Pinjaman'!$A$5:$A$1004,0))))</f>
        <v/>
      </c>
      <c r="E953" s="22"/>
      <c r="F953" s="23"/>
      <c r="G953" s="21"/>
    </row>
    <row r="954" spans="1:7" ht="21" customHeight="1">
      <c r="A954" s="20" t="str">
        <f t="shared" si="15"/>
        <v/>
      </c>
      <c r="B954" s="21"/>
      <c r="C954" s="20" t="str">
        <f>IF(B954="","",IF(COUNTIF('04_Pinjaman'!$A$5:$A$1004,B954)=0,"NO PINJAMAN TIDAK DITEMUKAN",INDEX('04_Pinjaman'!$B$5:$B$1004,MATCH(B954,'04_Pinjaman'!$A$5:$A$1004,0))))</f>
        <v/>
      </c>
      <c r="D954" s="20" t="str">
        <f>IF(B954="","",IF(COUNTIF('04_Pinjaman'!$A$5:$A$1004,B954)=0,"NPP TIDAK DITEMUKAN",INDEX('04_Pinjaman'!$C$5:$C$1004,MATCH(B954,'04_Pinjaman'!$A$5:$A$1004,0))))</f>
        <v/>
      </c>
      <c r="E954" s="22"/>
      <c r="F954" s="23"/>
      <c r="G954" s="21"/>
    </row>
    <row r="955" spans="1:7" ht="21" customHeight="1">
      <c r="A955" s="20" t="str">
        <f t="shared" si="15"/>
        <v/>
      </c>
      <c r="B955" s="21"/>
      <c r="C955" s="20" t="str">
        <f>IF(B955="","",IF(COUNTIF('04_Pinjaman'!$A$5:$A$1004,B955)=0,"NO PINJAMAN TIDAK DITEMUKAN",INDEX('04_Pinjaman'!$B$5:$B$1004,MATCH(B955,'04_Pinjaman'!$A$5:$A$1004,0))))</f>
        <v/>
      </c>
      <c r="D955" s="20" t="str">
        <f>IF(B955="","",IF(COUNTIF('04_Pinjaman'!$A$5:$A$1004,B955)=0,"NPP TIDAK DITEMUKAN",INDEX('04_Pinjaman'!$C$5:$C$1004,MATCH(B955,'04_Pinjaman'!$A$5:$A$1004,0))))</f>
        <v/>
      </c>
      <c r="E955" s="22"/>
      <c r="F955" s="23"/>
      <c r="G955" s="21"/>
    </row>
    <row r="956" spans="1:7" ht="21" customHeight="1">
      <c r="A956" s="20" t="str">
        <f t="shared" si="15"/>
        <v/>
      </c>
      <c r="B956" s="21"/>
      <c r="C956" s="20" t="str">
        <f>IF(B956="","",IF(COUNTIF('04_Pinjaman'!$A$5:$A$1004,B956)=0,"NO PINJAMAN TIDAK DITEMUKAN",INDEX('04_Pinjaman'!$B$5:$B$1004,MATCH(B956,'04_Pinjaman'!$A$5:$A$1004,0))))</f>
        <v/>
      </c>
      <c r="D956" s="20" t="str">
        <f>IF(B956="","",IF(COUNTIF('04_Pinjaman'!$A$5:$A$1004,B956)=0,"NPP TIDAK DITEMUKAN",INDEX('04_Pinjaman'!$C$5:$C$1004,MATCH(B956,'04_Pinjaman'!$A$5:$A$1004,0))))</f>
        <v/>
      </c>
      <c r="E956" s="22"/>
      <c r="F956" s="23"/>
      <c r="G956" s="21"/>
    </row>
    <row r="957" spans="1:7" ht="21" customHeight="1">
      <c r="A957" s="20" t="str">
        <f t="shared" si="15"/>
        <v/>
      </c>
      <c r="B957" s="21"/>
      <c r="C957" s="20" t="str">
        <f>IF(B957="","",IF(COUNTIF('04_Pinjaman'!$A$5:$A$1004,B957)=0,"NO PINJAMAN TIDAK DITEMUKAN",INDEX('04_Pinjaman'!$B$5:$B$1004,MATCH(B957,'04_Pinjaman'!$A$5:$A$1004,0))))</f>
        <v/>
      </c>
      <c r="D957" s="20" t="str">
        <f>IF(B957="","",IF(COUNTIF('04_Pinjaman'!$A$5:$A$1004,B957)=0,"NPP TIDAK DITEMUKAN",INDEX('04_Pinjaman'!$C$5:$C$1004,MATCH(B957,'04_Pinjaman'!$A$5:$A$1004,0))))</f>
        <v/>
      </c>
      <c r="E957" s="22"/>
      <c r="F957" s="23"/>
      <c r="G957" s="21"/>
    </row>
    <row r="958" spans="1:7" ht="21" customHeight="1">
      <c r="A958" s="20" t="str">
        <f t="shared" si="15"/>
        <v/>
      </c>
      <c r="B958" s="21"/>
      <c r="C958" s="20" t="str">
        <f>IF(B958="","",IF(COUNTIF('04_Pinjaman'!$A$5:$A$1004,B958)=0,"NO PINJAMAN TIDAK DITEMUKAN",INDEX('04_Pinjaman'!$B$5:$B$1004,MATCH(B958,'04_Pinjaman'!$A$5:$A$1004,0))))</f>
        <v/>
      </c>
      <c r="D958" s="20" t="str">
        <f>IF(B958="","",IF(COUNTIF('04_Pinjaman'!$A$5:$A$1004,B958)=0,"NPP TIDAK DITEMUKAN",INDEX('04_Pinjaman'!$C$5:$C$1004,MATCH(B958,'04_Pinjaman'!$A$5:$A$1004,0))))</f>
        <v/>
      </c>
      <c r="E958" s="22"/>
      <c r="F958" s="23"/>
      <c r="G958" s="21"/>
    </row>
    <row r="959" spans="1:7" ht="21" customHeight="1">
      <c r="A959" s="20" t="str">
        <f t="shared" si="15"/>
        <v/>
      </c>
      <c r="B959" s="21"/>
      <c r="C959" s="20" t="str">
        <f>IF(B959="","",IF(COUNTIF('04_Pinjaman'!$A$5:$A$1004,B959)=0,"NO PINJAMAN TIDAK DITEMUKAN",INDEX('04_Pinjaman'!$B$5:$B$1004,MATCH(B959,'04_Pinjaman'!$A$5:$A$1004,0))))</f>
        <v/>
      </c>
      <c r="D959" s="20" t="str">
        <f>IF(B959="","",IF(COUNTIF('04_Pinjaman'!$A$5:$A$1004,B959)=0,"NPP TIDAK DITEMUKAN",INDEX('04_Pinjaman'!$C$5:$C$1004,MATCH(B959,'04_Pinjaman'!$A$5:$A$1004,0))))</f>
        <v/>
      </c>
      <c r="E959" s="22"/>
      <c r="F959" s="23"/>
      <c r="G959" s="21"/>
    </row>
    <row r="960" spans="1:7" ht="21" customHeight="1">
      <c r="A960" s="20" t="str">
        <f t="shared" si="15"/>
        <v/>
      </c>
      <c r="B960" s="21"/>
      <c r="C960" s="20" t="str">
        <f>IF(B960="","",IF(COUNTIF('04_Pinjaman'!$A$5:$A$1004,B960)=0,"NO PINJAMAN TIDAK DITEMUKAN",INDEX('04_Pinjaman'!$B$5:$B$1004,MATCH(B960,'04_Pinjaman'!$A$5:$A$1004,0))))</f>
        <v/>
      </c>
      <c r="D960" s="20" t="str">
        <f>IF(B960="","",IF(COUNTIF('04_Pinjaman'!$A$5:$A$1004,B960)=0,"NPP TIDAK DITEMUKAN",INDEX('04_Pinjaman'!$C$5:$C$1004,MATCH(B960,'04_Pinjaman'!$A$5:$A$1004,0))))</f>
        <v/>
      </c>
      <c r="E960" s="22"/>
      <c r="F960" s="23"/>
      <c r="G960" s="21"/>
    </row>
    <row r="961" spans="1:7" ht="21" customHeight="1">
      <c r="A961" s="20" t="str">
        <f t="shared" si="15"/>
        <v/>
      </c>
      <c r="B961" s="21"/>
      <c r="C961" s="20" t="str">
        <f>IF(B961="","",IF(COUNTIF('04_Pinjaman'!$A$5:$A$1004,B961)=0,"NO PINJAMAN TIDAK DITEMUKAN",INDEX('04_Pinjaman'!$B$5:$B$1004,MATCH(B961,'04_Pinjaman'!$A$5:$A$1004,0))))</f>
        <v/>
      </c>
      <c r="D961" s="20" t="str">
        <f>IF(B961="","",IF(COUNTIF('04_Pinjaman'!$A$5:$A$1004,B961)=0,"NPP TIDAK DITEMUKAN",INDEX('04_Pinjaman'!$C$5:$C$1004,MATCH(B961,'04_Pinjaman'!$A$5:$A$1004,0))))</f>
        <v/>
      </c>
      <c r="E961" s="22"/>
      <c r="F961" s="23"/>
      <c r="G961" s="21"/>
    </row>
    <row r="962" spans="1:7" ht="21" customHeight="1">
      <c r="A962" s="20" t="str">
        <f t="shared" si="15"/>
        <v/>
      </c>
      <c r="B962" s="21"/>
      <c r="C962" s="20" t="str">
        <f>IF(B962="","",IF(COUNTIF('04_Pinjaman'!$A$5:$A$1004,B962)=0,"NO PINJAMAN TIDAK DITEMUKAN",INDEX('04_Pinjaman'!$B$5:$B$1004,MATCH(B962,'04_Pinjaman'!$A$5:$A$1004,0))))</f>
        <v/>
      </c>
      <c r="D962" s="20" t="str">
        <f>IF(B962="","",IF(COUNTIF('04_Pinjaman'!$A$5:$A$1004,B962)=0,"NPP TIDAK DITEMUKAN",INDEX('04_Pinjaman'!$C$5:$C$1004,MATCH(B962,'04_Pinjaman'!$A$5:$A$1004,0))))</f>
        <v/>
      </c>
      <c r="E962" s="22"/>
      <c r="F962" s="23"/>
      <c r="G962" s="21"/>
    </row>
    <row r="963" spans="1:7" ht="21" customHeight="1">
      <c r="A963" s="20" t="str">
        <f t="shared" si="15"/>
        <v/>
      </c>
      <c r="B963" s="21"/>
      <c r="C963" s="20" t="str">
        <f>IF(B963="","",IF(COUNTIF('04_Pinjaman'!$A$5:$A$1004,B963)=0,"NO PINJAMAN TIDAK DITEMUKAN",INDEX('04_Pinjaman'!$B$5:$B$1004,MATCH(B963,'04_Pinjaman'!$A$5:$A$1004,0))))</f>
        <v/>
      </c>
      <c r="D963" s="20" t="str">
        <f>IF(B963="","",IF(COUNTIF('04_Pinjaman'!$A$5:$A$1004,B963)=0,"NPP TIDAK DITEMUKAN",INDEX('04_Pinjaman'!$C$5:$C$1004,MATCH(B963,'04_Pinjaman'!$A$5:$A$1004,0))))</f>
        <v/>
      </c>
      <c r="E963" s="22"/>
      <c r="F963" s="23"/>
      <c r="G963" s="21"/>
    </row>
    <row r="964" spans="1:7" ht="21" customHeight="1">
      <c r="A964" s="20" t="str">
        <f t="shared" si="15"/>
        <v/>
      </c>
      <c r="B964" s="21"/>
      <c r="C964" s="20" t="str">
        <f>IF(B964="","",IF(COUNTIF('04_Pinjaman'!$A$5:$A$1004,B964)=0,"NO PINJAMAN TIDAK DITEMUKAN",INDEX('04_Pinjaman'!$B$5:$B$1004,MATCH(B964,'04_Pinjaman'!$A$5:$A$1004,0))))</f>
        <v/>
      </c>
      <c r="D964" s="20" t="str">
        <f>IF(B964="","",IF(COUNTIF('04_Pinjaman'!$A$5:$A$1004,B964)=0,"NPP TIDAK DITEMUKAN",INDEX('04_Pinjaman'!$C$5:$C$1004,MATCH(B964,'04_Pinjaman'!$A$5:$A$1004,0))))</f>
        <v/>
      </c>
      <c r="E964" s="22"/>
      <c r="F964" s="23"/>
      <c r="G964" s="21"/>
    </row>
    <row r="965" spans="1:7" ht="21" customHeight="1">
      <c r="A965" s="20" t="str">
        <f t="shared" ref="A965:A1004" si="16">IF(B965="","",ROW()-4)</f>
        <v/>
      </c>
      <c r="B965" s="21"/>
      <c r="C965" s="20" t="str">
        <f>IF(B965="","",IF(COUNTIF('04_Pinjaman'!$A$5:$A$1004,B965)=0,"NO PINJAMAN TIDAK DITEMUKAN",INDEX('04_Pinjaman'!$B$5:$B$1004,MATCH(B965,'04_Pinjaman'!$A$5:$A$1004,0))))</f>
        <v/>
      </c>
      <c r="D965" s="20" t="str">
        <f>IF(B965="","",IF(COUNTIF('04_Pinjaman'!$A$5:$A$1004,B965)=0,"NPP TIDAK DITEMUKAN",INDEX('04_Pinjaman'!$C$5:$C$1004,MATCH(B965,'04_Pinjaman'!$A$5:$A$1004,0))))</f>
        <v/>
      </c>
      <c r="E965" s="22"/>
      <c r="F965" s="23"/>
      <c r="G965" s="21"/>
    </row>
    <row r="966" spans="1:7" ht="21" customHeight="1">
      <c r="A966" s="20" t="str">
        <f t="shared" si="16"/>
        <v/>
      </c>
      <c r="B966" s="21"/>
      <c r="C966" s="20" t="str">
        <f>IF(B966="","",IF(COUNTIF('04_Pinjaman'!$A$5:$A$1004,B966)=0,"NO PINJAMAN TIDAK DITEMUKAN",INDEX('04_Pinjaman'!$B$5:$B$1004,MATCH(B966,'04_Pinjaman'!$A$5:$A$1004,0))))</f>
        <v/>
      </c>
      <c r="D966" s="20" t="str">
        <f>IF(B966="","",IF(COUNTIF('04_Pinjaman'!$A$5:$A$1004,B966)=0,"NPP TIDAK DITEMUKAN",INDEX('04_Pinjaman'!$C$5:$C$1004,MATCH(B966,'04_Pinjaman'!$A$5:$A$1004,0))))</f>
        <v/>
      </c>
      <c r="E966" s="22"/>
      <c r="F966" s="23"/>
      <c r="G966" s="21"/>
    </row>
    <row r="967" spans="1:7" ht="21" customHeight="1">
      <c r="A967" s="20" t="str">
        <f t="shared" si="16"/>
        <v/>
      </c>
      <c r="B967" s="21"/>
      <c r="C967" s="20" t="str">
        <f>IF(B967="","",IF(COUNTIF('04_Pinjaman'!$A$5:$A$1004,B967)=0,"NO PINJAMAN TIDAK DITEMUKAN",INDEX('04_Pinjaman'!$B$5:$B$1004,MATCH(B967,'04_Pinjaman'!$A$5:$A$1004,0))))</f>
        <v/>
      </c>
      <c r="D967" s="20" t="str">
        <f>IF(B967="","",IF(COUNTIF('04_Pinjaman'!$A$5:$A$1004,B967)=0,"NPP TIDAK DITEMUKAN",INDEX('04_Pinjaman'!$C$5:$C$1004,MATCH(B967,'04_Pinjaman'!$A$5:$A$1004,0))))</f>
        <v/>
      </c>
      <c r="E967" s="22"/>
      <c r="F967" s="23"/>
      <c r="G967" s="21"/>
    </row>
    <row r="968" spans="1:7" ht="21" customHeight="1">
      <c r="A968" s="20" t="str">
        <f t="shared" si="16"/>
        <v/>
      </c>
      <c r="B968" s="21"/>
      <c r="C968" s="20" t="str">
        <f>IF(B968="","",IF(COUNTIF('04_Pinjaman'!$A$5:$A$1004,B968)=0,"NO PINJAMAN TIDAK DITEMUKAN",INDEX('04_Pinjaman'!$B$5:$B$1004,MATCH(B968,'04_Pinjaman'!$A$5:$A$1004,0))))</f>
        <v/>
      </c>
      <c r="D968" s="20" t="str">
        <f>IF(B968="","",IF(COUNTIF('04_Pinjaman'!$A$5:$A$1004,B968)=0,"NPP TIDAK DITEMUKAN",INDEX('04_Pinjaman'!$C$5:$C$1004,MATCH(B968,'04_Pinjaman'!$A$5:$A$1004,0))))</f>
        <v/>
      </c>
      <c r="E968" s="22"/>
      <c r="F968" s="23"/>
      <c r="G968" s="21"/>
    </row>
    <row r="969" spans="1:7" ht="21" customHeight="1">
      <c r="A969" s="20" t="str">
        <f t="shared" si="16"/>
        <v/>
      </c>
      <c r="B969" s="21"/>
      <c r="C969" s="20" t="str">
        <f>IF(B969="","",IF(COUNTIF('04_Pinjaman'!$A$5:$A$1004,B969)=0,"NO PINJAMAN TIDAK DITEMUKAN",INDEX('04_Pinjaman'!$B$5:$B$1004,MATCH(B969,'04_Pinjaman'!$A$5:$A$1004,0))))</f>
        <v/>
      </c>
      <c r="D969" s="20" t="str">
        <f>IF(B969="","",IF(COUNTIF('04_Pinjaman'!$A$5:$A$1004,B969)=0,"NPP TIDAK DITEMUKAN",INDEX('04_Pinjaman'!$C$5:$C$1004,MATCH(B969,'04_Pinjaman'!$A$5:$A$1004,0))))</f>
        <v/>
      </c>
      <c r="E969" s="22"/>
      <c r="F969" s="23"/>
      <c r="G969" s="21"/>
    </row>
    <row r="970" spans="1:7" ht="21" customHeight="1">
      <c r="A970" s="20" t="str">
        <f t="shared" si="16"/>
        <v/>
      </c>
      <c r="B970" s="21"/>
      <c r="C970" s="20" t="str">
        <f>IF(B970="","",IF(COUNTIF('04_Pinjaman'!$A$5:$A$1004,B970)=0,"NO PINJAMAN TIDAK DITEMUKAN",INDEX('04_Pinjaman'!$B$5:$B$1004,MATCH(B970,'04_Pinjaman'!$A$5:$A$1004,0))))</f>
        <v/>
      </c>
      <c r="D970" s="20" t="str">
        <f>IF(B970="","",IF(COUNTIF('04_Pinjaman'!$A$5:$A$1004,B970)=0,"NPP TIDAK DITEMUKAN",INDEX('04_Pinjaman'!$C$5:$C$1004,MATCH(B970,'04_Pinjaman'!$A$5:$A$1004,0))))</f>
        <v/>
      </c>
      <c r="E970" s="22"/>
      <c r="F970" s="23"/>
      <c r="G970" s="21"/>
    </row>
    <row r="971" spans="1:7" ht="21" customHeight="1">
      <c r="A971" s="20" t="str">
        <f t="shared" si="16"/>
        <v/>
      </c>
      <c r="B971" s="21"/>
      <c r="C971" s="20" t="str">
        <f>IF(B971="","",IF(COUNTIF('04_Pinjaman'!$A$5:$A$1004,B971)=0,"NO PINJAMAN TIDAK DITEMUKAN",INDEX('04_Pinjaman'!$B$5:$B$1004,MATCH(B971,'04_Pinjaman'!$A$5:$A$1004,0))))</f>
        <v/>
      </c>
      <c r="D971" s="20" t="str">
        <f>IF(B971="","",IF(COUNTIF('04_Pinjaman'!$A$5:$A$1004,B971)=0,"NPP TIDAK DITEMUKAN",INDEX('04_Pinjaman'!$C$5:$C$1004,MATCH(B971,'04_Pinjaman'!$A$5:$A$1004,0))))</f>
        <v/>
      </c>
      <c r="E971" s="22"/>
      <c r="F971" s="23"/>
      <c r="G971" s="21"/>
    </row>
    <row r="972" spans="1:7" ht="21" customHeight="1">
      <c r="A972" s="20" t="str">
        <f t="shared" si="16"/>
        <v/>
      </c>
      <c r="B972" s="21"/>
      <c r="C972" s="20" t="str">
        <f>IF(B972="","",IF(COUNTIF('04_Pinjaman'!$A$5:$A$1004,B972)=0,"NO PINJAMAN TIDAK DITEMUKAN",INDEX('04_Pinjaman'!$B$5:$B$1004,MATCH(B972,'04_Pinjaman'!$A$5:$A$1004,0))))</f>
        <v/>
      </c>
      <c r="D972" s="20" t="str">
        <f>IF(B972="","",IF(COUNTIF('04_Pinjaman'!$A$5:$A$1004,B972)=0,"NPP TIDAK DITEMUKAN",INDEX('04_Pinjaman'!$C$5:$C$1004,MATCH(B972,'04_Pinjaman'!$A$5:$A$1004,0))))</f>
        <v/>
      </c>
      <c r="E972" s="22"/>
      <c r="F972" s="23"/>
      <c r="G972" s="21"/>
    </row>
    <row r="973" spans="1:7" ht="21" customHeight="1">
      <c r="A973" s="20" t="str">
        <f t="shared" si="16"/>
        <v/>
      </c>
      <c r="B973" s="21"/>
      <c r="C973" s="20" t="str">
        <f>IF(B973="","",IF(COUNTIF('04_Pinjaman'!$A$5:$A$1004,B973)=0,"NO PINJAMAN TIDAK DITEMUKAN",INDEX('04_Pinjaman'!$B$5:$B$1004,MATCH(B973,'04_Pinjaman'!$A$5:$A$1004,0))))</f>
        <v/>
      </c>
      <c r="D973" s="20" t="str">
        <f>IF(B973="","",IF(COUNTIF('04_Pinjaman'!$A$5:$A$1004,B973)=0,"NPP TIDAK DITEMUKAN",INDEX('04_Pinjaman'!$C$5:$C$1004,MATCH(B973,'04_Pinjaman'!$A$5:$A$1004,0))))</f>
        <v/>
      </c>
      <c r="E973" s="22"/>
      <c r="F973" s="23"/>
      <c r="G973" s="21"/>
    </row>
    <row r="974" spans="1:7" ht="21" customHeight="1">
      <c r="A974" s="20" t="str">
        <f t="shared" si="16"/>
        <v/>
      </c>
      <c r="B974" s="21"/>
      <c r="C974" s="20" t="str">
        <f>IF(B974="","",IF(COUNTIF('04_Pinjaman'!$A$5:$A$1004,B974)=0,"NO PINJAMAN TIDAK DITEMUKAN",INDEX('04_Pinjaman'!$B$5:$B$1004,MATCH(B974,'04_Pinjaman'!$A$5:$A$1004,0))))</f>
        <v/>
      </c>
      <c r="D974" s="20" t="str">
        <f>IF(B974="","",IF(COUNTIF('04_Pinjaman'!$A$5:$A$1004,B974)=0,"NPP TIDAK DITEMUKAN",INDEX('04_Pinjaman'!$C$5:$C$1004,MATCH(B974,'04_Pinjaman'!$A$5:$A$1004,0))))</f>
        <v/>
      </c>
      <c r="E974" s="22"/>
      <c r="F974" s="23"/>
      <c r="G974" s="21"/>
    </row>
    <row r="975" spans="1:7" ht="21" customHeight="1">
      <c r="A975" s="20" t="str">
        <f t="shared" si="16"/>
        <v/>
      </c>
      <c r="B975" s="21"/>
      <c r="C975" s="20" t="str">
        <f>IF(B975="","",IF(COUNTIF('04_Pinjaman'!$A$5:$A$1004,B975)=0,"NO PINJAMAN TIDAK DITEMUKAN",INDEX('04_Pinjaman'!$B$5:$B$1004,MATCH(B975,'04_Pinjaman'!$A$5:$A$1004,0))))</f>
        <v/>
      </c>
      <c r="D975" s="20" t="str">
        <f>IF(B975="","",IF(COUNTIF('04_Pinjaman'!$A$5:$A$1004,B975)=0,"NPP TIDAK DITEMUKAN",INDEX('04_Pinjaman'!$C$5:$C$1004,MATCH(B975,'04_Pinjaman'!$A$5:$A$1004,0))))</f>
        <v/>
      </c>
      <c r="E975" s="22"/>
      <c r="F975" s="23"/>
      <c r="G975" s="21"/>
    </row>
    <row r="976" spans="1:7" ht="21" customHeight="1">
      <c r="A976" s="20" t="str">
        <f t="shared" si="16"/>
        <v/>
      </c>
      <c r="B976" s="21"/>
      <c r="C976" s="20" t="str">
        <f>IF(B976="","",IF(COUNTIF('04_Pinjaman'!$A$5:$A$1004,B976)=0,"NO PINJAMAN TIDAK DITEMUKAN",INDEX('04_Pinjaman'!$B$5:$B$1004,MATCH(B976,'04_Pinjaman'!$A$5:$A$1004,0))))</f>
        <v/>
      </c>
      <c r="D976" s="20" t="str">
        <f>IF(B976="","",IF(COUNTIF('04_Pinjaman'!$A$5:$A$1004,B976)=0,"NPP TIDAK DITEMUKAN",INDEX('04_Pinjaman'!$C$5:$C$1004,MATCH(B976,'04_Pinjaman'!$A$5:$A$1004,0))))</f>
        <v/>
      </c>
      <c r="E976" s="22"/>
      <c r="F976" s="23"/>
      <c r="G976" s="21"/>
    </row>
    <row r="977" spans="1:7" ht="21" customHeight="1">
      <c r="A977" s="20" t="str">
        <f t="shared" si="16"/>
        <v/>
      </c>
      <c r="B977" s="21"/>
      <c r="C977" s="20" t="str">
        <f>IF(B977="","",IF(COUNTIF('04_Pinjaman'!$A$5:$A$1004,B977)=0,"NO PINJAMAN TIDAK DITEMUKAN",INDEX('04_Pinjaman'!$B$5:$B$1004,MATCH(B977,'04_Pinjaman'!$A$5:$A$1004,0))))</f>
        <v/>
      </c>
      <c r="D977" s="20" t="str">
        <f>IF(B977="","",IF(COUNTIF('04_Pinjaman'!$A$5:$A$1004,B977)=0,"NPP TIDAK DITEMUKAN",INDEX('04_Pinjaman'!$C$5:$C$1004,MATCH(B977,'04_Pinjaman'!$A$5:$A$1004,0))))</f>
        <v/>
      </c>
      <c r="E977" s="22"/>
      <c r="F977" s="23"/>
      <c r="G977" s="21"/>
    </row>
    <row r="978" spans="1:7" ht="21" customHeight="1">
      <c r="A978" s="20" t="str">
        <f t="shared" si="16"/>
        <v/>
      </c>
      <c r="B978" s="21"/>
      <c r="C978" s="20" t="str">
        <f>IF(B978="","",IF(COUNTIF('04_Pinjaman'!$A$5:$A$1004,B978)=0,"NO PINJAMAN TIDAK DITEMUKAN",INDEX('04_Pinjaman'!$B$5:$B$1004,MATCH(B978,'04_Pinjaman'!$A$5:$A$1004,0))))</f>
        <v/>
      </c>
      <c r="D978" s="20" t="str">
        <f>IF(B978="","",IF(COUNTIF('04_Pinjaman'!$A$5:$A$1004,B978)=0,"NPP TIDAK DITEMUKAN",INDEX('04_Pinjaman'!$C$5:$C$1004,MATCH(B978,'04_Pinjaman'!$A$5:$A$1004,0))))</f>
        <v/>
      </c>
      <c r="E978" s="22"/>
      <c r="F978" s="23"/>
      <c r="G978" s="21"/>
    </row>
    <row r="979" spans="1:7" ht="21" customHeight="1">
      <c r="A979" s="20" t="str">
        <f t="shared" si="16"/>
        <v/>
      </c>
      <c r="B979" s="21"/>
      <c r="C979" s="20" t="str">
        <f>IF(B979="","",IF(COUNTIF('04_Pinjaman'!$A$5:$A$1004,B979)=0,"NO PINJAMAN TIDAK DITEMUKAN",INDEX('04_Pinjaman'!$B$5:$B$1004,MATCH(B979,'04_Pinjaman'!$A$5:$A$1004,0))))</f>
        <v/>
      </c>
      <c r="D979" s="20" t="str">
        <f>IF(B979="","",IF(COUNTIF('04_Pinjaman'!$A$5:$A$1004,B979)=0,"NPP TIDAK DITEMUKAN",INDEX('04_Pinjaman'!$C$5:$C$1004,MATCH(B979,'04_Pinjaman'!$A$5:$A$1004,0))))</f>
        <v/>
      </c>
      <c r="E979" s="22"/>
      <c r="F979" s="23"/>
      <c r="G979" s="21"/>
    </row>
    <row r="980" spans="1:7" ht="21" customHeight="1">
      <c r="A980" s="20" t="str">
        <f t="shared" si="16"/>
        <v/>
      </c>
      <c r="B980" s="21"/>
      <c r="C980" s="20" t="str">
        <f>IF(B980="","",IF(COUNTIF('04_Pinjaman'!$A$5:$A$1004,B980)=0,"NO PINJAMAN TIDAK DITEMUKAN",INDEX('04_Pinjaman'!$B$5:$B$1004,MATCH(B980,'04_Pinjaman'!$A$5:$A$1004,0))))</f>
        <v/>
      </c>
      <c r="D980" s="20" t="str">
        <f>IF(B980="","",IF(COUNTIF('04_Pinjaman'!$A$5:$A$1004,B980)=0,"NPP TIDAK DITEMUKAN",INDEX('04_Pinjaman'!$C$5:$C$1004,MATCH(B980,'04_Pinjaman'!$A$5:$A$1004,0))))</f>
        <v/>
      </c>
      <c r="E980" s="22"/>
      <c r="F980" s="23"/>
      <c r="G980" s="21"/>
    </row>
    <row r="981" spans="1:7" ht="21" customHeight="1">
      <c r="A981" s="20" t="str">
        <f t="shared" si="16"/>
        <v/>
      </c>
      <c r="B981" s="21"/>
      <c r="C981" s="20" t="str">
        <f>IF(B981="","",IF(COUNTIF('04_Pinjaman'!$A$5:$A$1004,B981)=0,"NO PINJAMAN TIDAK DITEMUKAN",INDEX('04_Pinjaman'!$B$5:$B$1004,MATCH(B981,'04_Pinjaman'!$A$5:$A$1004,0))))</f>
        <v/>
      </c>
      <c r="D981" s="20" t="str">
        <f>IF(B981="","",IF(COUNTIF('04_Pinjaman'!$A$5:$A$1004,B981)=0,"NPP TIDAK DITEMUKAN",INDEX('04_Pinjaman'!$C$5:$C$1004,MATCH(B981,'04_Pinjaman'!$A$5:$A$1004,0))))</f>
        <v/>
      </c>
      <c r="E981" s="22"/>
      <c r="F981" s="23"/>
      <c r="G981" s="21"/>
    </row>
    <row r="982" spans="1:7" ht="21" customHeight="1">
      <c r="A982" s="20" t="str">
        <f t="shared" si="16"/>
        <v/>
      </c>
      <c r="B982" s="21"/>
      <c r="C982" s="20" t="str">
        <f>IF(B982="","",IF(COUNTIF('04_Pinjaman'!$A$5:$A$1004,B982)=0,"NO PINJAMAN TIDAK DITEMUKAN",INDEX('04_Pinjaman'!$B$5:$B$1004,MATCH(B982,'04_Pinjaman'!$A$5:$A$1004,0))))</f>
        <v/>
      </c>
      <c r="D982" s="20" t="str">
        <f>IF(B982="","",IF(COUNTIF('04_Pinjaman'!$A$5:$A$1004,B982)=0,"NPP TIDAK DITEMUKAN",INDEX('04_Pinjaman'!$C$5:$C$1004,MATCH(B982,'04_Pinjaman'!$A$5:$A$1004,0))))</f>
        <v/>
      </c>
      <c r="E982" s="22"/>
      <c r="F982" s="23"/>
      <c r="G982" s="21"/>
    </row>
    <row r="983" spans="1:7" ht="21" customHeight="1">
      <c r="A983" s="20" t="str">
        <f t="shared" si="16"/>
        <v/>
      </c>
      <c r="B983" s="21"/>
      <c r="C983" s="20" t="str">
        <f>IF(B983="","",IF(COUNTIF('04_Pinjaman'!$A$5:$A$1004,B983)=0,"NO PINJAMAN TIDAK DITEMUKAN",INDEX('04_Pinjaman'!$B$5:$B$1004,MATCH(B983,'04_Pinjaman'!$A$5:$A$1004,0))))</f>
        <v/>
      </c>
      <c r="D983" s="20" t="str">
        <f>IF(B983="","",IF(COUNTIF('04_Pinjaman'!$A$5:$A$1004,B983)=0,"NPP TIDAK DITEMUKAN",INDEX('04_Pinjaman'!$C$5:$C$1004,MATCH(B983,'04_Pinjaman'!$A$5:$A$1004,0))))</f>
        <v/>
      </c>
      <c r="E983" s="22"/>
      <c r="F983" s="23"/>
      <c r="G983" s="21"/>
    </row>
    <row r="984" spans="1:7" ht="21" customHeight="1">
      <c r="A984" s="20" t="str">
        <f t="shared" si="16"/>
        <v/>
      </c>
      <c r="B984" s="21"/>
      <c r="C984" s="20" t="str">
        <f>IF(B984="","",IF(COUNTIF('04_Pinjaman'!$A$5:$A$1004,B984)=0,"NO PINJAMAN TIDAK DITEMUKAN",INDEX('04_Pinjaman'!$B$5:$B$1004,MATCH(B984,'04_Pinjaman'!$A$5:$A$1004,0))))</f>
        <v/>
      </c>
      <c r="D984" s="20" t="str">
        <f>IF(B984="","",IF(COUNTIF('04_Pinjaman'!$A$5:$A$1004,B984)=0,"NPP TIDAK DITEMUKAN",INDEX('04_Pinjaman'!$C$5:$C$1004,MATCH(B984,'04_Pinjaman'!$A$5:$A$1004,0))))</f>
        <v/>
      </c>
      <c r="E984" s="22"/>
      <c r="F984" s="23"/>
      <c r="G984" s="21"/>
    </row>
    <row r="985" spans="1:7" ht="21" customHeight="1">
      <c r="A985" s="20" t="str">
        <f t="shared" si="16"/>
        <v/>
      </c>
      <c r="B985" s="21"/>
      <c r="C985" s="20" t="str">
        <f>IF(B985="","",IF(COUNTIF('04_Pinjaman'!$A$5:$A$1004,B985)=0,"NO PINJAMAN TIDAK DITEMUKAN",INDEX('04_Pinjaman'!$B$5:$B$1004,MATCH(B985,'04_Pinjaman'!$A$5:$A$1004,0))))</f>
        <v/>
      </c>
      <c r="D985" s="20" t="str">
        <f>IF(B985="","",IF(COUNTIF('04_Pinjaman'!$A$5:$A$1004,B985)=0,"NPP TIDAK DITEMUKAN",INDEX('04_Pinjaman'!$C$5:$C$1004,MATCH(B985,'04_Pinjaman'!$A$5:$A$1004,0))))</f>
        <v/>
      </c>
      <c r="E985" s="22"/>
      <c r="F985" s="23"/>
      <c r="G985" s="21"/>
    </row>
    <row r="986" spans="1:7" ht="21" customHeight="1">
      <c r="A986" s="20" t="str">
        <f t="shared" si="16"/>
        <v/>
      </c>
      <c r="B986" s="21"/>
      <c r="C986" s="20" t="str">
        <f>IF(B986="","",IF(COUNTIF('04_Pinjaman'!$A$5:$A$1004,B986)=0,"NO PINJAMAN TIDAK DITEMUKAN",INDEX('04_Pinjaman'!$B$5:$B$1004,MATCH(B986,'04_Pinjaman'!$A$5:$A$1004,0))))</f>
        <v/>
      </c>
      <c r="D986" s="20" t="str">
        <f>IF(B986="","",IF(COUNTIF('04_Pinjaman'!$A$5:$A$1004,B986)=0,"NPP TIDAK DITEMUKAN",INDEX('04_Pinjaman'!$C$5:$C$1004,MATCH(B986,'04_Pinjaman'!$A$5:$A$1004,0))))</f>
        <v/>
      </c>
      <c r="E986" s="22"/>
      <c r="F986" s="23"/>
      <c r="G986" s="21"/>
    </row>
    <row r="987" spans="1:7" ht="21" customHeight="1">
      <c r="A987" s="20" t="str">
        <f t="shared" si="16"/>
        <v/>
      </c>
      <c r="B987" s="21"/>
      <c r="C987" s="20" t="str">
        <f>IF(B987="","",IF(COUNTIF('04_Pinjaman'!$A$5:$A$1004,B987)=0,"NO PINJAMAN TIDAK DITEMUKAN",INDEX('04_Pinjaman'!$B$5:$B$1004,MATCH(B987,'04_Pinjaman'!$A$5:$A$1004,0))))</f>
        <v/>
      </c>
      <c r="D987" s="20" t="str">
        <f>IF(B987="","",IF(COUNTIF('04_Pinjaman'!$A$5:$A$1004,B987)=0,"NPP TIDAK DITEMUKAN",INDEX('04_Pinjaman'!$C$5:$C$1004,MATCH(B987,'04_Pinjaman'!$A$5:$A$1004,0))))</f>
        <v/>
      </c>
      <c r="E987" s="22"/>
      <c r="F987" s="23"/>
      <c r="G987" s="21"/>
    </row>
    <row r="988" spans="1:7" ht="21" customHeight="1">
      <c r="A988" s="20" t="str">
        <f t="shared" si="16"/>
        <v/>
      </c>
      <c r="B988" s="21"/>
      <c r="C988" s="20" t="str">
        <f>IF(B988="","",IF(COUNTIF('04_Pinjaman'!$A$5:$A$1004,B988)=0,"NO PINJAMAN TIDAK DITEMUKAN",INDEX('04_Pinjaman'!$B$5:$B$1004,MATCH(B988,'04_Pinjaman'!$A$5:$A$1004,0))))</f>
        <v/>
      </c>
      <c r="D988" s="20" t="str">
        <f>IF(B988="","",IF(COUNTIF('04_Pinjaman'!$A$5:$A$1004,B988)=0,"NPP TIDAK DITEMUKAN",INDEX('04_Pinjaman'!$C$5:$C$1004,MATCH(B988,'04_Pinjaman'!$A$5:$A$1004,0))))</f>
        <v/>
      </c>
      <c r="E988" s="22"/>
      <c r="F988" s="23"/>
      <c r="G988" s="21"/>
    </row>
    <row r="989" spans="1:7" ht="21" customHeight="1">
      <c r="A989" s="20" t="str">
        <f t="shared" si="16"/>
        <v/>
      </c>
      <c r="B989" s="21"/>
      <c r="C989" s="20" t="str">
        <f>IF(B989="","",IF(COUNTIF('04_Pinjaman'!$A$5:$A$1004,B989)=0,"NO PINJAMAN TIDAK DITEMUKAN",INDEX('04_Pinjaman'!$B$5:$B$1004,MATCH(B989,'04_Pinjaman'!$A$5:$A$1004,0))))</f>
        <v/>
      </c>
      <c r="D989" s="20" t="str">
        <f>IF(B989="","",IF(COUNTIF('04_Pinjaman'!$A$5:$A$1004,B989)=0,"NPP TIDAK DITEMUKAN",INDEX('04_Pinjaman'!$C$5:$C$1004,MATCH(B989,'04_Pinjaman'!$A$5:$A$1004,0))))</f>
        <v/>
      </c>
      <c r="E989" s="22"/>
      <c r="F989" s="23"/>
      <c r="G989" s="21"/>
    </row>
    <row r="990" spans="1:7" ht="21" customHeight="1">
      <c r="A990" s="20" t="str">
        <f t="shared" si="16"/>
        <v/>
      </c>
      <c r="B990" s="21"/>
      <c r="C990" s="20" t="str">
        <f>IF(B990="","",IF(COUNTIF('04_Pinjaman'!$A$5:$A$1004,B990)=0,"NO PINJAMAN TIDAK DITEMUKAN",INDEX('04_Pinjaman'!$B$5:$B$1004,MATCH(B990,'04_Pinjaman'!$A$5:$A$1004,0))))</f>
        <v/>
      </c>
      <c r="D990" s="20" t="str">
        <f>IF(B990="","",IF(COUNTIF('04_Pinjaman'!$A$5:$A$1004,B990)=0,"NPP TIDAK DITEMUKAN",INDEX('04_Pinjaman'!$C$5:$C$1004,MATCH(B990,'04_Pinjaman'!$A$5:$A$1004,0))))</f>
        <v/>
      </c>
      <c r="E990" s="22"/>
      <c r="F990" s="23"/>
      <c r="G990" s="21"/>
    </row>
    <row r="991" spans="1:7" ht="21" customHeight="1">
      <c r="A991" s="20" t="str">
        <f t="shared" si="16"/>
        <v/>
      </c>
      <c r="B991" s="21"/>
      <c r="C991" s="20" t="str">
        <f>IF(B991="","",IF(COUNTIF('04_Pinjaman'!$A$5:$A$1004,B991)=0,"NO PINJAMAN TIDAK DITEMUKAN",INDEX('04_Pinjaman'!$B$5:$B$1004,MATCH(B991,'04_Pinjaman'!$A$5:$A$1004,0))))</f>
        <v/>
      </c>
      <c r="D991" s="20" t="str">
        <f>IF(B991="","",IF(COUNTIF('04_Pinjaman'!$A$5:$A$1004,B991)=0,"NPP TIDAK DITEMUKAN",INDEX('04_Pinjaman'!$C$5:$C$1004,MATCH(B991,'04_Pinjaman'!$A$5:$A$1004,0))))</f>
        <v/>
      </c>
      <c r="E991" s="22"/>
      <c r="F991" s="23"/>
      <c r="G991" s="21"/>
    </row>
    <row r="992" spans="1:7" ht="21" customHeight="1">
      <c r="A992" s="20" t="str">
        <f t="shared" si="16"/>
        <v/>
      </c>
      <c r="B992" s="21"/>
      <c r="C992" s="20" t="str">
        <f>IF(B992="","",IF(COUNTIF('04_Pinjaman'!$A$5:$A$1004,B992)=0,"NO PINJAMAN TIDAK DITEMUKAN",INDEX('04_Pinjaman'!$B$5:$B$1004,MATCH(B992,'04_Pinjaman'!$A$5:$A$1004,0))))</f>
        <v/>
      </c>
      <c r="D992" s="20" t="str">
        <f>IF(B992="","",IF(COUNTIF('04_Pinjaman'!$A$5:$A$1004,B992)=0,"NPP TIDAK DITEMUKAN",INDEX('04_Pinjaman'!$C$5:$C$1004,MATCH(B992,'04_Pinjaman'!$A$5:$A$1004,0))))</f>
        <v/>
      </c>
      <c r="E992" s="22"/>
      <c r="F992" s="23"/>
      <c r="G992" s="21"/>
    </row>
    <row r="993" spans="1:7" ht="21" customHeight="1">
      <c r="A993" s="20" t="str">
        <f t="shared" si="16"/>
        <v/>
      </c>
      <c r="B993" s="21"/>
      <c r="C993" s="20" t="str">
        <f>IF(B993="","",IF(COUNTIF('04_Pinjaman'!$A$5:$A$1004,B993)=0,"NO PINJAMAN TIDAK DITEMUKAN",INDEX('04_Pinjaman'!$B$5:$B$1004,MATCH(B993,'04_Pinjaman'!$A$5:$A$1004,0))))</f>
        <v/>
      </c>
      <c r="D993" s="20" t="str">
        <f>IF(B993="","",IF(COUNTIF('04_Pinjaman'!$A$5:$A$1004,B993)=0,"NPP TIDAK DITEMUKAN",INDEX('04_Pinjaman'!$C$5:$C$1004,MATCH(B993,'04_Pinjaman'!$A$5:$A$1004,0))))</f>
        <v/>
      </c>
      <c r="E993" s="22"/>
      <c r="F993" s="23"/>
      <c r="G993" s="21"/>
    </row>
    <row r="994" spans="1:7" ht="21" customHeight="1">
      <c r="A994" s="20" t="str">
        <f t="shared" si="16"/>
        <v/>
      </c>
      <c r="B994" s="21"/>
      <c r="C994" s="20" t="str">
        <f>IF(B994="","",IF(COUNTIF('04_Pinjaman'!$A$5:$A$1004,B994)=0,"NO PINJAMAN TIDAK DITEMUKAN",INDEX('04_Pinjaman'!$B$5:$B$1004,MATCH(B994,'04_Pinjaman'!$A$5:$A$1004,0))))</f>
        <v/>
      </c>
      <c r="D994" s="20" t="str">
        <f>IF(B994="","",IF(COUNTIF('04_Pinjaman'!$A$5:$A$1004,B994)=0,"NPP TIDAK DITEMUKAN",INDEX('04_Pinjaman'!$C$5:$C$1004,MATCH(B994,'04_Pinjaman'!$A$5:$A$1004,0))))</f>
        <v/>
      </c>
      <c r="E994" s="22"/>
      <c r="F994" s="23"/>
      <c r="G994" s="21"/>
    </row>
    <row r="995" spans="1:7" ht="21" customHeight="1">
      <c r="A995" s="20" t="str">
        <f t="shared" si="16"/>
        <v/>
      </c>
      <c r="B995" s="21"/>
      <c r="C995" s="20" t="str">
        <f>IF(B995="","",IF(COUNTIF('04_Pinjaman'!$A$5:$A$1004,B995)=0,"NO PINJAMAN TIDAK DITEMUKAN",INDEX('04_Pinjaman'!$B$5:$B$1004,MATCH(B995,'04_Pinjaman'!$A$5:$A$1004,0))))</f>
        <v/>
      </c>
      <c r="D995" s="20" t="str">
        <f>IF(B995="","",IF(COUNTIF('04_Pinjaman'!$A$5:$A$1004,B995)=0,"NPP TIDAK DITEMUKAN",INDEX('04_Pinjaman'!$C$5:$C$1004,MATCH(B995,'04_Pinjaman'!$A$5:$A$1004,0))))</f>
        <v/>
      </c>
      <c r="E995" s="22"/>
      <c r="F995" s="23"/>
      <c r="G995" s="21"/>
    </row>
    <row r="996" spans="1:7" ht="21" customHeight="1">
      <c r="A996" s="20" t="str">
        <f t="shared" si="16"/>
        <v/>
      </c>
      <c r="B996" s="21"/>
      <c r="C996" s="20" t="str">
        <f>IF(B996="","",IF(COUNTIF('04_Pinjaman'!$A$5:$A$1004,B996)=0,"NO PINJAMAN TIDAK DITEMUKAN",INDEX('04_Pinjaman'!$B$5:$B$1004,MATCH(B996,'04_Pinjaman'!$A$5:$A$1004,0))))</f>
        <v/>
      </c>
      <c r="D996" s="20" t="str">
        <f>IF(B996="","",IF(COUNTIF('04_Pinjaman'!$A$5:$A$1004,B996)=0,"NPP TIDAK DITEMUKAN",INDEX('04_Pinjaman'!$C$5:$C$1004,MATCH(B996,'04_Pinjaman'!$A$5:$A$1004,0))))</f>
        <v/>
      </c>
      <c r="E996" s="22"/>
      <c r="F996" s="23"/>
      <c r="G996" s="21"/>
    </row>
    <row r="997" spans="1:7" ht="21" customHeight="1">
      <c r="A997" s="20" t="str">
        <f t="shared" si="16"/>
        <v/>
      </c>
      <c r="B997" s="21"/>
      <c r="C997" s="20" t="str">
        <f>IF(B997="","",IF(COUNTIF('04_Pinjaman'!$A$5:$A$1004,B997)=0,"NO PINJAMAN TIDAK DITEMUKAN",INDEX('04_Pinjaman'!$B$5:$B$1004,MATCH(B997,'04_Pinjaman'!$A$5:$A$1004,0))))</f>
        <v/>
      </c>
      <c r="D997" s="20" t="str">
        <f>IF(B997="","",IF(COUNTIF('04_Pinjaman'!$A$5:$A$1004,B997)=0,"NPP TIDAK DITEMUKAN",INDEX('04_Pinjaman'!$C$5:$C$1004,MATCH(B997,'04_Pinjaman'!$A$5:$A$1004,0))))</f>
        <v/>
      </c>
      <c r="E997" s="22"/>
      <c r="F997" s="23"/>
      <c r="G997" s="21"/>
    </row>
    <row r="998" spans="1:7" ht="21" customHeight="1">
      <c r="A998" s="20" t="str">
        <f t="shared" si="16"/>
        <v/>
      </c>
      <c r="B998" s="21"/>
      <c r="C998" s="20" t="str">
        <f>IF(B998="","",IF(COUNTIF('04_Pinjaman'!$A$5:$A$1004,B998)=0,"NO PINJAMAN TIDAK DITEMUKAN",INDEX('04_Pinjaman'!$B$5:$B$1004,MATCH(B998,'04_Pinjaman'!$A$5:$A$1004,0))))</f>
        <v/>
      </c>
      <c r="D998" s="20" t="str">
        <f>IF(B998="","",IF(COUNTIF('04_Pinjaman'!$A$5:$A$1004,B998)=0,"NPP TIDAK DITEMUKAN",INDEX('04_Pinjaman'!$C$5:$C$1004,MATCH(B998,'04_Pinjaman'!$A$5:$A$1004,0))))</f>
        <v/>
      </c>
      <c r="E998" s="22"/>
      <c r="F998" s="23"/>
      <c r="G998" s="21"/>
    </row>
    <row r="999" spans="1:7" ht="21" customHeight="1">
      <c r="A999" s="20" t="str">
        <f t="shared" si="16"/>
        <v/>
      </c>
      <c r="B999" s="21"/>
      <c r="C999" s="20" t="str">
        <f>IF(B999="","",IF(COUNTIF('04_Pinjaman'!$A$5:$A$1004,B999)=0,"NO PINJAMAN TIDAK DITEMUKAN",INDEX('04_Pinjaman'!$B$5:$B$1004,MATCH(B999,'04_Pinjaman'!$A$5:$A$1004,0))))</f>
        <v/>
      </c>
      <c r="D999" s="20" t="str">
        <f>IF(B999="","",IF(COUNTIF('04_Pinjaman'!$A$5:$A$1004,B999)=0,"NPP TIDAK DITEMUKAN",INDEX('04_Pinjaman'!$C$5:$C$1004,MATCH(B999,'04_Pinjaman'!$A$5:$A$1004,0))))</f>
        <v/>
      </c>
      <c r="E999" s="22"/>
      <c r="F999" s="23"/>
      <c r="G999" s="21"/>
    </row>
    <row r="1000" spans="1:7" ht="21" customHeight="1">
      <c r="A1000" s="20" t="str">
        <f t="shared" si="16"/>
        <v/>
      </c>
      <c r="B1000" s="21"/>
      <c r="C1000" s="20" t="str">
        <f>IF(B1000="","",IF(COUNTIF('04_Pinjaman'!$A$5:$A$1004,B1000)=0,"NO PINJAMAN TIDAK DITEMUKAN",INDEX('04_Pinjaman'!$B$5:$B$1004,MATCH(B1000,'04_Pinjaman'!$A$5:$A$1004,0))))</f>
        <v/>
      </c>
      <c r="D1000" s="20" t="str">
        <f>IF(B1000="","",IF(COUNTIF('04_Pinjaman'!$A$5:$A$1004,B1000)=0,"NPP TIDAK DITEMUKAN",INDEX('04_Pinjaman'!$C$5:$C$1004,MATCH(B1000,'04_Pinjaman'!$A$5:$A$1004,0))))</f>
        <v/>
      </c>
      <c r="E1000" s="22"/>
      <c r="F1000" s="23"/>
      <c r="G1000" s="21"/>
    </row>
    <row r="1001" spans="1:7" ht="21" customHeight="1">
      <c r="A1001" s="20" t="str">
        <f t="shared" si="16"/>
        <v/>
      </c>
      <c r="B1001" s="21"/>
      <c r="C1001" s="20" t="str">
        <f>IF(B1001="","",IF(COUNTIF('04_Pinjaman'!$A$5:$A$1004,B1001)=0,"NO PINJAMAN TIDAK DITEMUKAN",INDEX('04_Pinjaman'!$B$5:$B$1004,MATCH(B1001,'04_Pinjaman'!$A$5:$A$1004,0))))</f>
        <v/>
      </c>
      <c r="D1001" s="20" t="str">
        <f>IF(B1001="","",IF(COUNTIF('04_Pinjaman'!$A$5:$A$1004,B1001)=0,"NPP TIDAK DITEMUKAN",INDEX('04_Pinjaman'!$C$5:$C$1004,MATCH(B1001,'04_Pinjaman'!$A$5:$A$1004,0))))</f>
        <v/>
      </c>
      <c r="E1001" s="22"/>
      <c r="F1001" s="23"/>
      <c r="G1001" s="21"/>
    </row>
    <row r="1002" spans="1:7" ht="21" customHeight="1">
      <c r="A1002" s="20" t="str">
        <f t="shared" si="16"/>
        <v/>
      </c>
      <c r="B1002" s="21"/>
      <c r="C1002" s="20" t="str">
        <f>IF(B1002="","",IF(COUNTIF('04_Pinjaman'!$A$5:$A$1004,B1002)=0,"NO PINJAMAN TIDAK DITEMUKAN",INDEX('04_Pinjaman'!$B$5:$B$1004,MATCH(B1002,'04_Pinjaman'!$A$5:$A$1004,0))))</f>
        <v/>
      </c>
      <c r="D1002" s="20" t="str">
        <f>IF(B1002="","",IF(COUNTIF('04_Pinjaman'!$A$5:$A$1004,B1002)=0,"NPP TIDAK DITEMUKAN",INDEX('04_Pinjaman'!$C$5:$C$1004,MATCH(B1002,'04_Pinjaman'!$A$5:$A$1004,0))))</f>
        <v/>
      </c>
      <c r="E1002" s="22"/>
      <c r="F1002" s="23"/>
      <c r="G1002" s="21"/>
    </row>
    <row r="1003" spans="1:7" ht="21" customHeight="1">
      <c r="A1003" s="20" t="str">
        <f t="shared" si="16"/>
        <v/>
      </c>
      <c r="B1003" s="21"/>
      <c r="C1003" s="20" t="str">
        <f>IF(B1003="","",IF(COUNTIF('04_Pinjaman'!$A$5:$A$1004,B1003)=0,"NO PINJAMAN TIDAK DITEMUKAN",INDEX('04_Pinjaman'!$B$5:$B$1004,MATCH(B1003,'04_Pinjaman'!$A$5:$A$1004,0))))</f>
        <v/>
      </c>
      <c r="D1003" s="20" t="str">
        <f>IF(B1003="","",IF(COUNTIF('04_Pinjaman'!$A$5:$A$1004,B1003)=0,"NPP TIDAK DITEMUKAN",INDEX('04_Pinjaman'!$C$5:$C$1004,MATCH(B1003,'04_Pinjaman'!$A$5:$A$1004,0))))</f>
        <v/>
      </c>
      <c r="E1003" s="22"/>
      <c r="F1003" s="23"/>
      <c r="G1003" s="21"/>
    </row>
    <row r="1004" spans="1:7" ht="21" customHeight="1">
      <c r="A1004" s="20" t="str">
        <f t="shared" si="16"/>
        <v/>
      </c>
      <c r="B1004" s="21"/>
      <c r="C1004" s="20" t="str">
        <f>IF(B1004="","",IF(COUNTIF('04_Pinjaman'!$A$5:$A$1004,B1004)=0,"NO PINJAMAN TIDAK DITEMUKAN",INDEX('04_Pinjaman'!$B$5:$B$1004,MATCH(B1004,'04_Pinjaman'!$A$5:$A$1004,0))))</f>
        <v/>
      </c>
      <c r="D1004" s="20" t="str">
        <f>IF(B1004="","",IF(COUNTIF('04_Pinjaman'!$A$5:$A$1004,B1004)=0,"NPP TIDAK DITEMUKAN",INDEX('04_Pinjaman'!$C$5:$C$1004,MATCH(B1004,'04_Pinjaman'!$A$5:$A$1004,0))))</f>
        <v/>
      </c>
      <c r="E1004" s="22"/>
      <c r="F1004" s="23"/>
      <c r="G1004" s="21"/>
    </row>
  </sheetData>
  <dataValidations count="2">
    <dataValidation type="list" sqref="B5:B1004" xr:uid="{00000000-0002-0000-0400-000000000000}">
      <formula1>INDIRECT("'04_Pinjaman'!$A$5:$A$1004")</formula1>
    </dataValidation>
    <dataValidation type="list" sqref="I5:I1004" xr:uid="{00000000-0002-0000-0400-000001000000}">
      <formula1>"Ya,Tidak"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showGridLines="0" workbookViewId="0">
      <pane ySplit="4" topLeftCell="A5" activePane="bottomLeft" state="frozen"/>
      <selection pane="bottomLeft" activeCell="B21" sqref="B21"/>
    </sheetView>
  </sheetViews>
  <sheetFormatPr baseColWidth="10" defaultColWidth="9" defaultRowHeight="14"/>
  <cols>
    <col min="1" max="1" width="38" customWidth="1"/>
    <col min="2" max="2" width="14" customWidth="1"/>
    <col min="3" max="3" width="34" customWidth="1"/>
    <col min="4" max="4" width="30" customWidth="1"/>
  </cols>
  <sheetData>
    <row r="1" spans="1:4" ht="24" customHeight="1">
      <c r="A1" s="1" t="s">
        <v>91</v>
      </c>
      <c r="B1" s="1"/>
      <c r="C1" s="1"/>
      <c r="D1" s="1"/>
    </row>
    <row r="2" spans="1:4" ht="22" customHeight="1">
      <c r="A2" s="14" t="s">
        <v>92</v>
      </c>
      <c r="B2" s="14"/>
      <c r="C2" s="14"/>
      <c r="D2" s="14"/>
    </row>
    <row r="3" spans="1:4">
      <c r="A3" s="3"/>
      <c r="B3" s="3"/>
      <c r="C3" s="3"/>
      <c r="D3" s="3"/>
    </row>
    <row r="4" spans="1:4" ht="36" customHeight="1">
      <c r="A4" s="5" t="s">
        <v>93</v>
      </c>
      <c r="B4" s="5" t="s">
        <v>37</v>
      </c>
      <c r="C4" s="5" t="s">
        <v>94</v>
      </c>
      <c r="D4" s="5" t="s">
        <v>95</v>
      </c>
    </row>
    <row r="5" spans="1:4">
      <c r="A5" s="15" t="s">
        <v>96</v>
      </c>
      <c r="B5" s="16">
        <f>SUMPRODUCT(--('01_Anggota'!$D$5:$D$1212&lt;&gt;""),--('01_Anggota'!$B$5:$B$1212=""))</f>
        <v>0</v>
      </c>
      <c r="C5" s="15" t="s">
        <v>97</v>
      </c>
      <c r="D5" s="15" t="s">
        <v>98</v>
      </c>
    </row>
    <row r="6" spans="1:4" ht="28">
      <c r="A6" s="15" t="s">
        <v>99</v>
      </c>
      <c r="B6" s="16">
        <f>SUMPRODUCT(--('01_Anggota'!$D$5:$D$1212&lt;&gt;""),--('01_Anggota'!$G$5:$G$1212=""))</f>
        <v>158</v>
      </c>
      <c r="C6" s="15" t="s">
        <v>100</v>
      </c>
      <c r="D6" s="15" t="s">
        <v>101</v>
      </c>
    </row>
    <row r="7" spans="1:4">
      <c r="A7" s="15" t="s">
        <v>102</v>
      </c>
      <c r="B7" s="16">
        <f>COUNTIF('01_Anggota'!$K$5:$K$1212,"Belum Dipastikan")</f>
        <v>0</v>
      </c>
      <c r="C7" s="15" t="s">
        <v>103</v>
      </c>
      <c r="D7" s="15" t="s">
        <v>104</v>
      </c>
    </row>
    <row r="8" spans="1:4" ht="28">
      <c r="A8" s="15" t="s">
        <v>105</v>
      </c>
      <c r="B8" s="43">
        <f>SUMPRODUCT(--('03_Simpanan'!$B$5:$B$1739=""),--((('03_Simpanan'!$D$5:$D$1739&lt;&gt;0)+('03_Simpanan'!$E$5:$E$1739&lt;&gt;0)+('03_Simpanan'!$F$5:$F$1739&lt;&gt;0)+('03_Simpanan'!$G$5:$G$1739&lt;&gt;0))&gt;0))</f>
        <v>0</v>
      </c>
      <c r="C8" s="15" t="s">
        <v>106</v>
      </c>
      <c r="D8" s="15" t="s">
        <v>107</v>
      </c>
    </row>
    <row r="9" spans="1:4">
      <c r="A9" s="15" t="s">
        <v>108</v>
      </c>
      <c r="B9" s="43">
        <f>SUMPRODUCT(--('03_Simpanan'!$B$5:$B$1739&lt;&gt;""),--(('03_Simpanan'!$C$5:$C$1739="")+('03_Simpanan'!$C$5:$C$1739="NPP TIDAK DITEMUKAN")&gt;0))</f>
        <v>0</v>
      </c>
      <c r="C9" s="15" t="s">
        <v>109</v>
      </c>
      <c r="D9" s="15" t="s">
        <v>110</v>
      </c>
    </row>
    <row r="10" spans="1:4">
      <c r="A10" s="15" t="s">
        <v>111</v>
      </c>
      <c r="B10" s="16" t="e">
        <f>SUMPRODUCT(--(((('04_Pinjaman'!$A$5:$A$1004&lt;&gt;"")+('04_Pinjaman'!$B$5:$B$1004&lt;&gt;"")+('04_Pinjaman'!$D$5:$D$1004&lt;&gt;"")+('04_Pinjaman'!$E$5:$E$1004&lt;&gt;"")+('04_Pinjaman'!$G$5:$G$1004&lt;&gt;"")+('04_Pinjaman'!$H$5:$H$1004&lt;&gt;"")+('04_Pinjaman'!$I$5:$I$1004&lt;&gt;"")+('04_Pinjaman'!$J$5:$J$1004&lt;&gt;"")+('04_Pinjaman'!#REF!&lt;&gt;"")+('04_Pinjaman'!$K$5:$K$1004&lt;&gt;""))&gt;0)),--((('04_Pinjaman'!$A$5:$A$1004="")+('04_Pinjaman'!$B$5:$B$1004=""))&gt;0))</f>
        <v>#REF!</v>
      </c>
      <c r="C10" s="15" t="s">
        <v>112</v>
      </c>
      <c r="D10" s="15" t="s">
        <v>113</v>
      </c>
    </row>
    <row r="11" spans="1:4">
      <c r="A11" s="15" t="s">
        <v>114</v>
      </c>
      <c r="B11" s="16">
        <f>SUMPRODUCT(--('04_Pinjaman'!$A$5:$A$1004&lt;&gt;""),--((('04_Pinjaman'!$E$5:$E$1004="")+('04_Pinjaman'!$H$5:$H$1004="")&gt;0)))</f>
        <v>0</v>
      </c>
      <c r="C11" s="15" t="s">
        <v>115</v>
      </c>
      <c r="D11" s="15" t="s">
        <v>116</v>
      </c>
    </row>
    <row r="12" spans="1:4">
      <c r="A12" s="15" t="s">
        <v>117</v>
      </c>
      <c r="B12" s="16">
        <f>SUMPRODUCT(--('04_Pinjaman'!$A$5:$A$1004&lt;&gt;""),--('04_Pinjaman'!$I$5:$I$1004=""))</f>
        <v>0</v>
      </c>
      <c r="C12" s="15" t="s">
        <v>118</v>
      </c>
      <c r="D12" s="15" t="s">
        <v>119</v>
      </c>
    </row>
    <row r="13" spans="1:4">
      <c r="A13" s="15" t="s">
        <v>120</v>
      </c>
      <c r="B13" s="16">
        <f>SUMPRODUCT(--('05_Angsuran'!$B$5:$B$1004=""),--(('05_Angsuran'!$E$5:$E$1004&lt;&gt;"")+('05_Angsuran'!$F$5:$F$1004&lt;&gt;"")&gt;0))</f>
        <v>0</v>
      </c>
      <c r="C13" s="15" t="s">
        <v>121</v>
      </c>
      <c r="D13" s="15" t="s">
        <v>122</v>
      </c>
    </row>
    <row r="14" spans="1:4">
      <c r="A14" s="15" t="s">
        <v>123</v>
      </c>
      <c r="B14" s="16">
        <f>SUMPRODUCT(--('05_Angsuran'!$B$5:$B$1004&lt;&gt;""),--(('05_Angsuran'!$E$5:$E$1004="")+('05_Angsuran'!$F$5:$F$1004="")&gt;0))</f>
        <v>0</v>
      </c>
      <c r="C14" s="15" t="s">
        <v>124</v>
      </c>
      <c r="D14" s="15" t="s">
        <v>125</v>
      </c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</sheetData>
  <conditionalFormatting sqref="B5:B14">
    <cfRule type="cellIs" dxfId="1" priority="1" operator="greaterThan">
      <formula>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"/>
  <sheetViews>
    <sheetView showGridLines="0" topLeftCell="B1" workbookViewId="0">
      <pane ySplit="3" topLeftCell="A4" activePane="bottomLeft" state="frozen"/>
      <selection pane="bottomLeft"/>
    </sheetView>
  </sheetViews>
  <sheetFormatPr baseColWidth="10" defaultColWidth="9" defaultRowHeight="14"/>
  <cols>
    <col min="1" max="1" width="20" customWidth="1"/>
    <col min="2" max="2" width="72" customWidth="1"/>
    <col min="3" max="3" width="48" customWidth="1"/>
    <col min="4" max="4" width="20" customWidth="1"/>
    <col min="5" max="5" width="34" customWidth="1"/>
    <col min="6" max="6" width="12" customWidth="1"/>
    <col min="7" max="7" width="44" customWidth="1"/>
    <col min="8" max="8" width="24" customWidth="1"/>
    <col min="9" max="9" width="18" customWidth="1"/>
    <col min="10" max="10" width="46" customWidth="1"/>
    <col min="11" max="11" width="44" customWidth="1"/>
    <col min="12" max="12" width="18" customWidth="1"/>
    <col min="13" max="13" width="16" customWidth="1"/>
    <col min="14" max="14" width="14" customWidth="1"/>
    <col min="15" max="15" width="44" customWidth="1"/>
  </cols>
  <sheetData>
    <row r="1" spans="1:15" ht="24" customHeight="1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" customHeight="1">
      <c r="A2" s="2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0" customHeight="1">
      <c r="A3" s="2" t="s">
        <v>128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4" t="s">
        <v>129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"/>
      <c r="O5" s="3"/>
    </row>
    <row r="6" spans="1:15" ht="38" customHeight="1">
      <c r="A6" s="5" t="s">
        <v>130</v>
      </c>
      <c r="B6" s="5" t="s">
        <v>131</v>
      </c>
      <c r="C6" s="5" t="s">
        <v>57</v>
      </c>
      <c r="D6" s="5" t="s">
        <v>28</v>
      </c>
      <c r="E6" s="5" t="s">
        <v>132</v>
      </c>
      <c r="F6" s="5" t="s">
        <v>60</v>
      </c>
      <c r="G6" s="5" t="s">
        <v>133</v>
      </c>
      <c r="H6" s="5" t="s">
        <v>62</v>
      </c>
      <c r="I6" s="5" t="s">
        <v>63</v>
      </c>
      <c r="J6" s="5" t="s">
        <v>64</v>
      </c>
      <c r="K6" s="5" t="s">
        <v>134</v>
      </c>
      <c r="L6" s="5" t="s">
        <v>135</v>
      </c>
      <c r="M6" s="5" t="s">
        <v>67</v>
      </c>
      <c r="N6" s="3"/>
      <c r="O6" s="3"/>
    </row>
    <row r="7" spans="1:15" ht="38" customHeight="1">
      <c r="A7" s="6">
        <v>1</v>
      </c>
      <c r="B7" s="6" t="s">
        <v>136</v>
      </c>
      <c r="C7" s="6" t="s">
        <v>137</v>
      </c>
      <c r="D7" s="6" t="s">
        <v>138</v>
      </c>
      <c r="E7" s="6" t="s">
        <v>139</v>
      </c>
      <c r="F7" s="6" t="s">
        <v>140</v>
      </c>
      <c r="G7" s="7">
        <v>45306</v>
      </c>
      <c r="H7" s="6" t="s">
        <v>141</v>
      </c>
      <c r="I7" s="6" t="s">
        <v>142</v>
      </c>
      <c r="J7" s="6" t="s">
        <v>143</v>
      </c>
      <c r="K7" s="6" t="s">
        <v>144</v>
      </c>
      <c r="L7" s="6" t="s">
        <v>145</v>
      </c>
      <c r="M7" s="6" t="s">
        <v>146</v>
      </c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  <c r="M10" s="3"/>
      <c r="N10" s="3"/>
      <c r="O10" s="3"/>
    </row>
    <row r="11" spans="1:15" ht="38" customHeight="1">
      <c r="A11" s="5" t="s">
        <v>130</v>
      </c>
      <c r="B11" s="5" t="s">
        <v>148</v>
      </c>
      <c r="C11" s="5" t="s">
        <v>149</v>
      </c>
      <c r="D11" s="5" t="s">
        <v>150</v>
      </c>
      <c r="E11" s="5" t="s">
        <v>151</v>
      </c>
      <c r="F11" s="5" t="s">
        <v>152</v>
      </c>
      <c r="G11" s="5" t="s">
        <v>67</v>
      </c>
      <c r="H11" s="5" t="s">
        <v>153</v>
      </c>
      <c r="I11" s="5" t="s">
        <v>154</v>
      </c>
      <c r="J11" s="3"/>
      <c r="K11" s="3"/>
      <c r="L11" s="3"/>
      <c r="M11" s="3"/>
      <c r="N11" s="3"/>
      <c r="O11" s="3"/>
    </row>
    <row r="12" spans="1:15" ht="38" customHeight="1">
      <c r="A12" s="6">
        <v>1</v>
      </c>
      <c r="B12" s="6" t="s">
        <v>155</v>
      </c>
      <c r="C12" s="6" t="s">
        <v>136</v>
      </c>
      <c r="D12" s="6" t="s">
        <v>138</v>
      </c>
      <c r="E12" s="6" t="s">
        <v>136</v>
      </c>
      <c r="F12" s="6" t="s">
        <v>144</v>
      </c>
      <c r="G12" s="6" t="s">
        <v>156</v>
      </c>
      <c r="H12" s="6" t="s">
        <v>157</v>
      </c>
      <c r="I12" s="6">
        <v>12</v>
      </c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8" t="s">
        <v>158</v>
      </c>
      <c r="B15" s="8"/>
      <c r="C15" s="8"/>
      <c r="D15" s="8"/>
      <c r="E15" s="8"/>
      <c r="F15" s="8"/>
      <c r="G15" s="8"/>
      <c r="H15" s="8"/>
    </row>
    <row r="16" spans="1:15" ht="38" customHeight="1">
      <c r="A16" s="9" t="s">
        <v>130</v>
      </c>
      <c r="B16" s="9" t="s">
        <v>159</v>
      </c>
      <c r="C16" s="9" t="s">
        <v>33</v>
      </c>
      <c r="D16" s="9" t="s">
        <v>72</v>
      </c>
      <c r="E16" s="9" t="s">
        <v>73</v>
      </c>
      <c r="F16" s="9" t="s">
        <v>74</v>
      </c>
      <c r="G16" s="9" t="s">
        <v>75</v>
      </c>
      <c r="H16" s="9" t="s">
        <v>67</v>
      </c>
    </row>
    <row r="17" spans="1:15" ht="38" customHeight="1">
      <c r="A17" s="10">
        <v>1</v>
      </c>
      <c r="B17" s="10" t="s">
        <v>138</v>
      </c>
      <c r="C17" s="10" t="s">
        <v>136</v>
      </c>
      <c r="D17" s="11">
        <v>1000</v>
      </c>
      <c r="E17" s="11">
        <v>10000</v>
      </c>
      <c r="F17" s="11">
        <v>2000</v>
      </c>
      <c r="G17" s="11">
        <v>9000</v>
      </c>
      <c r="H17" s="10" t="s">
        <v>146</v>
      </c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8" t="s">
        <v>160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5" ht="38" customHeight="1">
      <c r="A21" s="9" t="s">
        <v>161</v>
      </c>
      <c r="B21" s="9" t="s">
        <v>159</v>
      </c>
      <c r="C21" s="9" t="s">
        <v>33</v>
      </c>
      <c r="D21" s="9" t="s">
        <v>162</v>
      </c>
      <c r="E21" s="9" t="s">
        <v>163</v>
      </c>
      <c r="F21" s="9" t="s">
        <v>81</v>
      </c>
      <c r="G21" s="9" t="s">
        <v>164</v>
      </c>
      <c r="H21" s="9" t="s">
        <v>165</v>
      </c>
      <c r="I21" s="9" t="s">
        <v>166</v>
      </c>
      <c r="J21" s="9" t="s">
        <v>132</v>
      </c>
      <c r="K21" s="9" t="s">
        <v>135</v>
      </c>
      <c r="L21" s="9" t="s">
        <v>67</v>
      </c>
    </row>
    <row r="22" spans="1:15" ht="38" customHeight="1">
      <c r="A22" s="10" t="s">
        <v>167</v>
      </c>
      <c r="B22" s="10" t="s">
        <v>138</v>
      </c>
      <c r="C22" s="10" t="s">
        <v>136</v>
      </c>
      <c r="D22" s="10" t="s">
        <v>168</v>
      </c>
      <c r="E22" s="11">
        <v>1000000</v>
      </c>
      <c r="F22" s="11">
        <v>10000</v>
      </c>
      <c r="G22" s="11">
        <v>1010000</v>
      </c>
      <c r="H22" s="12">
        <v>10</v>
      </c>
      <c r="I22" s="13">
        <v>46023</v>
      </c>
      <c r="J22" s="10" t="s">
        <v>169</v>
      </c>
      <c r="K22" s="10" t="s">
        <v>170</v>
      </c>
      <c r="L22" s="10" t="s">
        <v>146</v>
      </c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8" t="s">
        <v>171</v>
      </c>
      <c r="B25" s="8"/>
      <c r="C25" s="8"/>
      <c r="D25" s="8"/>
      <c r="E25" s="8"/>
      <c r="F25" s="8"/>
      <c r="G25" s="8"/>
      <c r="H25" s="8"/>
    </row>
    <row r="26" spans="1:15" ht="38" customHeight="1">
      <c r="A26" s="9" t="s">
        <v>172</v>
      </c>
      <c r="B26" s="9" t="s">
        <v>161</v>
      </c>
      <c r="C26" s="9" t="s">
        <v>159</v>
      </c>
      <c r="D26" s="9" t="s">
        <v>33</v>
      </c>
      <c r="E26" s="9" t="s">
        <v>35</v>
      </c>
      <c r="F26" s="9" t="s">
        <v>173</v>
      </c>
      <c r="G26" s="9" t="s">
        <v>174</v>
      </c>
      <c r="H26" s="9" t="s">
        <v>67</v>
      </c>
    </row>
    <row r="27" spans="1:15" ht="38" customHeight="1">
      <c r="A27" s="10">
        <v>1</v>
      </c>
      <c r="B27" s="10" t="s">
        <v>167</v>
      </c>
      <c r="C27" s="10" t="s">
        <v>138</v>
      </c>
      <c r="D27" s="10" t="s">
        <v>136</v>
      </c>
      <c r="E27" s="13">
        <v>46081</v>
      </c>
      <c r="F27" s="11">
        <v>101000</v>
      </c>
      <c r="G27" s="10" t="s">
        <v>175</v>
      </c>
      <c r="H27" s="10" t="s">
        <v>146</v>
      </c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4" t="s">
        <v>176</v>
      </c>
      <c r="B30" s="4"/>
      <c r="C30" s="4"/>
      <c r="D30" s="4"/>
      <c r="E30" s="4"/>
      <c r="F30" s="4"/>
      <c r="G30" s="4"/>
      <c r="H30" s="4"/>
      <c r="I30" s="4"/>
      <c r="J30" s="4"/>
      <c r="K30" s="3"/>
      <c r="L30" s="3"/>
      <c r="M30" s="3"/>
      <c r="N30" s="3"/>
      <c r="O30" s="3"/>
    </row>
    <row r="31" spans="1:15" ht="38" customHeight="1">
      <c r="A31" s="5" t="s">
        <v>153</v>
      </c>
      <c r="B31" s="5" t="s">
        <v>177</v>
      </c>
      <c r="C31" s="5" t="s">
        <v>178</v>
      </c>
      <c r="D31" s="5" t="s">
        <v>179</v>
      </c>
      <c r="E31" s="5" t="s">
        <v>33</v>
      </c>
      <c r="F31" s="5" t="s">
        <v>180</v>
      </c>
      <c r="G31" s="5" t="s">
        <v>181</v>
      </c>
      <c r="H31" s="5" t="s">
        <v>182</v>
      </c>
      <c r="I31" s="5" t="s">
        <v>183</v>
      </c>
      <c r="J31" s="5" t="s">
        <v>67</v>
      </c>
      <c r="K31" s="3"/>
      <c r="L31" s="3"/>
      <c r="M31" s="3"/>
      <c r="N31" s="3"/>
      <c r="O31" s="3"/>
    </row>
    <row r="32" spans="1:15" ht="38" customHeight="1">
      <c r="A32" s="6" t="s">
        <v>184</v>
      </c>
      <c r="B32" s="6">
        <v>99</v>
      </c>
      <c r="C32" s="6" t="s">
        <v>39</v>
      </c>
      <c r="D32" s="6" t="s">
        <v>185</v>
      </c>
      <c r="E32" s="6" t="s">
        <v>186</v>
      </c>
      <c r="F32" s="6" t="s">
        <v>187</v>
      </c>
      <c r="G32" s="6" t="s">
        <v>188</v>
      </c>
      <c r="H32" s="6" t="s">
        <v>189</v>
      </c>
      <c r="I32" s="7">
        <v>46272</v>
      </c>
      <c r="J32" s="6" t="s">
        <v>190</v>
      </c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4" t="s">
        <v>191</v>
      </c>
      <c r="B35" s="4"/>
      <c r="C35" s="4"/>
      <c r="D35" s="4"/>
      <c r="E35" s="4"/>
      <c r="F35" s="4"/>
      <c r="G35" s="4"/>
      <c r="H35" s="3"/>
      <c r="I35" s="3"/>
      <c r="J35" s="3"/>
      <c r="K35" s="3"/>
      <c r="L35" s="3"/>
      <c r="M35" s="3"/>
      <c r="N35" s="3"/>
      <c r="O35" s="3"/>
    </row>
    <row r="36" spans="1:15" ht="38" customHeight="1">
      <c r="A36" s="5" t="s">
        <v>192</v>
      </c>
      <c r="B36" s="5" t="s">
        <v>193</v>
      </c>
      <c r="C36" s="5" t="s">
        <v>194</v>
      </c>
      <c r="D36" s="5" t="s">
        <v>132</v>
      </c>
      <c r="E36" s="5" t="s">
        <v>153</v>
      </c>
      <c r="F36" s="5" t="s">
        <v>177</v>
      </c>
      <c r="G36" s="5" t="s">
        <v>67</v>
      </c>
      <c r="H36" s="3"/>
      <c r="I36" s="3"/>
      <c r="J36" s="3"/>
      <c r="K36" s="3"/>
      <c r="L36" s="3"/>
      <c r="M36" s="3"/>
      <c r="N36" s="3"/>
      <c r="O36" s="3"/>
    </row>
    <row r="37" spans="1:15" ht="38" customHeight="1">
      <c r="A37" s="6" t="s">
        <v>195</v>
      </c>
      <c r="B37" s="6" t="s">
        <v>196</v>
      </c>
      <c r="C37" s="6" t="s">
        <v>197</v>
      </c>
      <c r="D37" s="6" t="s">
        <v>198</v>
      </c>
      <c r="E37" s="6" t="s">
        <v>184</v>
      </c>
      <c r="F37" s="6">
        <v>25</v>
      </c>
      <c r="G37" s="6" t="s">
        <v>199</v>
      </c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00_Petunjuk</vt:lpstr>
      <vt:lpstr>01_Anggota</vt:lpstr>
      <vt:lpstr>03_Simpanan</vt:lpstr>
      <vt:lpstr>04_Pinjaman</vt:lpstr>
      <vt:lpstr>05_Angsuran</vt:lpstr>
      <vt:lpstr>08_Pemeriksaan</vt:lpstr>
      <vt:lpstr>09_Contoh_Isian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cahyo</cp:lastModifiedBy>
  <dcterms:created xsi:type="dcterms:W3CDTF">2026-09-07T14:38:22Z</dcterms:created>
  <dcterms:modified xsi:type="dcterms:W3CDTF">2026-09-09T23:11:04Z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317A1574D5C36F4C2E959E6ACA00D3F1_43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